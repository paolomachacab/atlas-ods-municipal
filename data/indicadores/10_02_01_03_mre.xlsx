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 2012" sheetId="1" r:id="rId4"/>
    <sheet state="visible" name="Datos procesados 2024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/>
  <calcPr/>
  <extLst>
    <ext uri="GoogleSheetsCustomDataVersion2">
      <go:sheetsCustomData xmlns:go="http://customooxmlschemas.google.com/" r:id="rId12" roundtripDataChecksum="AG8YIycE8254W2E7hJxtEMPAJJNTImC1H7m1IPhzqAk="/>
    </ext>
  </extLst>
</workbook>
</file>

<file path=xl/sharedStrings.xml><?xml version="1.0" encoding="utf-8"?>
<sst xmlns="http://schemas.openxmlformats.org/spreadsheetml/2006/main" count="795" uniqueCount="444">
  <si>
    <t>MUN</t>
  </si>
  <si>
    <t>Cantidad de pobres que son migrantes</t>
  </si>
  <si>
    <t xml:space="preserve">Suma de privaciones de los migrantes </t>
  </si>
  <si>
    <t>Cantidad de personas migrantes</t>
  </si>
  <si>
    <t>H de personas migrantes</t>
  </si>
  <si>
    <t>A de personas migrantes</t>
  </si>
  <si>
    <t>IPM de personas migrantes 2012</t>
  </si>
  <si>
    <t>Cantidad de pobres que NO son migrantes</t>
  </si>
  <si>
    <t>Suma de privaciones de pobres que NO son migrantes</t>
  </si>
  <si>
    <t>Cantidad de personas que NO son migrantes</t>
  </si>
  <si>
    <t>H de personas que NO son migrantes</t>
  </si>
  <si>
    <t>A de personas que NO son migrantes</t>
  </si>
  <si>
    <t>IPM de personas que NO son migrantes 2012</t>
  </si>
  <si>
    <t>Brecha 2012</t>
  </si>
  <si>
    <t>dep_res_cod</t>
  </si>
  <si>
    <t>codigo_nuevo</t>
  </si>
  <si>
    <t>IPM de personas migrantes 2024</t>
  </si>
  <si>
    <t>IPM de personas que NO son migrantes 2024</t>
  </si>
  <si>
    <t>Brecha 2024</t>
  </si>
  <si>
    <t>idep</t>
  </si>
  <si>
    <t>id</t>
  </si>
  <si>
    <t>Municipio</t>
  </si>
  <si>
    <t>Brecha de pobreza migrantes/no-migrantes 2012</t>
  </si>
  <si>
    <t>Brecha de pobreza migrantes/no-migrantes 2024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</si>
  <si>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</si>
  <si>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</si>
  <si>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</si>
  <si>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</si>
  <si>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</si>
  <si>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</si>
  <si>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</si>
  <si>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</si>
  <si>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</si>
  <si>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</si>
  <si>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</si>
  <si>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</si>
  <si>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</si>
  <si>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</si>
  <si>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</si>
  <si>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</si>
  <si>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</si>
  <si>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</si>
  <si>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</si>
  <si>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</si>
  <si>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</si>
  <si>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</si>
  <si>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</si>
  <si>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</si>
  <si>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</si>
  <si>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</si>
  <si>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</si>
  <si>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</si>
  <si>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</si>
  <si>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</si>
  <si>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</si>
  <si>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</si>
  <si>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</si>
  <si>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</si>
  <si>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</si>
  <si>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</si>
  <si>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</si>
  <si>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</si>
  <si>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</si>
  <si>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</si>
  <si>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</si>
  <si>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</si>
  <si>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</si>
  <si>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</si>
  <si>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</si>
  <si>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</si>
  <si>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</si>
  <si>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</si>
  <si>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</si>
  <si>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</si>
  <si>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</si>
  <si>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</si>
  <si>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</si>
  <si>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</si>
  <si>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</si>
  <si>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</si>
  <si>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</si>
  <si>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</si>
  <si>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</si>
  <si>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</si>
  <si>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</si>
  <si>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</si>
  <si>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</si>
  <si>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</si>
  <si>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</si>
  <si>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</si>
  <si>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</si>
  <si>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</si>
  <si>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</si>
  <si>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</si>
  <si>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</si>
  <si>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</si>
  <si>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</si>
  <si>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</si>
  <si>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</si>
  <si>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</si>
  <si>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</si>
  <si>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</si>
  <si>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</si>
  <si>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</si>
  <si>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</si>
  <si>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</si>
  <si>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</si>
  <si>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</si>
  <si>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</si>
  <si>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</si>
  <si>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</si>
  <si>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</si>
  <si>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</si>
  <si>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</si>
  <si>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</si>
  <si>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</si>
  <si>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</si>
  <si>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</si>
  <si>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</si>
  <si>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</si>
  <si>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</si>
  <si>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</si>
  <si>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</si>
  <si>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</si>
  <si>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</si>
  <si>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</si>
  <si>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</si>
  <si>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</si>
  <si>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</si>
  <si>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</si>
  <si>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</si>
  <si>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</si>
  <si>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</si>
  <si>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</si>
  <si>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</si>
  <si>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</si>
  <si>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</si>
  <si>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</si>
  <si>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</si>
  <si>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</si>
  <si>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</si>
  <si>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</si>
  <si>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</si>
  <si>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</si>
  <si>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</si>
  <si>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</si>
  <si>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</si>
  <si>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</si>
  <si>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</si>
  <si>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</si>
  <si>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</si>
  <si>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</si>
  <si>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</si>
  <si>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</si>
  <si>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</si>
  <si>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</si>
  <si>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</si>
  <si>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</si>
  <si>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</si>
  <si>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</si>
  <si>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</si>
  <si>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</si>
  <si>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</si>
  <si>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</si>
  <si>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</si>
  <si>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</si>
  <si>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</si>
  <si>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</si>
  <si>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</si>
  <si>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</si>
  <si>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</si>
  <si>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</si>
  <si>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</si>
  <si>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</si>
  <si>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</si>
  <si>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</si>
  <si>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</si>
  <si>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</si>
  <si>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</si>
  <si>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</si>
  <si>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</si>
  <si>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</si>
  <si>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</si>
  <si>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</si>
  <si>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</si>
  <si>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</si>
  <si>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</si>
  <si>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</si>
  <si>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Oruro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</si>
  <si>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</si>
  <si>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</si>
  <si>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</si>
  <si>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</si>
  <si>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</si>
  <si>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</si>
  <si>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</si>
  <si>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</si>
  <si>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</si>
  <si>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</si>
  <si>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</si>
  <si>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</si>
  <si>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</si>
  <si>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</si>
  <si>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</si>
  <si>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</si>
  <si>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</si>
  <si>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</si>
  <si>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</si>
  <si>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</si>
  <si>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</si>
  <si>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</si>
  <si>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</si>
  <si>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</si>
  <si>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</si>
  <si>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</si>
  <si>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</si>
  <si>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</si>
  <si>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</si>
  <si>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</si>
  <si>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</si>
  <si>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</si>
  <si>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</si>
  <si>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</si>
  <si>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</si>
  <si>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</si>
  <si>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</si>
  <si>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</si>
  <si>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</si>
  <si>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</si>
  <si>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</si>
  <si>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</si>
  <si>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</si>
  <si>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</si>
  <si>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</si>
  <si>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</si>
  <si>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</si>
  <si>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</si>
  <si>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</si>
  <si>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</si>
  <si>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</si>
  <si>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</si>
  <si>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</si>
  <si>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</si>
  <si>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</si>
  <si>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</si>
  <si>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</si>
  <si>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</si>
  <si>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</si>
  <si>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</si>
  <si>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</si>
  <si>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</si>
  <si>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</si>
  <si>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</si>
  <si>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</si>
  <si>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</si>
  <si>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</si>
  <si>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</si>
  <si>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</si>
  <si>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</si>
  <si>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</si>
  <si>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</si>
  <si>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</si>
  <si>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</si>
  <si>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</si>
  <si>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</si>
  <si>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</si>
  <si>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</si>
  <si>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</si>
  <si>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</si>
  <si>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</si>
  <si>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</si>
  <si>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</si>
  <si>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</si>
  <si>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</si>
  <si>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</si>
  <si>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</si>
  <si>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</si>
  <si>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</si>
  <si>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</si>
  <si>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</si>
  <si>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</si>
  <si>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</si>
  <si>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</si>
  <si>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</si>
  <si>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</si>
  <si>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</si>
  <si>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</si>
  <si>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</si>
  <si>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</si>
  <si>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</si>
  <si>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</si>
  <si>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</si>
  <si>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</si>
  <si>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</si>
  <si>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</si>
  <si>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</si>
  <si>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</si>
  <si>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</si>
  <si>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</si>
  <si>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</si>
  <si>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</si>
  <si>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</si>
  <si>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</si>
  <si>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</si>
  <si>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</si>
  <si>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</si>
  <si>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</si>
  <si>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</si>
  <si>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</si>
  <si>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</si>
  <si>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</si>
  <si>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</si>
  <si>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</si>
  <si>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</si>
  <si>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</si>
  <si>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</si>
  <si>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</si>
  <si>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</si>
  <si>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</si>
  <si>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</si>
  <si>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</si>
  <si>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</si>
  <si>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</si>
  <si>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</si>
  <si>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</si>
  <si>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</si>
  <si>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</si>
  <si>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</si>
  <si>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</si>
  <si>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</si>
  <si>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</si>
  <si>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</si>
  <si>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</si>
  <si>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</si>
  <si>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</si>
  <si>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</si>
  <si>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</si>
  <si>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</si>
  <si>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</si>
  <si>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</si>
  <si>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</si>
  <si>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</si>
  <si>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</si>
  <si>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</si>
  <si>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</si>
  <si>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</si>
  <si>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</si>
  <si>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</si>
  <si>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</si>
  <si>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</si>
  <si>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</si>
  <si>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</si>
  <si>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</si>
  <si>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</si>
  <si>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</si>
  <si>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</si>
  <si>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</si>
  <si>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</si>
  <si>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</si>
  <si>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</si>
  <si>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</si>
  <si>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</si>
  <si>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>Alcalá</t>
  </si>
  <si>
    <t>Villa Abecia</t>
  </si>
  <si>
    <t>Villa Vaca Guzmán</t>
  </si>
  <si>
    <t>Huacaya (Autonomía Guaraní Chaqueño de Huacaya)</t>
  </si>
  <si>
    <t>Macharetí</t>
  </si>
  <si>
    <t>Nuestra Señora de La Paz</t>
  </si>
  <si>
    <t>Villa Ancoraimes</t>
  </si>
  <si>
    <t>Santiago de Callapa</t>
  </si>
  <si>
    <t>Puerto Mayor de Carabuco</t>
  </si>
  <si>
    <t>Puerto Mayor de Guaqui</t>
  </si>
  <si>
    <t>Tiahuanacu</t>
  </si>
  <si>
    <t>La (Marka) San Andrés de Machaca</t>
  </si>
  <si>
    <t>Jesús de Machaka</t>
  </si>
  <si>
    <t>Sicasica</t>
  </si>
  <si>
    <t>Ixiamas</t>
  </si>
  <si>
    <t>Cochabamba</t>
  </si>
  <si>
    <t>Ayopaya</t>
  </si>
  <si>
    <t>Tarata</t>
  </si>
  <si>
    <t>Arque</t>
  </si>
  <si>
    <t>Santiváñez</t>
  </si>
  <si>
    <t>Toco</t>
  </si>
  <si>
    <t>Vinto</t>
  </si>
  <si>
    <t>Totora</t>
  </si>
  <si>
    <t>Villa Gualberto Villarroel</t>
  </si>
  <si>
    <t>Bolívar</t>
  </si>
  <si>
    <t>Paria</t>
  </si>
  <si>
    <t>Santuario de Quillacas</t>
  </si>
  <si>
    <t>Choquecota</t>
  </si>
  <si>
    <t>Yunguyo del Litoral</t>
  </si>
  <si>
    <t>Salinas de Garci Mendoza (Autonomía Indígena Originario Campesina de Salinas)</t>
  </si>
  <si>
    <t>Uru Chipaya (Nación Originaria Uru Chipaya)</t>
  </si>
  <si>
    <t>Andamarca</t>
  </si>
  <si>
    <t>Santiago de Huari</t>
  </si>
  <si>
    <t>Santiago de Huayllamarca</t>
  </si>
  <si>
    <t>Uncía</t>
  </si>
  <si>
    <t>Chuquihuta Ayllu Jucumani</t>
  </si>
  <si>
    <t>Sacaca</t>
  </si>
  <si>
    <t>San Pablo</t>
  </si>
  <si>
    <t>Villa Montes</t>
  </si>
  <si>
    <t>San Miguel</t>
  </si>
  <si>
    <t>San Juan</t>
  </si>
  <si>
    <t>San José</t>
  </si>
  <si>
    <t>Colpa Bélgica</t>
  </si>
  <si>
    <t>Charagua (Autonomía Guaraní Charagua Iyambae)</t>
  </si>
  <si>
    <t>Cuevo</t>
  </si>
  <si>
    <t>Gutiérrez (Autonomía Indígena Kereimba Iyaambae)</t>
  </si>
  <si>
    <t>Trigal</t>
  </si>
  <si>
    <t>Moromoro</t>
  </si>
  <si>
    <t>Postrervalle</t>
  </si>
  <si>
    <t>Pampagrande</t>
  </si>
  <si>
    <t>General Saavedra</t>
  </si>
  <si>
    <t>Fernández Alonso</t>
  </si>
  <si>
    <t>San Antonio de Lomerio</t>
  </si>
  <si>
    <t>El Carmen Rivero Tórrez</t>
  </si>
  <si>
    <t>Ascención de Guarayos</t>
  </si>
  <si>
    <t>Puerto Menor de Rurrenabaque</t>
  </si>
  <si>
    <t>Santa Ana</t>
  </si>
  <si>
    <t>Cobija</t>
  </si>
  <si>
    <t>Puerto Rico</t>
  </si>
  <si>
    <t>Puerto Gonzalo Moreno</t>
  </si>
  <si>
    <t>Villa Nueva</t>
  </si>
  <si>
    <t>id_departamento</t>
  </si>
  <si>
    <t>Departamento</t>
  </si>
  <si>
    <t>Chuquisaca</t>
  </si>
  <si>
    <t>Santa Cruz</t>
  </si>
  <si>
    <t>Beni</t>
  </si>
  <si>
    <t>Pando</t>
  </si>
  <si>
    <t>Gran Chaco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</si>
  <si>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</si>
  <si>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</si>
  <si>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</si>
  <si>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</si>
  <si>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</si>
  <si>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</si>
  <si>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</si>
  <si>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</si>
  <si>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</si>
  <si>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</si>
  <si>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</si>
  <si>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</si>
  <si>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 xml:space="preserve">Brecha de pobreza migrantes/no-migrantes
</t>
  </si>
  <si>
    <t>Paridad alcanzada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</si>
</sst>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00"/>
    <numFmt numFmtId="166" formatCode="0.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b/>
      <sz val="11.0"/>
      <color rgb="FFFFFFFF"/>
      <name val="Calibri"/>
    </font>
    <font>
      <sz val="10.0"/>
      <color rgb="FF000000"/>
      <name val="Arial"/>
    </font>
    <font>
      <b/>
      <sz val="11.0"/>
      <color theme="1"/>
      <name val="Calibri"/>
    </font>
    <font>
      <b/>
      <sz val="9.0"/>
      <color theme="1"/>
      <name val="Play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2" xfId="0" applyAlignment="1" applyFont="1" applyNumberForma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1" numFmtId="3" xfId="0" applyFont="1" applyNumberFormat="1"/>
    <xf borderId="0" fillId="0" fontId="2" numFmtId="0" xfId="0" applyAlignment="1" applyFont="1">
      <alignment shrinkToFit="0" wrapText="1"/>
    </xf>
    <xf borderId="0" fillId="0" fontId="1" numFmtId="1" xfId="0" applyAlignment="1" applyFont="1" applyNumberFormat="1">
      <alignment horizontal="right"/>
    </xf>
    <xf borderId="0" fillId="0" fontId="1" numFmtId="2" xfId="0" applyFont="1" applyNumberFormat="1"/>
    <xf borderId="0" fillId="0" fontId="1" numFmtId="2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2" numFmtId="164" xfId="0" applyFont="1" applyNumberFormat="1"/>
    <xf borderId="0" fillId="0" fontId="1" numFmtId="0" xfId="0" applyFont="1"/>
    <xf borderId="0" fillId="0" fontId="2" numFmtId="1" xfId="0" applyFont="1" applyNumberFormat="1"/>
    <xf borderId="0" fillId="0" fontId="2" numFmtId="1" xfId="0" applyAlignment="1" applyFont="1" applyNumberFormat="1">
      <alignment horizontal="right"/>
    </xf>
    <xf borderId="0" fillId="0" fontId="2" numFmtId="3" xfId="0" applyFont="1" applyNumberFormat="1"/>
    <xf borderId="0" fillId="0" fontId="2" numFmtId="0" xfId="0" applyFont="1"/>
    <xf borderId="0" fillId="0" fontId="2" numFmtId="2" xfId="0" applyFont="1" applyNumberFormat="1"/>
    <xf borderId="0" fillId="0" fontId="2" numFmtId="2" xfId="0" applyAlignment="1" applyFont="1" applyNumberFormat="1">
      <alignment shrinkToFit="0" wrapText="1"/>
    </xf>
    <xf borderId="1" fillId="2" fontId="1" numFmtId="1" xfId="0" applyAlignment="1" applyBorder="1" applyFill="1" applyFont="1" applyNumberFormat="1">
      <alignment horizontal="right"/>
    </xf>
    <xf borderId="1" fillId="3" fontId="3" numFmtId="1" xfId="0" applyAlignment="1" applyBorder="1" applyFill="1" applyFont="1" applyNumberFormat="1">
      <alignment horizontal="center"/>
    </xf>
    <xf borderId="1" fillId="3" fontId="3" numFmtId="49" xfId="0" applyAlignment="1" applyBorder="1" applyFont="1" applyNumberFormat="1">
      <alignment horizontal="center"/>
    </xf>
    <xf borderId="1" fillId="3" fontId="3" numFmtId="4" xfId="0" applyAlignment="1" applyBorder="1" applyFont="1" applyNumberFormat="1">
      <alignment horizontal="center" shrinkToFit="0" wrapText="1"/>
    </xf>
    <xf borderId="1" fillId="2" fontId="1" numFmtId="49" xfId="0" applyBorder="1" applyFont="1" applyNumberFormat="1"/>
    <xf borderId="0" fillId="0" fontId="2" numFmtId="49" xfId="0" applyFont="1" applyNumberFormat="1"/>
    <xf borderId="0" fillId="0" fontId="2" numFmtId="4" xfId="0" applyFont="1" applyNumberFormat="1"/>
    <xf borderId="0" fillId="0" fontId="4" numFmtId="1" xfId="0" applyFont="1" applyNumberFormat="1"/>
    <xf borderId="1" fillId="3" fontId="3" numFmtId="165" xfId="0" applyAlignment="1" applyBorder="1" applyFont="1" applyNumberFormat="1">
      <alignment horizontal="center" shrinkToFit="0" wrapText="1"/>
    </xf>
    <xf borderId="1" fillId="3" fontId="3" numFmtId="49" xfId="0" applyAlignment="1" applyBorder="1" applyFont="1" applyNumberFormat="1">
      <alignment horizontal="center" shrinkToFit="0" wrapText="1"/>
    </xf>
    <xf borderId="0" fillId="0" fontId="1" numFmtId="3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0" fillId="0" fontId="2" numFmtId="165" xfId="0" applyFont="1" applyNumberFormat="1"/>
    <xf borderId="1" fillId="3" fontId="3" numFmtId="3" xfId="0" applyAlignment="1" applyBorder="1" applyFont="1" applyNumberFormat="1">
      <alignment horizontal="center"/>
    </xf>
    <xf borderId="2" fillId="4" fontId="5" numFmtId="0" xfId="0" applyBorder="1" applyFill="1" applyFont="1"/>
    <xf borderId="2" fillId="5" fontId="6" numFmtId="0" xfId="0" applyAlignment="1" applyBorder="1" applyFill="1" applyFont="1">
      <alignment horizontal="center" shrinkToFit="0" wrapText="1"/>
    </xf>
    <xf borderId="2" fillId="6" fontId="6" numFmtId="0" xfId="0" applyAlignment="1" applyBorder="1" applyFill="1" applyFont="1">
      <alignment horizontal="center" shrinkToFit="0" wrapText="1"/>
    </xf>
    <xf borderId="2" fillId="7" fontId="6" numFmtId="0" xfId="0" applyAlignment="1" applyBorder="1" applyFill="1" applyFont="1">
      <alignment horizontal="center" shrinkToFit="0" wrapText="1"/>
    </xf>
    <xf borderId="2" fillId="8" fontId="6" numFmtId="0" xfId="0" applyAlignment="1" applyBorder="1" applyFill="1" applyFont="1">
      <alignment horizontal="center" shrinkToFit="0" wrapText="1"/>
    </xf>
    <xf borderId="2" fillId="9" fontId="5" numFmtId="0" xfId="0" applyAlignment="1" applyBorder="1" applyFill="1" applyFont="1">
      <alignment horizontal="center" shrinkToFit="0" vertical="bottom" wrapText="1"/>
    </xf>
    <xf borderId="2" fillId="0" fontId="1" numFmtId="0" xfId="0" applyAlignment="1" applyBorder="1" applyFont="1">
      <alignment horizontal="right"/>
    </xf>
    <xf borderId="2" fillId="0" fontId="1" numFmtId="0" xfId="0" applyBorder="1" applyFont="1"/>
    <xf borderId="2" fillId="0" fontId="2" numFmtId="1" xfId="0" applyAlignment="1" applyBorder="1" applyFont="1" applyNumberFormat="1">
      <alignment horizontal="right"/>
    </xf>
    <xf borderId="2" fillId="0" fontId="2" numFmtId="2" xfId="0" applyAlignment="1" applyBorder="1" applyFont="1" applyNumberFormat="1">
      <alignment horizontal="right"/>
    </xf>
    <xf borderId="2" fillId="0" fontId="2" numFmtId="166" xfId="0" applyAlignment="1" applyBorder="1" applyFont="1" applyNumberFormat="1">
      <alignment horizontal="right"/>
    </xf>
    <xf borderId="2" fillId="0" fontId="1" numFmtId="166" xfId="0" applyAlignment="1" applyBorder="1" applyFont="1" applyNumberFormat="1">
      <alignment horizontal="right"/>
    </xf>
    <xf borderId="2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2" pivot="0" name="Indicador_MUN-style">
      <tableStyleElement dxfId="1" type="firstRowStripe"/>
      <tableStyleElement dxfId="2" type="secondRowStripe"/>
    </tableStyle>
    <tableStyle count="2" pivot="0" name="Absoluto_MU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1" displayName="Table_1" name="Table_1" id="1">
  <tableColumns count="1">
    <tableColumn name="Column1" id="1"/>
  </tableColumns>
  <tableStyleInfo name="Indicador_MUN-style" showColumnStripes="0" showFirstColumn="1" showLastColumn="1" showRowStripes="1"/>
</table>
</file>

<file path=xl/tables/table2.xml><?xml version="1.0" encoding="utf-8"?>
<table xmlns="http://schemas.openxmlformats.org/spreadsheetml/2006/main" headerRowCount="0" ref="D1" displayName="Table_2" name="Table_2" id="2">
  <tableColumns count="1">
    <tableColumn name="Column1" id="1"/>
  </tableColumns>
  <tableStyleInfo name="Absoluto_M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5" max="5" width="14.25"/>
    <col customWidth="1" min="22" max="22" width="15.13"/>
  </cols>
  <sheetData>
    <row r="1" ht="60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4" t="s">
        <v>12</v>
      </c>
      <c r="N1" s="3" t="s">
        <v>13</v>
      </c>
      <c r="O1" s="2"/>
      <c r="P1" s="6" t="s">
        <v>14</v>
      </c>
      <c r="Q1" s="2" t="s">
        <v>1</v>
      </c>
      <c r="R1" s="2" t="s">
        <v>2</v>
      </c>
      <c r="S1" s="2" t="s">
        <v>3</v>
      </c>
      <c r="T1" s="3" t="s">
        <v>4</v>
      </c>
      <c r="U1" s="3" t="s">
        <v>5</v>
      </c>
      <c r="V1" s="3" t="s">
        <v>6</v>
      </c>
      <c r="W1" s="3" t="s">
        <v>13</v>
      </c>
      <c r="X1" s="2"/>
      <c r="Y1" s="2"/>
      <c r="Z1" s="2"/>
      <c r="AA1" s="2"/>
      <c r="AB1" s="7"/>
      <c r="AC1" s="7"/>
      <c r="AD1" s="7"/>
      <c r="AE1" s="7"/>
      <c r="AF1" s="7"/>
      <c r="AG1" s="7"/>
      <c r="AH1" s="7"/>
      <c r="AI1" s="7"/>
      <c r="AJ1" s="7"/>
    </row>
    <row r="2" ht="15.75" customHeight="1">
      <c r="A2" s="8">
        <v>10101.0</v>
      </c>
      <c r="B2" s="8">
        <v>4726.0</v>
      </c>
      <c r="C2" s="8">
        <v>2040.555606931448</v>
      </c>
      <c r="D2" s="8">
        <v>26298.0</v>
      </c>
      <c r="E2" s="9">
        <f t="shared" ref="E2:E346" si="1">B2/D2</f>
        <v>0.1797094836</v>
      </c>
      <c r="F2" s="10">
        <f t="shared" ref="F2:F346" si="2">C2/B2</f>
        <v>0.4317722401</v>
      </c>
      <c r="G2" s="10">
        <f t="shared" ref="G2:G346" si="3">E2*F2</f>
        <v>0.07759356631</v>
      </c>
      <c r="H2" s="8">
        <v>35303.0</v>
      </c>
      <c r="I2" s="8">
        <v>15695.667081981897</v>
      </c>
      <c r="J2" s="8">
        <v>221729.0</v>
      </c>
      <c r="K2" s="11">
        <f t="shared" ref="K2:K346" si="4">H2/J2</f>
        <v>0.1592168819</v>
      </c>
      <c r="L2" s="12">
        <f t="shared" ref="L2:L346" si="5">I2/H2</f>
        <v>0.4445986767</v>
      </c>
      <c r="M2" s="12">
        <f t="shared" ref="M2:M346" si="6">K2*L2</f>
        <v>0.07078761498</v>
      </c>
      <c r="N2" s="9">
        <f t="shared" ref="N2:N346" si="7">M2/G2</f>
        <v>0.9122871695</v>
      </c>
      <c r="O2" s="13"/>
      <c r="P2" s="6">
        <v>1.0</v>
      </c>
      <c r="Q2" s="8">
        <v>11876.0</v>
      </c>
      <c r="R2" s="8">
        <v>5461.111253380775</v>
      </c>
      <c r="S2" s="8">
        <v>44708.0</v>
      </c>
      <c r="T2" s="9">
        <f t="shared" ref="T2:T10" si="8">Q2/S2</f>
        <v>0.2656347857</v>
      </c>
      <c r="U2" s="10">
        <f t="shared" ref="U2:U10" si="9">R2/Q2</f>
        <v>0.4598443292</v>
      </c>
      <c r="V2" s="10">
        <f t="shared" ref="V2:V10" si="10">T2*U2</f>
        <v>0.1221506498</v>
      </c>
      <c r="W2" s="10">
        <f t="shared" ref="W2:W12" si="11">V17/V2</f>
        <v>1.907412404</v>
      </c>
      <c r="X2" s="13"/>
      <c r="Y2" s="14"/>
      <c r="Z2" s="14"/>
      <c r="AA2" s="15"/>
    </row>
    <row r="3" ht="15.75" customHeight="1">
      <c r="A3" s="8">
        <v>10102.0</v>
      </c>
      <c r="B3" s="8">
        <v>166.0</v>
      </c>
      <c r="C3" s="8">
        <v>67.44444608688354</v>
      </c>
      <c r="D3" s="8">
        <v>672.0</v>
      </c>
      <c r="E3" s="9">
        <f t="shared" si="1"/>
        <v>0.2470238095</v>
      </c>
      <c r="F3" s="10">
        <f t="shared" si="2"/>
        <v>0.4062918439</v>
      </c>
      <c r="G3" s="10">
        <f t="shared" si="3"/>
        <v>0.1003637591</v>
      </c>
      <c r="H3" s="8">
        <v>2763.0</v>
      </c>
      <c r="I3" s="8">
        <v>1214.3333648741245</v>
      </c>
      <c r="J3" s="8">
        <v>8191.0</v>
      </c>
      <c r="K3" s="11">
        <f t="shared" si="4"/>
        <v>0.3373214504</v>
      </c>
      <c r="L3" s="12">
        <f t="shared" si="5"/>
        <v>0.4394981415</v>
      </c>
      <c r="M3" s="12">
        <f t="shared" si="6"/>
        <v>0.1482521505</v>
      </c>
      <c r="N3" s="9">
        <f t="shared" si="7"/>
        <v>1.477148245</v>
      </c>
      <c r="O3" s="13"/>
      <c r="P3" s="6">
        <v>2.0</v>
      </c>
      <c r="Q3" s="8">
        <v>40747.0</v>
      </c>
      <c r="R3" s="8">
        <v>17368.222645133734</v>
      </c>
      <c r="S3" s="8">
        <v>140744.0</v>
      </c>
      <c r="T3" s="9">
        <f t="shared" si="8"/>
        <v>0.2895114534</v>
      </c>
      <c r="U3" s="10">
        <f t="shared" si="9"/>
        <v>0.4262454327</v>
      </c>
      <c r="V3" s="10">
        <f t="shared" si="10"/>
        <v>0.1234029347</v>
      </c>
      <c r="W3" s="10">
        <f t="shared" si="11"/>
        <v>0.8884576164</v>
      </c>
      <c r="X3" s="13"/>
      <c r="Y3" s="14"/>
      <c r="Z3" s="14"/>
      <c r="AA3" s="14"/>
    </row>
    <row r="4" ht="15.75" customHeight="1">
      <c r="A4" s="8">
        <v>10103.0</v>
      </c>
      <c r="B4" s="8">
        <v>292.0</v>
      </c>
      <c r="C4" s="8">
        <v>146.33333745598793</v>
      </c>
      <c r="D4" s="8">
        <v>409.0</v>
      </c>
      <c r="E4" s="9">
        <f t="shared" si="1"/>
        <v>0.7139364303</v>
      </c>
      <c r="F4" s="10">
        <f t="shared" si="2"/>
        <v>0.5011415666</v>
      </c>
      <c r="G4" s="10">
        <f t="shared" si="3"/>
        <v>0.3577832212</v>
      </c>
      <c r="H4" s="8">
        <v>14862.0</v>
      </c>
      <c r="I4" s="8">
        <v>8628.111351817846</v>
      </c>
      <c r="J4" s="8">
        <v>15771.0</v>
      </c>
      <c r="K4" s="11">
        <f t="shared" si="4"/>
        <v>0.9423625642</v>
      </c>
      <c r="L4" s="12">
        <f t="shared" si="5"/>
        <v>0.5805484694</v>
      </c>
      <c r="M4" s="12">
        <f t="shared" si="6"/>
        <v>0.5470871442</v>
      </c>
      <c r="N4" s="9">
        <f t="shared" si="7"/>
        <v>1.529102294</v>
      </c>
      <c r="O4" s="13"/>
      <c r="P4" s="6">
        <v>3.0</v>
      </c>
      <c r="Q4" s="8">
        <v>47596.0</v>
      </c>
      <c r="R4" s="8">
        <v>20396.556073635817</v>
      </c>
      <c r="S4" s="8">
        <v>138429.0</v>
      </c>
      <c r="T4" s="9">
        <f t="shared" si="8"/>
        <v>0.3438296889</v>
      </c>
      <c r="U4" s="10">
        <f t="shared" si="9"/>
        <v>0.4285350885</v>
      </c>
      <c r="V4" s="10">
        <f t="shared" si="10"/>
        <v>0.1473430862</v>
      </c>
      <c r="W4" s="10">
        <f t="shared" si="11"/>
        <v>0.9728651133</v>
      </c>
      <c r="X4" s="13"/>
      <c r="Y4" s="14"/>
      <c r="Z4" s="14"/>
      <c r="AA4" s="14"/>
    </row>
    <row r="5" ht="15.75" customHeight="1">
      <c r="A5" s="8">
        <v>10201.0</v>
      </c>
      <c r="B5" s="8">
        <v>177.0</v>
      </c>
      <c r="C5" s="8">
        <v>93.00000238418579</v>
      </c>
      <c r="D5" s="8">
        <v>365.0</v>
      </c>
      <c r="E5" s="9">
        <f t="shared" si="1"/>
        <v>0.4849315068</v>
      </c>
      <c r="F5" s="10">
        <f t="shared" si="2"/>
        <v>0.5254237423</v>
      </c>
      <c r="G5" s="10">
        <f t="shared" si="3"/>
        <v>0.2547945271</v>
      </c>
      <c r="H5" s="8">
        <v>8665.0</v>
      </c>
      <c r="I5" s="8">
        <v>5189.000140726566</v>
      </c>
      <c r="J5" s="8">
        <v>9919.0</v>
      </c>
      <c r="K5" s="11">
        <f t="shared" si="4"/>
        <v>0.8735759653</v>
      </c>
      <c r="L5" s="12">
        <f t="shared" si="5"/>
        <v>0.5988459482</v>
      </c>
      <c r="M5" s="12">
        <f t="shared" si="6"/>
        <v>0.5231374272</v>
      </c>
      <c r="N5" s="9">
        <f t="shared" si="7"/>
        <v>2.053173721</v>
      </c>
      <c r="O5" s="13"/>
      <c r="P5" s="6">
        <v>4.0</v>
      </c>
      <c r="Q5" s="8">
        <v>12058.0</v>
      </c>
      <c r="R5" s="8">
        <v>5120.777903676033</v>
      </c>
      <c r="S5" s="8">
        <v>37937.0</v>
      </c>
      <c r="T5" s="9">
        <f t="shared" si="8"/>
        <v>0.3178427393</v>
      </c>
      <c r="U5" s="10">
        <f t="shared" si="9"/>
        <v>0.4246788774</v>
      </c>
      <c r="V5" s="10">
        <f t="shared" si="10"/>
        <v>0.1349810977</v>
      </c>
      <c r="W5" s="10">
        <f t="shared" si="11"/>
        <v>0.9634876874</v>
      </c>
      <c r="X5" s="13"/>
      <c r="Y5" s="14"/>
      <c r="Z5" s="14"/>
      <c r="AA5" s="14"/>
    </row>
    <row r="6" ht="15.75" customHeight="1">
      <c r="A6" s="8">
        <v>10202.0</v>
      </c>
      <c r="B6" s="8">
        <v>271.0</v>
      </c>
      <c r="C6" s="8">
        <v>133.3333367407322</v>
      </c>
      <c r="D6" s="8">
        <v>570.0</v>
      </c>
      <c r="E6" s="9">
        <f t="shared" si="1"/>
        <v>0.4754385965</v>
      </c>
      <c r="F6" s="10">
        <f t="shared" si="2"/>
        <v>0.4920049326</v>
      </c>
      <c r="G6" s="10">
        <f t="shared" si="3"/>
        <v>0.2339181346</v>
      </c>
      <c r="H6" s="8">
        <v>11062.0</v>
      </c>
      <c r="I6" s="8">
        <v>6217.111283451319</v>
      </c>
      <c r="J6" s="8">
        <v>13437.0</v>
      </c>
      <c r="K6" s="11">
        <f t="shared" si="4"/>
        <v>0.8232492372</v>
      </c>
      <c r="L6" s="12">
        <f t="shared" si="5"/>
        <v>0.5620241623</v>
      </c>
      <c r="M6" s="12">
        <f t="shared" si="6"/>
        <v>0.4626859629</v>
      </c>
      <c r="N6" s="9">
        <f t="shared" si="7"/>
        <v>1.977982441</v>
      </c>
      <c r="O6" s="13"/>
      <c r="P6" s="6">
        <v>5.0</v>
      </c>
      <c r="Q6" s="8">
        <v>19481.0</v>
      </c>
      <c r="R6" s="8">
        <v>8461.777990877628</v>
      </c>
      <c r="S6" s="8">
        <v>58741.0</v>
      </c>
      <c r="T6" s="9">
        <f t="shared" si="8"/>
        <v>0.3316422941</v>
      </c>
      <c r="U6" s="10">
        <f t="shared" si="9"/>
        <v>0.434360556</v>
      </c>
      <c r="V6" s="10">
        <f t="shared" si="10"/>
        <v>0.1440523313</v>
      </c>
      <c r="W6" s="10">
        <f t="shared" si="11"/>
        <v>1.615749614</v>
      </c>
      <c r="X6" s="13"/>
      <c r="Y6" s="14"/>
      <c r="Z6" s="14"/>
      <c r="AA6" s="14"/>
    </row>
    <row r="7" ht="15.75" customHeight="1">
      <c r="A7" s="8">
        <v>10301.0</v>
      </c>
      <c r="B7" s="8">
        <v>184.0</v>
      </c>
      <c r="C7" s="8">
        <v>90.55555745959282</v>
      </c>
      <c r="D7" s="8">
        <v>559.0</v>
      </c>
      <c r="E7" s="9">
        <f t="shared" si="1"/>
        <v>0.3291592129</v>
      </c>
      <c r="F7" s="10">
        <f t="shared" si="2"/>
        <v>0.4921497688</v>
      </c>
      <c r="G7" s="10">
        <f t="shared" si="3"/>
        <v>0.1619956305</v>
      </c>
      <c r="H7" s="8">
        <v>6439.0</v>
      </c>
      <c r="I7" s="8">
        <v>3277.777865290642</v>
      </c>
      <c r="J7" s="8">
        <v>10318.0</v>
      </c>
      <c r="K7" s="11">
        <f t="shared" si="4"/>
        <v>0.6240550494</v>
      </c>
      <c r="L7" s="12">
        <f t="shared" si="5"/>
        <v>0.5090507634</v>
      </c>
      <c r="M7" s="12">
        <f t="shared" si="6"/>
        <v>0.3176756993</v>
      </c>
      <c r="N7" s="9">
        <f t="shared" si="7"/>
        <v>1.961013999</v>
      </c>
      <c r="O7" s="13"/>
      <c r="P7" s="6">
        <v>6.0</v>
      </c>
      <c r="Q7" s="8">
        <v>7891.0</v>
      </c>
      <c r="R7" s="8">
        <v>3375.888974428177</v>
      </c>
      <c r="S7" s="8">
        <v>39821.0</v>
      </c>
      <c r="T7" s="9">
        <f t="shared" si="8"/>
        <v>0.1981617739</v>
      </c>
      <c r="U7" s="10">
        <f t="shared" si="9"/>
        <v>0.4278151026</v>
      </c>
      <c r="V7" s="10">
        <f t="shared" si="10"/>
        <v>0.08477659964</v>
      </c>
      <c r="W7" s="10">
        <f t="shared" si="11"/>
        <v>0.9288799889</v>
      </c>
      <c r="X7" s="13"/>
      <c r="Y7" s="14"/>
      <c r="Z7" s="14"/>
      <c r="AA7" s="14"/>
    </row>
    <row r="8" ht="15.75" customHeight="1">
      <c r="A8" s="8">
        <v>10302.0</v>
      </c>
      <c r="B8" s="8">
        <v>161.0</v>
      </c>
      <c r="C8" s="8">
        <v>86.77778017520905</v>
      </c>
      <c r="D8" s="8">
        <v>368.0</v>
      </c>
      <c r="E8" s="9">
        <f t="shared" si="1"/>
        <v>0.4375</v>
      </c>
      <c r="F8" s="10">
        <f t="shared" si="2"/>
        <v>0.5389924234</v>
      </c>
      <c r="G8" s="10">
        <f t="shared" si="3"/>
        <v>0.2358091853</v>
      </c>
      <c r="H8" s="8">
        <v>9072.0</v>
      </c>
      <c r="I8" s="8">
        <v>5273.6668055951595</v>
      </c>
      <c r="J8" s="8">
        <v>11370.0</v>
      </c>
      <c r="K8" s="11">
        <f t="shared" si="4"/>
        <v>0.7978891821</v>
      </c>
      <c r="L8" s="12">
        <f t="shared" si="5"/>
        <v>0.5813124786</v>
      </c>
      <c r="M8" s="12">
        <f t="shared" si="6"/>
        <v>0.463822938</v>
      </c>
      <c r="N8" s="9">
        <f t="shared" si="7"/>
        <v>1.966941778</v>
      </c>
      <c r="O8" s="13"/>
      <c r="P8" s="6">
        <v>7.0</v>
      </c>
      <c r="Q8" s="8">
        <v>53926.0</v>
      </c>
      <c r="R8" s="8">
        <v>22285.000560998917</v>
      </c>
      <c r="S8" s="8">
        <v>182274.0</v>
      </c>
      <c r="T8" s="9">
        <f t="shared" si="8"/>
        <v>0.2958513008</v>
      </c>
      <c r="U8" s="10">
        <f t="shared" si="9"/>
        <v>0.4132515032</v>
      </c>
      <c r="V8" s="10">
        <f t="shared" si="10"/>
        <v>0.1222609948</v>
      </c>
      <c r="W8" s="10">
        <f t="shared" si="11"/>
        <v>0.7683900479</v>
      </c>
      <c r="X8" s="13"/>
      <c r="Y8" s="14"/>
      <c r="Z8" s="14"/>
      <c r="AA8" s="14"/>
    </row>
    <row r="9" ht="15.75" customHeight="1">
      <c r="A9" s="8">
        <v>10303.0</v>
      </c>
      <c r="B9" s="8">
        <v>244.0</v>
      </c>
      <c r="C9" s="8">
        <v>123.8888920545578</v>
      </c>
      <c r="D9" s="8">
        <v>577.0</v>
      </c>
      <c r="E9" s="9">
        <f t="shared" si="1"/>
        <v>0.4228769497</v>
      </c>
      <c r="F9" s="10">
        <f t="shared" si="2"/>
        <v>0.5077413609</v>
      </c>
      <c r="G9" s="10">
        <f t="shared" si="3"/>
        <v>0.2147121179</v>
      </c>
      <c r="H9" s="8">
        <v>4984.0</v>
      </c>
      <c r="I9" s="8">
        <v>2560.2222969532013</v>
      </c>
      <c r="J9" s="8">
        <v>7245.0</v>
      </c>
      <c r="K9" s="11">
        <f t="shared" si="4"/>
        <v>0.6879227053</v>
      </c>
      <c r="L9" s="12">
        <f t="shared" si="5"/>
        <v>0.5136882618</v>
      </c>
      <c r="M9" s="12">
        <f t="shared" si="6"/>
        <v>0.3533778188</v>
      </c>
      <c r="N9" s="9">
        <f t="shared" si="7"/>
        <v>1.645821494</v>
      </c>
      <c r="O9" s="13"/>
      <c r="P9" s="6">
        <v>8.0</v>
      </c>
      <c r="Q9" s="8">
        <v>22248.0</v>
      </c>
      <c r="R9" s="8">
        <v>10041.222486108541</v>
      </c>
      <c r="S9" s="8">
        <v>42652.0</v>
      </c>
      <c r="T9" s="9">
        <f t="shared" si="8"/>
        <v>0.5216168058</v>
      </c>
      <c r="U9" s="10">
        <f t="shared" si="9"/>
        <v>0.4513314674</v>
      </c>
      <c r="V9" s="10">
        <f t="shared" si="10"/>
        <v>0.2354220784</v>
      </c>
      <c r="W9" s="10">
        <f t="shared" si="11"/>
        <v>0.9753718715</v>
      </c>
      <c r="X9" s="13"/>
      <c r="Y9" s="14"/>
      <c r="Z9" s="14"/>
      <c r="AA9" s="15"/>
    </row>
    <row r="10" ht="15.75" customHeight="1">
      <c r="A10" s="8">
        <v>10304.0</v>
      </c>
      <c r="B10" s="8">
        <v>93.0</v>
      </c>
      <c r="C10" s="8">
        <v>41.77777871489525</v>
      </c>
      <c r="D10" s="8">
        <v>357.0</v>
      </c>
      <c r="E10" s="9">
        <f t="shared" si="1"/>
        <v>0.2605042017</v>
      </c>
      <c r="F10" s="10">
        <f t="shared" si="2"/>
        <v>0.449223427</v>
      </c>
      <c r="G10" s="10">
        <f t="shared" si="3"/>
        <v>0.1170245902</v>
      </c>
      <c r="H10" s="8">
        <v>4459.0</v>
      </c>
      <c r="I10" s="8">
        <v>2274.555618286133</v>
      </c>
      <c r="J10" s="8">
        <v>7165.0</v>
      </c>
      <c r="K10" s="11">
        <f t="shared" si="4"/>
        <v>0.6223307746</v>
      </c>
      <c r="L10" s="12">
        <f t="shared" si="5"/>
        <v>0.5101044221</v>
      </c>
      <c r="M10" s="12">
        <f t="shared" si="6"/>
        <v>0.3174536802</v>
      </c>
      <c r="N10" s="9">
        <f t="shared" si="7"/>
        <v>2.712709179</v>
      </c>
      <c r="O10" s="13"/>
      <c r="P10" s="6">
        <v>9.0</v>
      </c>
      <c r="Q10" s="8">
        <v>10358.0</v>
      </c>
      <c r="R10" s="8">
        <v>4803.444571137428</v>
      </c>
      <c r="S10" s="8">
        <v>19665.0</v>
      </c>
      <c r="T10" s="9">
        <f t="shared" si="8"/>
        <v>0.5267226036</v>
      </c>
      <c r="U10" s="10">
        <f t="shared" si="9"/>
        <v>0.4637424765</v>
      </c>
      <c r="V10" s="10">
        <f t="shared" si="10"/>
        <v>0.2442636446</v>
      </c>
      <c r="W10" s="10">
        <f t="shared" si="11"/>
        <v>0.9697118368</v>
      </c>
      <c r="X10" s="13"/>
      <c r="Y10" s="14"/>
      <c r="Z10" s="14"/>
      <c r="AA10" s="14"/>
    </row>
    <row r="11" ht="15.75" customHeight="1">
      <c r="A11" s="8">
        <v>10401.0</v>
      </c>
      <c r="B11" s="8">
        <v>276.0</v>
      </c>
      <c r="C11" s="8">
        <v>127.44444805383682</v>
      </c>
      <c r="D11" s="8">
        <v>655.0</v>
      </c>
      <c r="E11" s="9">
        <f t="shared" si="1"/>
        <v>0.4213740458</v>
      </c>
      <c r="F11" s="10">
        <f t="shared" si="2"/>
        <v>0.4617552466</v>
      </c>
      <c r="G11" s="10">
        <f t="shared" si="3"/>
        <v>0.1945716764</v>
      </c>
      <c r="H11" s="8">
        <v>5773.0</v>
      </c>
      <c r="I11" s="8">
        <v>3004.7778635323048</v>
      </c>
      <c r="J11" s="8">
        <v>9340.0</v>
      </c>
      <c r="K11" s="11">
        <f t="shared" si="4"/>
        <v>0.6180942184</v>
      </c>
      <c r="L11" s="12">
        <f t="shared" si="5"/>
        <v>0.5204881108</v>
      </c>
      <c r="M11" s="12">
        <f t="shared" si="6"/>
        <v>0.321710692</v>
      </c>
      <c r="N11" s="9">
        <f t="shared" si="7"/>
        <v>1.653430232</v>
      </c>
      <c r="P11" s="16">
        <v>10.0</v>
      </c>
      <c r="Q11" s="8">
        <v>3674.0</v>
      </c>
      <c r="R11" s="8">
        <v>1578.2222627103329</v>
      </c>
      <c r="S11" s="8">
        <v>15443.0</v>
      </c>
      <c r="T11" s="9">
        <v>0.23790714239461244</v>
      </c>
      <c r="U11" s="10">
        <v>0.4295651232200144</v>
      </c>
      <c r="V11" s="10">
        <v>0.1021966109376632</v>
      </c>
      <c r="W11" s="10">
        <f t="shared" si="11"/>
        <v>0.753598229</v>
      </c>
      <c r="Y11" s="17"/>
      <c r="Z11" s="17"/>
      <c r="AA11" s="17"/>
    </row>
    <row r="12" ht="15.75" customHeight="1">
      <c r="A12" s="8">
        <v>10402.0</v>
      </c>
      <c r="B12" s="8">
        <v>183.0</v>
      </c>
      <c r="C12" s="8">
        <v>80.44444665312767</v>
      </c>
      <c r="D12" s="8">
        <v>601.0</v>
      </c>
      <c r="E12" s="9">
        <f t="shared" si="1"/>
        <v>0.3044925125</v>
      </c>
      <c r="F12" s="10">
        <f t="shared" si="2"/>
        <v>0.4395871402</v>
      </c>
      <c r="G12" s="10">
        <f t="shared" si="3"/>
        <v>0.1338509928</v>
      </c>
      <c r="H12" s="8">
        <v>5186.0</v>
      </c>
      <c r="I12" s="8">
        <v>2531.888959020376</v>
      </c>
      <c r="J12" s="8">
        <v>7590.0</v>
      </c>
      <c r="K12" s="11">
        <f t="shared" si="4"/>
        <v>0.6832674572</v>
      </c>
      <c r="L12" s="12">
        <f t="shared" si="5"/>
        <v>0.488216151</v>
      </c>
      <c r="M12" s="12">
        <f t="shared" si="6"/>
        <v>0.333582208</v>
      </c>
      <c r="N12" s="9">
        <f t="shared" si="7"/>
        <v>2.492190765</v>
      </c>
      <c r="P12" s="16">
        <v>11.0</v>
      </c>
      <c r="Q12" s="8">
        <v>226181.0</v>
      </c>
      <c r="R12" s="8">
        <v>97314.00245937705</v>
      </c>
      <c r="S12" s="8">
        <v>704971.0</v>
      </c>
      <c r="T12" s="9">
        <v>0.3208373110383264</v>
      </c>
      <c r="U12" s="10">
        <v>0.43024835180398463</v>
      </c>
      <c r="V12" s="10">
        <v>0.1380397242714623</v>
      </c>
      <c r="W12" s="10">
        <f t="shared" si="11"/>
        <v>0.9722992858</v>
      </c>
      <c r="Y12" s="17"/>
      <c r="Z12" s="17"/>
      <c r="AA12" s="17"/>
    </row>
    <row r="13" ht="15.75" customHeight="1">
      <c r="A13" s="8">
        <v>10403.0</v>
      </c>
      <c r="B13" s="8">
        <v>159.0</v>
      </c>
      <c r="C13" s="8">
        <v>76.55555739998817</v>
      </c>
      <c r="D13" s="8">
        <v>492.0</v>
      </c>
      <c r="E13" s="9">
        <f t="shared" si="1"/>
        <v>0.3231707317</v>
      </c>
      <c r="F13" s="10">
        <f t="shared" si="2"/>
        <v>0.4814814931</v>
      </c>
      <c r="G13" s="10">
        <f t="shared" si="3"/>
        <v>0.1556007264</v>
      </c>
      <c r="H13" s="8">
        <v>4799.0</v>
      </c>
      <c r="I13" s="8">
        <v>2598.555631905794</v>
      </c>
      <c r="J13" s="8">
        <v>6610.0</v>
      </c>
      <c r="K13" s="11">
        <f t="shared" si="4"/>
        <v>0.72602118</v>
      </c>
      <c r="L13" s="12">
        <f t="shared" si="5"/>
        <v>0.5414785647</v>
      </c>
      <c r="M13" s="12">
        <f t="shared" si="6"/>
        <v>0.3931249065</v>
      </c>
      <c r="N13" s="9">
        <f t="shared" si="7"/>
        <v>2.526497887</v>
      </c>
      <c r="O13" s="17"/>
      <c r="P13" s="16"/>
      <c r="W13" s="18"/>
      <c r="Y13" s="17"/>
      <c r="Z13" s="17"/>
      <c r="AA13" s="17"/>
    </row>
    <row r="14" ht="15.75" customHeight="1">
      <c r="A14" s="8">
        <v>10404.0</v>
      </c>
      <c r="B14" s="8">
        <v>131.0</v>
      </c>
      <c r="C14" s="8">
        <v>58.0000014603138</v>
      </c>
      <c r="D14" s="8">
        <v>313.0</v>
      </c>
      <c r="E14" s="9">
        <f t="shared" si="1"/>
        <v>0.4185303514</v>
      </c>
      <c r="F14" s="10">
        <f t="shared" si="2"/>
        <v>0.4427481028</v>
      </c>
      <c r="G14" s="10">
        <f t="shared" si="3"/>
        <v>0.185303519</v>
      </c>
      <c r="H14" s="8">
        <v>2655.0</v>
      </c>
      <c r="I14" s="8">
        <v>1281.2222560942173</v>
      </c>
      <c r="J14" s="8">
        <v>4488.0</v>
      </c>
      <c r="K14" s="11">
        <f t="shared" si="4"/>
        <v>0.5915775401</v>
      </c>
      <c r="L14" s="12">
        <f t="shared" si="5"/>
        <v>0.482569588</v>
      </c>
      <c r="M14" s="12">
        <f t="shared" si="6"/>
        <v>0.2854773298</v>
      </c>
      <c r="N14" s="9">
        <f t="shared" si="7"/>
        <v>1.540593137</v>
      </c>
      <c r="O14" s="17"/>
      <c r="P14" s="16"/>
      <c r="W14" s="18"/>
      <c r="Y14" s="17"/>
      <c r="Z14" s="17"/>
      <c r="AA14" s="17"/>
    </row>
    <row r="15" ht="15.75" customHeight="1">
      <c r="A15" s="8">
        <v>10405.0</v>
      </c>
      <c r="B15" s="8">
        <v>47.0</v>
      </c>
      <c r="C15" s="8">
        <v>21.111111789941788</v>
      </c>
      <c r="D15" s="8">
        <v>122.0</v>
      </c>
      <c r="E15" s="9">
        <f t="shared" si="1"/>
        <v>0.3852459016</v>
      </c>
      <c r="F15" s="10">
        <f t="shared" si="2"/>
        <v>0.4491725913</v>
      </c>
      <c r="G15" s="10">
        <f t="shared" si="3"/>
        <v>0.1730418999</v>
      </c>
      <c r="H15" s="8">
        <v>2872.0</v>
      </c>
      <c r="I15" s="8">
        <v>1431.111150532961</v>
      </c>
      <c r="J15" s="8">
        <v>4153.0</v>
      </c>
      <c r="K15" s="11">
        <f t="shared" si="4"/>
        <v>0.6915482784</v>
      </c>
      <c r="L15" s="12">
        <f t="shared" si="5"/>
        <v>0.4982977544</v>
      </c>
      <c r="M15" s="12">
        <f t="shared" si="6"/>
        <v>0.3445969541</v>
      </c>
      <c r="N15" s="9">
        <f t="shared" si="7"/>
        <v>1.991407597</v>
      </c>
      <c r="O15" s="17"/>
      <c r="P15" s="16"/>
      <c r="W15" s="18"/>
      <c r="Y15" s="17"/>
      <c r="Z15" s="17"/>
      <c r="AA15" s="17"/>
    </row>
    <row r="16" ht="15.75" customHeight="1">
      <c r="A16" s="8">
        <v>10501.0</v>
      </c>
      <c r="B16" s="8">
        <v>944.0</v>
      </c>
      <c r="C16" s="8">
        <v>450.44445636868477</v>
      </c>
      <c r="D16" s="8">
        <v>2953.0</v>
      </c>
      <c r="E16" s="9">
        <f t="shared" si="1"/>
        <v>0.3196749069</v>
      </c>
      <c r="F16" s="10">
        <f t="shared" si="2"/>
        <v>0.4771657377</v>
      </c>
      <c r="G16" s="10">
        <f t="shared" si="3"/>
        <v>0.1525379128</v>
      </c>
      <c r="H16" s="8">
        <v>9128.0</v>
      </c>
      <c r="I16" s="8">
        <v>4468.889012366533</v>
      </c>
      <c r="J16" s="8">
        <v>20032.0</v>
      </c>
      <c r="K16" s="11">
        <f t="shared" si="4"/>
        <v>0.4556709265</v>
      </c>
      <c r="L16" s="12">
        <f t="shared" si="5"/>
        <v>0.4895803037</v>
      </c>
      <c r="M16" s="12">
        <f t="shared" si="6"/>
        <v>0.2230875106</v>
      </c>
      <c r="N16" s="9">
        <f t="shared" si="7"/>
        <v>1.462505331</v>
      </c>
      <c r="O16" s="17"/>
      <c r="P16" s="6" t="s">
        <v>14</v>
      </c>
      <c r="Q16" s="2" t="s">
        <v>7</v>
      </c>
      <c r="R16" s="2" t="s">
        <v>8</v>
      </c>
      <c r="S16" s="2" t="s">
        <v>9</v>
      </c>
      <c r="T16" s="3" t="s">
        <v>10</v>
      </c>
      <c r="U16" s="19" t="s">
        <v>11</v>
      </c>
      <c r="V16" s="3" t="s">
        <v>12</v>
      </c>
      <c r="W16" s="18"/>
      <c r="Y16" s="17"/>
      <c r="Z16" s="17"/>
      <c r="AA16" s="17"/>
    </row>
    <row r="17" ht="15.75" customHeight="1">
      <c r="A17" s="8">
        <v>10502.0</v>
      </c>
      <c r="B17" s="8">
        <v>506.0</v>
      </c>
      <c r="C17" s="8">
        <v>255.55556324124336</v>
      </c>
      <c r="D17" s="8">
        <v>853.0</v>
      </c>
      <c r="E17" s="9">
        <f t="shared" si="1"/>
        <v>0.5932004689</v>
      </c>
      <c r="F17" s="10">
        <f t="shared" si="2"/>
        <v>0.5050505202</v>
      </c>
      <c r="G17" s="10">
        <f t="shared" si="3"/>
        <v>0.2995962054</v>
      </c>
      <c r="H17" s="8">
        <v>4957.0</v>
      </c>
      <c r="I17" s="8">
        <v>2508.222289979458</v>
      </c>
      <c r="J17" s="8">
        <v>7068.0</v>
      </c>
      <c r="K17" s="11">
        <f t="shared" si="4"/>
        <v>0.7013299377</v>
      </c>
      <c r="L17" s="12">
        <f t="shared" si="5"/>
        <v>0.5059960238</v>
      </c>
      <c r="M17" s="12">
        <f t="shared" si="6"/>
        <v>0.3548701599</v>
      </c>
      <c r="N17" s="9">
        <f t="shared" si="7"/>
        <v>1.184494841</v>
      </c>
      <c r="O17" s="17"/>
      <c r="P17" s="6">
        <v>1.0</v>
      </c>
      <c r="Q17" s="8">
        <v>228996.0</v>
      </c>
      <c r="R17" s="8">
        <v>118872.11433240771</v>
      </c>
      <c r="S17" s="8">
        <v>510199.0</v>
      </c>
      <c r="T17" s="18">
        <f t="shared" ref="T17:T25" si="12">Q17/S17</f>
        <v>0.4488366304</v>
      </c>
      <c r="U17" s="18">
        <f t="shared" ref="U17:U25" si="13">R17/Q17</f>
        <v>0.5191012696</v>
      </c>
      <c r="V17" s="18">
        <f t="shared" ref="V17:V25" si="14">T17*U17</f>
        <v>0.2329916647</v>
      </c>
      <c r="W17" s="18"/>
      <c r="Y17" s="17"/>
      <c r="Z17" s="17"/>
      <c r="AA17" s="17"/>
    </row>
    <row r="18" ht="15.75" customHeight="1">
      <c r="A18" s="8">
        <v>10601.0</v>
      </c>
      <c r="B18" s="8">
        <v>319.0</v>
      </c>
      <c r="C18" s="8">
        <v>147.11111453175545</v>
      </c>
      <c r="D18" s="8">
        <v>747.0</v>
      </c>
      <c r="E18" s="9">
        <f t="shared" si="1"/>
        <v>0.4270414993</v>
      </c>
      <c r="F18" s="10">
        <f t="shared" si="2"/>
        <v>0.4611633684</v>
      </c>
      <c r="G18" s="10">
        <f t="shared" si="3"/>
        <v>0.1969358963</v>
      </c>
      <c r="H18" s="8">
        <v>11093.0</v>
      </c>
      <c r="I18" s="8">
        <v>5666.222378730774</v>
      </c>
      <c r="J18" s="8">
        <v>15800.0</v>
      </c>
      <c r="K18" s="11">
        <f t="shared" si="4"/>
        <v>0.7020886076</v>
      </c>
      <c r="L18" s="12">
        <f t="shared" si="5"/>
        <v>0.510792606</v>
      </c>
      <c r="M18" s="12">
        <f t="shared" si="6"/>
        <v>0.3586216695</v>
      </c>
      <c r="N18" s="9">
        <f t="shared" si="7"/>
        <v>1.821007121</v>
      </c>
      <c r="O18" s="17"/>
      <c r="P18" s="6">
        <v>2.0</v>
      </c>
      <c r="Q18" s="8">
        <v>635858.0</v>
      </c>
      <c r="R18" s="8">
        <v>274411.4513400495</v>
      </c>
      <c r="S18" s="8">
        <v>2502880.0</v>
      </c>
      <c r="T18" s="18">
        <f t="shared" si="12"/>
        <v>0.2540505338</v>
      </c>
      <c r="U18" s="18">
        <f t="shared" si="13"/>
        <v>0.4315609009</v>
      </c>
      <c r="V18" s="18">
        <f t="shared" si="14"/>
        <v>0.1096382772</v>
      </c>
      <c r="W18" s="18"/>
    </row>
    <row r="19" ht="15.75" customHeight="1">
      <c r="A19" s="8">
        <v>10602.0</v>
      </c>
      <c r="B19" s="8">
        <v>308.0</v>
      </c>
      <c r="C19" s="8">
        <v>140.22222557663918</v>
      </c>
      <c r="D19" s="8">
        <v>525.0</v>
      </c>
      <c r="E19" s="9">
        <f t="shared" si="1"/>
        <v>0.5866666667</v>
      </c>
      <c r="F19" s="10">
        <f t="shared" si="2"/>
        <v>0.4552669662</v>
      </c>
      <c r="G19" s="10">
        <f t="shared" si="3"/>
        <v>0.2670899535</v>
      </c>
      <c r="H19" s="8">
        <v>5876.0</v>
      </c>
      <c r="I19" s="8">
        <v>2968.6667518913746</v>
      </c>
      <c r="J19" s="8">
        <v>9186.0</v>
      </c>
      <c r="K19" s="11">
        <f t="shared" si="4"/>
        <v>0.6396690616</v>
      </c>
      <c r="L19" s="12">
        <f t="shared" si="5"/>
        <v>0.5052189843</v>
      </c>
      <c r="M19" s="12">
        <f t="shared" si="6"/>
        <v>0.3231729536</v>
      </c>
      <c r="N19" s="9">
        <f t="shared" si="7"/>
        <v>1.209977947</v>
      </c>
      <c r="O19" s="17"/>
      <c r="P19" s="6">
        <v>3.0</v>
      </c>
      <c r="Q19" s="8">
        <v>501484.0</v>
      </c>
      <c r="R19" s="8">
        <v>222423.339068532</v>
      </c>
      <c r="S19" s="8">
        <v>1551665.0</v>
      </c>
      <c r="T19" s="18">
        <f t="shared" si="12"/>
        <v>0.3231908949</v>
      </c>
      <c r="U19" s="18">
        <f t="shared" si="13"/>
        <v>0.4435302803</v>
      </c>
      <c r="V19" s="18">
        <f t="shared" si="14"/>
        <v>0.1433449482</v>
      </c>
      <c r="W19" s="18"/>
    </row>
    <row r="20" ht="15.75" customHeight="1">
      <c r="A20" s="8">
        <v>10701.0</v>
      </c>
      <c r="B20" s="8">
        <v>298.0</v>
      </c>
      <c r="C20" s="8">
        <v>133.77778136730194</v>
      </c>
      <c r="D20" s="8">
        <v>1235.0</v>
      </c>
      <c r="E20" s="9">
        <f t="shared" si="1"/>
        <v>0.2412955466</v>
      </c>
      <c r="F20" s="10">
        <f t="shared" si="2"/>
        <v>0.4489187294</v>
      </c>
      <c r="G20" s="10">
        <f t="shared" si="3"/>
        <v>0.1083220902</v>
      </c>
      <c r="H20" s="8">
        <v>5807.0</v>
      </c>
      <c r="I20" s="8">
        <v>2790.222296655178</v>
      </c>
      <c r="J20" s="8">
        <v>13529.0</v>
      </c>
      <c r="K20" s="11">
        <f t="shared" si="4"/>
        <v>0.4292261069</v>
      </c>
      <c r="L20" s="12">
        <f t="shared" si="5"/>
        <v>0.4804929045</v>
      </c>
      <c r="M20" s="12">
        <f t="shared" si="6"/>
        <v>0.2062400988</v>
      </c>
      <c r="N20" s="9">
        <f t="shared" si="7"/>
        <v>1.903952356</v>
      </c>
      <c r="P20" s="6">
        <v>4.0</v>
      </c>
      <c r="Q20" s="8">
        <v>130882.0</v>
      </c>
      <c r="R20" s="8">
        <v>57232.779187738895</v>
      </c>
      <c r="S20" s="8">
        <v>440074.0</v>
      </c>
      <c r="T20" s="18">
        <f t="shared" si="12"/>
        <v>0.2974090721</v>
      </c>
      <c r="U20" s="18">
        <f t="shared" si="13"/>
        <v>0.4372853348</v>
      </c>
      <c r="V20" s="18">
        <f t="shared" si="14"/>
        <v>0.1300526257</v>
      </c>
      <c r="W20" s="18"/>
    </row>
    <row r="21" ht="15.75" customHeight="1">
      <c r="A21" s="8">
        <v>10702.0</v>
      </c>
      <c r="B21" s="8">
        <v>569.0</v>
      </c>
      <c r="C21" s="8">
        <v>267.66667327284813</v>
      </c>
      <c r="D21" s="8">
        <v>1329.0</v>
      </c>
      <c r="E21" s="9">
        <f t="shared" si="1"/>
        <v>0.4281414597</v>
      </c>
      <c r="F21" s="10">
        <f t="shared" si="2"/>
        <v>0.470415946</v>
      </c>
      <c r="G21" s="10">
        <f t="shared" si="3"/>
        <v>0.2014045698</v>
      </c>
      <c r="H21" s="8">
        <v>22435.0</v>
      </c>
      <c r="I21" s="8">
        <v>12355.000335544348</v>
      </c>
      <c r="J21" s="8">
        <v>30283.0</v>
      </c>
      <c r="K21" s="11">
        <f t="shared" si="4"/>
        <v>0.7408446983</v>
      </c>
      <c r="L21" s="12">
        <f t="shared" si="5"/>
        <v>0.550702043</v>
      </c>
      <c r="M21" s="12">
        <f t="shared" si="6"/>
        <v>0.407984689</v>
      </c>
      <c r="N21" s="9">
        <f t="shared" si="7"/>
        <v>2.025697279</v>
      </c>
      <c r="O21" s="17"/>
      <c r="P21" s="6">
        <v>5.0</v>
      </c>
      <c r="Q21" s="8">
        <v>360910.0</v>
      </c>
      <c r="R21" s="8">
        <v>173131.78237986565</v>
      </c>
      <c r="S21" s="8">
        <v>743845.0</v>
      </c>
      <c r="T21" s="18">
        <f t="shared" si="12"/>
        <v>0.4851951683</v>
      </c>
      <c r="U21" s="18">
        <f t="shared" si="13"/>
        <v>0.4797090199</v>
      </c>
      <c r="V21" s="18">
        <f t="shared" si="14"/>
        <v>0.2327524987</v>
      </c>
      <c r="W21" s="18"/>
    </row>
    <row r="22" ht="15.75" customHeight="1">
      <c r="A22" s="8">
        <v>10703.0</v>
      </c>
      <c r="B22" s="8">
        <v>163.0</v>
      </c>
      <c r="C22" s="8">
        <v>83.88889110088348</v>
      </c>
      <c r="D22" s="8">
        <v>353.0</v>
      </c>
      <c r="E22" s="9">
        <f t="shared" si="1"/>
        <v>0.4617563739</v>
      </c>
      <c r="F22" s="10">
        <f t="shared" si="2"/>
        <v>0.5146557736</v>
      </c>
      <c r="G22" s="10">
        <f t="shared" si="3"/>
        <v>0.2376455839</v>
      </c>
      <c r="H22" s="8">
        <v>9890.0</v>
      </c>
      <c r="I22" s="8">
        <v>5819.777921527624</v>
      </c>
      <c r="J22" s="8">
        <v>12350.0</v>
      </c>
      <c r="K22" s="11">
        <f t="shared" si="4"/>
        <v>0.8008097166</v>
      </c>
      <c r="L22" s="12">
        <f t="shared" si="5"/>
        <v>0.5884507504</v>
      </c>
      <c r="M22" s="12">
        <f t="shared" si="6"/>
        <v>0.4712370787</v>
      </c>
      <c r="N22" s="9">
        <f t="shared" si="7"/>
        <v>1.982940609</v>
      </c>
      <c r="O22" s="17"/>
      <c r="P22" s="6">
        <v>6.0</v>
      </c>
      <c r="Q22" s="8">
        <v>77013.0</v>
      </c>
      <c r="R22" s="8">
        <v>32633.111947506666</v>
      </c>
      <c r="S22" s="8">
        <v>414403.0</v>
      </c>
      <c r="T22" s="18">
        <f t="shared" si="12"/>
        <v>0.1858408361</v>
      </c>
      <c r="U22" s="18">
        <f t="shared" si="13"/>
        <v>0.423735109</v>
      </c>
      <c r="V22" s="18">
        <f t="shared" si="14"/>
        <v>0.07874728693</v>
      </c>
      <c r="W22" s="18"/>
    </row>
    <row r="23" ht="15.75" customHeight="1">
      <c r="A23" s="8">
        <v>10704.0</v>
      </c>
      <c r="B23" s="8">
        <v>131.0</v>
      </c>
      <c r="C23" s="8">
        <v>73.0000022649765</v>
      </c>
      <c r="D23" s="8">
        <v>273.0</v>
      </c>
      <c r="E23" s="9">
        <f t="shared" si="1"/>
        <v>0.4798534799</v>
      </c>
      <c r="F23" s="10">
        <f t="shared" si="2"/>
        <v>0.5572519257</v>
      </c>
      <c r="G23" s="10">
        <f t="shared" si="3"/>
        <v>0.2673992757</v>
      </c>
      <c r="H23" s="8">
        <v>11347.0</v>
      </c>
      <c r="I23" s="8">
        <v>6226.222387522459</v>
      </c>
      <c r="J23" s="8">
        <v>15230.0</v>
      </c>
      <c r="K23" s="11">
        <f t="shared" si="4"/>
        <v>0.7450426789</v>
      </c>
      <c r="L23" s="12">
        <f t="shared" si="5"/>
        <v>0.5487108828</v>
      </c>
      <c r="M23" s="12">
        <f t="shared" si="6"/>
        <v>0.4088130261</v>
      </c>
      <c r="N23" s="9">
        <f t="shared" si="7"/>
        <v>1.528848667</v>
      </c>
      <c r="O23" s="17"/>
      <c r="P23" s="6">
        <v>7.0</v>
      </c>
      <c r="Q23" s="8">
        <v>542921.0</v>
      </c>
      <c r="R23" s="8">
        <v>220134.11671623588</v>
      </c>
      <c r="S23" s="8">
        <v>2343245.0</v>
      </c>
      <c r="T23" s="18">
        <f t="shared" si="12"/>
        <v>0.2316962161</v>
      </c>
      <c r="U23" s="18">
        <f t="shared" si="13"/>
        <v>0.4054625198</v>
      </c>
      <c r="V23" s="18">
        <f t="shared" si="14"/>
        <v>0.09394413163</v>
      </c>
      <c r="W23" s="18"/>
    </row>
    <row r="24" ht="15.75" customHeight="1">
      <c r="A24" s="8">
        <v>10801.0</v>
      </c>
      <c r="B24" s="8">
        <v>159.0</v>
      </c>
      <c r="C24" s="8">
        <v>72.11111336946487</v>
      </c>
      <c r="D24" s="8">
        <v>754.0</v>
      </c>
      <c r="E24" s="9">
        <f t="shared" si="1"/>
        <v>0.2108753316</v>
      </c>
      <c r="F24" s="10">
        <f t="shared" si="2"/>
        <v>0.4535290149</v>
      </c>
      <c r="G24" s="10">
        <f t="shared" si="3"/>
        <v>0.09563808139</v>
      </c>
      <c r="H24" s="8">
        <v>5678.0</v>
      </c>
      <c r="I24" s="8">
        <v>2827.5556324720383</v>
      </c>
      <c r="J24" s="8">
        <v>10037.0</v>
      </c>
      <c r="K24" s="11">
        <f t="shared" si="4"/>
        <v>0.5657068845</v>
      </c>
      <c r="L24" s="12">
        <f t="shared" si="5"/>
        <v>0.4979844369</v>
      </c>
      <c r="M24" s="12">
        <f t="shared" si="6"/>
        <v>0.2817132243</v>
      </c>
      <c r="N24" s="9">
        <f t="shared" si="7"/>
        <v>2.945617689</v>
      </c>
      <c r="O24" s="17"/>
      <c r="P24" s="6">
        <v>8.0</v>
      </c>
      <c r="Q24" s="8">
        <v>184999.0</v>
      </c>
      <c r="R24" s="8">
        <v>82564.77986976504</v>
      </c>
      <c r="S24" s="8">
        <v>359565.0</v>
      </c>
      <c r="T24" s="18">
        <f t="shared" si="12"/>
        <v>0.514507808</v>
      </c>
      <c r="U24" s="18">
        <f t="shared" si="13"/>
        <v>0.4462985198</v>
      </c>
      <c r="V24" s="18">
        <f t="shared" si="14"/>
        <v>0.2296240732</v>
      </c>
      <c r="W24" s="18"/>
    </row>
    <row r="25" ht="15.75" customHeight="1">
      <c r="A25" s="8">
        <v>10901.0</v>
      </c>
      <c r="B25" s="8">
        <v>159.0</v>
      </c>
      <c r="C25" s="8">
        <v>72.5555574297905</v>
      </c>
      <c r="D25" s="8">
        <v>352.0</v>
      </c>
      <c r="E25" s="9">
        <f t="shared" si="1"/>
        <v>0.4517045455</v>
      </c>
      <c r="F25" s="10">
        <f t="shared" si="2"/>
        <v>0.4563242606</v>
      </c>
      <c r="G25" s="10">
        <f t="shared" si="3"/>
        <v>0.2061237427</v>
      </c>
      <c r="H25" s="8">
        <v>1832.0</v>
      </c>
      <c r="I25" s="8">
        <v>894.000024408102</v>
      </c>
      <c r="J25" s="8">
        <v>2914.0</v>
      </c>
      <c r="K25" s="11">
        <f t="shared" si="4"/>
        <v>0.6286890872</v>
      </c>
      <c r="L25" s="12">
        <f t="shared" si="5"/>
        <v>0.4879912797</v>
      </c>
      <c r="M25" s="12">
        <f t="shared" si="6"/>
        <v>0.3067947922</v>
      </c>
      <c r="N25" s="9">
        <f t="shared" si="7"/>
        <v>1.488401036</v>
      </c>
      <c r="O25" s="17"/>
      <c r="P25" s="6">
        <v>9.0</v>
      </c>
      <c r="Q25" s="8">
        <v>42523.0</v>
      </c>
      <c r="R25" s="8">
        <v>19702.222736775875</v>
      </c>
      <c r="S25" s="8">
        <v>83179.0</v>
      </c>
      <c r="T25" s="18">
        <f t="shared" si="12"/>
        <v>0.5112227846</v>
      </c>
      <c r="U25" s="18">
        <f t="shared" si="13"/>
        <v>0.4633309676</v>
      </c>
      <c r="V25" s="18">
        <f t="shared" si="14"/>
        <v>0.2368653475</v>
      </c>
      <c r="W25" s="18"/>
    </row>
    <row r="26" ht="15.75" customHeight="1">
      <c r="A26" s="8">
        <v>10902.0</v>
      </c>
      <c r="B26" s="8">
        <v>328.0</v>
      </c>
      <c r="C26" s="8">
        <v>167.44444906711578</v>
      </c>
      <c r="D26" s="8">
        <v>722.0</v>
      </c>
      <c r="E26" s="9">
        <f t="shared" si="1"/>
        <v>0.4542936288</v>
      </c>
      <c r="F26" s="10">
        <f t="shared" si="2"/>
        <v>0.5105013691</v>
      </c>
      <c r="G26" s="10">
        <f t="shared" si="3"/>
        <v>0.2319175195</v>
      </c>
      <c r="H26" s="8">
        <v>11239.0</v>
      </c>
      <c r="I26" s="8">
        <v>6028.000158548355</v>
      </c>
      <c r="J26" s="8">
        <v>16470.0</v>
      </c>
      <c r="K26" s="11">
        <f t="shared" si="4"/>
        <v>0.6823922283</v>
      </c>
      <c r="L26" s="12">
        <f t="shared" si="5"/>
        <v>0.5363466642</v>
      </c>
      <c r="M26" s="12">
        <f t="shared" si="6"/>
        <v>0.3659987953</v>
      </c>
      <c r="N26" s="9">
        <f t="shared" si="7"/>
        <v>1.578142074</v>
      </c>
      <c r="O26" s="17"/>
      <c r="P26" s="16">
        <v>10.0</v>
      </c>
      <c r="Q26" s="14">
        <v>22469.0</v>
      </c>
      <c r="R26" s="14">
        <v>9319.22246208787</v>
      </c>
      <c r="S26" s="14">
        <v>121005.0</v>
      </c>
      <c r="T26" s="12">
        <v>0.18568654187843478</v>
      </c>
      <c r="U26" s="12">
        <v>0.41475911086776757</v>
      </c>
      <c r="V26" s="12">
        <v>0.07701518500961009</v>
      </c>
      <c r="W26" s="18"/>
    </row>
    <row r="27" ht="15.75" customHeight="1">
      <c r="A27" s="8">
        <v>10903.0</v>
      </c>
      <c r="B27" s="8">
        <v>160.0</v>
      </c>
      <c r="C27" s="8">
        <v>75.00000175833702</v>
      </c>
      <c r="D27" s="8">
        <v>364.0</v>
      </c>
      <c r="E27" s="9">
        <f t="shared" si="1"/>
        <v>0.4395604396</v>
      </c>
      <c r="F27" s="10">
        <f t="shared" si="2"/>
        <v>0.468750011</v>
      </c>
      <c r="G27" s="10">
        <f t="shared" si="3"/>
        <v>0.2060439609</v>
      </c>
      <c r="H27" s="8">
        <v>1723.0</v>
      </c>
      <c r="I27" s="8">
        <v>793.1111326515675</v>
      </c>
      <c r="J27" s="8">
        <v>3523.0</v>
      </c>
      <c r="K27" s="11">
        <f t="shared" si="4"/>
        <v>0.4890718138</v>
      </c>
      <c r="L27" s="12">
        <f t="shared" si="5"/>
        <v>0.4603082604</v>
      </c>
      <c r="M27" s="12">
        <f t="shared" si="6"/>
        <v>0.2251237958</v>
      </c>
      <c r="N27" s="9">
        <f t="shared" si="7"/>
        <v>1.092600797</v>
      </c>
      <c r="O27" s="17"/>
      <c r="P27" s="16">
        <v>11.0</v>
      </c>
      <c r="Q27" s="14">
        <v>2705586.0</v>
      </c>
      <c r="R27" s="14">
        <v>1201105.6975788772</v>
      </c>
      <c r="S27" s="14">
        <v>8949055.0</v>
      </c>
      <c r="T27" s="12">
        <v>0.3023320339410139</v>
      </c>
      <c r="U27" s="12">
        <v>0.44393550882466026</v>
      </c>
      <c r="V27" s="12">
        <v>0.13421592532159846</v>
      </c>
      <c r="W27" s="18"/>
    </row>
    <row r="28" ht="15.75" customHeight="1">
      <c r="A28" s="8">
        <v>11001.0</v>
      </c>
      <c r="B28" s="8">
        <v>275.0</v>
      </c>
      <c r="C28" s="8">
        <v>137.8888932466507</v>
      </c>
      <c r="D28" s="8">
        <v>939.0</v>
      </c>
      <c r="E28" s="9">
        <f t="shared" si="1"/>
        <v>0.2928647497</v>
      </c>
      <c r="F28" s="10">
        <f t="shared" si="2"/>
        <v>0.5014141573</v>
      </c>
      <c r="G28" s="10">
        <f t="shared" si="3"/>
        <v>0.1468465317</v>
      </c>
      <c r="H28" s="8">
        <v>4689.0</v>
      </c>
      <c r="I28" s="8">
        <v>2286.1111743450165</v>
      </c>
      <c r="J28" s="8">
        <v>8269.0</v>
      </c>
      <c r="K28" s="11">
        <f t="shared" si="4"/>
        <v>0.5670576853</v>
      </c>
      <c r="L28" s="12">
        <f t="shared" si="5"/>
        <v>0.4875477019</v>
      </c>
      <c r="M28" s="12">
        <f t="shared" si="6"/>
        <v>0.2764676713</v>
      </c>
      <c r="N28" s="9">
        <f t="shared" si="7"/>
        <v>1.882697999</v>
      </c>
      <c r="O28" s="17"/>
      <c r="P28" s="16"/>
      <c r="Q28" s="17"/>
      <c r="R28" s="17"/>
      <c r="S28" s="17"/>
      <c r="T28" s="18"/>
      <c r="U28" s="18"/>
      <c r="V28" s="18"/>
      <c r="W28" s="18"/>
    </row>
    <row r="29" ht="15.75" customHeight="1">
      <c r="A29" s="8">
        <v>11002.0</v>
      </c>
      <c r="B29" s="8">
        <v>120.0</v>
      </c>
      <c r="C29" s="8">
        <v>54.4444460272789</v>
      </c>
      <c r="D29" s="8">
        <v>182.0</v>
      </c>
      <c r="E29" s="9">
        <f t="shared" si="1"/>
        <v>0.6593406593</v>
      </c>
      <c r="F29" s="10">
        <f t="shared" si="2"/>
        <v>0.4537037169</v>
      </c>
      <c r="G29" s="10">
        <f t="shared" si="3"/>
        <v>0.2991453078</v>
      </c>
      <c r="H29" s="8">
        <v>1438.0</v>
      </c>
      <c r="I29" s="8">
        <v>669.7777941226959</v>
      </c>
      <c r="J29" s="8">
        <v>2242.0</v>
      </c>
      <c r="K29" s="11">
        <f t="shared" si="4"/>
        <v>0.6413916146</v>
      </c>
      <c r="L29" s="12">
        <f t="shared" si="5"/>
        <v>0.4657703714</v>
      </c>
      <c r="M29" s="12">
        <f t="shared" si="6"/>
        <v>0.2987412106</v>
      </c>
      <c r="N29" s="9">
        <f t="shared" si="7"/>
        <v>0.9986491606</v>
      </c>
      <c r="P29" s="16"/>
      <c r="Q29" s="18"/>
      <c r="T29" s="18"/>
      <c r="U29" s="18"/>
      <c r="V29" s="18"/>
      <c r="W29" s="18"/>
    </row>
    <row r="30" ht="15.75" customHeight="1">
      <c r="A30" s="8">
        <v>11003.0</v>
      </c>
      <c r="B30" s="8">
        <v>327.0</v>
      </c>
      <c r="C30" s="8">
        <v>142.77778139710426</v>
      </c>
      <c r="D30" s="8">
        <v>769.0</v>
      </c>
      <c r="E30" s="9">
        <f t="shared" si="1"/>
        <v>0.4252275683</v>
      </c>
      <c r="F30" s="10">
        <f t="shared" si="2"/>
        <v>0.4366293009</v>
      </c>
      <c r="G30" s="10">
        <f t="shared" si="3"/>
        <v>0.1856668159</v>
      </c>
      <c r="H30" s="8">
        <v>2970.0</v>
      </c>
      <c r="I30" s="8">
        <v>1392.333371579647</v>
      </c>
      <c r="J30" s="8">
        <v>5940.0</v>
      </c>
      <c r="K30" s="11">
        <f t="shared" si="4"/>
        <v>0.5</v>
      </c>
      <c r="L30" s="12">
        <f t="shared" si="5"/>
        <v>0.468799115</v>
      </c>
      <c r="M30" s="12">
        <f t="shared" si="6"/>
        <v>0.2343995575</v>
      </c>
      <c r="N30" s="9">
        <f t="shared" si="7"/>
        <v>1.262474161</v>
      </c>
      <c r="P30" s="16"/>
      <c r="Q30" s="18"/>
      <c r="T30" s="18"/>
      <c r="U30" s="18"/>
      <c r="V30" s="18"/>
      <c r="W30" s="18"/>
    </row>
    <row r="31" ht="15.75" customHeight="1">
      <c r="A31" s="8">
        <v>20101.0</v>
      </c>
      <c r="B31" s="8">
        <v>1529.0</v>
      </c>
      <c r="C31" s="8">
        <v>617.2222376167774</v>
      </c>
      <c r="D31" s="8">
        <v>26341.0</v>
      </c>
      <c r="E31" s="9">
        <f t="shared" si="1"/>
        <v>0.05804639156</v>
      </c>
      <c r="F31" s="10">
        <f t="shared" si="2"/>
        <v>0.4036770684</v>
      </c>
      <c r="G31" s="10">
        <f t="shared" si="3"/>
        <v>0.02343199718</v>
      </c>
      <c r="H31" s="8">
        <v>31999.0</v>
      </c>
      <c r="I31" s="8">
        <v>12468.333647787571</v>
      </c>
      <c r="J31" s="8">
        <v>710745.0</v>
      </c>
      <c r="K31" s="11">
        <f t="shared" si="4"/>
        <v>0.04502177293</v>
      </c>
      <c r="L31" s="12">
        <f t="shared" si="5"/>
        <v>0.389647603</v>
      </c>
      <c r="M31" s="12">
        <f t="shared" si="6"/>
        <v>0.0175426259</v>
      </c>
      <c r="N31" s="9">
        <f t="shared" si="7"/>
        <v>0.7486611479</v>
      </c>
      <c r="P31" s="16"/>
      <c r="Q31" s="18"/>
      <c r="T31" s="18"/>
      <c r="U31" s="18"/>
      <c r="V31" s="18"/>
      <c r="W31" s="18"/>
    </row>
    <row r="32" ht="15.75" customHeight="1">
      <c r="A32" s="8">
        <v>20102.0</v>
      </c>
      <c r="B32" s="8">
        <v>381.0</v>
      </c>
      <c r="C32" s="8">
        <v>163.22222682833672</v>
      </c>
      <c r="D32" s="8">
        <v>771.0</v>
      </c>
      <c r="E32" s="9">
        <f t="shared" si="1"/>
        <v>0.4941634241</v>
      </c>
      <c r="F32" s="10">
        <f t="shared" si="2"/>
        <v>0.4284047948</v>
      </c>
      <c r="G32" s="10">
        <f t="shared" si="3"/>
        <v>0.2117019803</v>
      </c>
      <c r="H32" s="8">
        <v>8089.0</v>
      </c>
      <c r="I32" s="8">
        <v>3496.000086903572</v>
      </c>
      <c r="J32" s="8">
        <v>15648.0</v>
      </c>
      <c r="K32" s="11">
        <f t="shared" si="4"/>
        <v>0.5169350716</v>
      </c>
      <c r="L32" s="12">
        <f t="shared" si="5"/>
        <v>0.4321918762</v>
      </c>
      <c r="M32" s="12">
        <f t="shared" si="6"/>
        <v>0.2234151385</v>
      </c>
      <c r="N32" s="9">
        <f t="shared" si="7"/>
        <v>1.055328524</v>
      </c>
      <c r="P32" s="16"/>
      <c r="Q32" s="17"/>
      <c r="T32" s="18"/>
      <c r="U32" s="18"/>
      <c r="V32" s="18"/>
      <c r="W32" s="18"/>
    </row>
    <row r="33" ht="15.75" customHeight="1">
      <c r="A33" s="8">
        <v>20103.0</v>
      </c>
      <c r="B33" s="8">
        <v>222.0</v>
      </c>
      <c r="C33" s="8">
        <v>93.55555784702301</v>
      </c>
      <c r="D33" s="8">
        <v>1323.0</v>
      </c>
      <c r="E33" s="9">
        <f t="shared" si="1"/>
        <v>0.1678004535</v>
      </c>
      <c r="F33" s="10">
        <f t="shared" si="2"/>
        <v>0.4214214317</v>
      </c>
      <c r="G33" s="10">
        <f t="shared" si="3"/>
        <v>0.07071470737</v>
      </c>
      <c r="H33" s="8">
        <v>5911.0</v>
      </c>
      <c r="I33" s="8">
        <v>2534.333398014307</v>
      </c>
      <c r="J33" s="8">
        <v>14290.0</v>
      </c>
      <c r="K33" s="11">
        <f t="shared" si="4"/>
        <v>0.4136459062</v>
      </c>
      <c r="L33" s="12">
        <f t="shared" si="5"/>
        <v>0.4287486716</v>
      </c>
      <c r="M33" s="12">
        <f t="shared" si="6"/>
        <v>0.1773501328</v>
      </c>
      <c r="N33" s="9">
        <f t="shared" si="7"/>
        <v>2.507966722</v>
      </c>
      <c r="P33" s="16"/>
      <c r="T33" s="18"/>
      <c r="U33" s="18"/>
      <c r="V33" s="18"/>
      <c r="W33" s="18"/>
    </row>
    <row r="34" ht="15.75" customHeight="1">
      <c r="A34" s="8">
        <v>20104.0</v>
      </c>
      <c r="B34" s="8">
        <v>1194.0</v>
      </c>
      <c r="C34" s="8">
        <v>511.22223418951035</v>
      </c>
      <c r="D34" s="8">
        <v>2113.0</v>
      </c>
      <c r="E34" s="9">
        <f t="shared" si="1"/>
        <v>0.5650733554</v>
      </c>
      <c r="F34" s="10">
        <f t="shared" si="2"/>
        <v>0.4281593251</v>
      </c>
      <c r="G34" s="10">
        <f t="shared" si="3"/>
        <v>0.2419414265</v>
      </c>
      <c r="H34" s="8">
        <v>9177.0</v>
      </c>
      <c r="I34" s="8">
        <v>3786.333427041769</v>
      </c>
      <c r="J34" s="8">
        <v>19858.0</v>
      </c>
      <c r="K34" s="11">
        <f t="shared" si="4"/>
        <v>0.462131131</v>
      </c>
      <c r="L34" s="12">
        <f t="shared" si="5"/>
        <v>0.4125894548</v>
      </c>
      <c r="M34" s="12">
        <f t="shared" si="6"/>
        <v>0.1906704314</v>
      </c>
      <c r="N34" s="9">
        <f t="shared" si="7"/>
        <v>0.7880850922</v>
      </c>
      <c r="P34" s="16"/>
      <c r="T34" s="18"/>
      <c r="U34" s="18"/>
      <c r="V34" s="18"/>
      <c r="W34" s="18"/>
    </row>
    <row r="35" ht="15.75" customHeight="1">
      <c r="A35" s="8">
        <v>20105.0</v>
      </c>
      <c r="B35" s="8">
        <v>10018.0</v>
      </c>
      <c r="C35" s="8">
        <v>4003.5556552112103</v>
      </c>
      <c r="D35" s="8">
        <v>47702.0</v>
      </c>
      <c r="E35" s="9">
        <f t="shared" si="1"/>
        <v>0.2100121588</v>
      </c>
      <c r="F35" s="10">
        <f t="shared" si="2"/>
        <v>0.3996362203</v>
      </c>
      <c r="G35" s="10">
        <f t="shared" si="3"/>
        <v>0.08392846537</v>
      </c>
      <c r="H35" s="8">
        <v>102641.0</v>
      </c>
      <c r="I35" s="8">
        <v>40221.223228544</v>
      </c>
      <c r="J35" s="8">
        <v>782015.0</v>
      </c>
      <c r="K35" s="11">
        <f t="shared" si="4"/>
        <v>0.1312519581</v>
      </c>
      <c r="L35" s="12">
        <f t="shared" si="5"/>
        <v>0.3918631271</v>
      </c>
      <c r="M35" s="12">
        <f t="shared" si="6"/>
        <v>0.05143280273</v>
      </c>
      <c r="N35" s="9">
        <f t="shared" si="7"/>
        <v>0.6128171474</v>
      </c>
      <c r="P35" s="16"/>
      <c r="T35" s="18"/>
      <c r="U35" s="18"/>
      <c r="V35" s="18"/>
      <c r="W35" s="18"/>
    </row>
    <row r="36" ht="15.75" customHeight="1">
      <c r="A36" s="8">
        <v>20201.0</v>
      </c>
      <c r="B36" s="8">
        <v>492.0</v>
      </c>
      <c r="C36" s="8">
        <v>200.5555603802204</v>
      </c>
      <c r="D36" s="8">
        <v>1372.0</v>
      </c>
      <c r="E36" s="9">
        <f t="shared" si="1"/>
        <v>0.3586005831</v>
      </c>
      <c r="F36" s="10">
        <f t="shared" si="2"/>
        <v>0.4076332528</v>
      </c>
      <c r="G36" s="10">
        <f t="shared" si="3"/>
        <v>0.1461775221</v>
      </c>
      <c r="H36" s="8">
        <v>16960.0</v>
      </c>
      <c r="I36" s="8">
        <v>7169.000180274248</v>
      </c>
      <c r="J36" s="8">
        <v>44023.0</v>
      </c>
      <c r="K36" s="11">
        <f t="shared" si="4"/>
        <v>0.3852531631</v>
      </c>
      <c r="L36" s="12">
        <f t="shared" si="5"/>
        <v>0.4227004823</v>
      </c>
      <c r="M36" s="12">
        <f t="shared" si="6"/>
        <v>0.1628466979</v>
      </c>
      <c r="N36" s="9">
        <f t="shared" si="7"/>
        <v>1.114033782</v>
      </c>
      <c r="P36" s="16"/>
      <c r="T36" s="18"/>
      <c r="U36" s="18"/>
      <c r="V36" s="18"/>
      <c r="W36" s="18"/>
    </row>
    <row r="37" ht="15.75" customHeight="1">
      <c r="A37" s="8">
        <v>20202.0</v>
      </c>
      <c r="B37" s="8">
        <v>190.0</v>
      </c>
      <c r="C37" s="8">
        <v>82.11111307144165</v>
      </c>
      <c r="D37" s="8">
        <v>320.0</v>
      </c>
      <c r="E37" s="9">
        <f t="shared" si="1"/>
        <v>0.59375</v>
      </c>
      <c r="F37" s="10">
        <f t="shared" si="2"/>
        <v>0.432163753</v>
      </c>
      <c r="G37" s="10">
        <f t="shared" si="3"/>
        <v>0.2565972283</v>
      </c>
      <c r="H37" s="8">
        <v>6980.0</v>
      </c>
      <c r="I37" s="8">
        <v>2954.222295343876</v>
      </c>
      <c r="J37" s="8">
        <v>12709.0</v>
      </c>
      <c r="K37" s="11">
        <f t="shared" si="4"/>
        <v>0.5492170903</v>
      </c>
      <c r="L37" s="12">
        <f t="shared" si="5"/>
        <v>0.4232410165</v>
      </c>
      <c r="M37" s="12">
        <f t="shared" si="6"/>
        <v>0.2324511996</v>
      </c>
      <c r="N37" s="9">
        <f t="shared" si="7"/>
        <v>0.9058991053</v>
      </c>
      <c r="P37" s="16"/>
      <c r="T37" s="18"/>
      <c r="U37" s="18"/>
      <c r="V37" s="18"/>
      <c r="W37" s="18"/>
    </row>
    <row r="38" ht="15.75" customHeight="1">
      <c r="A38" s="8">
        <v>20203.0</v>
      </c>
      <c r="B38" s="8">
        <v>82.0</v>
      </c>
      <c r="C38" s="8">
        <v>33.44444501399994</v>
      </c>
      <c r="D38" s="8">
        <v>182.0</v>
      </c>
      <c r="E38" s="9">
        <f t="shared" si="1"/>
        <v>0.4505494505</v>
      </c>
      <c r="F38" s="10">
        <f t="shared" si="2"/>
        <v>0.4078590855</v>
      </c>
      <c r="G38" s="10">
        <f t="shared" si="3"/>
        <v>0.1837606869</v>
      </c>
      <c r="H38" s="8">
        <v>3280.0</v>
      </c>
      <c r="I38" s="8">
        <v>1388.7778115868568</v>
      </c>
      <c r="J38" s="8">
        <v>7674.0</v>
      </c>
      <c r="K38" s="11">
        <f t="shared" si="4"/>
        <v>0.4274172531</v>
      </c>
      <c r="L38" s="12">
        <f t="shared" si="5"/>
        <v>0.4234078694</v>
      </c>
      <c r="M38" s="12">
        <f t="shared" si="6"/>
        <v>0.1809718285</v>
      </c>
      <c r="N38" s="9">
        <f t="shared" si="7"/>
        <v>0.9848234218</v>
      </c>
      <c r="P38" s="16"/>
      <c r="T38" s="18"/>
      <c r="U38" s="18"/>
      <c r="V38" s="18"/>
      <c r="W38" s="18"/>
    </row>
    <row r="39" ht="15.75" customHeight="1">
      <c r="A39" s="8">
        <v>20204.0</v>
      </c>
      <c r="B39" s="8">
        <v>122.0</v>
      </c>
      <c r="C39" s="8">
        <v>49.33333432674408</v>
      </c>
      <c r="D39" s="8">
        <v>309.0</v>
      </c>
      <c r="E39" s="9">
        <f t="shared" si="1"/>
        <v>0.3948220065</v>
      </c>
      <c r="F39" s="10">
        <f t="shared" si="2"/>
        <v>0.4043715928</v>
      </c>
      <c r="G39" s="10">
        <f t="shared" si="3"/>
        <v>0.1596548036</v>
      </c>
      <c r="H39" s="8">
        <v>3105.0</v>
      </c>
      <c r="I39" s="8">
        <v>1273.0000306665897</v>
      </c>
      <c r="J39" s="8">
        <v>8168.0</v>
      </c>
      <c r="K39" s="11">
        <f t="shared" si="4"/>
        <v>0.3801420176</v>
      </c>
      <c r="L39" s="12">
        <f t="shared" si="5"/>
        <v>0.4099839068</v>
      </c>
      <c r="M39" s="12">
        <f t="shared" si="6"/>
        <v>0.1558521095</v>
      </c>
      <c r="N39" s="9">
        <f t="shared" si="7"/>
        <v>0.9761817745</v>
      </c>
      <c r="P39" s="16"/>
      <c r="T39" s="18"/>
      <c r="U39" s="18"/>
      <c r="V39" s="18"/>
      <c r="W39" s="18"/>
    </row>
    <row r="40" ht="15.75" customHeight="1">
      <c r="A40" s="8">
        <v>20205.0</v>
      </c>
      <c r="B40" s="8">
        <v>54.0</v>
      </c>
      <c r="C40" s="8">
        <v>23.11111158132553</v>
      </c>
      <c r="D40" s="8">
        <v>172.0</v>
      </c>
      <c r="E40" s="9">
        <f t="shared" si="1"/>
        <v>0.3139534884</v>
      </c>
      <c r="F40" s="10">
        <f t="shared" si="2"/>
        <v>0.4279835478</v>
      </c>
      <c r="G40" s="10">
        <f t="shared" si="3"/>
        <v>0.1343669278</v>
      </c>
      <c r="H40" s="8">
        <v>746.0</v>
      </c>
      <c r="I40" s="8">
        <v>289.3333401083946</v>
      </c>
      <c r="J40" s="8">
        <v>3689.0</v>
      </c>
      <c r="K40" s="11">
        <f t="shared" si="4"/>
        <v>0.2022228246</v>
      </c>
      <c r="L40" s="12">
        <f t="shared" si="5"/>
        <v>0.3878463004</v>
      </c>
      <c r="M40" s="12">
        <f t="shared" si="6"/>
        <v>0.07843137439</v>
      </c>
      <c r="N40" s="9">
        <f t="shared" si="7"/>
        <v>0.583710409</v>
      </c>
      <c r="P40" s="16"/>
      <c r="T40" s="18"/>
      <c r="U40" s="18"/>
      <c r="V40" s="18"/>
      <c r="W40" s="18"/>
    </row>
    <row r="41" ht="15.75" customHeight="1">
      <c r="A41" s="8">
        <v>20206.0</v>
      </c>
      <c r="B41" s="8">
        <v>49.0</v>
      </c>
      <c r="C41" s="8">
        <v>20.66666740179062</v>
      </c>
      <c r="D41" s="8">
        <v>203.0</v>
      </c>
      <c r="E41" s="9">
        <f t="shared" si="1"/>
        <v>0.2413793103</v>
      </c>
      <c r="F41" s="10">
        <f t="shared" si="2"/>
        <v>0.4217687225</v>
      </c>
      <c r="G41" s="10">
        <f t="shared" si="3"/>
        <v>0.1018062434</v>
      </c>
      <c r="H41" s="8">
        <v>1753.0</v>
      </c>
      <c r="I41" s="8">
        <v>700.888906121254</v>
      </c>
      <c r="J41" s="8">
        <v>4627.0</v>
      </c>
      <c r="K41" s="11">
        <f t="shared" si="4"/>
        <v>0.3788631943</v>
      </c>
      <c r="L41" s="12">
        <f t="shared" si="5"/>
        <v>0.3998225363</v>
      </c>
      <c r="M41" s="12">
        <f t="shared" si="6"/>
        <v>0.1514780433</v>
      </c>
      <c r="N41" s="9">
        <f t="shared" si="7"/>
        <v>1.487905243</v>
      </c>
      <c r="P41" s="16"/>
      <c r="T41" s="18"/>
      <c r="U41" s="18"/>
      <c r="V41" s="18"/>
      <c r="W41" s="18"/>
    </row>
    <row r="42" ht="15.75" customHeight="1">
      <c r="A42" s="8">
        <v>20301.0</v>
      </c>
      <c r="B42" s="8">
        <v>247.0</v>
      </c>
      <c r="C42" s="8">
        <v>113.77778068184853</v>
      </c>
      <c r="D42" s="8">
        <v>623.0</v>
      </c>
      <c r="E42" s="9">
        <f t="shared" si="1"/>
        <v>0.3964686998</v>
      </c>
      <c r="F42" s="10">
        <f t="shared" si="2"/>
        <v>0.4606387882</v>
      </c>
      <c r="G42" s="10">
        <f t="shared" si="3"/>
        <v>0.1826288614</v>
      </c>
      <c r="H42" s="8">
        <v>6289.0</v>
      </c>
      <c r="I42" s="8">
        <v>2912.6667397916317</v>
      </c>
      <c r="J42" s="8">
        <v>9649.0</v>
      </c>
      <c r="K42" s="11">
        <f t="shared" si="4"/>
        <v>0.6517773863</v>
      </c>
      <c r="L42" s="12">
        <f t="shared" si="5"/>
        <v>0.4631367053</v>
      </c>
      <c r="M42" s="12">
        <f t="shared" si="6"/>
        <v>0.3018620313</v>
      </c>
      <c r="N42" s="9">
        <f t="shared" si="7"/>
        <v>1.652871451</v>
      </c>
      <c r="P42" s="16"/>
      <c r="T42" s="18"/>
      <c r="U42" s="18"/>
      <c r="V42" s="18"/>
      <c r="W42" s="18"/>
    </row>
    <row r="43" ht="15.75" customHeight="1">
      <c r="A43" s="8">
        <v>20302.0</v>
      </c>
      <c r="B43" s="8">
        <v>288.0</v>
      </c>
      <c r="C43" s="8">
        <v>120.66666981577873</v>
      </c>
      <c r="D43" s="8">
        <v>523.0</v>
      </c>
      <c r="E43" s="9">
        <f t="shared" si="1"/>
        <v>0.5506692161</v>
      </c>
      <c r="F43" s="10">
        <f t="shared" si="2"/>
        <v>0.4189814924</v>
      </c>
      <c r="G43" s="10">
        <f t="shared" si="3"/>
        <v>0.23072021</v>
      </c>
      <c r="H43" s="8">
        <v>10038.0</v>
      </c>
      <c r="I43" s="8">
        <v>4533.000112205744</v>
      </c>
      <c r="J43" s="8">
        <v>14045.0</v>
      </c>
      <c r="K43" s="11">
        <f t="shared" si="4"/>
        <v>0.7147027412</v>
      </c>
      <c r="L43" s="12">
        <f t="shared" si="5"/>
        <v>0.4515839921</v>
      </c>
      <c r="M43" s="12">
        <f t="shared" si="6"/>
        <v>0.322748317</v>
      </c>
      <c r="N43" s="9">
        <f t="shared" si="7"/>
        <v>1.398873194</v>
      </c>
      <c r="P43" s="16"/>
      <c r="T43" s="18"/>
      <c r="U43" s="18"/>
      <c r="V43" s="18"/>
      <c r="W43" s="18"/>
    </row>
    <row r="44" ht="15.75" customHeight="1">
      <c r="A44" s="8">
        <v>20303.0</v>
      </c>
      <c r="B44" s="8">
        <v>188.0</v>
      </c>
      <c r="C44" s="8">
        <v>78.55555713176727</v>
      </c>
      <c r="D44" s="8">
        <v>243.0</v>
      </c>
      <c r="E44" s="9">
        <f t="shared" si="1"/>
        <v>0.7736625514</v>
      </c>
      <c r="F44" s="10">
        <f t="shared" si="2"/>
        <v>0.4178487081</v>
      </c>
      <c r="G44" s="10">
        <f t="shared" si="3"/>
        <v>0.3232738977</v>
      </c>
      <c r="H44" s="8">
        <v>7629.0</v>
      </c>
      <c r="I44" s="8">
        <v>3428.000083178282</v>
      </c>
      <c r="J44" s="8">
        <v>9521.0</v>
      </c>
      <c r="K44" s="11">
        <f t="shared" si="4"/>
        <v>0.801281378</v>
      </c>
      <c r="L44" s="12">
        <f t="shared" si="5"/>
        <v>0.4493380631</v>
      </c>
      <c r="M44" s="12">
        <f t="shared" si="6"/>
        <v>0.3600462224</v>
      </c>
      <c r="N44" s="9">
        <f t="shared" si="7"/>
        <v>1.113749749</v>
      </c>
      <c r="P44" s="16"/>
      <c r="T44" s="18"/>
      <c r="U44" s="18"/>
      <c r="V44" s="18"/>
      <c r="W44" s="18"/>
    </row>
    <row r="45" ht="15.75" customHeight="1">
      <c r="A45" s="8">
        <v>20304.0</v>
      </c>
      <c r="B45" s="8">
        <v>62.0</v>
      </c>
      <c r="C45" s="8">
        <v>29.111111789941788</v>
      </c>
      <c r="D45" s="8">
        <v>95.0</v>
      </c>
      <c r="E45" s="9">
        <f t="shared" si="1"/>
        <v>0.6526315789</v>
      </c>
      <c r="F45" s="10">
        <f t="shared" si="2"/>
        <v>0.4695340611</v>
      </c>
      <c r="G45" s="10">
        <f t="shared" si="3"/>
        <v>0.3064327557</v>
      </c>
      <c r="H45" s="8">
        <v>2351.0</v>
      </c>
      <c r="I45" s="8">
        <v>1053.3333591222763</v>
      </c>
      <c r="J45" s="8">
        <v>3726.0</v>
      </c>
      <c r="K45" s="11">
        <f t="shared" si="4"/>
        <v>0.6309715513</v>
      </c>
      <c r="L45" s="12">
        <f t="shared" si="5"/>
        <v>0.4480363076</v>
      </c>
      <c r="M45" s="12">
        <f t="shared" si="6"/>
        <v>0.282698164</v>
      </c>
      <c r="N45" s="9">
        <f t="shared" si="7"/>
        <v>0.9225455137</v>
      </c>
      <c r="P45" s="16"/>
      <c r="T45" s="18"/>
      <c r="U45" s="18"/>
      <c r="V45" s="18"/>
      <c r="W45" s="18"/>
    </row>
    <row r="46" ht="15.75" customHeight="1">
      <c r="A46" s="8">
        <v>20305.0</v>
      </c>
      <c r="B46" s="8">
        <v>94.0</v>
      </c>
      <c r="C46" s="8">
        <v>40.88889014720917</v>
      </c>
      <c r="D46" s="8">
        <v>196.0</v>
      </c>
      <c r="E46" s="9">
        <f t="shared" si="1"/>
        <v>0.4795918367</v>
      </c>
      <c r="F46" s="10">
        <f t="shared" si="2"/>
        <v>0.4349881931</v>
      </c>
      <c r="G46" s="10">
        <f t="shared" si="3"/>
        <v>0.2086167865</v>
      </c>
      <c r="H46" s="8">
        <v>1968.0</v>
      </c>
      <c r="I46" s="8">
        <v>896.4444671273232</v>
      </c>
      <c r="J46" s="8">
        <v>2790.0</v>
      </c>
      <c r="K46" s="11">
        <f t="shared" si="4"/>
        <v>0.7053763441</v>
      </c>
      <c r="L46" s="12">
        <f t="shared" si="5"/>
        <v>0.4555104</v>
      </c>
      <c r="M46" s="12">
        <f t="shared" si="6"/>
        <v>0.3213062606</v>
      </c>
      <c r="N46" s="9">
        <f t="shared" si="7"/>
        <v>1.540174528</v>
      </c>
      <c r="P46" s="16"/>
      <c r="T46" s="18"/>
      <c r="U46" s="18"/>
      <c r="V46" s="18"/>
      <c r="W46" s="18"/>
    </row>
    <row r="47" ht="15.75" customHeight="1">
      <c r="A47" s="8">
        <v>20306.0</v>
      </c>
      <c r="B47" s="8">
        <v>103.0</v>
      </c>
      <c r="C47" s="8">
        <v>43.22222352027893</v>
      </c>
      <c r="D47" s="8">
        <v>153.0</v>
      </c>
      <c r="E47" s="9">
        <f t="shared" si="1"/>
        <v>0.6732026144</v>
      </c>
      <c r="F47" s="10">
        <f t="shared" si="2"/>
        <v>0.4196332381</v>
      </c>
      <c r="G47" s="10">
        <f t="shared" si="3"/>
        <v>0.2824981929</v>
      </c>
      <c r="H47" s="8">
        <v>3190.0</v>
      </c>
      <c r="I47" s="8">
        <v>1392.6667014360428</v>
      </c>
      <c r="J47" s="8">
        <v>4729.0</v>
      </c>
      <c r="K47" s="11">
        <f t="shared" si="4"/>
        <v>0.674561218</v>
      </c>
      <c r="L47" s="12">
        <f t="shared" si="5"/>
        <v>0.4365726337</v>
      </c>
      <c r="M47" s="12">
        <f t="shared" si="6"/>
        <v>0.2944949675</v>
      </c>
      <c r="N47" s="9">
        <f t="shared" si="7"/>
        <v>1.04246673</v>
      </c>
      <c r="P47" s="16"/>
      <c r="T47" s="18"/>
      <c r="U47" s="18"/>
      <c r="V47" s="18"/>
      <c r="W47" s="18"/>
    </row>
    <row r="48" ht="15.75" customHeight="1">
      <c r="A48" s="8">
        <v>20307.0</v>
      </c>
      <c r="B48" s="8">
        <v>23.0</v>
      </c>
      <c r="C48" s="8">
        <v>9.33333346247673</v>
      </c>
      <c r="D48" s="8">
        <v>25.0</v>
      </c>
      <c r="E48" s="9">
        <f t="shared" si="1"/>
        <v>0.92</v>
      </c>
      <c r="F48" s="10">
        <f t="shared" si="2"/>
        <v>0.4057971071</v>
      </c>
      <c r="G48" s="10">
        <f t="shared" si="3"/>
        <v>0.3733333385</v>
      </c>
      <c r="H48" s="8">
        <v>362.0</v>
      </c>
      <c r="I48" s="8">
        <v>147.4444482922554</v>
      </c>
      <c r="J48" s="8">
        <v>573.0</v>
      </c>
      <c r="K48" s="11">
        <f t="shared" si="4"/>
        <v>0.6317626527</v>
      </c>
      <c r="L48" s="12">
        <f t="shared" si="5"/>
        <v>0.4073051058</v>
      </c>
      <c r="M48" s="12">
        <f t="shared" si="6"/>
        <v>0.2573201541</v>
      </c>
      <c r="N48" s="9">
        <f t="shared" si="7"/>
        <v>0.6892504032</v>
      </c>
      <c r="P48" s="16"/>
      <c r="T48" s="18"/>
      <c r="U48" s="18"/>
      <c r="V48" s="18"/>
      <c r="W48" s="18"/>
    </row>
    <row r="49" ht="15.75" customHeight="1">
      <c r="A49" s="8">
        <v>20308.0</v>
      </c>
      <c r="B49" s="8">
        <v>340.0</v>
      </c>
      <c r="C49" s="8">
        <v>162.1111150085926</v>
      </c>
      <c r="D49" s="8">
        <v>429.0</v>
      </c>
      <c r="E49" s="9">
        <f t="shared" si="1"/>
        <v>0.7925407925</v>
      </c>
      <c r="F49" s="10">
        <f t="shared" si="2"/>
        <v>0.4767973971</v>
      </c>
      <c r="G49" s="10">
        <f t="shared" si="3"/>
        <v>0.377881387</v>
      </c>
      <c r="H49" s="8">
        <v>6162.0</v>
      </c>
      <c r="I49" s="8">
        <v>2971.00007468462</v>
      </c>
      <c r="J49" s="8">
        <v>6789.0</v>
      </c>
      <c r="K49" s="11">
        <f t="shared" si="4"/>
        <v>0.9076447194</v>
      </c>
      <c r="L49" s="12">
        <f t="shared" si="5"/>
        <v>0.4821486652</v>
      </c>
      <c r="M49" s="12">
        <f t="shared" si="6"/>
        <v>0.4376196899</v>
      </c>
      <c r="N49" s="9">
        <f t="shared" si="7"/>
        <v>1.158087445</v>
      </c>
      <c r="P49" s="16"/>
      <c r="T49" s="18"/>
      <c r="U49" s="18"/>
      <c r="V49" s="18"/>
      <c r="W49" s="18"/>
    </row>
    <row r="50" ht="15.75" customHeight="1">
      <c r="A50" s="8">
        <v>20401.0</v>
      </c>
      <c r="B50" s="8">
        <v>346.0</v>
      </c>
      <c r="C50" s="8">
        <v>147.88889276981354</v>
      </c>
      <c r="D50" s="8">
        <v>603.0</v>
      </c>
      <c r="E50" s="9">
        <f t="shared" si="1"/>
        <v>0.5737976783</v>
      </c>
      <c r="F50" s="10">
        <f t="shared" si="2"/>
        <v>0.4274245456</v>
      </c>
      <c r="G50" s="10">
        <f t="shared" si="3"/>
        <v>0.2452552119</v>
      </c>
      <c r="H50" s="8">
        <v>6937.0</v>
      </c>
      <c r="I50" s="8">
        <v>3053.5556316673756</v>
      </c>
      <c r="J50" s="8">
        <v>10585.0</v>
      </c>
      <c r="K50" s="11">
        <f t="shared" si="4"/>
        <v>0.6553613604</v>
      </c>
      <c r="L50" s="12">
        <f t="shared" si="5"/>
        <v>0.4401838881</v>
      </c>
      <c r="M50" s="12">
        <f t="shared" si="6"/>
        <v>0.2884795117</v>
      </c>
      <c r="N50" s="9">
        <f t="shared" si="7"/>
        <v>1.176242126</v>
      </c>
      <c r="P50" s="16"/>
      <c r="T50" s="18"/>
      <c r="U50" s="18"/>
      <c r="V50" s="18"/>
      <c r="W50" s="18"/>
    </row>
    <row r="51" ht="15.75" customHeight="1">
      <c r="A51" s="8">
        <v>20402.0</v>
      </c>
      <c r="B51" s="8">
        <v>246.0</v>
      </c>
      <c r="C51" s="8">
        <v>106.2222250699997</v>
      </c>
      <c r="D51" s="8">
        <v>427.0</v>
      </c>
      <c r="E51" s="9">
        <f t="shared" si="1"/>
        <v>0.5761124122</v>
      </c>
      <c r="F51" s="10">
        <f t="shared" si="2"/>
        <v>0.4317976629</v>
      </c>
      <c r="G51" s="10">
        <f t="shared" si="3"/>
        <v>0.2487639931</v>
      </c>
      <c r="H51" s="8">
        <v>9312.0</v>
      </c>
      <c r="I51" s="8">
        <v>4041.111213207245</v>
      </c>
      <c r="J51" s="8">
        <v>15061.0</v>
      </c>
      <c r="K51" s="11">
        <f t="shared" si="4"/>
        <v>0.6182856384</v>
      </c>
      <c r="L51" s="12">
        <f t="shared" si="5"/>
        <v>0.4339681286</v>
      </c>
      <c r="M51" s="12">
        <f t="shared" si="6"/>
        <v>0.2683162614</v>
      </c>
      <c r="N51" s="9">
        <f t="shared" si="7"/>
        <v>1.078597662</v>
      </c>
      <c r="P51" s="16"/>
      <c r="T51" s="18"/>
      <c r="U51" s="18"/>
      <c r="V51" s="18"/>
      <c r="W51" s="18"/>
    </row>
    <row r="52" ht="15.75" customHeight="1">
      <c r="A52" s="8">
        <v>20403.0</v>
      </c>
      <c r="B52" s="8">
        <v>219.0</v>
      </c>
      <c r="C52" s="8">
        <v>92.66666889190674</v>
      </c>
      <c r="D52" s="8">
        <v>589.0</v>
      </c>
      <c r="E52" s="9">
        <f t="shared" si="1"/>
        <v>0.3718166384</v>
      </c>
      <c r="F52" s="10">
        <f t="shared" si="2"/>
        <v>0.4231354744</v>
      </c>
      <c r="G52" s="10">
        <f t="shared" si="3"/>
        <v>0.1573288097</v>
      </c>
      <c r="H52" s="8">
        <v>8540.0</v>
      </c>
      <c r="I52" s="8">
        <v>3914.444547176361</v>
      </c>
      <c r="J52" s="8">
        <v>13706.0</v>
      </c>
      <c r="K52" s="11">
        <f t="shared" si="4"/>
        <v>0.6230847804</v>
      </c>
      <c r="L52" s="12">
        <f t="shared" si="5"/>
        <v>0.458365872</v>
      </c>
      <c r="M52" s="12">
        <f t="shared" si="6"/>
        <v>0.2856007987</v>
      </c>
      <c r="N52" s="9">
        <f t="shared" si="7"/>
        <v>1.815311508</v>
      </c>
      <c r="P52" s="16"/>
      <c r="T52" s="18"/>
      <c r="U52" s="18"/>
      <c r="V52" s="18"/>
      <c r="W52" s="18"/>
    </row>
    <row r="53" ht="15.75" customHeight="1">
      <c r="A53" s="8">
        <v>20404.0</v>
      </c>
      <c r="B53" s="8">
        <v>46.0</v>
      </c>
      <c r="C53" s="8">
        <v>20.666667342185974</v>
      </c>
      <c r="D53" s="8">
        <v>76.0</v>
      </c>
      <c r="E53" s="9">
        <f t="shared" si="1"/>
        <v>0.6052631579</v>
      </c>
      <c r="F53" s="10">
        <f t="shared" si="2"/>
        <v>0.449275377</v>
      </c>
      <c r="G53" s="10">
        <f t="shared" si="3"/>
        <v>0.2719298334</v>
      </c>
      <c r="H53" s="8">
        <v>3636.0</v>
      </c>
      <c r="I53" s="8">
        <v>1614.8889294564724</v>
      </c>
      <c r="J53" s="8">
        <v>5218.0</v>
      </c>
      <c r="K53" s="11">
        <f t="shared" si="4"/>
        <v>0.6968187045</v>
      </c>
      <c r="L53" s="12">
        <f t="shared" si="5"/>
        <v>0.4441388695</v>
      </c>
      <c r="M53" s="12">
        <f t="shared" si="6"/>
        <v>0.3094842716</v>
      </c>
      <c r="N53" s="9">
        <f t="shared" si="7"/>
        <v>1.138103413</v>
      </c>
      <c r="P53" s="16"/>
      <c r="T53" s="18"/>
      <c r="U53" s="18"/>
      <c r="V53" s="18"/>
      <c r="W53" s="18"/>
    </row>
    <row r="54" ht="15.75" customHeight="1">
      <c r="A54" s="8">
        <v>20405.0</v>
      </c>
      <c r="B54" s="8">
        <v>204.0</v>
      </c>
      <c r="C54" s="8">
        <v>86.00000205636024</v>
      </c>
      <c r="D54" s="8">
        <v>432.0</v>
      </c>
      <c r="E54" s="9">
        <f t="shared" si="1"/>
        <v>0.4722222222</v>
      </c>
      <c r="F54" s="10">
        <f t="shared" si="2"/>
        <v>0.4215686375</v>
      </c>
      <c r="G54" s="10">
        <f t="shared" si="3"/>
        <v>0.1990740788</v>
      </c>
      <c r="H54" s="8">
        <v>3537.0</v>
      </c>
      <c r="I54" s="8">
        <v>1474.1111466884613</v>
      </c>
      <c r="J54" s="8">
        <v>6692.0</v>
      </c>
      <c r="K54" s="11">
        <f t="shared" si="4"/>
        <v>0.5285415421</v>
      </c>
      <c r="L54" s="12">
        <f t="shared" si="5"/>
        <v>0.416768772</v>
      </c>
      <c r="M54" s="12">
        <f t="shared" si="6"/>
        <v>0.2202796095</v>
      </c>
      <c r="N54" s="9">
        <f t="shared" si="7"/>
        <v>1.106520803</v>
      </c>
      <c r="P54" s="16"/>
      <c r="T54" s="18"/>
      <c r="U54" s="18"/>
      <c r="V54" s="18"/>
      <c r="W54" s="18"/>
    </row>
    <row r="55" ht="15.75" customHeight="1">
      <c r="A55" s="8">
        <v>20501.0</v>
      </c>
      <c r="B55" s="8">
        <v>159.0</v>
      </c>
      <c r="C55" s="8">
        <v>65.88889065384865</v>
      </c>
      <c r="D55" s="8">
        <v>329.0</v>
      </c>
      <c r="E55" s="9">
        <f t="shared" si="1"/>
        <v>0.4832826748</v>
      </c>
      <c r="F55" s="10">
        <f t="shared" si="2"/>
        <v>0.4143955387</v>
      </c>
      <c r="G55" s="10">
        <f t="shared" si="3"/>
        <v>0.2002701844</v>
      </c>
      <c r="H55" s="8">
        <v>5881.0</v>
      </c>
      <c r="I55" s="8">
        <v>2593.8889560699463</v>
      </c>
      <c r="J55" s="8">
        <v>11061.0</v>
      </c>
      <c r="K55" s="11">
        <f t="shared" si="4"/>
        <v>0.5316879125</v>
      </c>
      <c r="L55" s="12">
        <f t="shared" si="5"/>
        <v>0.4410625669</v>
      </c>
      <c r="M55" s="12">
        <f t="shared" si="6"/>
        <v>0.2345076355</v>
      </c>
      <c r="N55" s="9">
        <f t="shared" si="7"/>
        <v>1.170956307</v>
      </c>
      <c r="P55" s="16"/>
      <c r="T55" s="18"/>
      <c r="U55" s="18"/>
      <c r="V55" s="18"/>
      <c r="W55" s="18"/>
    </row>
    <row r="56" ht="15.75" customHeight="1">
      <c r="A56" s="8">
        <v>20502.0</v>
      </c>
      <c r="B56" s="8">
        <v>143.0</v>
      </c>
      <c r="C56" s="8">
        <v>64.00000163912773</v>
      </c>
      <c r="D56" s="8">
        <v>213.0</v>
      </c>
      <c r="E56" s="9">
        <f t="shared" si="1"/>
        <v>0.6713615023</v>
      </c>
      <c r="F56" s="10">
        <f t="shared" si="2"/>
        <v>0.447552459</v>
      </c>
      <c r="G56" s="10">
        <f t="shared" si="3"/>
        <v>0.3004694913</v>
      </c>
      <c r="H56" s="8">
        <v>5318.0</v>
      </c>
      <c r="I56" s="8">
        <v>2427.4445073902607</v>
      </c>
      <c r="J56" s="8">
        <v>7986.0</v>
      </c>
      <c r="K56" s="11">
        <f t="shared" si="4"/>
        <v>0.6659153519</v>
      </c>
      <c r="L56" s="12">
        <f t="shared" si="5"/>
        <v>0.4564581624</v>
      </c>
      <c r="M56" s="12">
        <f t="shared" si="6"/>
        <v>0.3039624978</v>
      </c>
      <c r="N56" s="9">
        <f t="shared" si="7"/>
        <v>1.011625162</v>
      </c>
      <c r="P56" s="16"/>
      <c r="T56" s="18"/>
      <c r="U56" s="18"/>
      <c r="V56" s="18"/>
      <c r="W56" s="18"/>
    </row>
    <row r="57" ht="15.75" customHeight="1">
      <c r="A57" s="8">
        <v>20503.0</v>
      </c>
      <c r="B57" s="8">
        <v>235.0</v>
      </c>
      <c r="C57" s="8">
        <v>97.22222486138344</v>
      </c>
      <c r="D57" s="8">
        <v>366.0</v>
      </c>
      <c r="E57" s="9">
        <f t="shared" si="1"/>
        <v>0.6420765027</v>
      </c>
      <c r="F57" s="10">
        <f t="shared" si="2"/>
        <v>0.4137115952</v>
      </c>
      <c r="G57" s="10">
        <f t="shared" si="3"/>
        <v>0.2656344942</v>
      </c>
      <c r="H57" s="8">
        <v>3332.0</v>
      </c>
      <c r="I57" s="8">
        <v>1518.8889282941818</v>
      </c>
      <c r="J57" s="8">
        <v>5016.0</v>
      </c>
      <c r="K57" s="11">
        <f t="shared" si="4"/>
        <v>0.6642743222</v>
      </c>
      <c r="L57" s="12">
        <f t="shared" si="5"/>
        <v>0.4558490181</v>
      </c>
      <c r="M57" s="12">
        <f t="shared" si="6"/>
        <v>0.3028087975</v>
      </c>
      <c r="N57" s="9">
        <f t="shared" si="7"/>
        <v>1.139945316</v>
      </c>
      <c r="P57" s="16"/>
      <c r="T57" s="18"/>
      <c r="U57" s="18"/>
      <c r="V57" s="18"/>
      <c r="W57" s="18"/>
    </row>
    <row r="58" ht="15.75" customHeight="1">
      <c r="A58" s="8">
        <v>20601.0</v>
      </c>
      <c r="B58" s="8">
        <v>527.0</v>
      </c>
      <c r="C58" s="8">
        <v>230.7777837216854</v>
      </c>
      <c r="D58" s="8">
        <v>1243.0</v>
      </c>
      <c r="E58" s="9">
        <f t="shared" si="1"/>
        <v>0.4239742558</v>
      </c>
      <c r="F58" s="10">
        <f t="shared" si="2"/>
        <v>0.437908508</v>
      </c>
      <c r="G58" s="10">
        <f t="shared" si="3"/>
        <v>0.1856619338</v>
      </c>
      <c r="H58" s="8">
        <v>11637.0</v>
      </c>
      <c r="I58" s="8">
        <v>5158.889020472765</v>
      </c>
      <c r="J58" s="8">
        <v>21945.0</v>
      </c>
      <c r="K58" s="11">
        <f t="shared" si="4"/>
        <v>0.5302802461</v>
      </c>
      <c r="L58" s="12">
        <f t="shared" si="5"/>
        <v>0.4433177813</v>
      </c>
      <c r="M58" s="12">
        <f t="shared" si="6"/>
        <v>0.2350826621</v>
      </c>
      <c r="N58" s="9">
        <f t="shared" si="7"/>
        <v>1.266186651</v>
      </c>
      <c r="P58" s="16"/>
      <c r="T58" s="18"/>
      <c r="U58" s="18"/>
      <c r="V58" s="18"/>
      <c r="W58" s="18"/>
    </row>
    <row r="59" ht="15.75" customHeight="1">
      <c r="A59" s="8">
        <v>20602.0</v>
      </c>
      <c r="B59" s="8">
        <v>700.0</v>
      </c>
      <c r="C59" s="8">
        <v>313.44445142149925</v>
      </c>
      <c r="D59" s="8">
        <v>1700.0</v>
      </c>
      <c r="E59" s="9">
        <f t="shared" si="1"/>
        <v>0.4117647059</v>
      </c>
      <c r="F59" s="10">
        <f t="shared" si="2"/>
        <v>0.4477777877</v>
      </c>
      <c r="G59" s="10">
        <f t="shared" si="3"/>
        <v>0.1843790891</v>
      </c>
      <c r="H59" s="8">
        <v>5515.0</v>
      </c>
      <c r="I59" s="8">
        <v>2535.1111772060394</v>
      </c>
      <c r="J59" s="8">
        <v>12597.0</v>
      </c>
      <c r="K59" s="11">
        <f t="shared" si="4"/>
        <v>0.4378026514</v>
      </c>
      <c r="L59" s="12">
        <f t="shared" si="5"/>
        <v>0.4596756441</v>
      </c>
      <c r="M59" s="12">
        <f t="shared" si="6"/>
        <v>0.2012472158</v>
      </c>
      <c r="N59" s="9">
        <f t="shared" si="7"/>
        <v>1.091486116</v>
      </c>
      <c r="P59" s="16"/>
      <c r="T59" s="18"/>
      <c r="U59" s="18"/>
      <c r="V59" s="18"/>
      <c r="W59" s="18"/>
    </row>
    <row r="60" ht="15.75" customHeight="1">
      <c r="A60" s="8">
        <v>20603.0</v>
      </c>
      <c r="B60" s="8">
        <v>437.0</v>
      </c>
      <c r="C60" s="8">
        <v>185.77778187394142</v>
      </c>
      <c r="D60" s="8">
        <v>686.0</v>
      </c>
      <c r="E60" s="9">
        <f t="shared" si="1"/>
        <v>0.6370262391</v>
      </c>
      <c r="F60" s="10">
        <f t="shared" si="2"/>
        <v>0.4251207823</v>
      </c>
      <c r="G60" s="10">
        <f t="shared" si="3"/>
        <v>0.2708130931</v>
      </c>
      <c r="H60" s="8">
        <v>3998.0</v>
      </c>
      <c r="I60" s="8">
        <v>1804.4444905817509</v>
      </c>
      <c r="J60" s="8">
        <v>7129.0</v>
      </c>
      <c r="K60" s="11">
        <f t="shared" si="4"/>
        <v>0.5608079675</v>
      </c>
      <c r="L60" s="12">
        <f t="shared" si="5"/>
        <v>0.451336791</v>
      </c>
      <c r="M60" s="12">
        <f t="shared" si="6"/>
        <v>0.2531132684</v>
      </c>
      <c r="N60" s="9">
        <f t="shared" si="7"/>
        <v>0.9346419167</v>
      </c>
      <c r="P60" s="16"/>
      <c r="T60" s="18"/>
      <c r="U60" s="18"/>
      <c r="V60" s="18"/>
      <c r="W60" s="18"/>
    </row>
    <row r="61" ht="15.75" customHeight="1">
      <c r="A61" s="8">
        <v>20604.0</v>
      </c>
      <c r="B61" s="8">
        <v>104.0</v>
      </c>
      <c r="C61" s="8">
        <v>46.000001192092896</v>
      </c>
      <c r="D61" s="8">
        <v>212.0</v>
      </c>
      <c r="E61" s="9">
        <f t="shared" si="1"/>
        <v>0.4905660377</v>
      </c>
      <c r="F61" s="10">
        <f t="shared" si="2"/>
        <v>0.4423077038</v>
      </c>
      <c r="G61" s="10">
        <f t="shared" si="3"/>
        <v>0.2169811377</v>
      </c>
      <c r="H61" s="8">
        <v>1359.0</v>
      </c>
      <c r="I61" s="8">
        <v>593.6666814088821</v>
      </c>
      <c r="J61" s="8">
        <v>2373.0</v>
      </c>
      <c r="K61" s="11">
        <f t="shared" si="4"/>
        <v>0.5726927939</v>
      </c>
      <c r="L61" s="12">
        <f t="shared" si="5"/>
        <v>0.4368408252</v>
      </c>
      <c r="M61" s="12">
        <f t="shared" si="6"/>
        <v>0.2501755927</v>
      </c>
      <c r="N61" s="9">
        <f t="shared" si="7"/>
        <v>1.152983136</v>
      </c>
      <c r="P61" s="16"/>
      <c r="T61" s="18"/>
      <c r="U61" s="18"/>
      <c r="V61" s="18"/>
      <c r="W61" s="18"/>
    </row>
    <row r="62" ht="15.75" customHeight="1">
      <c r="A62" s="8">
        <v>20605.0</v>
      </c>
      <c r="B62" s="8">
        <v>24.0</v>
      </c>
      <c r="C62" s="8">
        <v>10.777778059244156</v>
      </c>
      <c r="D62" s="8">
        <v>49.0</v>
      </c>
      <c r="E62" s="9">
        <f t="shared" si="1"/>
        <v>0.4897959184</v>
      </c>
      <c r="F62" s="10">
        <f t="shared" si="2"/>
        <v>0.4490740858</v>
      </c>
      <c r="G62" s="10">
        <f t="shared" si="3"/>
        <v>0.2199546543</v>
      </c>
      <c r="H62" s="8">
        <v>1764.0</v>
      </c>
      <c r="I62" s="8">
        <v>721.2222401499748</v>
      </c>
      <c r="J62" s="8">
        <v>3624.0</v>
      </c>
      <c r="K62" s="11">
        <f t="shared" si="4"/>
        <v>0.4867549669</v>
      </c>
      <c r="L62" s="12">
        <f t="shared" si="5"/>
        <v>0.4088561452</v>
      </c>
      <c r="M62" s="12">
        <f t="shared" si="6"/>
        <v>0.1990127594</v>
      </c>
      <c r="N62" s="9">
        <f t="shared" si="7"/>
        <v>0.9047899445</v>
      </c>
      <c r="P62" s="16"/>
      <c r="T62" s="18"/>
      <c r="U62" s="18"/>
      <c r="V62" s="18"/>
      <c r="W62" s="18"/>
    </row>
    <row r="63" ht="15.75" customHeight="1">
      <c r="A63" s="8">
        <v>20606.0</v>
      </c>
      <c r="B63" s="8">
        <v>585.0</v>
      </c>
      <c r="C63" s="8">
        <v>231.44444999098778</v>
      </c>
      <c r="D63" s="8">
        <v>1751.0</v>
      </c>
      <c r="E63" s="9">
        <f t="shared" si="1"/>
        <v>0.334094803</v>
      </c>
      <c r="F63" s="10">
        <f t="shared" si="2"/>
        <v>0.3956315384</v>
      </c>
      <c r="G63" s="10">
        <f t="shared" si="3"/>
        <v>0.1321784409</v>
      </c>
      <c r="H63" s="8">
        <v>2277.0</v>
      </c>
      <c r="I63" s="8">
        <v>913.6666892766953</v>
      </c>
      <c r="J63" s="8">
        <v>7946.0</v>
      </c>
      <c r="K63" s="11">
        <f t="shared" si="4"/>
        <v>0.2865592751</v>
      </c>
      <c r="L63" s="12">
        <f t="shared" si="5"/>
        <v>0.4012589764</v>
      </c>
      <c r="M63" s="12">
        <f t="shared" si="6"/>
        <v>0.1149844814</v>
      </c>
      <c r="N63" s="9">
        <f t="shared" si="7"/>
        <v>0.8699185785</v>
      </c>
      <c r="P63" s="16"/>
      <c r="T63" s="18"/>
      <c r="U63" s="18"/>
      <c r="V63" s="18"/>
      <c r="W63" s="18"/>
    </row>
    <row r="64" ht="15.75" customHeight="1">
      <c r="A64" s="8">
        <v>20607.0</v>
      </c>
      <c r="B64" s="8">
        <v>720.0</v>
      </c>
      <c r="C64" s="8">
        <v>290.1111173927784</v>
      </c>
      <c r="D64" s="8">
        <v>2372.0</v>
      </c>
      <c r="E64" s="9">
        <f t="shared" si="1"/>
        <v>0.3035413153</v>
      </c>
      <c r="F64" s="10">
        <f t="shared" si="2"/>
        <v>0.4029321075</v>
      </c>
      <c r="G64" s="10">
        <f t="shared" si="3"/>
        <v>0.1223065419</v>
      </c>
      <c r="H64" s="8">
        <v>3060.0</v>
      </c>
      <c r="I64" s="8">
        <v>1211.1111408174038</v>
      </c>
      <c r="J64" s="8">
        <v>10664.0</v>
      </c>
      <c r="K64" s="11">
        <f t="shared" si="4"/>
        <v>0.2869467367</v>
      </c>
      <c r="L64" s="12">
        <f t="shared" si="5"/>
        <v>0.3957879545</v>
      </c>
      <c r="M64" s="12">
        <f t="shared" si="6"/>
        <v>0.113570062</v>
      </c>
      <c r="N64" s="9">
        <f t="shared" si="7"/>
        <v>0.928568989</v>
      </c>
      <c r="P64" s="16"/>
      <c r="T64" s="18"/>
      <c r="U64" s="18"/>
      <c r="V64" s="18"/>
      <c r="W64" s="18"/>
    </row>
    <row r="65" ht="15.75" customHeight="1">
      <c r="A65" s="8">
        <v>20608.0</v>
      </c>
      <c r="B65" s="8">
        <v>596.0</v>
      </c>
      <c r="C65" s="8">
        <v>274.5555627942085</v>
      </c>
      <c r="D65" s="8">
        <v>1128.0</v>
      </c>
      <c r="E65" s="9">
        <f t="shared" si="1"/>
        <v>0.5283687943</v>
      </c>
      <c r="F65" s="10">
        <f t="shared" si="2"/>
        <v>0.460663696</v>
      </c>
      <c r="G65" s="10">
        <f t="shared" si="3"/>
        <v>0.2434003216</v>
      </c>
      <c r="H65" s="8">
        <v>4593.0</v>
      </c>
      <c r="I65" s="8">
        <v>2139.2222750782967</v>
      </c>
      <c r="J65" s="8">
        <v>7811.0</v>
      </c>
      <c r="K65" s="11">
        <f t="shared" si="4"/>
        <v>0.5880168992</v>
      </c>
      <c r="L65" s="12">
        <f t="shared" si="5"/>
        <v>0.4657570814</v>
      </c>
      <c r="M65" s="12">
        <f t="shared" si="6"/>
        <v>0.2738730348</v>
      </c>
      <c r="N65" s="9">
        <f t="shared" si="7"/>
        <v>1.125195863</v>
      </c>
      <c r="P65" s="16"/>
      <c r="T65" s="18"/>
      <c r="U65" s="18"/>
      <c r="V65" s="18"/>
      <c r="W65" s="18"/>
    </row>
    <row r="66" ht="15.75" customHeight="1">
      <c r="A66" s="8">
        <v>20701.0</v>
      </c>
      <c r="B66" s="8">
        <v>603.0</v>
      </c>
      <c r="C66" s="8">
        <v>281.3333399295807</v>
      </c>
      <c r="D66" s="8">
        <v>1404.0</v>
      </c>
      <c r="E66" s="9">
        <f t="shared" si="1"/>
        <v>0.4294871795</v>
      </c>
      <c r="F66" s="10">
        <f t="shared" si="2"/>
        <v>0.4665561193</v>
      </c>
      <c r="G66" s="10">
        <f t="shared" si="3"/>
        <v>0.2003798717</v>
      </c>
      <c r="H66" s="8">
        <v>9386.0</v>
      </c>
      <c r="I66" s="8">
        <v>4658.33345836401</v>
      </c>
      <c r="J66" s="8">
        <v>16971.0</v>
      </c>
      <c r="K66" s="11">
        <f t="shared" si="4"/>
        <v>0.5530611042</v>
      </c>
      <c r="L66" s="12">
        <f t="shared" si="5"/>
        <v>0.4963065692</v>
      </c>
      <c r="M66" s="12">
        <f t="shared" si="6"/>
        <v>0.2744878592</v>
      </c>
      <c r="N66" s="9">
        <f t="shared" si="7"/>
        <v>1.369837483</v>
      </c>
      <c r="P66" s="16"/>
      <c r="T66" s="18"/>
      <c r="U66" s="18"/>
      <c r="V66" s="18"/>
      <c r="W66" s="18"/>
    </row>
    <row r="67" ht="15.75" customHeight="1">
      <c r="A67" s="8">
        <v>20702.0</v>
      </c>
      <c r="B67" s="8">
        <v>212.0</v>
      </c>
      <c r="C67" s="8">
        <v>90.8888909816742</v>
      </c>
      <c r="D67" s="8">
        <v>381.0</v>
      </c>
      <c r="E67" s="9">
        <f t="shared" si="1"/>
        <v>0.5564304462</v>
      </c>
      <c r="F67" s="10">
        <f t="shared" si="2"/>
        <v>0.4287211839</v>
      </c>
      <c r="G67" s="10">
        <f t="shared" si="3"/>
        <v>0.2385535196</v>
      </c>
      <c r="H67" s="8">
        <v>4042.0</v>
      </c>
      <c r="I67" s="8">
        <v>1892.6667165458202</v>
      </c>
      <c r="J67" s="8">
        <v>5533.0</v>
      </c>
      <c r="K67" s="11">
        <f t="shared" si="4"/>
        <v>0.7305259353</v>
      </c>
      <c r="L67" s="12">
        <f t="shared" si="5"/>
        <v>0.4682500536</v>
      </c>
      <c r="M67" s="12">
        <f t="shared" si="6"/>
        <v>0.3420688083</v>
      </c>
      <c r="N67" s="9">
        <f t="shared" si="7"/>
        <v>1.433928994</v>
      </c>
      <c r="P67" s="16"/>
      <c r="T67" s="18"/>
      <c r="U67" s="18"/>
      <c r="V67" s="18"/>
      <c r="W67" s="18"/>
    </row>
    <row r="68" ht="15.75" customHeight="1">
      <c r="A68" s="8">
        <v>20801.0</v>
      </c>
      <c r="B68" s="8">
        <v>3728.0</v>
      </c>
      <c r="C68" s="8">
        <v>1556.0000367462635</v>
      </c>
      <c r="D68" s="8">
        <v>9529.0</v>
      </c>
      <c r="E68" s="9">
        <f t="shared" si="1"/>
        <v>0.3912267814</v>
      </c>
      <c r="F68" s="10">
        <f t="shared" si="2"/>
        <v>0.4173819841</v>
      </c>
      <c r="G68" s="10">
        <f t="shared" si="3"/>
        <v>0.1632910103</v>
      </c>
      <c r="H68" s="8">
        <v>20099.0</v>
      </c>
      <c r="I68" s="8">
        <v>8364.444649636745</v>
      </c>
      <c r="J68" s="8">
        <v>68528.0</v>
      </c>
      <c r="K68" s="11">
        <f t="shared" si="4"/>
        <v>0.2932961709</v>
      </c>
      <c r="L68" s="12">
        <f t="shared" si="5"/>
        <v>0.4161622294</v>
      </c>
      <c r="M68" s="12">
        <f t="shared" si="6"/>
        <v>0.1220587884</v>
      </c>
      <c r="N68" s="9">
        <f t="shared" si="7"/>
        <v>0.7474923952</v>
      </c>
      <c r="P68" s="16"/>
      <c r="T68" s="18"/>
      <c r="U68" s="18"/>
      <c r="V68" s="18"/>
      <c r="W68" s="18"/>
    </row>
    <row r="69" ht="15.75" customHeight="1">
      <c r="A69" s="8">
        <v>20802.0</v>
      </c>
      <c r="B69" s="8">
        <v>105.0</v>
      </c>
      <c r="C69" s="8">
        <v>42.66666778922081</v>
      </c>
      <c r="D69" s="8">
        <v>365.0</v>
      </c>
      <c r="E69" s="9">
        <f t="shared" si="1"/>
        <v>0.2876712329</v>
      </c>
      <c r="F69" s="10">
        <f t="shared" si="2"/>
        <v>0.406349217</v>
      </c>
      <c r="G69" s="10">
        <f t="shared" si="3"/>
        <v>0.1168949802</v>
      </c>
      <c r="H69" s="8">
        <v>2486.0</v>
      </c>
      <c r="I69" s="8">
        <v>1003.3333575129509</v>
      </c>
      <c r="J69" s="8">
        <v>6608.0</v>
      </c>
      <c r="K69" s="11">
        <f t="shared" si="4"/>
        <v>0.3762106538</v>
      </c>
      <c r="L69" s="12">
        <f t="shared" si="5"/>
        <v>0.4035934664</v>
      </c>
      <c r="M69" s="12">
        <f t="shared" si="6"/>
        <v>0.1518361619</v>
      </c>
      <c r="N69" s="9">
        <f t="shared" si="7"/>
        <v>1.298910882</v>
      </c>
      <c r="P69" s="16"/>
      <c r="T69" s="18"/>
      <c r="U69" s="18"/>
      <c r="V69" s="18"/>
      <c r="W69" s="18"/>
    </row>
    <row r="70" ht="15.75" customHeight="1">
      <c r="A70" s="8">
        <v>20803.0</v>
      </c>
      <c r="B70" s="8">
        <v>94.0</v>
      </c>
      <c r="C70" s="8">
        <v>37.55555647611618</v>
      </c>
      <c r="D70" s="8">
        <v>261.0</v>
      </c>
      <c r="E70" s="9">
        <f t="shared" si="1"/>
        <v>0.3601532567</v>
      </c>
      <c r="F70" s="10">
        <f t="shared" si="2"/>
        <v>0.3995271966</v>
      </c>
      <c r="G70" s="10">
        <f t="shared" si="3"/>
        <v>0.143891021</v>
      </c>
      <c r="H70" s="8">
        <v>5610.0</v>
      </c>
      <c r="I70" s="8">
        <v>2439.2222821712494</v>
      </c>
      <c r="J70" s="8">
        <v>11797.0</v>
      </c>
      <c r="K70" s="11">
        <f t="shared" si="4"/>
        <v>0.47554463</v>
      </c>
      <c r="L70" s="12">
        <f t="shared" si="5"/>
        <v>0.4347989808</v>
      </c>
      <c r="M70" s="12">
        <f t="shared" si="6"/>
        <v>0.2067663204</v>
      </c>
      <c r="N70" s="9">
        <f t="shared" si="7"/>
        <v>1.436964718</v>
      </c>
      <c r="P70" s="16"/>
      <c r="T70" s="18"/>
      <c r="U70" s="18"/>
      <c r="V70" s="18"/>
      <c r="W70" s="18"/>
    </row>
    <row r="71" ht="15.75" customHeight="1">
      <c r="A71" s="8">
        <v>20804.0</v>
      </c>
      <c r="B71" s="8">
        <v>63.0</v>
      </c>
      <c r="C71" s="8">
        <v>23.44444501399994</v>
      </c>
      <c r="D71" s="8">
        <v>280.0</v>
      </c>
      <c r="E71" s="9">
        <f t="shared" si="1"/>
        <v>0.225</v>
      </c>
      <c r="F71" s="10">
        <f t="shared" si="2"/>
        <v>0.3721340478</v>
      </c>
      <c r="G71" s="10">
        <f t="shared" si="3"/>
        <v>0.08373016076</v>
      </c>
      <c r="H71" s="8">
        <v>1656.0</v>
      </c>
      <c r="I71" s="8">
        <v>644.0000152289867</v>
      </c>
      <c r="J71" s="8">
        <v>6408.0</v>
      </c>
      <c r="K71" s="11">
        <f t="shared" si="4"/>
        <v>0.2584269663</v>
      </c>
      <c r="L71" s="12">
        <f t="shared" si="5"/>
        <v>0.3888888981</v>
      </c>
      <c r="M71" s="12">
        <f t="shared" si="6"/>
        <v>0.1004993782</v>
      </c>
      <c r="N71" s="9">
        <f t="shared" si="7"/>
        <v>1.200276904</v>
      </c>
      <c r="P71" s="16"/>
      <c r="T71" s="18"/>
      <c r="U71" s="18"/>
      <c r="V71" s="18"/>
      <c r="W71" s="18"/>
    </row>
    <row r="72" ht="15.75" customHeight="1">
      <c r="A72" s="8">
        <v>20805.0</v>
      </c>
      <c r="B72" s="8">
        <v>67.0</v>
      </c>
      <c r="C72" s="8">
        <v>30.777778565883636</v>
      </c>
      <c r="D72" s="8">
        <v>103.0</v>
      </c>
      <c r="E72" s="9">
        <f t="shared" si="1"/>
        <v>0.6504854369</v>
      </c>
      <c r="F72" s="10">
        <f t="shared" si="2"/>
        <v>0.4593698293</v>
      </c>
      <c r="G72" s="10">
        <f t="shared" si="3"/>
        <v>0.2988133841</v>
      </c>
      <c r="H72" s="8">
        <v>4023.0</v>
      </c>
      <c r="I72" s="8">
        <v>1725.0000434815884</v>
      </c>
      <c r="J72" s="8">
        <v>5958.0</v>
      </c>
      <c r="K72" s="11">
        <f t="shared" si="4"/>
        <v>0.6752265861</v>
      </c>
      <c r="L72" s="12">
        <f t="shared" si="5"/>
        <v>0.4287845</v>
      </c>
      <c r="M72" s="12">
        <f t="shared" si="6"/>
        <v>0.2895266941</v>
      </c>
      <c r="N72" s="9">
        <f t="shared" si="7"/>
        <v>0.9689214389</v>
      </c>
      <c r="P72" s="16"/>
      <c r="T72" s="18"/>
      <c r="U72" s="18"/>
      <c r="V72" s="18"/>
      <c r="W72" s="18"/>
    </row>
    <row r="73" ht="15.75" customHeight="1">
      <c r="A73" s="8">
        <v>20806.0</v>
      </c>
      <c r="B73" s="8">
        <v>110.0</v>
      </c>
      <c r="C73" s="8">
        <v>42.666667729616165</v>
      </c>
      <c r="D73" s="8">
        <v>210.0</v>
      </c>
      <c r="E73" s="9">
        <f t="shared" si="1"/>
        <v>0.5238095238</v>
      </c>
      <c r="F73" s="10">
        <f t="shared" si="2"/>
        <v>0.3878787975</v>
      </c>
      <c r="G73" s="10">
        <f t="shared" si="3"/>
        <v>0.2031746082</v>
      </c>
      <c r="H73" s="8">
        <v>6735.0</v>
      </c>
      <c r="I73" s="8">
        <v>2846.222290277481</v>
      </c>
      <c r="J73" s="8">
        <v>14676.0</v>
      </c>
      <c r="K73" s="11">
        <f t="shared" si="4"/>
        <v>0.4589125102</v>
      </c>
      <c r="L73" s="12">
        <f t="shared" si="5"/>
        <v>0.4226016764</v>
      </c>
      <c r="M73" s="12">
        <f t="shared" si="6"/>
        <v>0.1939371961</v>
      </c>
      <c r="N73" s="9">
        <f t="shared" si="7"/>
        <v>0.9545346134</v>
      </c>
      <c r="P73" s="16"/>
      <c r="T73" s="18"/>
      <c r="U73" s="18"/>
      <c r="V73" s="18"/>
      <c r="W73" s="18"/>
    </row>
    <row r="74" ht="15.75" customHeight="1">
      <c r="A74" s="8">
        <v>20807.0</v>
      </c>
      <c r="B74" s="8">
        <v>143.0</v>
      </c>
      <c r="C74" s="8">
        <v>62.66666820645332</v>
      </c>
      <c r="D74" s="8">
        <v>297.0</v>
      </c>
      <c r="E74" s="9">
        <f t="shared" si="1"/>
        <v>0.4814814815</v>
      </c>
      <c r="F74" s="10">
        <f t="shared" si="2"/>
        <v>0.438228449</v>
      </c>
      <c r="G74" s="10">
        <f t="shared" si="3"/>
        <v>0.2109988829</v>
      </c>
      <c r="H74" s="8">
        <v>2551.0</v>
      </c>
      <c r="I74" s="8">
        <v>1046.0000257194042</v>
      </c>
      <c r="J74" s="8">
        <v>6252.0</v>
      </c>
      <c r="K74" s="11">
        <f t="shared" si="4"/>
        <v>0.4080294306</v>
      </c>
      <c r="L74" s="12">
        <f t="shared" si="5"/>
        <v>0.4100352904</v>
      </c>
      <c r="M74" s="12">
        <f t="shared" si="6"/>
        <v>0.167306466</v>
      </c>
      <c r="N74" s="9">
        <f t="shared" si="7"/>
        <v>0.7929258382</v>
      </c>
      <c r="P74" s="16"/>
      <c r="T74" s="18"/>
      <c r="U74" s="18"/>
      <c r="V74" s="18"/>
      <c r="W74" s="18"/>
    </row>
    <row r="75" ht="15.75" customHeight="1">
      <c r="A75" s="8">
        <v>20901.0</v>
      </c>
      <c r="B75" s="8">
        <v>77.0</v>
      </c>
      <c r="C75" s="8">
        <v>30.444445073604584</v>
      </c>
      <c r="D75" s="8">
        <v>255.0</v>
      </c>
      <c r="E75" s="9">
        <f t="shared" si="1"/>
        <v>0.3019607843</v>
      </c>
      <c r="F75" s="10">
        <f t="shared" si="2"/>
        <v>0.3953824036</v>
      </c>
      <c r="G75" s="10">
        <f t="shared" si="3"/>
        <v>0.1193899807</v>
      </c>
      <c r="H75" s="8">
        <v>4481.0</v>
      </c>
      <c r="I75" s="8">
        <v>1909.4444916546345</v>
      </c>
      <c r="J75" s="8">
        <v>10728.0</v>
      </c>
      <c r="K75" s="11">
        <f t="shared" si="4"/>
        <v>0.4176920209</v>
      </c>
      <c r="L75" s="12">
        <f t="shared" si="5"/>
        <v>0.4261201722</v>
      </c>
      <c r="M75" s="12">
        <f t="shared" si="6"/>
        <v>0.1779869959</v>
      </c>
      <c r="N75" s="9">
        <f t="shared" si="7"/>
        <v>1.490803456</v>
      </c>
      <c r="P75" s="16"/>
      <c r="T75" s="18"/>
      <c r="U75" s="18"/>
      <c r="V75" s="18"/>
      <c r="W75" s="18"/>
    </row>
    <row r="76" ht="15.75" customHeight="1">
      <c r="A76" s="8">
        <v>20902.0</v>
      </c>
      <c r="B76" s="8">
        <v>298.0</v>
      </c>
      <c r="C76" s="8">
        <v>127.8888925909996</v>
      </c>
      <c r="D76" s="8">
        <v>426.0</v>
      </c>
      <c r="E76" s="9">
        <f t="shared" si="1"/>
        <v>0.6995305164</v>
      </c>
      <c r="F76" s="10">
        <f t="shared" si="2"/>
        <v>0.4291573577</v>
      </c>
      <c r="G76" s="10">
        <f t="shared" si="3"/>
        <v>0.3002086681</v>
      </c>
      <c r="H76" s="8">
        <v>7988.0</v>
      </c>
      <c r="I76" s="8">
        <v>3539.777866214514</v>
      </c>
      <c r="J76" s="8">
        <v>11907.0</v>
      </c>
      <c r="K76" s="11">
        <f t="shared" si="4"/>
        <v>0.6708658772</v>
      </c>
      <c r="L76" s="12">
        <f t="shared" si="5"/>
        <v>0.4431369387</v>
      </c>
      <c r="M76" s="12">
        <f t="shared" si="6"/>
        <v>0.2972854511</v>
      </c>
      <c r="N76" s="9">
        <f t="shared" si="7"/>
        <v>0.9902627163</v>
      </c>
      <c r="P76" s="16"/>
      <c r="T76" s="18"/>
      <c r="U76" s="18"/>
      <c r="V76" s="18"/>
      <c r="W76" s="18"/>
    </row>
    <row r="77" ht="15.75" customHeight="1">
      <c r="A77" s="8">
        <v>20903.0</v>
      </c>
      <c r="B77" s="8">
        <v>121.0</v>
      </c>
      <c r="C77" s="8">
        <v>49.55555674433708</v>
      </c>
      <c r="D77" s="8">
        <v>256.0</v>
      </c>
      <c r="E77" s="9">
        <f t="shared" si="1"/>
        <v>0.47265625</v>
      </c>
      <c r="F77" s="10">
        <f t="shared" si="2"/>
        <v>0.4095500557</v>
      </c>
      <c r="G77" s="10">
        <f t="shared" si="3"/>
        <v>0.1935763935</v>
      </c>
      <c r="H77" s="8">
        <v>4104.0</v>
      </c>
      <c r="I77" s="8">
        <v>1746.4444880187511</v>
      </c>
      <c r="J77" s="8">
        <v>6934.0</v>
      </c>
      <c r="K77" s="11">
        <f t="shared" si="4"/>
        <v>0.5918661667</v>
      </c>
      <c r="L77" s="12">
        <f t="shared" si="5"/>
        <v>0.4255469025</v>
      </c>
      <c r="M77" s="12">
        <f t="shared" si="6"/>
        <v>0.251866814</v>
      </c>
      <c r="N77" s="9">
        <f t="shared" si="7"/>
        <v>1.3011236</v>
      </c>
      <c r="P77" s="16"/>
      <c r="T77" s="18"/>
      <c r="U77" s="18"/>
      <c r="V77" s="18"/>
      <c r="W77" s="18"/>
    </row>
    <row r="78" ht="15.75" customHeight="1">
      <c r="A78" s="8">
        <v>20904.0</v>
      </c>
      <c r="B78" s="8">
        <v>179.0</v>
      </c>
      <c r="C78" s="8">
        <v>76.88889056444168</v>
      </c>
      <c r="D78" s="8">
        <v>336.0</v>
      </c>
      <c r="E78" s="9">
        <f t="shared" si="1"/>
        <v>0.5327380952</v>
      </c>
      <c r="F78" s="10">
        <f t="shared" si="2"/>
        <v>0.4295468747</v>
      </c>
      <c r="G78" s="10">
        <f t="shared" si="3"/>
        <v>0.2288359838</v>
      </c>
      <c r="H78" s="8">
        <v>2486.0</v>
      </c>
      <c r="I78" s="8">
        <v>1050.7778050601482</v>
      </c>
      <c r="J78" s="8">
        <v>4650.0</v>
      </c>
      <c r="K78" s="11">
        <f t="shared" si="4"/>
        <v>0.5346236559</v>
      </c>
      <c r="L78" s="12">
        <f t="shared" si="5"/>
        <v>0.4226781195</v>
      </c>
      <c r="M78" s="12">
        <f t="shared" si="6"/>
        <v>0.2259737215</v>
      </c>
      <c r="N78" s="9">
        <f t="shared" si="7"/>
        <v>0.9874920795</v>
      </c>
      <c r="P78" s="16"/>
      <c r="T78" s="18"/>
      <c r="U78" s="18"/>
      <c r="V78" s="18"/>
      <c r="W78" s="18"/>
    </row>
    <row r="79" ht="15.75" customHeight="1">
      <c r="A79" s="8">
        <v>20905.0</v>
      </c>
      <c r="B79" s="8">
        <v>124.0</v>
      </c>
      <c r="C79" s="8">
        <v>52.333334654569626</v>
      </c>
      <c r="D79" s="8">
        <v>290.0</v>
      </c>
      <c r="E79" s="9">
        <f t="shared" si="1"/>
        <v>0.4275862069</v>
      </c>
      <c r="F79" s="10">
        <f t="shared" si="2"/>
        <v>0.4220430214</v>
      </c>
      <c r="G79" s="10">
        <f t="shared" si="3"/>
        <v>0.1804597747</v>
      </c>
      <c r="H79" s="8">
        <v>4893.0</v>
      </c>
      <c r="I79" s="8">
        <v>2092.7778314054012</v>
      </c>
      <c r="J79" s="8">
        <v>10915.0</v>
      </c>
      <c r="K79" s="11">
        <f t="shared" si="4"/>
        <v>0.4482821805</v>
      </c>
      <c r="L79" s="12">
        <f t="shared" si="5"/>
        <v>0.4277085288</v>
      </c>
      <c r="M79" s="12">
        <f t="shared" si="6"/>
        <v>0.1917341119</v>
      </c>
      <c r="N79" s="9">
        <f t="shared" si="7"/>
        <v>1.062475625</v>
      </c>
      <c r="P79" s="16"/>
      <c r="T79" s="18"/>
      <c r="U79" s="18"/>
      <c r="V79" s="18"/>
      <c r="W79" s="18"/>
    </row>
    <row r="80" ht="15.75" customHeight="1">
      <c r="A80" s="8">
        <v>21001.0</v>
      </c>
      <c r="B80" s="8">
        <v>648.0</v>
      </c>
      <c r="C80" s="8">
        <v>303.22222977876663</v>
      </c>
      <c r="D80" s="8">
        <v>986.0</v>
      </c>
      <c r="E80" s="9">
        <f t="shared" si="1"/>
        <v>0.6572008114</v>
      </c>
      <c r="F80" s="10">
        <f t="shared" si="2"/>
        <v>0.4679355398</v>
      </c>
      <c r="G80" s="10">
        <f t="shared" si="3"/>
        <v>0.3075276164</v>
      </c>
      <c r="H80" s="8">
        <v>10549.0</v>
      </c>
      <c r="I80" s="8">
        <v>5213.222360402346</v>
      </c>
      <c r="J80" s="8">
        <v>13531.0</v>
      </c>
      <c r="K80" s="11">
        <f t="shared" si="4"/>
        <v>0.7796171754</v>
      </c>
      <c r="L80" s="12">
        <f t="shared" si="5"/>
        <v>0.4941911423</v>
      </c>
      <c r="M80" s="12">
        <f t="shared" si="6"/>
        <v>0.3852799025</v>
      </c>
      <c r="N80" s="9">
        <f t="shared" si="7"/>
        <v>1.252830256</v>
      </c>
      <c r="P80" s="16"/>
      <c r="T80" s="18"/>
      <c r="U80" s="18"/>
      <c r="V80" s="18"/>
      <c r="W80" s="18"/>
    </row>
    <row r="81" ht="15.75" customHeight="1">
      <c r="A81" s="8">
        <v>21002.0</v>
      </c>
      <c r="B81" s="8">
        <v>228.0</v>
      </c>
      <c r="C81" s="8">
        <v>91.4444469511509</v>
      </c>
      <c r="D81" s="8">
        <v>817.0</v>
      </c>
      <c r="E81" s="9">
        <f t="shared" si="1"/>
        <v>0.2790697674</v>
      </c>
      <c r="F81" s="10">
        <f t="shared" si="2"/>
        <v>0.4010721358</v>
      </c>
      <c r="G81" s="10">
        <f t="shared" si="3"/>
        <v>0.1119271077</v>
      </c>
      <c r="H81" s="8">
        <v>3158.0</v>
      </c>
      <c r="I81" s="8">
        <v>1382.8889234662056</v>
      </c>
      <c r="J81" s="8">
        <v>7179.0</v>
      </c>
      <c r="K81" s="11">
        <f t="shared" si="4"/>
        <v>0.4398941357</v>
      </c>
      <c r="L81" s="12">
        <f t="shared" si="5"/>
        <v>0.4379002291</v>
      </c>
      <c r="M81" s="12">
        <f t="shared" si="6"/>
        <v>0.1926297428</v>
      </c>
      <c r="N81" s="9">
        <f t="shared" si="7"/>
        <v>1.721028505</v>
      </c>
      <c r="P81" s="16"/>
      <c r="T81" s="18"/>
      <c r="U81" s="18"/>
      <c r="V81" s="18"/>
      <c r="W81" s="18"/>
    </row>
    <row r="82" ht="15.75" customHeight="1">
      <c r="A82" s="8">
        <v>21003.0</v>
      </c>
      <c r="B82" s="8">
        <v>327.0</v>
      </c>
      <c r="C82" s="8">
        <v>138.77778136730194</v>
      </c>
      <c r="D82" s="8">
        <v>974.0</v>
      </c>
      <c r="E82" s="9">
        <f t="shared" si="1"/>
        <v>0.3357289528</v>
      </c>
      <c r="F82" s="10">
        <f t="shared" si="2"/>
        <v>0.4243968849</v>
      </c>
      <c r="G82" s="10">
        <f t="shared" si="3"/>
        <v>0.1424823217</v>
      </c>
      <c r="H82" s="8">
        <v>2907.0</v>
      </c>
      <c r="I82" s="8">
        <v>1244.11114230752</v>
      </c>
      <c r="J82" s="8">
        <v>9176.0</v>
      </c>
      <c r="K82" s="11">
        <f t="shared" si="4"/>
        <v>0.3168047079</v>
      </c>
      <c r="L82" s="12">
        <f t="shared" si="5"/>
        <v>0.4279708092</v>
      </c>
      <c r="M82" s="12">
        <f t="shared" si="6"/>
        <v>0.1355831672</v>
      </c>
      <c r="N82" s="9">
        <f t="shared" si="7"/>
        <v>0.9515788735</v>
      </c>
      <c r="P82" s="16"/>
      <c r="T82" s="18"/>
      <c r="U82" s="18"/>
      <c r="V82" s="18"/>
      <c r="W82" s="18"/>
    </row>
    <row r="83" ht="15.75" customHeight="1">
      <c r="A83" s="8">
        <v>21004.0</v>
      </c>
      <c r="B83" s="8">
        <v>317.0</v>
      </c>
      <c r="C83" s="8">
        <v>132.00000324845314</v>
      </c>
      <c r="D83" s="8">
        <v>918.0</v>
      </c>
      <c r="E83" s="9">
        <f t="shared" si="1"/>
        <v>0.3453159041</v>
      </c>
      <c r="F83" s="10">
        <f t="shared" si="2"/>
        <v>0.4164037957</v>
      </c>
      <c r="G83" s="10">
        <f t="shared" si="3"/>
        <v>0.1437908532</v>
      </c>
      <c r="H83" s="8">
        <v>9001.0</v>
      </c>
      <c r="I83" s="8">
        <v>3940.1112118065357</v>
      </c>
      <c r="J83" s="8">
        <v>18319.0</v>
      </c>
      <c r="K83" s="11">
        <f t="shared" si="4"/>
        <v>0.491347781</v>
      </c>
      <c r="L83" s="12">
        <f t="shared" si="5"/>
        <v>0.4377414967</v>
      </c>
      <c r="M83" s="12">
        <f t="shared" si="6"/>
        <v>0.2150833131</v>
      </c>
      <c r="N83" s="9">
        <f t="shared" si="7"/>
        <v>1.49580664</v>
      </c>
      <c r="P83" s="16"/>
      <c r="T83" s="18"/>
      <c r="U83" s="18"/>
      <c r="V83" s="18"/>
      <c r="W83" s="18"/>
    </row>
    <row r="84" ht="15.75" customHeight="1">
      <c r="A84" s="8">
        <v>21005.0</v>
      </c>
      <c r="B84" s="8">
        <v>284.0</v>
      </c>
      <c r="C84" s="8">
        <v>123.00000321865082</v>
      </c>
      <c r="D84" s="8">
        <v>572.0</v>
      </c>
      <c r="E84" s="9">
        <f t="shared" si="1"/>
        <v>0.4965034965</v>
      </c>
      <c r="F84" s="10">
        <f t="shared" si="2"/>
        <v>0.4330986029</v>
      </c>
      <c r="G84" s="10">
        <f t="shared" si="3"/>
        <v>0.2150349707</v>
      </c>
      <c r="H84" s="8">
        <v>5127.0</v>
      </c>
      <c r="I84" s="8">
        <v>2468.777843296528</v>
      </c>
      <c r="J84" s="8">
        <v>7173.0</v>
      </c>
      <c r="K84" s="11">
        <f t="shared" si="4"/>
        <v>0.7147636972</v>
      </c>
      <c r="L84" s="12">
        <f t="shared" si="5"/>
        <v>0.4815248378</v>
      </c>
      <c r="M84" s="12">
        <f t="shared" si="6"/>
        <v>0.3441764733</v>
      </c>
      <c r="N84" s="9">
        <f t="shared" si="7"/>
        <v>1.600560468</v>
      </c>
      <c r="P84" s="16"/>
      <c r="T84" s="18"/>
      <c r="U84" s="18"/>
      <c r="V84" s="18"/>
      <c r="W84" s="18"/>
    </row>
    <row r="85" ht="15.75" customHeight="1">
      <c r="A85" s="8">
        <v>21006.0</v>
      </c>
      <c r="B85" s="8">
        <v>23.0</v>
      </c>
      <c r="C85" s="8">
        <v>8.000000208616257</v>
      </c>
      <c r="D85" s="8">
        <v>67.0</v>
      </c>
      <c r="E85" s="9">
        <f t="shared" si="1"/>
        <v>0.3432835821</v>
      </c>
      <c r="F85" s="10">
        <f t="shared" si="2"/>
        <v>0.347826096</v>
      </c>
      <c r="G85" s="10">
        <f t="shared" si="3"/>
        <v>0.1194029882</v>
      </c>
      <c r="H85" s="8">
        <v>2503.0</v>
      </c>
      <c r="I85" s="8">
        <v>1167.0000298917294</v>
      </c>
      <c r="J85" s="8">
        <v>5385.0</v>
      </c>
      <c r="K85" s="11">
        <f t="shared" si="4"/>
        <v>0.4648096565</v>
      </c>
      <c r="L85" s="12">
        <f t="shared" si="5"/>
        <v>0.4662405233</v>
      </c>
      <c r="M85" s="12">
        <f t="shared" si="6"/>
        <v>0.2167130975</v>
      </c>
      <c r="N85" s="9">
        <f t="shared" si="7"/>
        <v>1.814972144</v>
      </c>
      <c r="P85" s="16"/>
      <c r="T85" s="18"/>
      <c r="U85" s="18"/>
      <c r="V85" s="18"/>
      <c r="W85" s="18"/>
    </row>
    <row r="86" ht="15.75" customHeight="1">
      <c r="A86" s="8">
        <v>21101.0</v>
      </c>
      <c r="B86" s="8">
        <v>295.0</v>
      </c>
      <c r="C86" s="8">
        <v>126.11111399531364</v>
      </c>
      <c r="D86" s="8">
        <v>1207.0</v>
      </c>
      <c r="E86" s="9">
        <f t="shared" si="1"/>
        <v>0.2444076222</v>
      </c>
      <c r="F86" s="10">
        <f t="shared" si="2"/>
        <v>0.4274953017</v>
      </c>
      <c r="G86" s="10">
        <f t="shared" si="3"/>
        <v>0.1044831102</v>
      </c>
      <c r="H86" s="8">
        <v>4552.0</v>
      </c>
      <c r="I86" s="8">
        <v>1863.5556015372276</v>
      </c>
      <c r="J86" s="8">
        <v>16149.0</v>
      </c>
      <c r="K86" s="11">
        <f t="shared" si="4"/>
        <v>0.2818750387</v>
      </c>
      <c r="L86" s="12">
        <f t="shared" si="5"/>
        <v>0.4093927068</v>
      </c>
      <c r="M86" s="12">
        <f t="shared" si="6"/>
        <v>0.1153975851</v>
      </c>
      <c r="N86" s="9">
        <f t="shared" si="7"/>
        <v>1.104461619</v>
      </c>
      <c r="P86" s="16"/>
      <c r="T86" s="18"/>
      <c r="U86" s="18"/>
      <c r="V86" s="18"/>
      <c r="W86" s="18"/>
    </row>
    <row r="87" ht="15.75" customHeight="1">
      <c r="A87" s="8">
        <v>21102.0</v>
      </c>
      <c r="B87" s="8">
        <v>354.0</v>
      </c>
      <c r="C87" s="8">
        <v>162.66667079925537</v>
      </c>
      <c r="D87" s="8">
        <v>1083.0</v>
      </c>
      <c r="E87" s="9">
        <f t="shared" si="1"/>
        <v>0.3268698061</v>
      </c>
      <c r="F87" s="10">
        <f t="shared" si="2"/>
        <v>0.4595103695</v>
      </c>
      <c r="G87" s="10">
        <f t="shared" si="3"/>
        <v>0.1502000654</v>
      </c>
      <c r="H87" s="8">
        <v>6406.0</v>
      </c>
      <c r="I87" s="8">
        <v>2824.000068604946</v>
      </c>
      <c r="J87" s="8">
        <v>15509.0</v>
      </c>
      <c r="K87" s="11">
        <f t="shared" si="4"/>
        <v>0.4130504868</v>
      </c>
      <c r="L87" s="12">
        <f t="shared" si="5"/>
        <v>0.4408367263</v>
      </c>
      <c r="M87" s="12">
        <f t="shared" si="6"/>
        <v>0.1820878244</v>
      </c>
      <c r="N87" s="9">
        <f t="shared" si="7"/>
        <v>1.212301898</v>
      </c>
      <c r="P87" s="16"/>
      <c r="T87" s="18"/>
      <c r="U87" s="18"/>
      <c r="V87" s="18"/>
      <c r="W87" s="18"/>
    </row>
    <row r="88" ht="15.75" customHeight="1">
      <c r="A88" s="8">
        <v>21103.0</v>
      </c>
      <c r="B88" s="8">
        <v>122.0</v>
      </c>
      <c r="C88" s="8">
        <v>55.333334773778915</v>
      </c>
      <c r="D88" s="8">
        <v>579.0</v>
      </c>
      <c r="E88" s="9">
        <f t="shared" si="1"/>
        <v>0.2107081174</v>
      </c>
      <c r="F88" s="10">
        <f t="shared" si="2"/>
        <v>0.4535519244</v>
      </c>
      <c r="G88" s="10">
        <f t="shared" si="3"/>
        <v>0.09556707215</v>
      </c>
      <c r="H88" s="8">
        <v>1426.0</v>
      </c>
      <c r="I88" s="8">
        <v>615.8889035582542</v>
      </c>
      <c r="J88" s="8">
        <v>5593.0</v>
      </c>
      <c r="K88" s="11">
        <f t="shared" si="4"/>
        <v>0.2549615591</v>
      </c>
      <c r="L88" s="12">
        <f t="shared" si="5"/>
        <v>0.4318996519</v>
      </c>
      <c r="M88" s="12">
        <f t="shared" si="6"/>
        <v>0.1101178086</v>
      </c>
      <c r="N88" s="9">
        <f t="shared" si="7"/>
        <v>1.152256799</v>
      </c>
      <c r="P88" s="16"/>
      <c r="T88" s="18"/>
      <c r="U88" s="18"/>
      <c r="V88" s="18"/>
      <c r="W88" s="18"/>
    </row>
    <row r="89" ht="15.75" customHeight="1">
      <c r="A89" s="8">
        <v>21104.0</v>
      </c>
      <c r="B89" s="8">
        <v>1277.0</v>
      </c>
      <c r="C89" s="8">
        <v>596.3333474099636</v>
      </c>
      <c r="D89" s="8">
        <v>2531.0</v>
      </c>
      <c r="E89" s="9">
        <f t="shared" si="1"/>
        <v>0.5045436586</v>
      </c>
      <c r="F89" s="10">
        <f t="shared" si="2"/>
        <v>0.4669799118</v>
      </c>
      <c r="G89" s="10">
        <f t="shared" si="3"/>
        <v>0.2356117532</v>
      </c>
      <c r="H89" s="8">
        <v>9658.0</v>
      </c>
      <c r="I89" s="8">
        <v>4355.222322523594</v>
      </c>
      <c r="J89" s="8">
        <v>21182.0</v>
      </c>
      <c r="K89" s="11">
        <f t="shared" si="4"/>
        <v>0.4559531678</v>
      </c>
      <c r="L89" s="12">
        <f t="shared" si="5"/>
        <v>0.4509445354</v>
      </c>
      <c r="M89" s="12">
        <f t="shared" si="6"/>
        <v>0.2056095894</v>
      </c>
      <c r="N89" s="9">
        <f t="shared" si="7"/>
        <v>0.8726627029</v>
      </c>
      <c r="P89" s="16"/>
      <c r="T89" s="18"/>
      <c r="U89" s="18"/>
      <c r="V89" s="18"/>
      <c r="W89" s="18"/>
    </row>
    <row r="90" ht="15.75" customHeight="1">
      <c r="A90" s="8">
        <v>21105.0</v>
      </c>
      <c r="B90" s="8">
        <v>2145.0</v>
      </c>
      <c r="C90" s="8">
        <v>1065.1111378669739</v>
      </c>
      <c r="D90" s="8">
        <v>2800.0</v>
      </c>
      <c r="E90" s="9">
        <f t="shared" si="1"/>
        <v>0.7660714286</v>
      </c>
      <c r="F90" s="10">
        <f t="shared" si="2"/>
        <v>0.496555309</v>
      </c>
      <c r="G90" s="10">
        <f t="shared" si="3"/>
        <v>0.380396835</v>
      </c>
      <c r="H90" s="8">
        <v>28379.0</v>
      </c>
      <c r="I90" s="8">
        <v>13870.111465901136</v>
      </c>
      <c r="J90" s="8">
        <v>36547.0</v>
      </c>
      <c r="K90" s="11">
        <f t="shared" si="4"/>
        <v>0.7765069636</v>
      </c>
      <c r="L90" s="12">
        <f t="shared" si="5"/>
        <v>0.4887456029</v>
      </c>
      <c r="M90" s="12">
        <f t="shared" si="6"/>
        <v>0.3795143641</v>
      </c>
      <c r="N90" s="9">
        <f t="shared" si="7"/>
        <v>0.997680131</v>
      </c>
      <c r="P90" s="16"/>
      <c r="T90" s="18"/>
      <c r="U90" s="18"/>
      <c r="V90" s="18"/>
      <c r="W90" s="18"/>
    </row>
    <row r="91" ht="15.75" customHeight="1">
      <c r="A91" s="8">
        <v>21201.0</v>
      </c>
      <c r="B91" s="8">
        <v>591.0</v>
      </c>
      <c r="C91" s="8">
        <v>249.33333879709244</v>
      </c>
      <c r="D91" s="8">
        <v>1110.0</v>
      </c>
      <c r="E91" s="9">
        <f t="shared" si="1"/>
        <v>0.5324324324</v>
      </c>
      <c r="F91" s="10">
        <f t="shared" si="2"/>
        <v>0.421883822</v>
      </c>
      <c r="G91" s="10">
        <f t="shared" si="3"/>
        <v>0.2246246295</v>
      </c>
      <c r="H91" s="8">
        <v>14823.0</v>
      </c>
      <c r="I91" s="8">
        <v>6554.222388982773</v>
      </c>
      <c r="J91" s="8">
        <v>28556.0</v>
      </c>
      <c r="K91" s="11">
        <f t="shared" si="4"/>
        <v>0.5190853061</v>
      </c>
      <c r="L91" s="12">
        <f t="shared" si="5"/>
        <v>0.4421657147</v>
      </c>
      <c r="M91" s="12">
        <f t="shared" si="6"/>
        <v>0.2295217253</v>
      </c>
      <c r="N91" s="9">
        <f t="shared" si="7"/>
        <v>1.021801242</v>
      </c>
      <c r="P91" s="16"/>
      <c r="T91" s="18"/>
      <c r="U91" s="18"/>
      <c r="V91" s="18"/>
      <c r="W91" s="18"/>
    </row>
    <row r="92" ht="15.75" customHeight="1">
      <c r="A92" s="8">
        <v>21202.0</v>
      </c>
      <c r="B92" s="8">
        <v>393.0</v>
      </c>
      <c r="C92" s="8">
        <v>172.22222569584846</v>
      </c>
      <c r="D92" s="8">
        <v>680.0</v>
      </c>
      <c r="E92" s="9">
        <f t="shared" si="1"/>
        <v>0.5779411765</v>
      </c>
      <c r="F92" s="10">
        <f t="shared" si="2"/>
        <v>0.4382244929</v>
      </c>
      <c r="G92" s="10">
        <f t="shared" si="3"/>
        <v>0.253267979</v>
      </c>
      <c r="H92" s="8">
        <v>12253.0</v>
      </c>
      <c r="I92" s="8">
        <v>5228.889017522335</v>
      </c>
      <c r="J92" s="8">
        <v>23639.0</v>
      </c>
      <c r="K92" s="11">
        <f t="shared" si="4"/>
        <v>0.5183383392</v>
      </c>
      <c r="L92" s="12">
        <f t="shared" si="5"/>
        <v>0.4267435744</v>
      </c>
      <c r="M92" s="12">
        <f t="shared" si="6"/>
        <v>0.2211975556</v>
      </c>
      <c r="N92" s="9">
        <f t="shared" si="7"/>
        <v>0.8733735569</v>
      </c>
      <c r="P92" s="16"/>
      <c r="T92" s="18"/>
      <c r="U92" s="18"/>
      <c r="V92" s="18"/>
      <c r="W92" s="18"/>
    </row>
    <row r="93" ht="15.75" customHeight="1">
      <c r="A93" s="8">
        <v>21203.0</v>
      </c>
      <c r="B93" s="8">
        <v>113.0</v>
      </c>
      <c r="C93" s="8">
        <v>50.77777913212776</v>
      </c>
      <c r="D93" s="8">
        <v>383.0</v>
      </c>
      <c r="E93" s="9">
        <f t="shared" si="1"/>
        <v>0.2950391645</v>
      </c>
      <c r="F93" s="10">
        <f t="shared" si="2"/>
        <v>0.4493608773</v>
      </c>
      <c r="G93" s="10">
        <f t="shared" si="3"/>
        <v>0.1325790578</v>
      </c>
      <c r="H93" s="8">
        <v>6741.0</v>
      </c>
      <c r="I93" s="8">
        <v>2932.0000742971897</v>
      </c>
      <c r="J93" s="8">
        <v>16888.0</v>
      </c>
      <c r="K93" s="11">
        <f t="shared" si="4"/>
        <v>0.3991591663</v>
      </c>
      <c r="L93" s="12">
        <f t="shared" si="5"/>
        <v>0.4349503151</v>
      </c>
      <c r="M93" s="12">
        <f t="shared" si="6"/>
        <v>0.1736144052</v>
      </c>
      <c r="N93" s="9">
        <f t="shared" si="7"/>
        <v>1.309516058</v>
      </c>
      <c r="P93" s="16"/>
      <c r="T93" s="18"/>
      <c r="U93" s="18"/>
      <c r="V93" s="18"/>
      <c r="W93" s="18"/>
    </row>
    <row r="94" ht="15.75" customHeight="1">
      <c r="A94" s="8">
        <v>21204.0</v>
      </c>
      <c r="B94" s="8">
        <v>119.0</v>
      </c>
      <c r="C94" s="8">
        <v>50.66666799783707</v>
      </c>
      <c r="D94" s="8">
        <v>252.0</v>
      </c>
      <c r="E94" s="9">
        <f t="shared" si="1"/>
        <v>0.4722222222</v>
      </c>
      <c r="F94" s="10">
        <f t="shared" si="2"/>
        <v>0.4257703193</v>
      </c>
      <c r="G94" s="10">
        <f t="shared" si="3"/>
        <v>0.2010582063</v>
      </c>
      <c r="H94" s="8">
        <v>2707.0</v>
      </c>
      <c r="I94" s="8">
        <v>1080.4444706737995</v>
      </c>
      <c r="J94" s="8">
        <v>6174.0</v>
      </c>
      <c r="K94" s="11">
        <f t="shared" si="4"/>
        <v>0.4384515711</v>
      </c>
      <c r="L94" s="12">
        <f t="shared" si="5"/>
        <v>0.3991298377</v>
      </c>
      <c r="M94" s="12">
        <f t="shared" si="6"/>
        <v>0.1749991044</v>
      </c>
      <c r="N94" s="9">
        <f t="shared" si="7"/>
        <v>0.8703902596</v>
      </c>
      <c r="P94" s="16"/>
      <c r="T94" s="18"/>
      <c r="U94" s="18"/>
      <c r="V94" s="18"/>
      <c r="W94" s="18"/>
    </row>
    <row r="95" ht="15.75" customHeight="1">
      <c r="A95" s="8">
        <v>21301.0</v>
      </c>
      <c r="B95" s="8">
        <v>507.0</v>
      </c>
      <c r="C95" s="8">
        <v>228.0000053346157</v>
      </c>
      <c r="D95" s="8">
        <v>1136.0</v>
      </c>
      <c r="E95" s="9">
        <f t="shared" si="1"/>
        <v>0.4463028169</v>
      </c>
      <c r="F95" s="10">
        <f t="shared" si="2"/>
        <v>0.4497041525</v>
      </c>
      <c r="G95" s="10">
        <f t="shared" si="3"/>
        <v>0.20070423</v>
      </c>
      <c r="H95" s="8">
        <v>16170.0</v>
      </c>
      <c r="I95" s="8">
        <v>7031.2223999500275</v>
      </c>
      <c r="J95" s="8">
        <v>29833.0</v>
      </c>
      <c r="K95" s="11">
        <f t="shared" si="4"/>
        <v>0.5420172292</v>
      </c>
      <c r="L95" s="12">
        <f t="shared" si="5"/>
        <v>0.4348313173</v>
      </c>
      <c r="M95" s="12">
        <f t="shared" si="6"/>
        <v>0.2356860658</v>
      </c>
      <c r="N95" s="9">
        <f t="shared" si="7"/>
        <v>1.174295458</v>
      </c>
      <c r="P95" s="16"/>
      <c r="T95" s="18"/>
      <c r="U95" s="18"/>
      <c r="V95" s="18"/>
      <c r="W95" s="18"/>
    </row>
    <row r="96" ht="15.75" customHeight="1">
      <c r="A96" s="8">
        <v>21302.0</v>
      </c>
      <c r="B96" s="8">
        <v>355.0</v>
      </c>
      <c r="C96" s="8">
        <v>154.1111144721508</v>
      </c>
      <c r="D96" s="8">
        <v>680.0</v>
      </c>
      <c r="E96" s="9">
        <f t="shared" si="1"/>
        <v>0.5220588235</v>
      </c>
      <c r="F96" s="10">
        <f t="shared" si="2"/>
        <v>0.4341158154</v>
      </c>
      <c r="G96" s="10">
        <f t="shared" si="3"/>
        <v>0.2266339919</v>
      </c>
      <c r="H96" s="8">
        <v>4591.0</v>
      </c>
      <c r="I96" s="8">
        <v>2044.000050842762</v>
      </c>
      <c r="J96" s="8">
        <v>8120.0</v>
      </c>
      <c r="K96" s="11">
        <f t="shared" si="4"/>
        <v>0.5653940887</v>
      </c>
      <c r="L96" s="12">
        <f t="shared" si="5"/>
        <v>0.4452189176</v>
      </c>
      <c r="M96" s="12">
        <f t="shared" si="6"/>
        <v>0.2517241442</v>
      </c>
      <c r="N96" s="9">
        <f t="shared" si="7"/>
        <v>1.110707807</v>
      </c>
      <c r="P96" s="16"/>
      <c r="T96" s="18"/>
      <c r="U96" s="18"/>
      <c r="V96" s="18"/>
      <c r="W96" s="18"/>
    </row>
    <row r="97" ht="15.75" customHeight="1">
      <c r="A97" s="8">
        <v>21303.0</v>
      </c>
      <c r="B97" s="8">
        <v>63.0</v>
      </c>
      <c r="C97" s="8">
        <v>26.66666731238365</v>
      </c>
      <c r="D97" s="8">
        <v>112.0</v>
      </c>
      <c r="E97" s="9">
        <f t="shared" si="1"/>
        <v>0.5625</v>
      </c>
      <c r="F97" s="10">
        <f t="shared" si="2"/>
        <v>0.4232804335</v>
      </c>
      <c r="G97" s="10">
        <f t="shared" si="3"/>
        <v>0.2380952439</v>
      </c>
      <c r="H97" s="8">
        <v>4621.0</v>
      </c>
      <c r="I97" s="8">
        <v>2080.444495111704</v>
      </c>
      <c r="J97" s="8">
        <v>7631.0</v>
      </c>
      <c r="K97" s="11">
        <f t="shared" si="4"/>
        <v>0.6055562836</v>
      </c>
      <c r="L97" s="12">
        <f t="shared" si="5"/>
        <v>0.4502152121</v>
      </c>
      <c r="M97" s="12">
        <f t="shared" si="6"/>
        <v>0.2726306507</v>
      </c>
      <c r="N97" s="9">
        <f t="shared" si="7"/>
        <v>1.145048705</v>
      </c>
      <c r="P97" s="16"/>
      <c r="T97" s="18"/>
      <c r="U97" s="18"/>
      <c r="V97" s="18"/>
      <c r="W97" s="18"/>
    </row>
    <row r="98" ht="15.75" customHeight="1">
      <c r="A98" s="8">
        <v>21304.0</v>
      </c>
      <c r="B98" s="8">
        <v>78.0</v>
      </c>
      <c r="C98" s="8">
        <v>32.55555620789528</v>
      </c>
      <c r="D98" s="8">
        <v>178.0</v>
      </c>
      <c r="E98" s="9">
        <f t="shared" si="1"/>
        <v>0.4382022472</v>
      </c>
      <c r="F98" s="10">
        <f t="shared" si="2"/>
        <v>0.4173789257</v>
      </c>
      <c r="G98" s="10">
        <f t="shared" si="3"/>
        <v>0.1828963832</v>
      </c>
      <c r="H98" s="8">
        <v>5911.0</v>
      </c>
      <c r="I98" s="8">
        <v>2537.7778403162956</v>
      </c>
      <c r="J98" s="8">
        <v>12085.0</v>
      </c>
      <c r="K98" s="11">
        <f t="shared" si="4"/>
        <v>0.4891187422</v>
      </c>
      <c r="L98" s="12">
        <f t="shared" si="5"/>
        <v>0.429331389</v>
      </c>
      <c r="M98" s="12">
        <f t="shared" si="6"/>
        <v>0.209994029</v>
      </c>
      <c r="N98" s="9">
        <f t="shared" si="7"/>
        <v>1.148158456</v>
      </c>
      <c r="P98" s="16"/>
      <c r="T98" s="18"/>
      <c r="U98" s="18"/>
      <c r="V98" s="18"/>
      <c r="W98" s="18"/>
    </row>
    <row r="99" ht="15.75" customHeight="1">
      <c r="A99" s="8">
        <v>21305.0</v>
      </c>
      <c r="B99" s="8">
        <v>562.0</v>
      </c>
      <c r="C99" s="8">
        <v>226.77778339385986</v>
      </c>
      <c r="D99" s="8">
        <v>1742.0</v>
      </c>
      <c r="E99" s="9">
        <f t="shared" si="1"/>
        <v>0.3226176808</v>
      </c>
      <c r="F99" s="10">
        <f t="shared" si="2"/>
        <v>0.4035191875</v>
      </c>
      <c r="G99" s="10">
        <f t="shared" si="3"/>
        <v>0.1301824245</v>
      </c>
      <c r="H99" s="8">
        <v>6968.0</v>
      </c>
      <c r="I99" s="8">
        <v>2949.0000729858875</v>
      </c>
      <c r="J99" s="8">
        <v>20349.0</v>
      </c>
      <c r="K99" s="11">
        <f t="shared" si="4"/>
        <v>0.3424246892</v>
      </c>
      <c r="L99" s="12">
        <f t="shared" si="5"/>
        <v>0.4232204468</v>
      </c>
      <c r="M99" s="12">
        <f t="shared" si="6"/>
        <v>0.1449211299</v>
      </c>
      <c r="N99" s="9">
        <f t="shared" si="7"/>
        <v>1.113215786</v>
      </c>
      <c r="P99" s="16"/>
      <c r="T99" s="18"/>
      <c r="U99" s="18"/>
      <c r="V99" s="18"/>
      <c r="W99" s="18"/>
    </row>
    <row r="100" ht="15.75" customHeight="1">
      <c r="A100" s="8">
        <v>21306.0</v>
      </c>
      <c r="B100" s="8">
        <v>78.0</v>
      </c>
      <c r="C100" s="8">
        <v>33.11111205816269</v>
      </c>
      <c r="D100" s="8">
        <v>240.0</v>
      </c>
      <c r="E100" s="9">
        <f t="shared" si="1"/>
        <v>0.325</v>
      </c>
      <c r="F100" s="10">
        <f t="shared" si="2"/>
        <v>0.4245014366</v>
      </c>
      <c r="G100" s="10">
        <f t="shared" si="3"/>
        <v>0.1379629669</v>
      </c>
      <c r="H100" s="8">
        <v>4845.0</v>
      </c>
      <c r="I100" s="8">
        <v>2107.88894033432</v>
      </c>
      <c r="J100" s="8">
        <v>9533.0</v>
      </c>
      <c r="K100" s="11">
        <f t="shared" si="4"/>
        <v>0.5082345537</v>
      </c>
      <c r="L100" s="12">
        <f t="shared" si="5"/>
        <v>0.4350647968</v>
      </c>
      <c r="M100" s="12">
        <f t="shared" si="6"/>
        <v>0.2211149628</v>
      </c>
      <c r="N100" s="9">
        <f t="shared" si="7"/>
        <v>1.602712436</v>
      </c>
      <c r="P100" s="16"/>
      <c r="T100" s="18"/>
      <c r="U100" s="18"/>
      <c r="V100" s="18"/>
      <c r="W100" s="18"/>
    </row>
    <row r="101" ht="15.75" customHeight="1">
      <c r="A101" s="8">
        <v>21307.0</v>
      </c>
      <c r="B101" s="8">
        <v>23.0</v>
      </c>
      <c r="C101" s="8">
        <v>9.777777940034866</v>
      </c>
      <c r="D101" s="8">
        <v>79.0</v>
      </c>
      <c r="E101" s="9">
        <f t="shared" si="1"/>
        <v>0.2911392405</v>
      </c>
      <c r="F101" s="10">
        <f t="shared" si="2"/>
        <v>0.42512078</v>
      </c>
      <c r="G101" s="10">
        <f t="shared" si="3"/>
        <v>0.123769341</v>
      </c>
      <c r="H101" s="8">
        <v>1934.0</v>
      </c>
      <c r="I101" s="8">
        <v>781.2222405672073</v>
      </c>
      <c r="J101" s="8">
        <v>4873.0</v>
      </c>
      <c r="K101" s="11">
        <f t="shared" si="4"/>
        <v>0.3968807716</v>
      </c>
      <c r="L101" s="12">
        <f t="shared" si="5"/>
        <v>0.4039411792</v>
      </c>
      <c r="M101" s="12">
        <f t="shared" si="6"/>
        <v>0.1603164869</v>
      </c>
      <c r="N101" s="9">
        <f t="shared" si="7"/>
        <v>1.295284321</v>
      </c>
      <c r="P101" s="16"/>
      <c r="T101" s="18"/>
      <c r="U101" s="18"/>
      <c r="V101" s="18"/>
      <c r="W101" s="18"/>
    </row>
    <row r="102" ht="15.75" customHeight="1">
      <c r="A102" s="8">
        <v>21401.0</v>
      </c>
      <c r="B102" s="8">
        <v>424.0</v>
      </c>
      <c r="C102" s="8">
        <v>176.44444870948792</v>
      </c>
      <c r="D102" s="8">
        <v>1541.0</v>
      </c>
      <c r="E102" s="9">
        <f t="shared" si="1"/>
        <v>0.2751460091</v>
      </c>
      <c r="F102" s="10">
        <f t="shared" si="2"/>
        <v>0.4161425677</v>
      </c>
      <c r="G102" s="10">
        <f t="shared" si="3"/>
        <v>0.1144999667</v>
      </c>
      <c r="H102" s="8">
        <v>6182.0</v>
      </c>
      <c r="I102" s="8">
        <v>2678.0000647604465</v>
      </c>
      <c r="J102" s="8">
        <v>17065.0</v>
      </c>
      <c r="K102" s="11">
        <f t="shared" si="4"/>
        <v>0.3622619396</v>
      </c>
      <c r="L102" s="12">
        <f t="shared" si="5"/>
        <v>0.4331931519</v>
      </c>
      <c r="M102" s="12">
        <f t="shared" si="6"/>
        <v>0.1569293914</v>
      </c>
      <c r="N102" s="9">
        <f t="shared" si="7"/>
        <v>1.370562769</v>
      </c>
      <c r="P102" s="16"/>
      <c r="T102" s="18"/>
      <c r="U102" s="18"/>
      <c r="V102" s="18"/>
      <c r="W102" s="18"/>
    </row>
    <row r="103" ht="15.75" customHeight="1">
      <c r="A103" s="8">
        <v>21402.0</v>
      </c>
      <c r="B103" s="8">
        <v>232.0</v>
      </c>
      <c r="C103" s="8">
        <v>91.33333575725555</v>
      </c>
      <c r="D103" s="8">
        <v>831.0</v>
      </c>
      <c r="E103" s="9">
        <f t="shared" si="1"/>
        <v>0.2791817088</v>
      </c>
      <c r="F103" s="10">
        <f t="shared" si="2"/>
        <v>0.3936781714</v>
      </c>
      <c r="G103" s="10">
        <f t="shared" si="3"/>
        <v>0.1099077446</v>
      </c>
      <c r="H103" s="8">
        <v>3333.0</v>
      </c>
      <c r="I103" s="8">
        <v>1350.7778138816357</v>
      </c>
      <c r="J103" s="8">
        <v>15837.0</v>
      </c>
      <c r="K103" s="11">
        <f t="shared" si="4"/>
        <v>0.2104565259</v>
      </c>
      <c r="L103" s="12">
        <f t="shared" si="5"/>
        <v>0.4052738716</v>
      </c>
      <c r="M103" s="12">
        <f t="shared" si="6"/>
        <v>0.08529253103</v>
      </c>
      <c r="N103" s="9">
        <f t="shared" si="7"/>
        <v>0.7760374971</v>
      </c>
      <c r="P103" s="16"/>
      <c r="T103" s="18"/>
      <c r="U103" s="18"/>
      <c r="V103" s="18"/>
      <c r="W103" s="18"/>
    </row>
    <row r="104" ht="15.75" customHeight="1">
      <c r="A104" s="8">
        <v>21501.0</v>
      </c>
      <c r="B104" s="8">
        <v>857.0</v>
      </c>
      <c r="C104" s="8">
        <v>400.6666768491268</v>
      </c>
      <c r="D104" s="8">
        <v>1548.0</v>
      </c>
      <c r="E104" s="9">
        <f t="shared" si="1"/>
        <v>0.5536175711</v>
      </c>
      <c r="F104" s="10">
        <f t="shared" si="2"/>
        <v>0.4675223767</v>
      </c>
      <c r="G104" s="10">
        <f t="shared" si="3"/>
        <v>0.2588286026</v>
      </c>
      <c r="H104" s="8">
        <v>4142.0</v>
      </c>
      <c r="I104" s="8">
        <v>1925.8889399170876</v>
      </c>
      <c r="J104" s="8">
        <v>6712.0</v>
      </c>
      <c r="K104" s="11">
        <f t="shared" si="4"/>
        <v>0.6171036949</v>
      </c>
      <c r="L104" s="12">
        <f t="shared" si="5"/>
        <v>0.464965944</v>
      </c>
      <c r="M104" s="12">
        <f t="shared" si="6"/>
        <v>0.286932202</v>
      </c>
      <c r="N104" s="9">
        <f t="shared" si="7"/>
        <v>1.10857996</v>
      </c>
      <c r="P104" s="16"/>
      <c r="T104" s="18"/>
      <c r="U104" s="18"/>
      <c r="V104" s="18"/>
      <c r="W104" s="18"/>
    </row>
    <row r="105" ht="15.75" customHeight="1">
      <c r="A105" s="8">
        <v>21502.0</v>
      </c>
      <c r="B105" s="8">
        <v>335.0</v>
      </c>
      <c r="C105" s="8">
        <v>152.8888928592205</v>
      </c>
      <c r="D105" s="8">
        <v>1032.0</v>
      </c>
      <c r="E105" s="9">
        <f t="shared" si="1"/>
        <v>0.3246124031</v>
      </c>
      <c r="F105" s="10">
        <f t="shared" si="2"/>
        <v>0.4563847548</v>
      </c>
      <c r="G105" s="10">
        <f t="shared" si="3"/>
        <v>0.148148152</v>
      </c>
      <c r="H105" s="8">
        <v>2735.0</v>
      </c>
      <c r="I105" s="8">
        <v>1244.2222538888454</v>
      </c>
      <c r="J105" s="8">
        <v>7114.0</v>
      </c>
      <c r="K105" s="11">
        <f t="shared" si="4"/>
        <v>0.3844531909</v>
      </c>
      <c r="L105" s="12">
        <f t="shared" si="5"/>
        <v>0.4549258698</v>
      </c>
      <c r="M105" s="12">
        <f t="shared" si="6"/>
        <v>0.1748977023</v>
      </c>
      <c r="N105" s="9">
        <f t="shared" si="7"/>
        <v>1.18055946</v>
      </c>
      <c r="P105" s="16"/>
      <c r="T105" s="18"/>
      <c r="U105" s="18"/>
      <c r="V105" s="18"/>
      <c r="W105" s="18"/>
    </row>
    <row r="106" ht="15.75" customHeight="1">
      <c r="A106" s="8">
        <v>21601.0</v>
      </c>
      <c r="B106" s="8">
        <v>236.0</v>
      </c>
      <c r="C106" s="8">
        <v>111.2222246825695</v>
      </c>
      <c r="D106" s="8">
        <v>335.0</v>
      </c>
      <c r="E106" s="9">
        <f t="shared" si="1"/>
        <v>0.7044776119</v>
      </c>
      <c r="F106" s="10">
        <f t="shared" si="2"/>
        <v>0.4712806131</v>
      </c>
      <c r="G106" s="10">
        <f t="shared" si="3"/>
        <v>0.3320066408</v>
      </c>
      <c r="H106" s="8">
        <v>9077.0</v>
      </c>
      <c r="I106" s="8">
        <v>4157.888999223709</v>
      </c>
      <c r="J106" s="8">
        <v>12544.0</v>
      </c>
      <c r="K106" s="11">
        <f t="shared" si="4"/>
        <v>0.7236128827</v>
      </c>
      <c r="L106" s="12">
        <f t="shared" si="5"/>
        <v>0.4580686349</v>
      </c>
      <c r="M106" s="12">
        <f t="shared" si="6"/>
        <v>0.3314643654</v>
      </c>
      <c r="N106" s="9">
        <f t="shared" si="7"/>
        <v>0.9983666728</v>
      </c>
      <c r="P106" s="16"/>
      <c r="T106" s="18"/>
      <c r="U106" s="18"/>
      <c r="V106" s="18"/>
      <c r="W106" s="18"/>
    </row>
    <row r="107" ht="15.75" customHeight="1">
      <c r="A107" s="8">
        <v>21602.0</v>
      </c>
      <c r="B107" s="8">
        <v>20.0</v>
      </c>
      <c r="C107" s="8">
        <v>7.666666805744171</v>
      </c>
      <c r="D107" s="8">
        <v>26.0</v>
      </c>
      <c r="E107" s="9">
        <f t="shared" si="1"/>
        <v>0.7692307692</v>
      </c>
      <c r="F107" s="10">
        <f t="shared" si="2"/>
        <v>0.3833333403</v>
      </c>
      <c r="G107" s="10">
        <f t="shared" si="3"/>
        <v>0.2948718002</v>
      </c>
      <c r="H107" s="8">
        <v>2289.0</v>
      </c>
      <c r="I107" s="8">
        <v>1086.6666962504387</v>
      </c>
      <c r="J107" s="8">
        <v>3219.0</v>
      </c>
      <c r="K107" s="11">
        <f t="shared" si="4"/>
        <v>0.7110904007</v>
      </c>
      <c r="L107" s="12">
        <f t="shared" si="5"/>
        <v>0.4747342491</v>
      </c>
      <c r="M107" s="12">
        <f t="shared" si="6"/>
        <v>0.3375789675</v>
      </c>
      <c r="N107" s="9">
        <f t="shared" si="7"/>
        <v>1.144832999</v>
      </c>
      <c r="P107" s="16"/>
      <c r="T107" s="18"/>
      <c r="U107" s="18"/>
      <c r="V107" s="18"/>
      <c r="W107" s="18"/>
    </row>
    <row r="108" ht="15.75" customHeight="1">
      <c r="A108" s="8">
        <v>21701.0</v>
      </c>
      <c r="B108" s="8">
        <v>360.0</v>
      </c>
      <c r="C108" s="8">
        <v>154.77778148651123</v>
      </c>
      <c r="D108" s="8">
        <v>1115.0</v>
      </c>
      <c r="E108" s="9">
        <f t="shared" si="1"/>
        <v>0.3228699552</v>
      </c>
      <c r="F108" s="10">
        <f t="shared" si="2"/>
        <v>0.4299382819</v>
      </c>
      <c r="G108" s="10">
        <f t="shared" si="3"/>
        <v>0.1388141538</v>
      </c>
      <c r="H108" s="8">
        <v>4301.0</v>
      </c>
      <c r="I108" s="8">
        <v>1745.1111544668674</v>
      </c>
      <c r="J108" s="8">
        <v>13248.0</v>
      </c>
      <c r="K108" s="11">
        <f t="shared" si="4"/>
        <v>0.3246527778</v>
      </c>
      <c r="L108" s="12">
        <f t="shared" si="5"/>
        <v>0.405745444</v>
      </c>
      <c r="M108" s="12">
        <f t="shared" si="6"/>
        <v>0.1317263855</v>
      </c>
      <c r="N108" s="9">
        <f t="shared" si="7"/>
        <v>0.9489405932</v>
      </c>
      <c r="P108" s="16"/>
      <c r="T108" s="18"/>
      <c r="U108" s="18"/>
      <c r="V108" s="18"/>
      <c r="W108" s="18"/>
    </row>
    <row r="109" ht="15.75" customHeight="1">
      <c r="A109" s="8">
        <v>21702.0</v>
      </c>
      <c r="B109" s="8">
        <v>179.0</v>
      </c>
      <c r="C109" s="8">
        <v>77.77777945995331</v>
      </c>
      <c r="D109" s="8">
        <v>388.0</v>
      </c>
      <c r="E109" s="9">
        <f t="shared" si="1"/>
        <v>0.4613402062</v>
      </c>
      <c r="F109" s="10">
        <f t="shared" si="2"/>
        <v>0.4345127344</v>
      </c>
      <c r="G109" s="10">
        <f t="shared" si="3"/>
        <v>0.2004581945</v>
      </c>
      <c r="H109" s="8">
        <v>2466.0</v>
      </c>
      <c r="I109" s="8">
        <v>1042.7778035700321</v>
      </c>
      <c r="J109" s="8">
        <v>5521.0</v>
      </c>
      <c r="K109" s="11">
        <f t="shared" si="4"/>
        <v>0.4466582141</v>
      </c>
      <c r="L109" s="12">
        <f t="shared" si="5"/>
        <v>0.4228620452</v>
      </c>
      <c r="M109" s="12">
        <f t="shared" si="6"/>
        <v>0.1888748059</v>
      </c>
      <c r="N109" s="9">
        <f t="shared" si="7"/>
        <v>0.9422154401</v>
      </c>
      <c r="P109" s="16"/>
      <c r="T109" s="18"/>
      <c r="U109" s="18"/>
      <c r="V109" s="18"/>
      <c r="W109" s="18"/>
    </row>
    <row r="110" ht="15.75" customHeight="1">
      <c r="A110" s="8">
        <v>21703.0</v>
      </c>
      <c r="B110" s="8">
        <v>23.0</v>
      </c>
      <c r="C110" s="8">
        <v>9.000000149011612</v>
      </c>
      <c r="D110" s="8">
        <v>44.0</v>
      </c>
      <c r="E110" s="9">
        <f t="shared" si="1"/>
        <v>0.5227272727</v>
      </c>
      <c r="F110" s="10">
        <f t="shared" si="2"/>
        <v>0.3913043543</v>
      </c>
      <c r="G110" s="10">
        <f t="shared" si="3"/>
        <v>0.2045454579</v>
      </c>
      <c r="H110" s="8">
        <v>3697.0</v>
      </c>
      <c r="I110" s="8">
        <v>1693.8889329433441</v>
      </c>
      <c r="J110" s="8">
        <v>6180.0</v>
      </c>
      <c r="K110" s="11">
        <f t="shared" si="4"/>
        <v>0.5982200647</v>
      </c>
      <c r="L110" s="12">
        <f t="shared" si="5"/>
        <v>0.4581793165</v>
      </c>
      <c r="M110" s="12">
        <f t="shared" si="6"/>
        <v>0.2740920603</v>
      </c>
      <c r="N110" s="9">
        <f t="shared" si="7"/>
        <v>1.340005606</v>
      </c>
      <c r="P110" s="16"/>
      <c r="T110" s="18"/>
      <c r="U110" s="18"/>
      <c r="V110" s="18"/>
      <c r="W110" s="18"/>
    </row>
    <row r="111" ht="15.75" customHeight="1">
      <c r="A111" s="8">
        <v>21801.0</v>
      </c>
      <c r="B111" s="8">
        <v>87.0</v>
      </c>
      <c r="C111" s="8">
        <v>39.22222292423248</v>
      </c>
      <c r="D111" s="8">
        <v>117.0</v>
      </c>
      <c r="E111" s="9">
        <f t="shared" si="1"/>
        <v>0.7435897436</v>
      </c>
      <c r="F111" s="10">
        <f t="shared" si="2"/>
        <v>0.4508301486</v>
      </c>
      <c r="G111" s="10">
        <f t="shared" si="3"/>
        <v>0.3352326746</v>
      </c>
      <c r="H111" s="8">
        <v>5982.0</v>
      </c>
      <c r="I111" s="8">
        <v>2711.4445089399815</v>
      </c>
      <c r="J111" s="8">
        <v>8635.0</v>
      </c>
      <c r="K111" s="11">
        <f t="shared" si="4"/>
        <v>0.6927620151</v>
      </c>
      <c r="L111" s="12">
        <f t="shared" si="5"/>
        <v>0.4532672198</v>
      </c>
      <c r="M111" s="12">
        <f t="shared" si="6"/>
        <v>0.3140063126</v>
      </c>
      <c r="N111" s="9">
        <f t="shared" si="7"/>
        <v>0.9366817031</v>
      </c>
      <c r="P111" s="16"/>
      <c r="T111" s="18"/>
      <c r="U111" s="18"/>
      <c r="V111" s="18"/>
      <c r="W111" s="18"/>
    </row>
    <row r="112" ht="15.75" customHeight="1">
      <c r="A112" s="8">
        <v>21802.0</v>
      </c>
      <c r="B112" s="8">
        <v>142.0</v>
      </c>
      <c r="C112" s="8">
        <v>58.11111205816269</v>
      </c>
      <c r="D112" s="8">
        <v>252.0</v>
      </c>
      <c r="E112" s="9">
        <f t="shared" si="1"/>
        <v>0.5634920635</v>
      </c>
      <c r="F112" s="10">
        <f t="shared" si="2"/>
        <v>0.4092331835</v>
      </c>
      <c r="G112" s="10">
        <f t="shared" si="3"/>
        <v>0.230599651</v>
      </c>
      <c r="H112" s="8">
        <v>3471.0</v>
      </c>
      <c r="I112" s="8">
        <v>1486.5555918812752</v>
      </c>
      <c r="J112" s="8">
        <v>6692.0</v>
      </c>
      <c r="K112" s="11">
        <f t="shared" si="4"/>
        <v>0.5186790197</v>
      </c>
      <c r="L112" s="12">
        <f t="shared" si="5"/>
        <v>0.4282787646</v>
      </c>
      <c r="M112" s="12">
        <f t="shared" si="6"/>
        <v>0.2221392098</v>
      </c>
      <c r="N112" s="9">
        <f t="shared" si="7"/>
        <v>0.9633111273</v>
      </c>
      <c r="P112" s="16"/>
      <c r="T112" s="18"/>
      <c r="U112" s="18"/>
      <c r="V112" s="18"/>
      <c r="W112" s="18"/>
    </row>
    <row r="113" ht="15.75" customHeight="1">
      <c r="A113" s="8">
        <v>21803.0</v>
      </c>
      <c r="B113" s="8">
        <v>14.0</v>
      </c>
      <c r="C113" s="8">
        <v>5.666666805744171</v>
      </c>
      <c r="D113" s="8">
        <v>23.0</v>
      </c>
      <c r="E113" s="9">
        <f t="shared" si="1"/>
        <v>0.6086956522</v>
      </c>
      <c r="F113" s="10">
        <f t="shared" si="2"/>
        <v>0.4047619147</v>
      </c>
      <c r="G113" s="10">
        <f t="shared" si="3"/>
        <v>0.2463768176</v>
      </c>
      <c r="H113" s="8">
        <v>1537.0</v>
      </c>
      <c r="I113" s="8">
        <v>682.8889057636261</v>
      </c>
      <c r="J113" s="8">
        <v>1958.0</v>
      </c>
      <c r="K113" s="11">
        <f t="shared" si="4"/>
        <v>0.7849846782</v>
      </c>
      <c r="L113" s="12">
        <f t="shared" si="5"/>
        <v>0.4442998736</v>
      </c>
      <c r="M113" s="12">
        <f t="shared" si="6"/>
        <v>0.3487685933</v>
      </c>
      <c r="N113" s="9">
        <f t="shared" si="7"/>
        <v>1.415590138</v>
      </c>
      <c r="P113" s="16"/>
      <c r="T113" s="18"/>
      <c r="U113" s="18"/>
      <c r="V113" s="18"/>
      <c r="W113" s="18"/>
    </row>
    <row r="114" ht="15.75" customHeight="1">
      <c r="A114" s="8">
        <v>21901.0</v>
      </c>
      <c r="B114" s="8">
        <v>134.0</v>
      </c>
      <c r="C114" s="8">
        <v>54.55555671453476</v>
      </c>
      <c r="D114" s="8">
        <v>257.0</v>
      </c>
      <c r="E114" s="9">
        <f t="shared" si="1"/>
        <v>0.5214007782</v>
      </c>
      <c r="F114" s="10">
        <f t="shared" si="2"/>
        <v>0.4071310203</v>
      </c>
      <c r="G114" s="10">
        <f t="shared" si="3"/>
        <v>0.2122784308</v>
      </c>
      <c r="H114" s="8">
        <v>2259.0</v>
      </c>
      <c r="I114" s="8">
        <v>938.4444674253464</v>
      </c>
      <c r="J114" s="8">
        <v>4262.0</v>
      </c>
      <c r="K114" s="11">
        <f t="shared" si="4"/>
        <v>0.5300328484</v>
      </c>
      <c r="L114" s="12">
        <f t="shared" si="5"/>
        <v>0.415424731</v>
      </c>
      <c r="M114" s="12">
        <f t="shared" si="6"/>
        <v>0.2201887535</v>
      </c>
      <c r="N114" s="9">
        <f t="shared" si="7"/>
        <v>1.037263902</v>
      </c>
      <c r="P114" s="16"/>
      <c r="T114" s="18"/>
      <c r="U114" s="18"/>
      <c r="V114" s="18"/>
      <c r="W114" s="18"/>
    </row>
    <row r="115" ht="15.75" customHeight="1">
      <c r="A115" s="8">
        <v>21902.0</v>
      </c>
      <c r="B115" s="8">
        <v>19.0</v>
      </c>
      <c r="C115" s="8">
        <v>7.44444465637207</v>
      </c>
      <c r="D115" s="8">
        <v>35.0</v>
      </c>
      <c r="E115" s="9">
        <f t="shared" si="1"/>
        <v>0.5428571429</v>
      </c>
      <c r="F115" s="10">
        <f t="shared" si="2"/>
        <v>0.3918128767</v>
      </c>
      <c r="G115" s="10">
        <f t="shared" si="3"/>
        <v>0.2126984188</v>
      </c>
      <c r="H115" s="8">
        <v>1525.0</v>
      </c>
      <c r="I115" s="8">
        <v>644.4444600939751</v>
      </c>
      <c r="J115" s="8">
        <v>2819.0</v>
      </c>
      <c r="K115" s="11">
        <f t="shared" si="4"/>
        <v>0.5409719759</v>
      </c>
      <c r="L115" s="12">
        <f t="shared" si="5"/>
        <v>0.4225865312</v>
      </c>
      <c r="M115" s="12">
        <f t="shared" si="6"/>
        <v>0.2286074708</v>
      </c>
      <c r="N115" s="9">
        <f t="shared" si="7"/>
        <v>1.074796287</v>
      </c>
      <c r="P115" s="16"/>
      <c r="T115" s="18"/>
      <c r="U115" s="18"/>
      <c r="V115" s="18"/>
      <c r="W115" s="18"/>
    </row>
    <row r="116" ht="15.75" customHeight="1">
      <c r="A116" s="8">
        <v>22001.0</v>
      </c>
      <c r="B116" s="8">
        <v>1567.0</v>
      </c>
      <c r="C116" s="8">
        <v>668.6666820347309</v>
      </c>
      <c r="D116" s="8">
        <v>3885.0</v>
      </c>
      <c r="E116" s="9">
        <f t="shared" si="1"/>
        <v>0.4033462033</v>
      </c>
      <c r="F116" s="10">
        <f t="shared" si="2"/>
        <v>0.4267177294</v>
      </c>
      <c r="G116" s="10">
        <f t="shared" si="3"/>
        <v>0.1721149761</v>
      </c>
      <c r="H116" s="8">
        <v>21288.0</v>
      </c>
      <c r="I116" s="8">
        <v>9407.889125108719</v>
      </c>
      <c r="J116" s="8">
        <v>44824.0</v>
      </c>
      <c r="K116" s="11">
        <f t="shared" si="4"/>
        <v>0.4749241478</v>
      </c>
      <c r="L116" s="12">
        <f t="shared" si="5"/>
        <v>0.4419339123</v>
      </c>
      <c r="M116" s="12">
        <f t="shared" si="6"/>
        <v>0.2098850867</v>
      </c>
      <c r="N116" s="9">
        <f t="shared" si="7"/>
        <v>1.219446974</v>
      </c>
      <c r="P116" s="16"/>
      <c r="T116" s="18"/>
      <c r="U116" s="18"/>
      <c r="V116" s="18"/>
      <c r="W116" s="18"/>
    </row>
    <row r="117" ht="15.75" customHeight="1">
      <c r="A117" s="8">
        <v>22002.0</v>
      </c>
      <c r="B117" s="8">
        <v>323.0</v>
      </c>
      <c r="C117" s="8">
        <v>152.55555939674377</v>
      </c>
      <c r="D117" s="8">
        <v>525.0</v>
      </c>
      <c r="E117" s="9">
        <f t="shared" si="1"/>
        <v>0.6152380952</v>
      </c>
      <c r="F117" s="10">
        <f t="shared" si="2"/>
        <v>0.4723082334</v>
      </c>
      <c r="G117" s="10">
        <f t="shared" si="3"/>
        <v>0.2905820179</v>
      </c>
      <c r="H117" s="8">
        <v>6478.0</v>
      </c>
      <c r="I117" s="8">
        <v>3052.444522589445</v>
      </c>
      <c r="J117" s="8">
        <v>10279.0</v>
      </c>
      <c r="K117" s="11">
        <f t="shared" si="4"/>
        <v>0.6302169472</v>
      </c>
      <c r="L117" s="12">
        <f t="shared" si="5"/>
        <v>0.4712016861</v>
      </c>
      <c r="M117" s="12">
        <f t="shared" si="6"/>
        <v>0.2969592881</v>
      </c>
      <c r="N117" s="9">
        <f t="shared" si="7"/>
        <v>1.021946541</v>
      </c>
      <c r="P117" s="16"/>
      <c r="T117" s="18"/>
      <c r="U117" s="18"/>
      <c r="V117" s="18"/>
      <c r="W117" s="18"/>
    </row>
    <row r="118" ht="15.75" customHeight="1">
      <c r="A118" s="8">
        <v>30101.0</v>
      </c>
      <c r="B118" s="8">
        <v>14816.0</v>
      </c>
      <c r="C118" s="8">
        <v>6205.111269414425</v>
      </c>
      <c r="D118" s="8">
        <v>47327.0</v>
      </c>
      <c r="E118" s="9">
        <f t="shared" si="1"/>
        <v>0.3130559723</v>
      </c>
      <c r="F118" s="10">
        <f t="shared" si="2"/>
        <v>0.4188115058</v>
      </c>
      <c r="G118" s="10">
        <f t="shared" si="3"/>
        <v>0.1311114431</v>
      </c>
      <c r="H118" s="8">
        <v>119037.0</v>
      </c>
      <c r="I118" s="8">
        <v>47297.44562986493</v>
      </c>
      <c r="J118" s="8">
        <v>556460.0</v>
      </c>
      <c r="K118" s="11">
        <f t="shared" si="4"/>
        <v>0.2139183409</v>
      </c>
      <c r="L118" s="12">
        <f t="shared" si="5"/>
        <v>0.3973339855</v>
      </c>
      <c r="M118" s="12">
        <f t="shared" si="6"/>
        <v>0.08499702697</v>
      </c>
      <c r="N118" s="9">
        <f t="shared" si="7"/>
        <v>0.6482807674</v>
      </c>
      <c r="P118" s="16"/>
      <c r="T118" s="18"/>
      <c r="U118" s="18"/>
      <c r="V118" s="18"/>
      <c r="W118" s="18"/>
    </row>
    <row r="119" ht="15.75" customHeight="1">
      <c r="A119" s="8">
        <v>30201.0</v>
      </c>
      <c r="B119" s="8">
        <v>279.0</v>
      </c>
      <c r="C119" s="8">
        <v>126.77778086066246</v>
      </c>
      <c r="D119" s="8">
        <v>1332.0</v>
      </c>
      <c r="E119" s="9">
        <f t="shared" si="1"/>
        <v>0.2094594595</v>
      </c>
      <c r="F119" s="10">
        <f t="shared" si="2"/>
        <v>0.4544006482</v>
      </c>
      <c r="G119" s="10">
        <f t="shared" si="3"/>
        <v>0.09517851416</v>
      </c>
      <c r="H119" s="8">
        <v>10875.0</v>
      </c>
      <c r="I119" s="8">
        <v>5410.000146448612</v>
      </c>
      <c r="J119" s="8">
        <v>21321.0</v>
      </c>
      <c r="K119" s="11">
        <f t="shared" si="4"/>
        <v>0.5100605037</v>
      </c>
      <c r="L119" s="12">
        <f t="shared" si="5"/>
        <v>0.4974712778</v>
      </c>
      <c r="M119" s="12">
        <f t="shared" si="6"/>
        <v>0.2537404506</v>
      </c>
      <c r="N119" s="9">
        <f t="shared" si="7"/>
        <v>2.665942548</v>
      </c>
      <c r="P119" s="16"/>
      <c r="T119" s="18"/>
      <c r="U119" s="18"/>
      <c r="V119" s="18"/>
      <c r="W119" s="18"/>
    </row>
    <row r="120" ht="15.75" customHeight="1">
      <c r="A120" s="8">
        <v>30202.0</v>
      </c>
      <c r="B120" s="8">
        <v>200.0</v>
      </c>
      <c r="C120" s="8">
        <v>100.00000211596489</v>
      </c>
      <c r="D120" s="8">
        <v>315.0</v>
      </c>
      <c r="E120" s="9">
        <f t="shared" si="1"/>
        <v>0.6349206349</v>
      </c>
      <c r="F120" s="10">
        <f t="shared" si="2"/>
        <v>0.5000000106</v>
      </c>
      <c r="G120" s="10">
        <f t="shared" si="3"/>
        <v>0.3174603242</v>
      </c>
      <c r="H120" s="8">
        <v>3333.0</v>
      </c>
      <c r="I120" s="8">
        <v>1552.888930261135</v>
      </c>
      <c r="J120" s="8">
        <v>6461.0</v>
      </c>
      <c r="K120" s="11">
        <f t="shared" si="4"/>
        <v>0.5158644173</v>
      </c>
      <c r="L120" s="12">
        <f t="shared" si="5"/>
        <v>0.4659132704</v>
      </c>
      <c r="M120" s="12">
        <f t="shared" si="6"/>
        <v>0.2403480777</v>
      </c>
      <c r="N120" s="9">
        <f t="shared" si="7"/>
        <v>0.7570964289</v>
      </c>
      <c r="P120" s="16"/>
      <c r="T120" s="18"/>
      <c r="U120" s="18"/>
      <c r="V120" s="18"/>
      <c r="W120" s="18"/>
    </row>
    <row r="121" ht="15.75" customHeight="1">
      <c r="A121" s="8">
        <v>30203.0</v>
      </c>
      <c r="B121" s="8">
        <v>148.0</v>
      </c>
      <c r="C121" s="8">
        <v>69.11111342906952</v>
      </c>
      <c r="D121" s="8">
        <v>387.0</v>
      </c>
      <c r="E121" s="9">
        <f t="shared" si="1"/>
        <v>0.3824289406</v>
      </c>
      <c r="F121" s="10">
        <f t="shared" si="2"/>
        <v>0.4669669826</v>
      </c>
      <c r="G121" s="10">
        <f t="shared" si="3"/>
        <v>0.1785816884</v>
      </c>
      <c r="H121" s="8">
        <v>2033.0</v>
      </c>
      <c r="I121" s="8">
        <v>983.4444715976715</v>
      </c>
      <c r="J121" s="8">
        <v>5114.0</v>
      </c>
      <c r="K121" s="11">
        <f t="shared" si="4"/>
        <v>0.3975361752</v>
      </c>
      <c r="L121" s="12">
        <f t="shared" si="5"/>
        <v>0.4837405173</v>
      </c>
      <c r="M121" s="12">
        <f t="shared" si="6"/>
        <v>0.192304355</v>
      </c>
      <c r="N121" s="9">
        <f t="shared" si="7"/>
        <v>1.076842518</v>
      </c>
      <c r="P121" s="16"/>
      <c r="T121" s="18"/>
      <c r="U121" s="18"/>
      <c r="V121" s="18"/>
      <c r="W121" s="18"/>
    </row>
    <row r="122" ht="15.75" customHeight="1">
      <c r="A122" s="8">
        <v>30301.0</v>
      </c>
      <c r="B122" s="8">
        <v>489.0</v>
      </c>
      <c r="C122" s="8">
        <v>220.77778309583664</v>
      </c>
      <c r="D122" s="8">
        <v>1220.0</v>
      </c>
      <c r="E122" s="9">
        <f t="shared" si="1"/>
        <v>0.4008196721</v>
      </c>
      <c r="F122" s="10">
        <f t="shared" si="2"/>
        <v>0.451488309</v>
      </c>
      <c r="G122" s="10">
        <f t="shared" si="3"/>
        <v>0.180965396</v>
      </c>
      <c r="H122" s="8">
        <v>15650.0</v>
      </c>
      <c r="I122" s="8">
        <v>7805.5557660758495</v>
      </c>
      <c r="J122" s="8">
        <v>22009.0</v>
      </c>
      <c r="K122" s="11">
        <f t="shared" si="4"/>
        <v>0.711072743</v>
      </c>
      <c r="L122" s="12">
        <f t="shared" si="5"/>
        <v>0.4987575569</v>
      </c>
      <c r="M122" s="12">
        <f t="shared" si="6"/>
        <v>0.3546529041</v>
      </c>
      <c r="N122" s="9">
        <f t="shared" si="7"/>
        <v>1.959782986</v>
      </c>
      <c r="P122" s="16"/>
      <c r="T122" s="18"/>
      <c r="U122" s="18"/>
      <c r="V122" s="18"/>
      <c r="W122" s="18"/>
    </row>
    <row r="123" ht="15.75" customHeight="1">
      <c r="A123" s="8">
        <v>30302.0</v>
      </c>
      <c r="B123" s="8">
        <v>247.0</v>
      </c>
      <c r="C123" s="8">
        <v>117.7777806520462</v>
      </c>
      <c r="D123" s="8">
        <v>371.0</v>
      </c>
      <c r="E123" s="9">
        <f t="shared" si="1"/>
        <v>0.6657681941</v>
      </c>
      <c r="F123" s="10">
        <f t="shared" si="2"/>
        <v>0.47683312</v>
      </c>
      <c r="G123" s="10">
        <f t="shared" si="3"/>
        <v>0.3174603252</v>
      </c>
      <c r="H123" s="8">
        <v>9223.0</v>
      </c>
      <c r="I123" s="8">
        <v>4772.111238479614</v>
      </c>
      <c r="J123" s="8">
        <v>12283.0</v>
      </c>
      <c r="K123" s="11">
        <f t="shared" si="4"/>
        <v>0.7508751934</v>
      </c>
      <c r="L123" s="12">
        <f t="shared" si="5"/>
        <v>0.5174142078</v>
      </c>
      <c r="M123" s="12">
        <f t="shared" si="6"/>
        <v>0.3885134933</v>
      </c>
      <c r="N123" s="9">
        <f t="shared" si="7"/>
        <v>1.223817474</v>
      </c>
      <c r="P123" s="16"/>
      <c r="T123" s="18"/>
      <c r="U123" s="18"/>
      <c r="V123" s="18"/>
      <c r="W123" s="18"/>
    </row>
    <row r="124" ht="15.75" customHeight="1">
      <c r="A124" s="8">
        <v>30303.0</v>
      </c>
      <c r="B124" s="8">
        <v>734.0</v>
      </c>
      <c r="C124" s="8">
        <v>360.8888992667198</v>
      </c>
      <c r="D124" s="8">
        <v>887.0</v>
      </c>
      <c r="E124" s="9">
        <f t="shared" si="1"/>
        <v>0.8275084555</v>
      </c>
      <c r="F124" s="10">
        <f t="shared" si="2"/>
        <v>0.4916742497</v>
      </c>
      <c r="G124" s="10">
        <f t="shared" si="3"/>
        <v>0.4068645989</v>
      </c>
      <c r="H124" s="8">
        <v>13861.0</v>
      </c>
      <c r="I124" s="8">
        <v>7015.666855305433</v>
      </c>
      <c r="J124" s="8">
        <v>16445.0</v>
      </c>
      <c r="K124" s="11">
        <f t="shared" si="4"/>
        <v>0.8428701733</v>
      </c>
      <c r="L124" s="12">
        <f t="shared" si="5"/>
        <v>0.5061443514</v>
      </c>
      <c r="M124" s="12">
        <f t="shared" si="6"/>
        <v>0.4266139772</v>
      </c>
      <c r="N124" s="9">
        <f t="shared" si="7"/>
        <v>1.048540419</v>
      </c>
      <c r="P124" s="16"/>
      <c r="T124" s="18"/>
      <c r="U124" s="18"/>
      <c r="V124" s="18"/>
      <c r="W124" s="18"/>
    </row>
    <row r="125" ht="15.75" customHeight="1">
      <c r="A125" s="8">
        <v>30401.0</v>
      </c>
      <c r="B125" s="8">
        <v>118.0</v>
      </c>
      <c r="C125" s="8">
        <v>51.00000149011612</v>
      </c>
      <c r="D125" s="8">
        <v>415.0</v>
      </c>
      <c r="E125" s="9">
        <f t="shared" si="1"/>
        <v>0.2843373494</v>
      </c>
      <c r="F125" s="10">
        <f t="shared" si="2"/>
        <v>0.4322034025</v>
      </c>
      <c r="G125" s="10">
        <f t="shared" si="3"/>
        <v>0.1228915699</v>
      </c>
      <c r="H125" s="8">
        <v>2794.0</v>
      </c>
      <c r="I125" s="8">
        <v>1313.222257554531</v>
      </c>
      <c r="J125" s="8">
        <v>7118.0</v>
      </c>
      <c r="K125" s="11">
        <f t="shared" si="4"/>
        <v>0.3925259904</v>
      </c>
      <c r="L125" s="12">
        <f t="shared" si="5"/>
        <v>0.4700151244</v>
      </c>
      <c r="M125" s="12">
        <f t="shared" si="6"/>
        <v>0.1844931522</v>
      </c>
      <c r="N125" s="9">
        <f t="shared" si="7"/>
        <v>1.501267763</v>
      </c>
      <c r="P125" s="16"/>
      <c r="T125" s="18"/>
      <c r="U125" s="18"/>
      <c r="V125" s="18"/>
      <c r="W125" s="18"/>
    </row>
    <row r="126" ht="15.75" customHeight="1">
      <c r="A126" s="8">
        <v>30402.0</v>
      </c>
      <c r="B126" s="8">
        <v>98.0</v>
      </c>
      <c r="C126" s="8">
        <v>42.55555632710457</v>
      </c>
      <c r="D126" s="8">
        <v>159.0</v>
      </c>
      <c r="E126" s="9">
        <f t="shared" si="1"/>
        <v>0.6163522013</v>
      </c>
      <c r="F126" s="10">
        <f t="shared" si="2"/>
        <v>0.4342403707</v>
      </c>
      <c r="G126" s="10">
        <f t="shared" si="3"/>
        <v>0.2676450083</v>
      </c>
      <c r="H126" s="8">
        <v>4903.0</v>
      </c>
      <c r="I126" s="8">
        <v>2410.5556222200394</v>
      </c>
      <c r="J126" s="8">
        <v>6920.0</v>
      </c>
      <c r="K126" s="11">
        <f t="shared" si="4"/>
        <v>0.7085260116</v>
      </c>
      <c r="L126" s="12">
        <f t="shared" si="5"/>
        <v>0.4916491173</v>
      </c>
      <c r="M126" s="12">
        <f t="shared" si="6"/>
        <v>0.3483461882</v>
      </c>
      <c r="N126" s="9">
        <f t="shared" si="7"/>
        <v>1.301523202</v>
      </c>
      <c r="P126" s="16"/>
      <c r="T126" s="18"/>
      <c r="U126" s="18"/>
      <c r="V126" s="18"/>
      <c r="W126" s="18"/>
    </row>
    <row r="127" ht="15.75" customHeight="1">
      <c r="A127" s="8">
        <v>30403.0</v>
      </c>
      <c r="B127" s="8">
        <v>1465.0</v>
      </c>
      <c r="C127" s="8">
        <v>671.0000174045563</v>
      </c>
      <c r="D127" s="8">
        <v>2312.0</v>
      </c>
      <c r="E127" s="9">
        <f t="shared" si="1"/>
        <v>0.633650519</v>
      </c>
      <c r="F127" s="10">
        <f t="shared" si="2"/>
        <v>0.4580204897</v>
      </c>
      <c r="G127" s="10">
        <f t="shared" si="3"/>
        <v>0.290224921</v>
      </c>
      <c r="H127" s="8">
        <v>5242.0</v>
      </c>
      <c r="I127" s="8">
        <v>2310.555615901947</v>
      </c>
      <c r="J127" s="8">
        <v>14262.0</v>
      </c>
      <c r="K127" s="11">
        <f t="shared" si="4"/>
        <v>0.3675501332</v>
      </c>
      <c r="L127" s="12">
        <f t="shared" si="5"/>
        <v>0.4407774925</v>
      </c>
      <c r="M127" s="12">
        <f t="shared" si="6"/>
        <v>0.1620078261</v>
      </c>
      <c r="N127" s="9">
        <f t="shared" si="7"/>
        <v>0.5582147306</v>
      </c>
      <c r="P127" s="16"/>
      <c r="T127" s="18"/>
      <c r="U127" s="18"/>
      <c r="V127" s="18"/>
      <c r="W127" s="18"/>
    </row>
    <row r="128" ht="15.75" customHeight="1">
      <c r="A128" s="8">
        <v>30404.0</v>
      </c>
      <c r="B128" s="8">
        <v>45.0</v>
      </c>
      <c r="C128" s="8">
        <v>20.22222277522087</v>
      </c>
      <c r="D128" s="8">
        <v>98.0</v>
      </c>
      <c r="E128" s="9">
        <f t="shared" si="1"/>
        <v>0.4591836735</v>
      </c>
      <c r="F128" s="10">
        <f t="shared" si="2"/>
        <v>0.4493827283</v>
      </c>
      <c r="G128" s="10">
        <f t="shared" si="3"/>
        <v>0.206349212</v>
      </c>
      <c r="H128" s="8">
        <v>2648.0</v>
      </c>
      <c r="I128" s="8">
        <v>1241.1111430227757</v>
      </c>
      <c r="J128" s="8">
        <v>4192.0</v>
      </c>
      <c r="K128" s="11">
        <f t="shared" si="4"/>
        <v>0.6316793893</v>
      </c>
      <c r="L128" s="12">
        <f t="shared" si="5"/>
        <v>0.4686975616</v>
      </c>
      <c r="M128" s="12">
        <f t="shared" si="6"/>
        <v>0.2960665895</v>
      </c>
      <c r="N128" s="9">
        <f t="shared" si="7"/>
        <v>1.434784202</v>
      </c>
      <c r="P128" s="16"/>
      <c r="T128" s="18"/>
      <c r="U128" s="18"/>
      <c r="V128" s="18"/>
      <c r="W128" s="18"/>
    </row>
    <row r="129" ht="15.75" customHeight="1">
      <c r="A129" s="8">
        <v>30501.0</v>
      </c>
      <c r="B129" s="8">
        <v>125.0</v>
      </c>
      <c r="C129" s="8">
        <v>59.888890504837036</v>
      </c>
      <c r="D129" s="8">
        <v>290.0</v>
      </c>
      <c r="E129" s="9">
        <f t="shared" si="1"/>
        <v>0.4310344828</v>
      </c>
      <c r="F129" s="10">
        <f t="shared" si="2"/>
        <v>0.479111124</v>
      </c>
      <c r="G129" s="10">
        <f t="shared" si="3"/>
        <v>0.2065134155</v>
      </c>
      <c r="H129" s="8">
        <v>2469.0</v>
      </c>
      <c r="I129" s="8">
        <v>1073.2222505807877</v>
      </c>
      <c r="J129" s="8">
        <v>8869.0</v>
      </c>
      <c r="K129" s="11">
        <f t="shared" si="4"/>
        <v>0.2783853873</v>
      </c>
      <c r="L129" s="12">
        <f t="shared" si="5"/>
        <v>0.4346789188</v>
      </c>
      <c r="M129" s="12">
        <f t="shared" si="6"/>
        <v>0.1210082592</v>
      </c>
      <c r="N129" s="9">
        <f t="shared" si="7"/>
        <v>0.5859583449</v>
      </c>
      <c r="P129" s="16"/>
      <c r="T129" s="18"/>
      <c r="U129" s="18"/>
      <c r="V129" s="18"/>
      <c r="W129" s="18"/>
    </row>
    <row r="130" ht="15.75" customHeight="1">
      <c r="A130" s="8">
        <v>30502.0</v>
      </c>
      <c r="B130" s="8">
        <v>140.0</v>
      </c>
      <c r="C130" s="8">
        <v>65.44444632530212</v>
      </c>
      <c r="D130" s="8">
        <v>244.0</v>
      </c>
      <c r="E130" s="9">
        <f t="shared" si="1"/>
        <v>0.5737704918</v>
      </c>
      <c r="F130" s="10">
        <f t="shared" si="2"/>
        <v>0.4674603309</v>
      </c>
      <c r="G130" s="10">
        <f t="shared" si="3"/>
        <v>0.268214944</v>
      </c>
      <c r="H130" s="8">
        <v>4555.0</v>
      </c>
      <c r="I130" s="8">
        <v>2025.3333859741688</v>
      </c>
      <c r="J130" s="8">
        <v>8517.0</v>
      </c>
      <c r="K130" s="11">
        <f t="shared" si="4"/>
        <v>0.5348127275</v>
      </c>
      <c r="L130" s="12">
        <f t="shared" si="5"/>
        <v>0.4446396018</v>
      </c>
      <c r="M130" s="12">
        <f t="shared" si="6"/>
        <v>0.2377989182</v>
      </c>
      <c r="N130" s="9">
        <f t="shared" si="7"/>
        <v>0.886598318</v>
      </c>
      <c r="P130" s="16"/>
      <c r="T130" s="18"/>
      <c r="U130" s="18"/>
      <c r="V130" s="18"/>
      <c r="W130" s="18"/>
    </row>
    <row r="131" ht="15.75" customHeight="1">
      <c r="A131" s="8">
        <v>30601.0</v>
      </c>
      <c r="B131" s="8">
        <v>97.0</v>
      </c>
      <c r="C131" s="8">
        <v>44.22222337126732</v>
      </c>
      <c r="D131" s="8">
        <v>206.0</v>
      </c>
      <c r="E131" s="9">
        <f t="shared" si="1"/>
        <v>0.4708737864</v>
      </c>
      <c r="F131" s="10">
        <f t="shared" si="2"/>
        <v>0.45589921</v>
      </c>
      <c r="G131" s="10">
        <f t="shared" si="3"/>
        <v>0.2146709872</v>
      </c>
      <c r="H131" s="8">
        <v>8312.0</v>
      </c>
      <c r="I131" s="8">
        <v>4278.55567252636</v>
      </c>
      <c r="J131" s="8">
        <v>10186.0</v>
      </c>
      <c r="K131" s="11">
        <f t="shared" si="4"/>
        <v>0.816021991</v>
      </c>
      <c r="L131" s="12">
        <f t="shared" si="5"/>
        <v>0.5147444264</v>
      </c>
      <c r="M131" s="12">
        <f t="shared" si="6"/>
        <v>0.4200427717</v>
      </c>
      <c r="N131" s="9">
        <f t="shared" si="7"/>
        <v>1.956681604</v>
      </c>
      <c r="P131" s="16"/>
      <c r="T131" s="18"/>
      <c r="U131" s="18"/>
      <c r="V131" s="18"/>
      <c r="W131" s="18"/>
    </row>
    <row r="132" ht="15.75" customHeight="1">
      <c r="A132" s="8">
        <v>30602.0</v>
      </c>
      <c r="B132" s="8">
        <v>217.0</v>
      </c>
      <c r="C132" s="8">
        <v>89.66666874289513</v>
      </c>
      <c r="D132" s="8">
        <v>348.0</v>
      </c>
      <c r="E132" s="9">
        <f t="shared" si="1"/>
        <v>0.6235632184</v>
      </c>
      <c r="F132" s="10">
        <f t="shared" si="2"/>
        <v>0.413210455</v>
      </c>
      <c r="G132" s="10">
        <f t="shared" si="3"/>
        <v>0.2576628412</v>
      </c>
      <c r="H132" s="8">
        <v>6811.0</v>
      </c>
      <c r="I132" s="8">
        <v>3053.555633842945</v>
      </c>
      <c r="J132" s="8">
        <v>9631.0</v>
      </c>
      <c r="K132" s="11">
        <f t="shared" si="4"/>
        <v>0.7071955145</v>
      </c>
      <c r="L132" s="12">
        <f t="shared" si="5"/>
        <v>0.4483270641</v>
      </c>
      <c r="M132" s="12">
        <f t="shared" si="6"/>
        <v>0.3170548888</v>
      </c>
      <c r="N132" s="9">
        <f t="shared" si="7"/>
        <v>1.23050296</v>
      </c>
      <c r="P132" s="16"/>
      <c r="T132" s="18"/>
      <c r="U132" s="18"/>
      <c r="V132" s="18"/>
      <c r="W132" s="18"/>
    </row>
    <row r="133" ht="15.75" customHeight="1">
      <c r="A133" s="8">
        <v>30701.0</v>
      </c>
      <c r="B133" s="8">
        <v>553.0</v>
      </c>
      <c r="C133" s="8">
        <v>241.5555620789528</v>
      </c>
      <c r="D133" s="8">
        <v>1520.0</v>
      </c>
      <c r="E133" s="9">
        <f t="shared" si="1"/>
        <v>0.3638157895</v>
      </c>
      <c r="F133" s="10">
        <f t="shared" si="2"/>
        <v>0.4368093347</v>
      </c>
      <c r="G133" s="10">
        <f t="shared" si="3"/>
        <v>0.1589181329</v>
      </c>
      <c r="H133" s="8">
        <v>5983.0</v>
      </c>
      <c r="I133" s="8">
        <v>2726.8889572918415</v>
      </c>
      <c r="J133" s="8">
        <v>17295.0</v>
      </c>
      <c r="K133" s="11">
        <f t="shared" si="4"/>
        <v>0.3459381324</v>
      </c>
      <c r="L133" s="12">
        <f t="shared" si="5"/>
        <v>0.4557728493</v>
      </c>
      <c r="M133" s="12">
        <f t="shared" si="6"/>
        <v>0.1576692083</v>
      </c>
      <c r="N133" s="9">
        <f t="shared" si="7"/>
        <v>0.9921410815</v>
      </c>
      <c r="P133" s="16"/>
      <c r="T133" s="18"/>
      <c r="U133" s="18"/>
      <c r="V133" s="18"/>
      <c r="W133" s="18"/>
    </row>
    <row r="134" ht="15.75" customHeight="1">
      <c r="A134" s="8">
        <v>30702.0</v>
      </c>
      <c r="B134" s="8">
        <v>174.0</v>
      </c>
      <c r="C134" s="8">
        <v>72.44444614648819</v>
      </c>
      <c r="D134" s="8">
        <v>390.0</v>
      </c>
      <c r="E134" s="9">
        <f t="shared" si="1"/>
        <v>0.4461538462</v>
      </c>
      <c r="F134" s="10">
        <f t="shared" si="2"/>
        <v>0.4163473916</v>
      </c>
      <c r="G134" s="10">
        <f t="shared" si="3"/>
        <v>0.1857549901</v>
      </c>
      <c r="H134" s="8">
        <v>1902.0</v>
      </c>
      <c r="I134" s="8">
        <v>840.3333547711372</v>
      </c>
      <c r="J134" s="8">
        <v>5785.0</v>
      </c>
      <c r="K134" s="11">
        <f t="shared" si="4"/>
        <v>0.328781331</v>
      </c>
      <c r="L134" s="12">
        <f t="shared" si="5"/>
        <v>0.4418156439</v>
      </c>
      <c r="M134" s="12">
        <f t="shared" si="6"/>
        <v>0.1452607355</v>
      </c>
      <c r="N134" s="9">
        <f t="shared" si="7"/>
        <v>0.7820017938</v>
      </c>
      <c r="P134" s="16"/>
      <c r="T134" s="18"/>
      <c r="U134" s="18"/>
      <c r="V134" s="18"/>
      <c r="W134" s="18"/>
    </row>
    <row r="135" ht="15.75" customHeight="1">
      <c r="A135" s="8">
        <v>30703.0</v>
      </c>
      <c r="B135" s="8">
        <v>37.0</v>
      </c>
      <c r="C135" s="8">
        <v>17.22222277522087</v>
      </c>
      <c r="D135" s="8">
        <v>66.0</v>
      </c>
      <c r="E135" s="9">
        <f t="shared" si="1"/>
        <v>0.5606060606</v>
      </c>
      <c r="F135" s="10">
        <f t="shared" si="2"/>
        <v>0.4654654804</v>
      </c>
      <c r="G135" s="10">
        <f t="shared" si="3"/>
        <v>0.2609427693</v>
      </c>
      <c r="H135" s="8">
        <v>2091.0</v>
      </c>
      <c r="I135" s="8">
        <v>989.888916015625</v>
      </c>
      <c r="J135" s="8">
        <v>3630.0</v>
      </c>
      <c r="K135" s="11">
        <f t="shared" si="4"/>
        <v>0.5760330579</v>
      </c>
      <c r="L135" s="12">
        <f t="shared" si="5"/>
        <v>0.4734045509</v>
      </c>
      <c r="M135" s="12">
        <f t="shared" si="6"/>
        <v>0.2726966711</v>
      </c>
      <c r="N135" s="9">
        <f t="shared" si="7"/>
        <v>1.045043983</v>
      </c>
      <c r="P135" s="16"/>
      <c r="T135" s="18"/>
      <c r="U135" s="18"/>
      <c r="V135" s="18"/>
      <c r="W135" s="18"/>
    </row>
    <row r="136" ht="15.75" customHeight="1">
      <c r="A136" s="8">
        <v>30801.0</v>
      </c>
      <c r="B136" s="8">
        <v>254.0</v>
      </c>
      <c r="C136" s="8">
        <v>96.88889101147652</v>
      </c>
      <c r="D136" s="8">
        <v>1033.0</v>
      </c>
      <c r="E136" s="9">
        <f t="shared" si="1"/>
        <v>0.2458857696</v>
      </c>
      <c r="F136" s="10">
        <f t="shared" si="2"/>
        <v>0.3814523268</v>
      </c>
      <c r="G136" s="10">
        <f t="shared" si="3"/>
        <v>0.09379369895</v>
      </c>
      <c r="H136" s="8">
        <v>3046.0</v>
      </c>
      <c r="I136" s="8">
        <v>1161.1111409962177</v>
      </c>
      <c r="J136" s="8">
        <v>19868.0</v>
      </c>
      <c r="K136" s="11">
        <f t="shared" si="4"/>
        <v>0.1533118583</v>
      </c>
      <c r="L136" s="12">
        <f t="shared" si="5"/>
        <v>0.3811921014</v>
      </c>
      <c r="M136" s="12">
        <f t="shared" si="6"/>
        <v>0.05844126943</v>
      </c>
      <c r="N136" s="9">
        <f t="shared" si="7"/>
        <v>0.6230831078</v>
      </c>
      <c r="P136" s="16"/>
      <c r="T136" s="18"/>
      <c r="U136" s="18"/>
      <c r="V136" s="18"/>
      <c r="W136" s="18"/>
    </row>
    <row r="137" ht="15.75" customHeight="1">
      <c r="A137" s="8">
        <v>30802.0</v>
      </c>
      <c r="B137" s="8">
        <v>34.0</v>
      </c>
      <c r="C137" s="8">
        <v>12.222222536802292</v>
      </c>
      <c r="D137" s="8">
        <v>69.0</v>
      </c>
      <c r="E137" s="9">
        <f t="shared" si="1"/>
        <v>0.4927536232</v>
      </c>
      <c r="F137" s="10">
        <f t="shared" si="2"/>
        <v>0.3594771334</v>
      </c>
      <c r="G137" s="10">
        <f t="shared" si="3"/>
        <v>0.17713366</v>
      </c>
      <c r="H137" s="8">
        <v>1942.0</v>
      </c>
      <c r="I137" s="8">
        <v>806.8889090716839</v>
      </c>
      <c r="J137" s="8">
        <v>6866.0</v>
      </c>
      <c r="K137" s="11">
        <f t="shared" si="4"/>
        <v>0.2828429945</v>
      </c>
      <c r="L137" s="12">
        <f t="shared" si="5"/>
        <v>0.415493774</v>
      </c>
      <c r="M137" s="12">
        <f t="shared" si="6"/>
        <v>0.1175195032</v>
      </c>
      <c r="N137" s="9">
        <f t="shared" si="7"/>
        <v>0.6634509965</v>
      </c>
      <c r="P137" s="16"/>
      <c r="T137" s="18"/>
      <c r="U137" s="18"/>
      <c r="V137" s="18"/>
      <c r="W137" s="18"/>
    </row>
    <row r="138" ht="15.75" customHeight="1">
      <c r="A138" s="8">
        <v>30803.0</v>
      </c>
      <c r="B138" s="8">
        <v>139.0</v>
      </c>
      <c r="C138" s="8">
        <v>52.77777886390686</v>
      </c>
      <c r="D138" s="8">
        <v>440.0</v>
      </c>
      <c r="E138" s="9">
        <f t="shared" si="1"/>
        <v>0.3159090909</v>
      </c>
      <c r="F138" s="10">
        <f t="shared" si="2"/>
        <v>0.3796962508</v>
      </c>
      <c r="G138" s="10">
        <f t="shared" si="3"/>
        <v>0.1199494974</v>
      </c>
      <c r="H138" s="8">
        <v>1067.0</v>
      </c>
      <c r="I138" s="8">
        <v>420.22223287820816</v>
      </c>
      <c r="J138" s="8">
        <v>4507.0</v>
      </c>
      <c r="K138" s="11">
        <f t="shared" si="4"/>
        <v>0.2367428445</v>
      </c>
      <c r="L138" s="12">
        <f t="shared" si="5"/>
        <v>0.3938352698</v>
      </c>
      <c r="M138" s="12">
        <f t="shared" si="6"/>
        <v>0.09323768202</v>
      </c>
      <c r="N138" s="9">
        <f t="shared" si="7"/>
        <v>0.7773078173</v>
      </c>
      <c r="P138" s="16"/>
      <c r="T138" s="18"/>
      <c r="U138" s="18"/>
      <c r="V138" s="18"/>
      <c r="W138" s="18"/>
    </row>
    <row r="139" ht="15.75" customHeight="1">
      <c r="A139" s="8">
        <v>30901.0</v>
      </c>
      <c r="B139" s="8">
        <v>2268.0</v>
      </c>
      <c r="C139" s="8">
        <v>889.5555776059628</v>
      </c>
      <c r="D139" s="8">
        <v>10976.0</v>
      </c>
      <c r="E139" s="9">
        <f t="shared" si="1"/>
        <v>0.2066326531</v>
      </c>
      <c r="F139" s="10">
        <f t="shared" si="2"/>
        <v>0.3922202723</v>
      </c>
      <c r="G139" s="10">
        <f t="shared" si="3"/>
        <v>0.08104551545</v>
      </c>
      <c r="H139" s="8">
        <v>19082.0</v>
      </c>
      <c r="I139" s="8">
        <v>7631.222419470549</v>
      </c>
      <c r="J139" s="8">
        <v>120398.0</v>
      </c>
      <c r="K139" s="11">
        <f t="shared" si="4"/>
        <v>0.1584910048</v>
      </c>
      <c r="L139" s="12">
        <f t="shared" si="5"/>
        <v>0.3999173262</v>
      </c>
      <c r="M139" s="12">
        <f t="shared" si="6"/>
        <v>0.06338329889</v>
      </c>
      <c r="N139" s="9">
        <f t="shared" si="7"/>
        <v>0.7820704025</v>
      </c>
      <c r="P139" s="16"/>
      <c r="T139" s="18"/>
      <c r="U139" s="18"/>
      <c r="V139" s="18"/>
      <c r="W139" s="18"/>
    </row>
    <row r="140" ht="15.75" customHeight="1">
      <c r="A140" s="8">
        <v>30902.0</v>
      </c>
      <c r="B140" s="8">
        <v>1300.0</v>
      </c>
      <c r="C140" s="8">
        <v>555.6666809916496</v>
      </c>
      <c r="D140" s="8">
        <v>4335.0</v>
      </c>
      <c r="E140" s="9">
        <f t="shared" si="1"/>
        <v>0.2998846597</v>
      </c>
      <c r="F140" s="10">
        <f t="shared" si="2"/>
        <v>0.4274359085</v>
      </c>
      <c r="G140" s="10">
        <f t="shared" si="3"/>
        <v>0.128181472</v>
      </c>
      <c r="H140" s="8">
        <v>9680.0</v>
      </c>
      <c r="I140" s="8">
        <v>4375.333446860313</v>
      </c>
      <c r="J140" s="8">
        <v>35950.0</v>
      </c>
      <c r="K140" s="11">
        <f t="shared" si="4"/>
        <v>0.2692628651</v>
      </c>
      <c r="L140" s="12">
        <f t="shared" si="5"/>
        <v>0.4519972569</v>
      </c>
      <c r="M140" s="12">
        <f t="shared" si="6"/>
        <v>0.1217060764</v>
      </c>
      <c r="N140" s="9">
        <f t="shared" si="7"/>
        <v>0.9494825932</v>
      </c>
      <c r="P140" s="16"/>
      <c r="T140" s="18"/>
      <c r="U140" s="18"/>
      <c r="V140" s="18"/>
      <c r="W140" s="18"/>
    </row>
    <row r="141" ht="15.75" customHeight="1">
      <c r="A141" s="8">
        <v>30903.0</v>
      </c>
      <c r="B141" s="8">
        <v>1309.0</v>
      </c>
      <c r="C141" s="8">
        <v>515.4444571733475</v>
      </c>
      <c r="D141" s="8">
        <v>5173.0</v>
      </c>
      <c r="E141" s="9">
        <f t="shared" si="1"/>
        <v>0.2530446549</v>
      </c>
      <c r="F141" s="10">
        <f t="shared" si="2"/>
        <v>0.3937696388</v>
      </c>
      <c r="G141" s="10">
        <f t="shared" si="3"/>
        <v>0.09964130237</v>
      </c>
      <c r="H141" s="8">
        <v>11389.0</v>
      </c>
      <c r="I141" s="8">
        <v>4668.77789914608</v>
      </c>
      <c r="J141" s="8">
        <v>46145.0</v>
      </c>
      <c r="K141" s="11">
        <f t="shared" si="4"/>
        <v>0.2468089717</v>
      </c>
      <c r="L141" s="12">
        <f t="shared" si="5"/>
        <v>0.4099374747</v>
      </c>
      <c r="M141" s="12">
        <f t="shared" si="6"/>
        <v>0.1011762466</v>
      </c>
      <c r="N141" s="9">
        <f t="shared" si="7"/>
        <v>1.015404699</v>
      </c>
      <c r="P141" s="16"/>
      <c r="T141" s="18"/>
      <c r="U141" s="18"/>
      <c r="V141" s="18"/>
      <c r="W141" s="18"/>
    </row>
    <row r="142" ht="15.75" customHeight="1">
      <c r="A142" s="8">
        <v>30904.0</v>
      </c>
      <c r="B142" s="8">
        <v>2157.0</v>
      </c>
      <c r="C142" s="8">
        <v>877.7777997851372</v>
      </c>
      <c r="D142" s="8">
        <v>6818.0</v>
      </c>
      <c r="E142" s="9">
        <f t="shared" si="1"/>
        <v>0.3163684365</v>
      </c>
      <c r="F142" s="10">
        <f t="shared" si="2"/>
        <v>0.4069438107</v>
      </c>
      <c r="G142" s="10">
        <f t="shared" si="3"/>
        <v>0.1287441771</v>
      </c>
      <c r="H142" s="8">
        <v>11476.0</v>
      </c>
      <c r="I142" s="8">
        <v>4687.000118881464</v>
      </c>
      <c r="J142" s="8">
        <v>43409.0</v>
      </c>
      <c r="K142" s="11">
        <f t="shared" si="4"/>
        <v>0.26436914</v>
      </c>
      <c r="L142" s="12">
        <f t="shared" si="5"/>
        <v>0.4084175775</v>
      </c>
      <c r="M142" s="12">
        <f t="shared" si="6"/>
        <v>0.1079730037</v>
      </c>
      <c r="N142" s="9">
        <f t="shared" si="7"/>
        <v>0.8386632011</v>
      </c>
      <c r="P142" s="16"/>
      <c r="T142" s="18"/>
      <c r="U142" s="18"/>
      <c r="V142" s="18"/>
      <c r="W142" s="18"/>
    </row>
    <row r="143" ht="15.75" customHeight="1">
      <c r="A143" s="8">
        <v>30905.0</v>
      </c>
      <c r="B143" s="8">
        <v>619.0</v>
      </c>
      <c r="C143" s="8">
        <v>231.0000059902668</v>
      </c>
      <c r="D143" s="8">
        <v>5219.0</v>
      </c>
      <c r="E143" s="9">
        <f t="shared" si="1"/>
        <v>0.1186050968</v>
      </c>
      <c r="F143" s="10">
        <f t="shared" si="2"/>
        <v>0.3731825622</v>
      </c>
      <c r="G143" s="10">
        <f t="shared" si="3"/>
        <v>0.0442613539</v>
      </c>
      <c r="H143" s="8">
        <v>4674.0</v>
      </c>
      <c r="I143" s="8">
        <v>1740.6667093336582</v>
      </c>
      <c r="J143" s="8">
        <v>44864.0</v>
      </c>
      <c r="K143" s="11">
        <f t="shared" si="4"/>
        <v>0.1041815264</v>
      </c>
      <c r="L143" s="12">
        <f t="shared" si="5"/>
        <v>0.3724147859</v>
      </c>
      <c r="M143" s="12">
        <f t="shared" si="6"/>
        <v>0.03879874085</v>
      </c>
      <c r="N143" s="9">
        <f t="shared" si="7"/>
        <v>0.8765827845</v>
      </c>
      <c r="P143" s="16"/>
      <c r="T143" s="18"/>
      <c r="U143" s="18"/>
      <c r="V143" s="18"/>
      <c r="W143" s="18"/>
    </row>
    <row r="144" ht="15.75" customHeight="1">
      <c r="A144" s="8">
        <v>31001.0</v>
      </c>
      <c r="B144" s="8">
        <v>5353.0</v>
      </c>
      <c r="C144" s="8">
        <v>2228.1111683249474</v>
      </c>
      <c r="D144" s="8">
        <v>17564.0</v>
      </c>
      <c r="E144" s="9">
        <f t="shared" si="1"/>
        <v>0.3047711228</v>
      </c>
      <c r="F144" s="10">
        <f t="shared" si="2"/>
        <v>0.4162359739</v>
      </c>
      <c r="G144" s="10">
        <f t="shared" si="3"/>
        <v>0.1268567051</v>
      </c>
      <c r="H144" s="8">
        <v>33773.0</v>
      </c>
      <c r="I144" s="8">
        <v>13764.111461549997</v>
      </c>
      <c r="J144" s="8">
        <v>147659.0</v>
      </c>
      <c r="K144" s="11">
        <f t="shared" si="4"/>
        <v>0.228722936</v>
      </c>
      <c r="L144" s="12">
        <f t="shared" si="5"/>
        <v>0.4075477885</v>
      </c>
      <c r="M144" s="12">
        <f t="shared" si="6"/>
        <v>0.09321552673</v>
      </c>
      <c r="N144" s="9">
        <f t="shared" si="7"/>
        <v>0.7348096158</v>
      </c>
      <c r="P144" s="16"/>
      <c r="T144" s="18"/>
      <c r="U144" s="18"/>
      <c r="V144" s="18"/>
      <c r="W144" s="18"/>
    </row>
    <row r="145" ht="15.75" customHeight="1">
      <c r="A145" s="8">
        <v>31002.0</v>
      </c>
      <c r="B145" s="8">
        <v>494.0</v>
      </c>
      <c r="C145" s="8">
        <v>233.77778327465057</v>
      </c>
      <c r="D145" s="8">
        <v>888.0</v>
      </c>
      <c r="E145" s="9">
        <f t="shared" si="1"/>
        <v>0.5563063063</v>
      </c>
      <c r="F145" s="10">
        <f t="shared" si="2"/>
        <v>0.4732343791</v>
      </c>
      <c r="G145" s="10">
        <f t="shared" si="3"/>
        <v>0.2632632695</v>
      </c>
      <c r="H145" s="8">
        <v>7245.0</v>
      </c>
      <c r="I145" s="8">
        <v>3275.5556385815144</v>
      </c>
      <c r="J145" s="8">
        <v>17511.0</v>
      </c>
      <c r="K145" s="11">
        <f t="shared" si="4"/>
        <v>0.4137399349</v>
      </c>
      <c r="L145" s="12">
        <f t="shared" si="5"/>
        <v>0.4521125795</v>
      </c>
      <c r="M145" s="12">
        <f t="shared" si="6"/>
        <v>0.1870570292</v>
      </c>
      <c r="N145" s="9">
        <f t="shared" si="7"/>
        <v>0.7105321969</v>
      </c>
      <c r="P145" s="16"/>
      <c r="T145" s="18"/>
      <c r="U145" s="18"/>
      <c r="V145" s="18"/>
      <c r="W145" s="18"/>
    </row>
    <row r="146" ht="15.75" customHeight="1">
      <c r="A146" s="8">
        <v>31003.0</v>
      </c>
      <c r="B146" s="8">
        <v>4900.0</v>
      </c>
      <c r="C146" s="8">
        <v>2226.7778322696686</v>
      </c>
      <c r="D146" s="8">
        <v>8026.0</v>
      </c>
      <c r="E146" s="9">
        <f t="shared" si="1"/>
        <v>0.6105158236</v>
      </c>
      <c r="F146" s="10">
        <f t="shared" si="2"/>
        <v>0.4544444556</v>
      </c>
      <c r="G146" s="10">
        <f t="shared" si="3"/>
        <v>0.2774455311</v>
      </c>
      <c r="H146" s="8">
        <v>35424.0</v>
      </c>
      <c r="I146" s="8">
        <v>15963.111511260271</v>
      </c>
      <c r="J146" s="8">
        <v>59907.0</v>
      </c>
      <c r="K146" s="11">
        <f t="shared" si="4"/>
        <v>0.5913165406</v>
      </c>
      <c r="L146" s="12">
        <f t="shared" si="5"/>
        <v>0.4506298417</v>
      </c>
      <c r="M146" s="12">
        <f t="shared" si="6"/>
        <v>0.2664648791</v>
      </c>
      <c r="N146" s="9">
        <f t="shared" si="7"/>
        <v>0.9604223145</v>
      </c>
      <c r="P146" s="16"/>
      <c r="T146" s="18"/>
      <c r="U146" s="18"/>
      <c r="V146" s="18"/>
      <c r="W146" s="18"/>
    </row>
    <row r="147" ht="15.75" customHeight="1">
      <c r="A147" s="8">
        <v>31101.0</v>
      </c>
      <c r="B147" s="8">
        <v>234.0</v>
      </c>
      <c r="C147" s="8">
        <v>111.66666933894157</v>
      </c>
      <c r="D147" s="8">
        <v>393.0</v>
      </c>
      <c r="E147" s="9">
        <f t="shared" si="1"/>
        <v>0.5954198473</v>
      </c>
      <c r="F147" s="10">
        <f t="shared" si="2"/>
        <v>0.4772079886</v>
      </c>
      <c r="G147" s="10">
        <f t="shared" si="3"/>
        <v>0.2841391077</v>
      </c>
      <c r="H147" s="8">
        <v>19339.0</v>
      </c>
      <c r="I147" s="8">
        <v>9807.111375808716</v>
      </c>
      <c r="J147" s="8">
        <v>23857.0</v>
      </c>
      <c r="K147" s="11">
        <f t="shared" si="4"/>
        <v>0.8106216205</v>
      </c>
      <c r="L147" s="12">
        <f t="shared" si="5"/>
        <v>0.5071157441</v>
      </c>
      <c r="M147" s="12">
        <f t="shared" si="6"/>
        <v>0.4110789863</v>
      </c>
      <c r="N147" s="9">
        <f t="shared" si="7"/>
        <v>1.446752577</v>
      </c>
      <c r="P147" s="16"/>
      <c r="T147" s="18"/>
      <c r="U147" s="18"/>
      <c r="V147" s="18"/>
      <c r="W147" s="18"/>
    </row>
    <row r="148" ht="15.75" customHeight="1">
      <c r="A148" s="8">
        <v>31201.0</v>
      </c>
      <c r="B148" s="8">
        <v>191.0</v>
      </c>
      <c r="C148" s="8">
        <v>83.88889104127884</v>
      </c>
      <c r="D148" s="8">
        <v>490.0</v>
      </c>
      <c r="E148" s="9">
        <f t="shared" si="1"/>
        <v>0.3897959184</v>
      </c>
      <c r="F148" s="10">
        <f t="shared" si="2"/>
        <v>0.4392088536</v>
      </c>
      <c r="G148" s="10">
        <f t="shared" si="3"/>
        <v>0.1712018185</v>
      </c>
      <c r="H148" s="8">
        <v>10060.0</v>
      </c>
      <c r="I148" s="8">
        <v>5125.2223581671715</v>
      </c>
      <c r="J148" s="8">
        <v>13854.0</v>
      </c>
      <c r="K148" s="11">
        <f t="shared" si="4"/>
        <v>0.7261440739</v>
      </c>
      <c r="L148" s="12">
        <f t="shared" si="5"/>
        <v>0.5094654432</v>
      </c>
      <c r="M148" s="12">
        <f t="shared" si="6"/>
        <v>0.3699453124</v>
      </c>
      <c r="N148" s="9">
        <f t="shared" si="7"/>
        <v>2.160872564</v>
      </c>
      <c r="P148" s="16"/>
      <c r="T148" s="18"/>
      <c r="U148" s="18"/>
      <c r="V148" s="18"/>
      <c r="W148" s="18"/>
    </row>
    <row r="149" ht="15.75" customHeight="1">
      <c r="A149" s="8">
        <v>31202.0</v>
      </c>
      <c r="B149" s="8">
        <v>341.0</v>
      </c>
      <c r="C149" s="8">
        <v>175.44444939494133</v>
      </c>
      <c r="D149" s="8">
        <v>512.0</v>
      </c>
      <c r="E149" s="9">
        <f t="shared" si="1"/>
        <v>0.666015625</v>
      </c>
      <c r="F149" s="10">
        <f t="shared" si="2"/>
        <v>0.5144998516</v>
      </c>
      <c r="G149" s="10">
        <f t="shared" si="3"/>
        <v>0.3426649402</v>
      </c>
      <c r="H149" s="8">
        <v>6770.0</v>
      </c>
      <c r="I149" s="8">
        <v>3450.2223162949085</v>
      </c>
      <c r="J149" s="8">
        <v>9438.0</v>
      </c>
      <c r="K149" s="11">
        <f t="shared" si="4"/>
        <v>0.71731299</v>
      </c>
      <c r="L149" s="12">
        <f t="shared" si="5"/>
        <v>0.5096340201</v>
      </c>
      <c r="M149" s="12">
        <f t="shared" si="6"/>
        <v>0.3655671028</v>
      </c>
      <c r="N149" s="9">
        <f t="shared" si="7"/>
        <v>1.066835442</v>
      </c>
      <c r="P149" s="16"/>
      <c r="T149" s="18"/>
      <c r="U149" s="18"/>
      <c r="V149" s="18"/>
      <c r="W149" s="18"/>
    </row>
    <row r="150" ht="15.75" customHeight="1">
      <c r="A150" s="8">
        <v>31203.0</v>
      </c>
      <c r="B150" s="8">
        <v>128.0</v>
      </c>
      <c r="C150" s="8">
        <v>59.777779161930084</v>
      </c>
      <c r="D150" s="8">
        <v>318.0</v>
      </c>
      <c r="E150" s="9">
        <f t="shared" si="1"/>
        <v>0.4025157233</v>
      </c>
      <c r="F150" s="10">
        <f t="shared" si="2"/>
        <v>0.4670138997</v>
      </c>
      <c r="G150" s="10">
        <f t="shared" si="3"/>
        <v>0.1879804376</v>
      </c>
      <c r="H150" s="8">
        <v>5263.0</v>
      </c>
      <c r="I150" s="8">
        <v>2347.000059366226</v>
      </c>
      <c r="J150" s="8">
        <v>10075.0</v>
      </c>
      <c r="K150" s="11">
        <f t="shared" si="4"/>
        <v>0.522382134</v>
      </c>
      <c r="L150" s="12">
        <f t="shared" si="5"/>
        <v>0.4459433896</v>
      </c>
      <c r="M150" s="12">
        <f t="shared" si="6"/>
        <v>0.2329528595</v>
      </c>
      <c r="N150" s="9">
        <f t="shared" si="7"/>
        <v>1.239239904</v>
      </c>
      <c r="P150" s="16"/>
      <c r="T150" s="18"/>
      <c r="U150" s="18"/>
      <c r="V150" s="18"/>
      <c r="W150" s="18"/>
    </row>
    <row r="151" ht="15.75" customHeight="1">
      <c r="A151" s="8">
        <v>31204.0</v>
      </c>
      <c r="B151" s="8">
        <v>1113.0</v>
      </c>
      <c r="C151" s="8">
        <v>484.0000128149986</v>
      </c>
      <c r="D151" s="8">
        <v>2484.0</v>
      </c>
      <c r="E151" s="9">
        <f t="shared" si="1"/>
        <v>0.4480676329</v>
      </c>
      <c r="F151" s="10">
        <f t="shared" si="2"/>
        <v>0.4348607483</v>
      </c>
      <c r="G151" s="10">
        <f t="shared" si="3"/>
        <v>0.1948470261</v>
      </c>
      <c r="H151" s="8">
        <v>9772.0</v>
      </c>
      <c r="I151" s="8">
        <v>4508.777895390987</v>
      </c>
      <c r="J151" s="8">
        <v>17864.0</v>
      </c>
      <c r="K151" s="11">
        <f t="shared" si="4"/>
        <v>0.5470219436</v>
      </c>
      <c r="L151" s="12">
        <f t="shared" si="5"/>
        <v>0.4613976561</v>
      </c>
      <c r="M151" s="12">
        <f t="shared" si="6"/>
        <v>0.2523946426</v>
      </c>
      <c r="N151" s="9">
        <f t="shared" si="7"/>
        <v>1.295347677</v>
      </c>
      <c r="P151" s="16"/>
      <c r="T151" s="18"/>
      <c r="U151" s="18"/>
      <c r="V151" s="18"/>
      <c r="W151" s="18"/>
    </row>
    <row r="152" ht="15.75" customHeight="1">
      <c r="A152" s="8">
        <v>31205.0</v>
      </c>
      <c r="B152" s="8">
        <v>2612.0</v>
      </c>
      <c r="C152" s="8">
        <v>1176.8889188468456</v>
      </c>
      <c r="D152" s="8">
        <v>5449.0</v>
      </c>
      <c r="E152" s="9">
        <f t="shared" si="1"/>
        <v>0.4793540099</v>
      </c>
      <c r="F152" s="10">
        <f t="shared" si="2"/>
        <v>0.4505700302</v>
      </c>
      <c r="G152" s="10">
        <f t="shared" si="3"/>
        <v>0.2159825507</v>
      </c>
      <c r="H152" s="8">
        <v>19455.0</v>
      </c>
      <c r="I152" s="8">
        <v>8729.777995854616</v>
      </c>
      <c r="J152" s="8">
        <v>39328.0</v>
      </c>
      <c r="K152" s="11">
        <f t="shared" si="4"/>
        <v>0.4946857201</v>
      </c>
      <c r="L152" s="12">
        <f t="shared" si="5"/>
        <v>0.4487164223</v>
      </c>
      <c r="M152" s="12">
        <f t="shared" si="6"/>
        <v>0.2219736065</v>
      </c>
      <c r="N152" s="9">
        <f t="shared" si="7"/>
        <v>1.02773861</v>
      </c>
      <c r="P152" s="16"/>
      <c r="T152" s="18"/>
      <c r="U152" s="18"/>
      <c r="V152" s="18"/>
      <c r="W152" s="18"/>
    </row>
    <row r="153" ht="15.75" customHeight="1">
      <c r="A153" s="8">
        <v>31206.0</v>
      </c>
      <c r="B153" s="8">
        <v>1484.0</v>
      </c>
      <c r="C153" s="8">
        <v>657.6666833758354</v>
      </c>
      <c r="D153" s="8">
        <v>3425.0</v>
      </c>
      <c r="E153" s="9">
        <f t="shared" si="1"/>
        <v>0.4332846715</v>
      </c>
      <c r="F153" s="10">
        <f t="shared" si="2"/>
        <v>0.4431716195</v>
      </c>
      <c r="G153" s="10">
        <f t="shared" si="3"/>
        <v>0.1920194696</v>
      </c>
      <c r="H153" s="8">
        <v>13292.0</v>
      </c>
      <c r="I153" s="8">
        <v>5863.7779186069965</v>
      </c>
      <c r="J153" s="8">
        <v>25319.0</v>
      </c>
      <c r="K153" s="11">
        <f t="shared" si="4"/>
        <v>0.5249812394</v>
      </c>
      <c r="L153" s="12">
        <f t="shared" si="5"/>
        <v>0.4411509117</v>
      </c>
      <c r="M153" s="12">
        <f t="shared" si="6"/>
        <v>0.2315959524</v>
      </c>
      <c r="N153" s="9">
        <f t="shared" si="7"/>
        <v>1.206106614</v>
      </c>
      <c r="P153" s="16"/>
      <c r="T153" s="18"/>
      <c r="U153" s="18"/>
      <c r="V153" s="18"/>
      <c r="W153" s="18"/>
    </row>
    <row r="154" ht="15.75" customHeight="1">
      <c r="A154" s="8">
        <v>31301.0</v>
      </c>
      <c r="B154" s="8">
        <v>356.0</v>
      </c>
      <c r="C154" s="8">
        <v>165.66667094826698</v>
      </c>
      <c r="D154" s="8">
        <v>815.0</v>
      </c>
      <c r="E154" s="9">
        <f t="shared" si="1"/>
        <v>0.436809816</v>
      </c>
      <c r="F154" s="10">
        <f t="shared" si="2"/>
        <v>0.4653558173</v>
      </c>
      <c r="G154" s="10">
        <f t="shared" si="3"/>
        <v>0.2032719889</v>
      </c>
      <c r="H154" s="8">
        <v>10314.0</v>
      </c>
      <c r="I154" s="8">
        <v>5098.444579333067</v>
      </c>
      <c r="J154" s="8">
        <v>18438.0</v>
      </c>
      <c r="K154" s="11">
        <f t="shared" si="4"/>
        <v>0.55938822</v>
      </c>
      <c r="L154" s="12">
        <f t="shared" si="5"/>
        <v>0.4943227244</v>
      </c>
      <c r="M154" s="12">
        <f t="shared" si="6"/>
        <v>0.2765183089</v>
      </c>
      <c r="N154" s="9">
        <f t="shared" si="7"/>
        <v>1.360336515</v>
      </c>
      <c r="P154" s="16"/>
      <c r="T154" s="18"/>
      <c r="U154" s="18"/>
      <c r="V154" s="18"/>
      <c r="W154" s="18"/>
    </row>
    <row r="155" ht="15.75" customHeight="1">
      <c r="A155" s="8">
        <v>31302.0</v>
      </c>
      <c r="B155" s="8">
        <v>41.0</v>
      </c>
      <c r="C155" s="8">
        <v>20.000000566244125</v>
      </c>
      <c r="D155" s="8">
        <v>66.0</v>
      </c>
      <c r="E155" s="9">
        <f t="shared" si="1"/>
        <v>0.6212121212</v>
      </c>
      <c r="F155" s="10">
        <f t="shared" si="2"/>
        <v>0.4878048919</v>
      </c>
      <c r="G155" s="10">
        <f t="shared" si="3"/>
        <v>0.3030303116</v>
      </c>
      <c r="H155" s="8">
        <v>4458.0</v>
      </c>
      <c r="I155" s="8">
        <v>2456.1111785769463</v>
      </c>
      <c r="J155" s="8">
        <v>5289.0</v>
      </c>
      <c r="K155" s="11">
        <f t="shared" si="4"/>
        <v>0.8428814521</v>
      </c>
      <c r="L155" s="12">
        <f t="shared" si="5"/>
        <v>0.550944634</v>
      </c>
      <c r="M155" s="12">
        <f t="shared" si="6"/>
        <v>0.4643810132</v>
      </c>
      <c r="N155" s="9">
        <f t="shared" si="7"/>
        <v>1.5324573</v>
      </c>
      <c r="P155" s="16"/>
      <c r="T155" s="18"/>
      <c r="U155" s="18"/>
      <c r="V155" s="18"/>
      <c r="W155" s="18"/>
    </row>
    <row r="156" ht="15.75" customHeight="1">
      <c r="A156" s="8">
        <v>31303.0</v>
      </c>
      <c r="B156" s="8">
        <v>80.0</v>
      </c>
      <c r="C156" s="8">
        <v>40.000000953674316</v>
      </c>
      <c r="D156" s="8">
        <v>106.0</v>
      </c>
      <c r="E156" s="9">
        <f t="shared" si="1"/>
        <v>0.7547169811</v>
      </c>
      <c r="F156" s="10">
        <f t="shared" si="2"/>
        <v>0.5000000119</v>
      </c>
      <c r="G156" s="10">
        <f t="shared" si="3"/>
        <v>0.3773584996</v>
      </c>
      <c r="H156" s="8">
        <v>2961.0</v>
      </c>
      <c r="I156" s="8">
        <v>1583.0000418126583</v>
      </c>
      <c r="J156" s="8">
        <v>3277.0</v>
      </c>
      <c r="K156" s="11">
        <f t="shared" si="4"/>
        <v>0.9035703387</v>
      </c>
      <c r="L156" s="12">
        <f t="shared" si="5"/>
        <v>0.5346166977</v>
      </c>
      <c r="M156" s="12">
        <f t="shared" si="6"/>
        <v>0.4830637906</v>
      </c>
      <c r="N156" s="9">
        <f t="shared" si="7"/>
        <v>1.280119015</v>
      </c>
      <c r="P156" s="16"/>
      <c r="T156" s="18"/>
      <c r="U156" s="18"/>
      <c r="V156" s="18"/>
      <c r="W156" s="18"/>
    </row>
    <row r="157" ht="15.75" customHeight="1">
      <c r="A157" s="20">
        <v>31304.0</v>
      </c>
      <c r="B157" s="8">
        <v>91.0</v>
      </c>
      <c r="C157" s="8">
        <v>47.00000116229057</v>
      </c>
      <c r="D157" s="8">
        <v>122.0</v>
      </c>
      <c r="E157" s="9">
        <f t="shared" si="1"/>
        <v>0.7459016393</v>
      </c>
      <c r="F157" s="10">
        <f t="shared" si="2"/>
        <v>0.5164835293</v>
      </c>
      <c r="G157" s="10">
        <f t="shared" si="3"/>
        <v>0.3852459112</v>
      </c>
      <c r="H157" s="8">
        <v>6480.0</v>
      </c>
      <c r="I157" s="8">
        <v>3887.777881413698</v>
      </c>
      <c r="J157" s="8">
        <v>6827.0</v>
      </c>
      <c r="K157" s="11">
        <f t="shared" si="4"/>
        <v>0.9491724037</v>
      </c>
      <c r="L157" s="12">
        <f t="shared" si="5"/>
        <v>0.5999657224</v>
      </c>
      <c r="M157" s="12">
        <f t="shared" si="6"/>
        <v>0.5694709069</v>
      </c>
      <c r="N157" s="9">
        <f t="shared" si="7"/>
        <v>1.478201041</v>
      </c>
      <c r="P157" s="16"/>
      <c r="T157" s="18"/>
      <c r="U157" s="18"/>
      <c r="V157" s="18"/>
      <c r="W157" s="18"/>
    </row>
    <row r="158" ht="15.75" customHeight="1">
      <c r="A158" s="8">
        <v>31401.0</v>
      </c>
      <c r="B158" s="8">
        <v>194.0</v>
      </c>
      <c r="C158" s="8">
        <v>77.44444626569748</v>
      </c>
      <c r="D158" s="8">
        <v>903.0</v>
      </c>
      <c r="E158" s="9">
        <f t="shared" si="1"/>
        <v>0.2148394241</v>
      </c>
      <c r="F158" s="10">
        <f t="shared" si="2"/>
        <v>0.3991981766</v>
      </c>
      <c r="G158" s="10">
        <f t="shared" si="3"/>
        <v>0.08576350639</v>
      </c>
      <c r="H158" s="8">
        <v>4112.0</v>
      </c>
      <c r="I158" s="8">
        <v>1592.333373516798</v>
      </c>
      <c r="J158" s="8">
        <v>26869.0</v>
      </c>
      <c r="K158" s="11">
        <f t="shared" si="4"/>
        <v>0.153038818</v>
      </c>
      <c r="L158" s="12">
        <f t="shared" si="5"/>
        <v>0.3872406064</v>
      </c>
      <c r="M158" s="12">
        <f t="shared" si="6"/>
        <v>0.05926284467</v>
      </c>
      <c r="N158" s="9">
        <f t="shared" si="7"/>
        <v>0.6910030521</v>
      </c>
      <c r="P158" s="16"/>
      <c r="T158" s="18"/>
      <c r="U158" s="18"/>
      <c r="V158" s="18"/>
      <c r="W158" s="18"/>
    </row>
    <row r="159" ht="15.75" customHeight="1">
      <c r="A159" s="8">
        <v>31402.0</v>
      </c>
      <c r="B159" s="8">
        <v>502.0</v>
      </c>
      <c r="C159" s="8">
        <v>201.8888939321041</v>
      </c>
      <c r="D159" s="8">
        <v>1421.0</v>
      </c>
      <c r="E159" s="9">
        <f t="shared" si="1"/>
        <v>0.3532723434</v>
      </c>
      <c r="F159" s="10">
        <f t="shared" si="2"/>
        <v>0.4021691114</v>
      </c>
      <c r="G159" s="10">
        <f t="shared" si="3"/>
        <v>0.1420752244</v>
      </c>
      <c r="H159" s="8">
        <v>1837.0</v>
      </c>
      <c r="I159" s="8">
        <v>718.5555734038353</v>
      </c>
      <c r="J159" s="8">
        <v>6520.0</v>
      </c>
      <c r="K159" s="11">
        <f t="shared" si="4"/>
        <v>0.2817484663</v>
      </c>
      <c r="L159" s="12">
        <f t="shared" si="5"/>
        <v>0.3911570895</v>
      </c>
      <c r="M159" s="12">
        <f t="shared" si="6"/>
        <v>0.11020791</v>
      </c>
      <c r="N159" s="9">
        <f t="shared" si="7"/>
        <v>0.7757011151</v>
      </c>
      <c r="P159" s="16"/>
      <c r="T159" s="18"/>
      <c r="U159" s="18"/>
      <c r="V159" s="18"/>
      <c r="W159" s="18"/>
    </row>
    <row r="160" ht="15.75" customHeight="1">
      <c r="A160" s="8">
        <v>31403.0</v>
      </c>
      <c r="B160" s="8">
        <v>213.0</v>
      </c>
      <c r="C160" s="8">
        <v>85.11111319065094</v>
      </c>
      <c r="D160" s="8">
        <v>605.0</v>
      </c>
      <c r="E160" s="9">
        <f t="shared" si="1"/>
        <v>0.3520661157</v>
      </c>
      <c r="F160" s="10">
        <f t="shared" si="2"/>
        <v>0.399582691</v>
      </c>
      <c r="G160" s="10">
        <f t="shared" si="3"/>
        <v>0.1406795259</v>
      </c>
      <c r="H160" s="8">
        <v>2858.0</v>
      </c>
      <c r="I160" s="8">
        <v>1139.1111391484737</v>
      </c>
      <c r="J160" s="8">
        <v>12225.0</v>
      </c>
      <c r="K160" s="11">
        <f t="shared" si="4"/>
        <v>0.2337832311</v>
      </c>
      <c r="L160" s="12">
        <f t="shared" si="5"/>
        <v>0.3985693279</v>
      </c>
      <c r="M160" s="12">
        <f t="shared" si="6"/>
        <v>0.09317882529</v>
      </c>
      <c r="N160" s="9">
        <f t="shared" si="7"/>
        <v>0.662348161</v>
      </c>
      <c r="P160" s="16"/>
      <c r="T160" s="18"/>
      <c r="U160" s="18"/>
      <c r="V160" s="18"/>
      <c r="W160" s="18"/>
    </row>
    <row r="161" ht="15.75" customHeight="1">
      <c r="A161" s="8">
        <v>31404.0</v>
      </c>
      <c r="B161" s="8">
        <v>20.0</v>
      </c>
      <c r="C161" s="8">
        <v>11.444444805383682</v>
      </c>
      <c r="D161" s="8">
        <v>30.0</v>
      </c>
      <c r="E161" s="9">
        <f t="shared" si="1"/>
        <v>0.6666666667</v>
      </c>
      <c r="F161" s="10">
        <f t="shared" si="2"/>
        <v>0.5722222403</v>
      </c>
      <c r="G161" s="10">
        <f t="shared" si="3"/>
        <v>0.3814814935</v>
      </c>
      <c r="H161" s="8">
        <v>594.0</v>
      </c>
      <c r="I161" s="8">
        <v>236.66667327284813</v>
      </c>
      <c r="J161" s="8">
        <v>1252.0</v>
      </c>
      <c r="K161" s="11">
        <f t="shared" si="4"/>
        <v>0.4744408946</v>
      </c>
      <c r="L161" s="12">
        <f t="shared" si="5"/>
        <v>0.3984287429</v>
      </c>
      <c r="M161" s="12">
        <f t="shared" si="6"/>
        <v>0.1890308892</v>
      </c>
      <c r="N161" s="9">
        <f t="shared" si="7"/>
        <v>0.4955178493</v>
      </c>
      <c r="P161" s="16"/>
      <c r="T161" s="18"/>
      <c r="U161" s="18"/>
      <c r="V161" s="18"/>
      <c r="W161" s="18"/>
    </row>
    <row r="162" ht="15.75" customHeight="1">
      <c r="A162" s="8">
        <v>31405.0</v>
      </c>
      <c r="B162" s="8">
        <v>47.0</v>
      </c>
      <c r="C162" s="8">
        <v>23.000000774860382</v>
      </c>
      <c r="D162" s="8">
        <v>84.0</v>
      </c>
      <c r="E162" s="9">
        <f t="shared" si="1"/>
        <v>0.5595238095</v>
      </c>
      <c r="F162" s="10">
        <f t="shared" si="2"/>
        <v>0.4893617186</v>
      </c>
      <c r="G162" s="10">
        <f t="shared" si="3"/>
        <v>0.273809533</v>
      </c>
      <c r="H162" s="8">
        <v>1406.0</v>
      </c>
      <c r="I162" s="8">
        <v>618.1111254692078</v>
      </c>
      <c r="J162" s="8">
        <v>2666.0</v>
      </c>
      <c r="K162" s="11">
        <f t="shared" si="4"/>
        <v>0.5273818455</v>
      </c>
      <c r="L162" s="12">
        <f t="shared" si="5"/>
        <v>0.4396238446</v>
      </c>
      <c r="M162" s="12">
        <f t="shared" si="6"/>
        <v>0.2318496345</v>
      </c>
      <c r="N162" s="9">
        <f t="shared" si="7"/>
        <v>0.8467551582</v>
      </c>
      <c r="P162" s="16"/>
      <c r="T162" s="18"/>
      <c r="U162" s="18"/>
      <c r="V162" s="18"/>
      <c r="W162" s="18"/>
    </row>
    <row r="163" ht="15.75" customHeight="1">
      <c r="A163" s="8">
        <v>31501.0</v>
      </c>
      <c r="B163" s="8">
        <v>88.0</v>
      </c>
      <c r="C163" s="8">
        <v>37.77777877449989</v>
      </c>
      <c r="D163" s="8">
        <v>178.0</v>
      </c>
      <c r="E163" s="9">
        <f t="shared" si="1"/>
        <v>0.4943820225</v>
      </c>
      <c r="F163" s="10">
        <f t="shared" si="2"/>
        <v>0.4292929406</v>
      </c>
      <c r="G163" s="10">
        <f t="shared" si="3"/>
        <v>0.2122347122</v>
      </c>
      <c r="H163" s="8">
        <v>5252.0</v>
      </c>
      <c r="I163" s="8">
        <v>2428.0000658631325</v>
      </c>
      <c r="J163" s="8">
        <v>6953.0</v>
      </c>
      <c r="K163" s="11">
        <f t="shared" si="4"/>
        <v>0.7553573997</v>
      </c>
      <c r="L163" s="12">
        <f t="shared" si="5"/>
        <v>0.4623000887</v>
      </c>
      <c r="M163" s="12">
        <f t="shared" si="6"/>
        <v>0.3492017929</v>
      </c>
      <c r="N163" s="9">
        <f t="shared" si="7"/>
        <v>1.645356639</v>
      </c>
      <c r="P163" s="16"/>
      <c r="T163" s="18"/>
      <c r="U163" s="18"/>
      <c r="V163" s="18"/>
      <c r="W163" s="18"/>
    </row>
    <row r="164" ht="15.75" customHeight="1">
      <c r="A164" s="8">
        <v>31601.0</v>
      </c>
      <c r="B164" s="8">
        <v>101.0</v>
      </c>
      <c r="C164" s="8">
        <v>40.88888996839523</v>
      </c>
      <c r="D164" s="8">
        <v>243.0</v>
      </c>
      <c r="E164" s="9">
        <f t="shared" si="1"/>
        <v>0.4156378601</v>
      </c>
      <c r="F164" s="10">
        <f t="shared" si="2"/>
        <v>0.4048404947</v>
      </c>
      <c r="G164" s="10">
        <f t="shared" si="3"/>
        <v>0.1682670369</v>
      </c>
      <c r="H164" s="8">
        <v>8876.0</v>
      </c>
      <c r="I164" s="8">
        <v>3858.6667642891407</v>
      </c>
      <c r="J164" s="8">
        <v>20486.0</v>
      </c>
      <c r="K164" s="11">
        <f t="shared" si="4"/>
        <v>0.4332715025</v>
      </c>
      <c r="L164" s="12">
        <f t="shared" si="5"/>
        <v>0.43473037</v>
      </c>
      <c r="M164" s="12">
        <f t="shared" si="6"/>
        <v>0.1883562806</v>
      </c>
      <c r="N164" s="9">
        <f t="shared" si="7"/>
        <v>1.119389062</v>
      </c>
      <c r="P164" s="16"/>
      <c r="T164" s="18"/>
      <c r="U164" s="18"/>
      <c r="V164" s="18"/>
      <c r="W164" s="18"/>
    </row>
    <row r="165" ht="15.75" customHeight="1">
      <c r="A165" s="8">
        <v>31602.0</v>
      </c>
      <c r="B165" s="8">
        <v>951.0</v>
      </c>
      <c r="C165" s="8">
        <v>401.33334371447563</v>
      </c>
      <c r="D165" s="8">
        <v>2357.0</v>
      </c>
      <c r="E165" s="9">
        <f t="shared" si="1"/>
        <v>0.4034789987</v>
      </c>
      <c r="F165" s="10">
        <f t="shared" si="2"/>
        <v>0.4220119282</v>
      </c>
      <c r="G165" s="10">
        <f t="shared" si="3"/>
        <v>0.1702729502</v>
      </c>
      <c r="H165" s="8">
        <v>7865.0</v>
      </c>
      <c r="I165" s="8">
        <v>3380.3334171772003</v>
      </c>
      <c r="J165" s="8">
        <v>17546.0</v>
      </c>
      <c r="K165" s="11">
        <f t="shared" si="4"/>
        <v>0.4482503135</v>
      </c>
      <c r="L165" s="12">
        <f t="shared" si="5"/>
        <v>0.4297944586</v>
      </c>
      <c r="M165" s="12">
        <f t="shared" si="6"/>
        <v>0.1926555008</v>
      </c>
      <c r="N165" s="9">
        <f t="shared" si="7"/>
        <v>1.131451006</v>
      </c>
      <c r="P165" s="16"/>
      <c r="T165" s="18"/>
      <c r="U165" s="18"/>
      <c r="V165" s="18"/>
      <c r="W165" s="18"/>
    </row>
    <row r="166" ht="15.75" customHeight="1">
      <c r="A166" s="8">
        <v>40101.0</v>
      </c>
      <c r="B166" s="8">
        <v>5542.0</v>
      </c>
      <c r="C166" s="8">
        <v>2350.888947725296</v>
      </c>
      <c r="D166" s="8">
        <v>22014.0</v>
      </c>
      <c r="E166" s="9">
        <f t="shared" si="1"/>
        <v>0.2517488871</v>
      </c>
      <c r="F166" s="10">
        <f t="shared" si="2"/>
        <v>0.4241950465</v>
      </c>
      <c r="G166" s="10">
        <f t="shared" si="3"/>
        <v>0.1067906309</v>
      </c>
      <c r="H166" s="8">
        <v>23983.0</v>
      </c>
      <c r="I166" s="8">
        <v>9525.111348956823</v>
      </c>
      <c r="J166" s="8">
        <v>233838.0</v>
      </c>
      <c r="K166" s="11">
        <f t="shared" si="4"/>
        <v>0.1025624578</v>
      </c>
      <c r="L166" s="12">
        <f t="shared" si="5"/>
        <v>0.3971609619</v>
      </c>
      <c r="M166" s="12">
        <f t="shared" si="6"/>
        <v>0.04073380438</v>
      </c>
      <c r="N166" s="9">
        <f t="shared" si="7"/>
        <v>0.3814361246</v>
      </c>
      <c r="P166" s="16"/>
      <c r="T166" s="18"/>
      <c r="U166" s="18"/>
      <c r="V166" s="18"/>
      <c r="W166" s="18"/>
    </row>
    <row r="167" ht="15.75" customHeight="1">
      <c r="A167" s="8">
        <v>40102.0</v>
      </c>
      <c r="B167" s="8">
        <v>742.0</v>
      </c>
      <c r="C167" s="8">
        <v>336.2222310602665</v>
      </c>
      <c r="D167" s="8">
        <v>1603.0</v>
      </c>
      <c r="E167" s="9">
        <f t="shared" si="1"/>
        <v>0.4628820961</v>
      </c>
      <c r="F167" s="10">
        <f t="shared" si="2"/>
        <v>0.4531296915</v>
      </c>
      <c r="G167" s="10">
        <f t="shared" si="3"/>
        <v>0.2097456214</v>
      </c>
      <c r="H167" s="8">
        <v>10975.0</v>
      </c>
      <c r="I167" s="8">
        <v>4879.889016389847</v>
      </c>
      <c r="J167" s="8">
        <v>21175.0</v>
      </c>
      <c r="K167" s="11">
        <f t="shared" si="4"/>
        <v>0.5182998819</v>
      </c>
      <c r="L167" s="12">
        <f t="shared" si="5"/>
        <v>0.4446368124</v>
      </c>
      <c r="M167" s="12">
        <f t="shared" si="6"/>
        <v>0.2304552074</v>
      </c>
      <c r="N167" s="9">
        <f t="shared" si="7"/>
        <v>1.098736679</v>
      </c>
      <c r="P167" s="16"/>
      <c r="T167" s="18"/>
      <c r="U167" s="18"/>
      <c r="V167" s="18"/>
      <c r="W167" s="18"/>
    </row>
    <row r="168" ht="15.75" customHeight="1">
      <c r="A168" s="8">
        <v>40103.0</v>
      </c>
      <c r="B168" s="8">
        <v>123.0</v>
      </c>
      <c r="C168" s="8">
        <v>54.77777874469757</v>
      </c>
      <c r="D168" s="8">
        <v>137.0</v>
      </c>
      <c r="E168" s="9">
        <f t="shared" si="1"/>
        <v>0.897810219</v>
      </c>
      <c r="F168" s="10">
        <f t="shared" si="2"/>
        <v>0.4453477947</v>
      </c>
      <c r="G168" s="10">
        <f t="shared" si="3"/>
        <v>0.3998378011</v>
      </c>
      <c r="H168" s="8">
        <v>7682.0</v>
      </c>
      <c r="I168" s="8">
        <v>3764.333421975374</v>
      </c>
      <c r="J168" s="8">
        <v>8463.0</v>
      </c>
      <c r="K168" s="11">
        <f t="shared" si="4"/>
        <v>0.90771594</v>
      </c>
      <c r="L168" s="12">
        <f t="shared" si="5"/>
        <v>0.4900199716</v>
      </c>
      <c r="M168" s="12">
        <f t="shared" si="6"/>
        <v>0.4447989391</v>
      </c>
      <c r="N168" s="9">
        <f t="shared" si="7"/>
        <v>1.112448443</v>
      </c>
      <c r="P168" s="16"/>
      <c r="T168" s="18"/>
      <c r="U168" s="18"/>
      <c r="V168" s="18"/>
      <c r="W168" s="18"/>
    </row>
    <row r="169" ht="15.75" customHeight="1">
      <c r="A169" s="8">
        <v>40104.0</v>
      </c>
      <c r="B169" s="8">
        <v>152.0</v>
      </c>
      <c r="C169" s="8">
        <v>65.22222375869751</v>
      </c>
      <c r="D169" s="8">
        <v>325.0</v>
      </c>
      <c r="E169" s="9">
        <f t="shared" si="1"/>
        <v>0.4676923077</v>
      </c>
      <c r="F169" s="10">
        <f t="shared" si="2"/>
        <v>0.4290935774</v>
      </c>
      <c r="G169" s="10">
        <f t="shared" si="3"/>
        <v>0.2006837654</v>
      </c>
      <c r="H169" s="8">
        <v>6208.0</v>
      </c>
      <c r="I169" s="8">
        <v>2707.2222916781902</v>
      </c>
      <c r="J169" s="8">
        <v>12351.0</v>
      </c>
      <c r="K169" s="11">
        <f t="shared" si="4"/>
        <v>0.5026313659</v>
      </c>
      <c r="L169" s="12">
        <f t="shared" si="5"/>
        <v>0.436086065</v>
      </c>
      <c r="M169" s="12">
        <f t="shared" si="6"/>
        <v>0.2191905345</v>
      </c>
      <c r="N169" s="9">
        <f t="shared" si="7"/>
        <v>1.092218566</v>
      </c>
      <c r="P169" s="16"/>
      <c r="T169" s="18"/>
      <c r="U169" s="18"/>
      <c r="V169" s="18"/>
      <c r="W169" s="18"/>
    </row>
    <row r="170" ht="15.75" customHeight="1">
      <c r="A170" s="8">
        <v>40201.0</v>
      </c>
      <c r="B170" s="8">
        <v>1136.0</v>
      </c>
      <c r="C170" s="8">
        <v>479.22223404049873</v>
      </c>
      <c r="D170" s="8">
        <v>2890.0</v>
      </c>
      <c r="E170" s="9">
        <f t="shared" si="1"/>
        <v>0.3930795848</v>
      </c>
      <c r="F170" s="10">
        <f t="shared" si="2"/>
        <v>0.4218505581</v>
      </c>
      <c r="G170" s="10">
        <f t="shared" si="3"/>
        <v>0.1658208422</v>
      </c>
      <c r="H170" s="8">
        <v>12007.0</v>
      </c>
      <c r="I170" s="8">
        <v>5291.4445771873</v>
      </c>
      <c r="J170" s="8">
        <v>24639.0</v>
      </c>
      <c r="K170" s="11">
        <f t="shared" si="4"/>
        <v>0.4873168554</v>
      </c>
      <c r="L170" s="12">
        <f t="shared" si="5"/>
        <v>0.4406966417</v>
      </c>
      <c r="M170" s="12">
        <f t="shared" si="6"/>
        <v>0.2147589016</v>
      </c>
      <c r="N170" s="9">
        <f t="shared" si="7"/>
        <v>1.295126106</v>
      </c>
      <c r="P170" s="16"/>
      <c r="T170" s="18"/>
      <c r="U170" s="18"/>
      <c r="V170" s="18"/>
      <c r="W170" s="18"/>
    </row>
    <row r="171" ht="15.75" customHeight="1">
      <c r="A171" s="8">
        <v>40202.0</v>
      </c>
      <c r="B171" s="8">
        <v>139.0</v>
      </c>
      <c r="C171" s="8">
        <v>61.55555686354637</v>
      </c>
      <c r="D171" s="8">
        <v>386.0</v>
      </c>
      <c r="E171" s="9">
        <f t="shared" si="1"/>
        <v>0.3601036269</v>
      </c>
      <c r="F171" s="10">
        <f t="shared" si="2"/>
        <v>0.4428457328</v>
      </c>
      <c r="G171" s="10">
        <f t="shared" si="3"/>
        <v>0.1594703546</v>
      </c>
      <c r="H171" s="8">
        <v>1811.0</v>
      </c>
      <c r="I171" s="8">
        <v>792.3333519995213</v>
      </c>
      <c r="J171" s="8">
        <v>3536.0</v>
      </c>
      <c r="K171" s="11">
        <f t="shared" si="4"/>
        <v>0.5121606335</v>
      </c>
      <c r="L171" s="12">
        <f t="shared" si="5"/>
        <v>0.4375115141</v>
      </c>
      <c r="M171" s="12">
        <f t="shared" si="6"/>
        <v>0.2240761742</v>
      </c>
      <c r="N171" s="9">
        <f t="shared" si="7"/>
        <v>1.40512746</v>
      </c>
      <c r="P171" s="16"/>
      <c r="T171" s="18"/>
      <c r="U171" s="18"/>
      <c r="V171" s="18"/>
      <c r="W171" s="18"/>
    </row>
    <row r="172" ht="15.75" customHeight="1">
      <c r="A172" s="8">
        <v>40301.0</v>
      </c>
      <c r="B172" s="8">
        <v>219.0</v>
      </c>
      <c r="C172" s="8">
        <v>95.77777972817421</v>
      </c>
      <c r="D172" s="8">
        <v>491.0</v>
      </c>
      <c r="E172" s="9">
        <f t="shared" si="1"/>
        <v>0.4460285132</v>
      </c>
      <c r="F172" s="10">
        <f t="shared" si="2"/>
        <v>0.4373414599</v>
      </c>
      <c r="G172" s="10">
        <f t="shared" si="3"/>
        <v>0.1950667612</v>
      </c>
      <c r="H172" s="8">
        <v>6137.0</v>
      </c>
      <c r="I172" s="8">
        <v>2894.0000738203526</v>
      </c>
      <c r="J172" s="8">
        <v>8346.0</v>
      </c>
      <c r="K172" s="11">
        <f t="shared" si="4"/>
        <v>0.7353223101</v>
      </c>
      <c r="L172" s="12">
        <f t="shared" si="5"/>
        <v>0.4715659237</v>
      </c>
      <c r="M172" s="12">
        <f t="shared" si="6"/>
        <v>0.3467529444</v>
      </c>
      <c r="N172" s="9">
        <f t="shared" si="7"/>
        <v>1.777611636</v>
      </c>
      <c r="P172" s="16"/>
      <c r="T172" s="18"/>
      <c r="U172" s="18"/>
      <c r="V172" s="18"/>
      <c r="W172" s="18"/>
    </row>
    <row r="173" ht="15.75" customHeight="1">
      <c r="A173" s="8">
        <v>40302.0</v>
      </c>
      <c r="B173" s="8">
        <v>11.0</v>
      </c>
      <c r="C173" s="8">
        <v>5.0000001192092896</v>
      </c>
      <c r="D173" s="8">
        <v>35.0</v>
      </c>
      <c r="E173" s="9">
        <f t="shared" si="1"/>
        <v>0.3142857143</v>
      </c>
      <c r="F173" s="10">
        <f t="shared" si="2"/>
        <v>0.4545454654</v>
      </c>
      <c r="G173" s="10">
        <f t="shared" si="3"/>
        <v>0.1428571463</v>
      </c>
      <c r="H173" s="8">
        <v>1269.0</v>
      </c>
      <c r="I173" s="8">
        <v>592.1111255586147</v>
      </c>
      <c r="J173" s="8">
        <v>1777.0</v>
      </c>
      <c r="K173" s="11">
        <f t="shared" si="4"/>
        <v>0.7141249297</v>
      </c>
      <c r="L173" s="12">
        <f t="shared" si="5"/>
        <v>0.4665966316</v>
      </c>
      <c r="M173" s="12">
        <f t="shared" si="6"/>
        <v>0.3332082868</v>
      </c>
      <c r="N173" s="9">
        <f t="shared" si="7"/>
        <v>2.332457952</v>
      </c>
      <c r="P173" s="16"/>
      <c r="T173" s="18"/>
      <c r="U173" s="18"/>
      <c r="V173" s="18"/>
      <c r="W173" s="18"/>
    </row>
    <row r="174" ht="15.75" customHeight="1">
      <c r="A174" s="8">
        <v>40401.0</v>
      </c>
      <c r="B174" s="8">
        <v>68.0</v>
      </c>
      <c r="C174" s="8">
        <v>27.666667222976685</v>
      </c>
      <c r="D174" s="8">
        <v>261.0</v>
      </c>
      <c r="E174" s="9">
        <f t="shared" si="1"/>
        <v>0.2605363985</v>
      </c>
      <c r="F174" s="10">
        <f t="shared" si="2"/>
        <v>0.4068627533</v>
      </c>
      <c r="G174" s="10">
        <f t="shared" si="3"/>
        <v>0.1060025564</v>
      </c>
      <c r="H174" s="8">
        <v>1711.0</v>
      </c>
      <c r="I174" s="8">
        <v>735.5555737316608</v>
      </c>
      <c r="J174" s="8">
        <v>3582.0</v>
      </c>
      <c r="K174" s="11">
        <f t="shared" si="4"/>
        <v>0.4776661083</v>
      </c>
      <c r="L174" s="12">
        <f t="shared" si="5"/>
        <v>0.429898056</v>
      </c>
      <c r="M174" s="12">
        <f t="shared" si="6"/>
        <v>0.2053477314</v>
      </c>
      <c r="N174" s="9">
        <f t="shared" si="7"/>
        <v>1.937196029</v>
      </c>
      <c r="P174" s="16"/>
      <c r="T174" s="18"/>
      <c r="U174" s="18"/>
      <c r="V174" s="18"/>
      <c r="W174" s="18"/>
    </row>
    <row r="175" ht="15.75" customHeight="1">
      <c r="A175" s="8">
        <v>40402.0</v>
      </c>
      <c r="B175" s="8">
        <v>104.0</v>
      </c>
      <c r="C175" s="8">
        <v>48.333334535360336</v>
      </c>
      <c r="D175" s="8">
        <v>332.0</v>
      </c>
      <c r="E175" s="9">
        <f t="shared" si="1"/>
        <v>0.313253012</v>
      </c>
      <c r="F175" s="10">
        <f t="shared" si="2"/>
        <v>0.4647436013</v>
      </c>
      <c r="G175" s="10">
        <f t="shared" si="3"/>
        <v>0.1455823329</v>
      </c>
      <c r="H175" s="8">
        <v>2692.0</v>
      </c>
      <c r="I175" s="8">
        <v>1185.3333627283573</v>
      </c>
      <c r="J175" s="8">
        <v>4734.0</v>
      </c>
      <c r="K175" s="11">
        <f t="shared" si="4"/>
        <v>0.5686523025</v>
      </c>
      <c r="L175" s="12">
        <f t="shared" si="5"/>
        <v>0.4403169995</v>
      </c>
      <c r="M175" s="12">
        <f t="shared" si="6"/>
        <v>0.2503872756</v>
      </c>
      <c r="N175" s="9">
        <f t="shared" si="7"/>
        <v>1.719901519</v>
      </c>
      <c r="P175" s="16"/>
      <c r="T175" s="18"/>
      <c r="U175" s="18"/>
      <c r="V175" s="18"/>
      <c r="W175" s="18"/>
    </row>
    <row r="176" ht="15.75" customHeight="1">
      <c r="A176" s="8">
        <v>40501.0</v>
      </c>
      <c r="B176" s="8">
        <v>15.0</v>
      </c>
      <c r="C176" s="8">
        <v>5.22222238779068</v>
      </c>
      <c r="D176" s="8">
        <v>170.0</v>
      </c>
      <c r="E176" s="9">
        <f t="shared" si="1"/>
        <v>0.08823529412</v>
      </c>
      <c r="F176" s="10">
        <f t="shared" si="2"/>
        <v>0.3481481592</v>
      </c>
      <c r="G176" s="10">
        <f t="shared" si="3"/>
        <v>0.03071895522</v>
      </c>
      <c r="H176" s="8">
        <v>27.0</v>
      </c>
      <c r="I176" s="8">
        <v>9.555555790662766</v>
      </c>
      <c r="J176" s="8">
        <v>458.0</v>
      </c>
      <c r="K176" s="11">
        <f t="shared" si="4"/>
        <v>0.05895196507</v>
      </c>
      <c r="L176" s="12">
        <f t="shared" si="5"/>
        <v>0.3539094737</v>
      </c>
      <c r="M176" s="12">
        <f t="shared" si="6"/>
        <v>0.02086365893</v>
      </c>
      <c r="N176" s="9">
        <f t="shared" si="7"/>
        <v>0.6791786628</v>
      </c>
      <c r="P176" s="16"/>
      <c r="T176" s="18"/>
      <c r="U176" s="18"/>
      <c r="V176" s="18"/>
      <c r="W176" s="18"/>
    </row>
    <row r="177" ht="15.75" customHeight="1">
      <c r="A177" s="8">
        <v>40502.0</v>
      </c>
      <c r="B177" s="8">
        <v>185.0</v>
      </c>
      <c r="C177" s="8">
        <v>85.11111333966255</v>
      </c>
      <c r="D177" s="8">
        <v>239.0</v>
      </c>
      <c r="E177" s="9">
        <f t="shared" si="1"/>
        <v>0.7740585774</v>
      </c>
      <c r="F177" s="10">
        <f t="shared" si="2"/>
        <v>0.4600600721</v>
      </c>
      <c r="G177" s="10">
        <f t="shared" si="3"/>
        <v>0.3561134449</v>
      </c>
      <c r="H177" s="8">
        <v>2730.0</v>
      </c>
      <c r="I177" s="8">
        <v>1243.333363711834</v>
      </c>
      <c r="J177" s="8">
        <v>3931.0</v>
      </c>
      <c r="K177" s="11">
        <f t="shared" si="4"/>
        <v>0.6944797761</v>
      </c>
      <c r="L177" s="12">
        <f t="shared" si="5"/>
        <v>0.4554334666</v>
      </c>
      <c r="M177" s="12">
        <f t="shared" si="6"/>
        <v>0.3162893319</v>
      </c>
      <c r="N177" s="9">
        <f t="shared" si="7"/>
        <v>0.8881701503</v>
      </c>
      <c r="P177" s="16"/>
      <c r="T177" s="18"/>
      <c r="U177" s="18"/>
      <c r="V177" s="18"/>
      <c r="W177" s="18"/>
    </row>
    <row r="178" ht="15.75" customHeight="1">
      <c r="A178" s="8">
        <v>40503.0</v>
      </c>
      <c r="B178" s="8">
        <v>74.0</v>
      </c>
      <c r="C178" s="8">
        <v>29.333333790302277</v>
      </c>
      <c r="D178" s="8">
        <v>128.0</v>
      </c>
      <c r="E178" s="9">
        <f t="shared" si="1"/>
        <v>0.578125</v>
      </c>
      <c r="F178" s="10">
        <f t="shared" si="2"/>
        <v>0.3963964026</v>
      </c>
      <c r="G178" s="10">
        <f t="shared" si="3"/>
        <v>0.2291666702</v>
      </c>
      <c r="H178" s="8">
        <v>1137.0</v>
      </c>
      <c r="I178" s="8">
        <v>518.1111246645451</v>
      </c>
      <c r="J178" s="8">
        <v>1797.0</v>
      </c>
      <c r="K178" s="11">
        <f t="shared" si="4"/>
        <v>0.632721202</v>
      </c>
      <c r="L178" s="12">
        <f t="shared" si="5"/>
        <v>0.4556826074</v>
      </c>
      <c r="M178" s="12">
        <f t="shared" si="6"/>
        <v>0.2883200471</v>
      </c>
      <c r="N178" s="9">
        <f t="shared" si="7"/>
        <v>1.258123822</v>
      </c>
      <c r="P178" s="16"/>
      <c r="T178" s="18"/>
      <c r="U178" s="18"/>
      <c r="V178" s="18"/>
      <c r="W178" s="18"/>
    </row>
    <row r="179" ht="15.75" customHeight="1">
      <c r="A179" s="8">
        <v>40504.0</v>
      </c>
      <c r="B179" s="8">
        <v>4.0</v>
      </c>
      <c r="C179" s="8">
        <v>1.6666666865348816</v>
      </c>
      <c r="D179" s="8">
        <v>10.0</v>
      </c>
      <c r="E179" s="9">
        <f t="shared" si="1"/>
        <v>0.4</v>
      </c>
      <c r="F179" s="10">
        <f t="shared" si="2"/>
        <v>0.4166666716</v>
      </c>
      <c r="G179" s="10">
        <f t="shared" si="3"/>
        <v>0.1666666687</v>
      </c>
      <c r="H179" s="8">
        <v>308.0</v>
      </c>
      <c r="I179" s="8">
        <v>128.8888920545578</v>
      </c>
      <c r="J179" s="8">
        <v>502.0</v>
      </c>
      <c r="K179" s="11">
        <f t="shared" si="4"/>
        <v>0.6135458167</v>
      </c>
      <c r="L179" s="12">
        <f t="shared" si="5"/>
        <v>0.4184704287</v>
      </c>
      <c r="M179" s="12">
        <f t="shared" si="6"/>
        <v>0.256750781</v>
      </c>
      <c r="N179" s="9">
        <f t="shared" si="7"/>
        <v>1.540504668</v>
      </c>
      <c r="P179" s="16"/>
      <c r="T179" s="18"/>
      <c r="U179" s="18"/>
      <c r="V179" s="18"/>
      <c r="W179" s="18"/>
    </row>
    <row r="180" ht="15.75" customHeight="1">
      <c r="A180" s="8">
        <v>40505.0</v>
      </c>
      <c r="B180" s="8">
        <v>28.0</v>
      </c>
      <c r="C180" s="8">
        <v>10.333333611488342</v>
      </c>
      <c r="D180" s="8">
        <v>101.0</v>
      </c>
      <c r="E180" s="9">
        <f t="shared" si="1"/>
        <v>0.2772277228</v>
      </c>
      <c r="F180" s="10">
        <f t="shared" si="2"/>
        <v>0.369047629</v>
      </c>
      <c r="G180" s="10">
        <f t="shared" si="3"/>
        <v>0.1023102338</v>
      </c>
      <c r="H180" s="8">
        <v>916.0</v>
      </c>
      <c r="I180" s="8">
        <v>385.3333435058594</v>
      </c>
      <c r="J180" s="8">
        <v>2554.0</v>
      </c>
      <c r="K180" s="11">
        <f t="shared" si="4"/>
        <v>0.3586530932</v>
      </c>
      <c r="L180" s="12">
        <f t="shared" si="5"/>
        <v>0.420669589</v>
      </c>
      <c r="M180" s="12">
        <f t="shared" si="6"/>
        <v>0.1508744493</v>
      </c>
      <c r="N180" s="9">
        <f t="shared" si="7"/>
        <v>1.474676029</v>
      </c>
      <c r="P180" s="16"/>
      <c r="T180" s="18"/>
      <c r="U180" s="18"/>
      <c r="V180" s="18"/>
      <c r="W180" s="18"/>
    </row>
    <row r="181" ht="15.75" customHeight="1">
      <c r="A181" s="8">
        <v>40601.0</v>
      </c>
      <c r="B181" s="8">
        <v>346.0</v>
      </c>
      <c r="C181" s="8">
        <v>140.55555894970894</v>
      </c>
      <c r="D181" s="8">
        <v>807.0</v>
      </c>
      <c r="E181" s="9">
        <f t="shared" si="1"/>
        <v>0.4287484511</v>
      </c>
      <c r="F181" s="10">
        <f t="shared" si="2"/>
        <v>0.4062299392</v>
      </c>
      <c r="G181" s="10">
        <f t="shared" si="3"/>
        <v>0.1741704572</v>
      </c>
      <c r="H181" s="8">
        <v>2261.0</v>
      </c>
      <c r="I181" s="8">
        <v>944.0000219941139</v>
      </c>
      <c r="J181" s="8">
        <v>6264.0</v>
      </c>
      <c r="K181" s="11">
        <f t="shared" si="4"/>
        <v>0.3609514687</v>
      </c>
      <c r="L181" s="12">
        <f t="shared" si="5"/>
        <v>0.4175143839</v>
      </c>
      <c r="M181" s="12">
        <f t="shared" si="6"/>
        <v>0.1507024301</v>
      </c>
      <c r="N181" s="9">
        <f t="shared" si="7"/>
        <v>0.8652582792</v>
      </c>
      <c r="P181" s="16"/>
      <c r="T181" s="18"/>
      <c r="U181" s="18"/>
      <c r="V181" s="18"/>
      <c r="W181" s="18"/>
    </row>
    <row r="182" ht="15.75" customHeight="1">
      <c r="A182" s="8">
        <v>40602.0</v>
      </c>
      <c r="B182" s="8">
        <v>187.0</v>
      </c>
      <c r="C182" s="8">
        <v>76.22222390770912</v>
      </c>
      <c r="D182" s="8">
        <v>583.0</v>
      </c>
      <c r="E182" s="9">
        <f t="shared" si="1"/>
        <v>0.320754717</v>
      </c>
      <c r="F182" s="10">
        <f t="shared" si="2"/>
        <v>0.4076054754</v>
      </c>
      <c r="G182" s="10">
        <f t="shared" si="3"/>
        <v>0.1307413789</v>
      </c>
      <c r="H182" s="8">
        <v>1875.0</v>
      </c>
      <c r="I182" s="8">
        <v>786.222241461277</v>
      </c>
      <c r="J182" s="8">
        <v>5267.0</v>
      </c>
      <c r="K182" s="11">
        <f t="shared" si="4"/>
        <v>0.3559901272</v>
      </c>
      <c r="L182" s="12">
        <f t="shared" si="5"/>
        <v>0.4193185288</v>
      </c>
      <c r="M182" s="12">
        <f t="shared" si="6"/>
        <v>0.1492732564</v>
      </c>
      <c r="N182" s="9">
        <f t="shared" si="7"/>
        <v>1.141744547</v>
      </c>
      <c r="P182" s="16"/>
      <c r="T182" s="18"/>
      <c r="U182" s="18"/>
      <c r="V182" s="18"/>
      <c r="W182" s="18"/>
    </row>
    <row r="183" ht="15.75" customHeight="1">
      <c r="A183" s="8">
        <v>40603.0</v>
      </c>
      <c r="B183" s="8">
        <v>89.0</v>
      </c>
      <c r="C183" s="8">
        <v>35.111111879348755</v>
      </c>
      <c r="D183" s="8">
        <v>430.0</v>
      </c>
      <c r="E183" s="9">
        <f t="shared" si="1"/>
        <v>0.2069767442</v>
      </c>
      <c r="F183" s="10">
        <f t="shared" si="2"/>
        <v>0.394506875</v>
      </c>
      <c r="G183" s="10">
        <f t="shared" si="3"/>
        <v>0.08165374856</v>
      </c>
      <c r="H183" s="8">
        <v>831.0</v>
      </c>
      <c r="I183" s="8">
        <v>347.00000858306885</v>
      </c>
      <c r="J183" s="8">
        <v>2739.0</v>
      </c>
      <c r="K183" s="11">
        <f t="shared" si="4"/>
        <v>0.3033953998</v>
      </c>
      <c r="L183" s="12">
        <f t="shared" si="5"/>
        <v>0.4175692041</v>
      </c>
      <c r="M183" s="12">
        <f t="shared" si="6"/>
        <v>0.1266885756</v>
      </c>
      <c r="N183" s="9">
        <f t="shared" si="7"/>
        <v>1.551534104</v>
      </c>
      <c r="P183" s="16"/>
      <c r="T183" s="18"/>
      <c r="U183" s="18"/>
      <c r="V183" s="18"/>
      <c r="W183" s="18"/>
    </row>
    <row r="184" ht="15.75" customHeight="1">
      <c r="A184" s="8">
        <v>40701.0</v>
      </c>
      <c r="B184" s="8">
        <v>332.0</v>
      </c>
      <c r="C184" s="8">
        <v>131.88889238238335</v>
      </c>
      <c r="D184" s="8">
        <v>1472.0</v>
      </c>
      <c r="E184" s="9">
        <f t="shared" si="1"/>
        <v>0.2255434783</v>
      </c>
      <c r="F184" s="10">
        <f t="shared" si="2"/>
        <v>0.3972556999</v>
      </c>
      <c r="G184" s="10">
        <f t="shared" si="3"/>
        <v>0.08959843232</v>
      </c>
      <c r="H184" s="8">
        <v>4137.0</v>
      </c>
      <c r="I184" s="8">
        <v>1658.111152023077</v>
      </c>
      <c r="J184" s="8">
        <v>22544.0</v>
      </c>
      <c r="K184" s="11">
        <f t="shared" si="4"/>
        <v>0.183507807</v>
      </c>
      <c r="L184" s="12">
        <f t="shared" si="5"/>
        <v>0.4008003752</v>
      </c>
      <c r="M184" s="12">
        <f t="shared" si="6"/>
        <v>0.07354999787</v>
      </c>
      <c r="N184" s="9">
        <f t="shared" si="7"/>
        <v>0.8208848745</v>
      </c>
      <c r="P184" s="16"/>
      <c r="T184" s="18"/>
      <c r="U184" s="18"/>
      <c r="V184" s="18"/>
      <c r="W184" s="18"/>
    </row>
    <row r="185" ht="15.75" customHeight="1">
      <c r="A185" s="8">
        <v>40702.0</v>
      </c>
      <c r="B185" s="8">
        <v>92.0</v>
      </c>
      <c r="C185" s="8">
        <v>42.555556774139404</v>
      </c>
      <c r="D185" s="8">
        <v>370.0</v>
      </c>
      <c r="E185" s="9">
        <f t="shared" si="1"/>
        <v>0.2486486486</v>
      </c>
      <c r="F185" s="10">
        <f t="shared" si="2"/>
        <v>0.4625603997</v>
      </c>
      <c r="G185" s="10">
        <f t="shared" si="3"/>
        <v>0.1150150183</v>
      </c>
      <c r="H185" s="8">
        <v>1020.0</v>
      </c>
      <c r="I185" s="8">
        <v>413.22223192453384</v>
      </c>
      <c r="J185" s="8">
        <v>4281.0</v>
      </c>
      <c r="K185" s="11">
        <f t="shared" si="4"/>
        <v>0.2382620883</v>
      </c>
      <c r="L185" s="12">
        <f t="shared" si="5"/>
        <v>0.4051198352</v>
      </c>
      <c r="M185" s="12">
        <f t="shared" si="6"/>
        <v>0.09652469795</v>
      </c>
      <c r="N185" s="9">
        <f t="shared" si="7"/>
        <v>0.8392356004</v>
      </c>
      <c r="P185" s="16"/>
      <c r="T185" s="18"/>
      <c r="U185" s="18"/>
      <c r="V185" s="18"/>
      <c r="W185" s="18"/>
    </row>
    <row r="186" ht="15.75" customHeight="1">
      <c r="A186" s="8">
        <v>40801.0</v>
      </c>
      <c r="B186" s="8">
        <v>566.0</v>
      </c>
      <c r="C186" s="8">
        <v>228.44445005059242</v>
      </c>
      <c r="D186" s="8">
        <v>1017.0</v>
      </c>
      <c r="E186" s="9">
        <f t="shared" si="1"/>
        <v>0.5565388397</v>
      </c>
      <c r="F186" s="10">
        <f t="shared" si="2"/>
        <v>0.4036121026</v>
      </c>
      <c r="G186" s="10">
        <f t="shared" si="3"/>
        <v>0.2246258113</v>
      </c>
      <c r="H186" s="8">
        <v>5820.0</v>
      </c>
      <c r="I186" s="8">
        <v>2462.1111714839935</v>
      </c>
      <c r="J186" s="8">
        <v>10550.0</v>
      </c>
      <c r="K186" s="11">
        <f t="shared" si="4"/>
        <v>0.5516587678</v>
      </c>
      <c r="L186" s="12">
        <f t="shared" si="5"/>
        <v>0.4230431566</v>
      </c>
      <c r="M186" s="12">
        <f t="shared" si="6"/>
        <v>0.2333754665</v>
      </c>
      <c r="N186" s="9">
        <f t="shared" si="7"/>
        <v>1.038952136</v>
      </c>
      <c r="P186" s="16"/>
      <c r="T186" s="18"/>
      <c r="U186" s="18"/>
      <c r="V186" s="18"/>
      <c r="W186" s="18"/>
    </row>
    <row r="187" ht="15.75" customHeight="1">
      <c r="A187" s="8">
        <v>40802.0</v>
      </c>
      <c r="B187" s="8">
        <v>70.0</v>
      </c>
      <c r="C187" s="8">
        <v>27.66666731238365</v>
      </c>
      <c r="D187" s="8">
        <v>136.0</v>
      </c>
      <c r="E187" s="9">
        <f t="shared" si="1"/>
        <v>0.5147058824</v>
      </c>
      <c r="F187" s="10">
        <f t="shared" si="2"/>
        <v>0.3952381045</v>
      </c>
      <c r="G187" s="10">
        <f t="shared" si="3"/>
        <v>0.2034313773</v>
      </c>
      <c r="H187" s="8">
        <v>1646.0</v>
      </c>
      <c r="I187" s="8">
        <v>724.777795612812</v>
      </c>
      <c r="J187" s="8">
        <v>2769.0</v>
      </c>
      <c r="K187" s="11">
        <f t="shared" si="4"/>
        <v>0.5944384254</v>
      </c>
      <c r="L187" s="12">
        <f t="shared" si="5"/>
        <v>0.4403267288</v>
      </c>
      <c r="M187" s="12">
        <f t="shared" si="6"/>
        <v>0.2617471273</v>
      </c>
      <c r="N187" s="9">
        <f t="shared" si="7"/>
        <v>1.286660548</v>
      </c>
      <c r="P187" s="16"/>
      <c r="T187" s="18"/>
      <c r="U187" s="18"/>
      <c r="V187" s="18"/>
      <c r="W187" s="18"/>
    </row>
    <row r="188" ht="15.75" customHeight="1">
      <c r="A188" s="8">
        <v>40901.0</v>
      </c>
      <c r="B188" s="8">
        <v>318.0</v>
      </c>
      <c r="C188" s="8">
        <v>132.2222256064415</v>
      </c>
      <c r="D188" s="8">
        <v>734.0</v>
      </c>
      <c r="E188" s="9">
        <f t="shared" si="1"/>
        <v>0.4332425068</v>
      </c>
      <c r="F188" s="10">
        <f t="shared" si="2"/>
        <v>0.4157931623</v>
      </c>
      <c r="G188" s="10">
        <f t="shared" si="3"/>
        <v>0.1801392719</v>
      </c>
      <c r="H188" s="8">
        <v>3216.0</v>
      </c>
      <c r="I188" s="8">
        <v>1357.666700154543</v>
      </c>
      <c r="J188" s="8">
        <v>6859.0</v>
      </c>
      <c r="K188" s="11">
        <f t="shared" si="4"/>
        <v>0.4688730136</v>
      </c>
      <c r="L188" s="12">
        <f t="shared" si="5"/>
        <v>0.4221600436</v>
      </c>
      <c r="M188" s="12">
        <f t="shared" si="6"/>
        <v>0.1979394518</v>
      </c>
      <c r="N188" s="9">
        <f t="shared" si="7"/>
        <v>1.098813433</v>
      </c>
      <c r="P188" s="16"/>
      <c r="T188" s="18"/>
      <c r="U188" s="18"/>
      <c r="V188" s="18"/>
      <c r="W188" s="18"/>
    </row>
    <row r="189" ht="15.75" customHeight="1">
      <c r="A189" s="8">
        <v>40902.0</v>
      </c>
      <c r="B189" s="8">
        <v>28.0</v>
      </c>
      <c r="C189" s="8">
        <v>11.555555999279022</v>
      </c>
      <c r="D189" s="8">
        <v>96.0</v>
      </c>
      <c r="E189" s="9">
        <f t="shared" si="1"/>
        <v>0.2916666667</v>
      </c>
      <c r="F189" s="10">
        <f t="shared" si="2"/>
        <v>0.4126984285</v>
      </c>
      <c r="G189" s="10">
        <f t="shared" si="3"/>
        <v>0.120370375</v>
      </c>
      <c r="H189" s="8">
        <v>428.0</v>
      </c>
      <c r="I189" s="8">
        <v>183.22222715616226</v>
      </c>
      <c r="J189" s="8">
        <v>751.0</v>
      </c>
      <c r="K189" s="11">
        <f t="shared" si="4"/>
        <v>0.5699067909</v>
      </c>
      <c r="L189" s="12">
        <f t="shared" si="5"/>
        <v>0.4280893158</v>
      </c>
      <c r="M189" s="12">
        <f t="shared" si="6"/>
        <v>0.2439710082</v>
      </c>
      <c r="N189" s="9">
        <f t="shared" si="7"/>
        <v>2.02683599</v>
      </c>
      <c r="P189" s="16"/>
      <c r="T189" s="18"/>
      <c r="U189" s="18"/>
      <c r="V189" s="18"/>
      <c r="W189" s="18"/>
    </row>
    <row r="190" ht="15.75" customHeight="1">
      <c r="A190" s="8">
        <v>40903.0</v>
      </c>
      <c r="B190" s="8">
        <v>17.0</v>
      </c>
      <c r="C190" s="8">
        <v>6.8888890743255615</v>
      </c>
      <c r="D190" s="8">
        <v>77.0</v>
      </c>
      <c r="E190" s="9">
        <f t="shared" si="1"/>
        <v>0.2207792208</v>
      </c>
      <c r="F190" s="10">
        <f t="shared" si="2"/>
        <v>0.4052287691</v>
      </c>
      <c r="G190" s="10">
        <f t="shared" si="3"/>
        <v>0.08946609187</v>
      </c>
      <c r="H190" s="8">
        <v>958.0</v>
      </c>
      <c r="I190" s="8">
        <v>420.0000107586384</v>
      </c>
      <c r="J190" s="8">
        <v>1787.0</v>
      </c>
      <c r="K190" s="11">
        <f t="shared" si="4"/>
        <v>0.5360940123</v>
      </c>
      <c r="L190" s="12">
        <f t="shared" si="5"/>
        <v>0.4384133724</v>
      </c>
      <c r="M190" s="12">
        <f t="shared" si="6"/>
        <v>0.2350307839</v>
      </c>
      <c r="N190" s="9">
        <f t="shared" si="7"/>
        <v>2.627037562</v>
      </c>
      <c r="P190" s="16"/>
      <c r="T190" s="18"/>
      <c r="U190" s="18"/>
      <c r="V190" s="18"/>
      <c r="W190" s="18"/>
    </row>
    <row r="191" ht="15.75" customHeight="1">
      <c r="A191" s="8">
        <v>41001.0</v>
      </c>
      <c r="B191" s="8">
        <v>379.0</v>
      </c>
      <c r="C191" s="8">
        <v>168.22222593426704</v>
      </c>
      <c r="D191" s="8">
        <v>565.0</v>
      </c>
      <c r="E191" s="9">
        <f t="shared" si="1"/>
        <v>0.6707964602</v>
      </c>
      <c r="F191" s="10">
        <f t="shared" si="2"/>
        <v>0.4438581159</v>
      </c>
      <c r="G191" s="10">
        <f t="shared" si="3"/>
        <v>0.297738453</v>
      </c>
      <c r="H191" s="8">
        <v>7013.0</v>
      </c>
      <c r="I191" s="8">
        <v>3247.777851641178</v>
      </c>
      <c r="J191" s="8">
        <v>9285.0</v>
      </c>
      <c r="K191" s="11">
        <f t="shared" si="4"/>
        <v>0.7553042542</v>
      </c>
      <c r="L191" s="12">
        <f t="shared" si="5"/>
        <v>0.4631082064</v>
      </c>
      <c r="M191" s="12">
        <f t="shared" si="6"/>
        <v>0.3497875985</v>
      </c>
      <c r="N191" s="9">
        <f t="shared" si="7"/>
        <v>1.174814993</v>
      </c>
      <c r="P191" s="16"/>
      <c r="T191" s="18"/>
      <c r="U191" s="18"/>
      <c r="V191" s="18"/>
      <c r="W191" s="18"/>
    </row>
    <row r="192" ht="15.75" customHeight="1">
      <c r="A192" s="8">
        <v>41101.0</v>
      </c>
      <c r="B192" s="8">
        <v>142.0</v>
      </c>
      <c r="C192" s="8">
        <v>59.55555707216263</v>
      </c>
      <c r="D192" s="8">
        <v>463.0</v>
      </c>
      <c r="E192" s="9">
        <f t="shared" si="1"/>
        <v>0.3066954644</v>
      </c>
      <c r="F192" s="10">
        <f t="shared" si="2"/>
        <v>0.4194053315</v>
      </c>
      <c r="G192" s="10">
        <f t="shared" si="3"/>
        <v>0.1286297129</v>
      </c>
      <c r="H192" s="8">
        <v>1919.0</v>
      </c>
      <c r="I192" s="8">
        <v>813.1111313700676</v>
      </c>
      <c r="J192" s="8">
        <v>4688.0</v>
      </c>
      <c r="K192" s="11">
        <f t="shared" si="4"/>
        <v>0.4093430034</v>
      </c>
      <c r="L192" s="12">
        <f t="shared" si="5"/>
        <v>0.4237160664</v>
      </c>
      <c r="M192" s="12">
        <f t="shared" si="6"/>
        <v>0.1734452072</v>
      </c>
      <c r="N192" s="9">
        <f t="shared" si="7"/>
        <v>1.348407015</v>
      </c>
      <c r="P192" s="16"/>
      <c r="T192" s="18"/>
      <c r="U192" s="18"/>
      <c r="V192" s="18"/>
      <c r="W192" s="18"/>
    </row>
    <row r="193" ht="15.75" customHeight="1">
      <c r="A193" s="8">
        <v>41201.0</v>
      </c>
      <c r="B193" s="8">
        <v>166.0</v>
      </c>
      <c r="C193" s="8">
        <v>73.55555739998817</v>
      </c>
      <c r="D193" s="8">
        <v>291.0</v>
      </c>
      <c r="E193" s="9">
        <f t="shared" si="1"/>
        <v>0.5704467354</v>
      </c>
      <c r="F193" s="10">
        <f t="shared" si="2"/>
        <v>0.4431057675</v>
      </c>
      <c r="G193" s="10">
        <f t="shared" si="3"/>
        <v>0.2527682385</v>
      </c>
      <c r="H193" s="8">
        <v>3424.0</v>
      </c>
      <c r="I193" s="8">
        <v>1529.5555910468102</v>
      </c>
      <c r="J193" s="8">
        <v>4763.0</v>
      </c>
      <c r="K193" s="11">
        <f t="shared" si="4"/>
        <v>0.7188746588</v>
      </c>
      <c r="L193" s="12">
        <f t="shared" si="5"/>
        <v>0.4467160021</v>
      </c>
      <c r="M193" s="12">
        <f t="shared" si="6"/>
        <v>0.3211328136</v>
      </c>
      <c r="N193" s="9">
        <f t="shared" si="7"/>
        <v>1.270463471</v>
      </c>
      <c r="P193" s="16"/>
      <c r="T193" s="18"/>
      <c r="U193" s="18"/>
      <c r="V193" s="18"/>
      <c r="W193" s="18"/>
    </row>
    <row r="194" ht="15.75" customHeight="1">
      <c r="A194" s="8">
        <v>41202.0</v>
      </c>
      <c r="B194" s="8">
        <v>102.0</v>
      </c>
      <c r="C194" s="8">
        <v>38.888889878988266</v>
      </c>
      <c r="D194" s="8">
        <v>207.0</v>
      </c>
      <c r="E194" s="9">
        <f t="shared" si="1"/>
        <v>0.4927536232</v>
      </c>
      <c r="F194" s="10">
        <f t="shared" si="2"/>
        <v>0.3812636263</v>
      </c>
      <c r="G194" s="10">
        <f t="shared" si="3"/>
        <v>0.1878690332</v>
      </c>
      <c r="H194" s="8">
        <v>1110.0</v>
      </c>
      <c r="I194" s="8">
        <v>466.777788490057</v>
      </c>
      <c r="J194" s="8">
        <v>1750.0</v>
      </c>
      <c r="K194" s="11">
        <f t="shared" si="4"/>
        <v>0.6342857143</v>
      </c>
      <c r="L194" s="12">
        <f t="shared" si="5"/>
        <v>0.4205205302</v>
      </c>
      <c r="M194" s="12">
        <f t="shared" si="6"/>
        <v>0.2667301649</v>
      </c>
      <c r="N194" s="9">
        <f t="shared" si="7"/>
        <v>1.419766527</v>
      </c>
      <c r="P194" s="16"/>
      <c r="T194" s="18"/>
      <c r="U194" s="18"/>
      <c r="V194" s="18"/>
      <c r="W194" s="18"/>
    </row>
    <row r="195" ht="15.75" customHeight="1">
      <c r="A195" s="8">
        <v>41301.0</v>
      </c>
      <c r="B195" s="8">
        <v>160.0</v>
      </c>
      <c r="C195" s="8">
        <v>69.1111127436161</v>
      </c>
      <c r="D195" s="8">
        <v>251.0</v>
      </c>
      <c r="E195" s="9">
        <f t="shared" si="1"/>
        <v>0.6374501992</v>
      </c>
      <c r="F195" s="10">
        <f t="shared" si="2"/>
        <v>0.4319444546</v>
      </c>
      <c r="G195" s="10">
        <f t="shared" si="3"/>
        <v>0.2753430787</v>
      </c>
      <c r="H195" s="8">
        <v>3726.0</v>
      </c>
      <c r="I195" s="8">
        <v>1703.8889285326004</v>
      </c>
      <c r="J195" s="8">
        <v>5129.0</v>
      </c>
      <c r="K195" s="11">
        <f t="shared" si="4"/>
        <v>0.7264573991</v>
      </c>
      <c r="L195" s="12">
        <f t="shared" si="5"/>
        <v>0.4572970823</v>
      </c>
      <c r="M195" s="12">
        <f t="shared" si="6"/>
        <v>0.332206849</v>
      </c>
      <c r="N195" s="9">
        <f t="shared" si="7"/>
        <v>1.206519701</v>
      </c>
      <c r="P195" s="16"/>
      <c r="T195" s="18"/>
      <c r="U195" s="18"/>
      <c r="V195" s="18"/>
      <c r="W195" s="18"/>
    </row>
    <row r="196" ht="15.75" customHeight="1">
      <c r="A196" s="8">
        <v>41401.0</v>
      </c>
      <c r="B196" s="8">
        <v>310.0</v>
      </c>
      <c r="C196" s="8">
        <v>125.88889169692993</v>
      </c>
      <c r="D196" s="8">
        <v>984.0</v>
      </c>
      <c r="E196" s="9">
        <f t="shared" si="1"/>
        <v>0.3150406504</v>
      </c>
      <c r="F196" s="10">
        <f t="shared" si="2"/>
        <v>0.406093199</v>
      </c>
      <c r="G196" s="10">
        <f t="shared" si="3"/>
        <v>0.1279358655</v>
      </c>
      <c r="H196" s="8">
        <v>6573.0</v>
      </c>
      <c r="I196" s="8">
        <v>3068.2222988009453</v>
      </c>
      <c r="J196" s="8">
        <v>11938.0</v>
      </c>
      <c r="K196" s="11">
        <f t="shared" si="4"/>
        <v>0.5505947395</v>
      </c>
      <c r="L196" s="12">
        <f t="shared" si="5"/>
        <v>0.4667917692</v>
      </c>
      <c r="M196" s="12">
        <f t="shared" si="6"/>
        <v>0.2570130925</v>
      </c>
      <c r="N196" s="9">
        <f t="shared" si="7"/>
        <v>2.008921356</v>
      </c>
      <c r="P196" s="16"/>
      <c r="T196" s="18"/>
      <c r="U196" s="18"/>
      <c r="V196" s="18"/>
      <c r="W196" s="18"/>
    </row>
    <row r="197" ht="15.75" customHeight="1">
      <c r="A197" s="8">
        <v>41501.0</v>
      </c>
      <c r="B197" s="8">
        <v>13.0</v>
      </c>
      <c r="C197" s="8">
        <v>6.33333358168602</v>
      </c>
      <c r="D197" s="8">
        <v>40.0</v>
      </c>
      <c r="E197" s="9">
        <f t="shared" si="1"/>
        <v>0.325</v>
      </c>
      <c r="F197" s="10">
        <f t="shared" si="2"/>
        <v>0.4871795063</v>
      </c>
      <c r="G197" s="10">
        <f t="shared" si="3"/>
        <v>0.1583333395</v>
      </c>
      <c r="H197" s="8">
        <v>335.0</v>
      </c>
      <c r="I197" s="8">
        <v>149.11111479997635</v>
      </c>
      <c r="J197" s="8">
        <v>463.0</v>
      </c>
      <c r="K197" s="11">
        <f t="shared" si="4"/>
        <v>0.7235421166</v>
      </c>
      <c r="L197" s="12">
        <f t="shared" si="5"/>
        <v>0.4451078054</v>
      </c>
      <c r="M197" s="12">
        <f t="shared" si="6"/>
        <v>0.3220542436</v>
      </c>
      <c r="N197" s="9">
        <f t="shared" si="7"/>
        <v>2.034026722</v>
      </c>
      <c r="P197" s="16"/>
      <c r="T197" s="18"/>
      <c r="U197" s="18"/>
      <c r="V197" s="18"/>
      <c r="W197" s="18"/>
    </row>
    <row r="198" ht="15.75" customHeight="1">
      <c r="A198" s="8">
        <v>41502.0</v>
      </c>
      <c r="B198" s="8">
        <v>12.0</v>
      </c>
      <c r="C198" s="8">
        <v>5.000000059604645</v>
      </c>
      <c r="D198" s="8">
        <v>27.0</v>
      </c>
      <c r="E198" s="9">
        <f t="shared" si="1"/>
        <v>0.4444444444</v>
      </c>
      <c r="F198" s="10">
        <f t="shared" si="2"/>
        <v>0.4166666716</v>
      </c>
      <c r="G198" s="10">
        <f t="shared" si="3"/>
        <v>0.1851851874</v>
      </c>
      <c r="H198" s="8">
        <v>456.0</v>
      </c>
      <c r="I198" s="8">
        <v>212.66667181253433</v>
      </c>
      <c r="J198" s="8">
        <v>625.0</v>
      </c>
      <c r="K198" s="11">
        <f t="shared" si="4"/>
        <v>0.7296</v>
      </c>
      <c r="L198" s="12">
        <f t="shared" si="5"/>
        <v>0.4663742803</v>
      </c>
      <c r="M198" s="12">
        <f t="shared" si="6"/>
        <v>0.3402666749</v>
      </c>
      <c r="N198" s="9">
        <f t="shared" si="7"/>
        <v>1.837440023</v>
      </c>
      <c r="P198" s="16"/>
      <c r="T198" s="18"/>
      <c r="U198" s="18"/>
      <c r="V198" s="18"/>
      <c r="W198" s="18"/>
    </row>
    <row r="199" ht="15.75" customHeight="1">
      <c r="A199" s="8">
        <v>41503.0</v>
      </c>
      <c r="B199" s="8">
        <v>26.0</v>
      </c>
      <c r="C199" s="8">
        <v>13.222222626209259</v>
      </c>
      <c r="D199" s="8">
        <v>29.0</v>
      </c>
      <c r="E199" s="9">
        <f t="shared" si="1"/>
        <v>0.8965517241</v>
      </c>
      <c r="F199" s="10">
        <f t="shared" si="2"/>
        <v>0.5085470241</v>
      </c>
      <c r="G199" s="10">
        <f t="shared" si="3"/>
        <v>0.4559387112</v>
      </c>
      <c r="H199" s="8">
        <v>596.0</v>
      </c>
      <c r="I199" s="8">
        <v>274.88889583945274</v>
      </c>
      <c r="J199" s="8">
        <v>793.0</v>
      </c>
      <c r="K199" s="11">
        <f t="shared" si="4"/>
        <v>0.7515762926</v>
      </c>
      <c r="L199" s="12">
        <f t="shared" si="5"/>
        <v>0.4612229796</v>
      </c>
      <c r="M199" s="12">
        <f t="shared" si="6"/>
        <v>0.346644257</v>
      </c>
      <c r="N199" s="9">
        <f t="shared" si="7"/>
        <v>0.7602869607</v>
      </c>
      <c r="P199" s="16"/>
      <c r="T199" s="18"/>
      <c r="U199" s="18"/>
      <c r="V199" s="18"/>
      <c r="W199" s="18"/>
    </row>
    <row r="200" ht="15.75" customHeight="1">
      <c r="A200" s="8">
        <v>41601.0</v>
      </c>
      <c r="B200" s="8">
        <v>161.0</v>
      </c>
      <c r="C200" s="8">
        <v>71.55555713176727</v>
      </c>
      <c r="D200" s="8">
        <v>236.0</v>
      </c>
      <c r="E200" s="9">
        <f t="shared" si="1"/>
        <v>0.6822033898</v>
      </c>
      <c r="F200" s="10">
        <f t="shared" si="2"/>
        <v>0.4444444542</v>
      </c>
      <c r="G200" s="10">
        <f t="shared" si="3"/>
        <v>0.3032015133</v>
      </c>
      <c r="H200" s="8">
        <v>3945.0</v>
      </c>
      <c r="I200" s="8">
        <v>1817.8889304995537</v>
      </c>
      <c r="J200" s="8">
        <v>5146.0</v>
      </c>
      <c r="K200" s="11">
        <f t="shared" si="4"/>
        <v>0.7666148465</v>
      </c>
      <c r="L200" s="12">
        <f t="shared" si="5"/>
        <v>0.4608083474</v>
      </c>
      <c r="M200" s="12">
        <f t="shared" si="6"/>
        <v>0.3532625205</v>
      </c>
      <c r="N200" s="9">
        <f t="shared" si="7"/>
        <v>1.165108039</v>
      </c>
      <c r="P200" s="16"/>
      <c r="T200" s="18"/>
      <c r="U200" s="18"/>
      <c r="V200" s="18"/>
      <c r="W200" s="18"/>
    </row>
    <row r="201" ht="15.75" customHeight="1">
      <c r="A201" s="8">
        <v>50101.0</v>
      </c>
      <c r="B201" s="8">
        <v>2459.0</v>
      </c>
      <c r="C201" s="8">
        <v>1017.6666923761368</v>
      </c>
      <c r="D201" s="8">
        <v>13609.0</v>
      </c>
      <c r="E201" s="9">
        <f t="shared" si="1"/>
        <v>0.1806892498</v>
      </c>
      <c r="F201" s="10">
        <f t="shared" si="2"/>
        <v>0.4138538806</v>
      </c>
      <c r="G201" s="10">
        <f t="shared" si="3"/>
        <v>0.07477894719</v>
      </c>
      <c r="H201" s="8">
        <v>20637.0</v>
      </c>
      <c r="I201" s="8">
        <v>8507.111329942942</v>
      </c>
      <c r="J201" s="8">
        <v>171382.0</v>
      </c>
      <c r="K201" s="11">
        <f t="shared" si="4"/>
        <v>0.1204152128</v>
      </c>
      <c r="L201" s="12">
        <f t="shared" si="5"/>
        <v>0.4122261632</v>
      </c>
      <c r="M201" s="12">
        <f t="shared" si="6"/>
        <v>0.04963830116</v>
      </c>
      <c r="N201" s="9">
        <f t="shared" si="7"/>
        <v>0.6638004816</v>
      </c>
      <c r="P201" s="16"/>
      <c r="T201" s="18"/>
      <c r="U201" s="18"/>
      <c r="V201" s="18"/>
      <c r="W201" s="18"/>
    </row>
    <row r="202" ht="15.75" customHeight="1">
      <c r="A202" s="8">
        <v>50102.0</v>
      </c>
      <c r="B202" s="8">
        <v>299.0</v>
      </c>
      <c r="C202" s="8">
        <v>142.33333709836006</v>
      </c>
      <c r="D202" s="8">
        <v>558.0</v>
      </c>
      <c r="E202" s="9">
        <f t="shared" si="1"/>
        <v>0.5358422939</v>
      </c>
      <c r="F202" s="10">
        <f t="shared" si="2"/>
        <v>0.4760312278</v>
      </c>
      <c r="G202" s="10">
        <f t="shared" si="3"/>
        <v>0.2550776651</v>
      </c>
      <c r="H202" s="8">
        <v>22967.0</v>
      </c>
      <c r="I202" s="8">
        <v>12348.222557932138</v>
      </c>
      <c r="J202" s="8">
        <v>26378.0</v>
      </c>
      <c r="K202" s="11">
        <f t="shared" si="4"/>
        <v>0.8706876943</v>
      </c>
      <c r="L202" s="12">
        <f t="shared" si="5"/>
        <v>0.5376506535</v>
      </c>
      <c r="M202" s="12">
        <f t="shared" si="6"/>
        <v>0.4681258078</v>
      </c>
      <c r="N202" s="9">
        <f t="shared" si="7"/>
        <v>1.835228528</v>
      </c>
      <c r="P202" s="16"/>
      <c r="T202" s="18"/>
      <c r="U202" s="18"/>
      <c r="V202" s="18"/>
      <c r="W202" s="18"/>
    </row>
    <row r="203" ht="15.75" customHeight="1">
      <c r="A203" s="8">
        <v>50103.0</v>
      </c>
      <c r="B203" s="8">
        <v>141.0</v>
      </c>
      <c r="C203" s="8">
        <v>59.444445729255676</v>
      </c>
      <c r="D203" s="8">
        <v>522.0</v>
      </c>
      <c r="E203" s="9">
        <f t="shared" si="1"/>
        <v>0.2701149425</v>
      </c>
      <c r="F203" s="10">
        <f t="shared" si="2"/>
        <v>0.4215918137</v>
      </c>
      <c r="G203" s="10">
        <f t="shared" si="3"/>
        <v>0.1138782485</v>
      </c>
      <c r="H203" s="8">
        <v>3016.0</v>
      </c>
      <c r="I203" s="8">
        <v>1249.7778085768223</v>
      </c>
      <c r="J203" s="8">
        <v>8181.0</v>
      </c>
      <c r="K203" s="11">
        <f t="shared" si="4"/>
        <v>0.3686590881</v>
      </c>
      <c r="L203" s="12">
        <f t="shared" si="5"/>
        <v>0.4143825625</v>
      </c>
      <c r="M203" s="12">
        <f t="shared" si="6"/>
        <v>0.1527658976</v>
      </c>
      <c r="N203" s="9">
        <f t="shared" si="7"/>
        <v>1.341484433</v>
      </c>
      <c r="P203" s="16"/>
      <c r="T203" s="18"/>
      <c r="U203" s="18"/>
      <c r="V203" s="18"/>
      <c r="W203" s="18"/>
    </row>
    <row r="204" ht="15.75" customHeight="1">
      <c r="A204" s="8">
        <v>50104.0</v>
      </c>
      <c r="B204" s="8">
        <v>26.0</v>
      </c>
      <c r="C204" s="8">
        <v>11.11111131310463</v>
      </c>
      <c r="D204" s="8">
        <v>72.0</v>
      </c>
      <c r="E204" s="9">
        <f t="shared" si="1"/>
        <v>0.3611111111</v>
      </c>
      <c r="F204" s="10">
        <f t="shared" si="2"/>
        <v>0.4273504351</v>
      </c>
      <c r="G204" s="10">
        <f t="shared" si="3"/>
        <v>0.1543209905</v>
      </c>
      <c r="H204" s="8">
        <v>1696.0</v>
      </c>
      <c r="I204" s="8">
        <v>760.5555754899979</v>
      </c>
      <c r="J204" s="8">
        <v>2653.0</v>
      </c>
      <c r="K204" s="11">
        <f t="shared" si="4"/>
        <v>0.639276291</v>
      </c>
      <c r="L204" s="12">
        <f t="shared" si="5"/>
        <v>0.4484407874</v>
      </c>
      <c r="M204" s="12">
        <f t="shared" si="6"/>
        <v>0.2866775633</v>
      </c>
      <c r="N204" s="9">
        <f t="shared" si="7"/>
        <v>1.857670577</v>
      </c>
      <c r="P204" s="16"/>
      <c r="T204" s="18"/>
      <c r="U204" s="18"/>
      <c r="V204" s="18"/>
      <c r="W204" s="18"/>
    </row>
    <row r="205" ht="15.75" customHeight="1">
      <c r="A205" s="8">
        <v>50201.0</v>
      </c>
      <c r="B205" s="8">
        <v>428.0</v>
      </c>
      <c r="C205" s="8">
        <v>185.2222270667553</v>
      </c>
      <c r="D205" s="8">
        <v>1181.0</v>
      </c>
      <c r="E205" s="9">
        <f t="shared" si="1"/>
        <v>0.3624047417</v>
      </c>
      <c r="F205" s="10">
        <f t="shared" si="2"/>
        <v>0.4327622128</v>
      </c>
      <c r="G205" s="10">
        <f t="shared" si="3"/>
        <v>0.156835078</v>
      </c>
      <c r="H205" s="8">
        <v>10101.0</v>
      </c>
      <c r="I205" s="8">
        <v>4395.111221462488</v>
      </c>
      <c r="J205" s="8">
        <v>20235.0</v>
      </c>
      <c r="K205" s="11">
        <f t="shared" si="4"/>
        <v>0.4991845812</v>
      </c>
      <c r="L205" s="12">
        <f t="shared" si="5"/>
        <v>0.435116446</v>
      </c>
      <c r="M205" s="12">
        <f t="shared" si="6"/>
        <v>0.2172034209</v>
      </c>
      <c r="N205" s="9">
        <f t="shared" si="7"/>
        <v>1.384916077</v>
      </c>
      <c r="P205" s="16"/>
      <c r="T205" s="18"/>
      <c r="U205" s="18"/>
      <c r="V205" s="18"/>
      <c r="W205" s="18"/>
    </row>
    <row r="206" ht="15.75" customHeight="1">
      <c r="A206" s="8">
        <v>50202.0</v>
      </c>
      <c r="B206" s="8">
        <v>281.0</v>
      </c>
      <c r="C206" s="8">
        <v>114.22222462296486</v>
      </c>
      <c r="D206" s="8">
        <v>698.0</v>
      </c>
      <c r="E206" s="9">
        <f t="shared" si="1"/>
        <v>0.4025787966</v>
      </c>
      <c r="F206" s="10">
        <f t="shared" si="2"/>
        <v>0.4064847851</v>
      </c>
      <c r="G206" s="10">
        <f t="shared" si="3"/>
        <v>0.1636421556</v>
      </c>
      <c r="H206" s="8">
        <v>8721.0</v>
      </c>
      <c r="I206" s="8">
        <v>3812.000096231699</v>
      </c>
      <c r="J206" s="8">
        <v>15174.0</v>
      </c>
      <c r="K206" s="11">
        <f t="shared" si="4"/>
        <v>0.5747330961</v>
      </c>
      <c r="L206" s="12">
        <f t="shared" si="5"/>
        <v>0.4371058475</v>
      </c>
      <c r="M206" s="12">
        <f t="shared" si="6"/>
        <v>0.2512191971</v>
      </c>
      <c r="N206" s="9">
        <f t="shared" si="7"/>
        <v>1.535174088</v>
      </c>
      <c r="P206" s="16"/>
      <c r="T206" s="18"/>
      <c r="U206" s="18"/>
      <c r="V206" s="18"/>
      <c r="W206" s="18"/>
    </row>
    <row r="207" ht="15.75" customHeight="1">
      <c r="A207" s="8">
        <v>50203.0</v>
      </c>
      <c r="B207" s="8">
        <v>1354.0</v>
      </c>
      <c r="C207" s="8">
        <v>571.1111250817776</v>
      </c>
      <c r="D207" s="8">
        <v>4545.0</v>
      </c>
      <c r="E207" s="9">
        <f t="shared" si="1"/>
        <v>0.297909791</v>
      </c>
      <c r="F207" s="10">
        <f t="shared" si="2"/>
        <v>0.4217955134</v>
      </c>
      <c r="G207" s="10">
        <f t="shared" si="3"/>
        <v>0.1256570132</v>
      </c>
      <c r="H207" s="8">
        <v>9743.0</v>
      </c>
      <c r="I207" s="8">
        <v>4044.000104725361</v>
      </c>
      <c r="J207" s="8">
        <v>35305.0</v>
      </c>
      <c r="K207" s="11">
        <f t="shared" si="4"/>
        <v>0.275966577</v>
      </c>
      <c r="L207" s="12">
        <f t="shared" si="5"/>
        <v>0.4150672385</v>
      </c>
      <c r="M207" s="12">
        <f t="shared" si="6"/>
        <v>0.114544685</v>
      </c>
      <c r="N207" s="9">
        <f t="shared" si="7"/>
        <v>0.9115661919</v>
      </c>
      <c r="P207" s="16"/>
      <c r="T207" s="18"/>
      <c r="U207" s="18"/>
      <c r="V207" s="18"/>
      <c r="W207" s="18"/>
    </row>
    <row r="208" ht="15.75" customHeight="1">
      <c r="A208" s="8">
        <v>50204.0</v>
      </c>
      <c r="B208" s="8">
        <v>148.0</v>
      </c>
      <c r="C208" s="8">
        <v>63.00000178813934</v>
      </c>
      <c r="D208" s="8">
        <v>364.0</v>
      </c>
      <c r="E208" s="9">
        <f t="shared" si="1"/>
        <v>0.4065934066</v>
      </c>
      <c r="F208" s="10">
        <f t="shared" si="2"/>
        <v>0.4256756878</v>
      </c>
      <c r="G208" s="10">
        <f t="shared" si="3"/>
        <v>0.173076928</v>
      </c>
      <c r="H208" s="8">
        <v>5569.0</v>
      </c>
      <c r="I208" s="8">
        <v>2678.444515109062</v>
      </c>
      <c r="J208" s="8">
        <v>7510.0</v>
      </c>
      <c r="K208" s="11">
        <f t="shared" si="4"/>
        <v>0.7415446072</v>
      </c>
      <c r="L208" s="12">
        <f t="shared" si="5"/>
        <v>0.480956099</v>
      </c>
      <c r="M208" s="12">
        <f t="shared" si="6"/>
        <v>0.3566504015</v>
      </c>
      <c r="N208" s="9">
        <f t="shared" si="7"/>
        <v>2.060646706</v>
      </c>
      <c r="P208" s="16"/>
      <c r="T208" s="18"/>
      <c r="U208" s="18"/>
      <c r="V208" s="18"/>
      <c r="W208" s="18"/>
    </row>
    <row r="209" ht="15.75" customHeight="1">
      <c r="A209" s="8">
        <v>50301.0</v>
      </c>
      <c r="B209" s="8">
        <v>555.0</v>
      </c>
      <c r="C209" s="8">
        <v>240.00000590085983</v>
      </c>
      <c r="D209" s="8">
        <v>1215.0</v>
      </c>
      <c r="E209" s="9">
        <f t="shared" si="1"/>
        <v>0.4567901235</v>
      </c>
      <c r="F209" s="10">
        <f t="shared" si="2"/>
        <v>0.4324324431</v>
      </c>
      <c r="G209" s="10">
        <f t="shared" si="3"/>
        <v>0.1975308691</v>
      </c>
      <c r="H209" s="8">
        <v>19556.0</v>
      </c>
      <c r="I209" s="8">
        <v>9341.666911751032</v>
      </c>
      <c r="J209" s="8">
        <v>31930.0</v>
      </c>
      <c r="K209" s="11">
        <f t="shared" si="4"/>
        <v>0.6124647667</v>
      </c>
      <c r="L209" s="12">
        <f t="shared" si="5"/>
        <v>0.4776880196</v>
      </c>
      <c r="M209" s="12">
        <f t="shared" si="6"/>
        <v>0.2925670815</v>
      </c>
      <c r="N209" s="9">
        <f t="shared" si="7"/>
        <v>1.481120814</v>
      </c>
      <c r="P209" s="16"/>
      <c r="T209" s="18"/>
      <c r="U209" s="18"/>
      <c r="V209" s="18"/>
      <c r="W209" s="18"/>
    </row>
    <row r="210" ht="15.75" customHeight="1">
      <c r="A210" s="8">
        <v>50302.0</v>
      </c>
      <c r="B210" s="8">
        <v>221.0</v>
      </c>
      <c r="C210" s="8">
        <v>100.22222465276718</v>
      </c>
      <c r="D210" s="8">
        <v>421.0</v>
      </c>
      <c r="E210" s="9">
        <f t="shared" si="1"/>
        <v>0.5249406176</v>
      </c>
      <c r="F210" s="10">
        <f t="shared" si="2"/>
        <v>0.4534942292</v>
      </c>
      <c r="G210" s="10">
        <f t="shared" si="3"/>
        <v>0.2380575407</v>
      </c>
      <c r="H210" s="8">
        <v>5182.0</v>
      </c>
      <c r="I210" s="8">
        <v>2292.6667251586914</v>
      </c>
      <c r="J210" s="8">
        <v>9224.0</v>
      </c>
      <c r="K210" s="11">
        <f t="shared" si="4"/>
        <v>0.5617953166</v>
      </c>
      <c r="L210" s="12">
        <f t="shared" si="5"/>
        <v>0.4424289319</v>
      </c>
      <c r="M210" s="12">
        <f t="shared" si="6"/>
        <v>0.2485545019</v>
      </c>
      <c r="N210" s="9">
        <f t="shared" si="7"/>
        <v>1.044094218</v>
      </c>
      <c r="P210" s="16"/>
      <c r="T210" s="18"/>
      <c r="U210" s="18"/>
      <c r="V210" s="18"/>
      <c r="W210" s="18"/>
    </row>
    <row r="211" ht="15.75" customHeight="1">
      <c r="A211" s="8">
        <v>50303.0</v>
      </c>
      <c r="B211" s="8">
        <v>207.0</v>
      </c>
      <c r="C211" s="8">
        <v>99.1111136674881</v>
      </c>
      <c r="D211" s="8">
        <v>295.0</v>
      </c>
      <c r="E211" s="9">
        <f t="shared" si="1"/>
        <v>0.7016949153</v>
      </c>
      <c r="F211" s="10">
        <f t="shared" si="2"/>
        <v>0.4787976506</v>
      </c>
      <c r="G211" s="10">
        <f t="shared" si="3"/>
        <v>0.3359698768</v>
      </c>
      <c r="H211" s="8">
        <v>10453.0</v>
      </c>
      <c r="I211" s="8">
        <v>5503.000152230263</v>
      </c>
      <c r="J211" s="8">
        <v>11287.0</v>
      </c>
      <c r="K211" s="11">
        <f t="shared" si="4"/>
        <v>0.9261096837</v>
      </c>
      <c r="L211" s="12">
        <f t="shared" si="5"/>
        <v>0.5264517509</v>
      </c>
      <c r="M211" s="12">
        <f t="shared" si="6"/>
        <v>0.4875520645</v>
      </c>
      <c r="N211" s="9">
        <f t="shared" si="7"/>
        <v>1.451177912</v>
      </c>
      <c r="P211" s="16"/>
      <c r="T211" s="18"/>
      <c r="U211" s="18"/>
      <c r="V211" s="18"/>
      <c r="W211" s="18"/>
    </row>
    <row r="212" ht="15.75" customHeight="1">
      <c r="A212" s="8">
        <v>50401.0</v>
      </c>
      <c r="B212" s="8">
        <v>419.0</v>
      </c>
      <c r="C212" s="8">
        <v>191.77778312563896</v>
      </c>
      <c r="D212" s="8">
        <v>895.0</v>
      </c>
      <c r="E212" s="9">
        <f t="shared" si="1"/>
        <v>0.4681564246</v>
      </c>
      <c r="F212" s="10">
        <f t="shared" si="2"/>
        <v>0.4577035397</v>
      </c>
      <c r="G212" s="10">
        <f t="shared" si="3"/>
        <v>0.2142768527</v>
      </c>
      <c r="H212" s="8">
        <v>10717.0</v>
      </c>
      <c r="I212" s="8">
        <v>5605.111267864704</v>
      </c>
      <c r="J212" s="8">
        <v>14081.0</v>
      </c>
      <c r="K212" s="11">
        <f t="shared" si="4"/>
        <v>0.761096513</v>
      </c>
      <c r="L212" s="12">
        <f t="shared" si="5"/>
        <v>0.5230112222</v>
      </c>
      <c r="M212" s="12">
        <f t="shared" si="6"/>
        <v>0.3980620175</v>
      </c>
      <c r="N212" s="9">
        <f t="shared" si="7"/>
        <v>1.857699572</v>
      </c>
      <c r="P212" s="16"/>
      <c r="T212" s="18"/>
      <c r="U212" s="18"/>
      <c r="V212" s="18"/>
      <c r="W212" s="18"/>
    </row>
    <row r="213" ht="15.75" customHeight="1">
      <c r="A213" s="8">
        <v>50402.0</v>
      </c>
      <c r="B213" s="8">
        <v>491.0</v>
      </c>
      <c r="C213" s="8">
        <v>232.88889488577843</v>
      </c>
      <c r="D213" s="8">
        <v>855.0</v>
      </c>
      <c r="E213" s="9">
        <f t="shared" si="1"/>
        <v>0.5742690058</v>
      </c>
      <c r="F213" s="10">
        <f t="shared" si="2"/>
        <v>0.4743154682</v>
      </c>
      <c r="G213" s="10">
        <f t="shared" si="3"/>
        <v>0.2723846724</v>
      </c>
      <c r="H213" s="8">
        <v>16522.0</v>
      </c>
      <c r="I213" s="8">
        <v>8742.444680660963</v>
      </c>
      <c r="J213" s="8">
        <v>19984.0</v>
      </c>
      <c r="K213" s="11">
        <f t="shared" si="4"/>
        <v>0.8267614091</v>
      </c>
      <c r="L213" s="12">
        <f t="shared" si="5"/>
        <v>0.5291396127</v>
      </c>
      <c r="M213" s="12">
        <f t="shared" si="6"/>
        <v>0.4374722118</v>
      </c>
      <c r="N213" s="9">
        <f t="shared" si="7"/>
        <v>1.606082339</v>
      </c>
      <c r="P213" s="16"/>
      <c r="T213" s="18"/>
      <c r="U213" s="18"/>
      <c r="V213" s="18"/>
      <c r="W213" s="18"/>
    </row>
    <row r="214" ht="15.75" customHeight="1">
      <c r="A214" s="8">
        <v>50403.0</v>
      </c>
      <c r="B214" s="8">
        <v>739.0</v>
      </c>
      <c r="C214" s="8">
        <v>331.1111195385456</v>
      </c>
      <c r="D214" s="8">
        <v>1072.0</v>
      </c>
      <c r="E214" s="9">
        <f t="shared" si="1"/>
        <v>0.6893656716</v>
      </c>
      <c r="F214" s="10">
        <f t="shared" si="2"/>
        <v>0.4480529358</v>
      </c>
      <c r="G214" s="10">
        <f t="shared" si="3"/>
        <v>0.308872313</v>
      </c>
      <c r="H214" s="8">
        <v>18931.0</v>
      </c>
      <c r="I214" s="8">
        <v>8954.22246068716</v>
      </c>
      <c r="J214" s="8">
        <v>24927.0</v>
      </c>
      <c r="K214" s="11">
        <f t="shared" si="4"/>
        <v>0.7594576162</v>
      </c>
      <c r="L214" s="12">
        <f t="shared" si="5"/>
        <v>0.4729925762</v>
      </c>
      <c r="M214" s="12">
        <f t="shared" si="6"/>
        <v>0.3592178144</v>
      </c>
      <c r="N214" s="9">
        <f t="shared" si="7"/>
        <v>1.16299778</v>
      </c>
      <c r="P214" s="16"/>
      <c r="T214" s="18"/>
      <c r="U214" s="18"/>
      <c r="V214" s="18"/>
      <c r="W214" s="18"/>
    </row>
    <row r="215" ht="15.75" customHeight="1">
      <c r="A215" s="8">
        <v>50404.0</v>
      </c>
      <c r="B215" s="8">
        <v>460.0</v>
      </c>
      <c r="C215" s="8">
        <v>212.88889387249947</v>
      </c>
      <c r="D215" s="8">
        <v>747.0</v>
      </c>
      <c r="E215" s="9">
        <f t="shared" si="1"/>
        <v>0.6157965194</v>
      </c>
      <c r="F215" s="10">
        <f t="shared" si="2"/>
        <v>0.4628019432</v>
      </c>
      <c r="G215" s="10">
        <f t="shared" si="3"/>
        <v>0.2849918258</v>
      </c>
      <c r="H215" s="8">
        <v>13100.0</v>
      </c>
      <c r="I215" s="8">
        <v>7083.444638758898</v>
      </c>
      <c r="J215" s="8">
        <v>15141.0</v>
      </c>
      <c r="K215" s="11">
        <f t="shared" si="4"/>
        <v>0.8652004491</v>
      </c>
      <c r="L215" s="12">
        <f t="shared" si="5"/>
        <v>0.5407209648</v>
      </c>
      <c r="M215" s="12">
        <f t="shared" si="6"/>
        <v>0.4678320216</v>
      </c>
      <c r="N215" s="9">
        <f t="shared" si="7"/>
        <v>1.641562948</v>
      </c>
      <c r="P215" s="16"/>
      <c r="T215" s="18"/>
      <c r="U215" s="18"/>
      <c r="V215" s="18"/>
      <c r="W215" s="18"/>
    </row>
    <row r="216" ht="15.75" customHeight="1">
      <c r="A216" s="20">
        <v>50405.0</v>
      </c>
      <c r="B216" s="8">
        <v>432.0</v>
      </c>
      <c r="C216" s="8">
        <v>191.8888939321041</v>
      </c>
      <c r="D216" s="8">
        <v>619.0</v>
      </c>
      <c r="E216" s="9">
        <f t="shared" si="1"/>
        <v>0.6978998384</v>
      </c>
      <c r="F216" s="10">
        <f t="shared" si="2"/>
        <v>0.4441872545</v>
      </c>
      <c r="G216" s="10">
        <f t="shared" si="3"/>
        <v>0.3099982131</v>
      </c>
      <c r="H216" s="8">
        <v>15626.0</v>
      </c>
      <c r="I216" s="8">
        <v>7639.111320734024</v>
      </c>
      <c r="J216" s="8">
        <v>19018.0</v>
      </c>
      <c r="K216" s="11">
        <f t="shared" si="4"/>
        <v>0.8216426543</v>
      </c>
      <c r="L216" s="12">
        <f t="shared" si="5"/>
        <v>0.4888718367</v>
      </c>
      <c r="M216" s="12">
        <f t="shared" si="6"/>
        <v>0.4016779536</v>
      </c>
      <c r="N216" s="9">
        <f t="shared" si="7"/>
        <v>1.295742803</v>
      </c>
      <c r="P216" s="16"/>
      <c r="T216" s="18"/>
      <c r="U216" s="18"/>
      <c r="V216" s="18"/>
      <c r="W216" s="18"/>
    </row>
    <row r="217" ht="15.75" customHeight="1">
      <c r="A217" s="8">
        <v>50501.0</v>
      </c>
      <c r="B217" s="8">
        <v>753.0</v>
      </c>
      <c r="C217" s="8">
        <v>360.33334344625473</v>
      </c>
      <c r="D217" s="8">
        <v>1150.0</v>
      </c>
      <c r="E217" s="9">
        <f t="shared" si="1"/>
        <v>0.6547826087</v>
      </c>
      <c r="F217" s="10">
        <f t="shared" si="2"/>
        <v>0.4785303366</v>
      </c>
      <c r="G217" s="10">
        <f t="shared" si="3"/>
        <v>0.3133333421</v>
      </c>
      <c r="H217" s="8">
        <v>26089.0</v>
      </c>
      <c r="I217" s="8">
        <v>14361.00040385127</v>
      </c>
      <c r="J217" s="8">
        <v>28441.0</v>
      </c>
      <c r="K217" s="11">
        <f t="shared" si="4"/>
        <v>0.9173024858</v>
      </c>
      <c r="L217" s="12">
        <f t="shared" si="5"/>
        <v>0.550461896</v>
      </c>
      <c r="M217" s="12">
        <f t="shared" si="6"/>
        <v>0.5049400655</v>
      </c>
      <c r="N217" s="9">
        <f t="shared" si="7"/>
        <v>1.611510802</v>
      </c>
      <c r="P217" s="16"/>
      <c r="T217" s="18"/>
      <c r="U217" s="18"/>
      <c r="V217" s="18"/>
      <c r="W217" s="18"/>
    </row>
    <row r="218" ht="15.75" customHeight="1">
      <c r="A218" s="8">
        <v>50502.0</v>
      </c>
      <c r="B218" s="8">
        <v>343.0</v>
      </c>
      <c r="C218" s="8">
        <v>162.55555921792984</v>
      </c>
      <c r="D218" s="8">
        <v>682.0</v>
      </c>
      <c r="E218" s="9">
        <f t="shared" si="1"/>
        <v>0.5029325513</v>
      </c>
      <c r="F218" s="10">
        <f t="shared" si="2"/>
        <v>0.4739229132</v>
      </c>
      <c r="G218" s="10">
        <f t="shared" si="3"/>
        <v>0.2383512599</v>
      </c>
      <c r="H218" s="8">
        <v>7890.0</v>
      </c>
      <c r="I218" s="8">
        <v>4117.555669665337</v>
      </c>
      <c r="J218" s="8">
        <v>9901.0</v>
      </c>
      <c r="K218" s="11">
        <f t="shared" si="4"/>
        <v>0.7968892031</v>
      </c>
      <c r="L218" s="12">
        <f t="shared" si="5"/>
        <v>0.5218701736</v>
      </c>
      <c r="M218" s="12">
        <f t="shared" si="6"/>
        <v>0.4158727068</v>
      </c>
      <c r="N218" s="9">
        <f t="shared" si="7"/>
        <v>1.744789212</v>
      </c>
      <c r="P218" s="16"/>
      <c r="T218" s="18"/>
      <c r="U218" s="18"/>
      <c r="V218" s="18"/>
      <c r="W218" s="18"/>
    </row>
    <row r="219" ht="15.75" customHeight="1">
      <c r="A219" s="8">
        <v>50601.0</v>
      </c>
      <c r="B219" s="8">
        <v>857.0</v>
      </c>
      <c r="C219" s="8">
        <v>361.5555643737316</v>
      </c>
      <c r="D219" s="8">
        <v>2019.0</v>
      </c>
      <c r="E219" s="9">
        <f t="shared" si="1"/>
        <v>0.4244675582</v>
      </c>
      <c r="F219" s="10">
        <f t="shared" si="2"/>
        <v>0.4218851393</v>
      </c>
      <c r="G219" s="10">
        <f t="shared" si="3"/>
        <v>0.1790765549</v>
      </c>
      <c r="H219" s="8">
        <v>17386.0</v>
      </c>
      <c r="I219" s="8">
        <v>7671.000196844339</v>
      </c>
      <c r="J219" s="8">
        <v>28936.0</v>
      </c>
      <c r="K219" s="11">
        <f t="shared" si="4"/>
        <v>0.6008432403</v>
      </c>
      <c r="L219" s="12">
        <f t="shared" si="5"/>
        <v>0.4412170825</v>
      </c>
      <c r="M219" s="12">
        <f t="shared" si="6"/>
        <v>0.2651023015</v>
      </c>
      <c r="N219" s="9">
        <f t="shared" si="7"/>
        <v>1.480385311</v>
      </c>
      <c r="P219" s="16"/>
      <c r="T219" s="18"/>
      <c r="U219" s="18"/>
      <c r="V219" s="18"/>
      <c r="W219" s="18"/>
    </row>
    <row r="220" ht="15.75" customHeight="1">
      <c r="A220" s="8">
        <v>50602.0</v>
      </c>
      <c r="B220" s="8">
        <v>154.0</v>
      </c>
      <c r="C220" s="8">
        <v>62.22222384810448</v>
      </c>
      <c r="D220" s="8">
        <v>411.0</v>
      </c>
      <c r="E220" s="9">
        <f t="shared" si="1"/>
        <v>0.3746958637</v>
      </c>
      <c r="F220" s="10">
        <f t="shared" si="2"/>
        <v>0.4040404146</v>
      </c>
      <c r="G220" s="10">
        <f t="shared" si="3"/>
        <v>0.1513922721</v>
      </c>
      <c r="H220" s="8">
        <v>5067.0</v>
      </c>
      <c r="I220" s="8">
        <v>2187.888947635889</v>
      </c>
      <c r="J220" s="8">
        <v>9855.0</v>
      </c>
      <c r="K220" s="11">
        <f t="shared" si="4"/>
        <v>0.5141552511</v>
      </c>
      <c r="L220" s="12">
        <f t="shared" si="5"/>
        <v>0.4317917797</v>
      </c>
      <c r="M220" s="12">
        <f t="shared" si="6"/>
        <v>0.2220080109</v>
      </c>
      <c r="N220" s="9">
        <f t="shared" si="7"/>
        <v>1.466442162</v>
      </c>
      <c r="P220" s="16"/>
      <c r="T220" s="18"/>
      <c r="U220" s="18"/>
      <c r="V220" s="18"/>
      <c r="W220" s="18"/>
    </row>
    <row r="221" ht="15.75" customHeight="1">
      <c r="A221" s="8">
        <v>50701.0</v>
      </c>
      <c r="B221" s="8">
        <v>457.0</v>
      </c>
      <c r="C221" s="8">
        <v>206.5555610358715</v>
      </c>
      <c r="D221" s="8">
        <v>1065.0</v>
      </c>
      <c r="E221" s="9">
        <f t="shared" si="1"/>
        <v>0.4291079812</v>
      </c>
      <c r="F221" s="10">
        <f t="shared" si="2"/>
        <v>0.451981534</v>
      </c>
      <c r="G221" s="10">
        <f t="shared" si="3"/>
        <v>0.1939488836</v>
      </c>
      <c r="H221" s="8">
        <v>13753.0</v>
      </c>
      <c r="I221" s="8">
        <v>6677.1112886071205</v>
      </c>
      <c r="J221" s="8">
        <v>18207.0</v>
      </c>
      <c r="K221" s="11">
        <f t="shared" si="4"/>
        <v>0.7553688142</v>
      </c>
      <c r="L221" s="12">
        <f t="shared" si="5"/>
        <v>0.485502166</v>
      </c>
      <c r="M221" s="12">
        <f t="shared" si="6"/>
        <v>0.3667331954</v>
      </c>
      <c r="N221" s="9">
        <f t="shared" si="7"/>
        <v>1.890875516</v>
      </c>
      <c r="P221" s="16"/>
      <c r="T221" s="18"/>
      <c r="U221" s="18"/>
      <c r="V221" s="18"/>
      <c r="W221" s="18"/>
    </row>
    <row r="222" ht="15.75" customHeight="1">
      <c r="A222" s="8">
        <v>50702.0</v>
      </c>
      <c r="B222" s="8">
        <v>247.0</v>
      </c>
      <c r="C222" s="8">
        <v>105.44444704055786</v>
      </c>
      <c r="D222" s="8">
        <v>437.0</v>
      </c>
      <c r="E222" s="9">
        <f t="shared" si="1"/>
        <v>0.5652173913</v>
      </c>
      <c r="F222" s="10">
        <f t="shared" si="2"/>
        <v>0.4269005953</v>
      </c>
      <c r="G222" s="10">
        <f t="shared" si="3"/>
        <v>0.2412916408</v>
      </c>
      <c r="H222" s="8">
        <v>6022.0</v>
      </c>
      <c r="I222" s="8">
        <v>2658.3334024846554</v>
      </c>
      <c r="J222" s="8">
        <v>8184.0</v>
      </c>
      <c r="K222" s="11">
        <f t="shared" si="4"/>
        <v>0.735826002</v>
      </c>
      <c r="L222" s="12">
        <f t="shared" si="5"/>
        <v>0.4414369649</v>
      </c>
      <c r="M222" s="12">
        <f t="shared" si="6"/>
        <v>0.324820797</v>
      </c>
      <c r="N222" s="9">
        <f t="shared" si="7"/>
        <v>1.346175093</v>
      </c>
      <c r="P222" s="16"/>
      <c r="T222" s="18"/>
      <c r="U222" s="18"/>
      <c r="V222" s="18"/>
      <c r="W222" s="18"/>
    </row>
    <row r="223" ht="15.75" customHeight="1">
      <c r="A223" s="8">
        <v>50801.0</v>
      </c>
      <c r="B223" s="8">
        <v>1231.0</v>
      </c>
      <c r="C223" s="8">
        <v>514.7777914404869</v>
      </c>
      <c r="D223" s="8">
        <v>5471.0</v>
      </c>
      <c r="E223" s="9">
        <f t="shared" si="1"/>
        <v>0.2250045695</v>
      </c>
      <c r="F223" s="10">
        <f t="shared" si="2"/>
        <v>0.4181785471</v>
      </c>
      <c r="G223" s="10">
        <f t="shared" si="3"/>
        <v>0.09409208398</v>
      </c>
      <c r="H223" s="8">
        <v>11827.0</v>
      </c>
      <c r="I223" s="8">
        <v>5211.8890244960785</v>
      </c>
      <c r="J223" s="8">
        <v>37542.0</v>
      </c>
      <c r="K223" s="11">
        <f t="shared" si="4"/>
        <v>0.3150338288</v>
      </c>
      <c r="L223" s="12">
        <f t="shared" si="5"/>
        <v>0.4406771814</v>
      </c>
      <c r="M223" s="12">
        <f t="shared" si="6"/>
        <v>0.1388282197</v>
      </c>
      <c r="N223" s="9">
        <f t="shared" si="7"/>
        <v>1.475450578</v>
      </c>
      <c r="P223" s="16"/>
      <c r="T223" s="18"/>
      <c r="U223" s="18"/>
      <c r="V223" s="18"/>
      <c r="W223" s="18"/>
    </row>
    <row r="224" ht="15.75" customHeight="1">
      <c r="A224" s="8">
        <v>50802.0</v>
      </c>
      <c r="B224" s="8">
        <v>388.0</v>
      </c>
      <c r="C224" s="8">
        <v>152.55555951595306</v>
      </c>
      <c r="D224" s="8">
        <v>2023.0</v>
      </c>
      <c r="E224" s="9">
        <f t="shared" si="1"/>
        <v>0.1917943648</v>
      </c>
      <c r="F224" s="10">
        <f t="shared" si="2"/>
        <v>0.3931844317</v>
      </c>
      <c r="G224" s="10">
        <f t="shared" si="3"/>
        <v>0.07541055834</v>
      </c>
      <c r="H224" s="8">
        <v>1844.0</v>
      </c>
      <c r="I224" s="8">
        <v>746.2222412824631</v>
      </c>
      <c r="J224" s="8">
        <v>8789.0</v>
      </c>
      <c r="K224" s="11">
        <f t="shared" si="4"/>
        <v>0.2098077142</v>
      </c>
      <c r="L224" s="12">
        <f t="shared" si="5"/>
        <v>0.4046758358</v>
      </c>
      <c r="M224" s="12">
        <f t="shared" si="6"/>
        <v>0.0849041121</v>
      </c>
      <c r="N224" s="9">
        <f t="shared" si="7"/>
        <v>1.125891572</v>
      </c>
      <c r="P224" s="16"/>
      <c r="T224" s="18"/>
      <c r="U224" s="18"/>
      <c r="V224" s="18"/>
      <c r="W224" s="18"/>
    </row>
    <row r="225" ht="15.75" customHeight="1">
      <c r="A225" s="8">
        <v>50901.0</v>
      </c>
      <c r="B225" s="8">
        <v>504.0</v>
      </c>
      <c r="C225" s="8">
        <v>212.11111688613892</v>
      </c>
      <c r="D225" s="8">
        <v>1635.0</v>
      </c>
      <c r="E225" s="9">
        <f t="shared" si="1"/>
        <v>0.3082568807</v>
      </c>
      <c r="F225" s="10">
        <f t="shared" si="2"/>
        <v>0.4208553906</v>
      </c>
      <c r="G225" s="10">
        <f t="shared" si="3"/>
        <v>0.12973157</v>
      </c>
      <c r="H225" s="8">
        <v>4805.0</v>
      </c>
      <c r="I225" s="8">
        <v>2162.7778337299824</v>
      </c>
      <c r="J225" s="8">
        <v>9280.0</v>
      </c>
      <c r="K225" s="11">
        <f t="shared" si="4"/>
        <v>0.5177801724</v>
      </c>
      <c r="L225" s="12">
        <f t="shared" si="5"/>
        <v>0.4501098509</v>
      </c>
      <c r="M225" s="12">
        <f t="shared" si="6"/>
        <v>0.2330579562</v>
      </c>
      <c r="N225" s="9">
        <f t="shared" si="7"/>
        <v>1.79646293</v>
      </c>
      <c r="P225" s="16"/>
      <c r="T225" s="18"/>
      <c r="U225" s="18"/>
      <c r="V225" s="18"/>
      <c r="W225" s="18"/>
    </row>
    <row r="226" ht="15.75" customHeight="1">
      <c r="A226" s="8">
        <v>50902.0</v>
      </c>
      <c r="B226" s="8">
        <v>30.0</v>
      </c>
      <c r="C226" s="8">
        <v>13.000000298023224</v>
      </c>
      <c r="D226" s="8">
        <v>89.0</v>
      </c>
      <c r="E226" s="9">
        <f t="shared" si="1"/>
        <v>0.3370786517</v>
      </c>
      <c r="F226" s="10">
        <f t="shared" si="2"/>
        <v>0.4333333433</v>
      </c>
      <c r="G226" s="10">
        <f t="shared" si="3"/>
        <v>0.1460674191</v>
      </c>
      <c r="H226" s="8">
        <v>368.0</v>
      </c>
      <c r="I226" s="8">
        <v>153.0000035762787</v>
      </c>
      <c r="J226" s="8">
        <v>854.0</v>
      </c>
      <c r="K226" s="11">
        <f t="shared" si="4"/>
        <v>0.4309133489</v>
      </c>
      <c r="L226" s="12">
        <f t="shared" si="5"/>
        <v>0.4157608793</v>
      </c>
      <c r="M226" s="12">
        <f t="shared" si="6"/>
        <v>0.1791569129</v>
      </c>
      <c r="N226" s="9">
        <f t="shared" si="7"/>
        <v>1.22653576</v>
      </c>
      <c r="P226" s="16"/>
      <c r="T226" s="18"/>
      <c r="U226" s="18"/>
      <c r="V226" s="18"/>
      <c r="W226" s="18"/>
    </row>
    <row r="227" ht="15.75" customHeight="1">
      <c r="A227" s="8">
        <v>51001.0</v>
      </c>
      <c r="B227" s="8">
        <v>97.0</v>
      </c>
      <c r="C227" s="8">
        <v>41.22222337126732</v>
      </c>
      <c r="D227" s="8">
        <v>177.0</v>
      </c>
      <c r="E227" s="9">
        <f t="shared" si="1"/>
        <v>0.5480225989</v>
      </c>
      <c r="F227" s="10">
        <f t="shared" si="2"/>
        <v>0.424971375</v>
      </c>
      <c r="G227" s="10">
        <f t="shared" si="3"/>
        <v>0.2328939174</v>
      </c>
      <c r="H227" s="8">
        <v>1727.0</v>
      </c>
      <c r="I227" s="8">
        <v>778.555574119091</v>
      </c>
      <c r="J227" s="8">
        <v>2743.0</v>
      </c>
      <c r="K227" s="11">
        <f t="shared" si="4"/>
        <v>0.6296026249</v>
      </c>
      <c r="L227" s="12">
        <f t="shared" si="5"/>
        <v>0.4508138819</v>
      </c>
      <c r="M227" s="12">
        <f t="shared" si="6"/>
        <v>0.2838336034</v>
      </c>
      <c r="N227" s="9">
        <f t="shared" si="7"/>
        <v>1.218724845</v>
      </c>
      <c r="P227" s="16"/>
      <c r="T227" s="18"/>
      <c r="U227" s="18"/>
      <c r="V227" s="18"/>
      <c r="W227" s="18"/>
    </row>
    <row r="228" ht="15.75" customHeight="1">
      <c r="A228" s="8">
        <v>51002.0</v>
      </c>
      <c r="B228" s="8">
        <v>4.0</v>
      </c>
      <c r="C228" s="8">
        <v>1.444444477558136</v>
      </c>
      <c r="D228" s="8">
        <v>5.0</v>
      </c>
      <c r="E228" s="9">
        <f t="shared" si="1"/>
        <v>0.8</v>
      </c>
      <c r="F228" s="10">
        <f t="shared" si="2"/>
        <v>0.3611111194</v>
      </c>
      <c r="G228" s="10">
        <f t="shared" si="3"/>
        <v>0.2888888955</v>
      </c>
      <c r="H228" s="8">
        <v>838.0</v>
      </c>
      <c r="I228" s="8">
        <v>409.77778965234756</v>
      </c>
      <c r="J228" s="8">
        <v>1163.0</v>
      </c>
      <c r="K228" s="11">
        <f t="shared" si="4"/>
        <v>0.7205503009</v>
      </c>
      <c r="L228" s="12">
        <f t="shared" si="5"/>
        <v>0.4889949757</v>
      </c>
      <c r="M228" s="12">
        <f t="shared" si="6"/>
        <v>0.3523454769</v>
      </c>
      <c r="N228" s="9">
        <f t="shared" si="7"/>
        <v>1.219657392</v>
      </c>
      <c r="P228" s="16"/>
      <c r="T228" s="18"/>
      <c r="U228" s="18"/>
      <c r="V228" s="18"/>
      <c r="W228" s="18"/>
    </row>
    <row r="229" ht="15.75" customHeight="1">
      <c r="A229" s="8">
        <v>51003.0</v>
      </c>
      <c r="B229" s="8">
        <v>24.0</v>
      </c>
      <c r="C229" s="8">
        <v>11.666666954755783</v>
      </c>
      <c r="D229" s="8">
        <v>69.0</v>
      </c>
      <c r="E229" s="9">
        <f t="shared" si="1"/>
        <v>0.347826087</v>
      </c>
      <c r="F229" s="10">
        <f t="shared" si="2"/>
        <v>0.4861111231</v>
      </c>
      <c r="G229" s="10">
        <f t="shared" si="3"/>
        <v>0.1690821298</v>
      </c>
      <c r="H229" s="8">
        <v>1176.0</v>
      </c>
      <c r="I229" s="8">
        <v>515.3333466351032</v>
      </c>
      <c r="J229" s="8">
        <v>2049.0</v>
      </c>
      <c r="K229" s="11">
        <f t="shared" si="4"/>
        <v>0.5739385066</v>
      </c>
      <c r="L229" s="12">
        <f t="shared" si="5"/>
        <v>0.4382086281</v>
      </c>
      <c r="M229" s="12">
        <f t="shared" si="6"/>
        <v>0.2515048056</v>
      </c>
      <c r="N229" s="9">
        <f t="shared" si="7"/>
        <v>1.487471242</v>
      </c>
      <c r="P229" s="16"/>
      <c r="T229" s="18"/>
      <c r="U229" s="18"/>
      <c r="V229" s="18"/>
      <c r="W229" s="18"/>
    </row>
    <row r="230" ht="15.75" customHeight="1">
      <c r="A230" s="8">
        <v>51101.0</v>
      </c>
      <c r="B230" s="8">
        <v>406.0</v>
      </c>
      <c r="C230" s="8">
        <v>176.2222264111042</v>
      </c>
      <c r="D230" s="8">
        <v>797.0</v>
      </c>
      <c r="E230" s="9">
        <f t="shared" si="1"/>
        <v>0.5094102886</v>
      </c>
      <c r="F230" s="10">
        <f t="shared" si="2"/>
        <v>0.4340448926</v>
      </c>
      <c r="G230" s="10">
        <f t="shared" si="3"/>
        <v>0.221106934</v>
      </c>
      <c r="H230" s="8">
        <v>10472.0</v>
      </c>
      <c r="I230" s="8">
        <v>4601.333451241255</v>
      </c>
      <c r="J230" s="8">
        <v>20461.0</v>
      </c>
      <c r="K230" s="11">
        <f t="shared" si="4"/>
        <v>0.5118029422</v>
      </c>
      <c r="L230" s="12">
        <f t="shared" si="5"/>
        <v>0.4393939507</v>
      </c>
      <c r="M230" s="12">
        <f t="shared" si="6"/>
        <v>0.2248831167</v>
      </c>
      <c r="N230" s="9">
        <f t="shared" si="7"/>
        <v>1.017078536</v>
      </c>
      <c r="P230" s="16"/>
      <c r="T230" s="18"/>
      <c r="U230" s="18"/>
      <c r="V230" s="18"/>
      <c r="W230" s="18"/>
    </row>
    <row r="231" ht="15.75" customHeight="1">
      <c r="A231" s="8">
        <v>51102.0</v>
      </c>
      <c r="B231" s="8">
        <v>375.0</v>
      </c>
      <c r="C231" s="8">
        <v>151.0000037252903</v>
      </c>
      <c r="D231" s="8">
        <v>766.0</v>
      </c>
      <c r="E231" s="9">
        <f t="shared" si="1"/>
        <v>0.4895561358</v>
      </c>
      <c r="F231" s="10">
        <f t="shared" si="2"/>
        <v>0.4026666766</v>
      </c>
      <c r="G231" s="10">
        <f t="shared" si="3"/>
        <v>0.1971279422</v>
      </c>
      <c r="H231" s="8">
        <v>5060.0</v>
      </c>
      <c r="I231" s="8">
        <v>2176.5556087195873</v>
      </c>
      <c r="J231" s="8">
        <v>10755.0</v>
      </c>
      <c r="K231" s="11">
        <f t="shared" si="4"/>
        <v>0.470478847</v>
      </c>
      <c r="L231" s="12">
        <f t="shared" si="5"/>
        <v>0.4301493298</v>
      </c>
      <c r="M231" s="12">
        <f t="shared" si="6"/>
        <v>0.2023761607</v>
      </c>
      <c r="N231" s="9">
        <f t="shared" si="7"/>
        <v>1.026623413</v>
      </c>
      <c r="P231" s="16"/>
      <c r="T231" s="18"/>
      <c r="U231" s="18"/>
      <c r="V231" s="18"/>
      <c r="W231" s="18"/>
    </row>
    <row r="232" ht="15.75" customHeight="1">
      <c r="A232" s="8">
        <v>51103.0</v>
      </c>
      <c r="B232" s="8">
        <v>278.0</v>
      </c>
      <c r="C232" s="8">
        <v>138.66667020320892</v>
      </c>
      <c r="D232" s="8">
        <v>434.0</v>
      </c>
      <c r="E232" s="9">
        <f t="shared" si="1"/>
        <v>0.6405529954</v>
      </c>
      <c r="F232" s="10">
        <f t="shared" si="2"/>
        <v>0.498800972</v>
      </c>
      <c r="G232" s="10">
        <f t="shared" si="3"/>
        <v>0.3195084567</v>
      </c>
      <c r="H232" s="8">
        <v>13365.0</v>
      </c>
      <c r="I232" s="8">
        <v>7279.666861474514</v>
      </c>
      <c r="J232" s="8">
        <v>15102.0</v>
      </c>
      <c r="K232" s="11">
        <f t="shared" si="4"/>
        <v>0.8849821216</v>
      </c>
      <c r="L232" s="12">
        <f t="shared" si="5"/>
        <v>0.5446813963</v>
      </c>
      <c r="M232" s="12">
        <f t="shared" si="6"/>
        <v>0.4820332977</v>
      </c>
      <c r="N232" s="9">
        <f t="shared" si="7"/>
        <v>1.508671485</v>
      </c>
      <c r="P232" s="16"/>
      <c r="T232" s="18"/>
      <c r="U232" s="18"/>
      <c r="V232" s="18"/>
      <c r="W232" s="18"/>
    </row>
    <row r="233" ht="15.75" customHeight="1">
      <c r="A233" s="8">
        <v>51201.0</v>
      </c>
      <c r="B233" s="8">
        <v>1705.0</v>
      </c>
      <c r="C233" s="8">
        <v>732.333351880312</v>
      </c>
      <c r="D233" s="8">
        <v>5273.0</v>
      </c>
      <c r="E233" s="9">
        <f t="shared" si="1"/>
        <v>0.3233453442</v>
      </c>
      <c r="F233" s="10">
        <f t="shared" si="2"/>
        <v>0.4295210275</v>
      </c>
      <c r="G233" s="10">
        <f t="shared" si="3"/>
        <v>0.1388836245</v>
      </c>
      <c r="H233" s="8">
        <v>9025.0</v>
      </c>
      <c r="I233" s="8">
        <v>4049.0001064538956</v>
      </c>
      <c r="J233" s="8">
        <v>22953.0</v>
      </c>
      <c r="K233" s="11">
        <f t="shared" si="4"/>
        <v>0.3931947894</v>
      </c>
      <c r="L233" s="12">
        <f t="shared" si="5"/>
        <v>0.4486426711</v>
      </c>
      <c r="M233" s="12">
        <f t="shared" si="6"/>
        <v>0.1764039605</v>
      </c>
      <c r="N233" s="9">
        <f t="shared" si="7"/>
        <v>1.27015666</v>
      </c>
      <c r="P233" s="16"/>
      <c r="T233" s="18"/>
      <c r="U233" s="18"/>
      <c r="V233" s="18"/>
      <c r="W233" s="18"/>
    </row>
    <row r="234" ht="15.75" customHeight="1">
      <c r="A234" s="8">
        <v>51202.0</v>
      </c>
      <c r="B234" s="8">
        <v>720.0</v>
      </c>
      <c r="C234" s="8">
        <v>311.1111180484295</v>
      </c>
      <c r="D234" s="8">
        <v>1040.0</v>
      </c>
      <c r="E234" s="9">
        <f t="shared" si="1"/>
        <v>0.6923076923</v>
      </c>
      <c r="F234" s="10">
        <f t="shared" si="2"/>
        <v>0.4320987751</v>
      </c>
      <c r="G234" s="10">
        <f t="shared" si="3"/>
        <v>0.2991453058</v>
      </c>
      <c r="H234" s="8">
        <v>5210.0</v>
      </c>
      <c r="I234" s="8">
        <v>2331.666725218296</v>
      </c>
      <c r="J234" s="8">
        <v>7597.0</v>
      </c>
      <c r="K234" s="11">
        <f t="shared" si="4"/>
        <v>0.6857970251</v>
      </c>
      <c r="L234" s="12">
        <f t="shared" si="5"/>
        <v>0.4475367995</v>
      </c>
      <c r="M234" s="12">
        <f t="shared" si="6"/>
        <v>0.3069194057</v>
      </c>
      <c r="N234" s="9">
        <f t="shared" si="7"/>
        <v>1.025987705</v>
      </c>
      <c r="P234" s="16"/>
      <c r="T234" s="18"/>
      <c r="U234" s="18"/>
      <c r="V234" s="18"/>
      <c r="W234" s="18"/>
    </row>
    <row r="235" ht="15.75" customHeight="1">
      <c r="A235" s="8">
        <v>51203.0</v>
      </c>
      <c r="B235" s="8">
        <v>523.0</v>
      </c>
      <c r="C235" s="8">
        <v>225.88889434933662</v>
      </c>
      <c r="D235" s="8">
        <v>2059.0</v>
      </c>
      <c r="E235" s="9">
        <f t="shared" si="1"/>
        <v>0.2540067994</v>
      </c>
      <c r="F235" s="10">
        <f t="shared" si="2"/>
        <v>0.4319099318</v>
      </c>
      <c r="G235" s="10">
        <f t="shared" si="3"/>
        <v>0.1097080594</v>
      </c>
      <c r="H235" s="8">
        <v>2486.0</v>
      </c>
      <c r="I235" s="8">
        <v>1171.4444741606712</v>
      </c>
      <c r="J235" s="8">
        <v>8553.0</v>
      </c>
      <c r="K235" s="11">
        <f t="shared" si="4"/>
        <v>0.2906582486</v>
      </c>
      <c r="L235" s="12">
        <f t="shared" si="5"/>
        <v>0.4712166026</v>
      </c>
      <c r="M235" s="12">
        <f t="shared" si="6"/>
        <v>0.1369629924</v>
      </c>
      <c r="N235" s="9">
        <f t="shared" si="7"/>
        <v>1.248431457</v>
      </c>
      <c r="P235" s="16"/>
      <c r="T235" s="18"/>
      <c r="U235" s="18"/>
      <c r="V235" s="18"/>
      <c r="W235" s="18"/>
    </row>
    <row r="236" ht="15.75" customHeight="1">
      <c r="A236" s="20">
        <v>51204.0</v>
      </c>
      <c r="B236" s="8">
        <v>331.0</v>
      </c>
      <c r="C236" s="8">
        <v>149.2222257256508</v>
      </c>
      <c r="D236" s="8">
        <v>590.0</v>
      </c>
      <c r="E236" s="9">
        <f t="shared" si="1"/>
        <v>0.5610169492</v>
      </c>
      <c r="F236" s="10">
        <f t="shared" si="2"/>
        <v>0.4508224342</v>
      </c>
      <c r="G236" s="10">
        <f t="shared" si="3"/>
        <v>0.2529190267</v>
      </c>
      <c r="H236" s="8">
        <v>3466.0</v>
      </c>
      <c r="I236" s="8">
        <v>1631.8889309465885</v>
      </c>
      <c r="J236" s="8">
        <v>5131.0</v>
      </c>
      <c r="K236" s="11">
        <f t="shared" si="4"/>
        <v>0.6755018515</v>
      </c>
      <c r="L236" s="12">
        <f t="shared" si="5"/>
        <v>0.4708277354</v>
      </c>
      <c r="M236" s="12">
        <f t="shared" si="6"/>
        <v>0.318045007</v>
      </c>
      <c r="N236" s="9">
        <f t="shared" si="7"/>
        <v>1.257497355</v>
      </c>
      <c r="P236" s="16"/>
      <c r="T236" s="18"/>
      <c r="U236" s="18"/>
      <c r="V236" s="18"/>
      <c r="W236" s="18"/>
    </row>
    <row r="237" ht="15.75" customHeight="1">
      <c r="A237" s="8">
        <v>51301.0</v>
      </c>
      <c r="B237" s="8">
        <v>128.0</v>
      </c>
      <c r="C237" s="8">
        <v>60.33333507180214</v>
      </c>
      <c r="D237" s="8">
        <v>243.0</v>
      </c>
      <c r="E237" s="9">
        <f t="shared" si="1"/>
        <v>0.5267489712</v>
      </c>
      <c r="F237" s="10">
        <f t="shared" si="2"/>
        <v>0.4713541802</v>
      </c>
      <c r="G237" s="10">
        <f t="shared" si="3"/>
        <v>0.2482853295</v>
      </c>
      <c r="H237" s="8">
        <v>2930.0</v>
      </c>
      <c r="I237" s="8">
        <v>1477.3333741128445</v>
      </c>
      <c r="J237" s="8">
        <v>3851.0</v>
      </c>
      <c r="K237" s="11">
        <f t="shared" si="4"/>
        <v>0.7608413399</v>
      </c>
      <c r="L237" s="12">
        <f t="shared" si="5"/>
        <v>0.5042093427</v>
      </c>
      <c r="M237" s="12">
        <f t="shared" si="6"/>
        <v>0.3836233119</v>
      </c>
      <c r="N237" s="9">
        <f t="shared" si="7"/>
        <v>1.545090532</v>
      </c>
      <c r="P237" s="16"/>
      <c r="T237" s="18"/>
      <c r="U237" s="18"/>
      <c r="V237" s="18"/>
      <c r="W237" s="18"/>
    </row>
    <row r="238" ht="15.75" customHeight="1">
      <c r="A238" s="8">
        <v>51302.0</v>
      </c>
      <c r="B238" s="8">
        <v>160.0</v>
      </c>
      <c r="C238" s="8">
        <v>71.55555713176727</v>
      </c>
      <c r="D238" s="8">
        <v>470.0</v>
      </c>
      <c r="E238" s="9">
        <f t="shared" si="1"/>
        <v>0.3404255319</v>
      </c>
      <c r="F238" s="10">
        <f t="shared" si="2"/>
        <v>0.4472222321</v>
      </c>
      <c r="G238" s="10">
        <f t="shared" si="3"/>
        <v>0.1522458662</v>
      </c>
      <c r="H238" s="8">
        <v>4020.0</v>
      </c>
      <c r="I238" s="8">
        <v>1911.6667173802853</v>
      </c>
      <c r="J238" s="8">
        <v>5579.0</v>
      </c>
      <c r="K238" s="11">
        <f t="shared" si="4"/>
        <v>0.72055924</v>
      </c>
      <c r="L238" s="12">
        <f t="shared" si="5"/>
        <v>0.4755389844</v>
      </c>
      <c r="M238" s="12">
        <f t="shared" si="6"/>
        <v>0.3426540092</v>
      </c>
      <c r="N238" s="9">
        <f t="shared" si="7"/>
        <v>2.250662154</v>
      </c>
      <c r="P238" s="16"/>
      <c r="T238" s="18"/>
      <c r="U238" s="18"/>
      <c r="V238" s="18"/>
      <c r="W238" s="18"/>
    </row>
    <row r="239" ht="15.75" customHeight="1">
      <c r="A239" s="8">
        <v>51401.0</v>
      </c>
      <c r="B239" s="8">
        <v>268.0</v>
      </c>
      <c r="C239" s="8">
        <v>114.00000289082527</v>
      </c>
      <c r="D239" s="8">
        <v>557.0</v>
      </c>
      <c r="E239" s="9">
        <f t="shared" si="1"/>
        <v>0.4811490126</v>
      </c>
      <c r="F239" s="10">
        <f t="shared" si="2"/>
        <v>0.4253731451</v>
      </c>
      <c r="G239" s="10">
        <f t="shared" si="3"/>
        <v>0.2046678687</v>
      </c>
      <c r="H239" s="8">
        <v>1966.0</v>
      </c>
      <c r="I239" s="8">
        <v>827.6666871607304</v>
      </c>
      <c r="J239" s="8">
        <v>3356.0</v>
      </c>
      <c r="K239" s="11">
        <f t="shared" si="4"/>
        <v>0.5858164482</v>
      </c>
      <c r="L239" s="12">
        <f t="shared" si="5"/>
        <v>0.4209901766</v>
      </c>
      <c r="M239" s="12">
        <f t="shared" si="6"/>
        <v>0.24662297</v>
      </c>
      <c r="N239" s="9">
        <f t="shared" si="7"/>
        <v>1.204991147</v>
      </c>
      <c r="P239" s="16"/>
      <c r="T239" s="18"/>
      <c r="U239" s="18"/>
      <c r="V239" s="18"/>
      <c r="W239" s="18"/>
    </row>
    <row r="240" ht="15.75" customHeight="1">
      <c r="A240" s="8">
        <v>51402.0</v>
      </c>
      <c r="B240" s="8">
        <v>25.0</v>
      </c>
      <c r="C240" s="8">
        <v>10.444444686174393</v>
      </c>
      <c r="D240" s="8">
        <v>94.0</v>
      </c>
      <c r="E240" s="9">
        <f t="shared" si="1"/>
        <v>0.2659574468</v>
      </c>
      <c r="F240" s="10">
        <f t="shared" si="2"/>
        <v>0.4177777874</v>
      </c>
      <c r="G240" s="10">
        <f t="shared" si="3"/>
        <v>0.1111111137</v>
      </c>
      <c r="H240" s="8">
        <v>586.0</v>
      </c>
      <c r="I240" s="8">
        <v>241.00000622868538</v>
      </c>
      <c r="J240" s="8">
        <v>1556.0</v>
      </c>
      <c r="K240" s="11">
        <f t="shared" si="4"/>
        <v>0.3766066838</v>
      </c>
      <c r="L240" s="12">
        <f t="shared" si="5"/>
        <v>0.4112628093</v>
      </c>
      <c r="M240" s="12">
        <f t="shared" si="6"/>
        <v>0.1548843228</v>
      </c>
      <c r="N240" s="9">
        <f t="shared" si="7"/>
        <v>1.393958873</v>
      </c>
      <c r="P240" s="16"/>
      <c r="T240" s="18"/>
      <c r="U240" s="18"/>
      <c r="V240" s="18"/>
      <c r="W240" s="18"/>
    </row>
    <row r="241" ht="15.75" customHeight="1">
      <c r="A241" s="8">
        <v>51501.0</v>
      </c>
      <c r="B241" s="8">
        <v>773.0</v>
      </c>
      <c r="C241" s="8">
        <v>334.4444526731968</v>
      </c>
      <c r="D241" s="8">
        <v>3438.0</v>
      </c>
      <c r="E241" s="9">
        <f t="shared" si="1"/>
        <v>0.2248400233</v>
      </c>
      <c r="F241" s="10">
        <f t="shared" si="2"/>
        <v>0.4326577654</v>
      </c>
      <c r="G241" s="10">
        <f t="shared" si="3"/>
        <v>0.09727878205</v>
      </c>
      <c r="H241" s="8">
        <v>10181.0</v>
      </c>
      <c r="I241" s="8">
        <v>4451.666781365871</v>
      </c>
      <c r="J241" s="8">
        <v>39046.0</v>
      </c>
      <c r="K241" s="11">
        <f t="shared" si="4"/>
        <v>0.2607437382</v>
      </c>
      <c r="L241" s="12">
        <f t="shared" si="5"/>
        <v>0.4372524095</v>
      </c>
      <c r="M241" s="12">
        <f t="shared" si="6"/>
        <v>0.1140108278</v>
      </c>
      <c r="N241" s="9">
        <f t="shared" si="7"/>
        <v>1.172000979</v>
      </c>
      <c r="P241" s="16"/>
      <c r="T241" s="18"/>
      <c r="U241" s="18"/>
      <c r="V241" s="18"/>
      <c r="W241" s="18"/>
    </row>
    <row r="242" ht="15.75" customHeight="1">
      <c r="A242" s="8">
        <v>51601.0</v>
      </c>
      <c r="B242" s="8">
        <v>40.0</v>
      </c>
      <c r="C242" s="8">
        <v>17.111111521720886</v>
      </c>
      <c r="D242" s="8">
        <v>79.0</v>
      </c>
      <c r="E242" s="9">
        <f t="shared" si="1"/>
        <v>0.5063291139</v>
      </c>
      <c r="F242" s="10">
        <f t="shared" si="2"/>
        <v>0.427777788</v>
      </c>
      <c r="G242" s="10">
        <f t="shared" si="3"/>
        <v>0.2165963484</v>
      </c>
      <c r="H242" s="8">
        <v>814.0</v>
      </c>
      <c r="I242" s="8">
        <v>373.55556550621986</v>
      </c>
      <c r="J242" s="8">
        <v>1551.0</v>
      </c>
      <c r="K242" s="11">
        <f t="shared" si="4"/>
        <v>0.524822695</v>
      </c>
      <c r="L242" s="12">
        <f t="shared" si="5"/>
        <v>0.4589134711</v>
      </c>
      <c r="M242" s="12">
        <f t="shared" si="6"/>
        <v>0.2408482047</v>
      </c>
      <c r="N242" s="9">
        <f t="shared" si="7"/>
        <v>1.111967983</v>
      </c>
      <c r="P242" s="16"/>
      <c r="T242" s="18"/>
      <c r="U242" s="18"/>
      <c r="V242" s="18"/>
      <c r="W242" s="18"/>
    </row>
    <row r="243" ht="15.75" customHeight="1">
      <c r="A243" s="8">
        <v>60101.0</v>
      </c>
      <c r="B243" s="8">
        <v>1994.0</v>
      </c>
      <c r="C243" s="8">
        <v>819.6666863560677</v>
      </c>
      <c r="D243" s="8">
        <v>15533.0</v>
      </c>
      <c r="E243" s="9">
        <f t="shared" si="1"/>
        <v>0.1283718535</v>
      </c>
      <c r="F243" s="10">
        <f t="shared" si="2"/>
        <v>0.4110665428</v>
      </c>
      <c r="G243" s="10">
        <f t="shared" si="3"/>
        <v>0.052769374</v>
      </c>
      <c r="H243" s="8">
        <v>19661.0</v>
      </c>
      <c r="I243" s="8">
        <v>7993.0001992583275</v>
      </c>
      <c r="J243" s="8">
        <v>179143.0</v>
      </c>
      <c r="K243" s="11">
        <f t="shared" si="4"/>
        <v>0.1097503112</v>
      </c>
      <c r="L243" s="12">
        <f t="shared" si="5"/>
        <v>0.4065408778</v>
      </c>
      <c r="M243" s="12">
        <f t="shared" si="6"/>
        <v>0.04461798786</v>
      </c>
      <c r="N243" s="9">
        <f t="shared" si="7"/>
        <v>0.8455280872</v>
      </c>
      <c r="P243" s="16"/>
      <c r="T243" s="18"/>
      <c r="U243" s="18"/>
      <c r="V243" s="18"/>
      <c r="W243" s="18"/>
    </row>
    <row r="244" ht="15.75" customHeight="1">
      <c r="A244" s="8">
        <v>60201.0</v>
      </c>
      <c r="B244" s="8">
        <v>323.0</v>
      </c>
      <c r="C244" s="8">
        <v>145.44444793462753</v>
      </c>
      <c r="D244" s="8">
        <v>997.0</v>
      </c>
      <c r="E244" s="9">
        <f t="shared" si="1"/>
        <v>0.3239719157</v>
      </c>
      <c r="F244" s="10">
        <f t="shared" si="2"/>
        <v>0.4502924085</v>
      </c>
      <c r="G244" s="10">
        <f t="shared" si="3"/>
        <v>0.1458820942</v>
      </c>
      <c r="H244" s="8">
        <v>6486.0</v>
      </c>
      <c r="I244" s="8">
        <v>2807.000071555376</v>
      </c>
      <c r="J244" s="8">
        <v>16940.0</v>
      </c>
      <c r="K244" s="11">
        <f t="shared" si="4"/>
        <v>0.3828807556</v>
      </c>
      <c r="L244" s="12">
        <f t="shared" si="5"/>
        <v>0.4327783027</v>
      </c>
      <c r="M244" s="12">
        <f t="shared" si="6"/>
        <v>0.1657024836</v>
      </c>
      <c r="N244" s="9">
        <f t="shared" si="7"/>
        <v>1.135865813</v>
      </c>
      <c r="P244" s="16"/>
      <c r="T244" s="18"/>
      <c r="U244" s="18"/>
      <c r="V244" s="18"/>
      <c r="W244" s="18"/>
    </row>
    <row r="245" ht="15.75" customHeight="1">
      <c r="A245" s="8">
        <v>60202.0</v>
      </c>
      <c r="B245" s="8">
        <v>447.0</v>
      </c>
      <c r="C245" s="8">
        <v>189.00000521540642</v>
      </c>
      <c r="D245" s="8">
        <v>2922.0</v>
      </c>
      <c r="E245" s="9">
        <f t="shared" si="1"/>
        <v>0.1529774127</v>
      </c>
      <c r="F245" s="10">
        <f t="shared" si="2"/>
        <v>0.4228188036</v>
      </c>
      <c r="G245" s="10">
        <f t="shared" si="3"/>
        <v>0.06468172663</v>
      </c>
      <c r="H245" s="8">
        <v>3857.0</v>
      </c>
      <c r="I245" s="8">
        <v>1525.0000381469727</v>
      </c>
      <c r="J245" s="8">
        <v>29441.0</v>
      </c>
      <c r="K245" s="11">
        <f t="shared" si="4"/>
        <v>0.1310077783</v>
      </c>
      <c r="L245" s="12">
        <f t="shared" si="5"/>
        <v>0.3953850242</v>
      </c>
      <c r="M245" s="12">
        <f t="shared" si="6"/>
        <v>0.05179851357</v>
      </c>
      <c r="N245" s="9">
        <f t="shared" si="7"/>
        <v>0.8008214417</v>
      </c>
      <c r="P245" s="16"/>
      <c r="T245" s="18"/>
      <c r="U245" s="18"/>
      <c r="V245" s="18"/>
      <c r="W245" s="18"/>
    </row>
    <row r="246" ht="15.75" customHeight="1">
      <c r="A246" s="8">
        <v>60301.0</v>
      </c>
      <c r="B246" s="8">
        <v>1931.0</v>
      </c>
      <c r="C246" s="8">
        <v>861.1111326813698</v>
      </c>
      <c r="D246" s="8">
        <v>7914.0</v>
      </c>
      <c r="E246" s="9">
        <f t="shared" si="1"/>
        <v>0.2439979783</v>
      </c>
      <c r="F246" s="10">
        <f t="shared" si="2"/>
        <v>0.4459405141</v>
      </c>
      <c r="G246" s="10">
        <f t="shared" si="3"/>
        <v>0.1088085839</v>
      </c>
      <c r="H246" s="8">
        <v>13039.0</v>
      </c>
      <c r="I246" s="8">
        <v>5454.333473712206</v>
      </c>
      <c r="J246" s="8">
        <v>78332.0</v>
      </c>
      <c r="K246" s="11">
        <f t="shared" si="4"/>
        <v>0.1664581525</v>
      </c>
      <c r="L246" s="12">
        <f t="shared" si="5"/>
        <v>0.4183091858</v>
      </c>
      <c r="M246" s="12">
        <f t="shared" si="6"/>
        <v>0.06963097423</v>
      </c>
      <c r="N246" s="9">
        <f t="shared" si="7"/>
        <v>0.6399400834</v>
      </c>
      <c r="P246" s="16"/>
      <c r="T246" s="18"/>
      <c r="U246" s="18"/>
      <c r="V246" s="18"/>
      <c r="W246" s="18"/>
    </row>
    <row r="247" ht="15.75" customHeight="1">
      <c r="A247" s="8">
        <v>60302.0</v>
      </c>
      <c r="B247" s="8">
        <v>381.0</v>
      </c>
      <c r="C247" s="8">
        <v>152.4444484114647</v>
      </c>
      <c r="D247" s="8">
        <v>2109.0</v>
      </c>
      <c r="E247" s="9">
        <f t="shared" si="1"/>
        <v>0.1806543385</v>
      </c>
      <c r="F247" s="10">
        <f t="shared" si="2"/>
        <v>0.4001166625</v>
      </c>
      <c r="G247" s="10">
        <f t="shared" si="3"/>
        <v>0.07228281101</v>
      </c>
      <c r="H247" s="8">
        <v>1968.0</v>
      </c>
      <c r="I247" s="8">
        <v>809.2222441136837</v>
      </c>
      <c r="J247" s="8">
        <v>10998.0</v>
      </c>
      <c r="K247" s="11">
        <f t="shared" si="4"/>
        <v>0.1789416258</v>
      </c>
      <c r="L247" s="12">
        <f t="shared" si="5"/>
        <v>0.4111901647</v>
      </c>
      <c r="M247" s="12">
        <f t="shared" si="6"/>
        <v>0.07357903656</v>
      </c>
      <c r="N247" s="9">
        <f t="shared" si="7"/>
        <v>1.017932694</v>
      </c>
      <c r="P247" s="16"/>
      <c r="T247" s="18"/>
      <c r="U247" s="18"/>
      <c r="V247" s="18"/>
      <c r="W247" s="18"/>
    </row>
    <row r="248" ht="15.75" customHeight="1">
      <c r="A248" s="8">
        <v>60303.0</v>
      </c>
      <c r="B248" s="8">
        <v>1362.0</v>
      </c>
      <c r="C248" s="8">
        <v>564.6666816174984</v>
      </c>
      <c r="D248" s="8">
        <v>5420.0</v>
      </c>
      <c r="E248" s="9">
        <f t="shared" si="1"/>
        <v>0.2512915129</v>
      </c>
      <c r="F248" s="10">
        <f t="shared" si="2"/>
        <v>0.4145864035</v>
      </c>
      <c r="G248" s="10">
        <f t="shared" si="3"/>
        <v>0.1041820446</v>
      </c>
      <c r="H248" s="8">
        <v>7462.0</v>
      </c>
      <c r="I248" s="8">
        <v>3055.66674426198</v>
      </c>
      <c r="J248" s="8">
        <v>31675.0</v>
      </c>
      <c r="K248" s="11">
        <f t="shared" si="4"/>
        <v>0.2355801105</v>
      </c>
      <c r="L248" s="12">
        <f t="shared" si="5"/>
        <v>0.4094970175</v>
      </c>
      <c r="M248" s="12">
        <f t="shared" si="6"/>
        <v>0.09646935262</v>
      </c>
      <c r="N248" s="9">
        <f t="shared" si="7"/>
        <v>0.9259690862</v>
      </c>
      <c r="P248" s="16"/>
      <c r="T248" s="18"/>
      <c r="U248" s="18"/>
      <c r="V248" s="18"/>
      <c r="W248" s="18"/>
    </row>
    <row r="249" ht="15.75" customHeight="1">
      <c r="A249" s="8">
        <v>60401.0</v>
      </c>
      <c r="B249" s="8">
        <v>293.0</v>
      </c>
      <c r="C249" s="8">
        <v>131.55555936694145</v>
      </c>
      <c r="D249" s="8">
        <v>763.0</v>
      </c>
      <c r="E249" s="9">
        <f t="shared" si="1"/>
        <v>0.3840104849</v>
      </c>
      <c r="F249" s="10">
        <f t="shared" si="2"/>
        <v>0.4489950832</v>
      </c>
      <c r="G249" s="10">
        <f t="shared" si="3"/>
        <v>0.1724188196</v>
      </c>
      <c r="H249" s="8">
        <v>4517.0</v>
      </c>
      <c r="I249" s="8">
        <v>1967.3333841860294</v>
      </c>
      <c r="J249" s="8">
        <v>13537.0</v>
      </c>
      <c r="K249" s="11">
        <f t="shared" si="4"/>
        <v>0.3336780675</v>
      </c>
      <c r="L249" s="12">
        <f t="shared" si="5"/>
        <v>0.4355398238</v>
      </c>
      <c r="M249" s="12">
        <f t="shared" si="6"/>
        <v>0.1453300867</v>
      </c>
      <c r="N249" s="9">
        <f t="shared" si="7"/>
        <v>0.8428899297</v>
      </c>
      <c r="P249" s="16"/>
      <c r="T249" s="18"/>
      <c r="U249" s="18"/>
      <c r="V249" s="18"/>
      <c r="W249" s="18"/>
    </row>
    <row r="250" ht="15.75" customHeight="1">
      <c r="A250" s="8">
        <v>60402.0</v>
      </c>
      <c r="B250" s="8">
        <v>150.0</v>
      </c>
      <c r="C250" s="8">
        <v>69.77777940034866</v>
      </c>
      <c r="D250" s="8">
        <v>407.0</v>
      </c>
      <c r="E250" s="9">
        <f t="shared" si="1"/>
        <v>0.3685503686</v>
      </c>
      <c r="F250" s="10">
        <f t="shared" si="2"/>
        <v>0.465185196</v>
      </c>
      <c r="G250" s="10">
        <f t="shared" si="3"/>
        <v>0.1714441754</v>
      </c>
      <c r="H250" s="8">
        <v>1790.0</v>
      </c>
      <c r="I250" s="8">
        <v>780.4444652199745</v>
      </c>
      <c r="J250" s="8">
        <v>4750.0</v>
      </c>
      <c r="K250" s="11">
        <f t="shared" si="4"/>
        <v>0.3768421053</v>
      </c>
      <c r="L250" s="12">
        <f t="shared" si="5"/>
        <v>0.4360024945</v>
      </c>
      <c r="M250" s="12">
        <f t="shared" si="6"/>
        <v>0.1643040979</v>
      </c>
      <c r="N250" s="9">
        <f t="shared" si="7"/>
        <v>0.9583533388</v>
      </c>
      <c r="P250" s="16"/>
      <c r="T250" s="18"/>
      <c r="U250" s="18"/>
      <c r="V250" s="18"/>
      <c r="W250" s="18"/>
    </row>
    <row r="251" ht="15.75" customHeight="1">
      <c r="A251" s="8">
        <v>60501.0</v>
      </c>
      <c r="B251" s="8">
        <v>398.0</v>
      </c>
      <c r="C251" s="8">
        <v>165.55555972456932</v>
      </c>
      <c r="D251" s="8">
        <v>1609.0</v>
      </c>
      <c r="E251" s="9">
        <f t="shared" si="1"/>
        <v>0.2473586078</v>
      </c>
      <c r="F251" s="10">
        <f t="shared" si="2"/>
        <v>0.415968743</v>
      </c>
      <c r="G251" s="10">
        <f t="shared" si="3"/>
        <v>0.1028934492</v>
      </c>
      <c r="H251" s="8">
        <v>6462.0</v>
      </c>
      <c r="I251" s="8">
        <v>2999.8889660835266</v>
      </c>
      <c r="J251" s="8">
        <v>21010.0</v>
      </c>
      <c r="K251" s="11">
        <f t="shared" si="4"/>
        <v>0.3075678248</v>
      </c>
      <c r="L251" s="12">
        <f t="shared" si="5"/>
        <v>0.4642353708</v>
      </c>
      <c r="M251" s="12">
        <f t="shared" si="6"/>
        <v>0.1427838632</v>
      </c>
      <c r="N251" s="9">
        <f t="shared" si="7"/>
        <v>1.387686625</v>
      </c>
      <c r="P251" s="16"/>
      <c r="T251" s="18"/>
      <c r="U251" s="18"/>
      <c r="V251" s="18"/>
      <c r="W251" s="18"/>
    </row>
    <row r="252" ht="15.75" customHeight="1">
      <c r="A252" s="8">
        <v>60502.0</v>
      </c>
      <c r="B252" s="8">
        <v>162.0</v>
      </c>
      <c r="C252" s="8">
        <v>69.77777954936028</v>
      </c>
      <c r="D252" s="8">
        <v>681.0</v>
      </c>
      <c r="E252" s="9">
        <f t="shared" si="1"/>
        <v>0.2378854626</v>
      </c>
      <c r="F252" s="10">
        <f t="shared" si="2"/>
        <v>0.4307270343</v>
      </c>
      <c r="G252" s="10">
        <f t="shared" si="3"/>
        <v>0.1024636998</v>
      </c>
      <c r="H252" s="8">
        <v>3359.0</v>
      </c>
      <c r="I252" s="8">
        <v>1432.888926178217</v>
      </c>
      <c r="J252" s="8">
        <v>10088.0</v>
      </c>
      <c r="K252" s="11">
        <f t="shared" si="4"/>
        <v>0.3329698652</v>
      </c>
      <c r="L252" s="12">
        <f t="shared" si="5"/>
        <v>0.4265819965</v>
      </c>
      <c r="M252" s="12">
        <f t="shared" si="6"/>
        <v>0.1420389499</v>
      </c>
      <c r="N252" s="9">
        <f t="shared" si="7"/>
        <v>1.386236786</v>
      </c>
      <c r="P252" s="16"/>
      <c r="T252" s="18"/>
      <c r="U252" s="18"/>
      <c r="V252" s="18"/>
      <c r="W252" s="18"/>
    </row>
    <row r="253" ht="15.75" customHeight="1">
      <c r="A253" s="8">
        <v>60601.0</v>
      </c>
      <c r="B253" s="8">
        <v>450.0</v>
      </c>
      <c r="C253" s="8">
        <v>206.8888941705227</v>
      </c>
      <c r="D253" s="8">
        <v>1466.0</v>
      </c>
      <c r="E253" s="9">
        <f t="shared" si="1"/>
        <v>0.306957708</v>
      </c>
      <c r="F253" s="10">
        <f t="shared" si="2"/>
        <v>0.4597530982</v>
      </c>
      <c r="G253" s="10">
        <f t="shared" si="3"/>
        <v>0.1411247573</v>
      </c>
      <c r="H253" s="8">
        <v>8412.0</v>
      </c>
      <c r="I253" s="8">
        <v>3808.333434790373</v>
      </c>
      <c r="J253" s="8">
        <v>18489.0</v>
      </c>
      <c r="K253" s="11">
        <f t="shared" si="4"/>
        <v>0.4549732273</v>
      </c>
      <c r="L253" s="12">
        <f t="shared" si="5"/>
        <v>0.4527262761</v>
      </c>
      <c r="M253" s="12">
        <f t="shared" si="6"/>
        <v>0.2059783349</v>
      </c>
      <c r="N253" s="9">
        <f t="shared" si="7"/>
        <v>1.459547842</v>
      </c>
      <c r="P253" s="16"/>
      <c r="T253" s="18"/>
      <c r="U253" s="18"/>
      <c r="V253" s="18"/>
      <c r="W253" s="18"/>
    </row>
    <row r="254" ht="15.75" customHeight="1">
      <c r="A254" s="8">
        <v>70101.0</v>
      </c>
      <c r="B254" s="8">
        <v>12813.0</v>
      </c>
      <c r="C254" s="8">
        <v>4817.555674016476</v>
      </c>
      <c r="D254" s="8">
        <v>75032.0</v>
      </c>
      <c r="E254" s="9">
        <f t="shared" si="1"/>
        <v>0.1707671394</v>
      </c>
      <c r="F254" s="10">
        <f t="shared" si="2"/>
        <v>0.3759896725</v>
      </c>
      <c r="G254" s="10">
        <f t="shared" si="3"/>
        <v>0.0642066808</v>
      </c>
      <c r="H254" s="8">
        <v>178219.0</v>
      </c>
      <c r="I254" s="8">
        <v>66195.66833478212</v>
      </c>
      <c r="J254" s="8">
        <v>1295572.0</v>
      </c>
      <c r="K254" s="11">
        <f t="shared" si="4"/>
        <v>0.1375600893</v>
      </c>
      <c r="L254" s="12">
        <f t="shared" si="5"/>
        <v>0.3714287945</v>
      </c>
      <c r="M254" s="12">
        <f t="shared" si="6"/>
        <v>0.05109377814</v>
      </c>
      <c r="N254" s="9">
        <f t="shared" si="7"/>
        <v>0.7957704323</v>
      </c>
      <c r="P254" s="16"/>
      <c r="T254" s="18"/>
      <c r="U254" s="18"/>
      <c r="V254" s="18"/>
      <c r="W254" s="18"/>
    </row>
    <row r="255" ht="15.75" customHeight="1">
      <c r="A255" s="8">
        <v>70102.0</v>
      </c>
      <c r="B255" s="8">
        <v>1347.0</v>
      </c>
      <c r="C255" s="8">
        <v>539.1111242473125</v>
      </c>
      <c r="D255" s="8">
        <v>4417.0</v>
      </c>
      <c r="E255" s="9">
        <f t="shared" si="1"/>
        <v>0.3049581164</v>
      </c>
      <c r="F255" s="10">
        <f t="shared" si="2"/>
        <v>0.4002309757</v>
      </c>
      <c r="G255" s="10">
        <f t="shared" si="3"/>
        <v>0.1220536845</v>
      </c>
      <c r="H255" s="8">
        <v>12685.0</v>
      </c>
      <c r="I255" s="8">
        <v>4943.889013469219</v>
      </c>
      <c r="J255" s="8">
        <v>49411.0</v>
      </c>
      <c r="K255" s="11">
        <f t="shared" si="4"/>
        <v>0.2567242112</v>
      </c>
      <c r="L255" s="12">
        <f t="shared" si="5"/>
        <v>0.3897429258</v>
      </c>
      <c r="M255" s="12">
        <f t="shared" si="6"/>
        <v>0.1000564452</v>
      </c>
      <c r="N255" s="9">
        <f t="shared" si="7"/>
        <v>0.8197740661</v>
      </c>
      <c r="P255" s="16"/>
      <c r="T255" s="18"/>
      <c r="U255" s="18"/>
      <c r="V255" s="18"/>
      <c r="W255" s="18"/>
    </row>
    <row r="256" ht="15.75" customHeight="1">
      <c r="A256" s="8">
        <v>70103.0</v>
      </c>
      <c r="B256" s="8">
        <v>347.0</v>
      </c>
      <c r="C256" s="8">
        <v>151.11111479997635</v>
      </c>
      <c r="D256" s="8">
        <v>1120.0</v>
      </c>
      <c r="E256" s="9">
        <f t="shared" si="1"/>
        <v>0.3098214286</v>
      </c>
      <c r="F256" s="10">
        <f t="shared" si="2"/>
        <v>0.435478717</v>
      </c>
      <c r="G256" s="10">
        <f t="shared" si="3"/>
        <v>0.1349206382</v>
      </c>
      <c r="H256" s="8">
        <v>4307.0</v>
      </c>
      <c r="I256" s="8">
        <v>1847.555603504181</v>
      </c>
      <c r="J256" s="8">
        <v>13751.0</v>
      </c>
      <c r="K256" s="11">
        <f t="shared" si="4"/>
        <v>0.3132135845</v>
      </c>
      <c r="L256" s="12">
        <f t="shared" si="5"/>
        <v>0.4289657775</v>
      </c>
      <c r="M256" s="12">
        <f t="shared" si="6"/>
        <v>0.1343579088</v>
      </c>
      <c r="N256" s="9">
        <f t="shared" si="7"/>
        <v>0.9958291819</v>
      </c>
      <c r="P256" s="16"/>
      <c r="T256" s="18"/>
      <c r="U256" s="18"/>
      <c r="V256" s="18"/>
      <c r="W256" s="18"/>
    </row>
    <row r="257" ht="15.75" customHeight="1">
      <c r="A257" s="8">
        <v>70104.0</v>
      </c>
      <c r="B257" s="8">
        <v>1875.0</v>
      </c>
      <c r="C257" s="8">
        <v>743.4444628357887</v>
      </c>
      <c r="D257" s="8">
        <v>6903.0</v>
      </c>
      <c r="E257" s="9">
        <f t="shared" si="1"/>
        <v>0.2716210343</v>
      </c>
      <c r="F257" s="10">
        <f t="shared" si="2"/>
        <v>0.3965037135</v>
      </c>
      <c r="G257" s="10">
        <f t="shared" si="3"/>
        <v>0.1076987488</v>
      </c>
      <c r="H257" s="8">
        <v>19184.0</v>
      </c>
      <c r="I257" s="8">
        <v>7284.666851967573</v>
      </c>
      <c r="J257" s="8">
        <v>79430.0</v>
      </c>
      <c r="K257" s="11">
        <f t="shared" si="4"/>
        <v>0.241520836</v>
      </c>
      <c r="L257" s="12">
        <f t="shared" si="5"/>
        <v>0.3797261703</v>
      </c>
      <c r="M257" s="12">
        <f t="shared" si="6"/>
        <v>0.0917117821</v>
      </c>
      <c r="N257" s="9">
        <f t="shared" si="7"/>
        <v>0.8515584734</v>
      </c>
      <c r="P257" s="16"/>
      <c r="T257" s="18"/>
      <c r="U257" s="18"/>
      <c r="V257" s="18"/>
      <c r="W257" s="18"/>
    </row>
    <row r="258" ht="15.75" customHeight="1">
      <c r="A258" s="8">
        <v>70105.0</v>
      </c>
      <c r="B258" s="8">
        <v>1461.0</v>
      </c>
      <c r="C258" s="8">
        <v>642.7777942717075</v>
      </c>
      <c r="D258" s="8">
        <v>3927.0</v>
      </c>
      <c r="E258" s="9">
        <f t="shared" si="1"/>
        <v>0.372039725</v>
      </c>
      <c r="F258" s="10">
        <f t="shared" si="2"/>
        <v>0.4399574225</v>
      </c>
      <c r="G258" s="10">
        <f t="shared" si="3"/>
        <v>0.1636816385</v>
      </c>
      <c r="H258" s="8">
        <v>13165.0</v>
      </c>
      <c r="I258" s="8">
        <v>5627.777925819159</v>
      </c>
      <c r="J258" s="8">
        <v>44268.0</v>
      </c>
      <c r="K258" s="11">
        <f t="shared" si="4"/>
        <v>0.2973931508</v>
      </c>
      <c r="L258" s="12">
        <f t="shared" si="5"/>
        <v>0.427480283</v>
      </c>
      <c r="M258" s="12">
        <f t="shared" si="6"/>
        <v>0.1271297083</v>
      </c>
      <c r="N258" s="9">
        <f t="shared" si="7"/>
        <v>0.7766888789</v>
      </c>
      <c r="P258" s="16"/>
      <c r="T258" s="18"/>
      <c r="U258" s="18"/>
      <c r="V258" s="18"/>
      <c r="W258" s="18"/>
    </row>
    <row r="259" ht="15.75" customHeight="1">
      <c r="A259" s="8">
        <v>70201.0</v>
      </c>
      <c r="B259" s="8">
        <v>3388.0</v>
      </c>
      <c r="C259" s="8">
        <v>1361.3333651423454</v>
      </c>
      <c r="D259" s="8">
        <v>11353.0</v>
      </c>
      <c r="E259" s="9">
        <f t="shared" si="1"/>
        <v>0.2984233242</v>
      </c>
      <c r="F259" s="10">
        <f t="shared" si="2"/>
        <v>0.4018103203</v>
      </c>
      <c r="G259" s="10">
        <f t="shared" si="3"/>
        <v>0.1199095715</v>
      </c>
      <c r="H259" s="8">
        <v>21022.0</v>
      </c>
      <c r="I259" s="8">
        <v>8315.666876465082</v>
      </c>
      <c r="J259" s="8">
        <v>81939.0</v>
      </c>
      <c r="K259" s="11">
        <f t="shared" si="4"/>
        <v>0.2565567068</v>
      </c>
      <c r="L259" s="12">
        <f t="shared" si="5"/>
        <v>0.3955697306</v>
      </c>
      <c r="M259" s="12">
        <f t="shared" si="6"/>
        <v>0.1014860674</v>
      </c>
      <c r="N259" s="9">
        <f t="shared" si="7"/>
        <v>0.8463550168</v>
      </c>
      <c r="P259" s="16"/>
      <c r="T259" s="18"/>
      <c r="U259" s="18"/>
      <c r="V259" s="18"/>
      <c r="W259" s="18"/>
    </row>
    <row r="260" ht="15.75" customHeight="1">
      <c r="A260" s="8">
        <v>70202.0</v>
      </c>
      <c r="B260" s="8">
        <v>151.0</v>
      </c>
      <c r="C260" s="8">
        <v>58.11111244559288</v>
      </c>
      <c r="D260" s="8">
        <v>573.0</v>
      </c>
      <c r="E260" s="9">
        <f t="shared" si="1"/>
        <v>0.2635253054</v>
      </c>
      <c r="F260" s="10">
        <f t="shared" si="2"/>
        <v>0.3848418043</v>
      </c>
      <c r="G260" s="10">
        <f t="shared" si="3"/>
        <v>0.101415554</v>
      </c>
      <c r="H260" s="8">
        <v>3113.0</v>
      </c>
      <c r="I260" s="8">
        <v>1240.555587053299</v>
      </c>
      <c r="J260" s="8">
        <v>11399.0</v>
      </c>
      <c r="K260" s="11">
        <f t="shared" si="4"/>
        <v>0.2730941311</v>
      </c>
      <c r="L260" s="12">
        <f t="shared" si="5"/>
        <v>0.3985080588</v>
      </c>
      <c r="M260" s="12">
        <f t="shared" si="6"/>
        <v>0.108830212</v>
      </c>
      <c r="N260" s="9">
        <f t="shared" si="7"/>
        <v>1.073111646</v>
      </c>
      <c r="P260" s="16"/>
      <c r="T260" s="18"/>
      <c r="U260" s="18"/>
      <c r="V260" s="18"/>
      <c r="W260" s="18"/>
    </row>
    <row r="261" ht="15.75" customHeight="1">
      <c r="A261" s="8">
        <v>70301.0</v>
      </c>
      <c r="B261" s="8">
        <v>2448.0</v>
      </c>
      <c r="C261" s="8">
        <v>1031.2222484648228</v>
      </c>
      <c r="D261" s="8">
        <v>5228.0</v>
      </c>
      <c r="E261" s="9">
        <f t="shared" si="1"/>
        <v>0.4682478959</v>
      </c>
      <c r="F261" s="10">
        <f t="shared" si="2"/>
        <v>0.4212509185</v>
      </c>
      <c r="G261" s="10">
        <f t="shared" si="3"/>
        <v>0.1972498562</v>
      </c>
      <c r="H261" s="8">
        <v>20885.0</v>
      </c>
      <c r="I261" s="8">
        <v>8991.444677263498</v>
      </c>
      <c r="J261" s="8">
        <v>45233.0</v>
      </c>
      <c r="K261" s="11">
        <f t="shared" si="4"/>
        <v>0.4617204254</v>
      </c>
      <c r="L261" s="12">
        <f t="shared" si="5"/>
        <v>0.4305216508</v>
      </c>
      <c r="M261" s="12">
        <f t="shared" si="6"/>
        <v>0.1987806397</v>
      </c>
      <c r="N261" s="9">
        <f t="shared" si="7"/>
        <v>1.007760632</v>
      </c>
      <c r="P261" s="16"/>
      <c r="T261" s="18"/>
      <c r="U261" s="18"/>
      <c r="V261" s="18"/>
      <c r="W261" s="18"/>
    </row>
    <row r="262" ht="15.75" customHeight="1">
      <c r="A262" s="8">
        <v>70302.0</v>
      </c>
      <c r="B262" s="8">
        <v>445.0</v>
      </c>
      <c r="C262" s="8">
        <v>212.66667264699936</v>
      </c>
      <c r="D262" s="8">
        <v>805.0</v>
      </c>
      <c r="E262" s="9">
        <f t="shared" si="1"/>
        <v>0.5527950311</v>
      </c>
      <c r="F262" s="10">
        <f t="shared" si="2"/>
        <v>0.4779026352</v>
      </c>
      <c r="G262" s="10">
        <f t="shared" si="3"/>
        <v>0.264182202</v>
      </c>
      <c r="H262" s="8">
        <v>6043.0</v>
      </c>
      <c r="I262" s="8">
        <v>2707.7778451144695</v>
      </c>
      <c r="J262" s="8">
        <v>10365.0</v>
      </c>
      <c r="K262" s="11">
        <f t="shared" si="4"/>
        <v>0.5830197781</v>
      </c>
      <c r="L262" s="12">
        <f t="shared" si="5"/>
        <v>0.4480850315</v>
      </c>
      <c r="M262" s="12">
        <f t="shared" si="6"/>
        <v>0.2612424356</v>
      </c>
      <c r="N262" s="9">
        <f t="shared" si="7"/>
        <v>0.988872201</v>
      </c>
      <c r="P262" s="16"/>
      <c r="T262" s="18"/>
      <c r="U262" s="18"/>
      <c r="V262" s="18"/>
      <c r="W262" s="18"/>
    </row>
    <row r="263" ht="15.75" customHeight="1">
      <c r="A263" s="8">
        <v>70303.0</v>
      </c>
      <c r="B263" s="8">
        <v>139.0</v>
      </c>
      <c r="C263" s="8">
        <v>59.88889029622078</v>
      </c>
      <c r="D263" s="8">
        <v>318.0</v>
      </c>
      <c r="E263" s="9">
        <f t="shared" si="1"/>
        <v>0.4371069182</v>
      </c>
      <c r="F263" s="10">
        <f t="shared" si="2"/>
        <v>0.4308553259</v>
      </c>
      <c r="G263" s="10">
        <f t="shared" si="3"/>
        <v>0.1883298437</v>
      </c>
      <c r="H263" s="8">
        <v>2977.0</v>
      </c>
      <c r="I263" s="8">
        <v>1327.2222596108913</v>
      </c>
      <c r="J263" s="8">
        <v>5268.0</v>
      </c>
      <c r="K263" s="11">
        <f t="shared" si="4"/>
        <v>0.5651100987</v>
      </c>
      <c r="L263" s="12">
        <f t="shared" si="5"/>
        <v>0.4458254147</v>
      </c>
      <c r="M263" s="12">
        <f t="shared" si="6"/>
        <v>0.2519404441</v>
      </c>
      <c r="N263" s="9">
        <f t="shared" si="7"/>
        <v>1.337761659</v>
      </c>
      <c r="P263" s="16"/>
      <c r="T263" s="18"/>
      <c r="U263" s="18"/>
      <c r="V263" s="18"/>
      <c r="W263" s="18"/>
    </row>
    <row r="264" ht="15.75" customHeight="1">
      <c r="A264" s="8">
        <v>70401.0</v>
      </c>
      <c r="B264" s="8">
        <v>379.0</v>
      </c>
      <c r="C264" s="8">
        <v>165.00000435113907</v>
      </c>
      <c r="D264" s="8">
        <v>1166.0</v>
      </c>
      <c r="E264" s="9">
        <f t="shared" si="1"/>
        <v>0.3250428816</v>
      </c>
      <c r="F264" s="10">
        <f t="shared" si="2"/>
        <v>0.435356212</v>
      </c>
      <c r="G264" s="10">
        <f t="shared" si="3"/>
        <v>0.1415094377</v>
      </c>
      <c r="H264" s="8">
        <v>3476.0</v>
      </c>
      <c r="I264" s="8">
        <v>1519.3333728909492</v>
      </c>
      <c r="J264" s="8">
        <v>11232.0</v>
      </c>
      <c r="K264" s="11">
        <f t="shared" si="4"/>
        <v>0.3094729345</v>
      </c>
      <c r="L264" s="12">
        <f t="shared" si="5"/>
        <v>0.4370924548</v>
      </c>
      <c r="M264" s="12">
        <f t="shared" si="6"/>
        <v>0.1352682846</v>
      </c>
      <c r="N264" s="9">
        <f t="shared" si="7"/>
        <v>0.9558958528</v>
      </c>
      <c r="P264" s="16"/>
      <c r="T264" s="18"/>
      <c r="U264" s="18"/>
      <c r="V264" s="18"/>
      <c r="W264" s="18"/>
    </row>
    <row r="265" ht="15.75" customHeight="1">
      <c r="A265" s="8">
        <v>70402.0</v>
      </c>
      <c r="B265" s="8">
        <v>581.0</v>
      </c>
      <c r="C265" s="8">
        <v>246.66667225956917</v>
      </c>
      <c r="D265" s="8">
        <v>1303.0</v>
      </c>
      <c r="E265" s="9">
        <f t="shared" si="1"/>
        <v>0.4458940906</v>
      </c>
      <c r="F265" s="10">
        <f t="shared" si="2"/>
        <v>0.4245553739</v>
      </c>
      <c r="G265" s="10">
        <f t="shared" si="3"/>
        <v>0.1893067324</v>
      </c>
      <c r="H265" s="8">
        <v>7659.0</v>
      </c>
      <c r="I265" s="8">
        <v>3310.6667525470257</v>
      </c>
      <c r="J265" s="8">
        <v>18176.0</v>
      </c>
      <c r="K265" s="11">
        <f t="shared" si="4"/>
        <v>0.4213798415</v>
      </c>
      <c r="L265" s="12">
        <f t="shared" si="5"/>
        <v>0.4322583565</v>
      </c>
      <c r="M265" s="12">
        <f t="shared" si="6"/>
        <v>0.1821449578</v>
      </c>
      <c r="N265" s="9">
        <f t="shared" si="7"/>
        <v>0.9621684105</v>
      </c>
      <c r="P265" s="16"/>
      <c r="T265" s="18"/>
      <c r="U265" s="18"/>
      <c r="V265" s="18"/>
      <c r="W265" s="18"/>
    </row>
    <row r="266" ht="15.75" customHeight="1">
      <c r="A266" s="8">
        <v>70403.0</v>
      </c>
      <c r="B266" s="8">
        <v>2578.0</v>
      </c>
      <c r="C266" s="8">
        <v>1121.3333610594273</v>
      </c>
      <c r="D266" s="8">
        <v>5157.0</v>
      </c>
      <c r="E266" s="9">
        <f t="shared" si="1"/>
        <v>0.4999030444</v>
      </c>
      <c r="F266" s="10">
        <f t="shared" si="2"/>
        <v>0.434962514</v>
      </c>
      <c r="G266" s="10">
        <f t="shared" si="3"/>
        <v>0.2174390849</v>
      </c>
      <c r="H266" s="8">
        <v>20796.0</v>
      </c>
      <c r="I266" s="8">
        <v>9326.889117389917</v>
      </c>
      <c r="J266" s="8">
        <v>43199.0</v>
      </c>
      <c r="K266" s="11">
        <f t="shared" si="4"/>
        <v>0.4814000324</v>
      </c>
      <c r="L266" s="12">
        <f t="shared" si="5"/>
        <v>0.4484943796</v>
      </c>
      <c r="M266" s="12">
        <f t="shared" si="6"/>
        <v>0.2159052089</v>
      </c>
      <c r="N266" s="9">
        <f t="shared" si="7"/>
        <v>0.9929457205</v>
      </c>
      <c r="P266" s="16"/>
      <c r="T266" s="18"/>
      <c r="U266" s="18"/>
      <c r="V266" s="18"/>
      <c r="W266" s="18"/>
    </row>
    <row r="267" ht="15.75" customHeight="1">
      <c r="A267" s="8">
        <v>70404.0</v>
      </c>
      <c r="B267" s="8">
        <v>286.0</v>
      </c>
      <c r="C267" s="8">
        <v>130.77778083086014</v>
      </c>
      <c r="D267" s="8">
        <v>636.0</v>
      </c>
      <c r="E267" s="9">
        <f t="shared" si="1"/>
        <v>0.4496855346</v>
      </c>
      <c r="F267" s="10">
        <f t="shared" si="2"/>
        <v>0.4572649679</v>
      </c>
      <c r="G267" s="10">
        <f t="shared" si="3"/>
        <v>0.2056254416</v>
      </c>
      <c r="H267" s="8">
        <v>3243.0</v>
      </c>
      <c r="I267" s="8">
        <v>1393.7778144478798</v>
      </c>
      <c r="J267" s="8">
        <v>7439.0</v>
      </c>
      <c r="K267" s="11">
        <f t="shared" si="4"/>
        <v>0.4359456916</v>
      </c>
      <c r="L267" s="12">
        <f t="shared" si="5"/>
        <v>0.429780393</v>
      </c>
      <c r="M267" s="12">
        <f t="shared" si="6"/>
        <v>0.1873609107</v>
      </c>
      <c r="N267" s="9">
        <f t="shared" si="7"/>
        <v>0.9111757244</v>
      </c>
      <c r="P267" s="16"/>
      <c r="T267" s="18"/>
      <c r="U267" s="18"/>
      <c r="V267" s="18"/>
      <c r="W267" s="18"/>
    </row>
    <row r="268" ht="15.75" customHeight="1">
      <c r="A268" s="8">
        <v>70501.0</v>
      </c>
      <c r="B268" s="8">
        <v>701.0</v>
      </c>
      <c r="C268" s="8">
        <v>276.22222888469696</v>
      </c>
      <c r="D268" s="8">
        <v>2073.0</v>
      </c>
      <c r="E268" s="9">
        <f t="shared" si="1"/>
        <v>0.33815726</v>
      </c>
      <c r="F268" s="10">
        <f t="shared" si="2"/>
        <v>0.3940402695</v>
      </c>
      <c r="G268" s="10">
        <f t="shared" si="3"/>
        <v>0.1332475779</v>
      </c>
      <c r="H268" s="8">
        <v>6322.0</v>
      </c>
      <c r="I268" s="8">
        <v>2472.33339291811</v>
      </c>
      <c r="J268" s="8">
        <v>19590.0</v>
      </c>
      <c r="K268" s="11">
        <f t="shared" si="4"/>
        <v>0.3227156713</v>
      </c>
      <c r="L268" s="12">
        <f t="shared" si="5"/>
        <v>0.3910682368</v>
      </c>
      <c r="M268" s="12">
        <f t="shared" si="6"/>
        <v>0.1262038485</v>
      </c>
      <c r="N268" s="9">
        <f t="shared" si="7"/>
        <v>0.9471380311</v>
      </c>
      <c r="P268" s="16"/>
      <c r="T268" s="18"/>
      <c r="U268" s="18"/>
      <c r="V268" s="18"/>
      <c r="W268" s="18"/>
    </row>
    <row r="269" ht="15.75" customHeight="1">
      <c r="A269" s="8">
        <v>70502.0</v>
      </c>
      <c r="B269" s="8">
        <v>1333.0</v>
      </c>
      <c r="C269" s="8">
        <v>546.444458425045</v>
      </c>
      <c r="D269" s="8">
        <v>3668.0</v>
      </c>
      <c r="E269" s="9">
        <f t="shared" si="1"/>
        <v>0.3634133043</v>
      </c>
      <c r="F269" s="10">
        <f t="shared" si="2"/>
        <v>0.4099358278</v>
      </c>
      <c r="G269" s="10">
        <f t="shared" si="3"/>
        <v>0.1489761337</v>
      </c>
      <c r="H269" s="8">
        <v>10879.0</v>
      </c>
      <c r="I269" s="8">
        <v>4222.222327262163</v>
      </c>
      <c r="J269" s="8">
        <v>31871.0</v>
      </c>
      <c r="K269" s="11">
        <f t="shared" si="4"/>
        <v>0.3413447962</v>
      </c>
      <c r="L269" s="12">
        <f t="shared" si="5"/>
        <v>0.3881075767</v>
      </c>
      <c r="M269" s="12">
        <f t="shared" si="6"/>
        <v>0.1324785017</v>
      </c>
      <c r="N269" s="9">
        <f t="shared" si="7"/>
        <v>0.8892598995</v>
      </c>
      <c r="P269" s="16"/>
      <c r="T269" s="18"/>
      <c r="U269" s="18"/>
      <c r="V269" s="18"/>
      <c r="W269" s="18"/>
    </row>
    <row r="270" ht="15.75" customHeight="1">
      <c r="A270" s="8">
        <v>70503.0</v>
      </c>
      <c r="B270" s="8">
        <v>305.0</v>
      </c>
      <c r="C270" s="8">
        <v>133.55555856227875</v>
      </c>
      <c r="D270" s="8">
        <v>1383.0</v>
      </c>
      <c r="E270" s="9">
        <f t="shared" si="1"/>
        <v>0.2205350687</v>
      </c>
      <c r="F270" s="10">
        <f t="shared" si="2"/>
        <v>0.4378870773</v>
      </c>
      <c r="G270" s="10">
        <f t="shared" si="3"/>
        <v>0.09656945666</v>
      </c>
      <c r="H270" s="8">
        <v>2911.0</v>
      </c>
      <c r="I270" s="8">
        <v>1218.4444750845432</v>
      </c>
      <c r="J270" s="8">
        <v>13204.0</v>
      </c>
      <c r="K270" s="11">
        <f t="shared" si="4"/>
        <v>0.2204634959</v>
      </c>
      <c r="L270" s="12">
        <f t="shared" si="5"/>
        <v>0.4185656046</v>
      </c>
      <c r="M270" s="12">
        <f t="shared" si="6"/>
        <v>0.09227843647</v>
      </c>
      <c r="N270" s="9">
        <f t="shared" si="7"/>
        <v>0.9555654516</v>
      </c>
      <c r="P270" s="16"/>
      <c r="T270" s="18"/>
      <c r="U270" s="18"/>
      <c r="V270" s="18"/>
      <c r="W270" s="18"/>
    </row>
    <row r="271" ht="15.75" customHeight="1">
      <c r="A271" s="8">
        <v>70601.0</v>
      </c>
      <c r="B271" s="8">
        <v>259.0</v>
      </c>
      <c r="C271" s="8">
        <v>107.7777806520462</v>
      </c>
      <c r="D271" s="8">
        <v>860.0</v>
      </c>
      <c r="E271" s="9">
        <f t="shared" si="1"/>
        <v>0.3011627907</v>
      </c>
      <c r="F271" s="10">
        <f t="shared" si="2"/>
        <v>0.4161304272</v>
      </c>
      <c r="G271" s="10">
        <f t="shared" si="3"/>
        <v>0.1253230008</v>
      </c>
      <c r="H271" s="8">
        <v>3618.0</v>
      </c>
      <c r="I271" s="8">
        <v>1469.0000375807285</v>
      </c>
      <c r="J271" s="8">
        <v>16167.0</v>
      </c>
      <c r="K271" s="11">
        <f t="shared" si="4"/>
        <v>0.2237892002</v>
      </c>
      <c r="L271" s="12">
        <f t="shared" si="5"/>
        <v>0.4060254388</v>
      </c>
      <c r="M271" s="12">
        <f t="shared" si="6"/>
        <v>0.09086410822</v>
      </c>
      <c r="N271" s="9">
        <f t="shared" si="7"/>
        <v>0.7250393597</v>
      </c>
      <c r="P271" s="16"/>
      <c r="T271" s="18"/>
      <c r="U271" s="18"/>
      <c r="V271" s="18"/>
      <c r="W271" s="18"/>
    </row>
    <row r="272" ht="15.75" customHeight="1">
      <c r="A272" s="8">
        <v>70602.0</v>
      </c>
      <c r="B272" s="8">
        <v>934.0</v>
      </c>
      <c r="C272" s="8">
        <v>433.55556762218475</v>
      </c>
      <c r="D272" s="8">
        <v>1664.0</v>
      </c>
      <c r="E272" s="9">
        <f t="shared" si="1"/>
        <v>0.5612980769</v>
      </c>
      <c r="F272" s="10">
        <f t="shared" si="2"/>
        <v>0.4641922566</v>
      </c>
      <c r="G272" s="10">
        <f t="shared" si="3"/>
        <v>0.2605502209</v>
      </c>
      <c r="H272" s="8">
        <v>8791.0</v>
      </c>
      <c r="I272" s="8">
        <v>3935.5556568801403</v>
      </c>
      <c r="J272" s="8">
        <v>17130.0</v>
      </c>
      <c r="K272" s="11">
        <f t="shared" si="4"/>
        <v>0.5131932283</v>
      </c>
      <c r="L272" s="12">
        <f t="shared" si="5"/>
        <v>0.4476800884</v>
      </c>
      <c r="M272" s="12">
        <f t="shared" si="6"/>
        <v>0.2297463898</v>
      </c>
      <c r="N272" s="9">
        <f t="shared" si="7"/>
        <v>0.8817739204</v>
      </c>
      <c r="P272" s="16"/>
      <c r="T272" s="18"/>
      <c r="U272" s="18"/>
      <c r="V272" s="18"/>
      <c r="W272" s="18"/>
    </row>
    <row r="273" ht="15.75" customHeight="1">
      <c r="A273" s="8">
        <v>70603.0</v>
      </c>
      <c r="B273" s="8">
        <v>173.0</v>
      </c>
      <c r="C273" s="8">
        <v>66.00000143051147</v>
      </c>
      <c r="D273" s="8">
        <v>543.0</v>
      </c>
      <c r="E273" s="9">
        <f t="shared" si="1"/>
        <v>0.3186003683</v>
      </c>
      <c r="F273" s="10">
        <f t="shared" si="2"/>
        <v>0.3815028984</v>
      </c>
      <c r="G273" s="10">
        <f t="shared" si="3"/>
        <v>0.121546964</v>
      </c>
      <c r="H273" s="8">
        <v>1757.0</v>
      </c>
      <c r="I273" s="8">
        <v>731.3333522975445</v>
      </c>
      <c r="J273" s="8">
        <v>5395.0</v>
      </c>
      <c r="K273" s="11">
        <f t="shared" si="4"/>
        <v>0.3256719184</v>
      </c>
      <c r="L273" s="12">
        <f t="shared" si="5"/>
        <v>0.4162398135</v>
      </c>
      <c r="M273" s="12">
        <f t="shared" si="6"/>
        <v>0.1355576186</v>
      </c>
      <c r="N273" s="9">
        <f t="shared" si="7"/>
        <v>1.115269474</v>
      </c>
      <c r="P273" s="16"/>
      <c r="T273" s="18"/>
      <c r="U273" s="18"/>
      <c r="V273" s="18"/>
      <c r="W273" s="18"/>
    </row>
    <row r="274" ht="15.75" customHeight="1">
      <c r="A274" s="8">
        <v>70701.0</v>
      </c>
      <c r="B274" s="8">
        <v>136.0</v>
      </c>
      <c r="C274" s="8">
        <v>55.77777925133705</v>
      </c>
      <c r="D274" s="8">
        <v>345.0</v>
      </c>
      <c r="E274" s="9">
        <f t="shared" si="1"/>
        <v>0.3942028986</v>
      </c>
      <c r="F274" s="10">
        <f t="shared" si="2"/>
        <v>0.4101307298</v>
      </c>
      <c r="G274" s="10">
        <f t="shared" si="3"/>
        <v>0.1616747225</v>
      </c>
      <c r="H274" s="8">
        <v>2598.0</v>
      </c>
      <c r="I274" s="8">
        <v>1215.5555870831013</v>
      </c>
      <c r="J274" s="8">
        <v>4706.0</v>
      </c>
      <c r="K274" s="11">
        <f t="shared" si="4"/>
        <v>0.5520611985</v>
      </c>
      <c r="L274" s="12">
        <f t="shared" si="5"/>
        <v>0.4678812883</v>
      </c>
      <c r="M274" s="12">
        <f t="shared" si="6"/>
        <v>0.2582991048</v>
      </c>
      <c r="N274" s="9">
        <f t="shared" si="7"/>
        <v>1.597646811</v>
      </c>
      <c r="P274" s="16"/>
      <c r="T274" s="18"/>
      <c r="U274" s="18"/>
      <c r="V274" s="18"/>
      <c r="W274" s="18"/>
    </row>
    <row r="275" ht="15.75" customHeight="1">
      <c r="A275" s="8">
        <v>70702.0</v>
      </c>
      <c r="B275" s="8">
        <v>886.0</v>
      </c>
      <c r="C275" s="8">
        <v>372.77778750658035</v>
      </c>
      <c r="D275" s="8">
        <v>1916.0</v>
      </c>
      <c r="E275" s="9">
        <f t="shared" si="1"/>
        <v>0.4624217119</v>
      </c>
      <c r="F275" s="10">
        <f t="shared" si="2"/>
        <v>0.4207424238</v>
      </c>
      <c r="G275" s="10">
        <f t="shared" si="3"/>
        <v>0.1945604319</v>
      </c>
      <c r="H275" s="8">
        <v>16280.0</v>
      </c>
      <c r="I275" s="8">
        <v>7030.889069437981</v>
      </c>
      <c r="J275" s="8">
        <v>28749.0</v>
      </c>
      <c r="K275" s="11">
        <f t="shared" si="4"/>
        <v>0.5662805663</v>
      </c>
      <c r="L275" s="12">
        <f t="shared" si="5"/>
        <v>0.431872793</v>
      </c>
      <c r="M275" s="12">
        <f t="shared" si="6"/>
        <v>0.2445611698</v>
      </c>
      <c r="N275" s="9">
        <f t="shared" si="7"/>
        <v>1.256993354</v>
      </c>
      <c r="P275" s="16"/>
      <c r="T275" s="18"/>
      <c r="U275" s="18"/>
      <c r="V275" s="18"/>
      <c r="W275" s="18"/>
    </row>
    <row r="276" ht="15.75" customHeight="1">
      <c r="A276" s="8">
        <v>70703.0</v>
      </c>
      <c r="B276" s="8">
        <v>746.0</v>
      </c>
      <c r="C276" s="8">
        <v>341.3333415687084</v>
      </c>
      <c r="D276" s="8">
        <v>1693.0</v>
      </c>
      <c r="E276" s="9">
        <f t="shared" si="1"/>
        <v>0.4406379209</v>
      </c>
      <c r="F276" s="10">
        <f t="shared" si="2"/>
        <v>0.4575513962</v>
      </c>
      <c r="G276" s="10">
        <f t="shared" si="3"/>
        <v>0.2016144959</v>
      </c>
      <c r="H276" s="8">
        <v>8792.0</v>
      </c>
      <c r="I276" s="8">
        <v>3629.3334241509438</v>
      </c>
      <c r="J276" s="8">
        <v>23123.0</v>
      </c>
      <c r="K276" s="11">
        <f t="shared" si="4"/>
        <v>0.3802274791</v>
      </c>
      <c r="L276" s="12">
        <f t="shared" si="5"/>
        <v>0.412799525</v>
      </c>
      <c r="M276" s="12">
        <f t="shared" si="6"/>
        <v>0.1569577228</v>
      </c>
      <c r="N276" s="9">
        <f t="shared" si="7"/>
        <v>0.7785041551</v>
      </c>
      <c r="P276" s="16"/>
      <c r="T276" s="18"/>
      <c r="U276" s="18"/>
      <c r="V276" s="18"/>
      <c r="W276" s="18"/>
    </row>
    <row r="277" ht="15.75" customHeight="1">
      <c r="A277" s="8">
        <v>70704.0</v>
      </c>
      <c r="B277" s="8">
        <v>136.0</v>
      </c>
      <c r="C277" s="8">
        <v>60.33333510160446</v>
      </c>
      <c r="D277" s="8">
        <v>356.0</v>
      </c>
      <c r="E277" s="9">
        <f t="shared" si="1"/>
        <v>0.3820224719</v>
      </c>
      <c r="F277" s="10">
        <f t="shared" si="2"/>
        <v>0.443627464</v>
      </c>
      <c r="G277" s="10">
        <f t="shared" si="3"/>
        <v>0.1694756604</v>
      </c>
      <c r="H277" s="8">
        <v>2213.0</v>
      </c>
      <c r="I277" s="8">
        <v>1081.7778069376945</v>
      </c>
      <c r="J277" s="8">
        <v>4415.0</v>
      </c>
      <c r="K277" s="11">
        <f t="shared" si="4"/>
        <v>0.5012457531</v>
      </c>
      <c r="L277" s="12">
        <f t="shared" si="5"/>
        <v>0.488828652</v>
      </c>
      <c r="M277" s="12">
        <f t="shared" si="6"/>
        <v>0.2450232858</v>
      </c>
      <c r="N277" s="9">
        <f t="shared" si="7"/>
        <v>1.445772716</v>
      </c>
      <c r="P277" s="16"/>
      <c r="T277" s="18"/>
      <c r="U277" s="18"/>
      <c r="V277" s="18"/>
      <c r="W277" s="18"/>
    </row>
    <row r="278" ht="15.75" customHeight="1">
      <c r="A278" s="8">
        <v>70705.0</v>
      </c>
      <c r="B278" s="8">
        <v>321.0</v>
      </c>
      <c r="C278" s="8">
        <v>139.00000348687172</v>
      </c>
      <c r="D278" s="8">
        <v>518.0</v>
      </c>
      <c r="E278" s="9">
        <f t="shared" si="1"/>
        <v>0.6196911197</v>
      </c>
      <c r="F278" s="10">
        <f t="shared" si="2"/>
        <v>0.4330218177</v>
      </c>
      <c r="G278" s="10">
        <f t="shared" si="3"/>
        <v>0.2683397751</v>
      </c>
      <c r="H278" s="8">
        <v>7983.0</v>
      </c>
      <c r="I278" s="8">
        <v>3866.0001009106636</v>
      </c>
      <c r="J278" s="8">
        <v>11328.0</v>
      </c>
      <c r="K278" s="11">
        <f t="shared" si="4"/>
        <v>0.7047139831</v>
      </c>
      <c r="L278" s="12">
        <f t="shared" si="5"/>
        <v>0.4842791057</v>
      </c>
      <c r="M278" s="12">
        <f t="shared" si="6"/>
        <v>0.3412782575</v>
      </c>
      <c r="N278" s="9">
        <f t="shared" si="7"/>
        <v>1.271813906</v>
      </c>
      <c r="P278" s="16"/>
      <c r="T278" s="18"/>
      <c r="U278" s="18"/>
      <c r="V278" s="18"/>
      <c r="W278" s="18"/>
    </row>
    <row r="279" ht="15.75" customHeight="1">
      <c r="A279" s="8">
        <v>70706.0</v>
      </c>
      <c r="B279" s="8">
        <v>410.0</v>
      </c>
      <c r="C279" s="8">
        <v>161.88889342546463</v>
      </c>
      <c r="D279" s="8">
        <v>3033.0</v>
      </c>
      <c r="E279" s="9">
        <f t="shared" si="1"/>
        <v>0.1351796901</v>
      </c>
      <c r="F279" s="10">
        <f t="shared" si="2"/>
        <v>0.3948509596</v>
      </c>
      <c r="G279" s="10">
        <f t="shared" si="3"/>
        <v>0.05337583034</v>
      </c>
      <c r="H279" s="8">
        <v>4958.0</v>
      </c>
      <c r="I279" s="8">
        <v>2026.2222747206688</v>
      </c>
      <c r="J279" s="8">
        <v>29617.0</v>
      </c>
      <c r="K279" s="11">
        <f t="shared" si="4"/>
        <v>0.1674038559</v>
      </c>
      <c r="L279" s="12">
        <f t="shared" si="5"/>
        <v>0.4086773446</v>
      </c>
      <c r="M279" s="12">
        <f t="shared" si="6"/>
        <v>0.06841416331</v>
      </c>
      <c r="N279" s="9">
        <f t="shared" si="7"/>
        <v>1.281744244</v>
      </c>
      <c r="P279" s="16"/>
      <c r="T279" s="18"/>
      <c r="U279" s="18"/>
      <c r="V279" s="18"/>
      <c r="W279" s="18"/>
    </row>
    <row r="280" ht="15.75" customHeight="1">
      <c r="A280" s="8">
        <v>70707.0</v>
      </c>
      <c r="B280" s="8">
        <v>110.0</v>
      </c>
      <c r="C280" s="8">
        <v>47.66666758060455</v>
      </c>
      <c r="D280" s="8">
        <v>270.0</v>
      </c>
      <c r="E280" s="9">
        <f t="shared" si="1"/>
        <v>0.4074074074</v>
      </c>
      <c r="F280" s="10">
        <f t="shared" si="2"/>
        <v>0.4333333416</v>
      </c>
      <c r="G280" s="10">
        <f t="shared" si="3"/>
        <v>0.1765432133</v>
      </c>
      <c r="H280" s="8">
        <v>2264.0</v>
      </c>
      <c r="I280" s="8">
        <v>1062.555583178997</v>
      </c>
      <c r="J280" s="8">
        <v>4610.0</v>
      </c>
      <c r="K280" s="11">
        <f t="shared" si="4"/>
        <v>0.4911062907</v>
      </c>
      <c r="L280" s="12">
        <f t="shared" si="5"/>
        <v>0.469326671</v>
      </c>
      <c r="M280" s="12">
        <f t="shared" si="6"/>
        <v>0.2304892805</v>
      </c>
      <c r="N280" s="9">
        <f t="shared" si="7"/>
        <v>1.305568627</v>
      </c>
      <c r="P280" s="16"/>
      <c r="T280" s="18"/>
      <c r="U280" s="18"/>
      <c r="V280" s="18"/>
      <c r="W280" s="18"/>
    </row>
    <row r="281" ht="15.75" customHeight="1">
      <c r="A281" s="8">
        <v>70801.0</v>
      </c>
      <c r="B281" s="8">
        <v>500.0</v>
      </c>
      <c r="C281" s="8">
        <v>211.77778333425522</v>
      </c>
      <c r="D281" s="8">
        <v>1823.0</v>
      </c>
      <c r="E281" s="9">
        <f t="shared" si="1"/>
        <v>0.2742731761</v>
      </c>
      <c r="F281" s="10">
        <f t="shared" si="2"/>
        <v>0.4235555667</v>
      </c>
      <c r="G281" s="10">
        <f t="shared" si="3"/>
        <v>0.1161699305</v>
      </c>
      <c r="H281" s="8">
        <v>4783.0</v>
      </c>
      <c r="I281" s="8">
        <v>2136.7778339385986</v>
      </c>
      <c r="J281" s="8">
        <v>14749.0</v>
      </c>
      <c r="K281" s="11">
        <f t="shared" si="4"/>
        <v>0.3242931724</v>
      </c>
      <c r="L281" s="12">
        <f t="shared" si="5"/>
        <v>0.446744268</v>
      </c>
      <c r="M281" s="12">
        <f t="shared" si="6"/>
        <v>0.1448761159</v>
      </c>
      <c r="N281" s="9">
        <f t="shared" si="7"/>
        <v>1.247105127</v>
      </c>
      <c r="P281" s="16"/>
      <c r="T281" s="18"/>
      <c r="U281" s="18"/>
      <c r="V281" s="18"/>
      <c r="W281" s="18"/>
    </row>
    <row r="282" ht="15.75" customHeight="1">
      <c r="A282" s="8">
        <v>70802.0</v>
      </c>
      <c r="B282" s="8">
        <v>64.0</v>
      </c>
      <c r="C282" s="8">
        <v>28.88888955116272</v>
      </c>
      <c r="D282" s="8">
        <v>219.0</v>
      </c>
      <c r="E282" s="9">
        <f t="shared" si="1"/>
        <v>0.2922374429</v>
      </c>
      <c r="F282" s="10">
        <f t="shared" si="2"/>
        <v>0.4513888992</v>
      </c>
      <c r="G282" s="10">
        <f t="shared" si="3"/>
        <v>0.1319127377</v>
      </c>
      <c r="H282" s="8">
        <v>413.0</v>
      </c>
      <c r="I282" s="8">
        <v>168.22222682833672</v>
      </c>
      <c r="J282" s="8">
        <v>1843.0</v>
      </c>
      <c r="K282" s="11">
        <f t="shared" si="4"/>
        <v>0.2240911557</v>
      </c>
      <c r="L282" s="12">
        <f t="shared" si="5"/>
        <v>0.4073177405</v>
      </c>
      <c r="M282" s="12">
        <f t="shared" si="6"/>
        <v>0.09127630322</v>
      </c>
      <c r="N282" s="9">
        <f t="shared" si="7"/>
        <v>0.6919445751</v>
      </c>
      <c r="P282" s="16"/>
      <c r="T282" s="18"/>
      <c r="U282" s="18"/>
      <c r="V282" s="18"/>
      <c r="W282" s="18"/>
    </row>
    <row r="283" ht="15.75" customHeight="1">
      <c r="A283" s="8">
        <v>70803.0</v>
      </c>
      <c r="B283" s="8">
        <v>111.0</v>
      </c>
      <c r="C283" s="8">
        <v>56.33333498239517</v>
      </c>
      <c r="D283" s="8">
        <v>242.0</v>
      </c>
      <c r="E283" s="9">
        <f t="shared" si="1"/>
        <v>0.458677686</v>
      </c>
      <c r="F283" s="10">
        <f t="shared" si="2"/>
        <v>0.5075075224</v>
      </c>
      <c r="G283" s="10">
        <f t="shared" si="3"/>
        <v>0.232782376</v>
      </c>
      <c r="H283" s="8">
        <v>1108.0</v>
      </c>
      <c r="I283" s="8">
        <v>501.00001218914986</v>
      </c>
      <c r="J283" s="8">
        <v>2503.0</v>
      </c>
      <c r="K283" s="11">
        <f t="shared" si="4"/>
        <v>0.4426687974</v>
      </c>
      <c r="L283" s="12">
        <f t="shared" si="5"/>
        <v>0.452166076</v>
      </c>
      <c r="M283" s="12">
        <f t="shared" si="6"/>
        <v>0.2001598131</v>
      </c>
      <c r="N283" s="9">
        <f t="shared" si="7"/>
        <v>0.8598581068</v>
      </c>
      <c r="P283" s="16"/>
      <c r="T283" s="18"/>
      <c r="U283" s="18"/>
      <c r="V283" s="18"/>
      <c r="W283" s="18"/>
    </row>
    <row r="284" ht="15.75" customHeight="1">
      <c r="A284" s="8">
        <v>70804.0</v>
      </c>
      <c r="B284" s="8">
        <v>95.0</v>
      </c>
      <c r="C284" s="8">
        <v>49.00000157952309</v>
      </c>
      <c r="D284" s="8">
        <v>174.0</v>
      </c>
      <c r="E284" s="9">
        <f t="shared" si="1"/>
        <v>0.5459770115</v>
      </c>
      <c r="F284" s="10">
        <f t="shared" si="2"/>
        <v>0.5157894903</v>
      </c>
      <c r="G284" s="10">
        <f t="shared" si="3"/>
        <v>0.2816092045</v>
      </c>
      <c r="H284" s="8">
        <v>1064.0</v>
      </c>
      <c r="I284" s="8">
        <v>579.0000159144402</v>
      </c>
      <c r="J284" s="8">
        <v>2106.0</v>
      </c>
      <c r="K284" s="11">
        <f t="shared" si="4"/>
        <v>0.5052231719</v>
      </c>
      <c r="L284" s="12">
        <f t="shared" si="5"/>
        <v>0.5441729473</v>
      </c>
      <c r="M284" s="12">
        <f t="shared" si="6"/>
        <v>0.2749287825</v>
      </c>
      <c r="N284" s="9">
        <f t="shared" si="7"/>
        <v>0.9762776859</v>
      </c>
      <c r="P284" s="16"/>
      <c r="T284" s="18"/>
      <c r="U284" s="18"/>
      <c r="V284" s="18"/>
      <c r="W284" s="18"/>
    </row>
    <row r="285" ht="15.75" customHeight="1">
      <c r="A285" s="8">
        <v>70805.0</v>
      </c>
      <c r="B285" s="8">
        <v>73.0</v>
      </c>
      <c r="C285" s="8">
        <v>36.00000101327896</v>
      </c>
      <c r="D285" s="8">
        <v>114.0</v>
      </c>
      <c r="E285" s="9">
        <f t="shared" si="1"/>
        <v>0.6403508772</v>
      </c>
      <c r="F285" s="10">
        <f t="shared" si="2"/>
        <v>0.4931506988</v>
      </c>
      <c r="G285" s="10">
        <f t="shared" si="3"/>
        <v>0.3157894826</v>
      </c>
      <c r="H285" s="8">
        <v>1012.0</v>
      </c>
      <c r="I285" s="8">
        <v>461.6666784584522</v>
      </c>
      <c r="J285" s="8">
        <v>1926.0</v>
      </c>
      <c r="K285" s="11">
        <f t="shared" si="4"/>
        <v>0.5254413292</v>
      </c>
      <c r="L285" s="12">
        <f t="shared" si="5"/>
        <v>0.45619237</v>
      </c>
      <c r="M285" s="12">
        <f t="shared" si="6"/>
        <v>0.2397023253</v>
      </c>
      <c r="N285" s="9">
        <f t="shared" si="7"/>
        <v>0.759057342</v>
      </c>
      <c r="P285" s="16"/>
      <c r="T285" s="18"/>
      <c r="U285" s="18"/>
      <c r="V285" s="18"/>
      <c r="W285" s="18"/>
    </row>
    <row r="286" ht="15.75" customHeight="1">
      <c r="A286" s="8">
        <v>70901.0</v>
      </c>
      <c r="B286" s="8">
        <v>390.0</v>
      </c>
      <c r="C286" s="8">
        <v>167.22222638130188</v>
      </c>
      <c r="D286" s="8">
        <v>1126.0</v>
      </c>
      <c r="E286" s="9">
        <f t="shared" si="1"/>
        <v>0.3463587922</v>
      </c>
      <c r="F286" s="10">
        <f t="shared" si="2"/>
        <v>0.4287749394</v>
      </c>
      <c r="G286" s="10">
        <f t="shared" si="3"/>
        <v>0.1485099701</v>
      </c>
      <c r="H286" s="8">
        <v>3082.0</v>
      </c>
      <c r="I286" s="8">
        <v>1415.1111498177052</v>
      </c>
      <c r="J286" s="8">
        <v>8861.0</v>
      </c>
      <c r="K286" s="11">
        <f t="shared" si="4"/>
        <v>0.3478162736</v>
      </c>
      <c r="L286" s="12">
        <f t="shared" si="5"/>
        <v>0.4591535204</v>
      </c>
      <c r="M286" s="12">
        <f t="shared" si="6"/>
        <v>0.1597010665</v>
      </c>
      <c r="N286" s="9">
        <f t="shared" si="7"/>
        <v>1.075355859</v>
      </c>
      <c r="P286" s="16"/>
      <c r="T286" s="18"/>
      <c r="U286" s="18"/>
      <c r="V286" s="18"/>
      <c r="W286" s="18"/>
    </row>
    <row r="287" ht="15.75" customHeight="1">
      <c r="A287" s="8">
        <v>70902.0</v>
      </c>
      <c r="B287" s="8">
        <v>462.0</v>
      </c>
      <c r="C287" s="8">
        <v>212.00000622868538</v>
      </c>
      <c r="D287" s="8">
        <v>948.0</v>
      </c>
      <c r="E287" s="9">
        <f t="shared" si="1"/>
        <v>0.4873417722</v>
      </c>
      <c r="F287" s="10">
        <f t="shared" si="2"/>
        <v>0.4588744724</v>
      </c>
      <c r="G287" s="10">
        <f t="shared" si="3"/>
        <v>0.2236286986</v>
      </c>
      <c r="H287" s="8">
        <v>2576.0</v>
      </c>
      <c r="I287" s="8">
        <v>1140.0000313818455</v>
      </c>
      <c r="J287" s="8">
        <v>8028.0</v>
      </c>
      <c r="K287" s="11">
        <f t="shared" si="4"/>
        <v>0.3208769307</v>
      </c>
      <c r="L287" s="12">
        <f t="shared" si="5"/>
        <v>0.442546596</v>
      </c>
      <c r="M287" s="12">
        <f t="shared" si="6"/>
        <v>0.1420029934</v>
      </c>
      <c r="N287" s="9">
        <f t="shared" si="7"/>
        <v>0.6349944992</v>
      </c>
      <c r="P287" s="16"/>
      <c r="T287" s="18"/>
      <c r="U287" s="18"/>
      <c r="V287" s="18"/>
      <c r="W287" s="18"/>
    </row>
    <row r="288" ht="15.75" customHeight="1">
      <c r="A288" s="8">
        <v>70903.0</v>
      </c>
      <c r="B288" s="8">
        <v>667.0</v>
      </c>
      <c r="C288" s="8">
        <v>267.3333402276039</v>
      </c>
      <c r="D288" s="8">
        <v>1786.0</v>
      </c>
      <c r="E288" s="9">
        <f t="shared" si="1"/>
        <v>0.3734602464</v>
      </c>
      <c r="F288" s="10">
        <f t="shared" si="2"/>
        <v>0.4007996105</v>
      </c>
      <c r="G288" s="10">
        <f t="shared" si="3"/>
        <v>0.1496827213</v>
      </c>
      <c r="H288" s="8">
        <v>1982.0</v>
      </c>
      <c r="I288" s="8">
        <v>836.4444656968117</v>
      </c>
      <c r="J288" s="8">
        <v>8116.0</v>
      </c>
      <c r="K288" s="11">
        <f t="shared" si="4"/>
        <v>0.2442089699</v>
      </c>
      <c r="L288" s="12">
        <f t="shared" si="5"/>
        <v>0.4220204166</v>
      </c>
      <c r="M288" s="12">
        <f t="shared" si="6"/>
        <v>0.1030611712</v>
      </c>
      <c r="N288" s="9">
        <f t="shared" si="7"/>
        <v>0.6885308494</v>
      </c>
      <c r="P288" s="16"/>
      <c r="T288" s="18"/>
      <c r="U288" s="18"/>
      <c r="V288" s="18"/>
      <c r="W288" s="18"/>
    </row>
    <row r="289" ht="15.75" customHeight="1">
      <c r="A289" s="8">
        <v>70904.0</v>
      </c>
      <c r="B289" s="8">
        <v>62.0</v>
      </c>
      <c r="C289" s="8">
        <v>27.666667371988297</v>
      </c>
      <c r="D289" s="8">
        <v>311.0</v>
      </c>
      <c r="E289" s="9">
        <f t="shared" si="1"/>
        <v>0.1993569132</v>
      </c>
      <c r="F289" s="10">
        <f t="shared" si="2"/>
        <v>0.4462365705</v>
      </c>
      <c r="G289" s="10">
        <f t="shared" si="3"/>
        <v>0.08896034525</v>
      </c>
      <c r="H289" s="8">
        <v>818.0</v>
      </c>
      <c r="I289" s="8">
        <v>369.6666764318943</v>
      </c>
      <c r="J289" s="8">
        <v>2577.0</v>
      </c>
      <c r="K289" s="11">
        <f t="shared" si="4"/>
        <v>0.3174233605</v>
      </c>
      <c r="L289" s="12">
        <f t="shared" si="5"/>
        <v>0.4519152524</v>
      </c>
      <c r="M289" s="12">
        <f t="shared" si="6"/>
        <v>0.1434484581</v>
      </c>
      <c r="N289" s="9">
        <f t="shared" si="7"/>
        <v>1.612498891</v>
      </c>
      <c r="P289" s="16"/>
      <c r="T289" s="18"/>
      <c r="U289" s="18"/>
      <c r="V289" s="18"/>
      <c r="W289" s="18"/>
    </row>
    <row r="290" ht="15.75" customHeight="1">
      <c r="A290" s="8">
        <v>71001.0</v>
      </c>
      <c r="B290" s="8">
        <v>2383.0</v>
      </c>
      <c r="C290" s="8">
        <v>991.4444690644741</v>
      </c>
      <c r="D290" s="8">
        <v>7545.0</v>
      </c>
      <c r="E290" s="9">
        <f t="shared" si="1"/>
        <v>0.3158383035</v>
      </c>
      <c r="F290" s="10">
        <f t="shared" si="2"/>
        <v>0.416048875</v>
      </c>
      <c r="G290" s="10">
        <f t="shared" si="3"/>
        <v>0.1314041709</v>
      </c>
      <c r="H290" s="8">
        <v>19793.0</v>
      </c>
      <c r="I290" s="8">
        <v>7879.4446440041065</v>
      </c>
      <c r="J290" s="8">
        <v>97250.0</v>
      </c>
      <c r="K290" s="11">
        <f t="shared" si="4"/>
        <v>0.2035269923</v>
      </c>
      <c r="L290" s="12">
        <f t="shared" si="5"/>
        <v>0.3980924895</v>
      </c>
      <c r="M290" s="12">
        <f t="shared" si="6"/>
        <v>0.08102256703</v>
      </c>
      <c r="N290" s="9">
        <f t="shared" si="7"/>
        <v>0.6165905276</v>
      </c>
      <c r="P290" s="16"/>
      <c r="T290" s="18"/>
      <c r="U290" s="18"/>
      <c r="V290" s="18"/>
      <c r="W290" s="18"/>
    </row>
    <row r="291" ht="15.75" customHeight="1">
      <c r="A291" s="8">
        <v>71002.0</v>
      </c>
      <c r="B291" s="8">
        <v>514.0</v>
      </c>
      <c r="C291" s="8">
        <v>228.11111694574356</v>
      </c>
      <c r="D291" s="8">
        <v>1105.0</v>
      </c>
      <c r="E291" s="9">
        <f t="shared" si="1"/>
        <v>0.465158371</v>
      </c>
      <c r="F291" s="10">
        <f t="shared" si="2"/>
        <v>0.4437959474</v>
      </c>
      <c r="G291" s="10">
        <f t="shared" si="3"/>
        <v>0.2064354</v>
      </c>
      <c r="H291" s="8">
        <v>4127.0</v>
      </c>
      <c r="I291" s="8">
        <v>1690.5555998682976</v>
      </c>
      <c r="J291" s="8">
        <v>12693.0</v>
      </c>
      <c r="K291" s="11">
        <f t="shared" si="4"/>
        <v>0.3251398409</v>
      </c>
      <c r="L291" s="12">
        <f t="shared" si="5"/>
        <v>0.4096330506</v>
      </c>
      <c r="M291" s="12">
        <f t="shared" si="6"/>
        <v>0.1331880249</v>
      </c>
      <c r="N291" s="9">
        <f t="shared" si="7"/>
        <v>0.6451801625</v>
      </c>
      <c r="P291" s="16"/>
      <c r="T291" s="18"/>
      <c r="U291" s="18"/>
      <c r="V291" s="18"/>
      <c r="W291" s="18"/>
    </row>
    <row r="292" ht="15.75" customHeight="1">
      <c r="A292" s="8">
        <v>71003.0</v>
      </c>
      <c r="B292" s="8">
        <v>341.0</v>
      </c>
      <c r="C292" s="8">
        <v>130.88889208436012</v>
      </c>
      <c r="D292" s="8">
        <v>874.0</v>
      </c>
      <c r="E292" s="9">
        <f t="shared" si="1"/>
        <v>0.3901601831</v>
      </c>
      <c r="F292" s="10">
        <f t="shared" si="2"/>
        <v>0.3838383932</v>
      </c>
      <c r="G292" s="10">
        <f t="shared" si="3"/>
        <v>0.1497584578</v>
      </c>
      <c r="H292" s="8">
        <v>8069.0</v>
      </c>
      <c r="I292" s="8">
        <v>3262.11119389534</v>
      </c>
      <c r="J292" s="8">
        <v>21762.0</v>
      </c>
      <c r="K292" s="11">
        <f t="shared" si="4"/>
        <v>0.3707839353</v>
      </c>
      <c r="L292" s="12">
        <f t="shared" si="5"/>
        <v>0.40427701</v>
      </c>
      <c r="M292" s="12">
        <f t="shared" si="6"/>
        <v>0.1498994207</v>
      </c>
      <c r="N292" s="9">
        <f t="shared" si="7"/>
        <v>1.000941269</v>
      </c>
      <c r="P292" s="16"/>
      <c r="T292" s="18"/>
      <c r="U292" s="18"/>
      <c r="V292" s="18"/>
      <c r="W292" s="18"/>
    </row>
    <row r="293" ht="15.75" customHeight="1">
      <c r="A293" s="8">
        <v>71004.0</v>
      </c>
      <c r="B293" s="8">
        <v>427.0</v>
      </c>
      <c r="C293" s="8">
        <v>175.55556026101112</v>
      </c>
      <c r="D293" s="8">
        <v>972.0</v>
      </c>
      <c r="E293" s="9">
        <f t="shared" si="1"/>
        <v>0.4393004115</v>
      </c>
      <c r="F293" s="10">
        <f t="shared" si="2"/>
        <v>0.4111371435</v>
      </c>
      <c r="G293" s="10">
        <f t="shared" si="3"/>
        <v>0.1806127163</v>
      </c>
      <c r="H293" s="8">
        <v>4129.0</v>
      </c>
      <c r="I293" s="8">
        <v>1640.8889304101467</v>
      </c>
      <c r="J293" s="8">
        <v>12682.0</v>
      </c>
      <c r="K293" s="11">
        <f t="shared" si="4"/>
        <v>0.3255795616</v>
      </c>
      <c r="L293" s="12">
        <f t="shared" si="5"/>
        <v>0.3974058926</v>
      </c>
      <c r="M293" s="12">
        <f t="shared" si="6"/>
        <v>0.1293872363</v>
      </c>
      <c r="N293" s="9">
        <f t="shared" si="7"/>
        <v>0.7163794383</v>
      </c>
      <c r="P293" s="16"/>
      <c r="T293" s="18"/>
      <c r="U293" s="18"/>
      <c r="V293" s="18"/>
      <c r="W293" s="18"/>
    </row>
    <row r="294" ht="15.75" customHeight="1">
      <c r="A294" s="8">
        <v>71005.0</v>
      </c>
      <c r="B294" s="8">
        <v>405.0</v>
      </c>
      <c r="C294" s="8">
        <v>159.6666707098484</v>
      </c>
      <c r="D294" s="8">
        <v>1316.0</v>
      </c>
      <c r="E294" s="9">
        <f t="shared" si="1"/>
        <v>0.3077507599</v>
      </c>
      <c r="F294" s="10">
        <f t="shared" si="2"/>
        <v>0.3942386931</v>
      </c>
      <c r="G294" s="10">
        <f t="shared" si="3"/>
        <v>0.1213272574</v>
      </c>
      <c r="H294" s="8">
        <v>4265.0</v>
      </c>
      <c r="I294" s="8">
        <v>1680.8889318108559</v>
      </c>
      <c r="J294" s="8">
        <v>14591.0</v>
      </c>
      <c r="K294" s="11">
        <f t="shared" si="4"/>
        <v>0.2923034747</v>
      </c>
      <c r="L294" s="12">
        <f t="shared" si="5"/>
        <v>0.3941122935</v>
      </c>
      <c r="M294" s="12">
        <f t="shared" si="6"/>
        <v>0.1152003928</v>
      </c>
      <c r="N294" s="9">
        <f t="shared" si="7"/>
        <v>0.9495013348</v>
      </c>
      <c r="P294" s="16"/>
      <c r="T294" s="18"/>
      <c r="U294" s="18"/>
      <c r="V294" s="18"/>
      <c r="W294" s="18"/>
    </row>
    <row r="295" ht="15.75" customHeight="1">
      <c r="A295" s="8">
        <v>71101.0</v>
      </c>
      <c r="B295" s="8">
        <v>1435.0</v>
      </c>
      <c r="C295" s="8">
        <v>645.1111274957657</v>
      </c>
      <c r="D295" s="8">
        <v>2333.0</v>
      </c>
      <c r="E295" s="9">
        <f t="shared" si="1"/>
        <v>0.6150878697</v>
      </c>
      <c r="F295" s="10">
        <f t="shared" si="2"/>
        <v>0.4495547927</v>
      </c>
      <c r="G295" s="10">
        <f t="shared" si="3"/>
        <v>0.2765156997</v>
      </c>
      <c r="H295" s="8">
        <v>8448.0</v>
      </c>
      <c r="I295" s="8">
        <v>3795.333432495594</v>
      </c>
      <c r="J295" s="8">
        <v>15980.0</v>
      </c>
      <c r="K295" s="11">
        <f t="shared" si="4"/>
        <v>0.528660826</v>
      </c>
      <c r="L295" s="12">
        <f t="shared" si="5"/>
        <v>0.4492582188</v>
      </c>
      <c r="M295" s="12">
        <f t="shared" si="6"/>
        <v>0.2375052211</v>
      </c>
      <c r="N295" s="9">
        <f t="shared" si="7"/>
        <v>0.8589212883</v>
      </c>
      <c r="P295" s="16"/>
      <c r="T295" s="18"/>
      <c r="U295" s="18"/>
      <c r="V295" s="18"/>
      <c r="W295" s="18"/>
    </row>
    <row r="296" ht="15.75" customHeight="1">
      <c r="A296" s="8">
        <v>71102.0</v>
      </c>
      <c r="B296" s="8">
        <v>834.0</v>
      </c>
      <c r="C296" s="8">
        <v>383.1111201941967</v>
      </c>
      <c r="D296" s="8">
        <v>1573.0</v>
      </c>
      <c r="E296" s="9">
        <f t="shared" si="1"/>
        <v>0.5301970757</v>
      </c>
      <c r="F296" s="10">
        <f t="shared" si="2"/>
        <v>0.4593658516</v>
      </c>
      <c r="G296" s="10">
        <f t="shared" si="3"/>
        <v>0.2435544311</v>
      </c>
      <c r="H296" s="8">
        <v>5860.0</v>
      </c>
      <c r="I296" s="8">
        <v>2696.2222938537598</v>
      </c>
      <c r="J296" s="8">
        <v>11691.0</v>
      </c>
      <c r="K296" s="11">
        <f t="shared" si="4"/>
        <v>0.5012402703</v>
      </c>
      <c r="L296" s="12">
        <f t="shared" si="5"/>
        <v>0.4601061935</v>
      </c>
      <c r="M296" s="12">
        <f t="shared" si="6"/>
        <v>0.2306237528</v>
      </c>
      <c r="N296" s="9">
        <f t="shared" si="7"/>
        <v>0.946908466</v>
      </c>
      <c r="P296" s="16"/>
      <c r="T296" s="18"/>
      <c r="U296" s="18"/>
      <c r="V296" s="18"/>
      <c r="W296" s="18"/>
    </row>
    <row r="297" ht="15.75" customHeight="1">
      <c r="A297" s="8">
        <v>71103.0</v>
      </c>
      <c r="B297" s="8">
        <v>1888.0</v>
      </c>
      <c r="C297" s="8">
        <v>769.7777969539165</v>
      </c>
      <c r="D297" s="8">
        <v>5042.0</v>
      </c>
      <c r="E297" s="9">
        <f t="shared" si="1"/>
        <v>0.3744545815</v>
      </c>
      <c r="F297" s="10">
        <f t="shared" si="2"/>
        <v>0.4077212908</v>
      </c>
      <c r="G297" s="10">
        <f t="shared" si="3"/>
        <v>0.1526731053</v>
      </c>
      <c r="H297" s="8">
        <v>16743.0</v>
      </c>
      <c r="I297" s="8">
        <v>6738.777943074703</v>
      </c>
      <c r="J297" s="8">
        <v>40787.0</v>
      </c>
      <c r="K297" s="11">
        <f t="shared" si="4"/>
        <v>0.4104984431</v>
      </c>
      <c r="L297" s="12">
        <f t="shared" si="5"/>
        <v>0.4024833031</v>
      </c>
      <c r="M297" s="12">
        <f t="shared" si="6"/>
        <v>0.1652187693</v>
      </c>
      <c r="N297" s="9">
        <f t="shared" si="7"/>
        <v>1.082173373</v>
      </c>
      <c r="P297" s="16"/>
      <c r="T297" s="18"/>
      <c r="U297" s="18"/>
      <c r="V297" s="18"/>
      <c r="W297" s="18"/>
    </row>
    <row r="298" ht="15.75" customHeight="1">
      <c r="A298" s="8">
        <v>71104.0</v>
      </c>
      <c r="B298" s="8">
        <v>85.0</v>
      </c>
      <c r="C298" s="8">
        <v>34.55555662512779</v>
      </c>
      <c r="D298" s="8">
        <v>168.0</v>
      </c>
      <c r="E298" s="9">
        <f t="shared" si="1"/>
        <v>0.505952381</v>
      </c>
      <c r="F298" s="10">
        <f t="shared" si="2"/>
        <v>0.4065359603</v>
      </c>
      <c r="G298" s="10">
        <f t="shared" si="3"/>
        <v>0.2056878371</v>
      </c>
      <c r="H298" s="8">
        <v>2212.0</v>
      </c>
      <c r="I298" s="8">
        <v>946.5555804371834</v>
      </c>
      <c r="J298" s="8">
        <v>6275.0</v>
      </c>
      <c r="K298" s="11">
        <f t="shared" si="4"/>
        <v>0.3525099602</v>
      </c>
      <c r="L298" s="12">
        <f t="shared" si="5"/>
        <v>0.427918436</v>
      </c>
      <c r="M298" s="12">
        <f t="shared" si="6"/>
        <v>0.1508455108</v>
      </c>
      <c r="N298" s="9">
        <f t="shared" si="7"/>
        <v>0.7333710782</v>
      </c>
      <c r="P298" s="16"/>
      <c r="T298" s="18"/>
      <c r="U298" s="18"/>
      <c r="V298" s="18"/>
      <c r="W298" s="18"/>
    </row>
    <row r="299" ht="15.75" customHeight="1">
      <c r="A299" s="8">
        <v>71105.0</v>
      </c>
      <c r="B299" s="8">
        <v>526.0</v>
      </c>
      <c r="C299" s="8">
        <v>232.66667279601097</v>
      </c>
      <c r="D299" s="8">
        <v>994.0</v>
      </c>
      <c r="E299" s="9">
        <f t="shared" si="1"/>
        <v>0.5291750503</v>
      </c>
      <c r="F299" s="10">
        <f t="shared" si="2"/>
        <v>0.4423320776</v>
      </c>
      <c r="G299" s="10">
        <f t="shared" si="3"/>
        <v>0.2340710994</v>
      </c>
      <c r="H299" s="8">
        <v>2415.0</v>
      </c>
      <c r="I299" s="8">
        <v>1057.555580765009</v>
      </c>
      <c r="J299" s="8">
        <v>5871.0</v>
      </c>
      <c r="K299" s="11">
        <f t="shared" si="4"/>
        <v>0.4113438937</v>
      </c>
      <c r="L299" s="12">
        <f t="shared" si="5"/>
        <v>0.4379112136</v>
      </c>
      <c r="M299" s="12">
        <f t="shared" si="6"/>
        <v>0.1801321037</v>
      </c>
      <c r="N299" s="9">
        <f t="shared" si="7"/>
        <v>0.7695614886</v>
      </c>
      <c r="P299" s="16"/>
      <c r="T299" s="18"/>
      <c r="U299" s="18"/>
      <c r="V299" s="18"/>
      <c r="W299" s="18"/>
    </row>
    <row r="300" ht="15.75" customHeight="1">
      <c r="A300" s="8">
        <v>71106.0</v>
      </c>
      <c r="B300" s="8">
        <v>571.0</v>
      </c>
      <c r="C300" s="8">
        <v>226.88889479637146</v>
      </c>
      <c r="D300" s="8">
        <v>1740.0</v>
      </c>
      <c r="E300" s="9">
        <f t="shared" si="1"/>
        <v>0.3281609195</v>
      </c>
      <c r="F300" s="10">
        <f t="shared" si="2"/>
        <v>0.3973535811</v>
      </c>
      <c r="G300" s="10">
        <f t="shared" si="3"/>
        <v>0.1303959165</v>
      </c>
      <c r="H300" s="8">
        <v>5890.0</v>
      </c>
      <c r="I300" s="8">
        <v>2270.555612742901</v>
      </c>
      <c r="J300" s="8">
        <v>19329.0</v>
      </c>
      <c r="K300" s="11">
        <f t="shared" si="4"/>
        <v>0.3047234725</v>
      </c>
      <c r="L300" s="12">
        <f t="shared" si="5"/>
        <v>0.3854933129</v>
      </c>
      <c r="M300" s="12">
        <f t="shared" si="6"/>
        <v>0.1174688609</v>
      </c>
      <c r="N300" s="9">
        <f t="shared" si="7"/>
        <v>0.9008630334</v>
      </c>
      <c r="P300" s="16"/>
      <c r="T300" s="18"/>
      <c r="U300" s="18"/>
      <c r="V300" s="18"/>
      <c r="W300" s="18"/>
    </row>
    <row r="301" ht="15.75" customHeight="1">
      <c r="A301" s="8">
        <v>71201.0</v>
      </c>
      <c r="B301" s="8">
        <v>530.0</v>
      </c>
      <c r="C301" s="8">
        <v>235.33333972096443</v>
      </c>
      <c r="D301" s="8">
        <v>1164.0</v>
      </c>
      <c r="E301" s="9">
        <f t="shared" si="1"/>
        <v>0.4553264605</v>
      </c>
      <c r="F301" s="10">
        <f t="shared" si="2"/>
        <v>0.4440251693</v>
      </c>
      <c r="G301" s="10">
        <f t="shared" si="3"/>
        <v>0.2021764087</v>
      </c>
      <c r="H301" s="8">
        <v>6894.0</v>
      </c>
      <c r="I301" s="8">
        <v>3077.666749358177</v>
      </c>
      <c r="J301" s="8">
        <v>12714.0</v>
      </c>
      <c r="K301" s="11">
        <f t="shared" si="4"/>
        <v>0.5422369042</v>
      </c>
      <c r="L301" s="12">
        <f t="shared" si="5"/>
        <v>0.4464268566</v>
      </c>
      <c r="M301" s="12">
        <f t="shared" si="6"/>
        <v>0.2420691167</v>
      </c>
      <c r="N301" s="9">
        <f t="shared" si="7"/>
        <v>1.197316335</v>
      </c>
      <c r="P301" s="16"/>
      <c r="T301" s="18"/>
      <c r="U301" s="18"/>
      <c r="V301" s="18"/>
      <c r="W301" s="18"/>
    </row>
    <row r="302" ht="15.75" customHeight="1">
      <c r="A302" s="8">
        <v>71301.0</v>
      </c>
      <c r="B302" s="8">
        <v>597.0</v>
      </c>
      <c r="C302" s="8">
        <v>265.0000067949295</v>
      </c>
      <c r="D302" s="8">
        <v>1748.0</v>
      </c>
      <c r="E302" s="9">
        <f t="shared" si="1"/>
        <v>0.3415331808</v>
      </c>
      <c r="F302" s="10">
        <f t="shared" si="2"/>
        <v>0.4438861085</v>
      </c>
      <c r="G302" s="10">
        <f t="shared" si="3"/>
        <v>0.1516018346</v>
      </c>
      <c r="H302" s="8">
        <v>4817.0</v>
      </c>
      <c r="I302" s="8">
        <v>2206.3333907425404</v>
      </c>
      <c r="J302" s="8">
        <v>13801.0</v>
      </c>
      <c r="K302" s="11">
        <f t="shared" si="4"/>
        <v>0.3490326788</v>
      </c>
      <c r="L302" s="12">
        <f t="shared" si="5"/>
        <v>0.458030598</v>
      </c>
      <c r="M302" s="12">
        <f t="shared" si="6"/>
        <v>0.1598676466</v>
      </c>
      <c r="N302" s="9">
        <f t="shared" si="7"/>
        <v>1.054523166</v>
      </c>
      <c r="P302" s="16"/>
      <c r="T302" s="18"/>
      <c r="U302" s="18"/>
      <c r="V302" s="18"/>
      <c r="W302" s="18"/>
    </row>
    <row r="303" ht="15.75" customHeight="1">
      <c r="A303" s="8">
        <v>71302.0</v>
      </c>
      <c r="B303" s="8">
        <v>446.0</v>
      </c>
      <c r="C303" s="8">
        <v>193.2222277522087</v>
      </c>
      <c r="D303" s="8">
        <v>1106.0</v>
      </c>
      <c r="E303" s="9">
        <f t="shared" si="1"/>
        <v>0.4032549729</v>
      </c>
      <c r="F303" s="10">
        <f t="shared" si="2"/>
        <v>0.4332336945</v>
      </c>
      <c r="G303" s="10">
        <f t="shared" si="3"/>
        <v>0.1747036417</v>
      </c>
      <c r="H303" s="8">
        <v>2223.0</v>
      </c>
      <c r="I303" s="8">
        <v>924.1111358106136</v>
      </c>
      <c r="J303" s="8">
        <v>5938.0</v>
      </c>
      <c r="K303" s="11">
        <f t="shared" si="4"/>
        <v>0.3743684742</v>
      </c>
      <c r="L303" s="12">
        <f t="shared" si="5"/>
        <v>0.4157045145</v>
      </c>
      <c r="M303" s="12">
        <f t="shared" si="6"/>
        <v>0.1556266648</v>
      </c>
      <c r="N303" s="9">
        <f t="shared" si="7"/>
        <v>0.8908037823</v>
      </c>
      <c r="P303" s="16"/>
      <c r="T303" s="18"/>
      <c r="U303" s="18"/>
      <c r="V303" s="18"/>
      <c r="W303" s="18"/>
    </row>
    <row r="304" ht="15.75" customHeight="1">
      <c r="A304" s="8">
        <v>71401.0</v>
      </c>
      <c r="B304" s="8">
        <v>498.0</v>
      </c>
      <c r="C304" s="8">
        <v>206.77778321504593</v>
      </c>
      <c r="D304" s="8">
        <v>1657.0</v>
      </c>
      <c r="E304" s="9">
        <f t="shared" si="1"/>
        <v>0.3005431503</v>
      </c>
      <c r="F304" s="10">
        <f t="shared" si="2"/>
        <v>0.4152164322</v>
      </c>
      <c r="G304" s="10">
        <f t="shared" si="3"/>
        <v>0.1247904546</v>
      </c>
      <c r="H304" s="8">
        <v>3738.0</v>
      </c>
      <c r="I304" s="8">
        <v>1489.1111477315426</v>
      </c>
      <c r="J304" s="8">
        <v>16642.0</v>
      </c>
      <c r="K304" s="11">
        <f t="shared" si="4"/>
        <v>0.2246124264</v>
      </c>
      <c r="L304" s="12">
        <f t="shared" si="5"/>
        <v>0.3983710936</v>
      </c>
      <c r="M304" s="12">
        <f t="shared" si="6"/>
        <v>0.08947909793</v>
      </c>
      <c r="N304" s="9">
        <f t="shared" si="7"/>
        <v>0.7170347944</v>
      </c>
      <c r="P304" s="16"/>
      <c r="T304" s="18"/>
      <c r="U304" s="18"/>
      <c r="V304" s="18"/>
      <c r="W304" s="18"/>
    </row>
    <row r="305" ht="15.75" customHeight="1">
      <c r="A305" s="8">
        <v>71402.0</v>
      </c>
      <c r="B305" s="8">
        <v>646.0</v>
      </c>
      <c r="C305" s="8">
        <v>253.44445031881332</v>
      </c>
      <c r="D305" s="8">
        <v>2459.0</v>
      </c>
      <c r="E305" s="9">
        <f t="shared" si="1"/>
        <v>0.2627084181</v>
      </c>
      <c r="F305" s="10">
        <f t="shared" si="2"/>
        <v>0.3923288705</v>
      </c>
      <c r="G305" s="10">
        <f t="shared" si="3"/>
        <v>0.1030680969</v>
      </c>
      <c r="H305" s="8">
        <v>3550.0</v>
      </c>
      <c r="I305" s="8">
        <v>1368.8889214396477</v>
      </c>
      <c r="J305" s="8">
        <v>12986.0</v>
      </c>
      <c r="K305" s="11">
        <f t="shared" si="4"/>
        <v>0.273371323</v>
      </c>
      <c r="L305" s="12">
        <f t="shared" si="5"/>
        <v>0.3856025131</v>
      </c>
      <c r="M305" s="12">
        <f t="shared" si="6"/>
        <v>0.1054126691</v>
      </c>
      <c r="N305" s="9">
        <f t="shared" si="7"/>
        <v>1.022747798</v>
      </c>
      <c r="P305" s="16"/>
      <c r="T305" s="18"/>
      <c r="U305" s="18"/>
      <c r="V305" s="18"/>
      <c r="W305" s="18"/>
    </row>
    <row r="306" ht="15.75" customHeight="1">
      <c r="A306" s="8">
        <v>71403.0</v>
      </c>
      <c r="B306" s="8">
        <v>433.0</v>
      </c>
      <c r="C306" s="8">
        <v>187.5555603504181</v>
      </c>
      <c r="D306" s="8">
        <v>861.0</v>
      </c>
      <c r="E306" s="9">
        <f t="shared" si="1"/>
        <v>0.5029036005</v>
      </c>
      <c r="F306" s="10">
        <f t="shared" si="2"/>
        <v>0.4331537191</v>
      </c>
      <c r="G306" s="10">
        <f t="shared" si="3"/>
        <v>0.2178345649</v>
      </c>
      <c r="H306" s="8">
        <v>2379.0</v>
      </c>
      <c r="I306" s="8">
        <v>1037.555581599474</v>
      </c>
      <c r="J306" s="8">
        <v>5155.0</v>
      </c>
      <c r="K306" s="11">
        <f t="shared" si="4"/>
        <v>0.4614936954</v>
      </c>
      <c r="L306" s="12">
        <f t="shared" si="5"/>
        <v>0.4361309717</v>
      </c>
      <c r="M306" s="12">
        <f t="shared" si="6"/>
        <v>0.2012716938</v>
      </c>
      <c r="N306" s="9">
        <f t="shared" si="7"/>
        <v>0.9239658267</v>
      </c>
      <c r="P306" s="16"/>
      <c r="T306" s="18"/>
      <c r="U306" s="18"/>
      <c r="V306" s="18"/>
      <c r="W306" s="18"/>
    </row>
    <row r="307" ht="15.75" customHeight="1">
      <c r="A307" s="8">
        <v>71501.0</v>
      </c>
      <c r="B307" s="8">
        <v>2207.0</v>
      </c>
      <c r="C307" s="8">
        <v>966.7778032720089</v>
      </c>
      <c r="D307" s="8">
        <v>3643.0</v>
      </c>
      <c r="E307" s="9">
        <f t="shared" si="1"/>
        <v>0.6058193796</v>
      </c>
      <c r="F307" s="10">
        <f t="shared" si="2"/>
        <v>0.4380506585</v>
      </c>
      <c r="G307" s="10">
        <f t="shared" si="3"/>
        <v>0.2653795782</v>
      </c>
      <c r="H307" s="8">
        <v>13716.0</v>
      </c>
      <c r="I307" s="8">
        <v>6066.111269205809</v>
      </c>
      <c r="J307" s="8">
        <v>22254.0</v>
      </c>
      <c r="K307" s="11">
        <f t="shared" si="4"/>
        <v>0.6163386358</v>
      </c>
      <c r="L307" s="12">
        <f t="shared" si="5"/>
        <v>0.4422653302</v>
      </c>
      <c r="M307" s="12">
        <f t="shared" si="6"/>
        <v>0.2725852103</v>
      </c>
      <c r="N307" s="9">
        <f t="shared" si="7"/>
        <v>1.027152173</v>
      </c>
      <c r="P307" s="16"/>
      <c r="T307" s="18"/>
      <c r="U307" s="18"/>
      <c r="V307" s="18"/>
      <c r="W307" s="18"/>
    </row>
    <row r="308" ht="15.75" customHeight="1">
      <c r="A308" s="8">
        <v>71502.0</v>
      </c>
      <c r="B308" s="8">
        <v>81.0</v>
      </c>
      <c r="C308" s="8">
        <v>37.11111244559288</v>
      </c>
      <c r="D308" s="8">
        <v>221.0</v>
      </c>
      <c r="E308" s="9">
        <f t="shared" si="1"/>
        <v>0.3665158371</v>
      </c>
      <c r="F308" s="10">
        <f t="shared" si="2"/>
        <v>0.458161882</v>
      </c>
      <c r="G308" s="10">
        <f t="shared" si="3"/>
        <v>0.1679235857</v>
      </c>
      <c r="H308" s="8">
        <v>3723.0</v>
      </c>
      <c r="I308" s="8">
        <v>1648.5555990040302</v>
      </c>
      <c r="J308" s="8">
        <v>6528.0</v>
      </c>
      <c r="K308" s="11">
        <f t="shared" si="4"/>
        <v>0.5703125</v>
      </c>
      <c r="L308" s="12">
        <f t="shared" si="5"/>
        <v>0.4428030081</v>
      </c>
      <c r="M308" s="12">
        <f t="shared" si="6"/>
        <v>0.2525360905</v>
      </c>
      <c r="N308" s="9">
        <f t="shared" si="7"/>
        <v>1.503875048</v>
      </c>
      <c r="P308" s="16"/>
      <c r="T308" s="18"/>
      <c r="U308" s="18"/>
      <c r="V308" s="18"/>
      <c r="W308" s="18"/>
    </row>
    <row r="309" ht="15.75" customHeight="1">
      <c r="A309" s="8">
        <v>71503.0</v>
      </c>
      <c r="B309" s="8">
        <v>1967.0</v>
      </c>
      <c r="C309" s="8">
        <v>882.4444673657417</v>
      </c>
      <c r="D309" s="8">
        <v>2750.0</v>
      </c>
      <c r="E309" s="9">
        <f t="shared" si="1"/>
        <v>0.7152727273</v>
      </c>
      <c r="F309" s="10">
        <f t="shared" si="2"/>
        <v>0.4486245386</v>
      </c>
      <c r="G309" s="10">
        <f t="shared" si="3"/>
        <v>0.3208888972</v>
      </c>
      <c r="H309" s="8">
        <v>6952.0</v>
      </c>
      <c r="I309" s="8">
        <v>3054.8889665603638</v>
      </c>
      <c r="J309" s="8">
        <v>11020.0</v>
      </c>
      <c r="K309" s="11">
        <f t="shared" si="4"/>
        <v>0.6308529946</v>
      </c>
      <c r="L309" s="12">
        <f t="shared" si="5"/>
        <v>0.4394259158</v>
      </c>
      <c r="M309" s="12">
        <f t="shared" si="6"/>
        <v>0.2772131549</v>
      </c>
      <c r="N309" s="9">
        <f t="shared" si="7"/>
        <v>0.8638913881</v>
      </c>
      <c r="P309" s="16"/>
      <c r="T309" s="18"/>
      <c r="U309" s="18"/>
      <c r="V309" s="18"/>
      <c r="W309" s="18"/>
    </row>
    <row r="310" ht="15.75" customHeight="1">
      <c r="A310" s="8">
        <v>80101.0</v>
      </c>
      <c r="B310" s="8">
        <v>3464.0</v>
      </c>
      <c r="C310" s="8">
        <v>1443.7778162956238</v>
      </c>
      <c r="D310" s="8">
        <v>9428.0</v>
      </c>
      <c r="E310" s="9">
        <f t="shared" si="1"/>
        <v>0.367416207</v>
      </c>
      <c r="F310" s="10">
        <f t="shared" si="2"/>
        <v>0.4167949816</v>
      </c>
      <c r="G310" s="10">
        <f t="shared" si="3"/>
        <v>0.1531372313</v>
      </c>
      <c r="H310" s="8">
        <v>32841.0</v>
      </c>
      <c r="I310" s="8">
        <v>13332.111452698708</v>
      </c>
      <c r="J310" s="8">
        <v>91800.0</v>
      </c>
      <c r="K310" s="11">
        <f t="shared" si="4"/>
        <v>0.357745098</v>
      </c>
      <c r="L310" s="12">
        <f t="shared" si="5"/>
        <v>0.4059593634</v>
      </c>
      <c r="M310" s="12">
        <f t="shared" si="6"/>
        <v>0.1452299723</v>
      </c>
      <c r="N310" s="9">
        <f t="shared" si="7"/>
        <v>0.948364882</v>
      </c>
      <c r="P310" s="16"/>
      <c r="T310" s="18"/>
      <c r="U310" s="18"/>
      <c r="V310" s="18"/>
      <c r="W310" s="18"/>
    </row>
    <row r="311" ht="15.75" customHeight="1">
      <c r="A311" s="8">
        <v>80102.0</v>
      </c>
      <c r="B311" s="8">
        <v>810.0</v>
      </c>
      <c r="C311" s="8">
        <v>358.22223088145256</v>
      </c>
      <c r="D311" s="8">
        <v>1273.0</v>
      </c>
      <c r="E311" s="9">
        <f t="shared" si="1"/>
        <v>0.6362922231</v>
      </c>
      <c r="F311" s="10">
        <f t="shared" si="2"/>
        <v>0.4422496678</v>
      </c>
      <c r="G311" s="10">
        <f t="shared" si="3"/>
        <v>0.2814000243</v>
      </c>
      <c r="H311" s="8">
        <v>2196.0</v>
      </c>
      <c r="I311" s="8">
        <v>928.1111353635788</v>
      </c>
      <c r="J311" s="8">
        <v>3919.0</v>
      </c>
      <c r="K311" s="11">
        <f t="shared" si="4"/>
        <v>0.5603470273</v>
      </c>
      <c r="L311" s="12">
        <f t="shared" si="5"/>
        <v>0.422637129</v>
      </c>
      <c r="M311" s="12">
        <f t="shared" si="6"/>
        <v>0.2368234589</v>
      </c>
      <c r="N311" s="9">
        <f t="shared" si="7"/>
        <v>0.8415900443</v>
      </c>
      <c r="P311" s="16"/>
      <c r="T311" s="18"/>
      <c r="U311" s="18"/>
      <c r="V311" s="18"/>
      <c r="W311" s="18"/>
    </row>
    <row r="312" ht="15.75" customHeight="1">
      <c r="A312" s="8">
        <v>80201.0</v>
      </c>
      <c r="B312" s="8">
        <v>4440.0</v>
      </c>
      <c r="C312" s="8">
        <v>2042.4445002675056</v>
      </c>
      <c r="D312" s="8">
        <v>6831.0</v>
      </c>
      <c r="E312" s="9">
        <f t="shared" si="1"/>
        <v>0.6499780413</v>
      </c>
      <c r="F312" s="10">
        <f t="shared" si="2"/>
        <v>0.4600100226</v>
      </c>
      <c r="G312" s="10">
        <f t="shared" si="3"/>
        <v>0.2989964134</v>
      </c>
      <c r="H312" s="8">
        <v>53345.0</v>
      </c>
      <c r="I312" s="8">
        <v>23253.778370797634</v>
      </c>
      <c r="J312" s="8">
        <v>78857.0</v>
      </c>
      <c r="K312" s="11">
        <f t="shared" si="4"/>
        <v>0.6764776748</v>
      </c>
      <c r="L312" s="12">
        <f t="shared" si="5"/>
        <v>0.4359129885</v>
      </c>
      <c r="M312" s="12">
        <f t="shared" si="6"/>
        <v>0.2948854049</v>
      </c>
      <c r="N312" s="9">
        <f t="shared" si="7"/>
        <v>0.9862506425</v>
      </c>
      <c r="P312" s="16"/>
      <c r="T312" s="18"/>
      <c r="U312" s="18"/>
      <c r="V312" s="18"/>
      <c r="W312" s="18"/>
    </row>
    <row r="313" ht="15.75" customHeight="1">
      <c r="A313" s="8">
        <v>80202.0</v>
      </c>
      <c r="B313" s="8">
        <v>1576.0</v>
      </c>
      <c r="C313" s="8">
        <v>704.2222405970097</v>
      </c>
      <c r="D313" s="8">
        <v>3884.0</v>
      </c>
      <c r="E313" s="9">
        <f t="shared" si="1"/>
        <v>0.4057672503</v>
      </c>
      <c r="F313" s="10">
        <f t="shared" si="2"/>
        <v>0.4468415232</v>
      </c>
      <c r="G313" s="10">
        <f t="shared" si="3"/>
        <v>0.1813136562</v>
      </c>
      <c r="H313" s="8">
        <v>13312.0</v>
      </c>
      <c r="I313" s="8">
        <v>5470.777916878462</v>
      </c>
      <c r="J313" s="8">
        <v>35442.0</v>
      </c>
      <c r="K313" s="11">
        <f t="shared" si="4"/>
        <v>0.3755995711</v>
      </c>
      <c r="L313" s="12">
        <f t="shared" si="5"/>
        <v>0.4109658892</v>
      </c>
      <c r="M313" s="12">
        <f t="shared" si="6"/>
        <v>0.1543586117</v>
      </c>
      <c r="N313" s="9">
        <f t="shared" si="7"/>
        <v>0.8513347256</v>
      </c>
      <c r="P313" s="16"/>
      <c r="T313" s="18"/>
      <c r="U313" s="18"/>
      <c r="V313" s="18"/>
      <c r="W313" s="18"/>
    </row>
    <row r="314" ht="15.75" customHeight="1">
      <c r="A314" s="8">
        <v>80301.0</v>
      </c>
      <c r="B314" s="8">
        <v>722.0</v>
      </c>
      <c r="C314" s="8">
        <v>333.66667637228966</v>
      </c>
      <c r="D314" s="8">
        <v>1103.0</v>
      </c>
      <c r="E314" s="9">
        <f t="shared" si="1"/>
        <v>0.6545784225</v>
      </c>
      <c r="F314" s="10">
        <f t="shared" si="2"/>
        <v>0.462142211</v>
      </c>
      <c r="G314" s="10">
        <f t="shared" si="3"/>
        <v>0.3025083195</v>
      </c>
      <c r="H314" s="8">
        <v>7454.0</v>
      </c>
      <c r="I314" s="8">
        <v>3285.777863740921</v>
      </c>
      <c r="J314" s="8">
        <v>11511.0</v>
      </c>
      <c r="K314" s="11">
        <f t="shared" si="4"/>
        <v>0.6475545131</v>
      </c>
      <c r="L314" s="12">
        <f t="shared" si="5"/>
        <v>0.4408073335</v>
      </c>
      <c r="M314" s="12">
        <f t="shared" si="6"/>
        <v>0.2854467782</v>
      </c>
      <c r="N314" s="9">
        <f t="shared" si="7"/>
        <v>0.9435997618</v>
      </c>
      <c r="P314" s="16"/>
      <c r="T314" s="18"/>
      <c r="U314" s="18"/>
      <c r="V314" s="18"/>
      <c r="W314" s="18"/>
    </row>
    <row r="315" ht="15.75" customHeight="1">
      <c r="A315" s="8">
        <v>80302.0</v>
      </c>
      <c r="B315" s="8">
        <v>2186.0</v>
      </c>
      <c r="C315" s="8">
        <v>1068.444470912218</v>
      </c>
      <c r="D315" s="8">
        <v>4016.0</v>
      </c>
      <c r="E315" s="9">
        <f t="shared" si="1"/>
        <v>0.5443227092</v>
      </c>
      <c r="F315" s="10">
        <f t="shared" si="2"/>
        <v>0.4887669126</v>
      </c>
      <c r="G315" s="10">
        <f t="shared" si="3"/>
        <v>0.26604693</v>
      </c>
      <c r="H315" s="8">
        <v>22041.0</v>
      </c>
      <c r="I315" s="8">
        <v>11912.444736152887</v>
      </c>
      <c r="J315" s="8">
        <v>35454.0</v>
      </c>
      <c r="K315" s="11">
        <f t="shared" si="4"/>
        <v>0.6216787951</v>
      </c>
      <c r="L315" s="12">
        <f t="shared" si="5"/>
        <v>0.5404675258</v>
      </c>
      <c r="M315" s="12">
        <f t="shared" si="6"/>
        <v>0.3359972002</v>
      </c>
      <c r="N315" s="9">
        <f t="shared" si="7"/>
        <v>1.262924553</v>
      </c>
      <c r="P315" s="16"/>
      <c r="T315" s="18"/>
      <c r="U315" s="18"/>
      <c r="V315" s="18"/>
      <c r="W315" s="18"/>
    </row>
    <row r="316" ht="15.75" customHeight="1">
      <c r="A316" s="8">
        <v>80303.0</v>
      </c>
      <c r="B316" s="8">
        <v>704.0</v>
      </c>
      <c r="C316" s="8">
        <v>313.1111196875572</v>
      </c>
      <c r="D316" s="8">
        <v>1199.0</v>
      </c>
      <c r="E316" s="9">
        <f t="shared" si="1"/>
        <v>0.5871559633</v>
      </c>
      <c r="F316" s="10">
        <f t="shared" si="2"/>
        <v>0.4447601132</v>
      </c>
      <c r="G316" s="10">
        <f t="shared" si="3"/>
        <v>0.2611435527</v>
      </c>
      <c r="H316" s="8">
        <v>3576.0</v>
      </c>
      <c r="I316" s="8">
        <v>1523.0000378787518</v>
      </c>
      <c r="J316" s="8">
        <v>7971.0</v>
      </c>
      <c r="K316" s="11">
        <f t="shared" si="4"/>
        <v>0.4486262702</v>
      </c>
      <c r="L316" s="12">
        <f t="shared" si="5"/>
        <v>0.4258948652</v>
      </c>
      <c r="M316" s="12">
        <f t="shared" si="6"/>
        <v>0.1910676249</v>
      </c>
      <c r="N316" s="9">
        <f t="shared" si="7"/>
        <v>0.7316574463</v>
      </c>
      <c r="P316" s="16"/>
      <c r="T316" s="18"/>
      <c r="U316" s="18"/>
      <c r="V316" s="18"/>
      <c r="W316" s="18"/>
    </row>
    <row r="317" ht="15.75" customHeight="1">
      <c r="A317" s="8">
        <v>80304.0</v>
      </c>
      <c r="B317" s="8">
        <v>876.0</v>
      </c>
      <c r="C317" s="8">
        <v>390.11112105846405</v>
      </c>
      <c r="D317" s="8">
        <v>2505.0</v>
      </c>
      <c r="E317" s="9">
        <f t="shared" si="1"/>
        <v>0.3497005988</v>
      </c>
      <c r="F317" s="10">
        <f t="shared" si="2"/>
        <v>0.44533233</v>
      </c>
      <c r="G317" s="10">
        <f t="shared" si="3"/>
        <v>0.1557329825</v>
      </c>
      <c r="H317" s="8">
        <v>5619.0</v>
      </c>
      <c r="I317" s="8">
        <v>2632.3334000706673</v>
      </c>
      <c r="J317" s="8">
        <v>15488.0</v>
      </c>
      <c r="K317" s="11">
        <f t="shared" si="4"/>
        <v>0.3627970041</v>
      </c>
      <c r="L317" s="12">
        <f t="shared" si="5"/>
        <v>0.4684700837</v>
      </c>
      <c r="M317" s="12">
        <f t="shared" si="6"/>
        <v>0.1699595429</v>
      </c>
      <c r="N317" s="9">
        <f t="shared" si="7"/>
        <v>1.091352263</v>
      </c>
      <c r="P317" s="16"/>
      <c r="T317" s="18"/>
      <c r="U317" s="18"/>
      <c r="V317" s="18"/>
      <c r="W317" s="18"/>
    </row>
    <row r="318" ht="15.75" customHeight="1">
      <c r="A318" s="8">
        <v>80401.0</v>
      </c>
      <c r="B318" s="8">
        <v>756.0</v>
      </c>
      <c r="C318" s="8">
        <v>328.77778685092926</v>
      </c>
      <c r="D318" s="8">
        <v>1505.0</v>
      </c>
      <c r="E318" s="9">
        <f t="shared" si="1"/>
        <v>0.5023255814</v>
      </c>
      <c r="F318" s="10">
        <f t="shared" si="2"/>
        <v>0.4348912524</v>
      </c>
      <c r="G318" s="10">
        <f t="shared" si="3"/>
        <v>0.2184570012</v>
      </c>
      <c r="H318" s="8">
        <v>6044.0</v>
      </c>
      <c r="I318" s="8">
        <v>2730.000067561865</v>
      </c>
      <c r="J318" s="8">
        <v>14919.0</v>
      </c>
      <c r="K318" s="11">
        <f t="shared" si="4"/>
        <v>0.4051209867</v>
      </c>
      <c r="L318" s="12">
        <f t="shared" si="5"/>
        <v>0.4516876353</v>
      </c>
      <c r="M318" s="12">
        <f t="shared" si="6"/>
        <v>0.1829881405</v>
      </c>
      <c r="N318" s="9">
        <f t="shared" si="7"/>
        <v>0.8376391667</v>
      </c>
      <c r="P318" s="16"/>
      <c r="T318" s="18"/>
      <c r="U318" s="18"/>
      <c r="V318" s="18"/>
      <c r="W318" s="18"/>
    </row>
    <row r="319" ht="15.75" customHeight="1">
      <c r="A319" s="8">
        <v>80402.0</v>
      </c>
      <c r="B319" s="8">
        <v>622.0</v>
      </c>
      <c r="C319" s="8">
        <v>291.5555631518364</v>
      </c>
      <c r="D319" s="8">
        <v>918.0</v>
      </c>
      <c r="E319" s="9">
        <f t="shared" si="1"/>
        <v>0.6775599129</v>
      </c>
      <c r="F319" s="10">
        <f t="shared" si="2"/>
        <v>0.4687388475</v>
      </c>
      <c r="G319" s="10">
        <f t="shared" si="3"/>
        <v>0.3175986527</v>
      </c>
      <c r="H319" s="8">
        <v>3706.0</v>
      </c>
      <c r="I319" s="8">
        <v>1794.4444916248322</v>
      </c>
      <c r="J319" s="8">
        <v>5044.0</v>
      </c>
      <c r="K319" s="11">
        <f t="shared" si="4"/>
        <v>0.7347343378</v>
      </c>
      <c r="L319" s="12">
        <f t="shared" si="5"/>
        <v>0.4841998089</v>
      </c>
      <c r="M319" s="12">
        <f t="shared" si="6"/>
        <v>0.3557582259</v>
      </c>
      <c r="N319" s="9">
        <f t="shared" si="7"/>
        <v>1.1201503</v>
      </c>
      <c r="P319" s="16"/>
      <c r="T319" s="18"/>
      <c r="U319" s="18"/>
      <c r="V319" s="18"/>
      <c r="W319" s="18"/>
    </row>
    <row r="320" ht="15.75" customHeight="1">
      <c r="A320" s="8">
        <v>80501.0</v>
      </c>
      <c r="B320" s="8">
        <v>2018.0</v>
      </c>
      <c r="C320" s="8">
        <v>938.7778022289276</v>
      </c>
      <c r="D320" s="8">
        <v>3140.0</v>
      </c>
      <c r="E320" s="9">
        <f t="shared" si="1"/>
        <v>0.6426751592</v>
      </c>
      <c r="F320" s="10">
        <f t="shared" si="2"/>
        <v>0.4652020824</v>
      </c>
      <c r="G320" s="10">
        <f t="shared" si="3"/>
        <v>0.2989738224</v>
      </c>
      <c r="H320" s="8">
        <v>10517.0</v>
      </c>
      <c r="I320" s="8">
        <v>4931.111237794161</v>
      </c>
      <c r="J320" s="8">
        <v>15410.0</v>
      </c>
      <c r="K320" s="11">
        <f t="shared" si="4"/>
        <v>0.6824789098</v>
      </c>
      <c r="L320" s="12">
        <f t="shared" si="5"/>
        <v>0.468870518</v>
      </c>
      <c r="M320" s="12">
        <f t="shared" si="6"/>
        <v>0.31999424</v>
      </c>
      <c r="N320" s="9">
        <f t="shared" si="7"/>
        <v>1.070308556</v>
      </c>
      <c r="P320" s="16"/>
      <c r="T320" s="18"/>
      <c r="U320" s="18"/>
      <c r="V320" s="18"/>
      <c r="W320" s="18"/>
    </row>
    <row r="321" ht="15.75" customHeight="1">
      <c r="A321" s="8">
        <v>80601.0</v>
      </c>
      <c r="B321" s="8">
        <v>189.0</v>
      </c>
      <c r="C321" s="8">
        <v>89.22222477197647</v>
      </c>
      <c r="D321" s="8">
        <v>291.0</v>
      </c>
      <c r="E321" s="9">
        <f t="shared" si="1"/>
        <v>0.6494845361</v>
      </c>
      <c r="F321" s="10">
        <f t="shared" si="2"/>
        <v>0.4720752633</v>
      </c>
      <c r="G321" s="10">
        <f t="shared" si="3"/>
        <v>0.3066055834</v>
      </c>
      <c r="H321" s="8">
        <v>2272.0</v>
      </c>
      <c r="I321" s="8">
        <v>1109.7778061032295</v>
      </c>
      <c r="J321" s="8">
        <v>3390.0</v>
      </c>
      <c r="K321" s="11">
        <f t="shared" si="4"/>
        <v>0.6702064897</v>
      </c>
      <c r="L321" s="12">
        <f t="shared" si="5"/>
        <v>0.4884585414</v>
      </c>
      <c r="M321" s="12">
        <f t="shared" si="6"/>
        <v>0.3273680844</v>
      </c>
      <c r="N321" s="9">
        <f t="shared" si="7"/>
        <v>1.067717296</v>
      </c>
      <c r="P321" s="16"/>
      <c r="T321" s="18"/>
      <c r="U321" s="18"/>
      <c r="V321" s="18"/>
      <c r="W321" s="18"/>
    </row>
    <row r="322" ht="15.75" customHeight="1">
      <c r="A322" s="8">
        <v>80602.0</v>
      </c>
      <c r="B322" s="8">
        <v>1201.0</v>
      </c>
      <c r="C322" s="8">
        <v>514.1111238598824</v>
      </c>
      <c r="D322" s="8">
        <v>2061.0</v>
      </c>
      <c r="E322" s="9">
        <f t="shared" si="1"/>
        <v>0.5827268316</v>
      </c>
      <c r="F322" s="10">
        <f t="shared" si="2"/>
        <v>0.4280692122</v>
      </c>
      <c r="G322" s="10">
        <f t="shared" si="3"/>
        <v>0.2494474157</v>
      </c>
      <c r="H322" s="8">
        <v>4892.0</v>
      </c>
      <c r="I322" s="8">
        <v>2139.333387762308</v>
      </c>
      <c r="J322" s="8">
        <v>9622.0</v>
      </c>
      <c r="K322" s="11">
        <f t="shared" si="4"/>
        <v>0.5084182083</v>
      </c>
      <c r="L322" s="12">
        <f t="shared" si="5"/>
        <v>0.4373126304</v>
      </c>
      <c r="M322" s="12">
        <f t="shared" si="6"/>
        <v>0.222337704</v>
      </c>
      <c r="N322" s="9">
        <f t="shared" si="7"/>
        <v>0.8913209356</v>
      </c>
      <c r="P322" s="16"/>
      <c r="T322" s="18"/>
      <c r="U322" s="18"/>
      <c r="V322" s="18"/>
      <c r="W322" s="18"/>
    </row>
    <row r="323" ht="15.75" customHeight="1">
      <c r="A323" s="8">
        <v>80701.0</v>
      </c>
      <c r="B323" s="8">
        <v>494.0</v>
      </c>
      <c r="C323" s="8">
        <v>223.222227871418</v>
      </c>
      <c r="D323" s="8">
        <v>848.0</v>
      </c>
      <c r="E323" s="9">
        <f t="shared" si="1"/>
        <v>0.5825471698</v>
      </c>
      <c r="F323" s="10">
        <f t="shared" si="2"/>
        <v>0.451866858</v>
      </c>
      <c r="G323" s="10">
        <f t="shared" si="3"/>
        <v>0.2632337593</v>
      </c>
      <c r="H323" s="8">
        <v>2969.0</v>
      </c>
      <c r="I323" s="8">
        <v>1241.8889198303223</v>
      </c>
      <c r="J323" s="8">
        <v>5581.0</v>
      </c>
      <c r="K323" s="11">
        <f t="shared" si="4"/>
        <v>0.5319835155</v>
      </c>
      <c r="L323" s="12">
        <f t="shared" si="5"/>
        <v>0.4182852542</v>
      </c>
      <c r="M323" s="12">
        <f t="shared" si="6"/>
        <v>0.22252086</v>
      </c>
      <c r="N323" s="9">
        <f t="shared" si="7"/>
        <v>0.8453355703</v>
      </c>
      <c r="P323" s="16"/>
      <c r="T323" s="18"/>
      <c r="U323" s="18"/>
      <c r="V323" s="18"/>
      <c r="W323" s="18"/>
    </row>
    <row r="324" ht="15.75" customHeight="1">
      <c r="A324" s="8">
        <v>80702.0</v>
      </c>
      <c r="B324" s="8">
        <v>324.0</v>
      </c>
      <c r="C324" s="8">
        <v>136.77778127789497</v>
      </c>
      <c r="D324" s="8">
        <v>670.0</v>
      </c>
      <c r="E324" s="9">
        <f t="shared" si="1"/>
        <v>0.4835820896</v>
      </c>
      <c r="F324" s="10">
        <f t="shared" si="2"/>
        <v>0.4221536459</v>
      </c>
      <c r="G324" s="10">
        <f t="shared" si="3"/>
        <v>0.2041459422</v>
      </c>
      <c r="H324" s="8">
        <v>1817.0</v>
      </c>
      <c r="I324" s="8">
        <v>773.4444639086723</v>
      </c>
      <c r="J324" s="8">
        <v>3986.0</v>
      </c>
      <c r="K324" s="11">
        <f t="shared" si="4"/>
        <v>0.4558454591</v>
      </c>
      <c r="L324" s="12">
        <f t="shared" si="5"/>
        <v>0.4256711414</v>
      </c>
      <c r="M324" s="12">
        <f t="shared" si="6"/>
        <v>0.1940402569</v>
      </c>
      <c r="N324" s="9">
        <f t="shared" si="7"/>
        <v>0.9504977409</v>
      </c>
      <c r="P324" s="16"/>
      <c r="T324" s="18"/>
      <c r="U324" s="18"/>
      <c r="V324" s="18"/>
      <c r="W324" s="18"/>
    </row>
    <row r="325" ht="15.75" customHeight="1">
      <c r="A325" s="8">
        <v>80703.0</v>
      </c>
      <c r="B325" s="8">
        <v>107.0</v>
      </c>
      <c r="C325" s="8">
        <v>48.22222363948822</v>
      </c>
      <c r="D325" s="8">
        <v>203.0</v>
      </c>
      <c r="E325" s="9">
        <f t="shared" si="1"/>
        <v>0.5270935961</v>
      </c>
      <c r="F325" s="10">
        <f t="shared" si="2"/>
        <v>0.4506749873</v>
      </c>
      <c r="G325" s="10">
        <f t="shared" si="3"/>
        <v>0.2375478997</v>
      </c>
      <c r="H325" s="8">
        <v>296.0</v>
      </c>
      <c r="I325" s="8">
        <v>126.88889217376709</v>
      </c>
      <c r="J325" s="8">
        <v>617.0</v>
      </c>
      <c r="K325" s="11">
        <f t="shared" si="4"/>
        <v>0.4797406807</v>
      </c>
      <c r="L325" s="12">
        <f t="shared" si="5"/>
        <v>0.4286786898</v>
      </c>
      <c r="M325" s="12">
        <f t="shared" si="6"/>
        <v>0.2056546064</v>
      </c>
      <c r="N325" s="9">
        <f t="shared" si="7"/>
        <v>0.8657395275</v>
      </c>
      <c r="P325" s="16"/>
      <c r="T325" s="18"/>
      <c r="U325" s="18"/>
      <c r="V325" s="18"/>
      <c r="W325" s="18"/>
    </row>
    <row r="326" ht="15.75" customHeight="1">
      <c r="A326" s="8">
        <v>80801.0</v>
      </c>
      <c r="B326" s="8">
        <v>640.0</v>
      </c>
      <c r="C326" s="8">
        <v>290.1111182272434</v>
      </c>
      <c r="D326" s="8">
        <v>1107.0</v>
      </c>
      <c r="E326" s="9">
        <f t="shared" si="1"/>
        <v>0.5781391147</v>
      </c>
      <c r="F326" s="10">
        <f t="shared" si="2"/>
        <v>0.4532986222</v>
      </c>
      <c r="G326" s="10">
        <f t="shared" si="3"/>
        <v>0.2620696642</v>
      </c>
      <c r="H326" s="8">
        <v>5699.0</v>
      </c>
      <c r="I326" s="8">
        <v>2440.1111717522144</v>
      </c>
      <c r="J326" s="8">
        <v>9732.0</v>
      </c>
      <c r="K326" s="11">
        <f t="shared" si="4"/>
        <v>0.585593917</v>
      </c>
      <c r="L326" s="12">
        <f t="shared" si="5"/>
        <v>0.4281647959</v>
      </c>
      <c r="M326" s="12">
        <f t="shared" si="6"/>
        <v>0.2507306999</v>
      </c>
      <c r="N326" s="9">
        <f t="shared" si="7"/>
        <v>0.956733015</v>
      </c>
      <c r="P326" s="16"/>
      <c r="T326" s="18"/>
      <c r="U326" s="18"/>
      <c r="V326" s="18"/>
      <c r="W326" s="18"/>
    </row>
    <row r="327" ht="15.75" customHeight="1">
      <c r="A327" s="8">
        <v>80802.0</v>
      </c>
      <c r="B327" s="8">
        <v>544.0</v>
      </c>
      <c r="C327" s="8">
        <v>233.44445064663887</v>
      </c>
      <c r="D327" s="8">
        <v>839.0</v>
      </c>
      <c r="E327" s="9">
        <f t="shared" si="1"/>
        <v>0.6483909416</v>
      </c>
      <c r="F327" s="10">
        <f t="shared" si="2"/>
        <v>0.4291258284</v>
      </c>
      <c r="G327" s="10">
        <f t="shared" si="3"/>
        <v>0.2782412999</v>
      </c>
      <c r="H327" s="8">
        <v>2130.0</v>
      </c>
      <c r="I327" s="8">
        <v>882.5555759966373</v>
      </c>
      <c r="J327" s="8">
        <v>4564.0</v>
      </c>
      <c r="K327" s="11">
        <f t="shared" si="4"/>
        <v>0.4666958808</v>
      </c>
      <c r="L327" s="12">
        <f t="shared" si="5"/>
        <v>0.4143453408</v>
      </c>
      <c r="M327" s="12">
        <f t="shared" si="6"/>
        <v>0.1933732638</v>
      </c>
      <c r="N327" s="9">
        <f t="shared" si="7"/>
        <v>0.6949840439</v>
      </c>
      <c r="P327" s="16"/>
      <c r="T327" s="18"/>
      <c r="U327" s="18"/>
      <c r="V327" s="18"/>
      <c r="W327" s="18"/>
    </row>
    <row r="328" ht="15.75" customHeight="1">
      <c r="A328" s="8">
        <v>80803.0</v>
      </c>
      <c r="B328" s="8">
        <v>213.0</v>
      </c>
      <c r="C328" s="8">
        <v>99.5555582344532</v>
      </c>
      <c r="D328" s="8">
        <v>391.0</v>
      </c>
      <c r="E328" s="9">
        <f t="shared" si="1"/>
        <v>0.5447570332</v>
      </c>
      <c r="F328" s="10">
        <f t="shared" si="2"/>
        <v>0.467396987</v>
      </c>
      <c r="G328" s="10">
        <f t="shared" si="3"/>
        <v>0.254617796</v>
      </c>
      <c r="H328" s="8">
        <v>1859.0</v>
      </c>
      <c r="I328" s="8">
        <v>803.2222435474396</v>
      </c>
      <c r="J328" s="8">
        <v>3558.0</v>
      </c>
      <c r="K328" s="11">
        <f t="shared" si="4"/>
        <v>0.5224845419</v>
      </c>
      <c r="L328" s="12">
        <f t="shared" si="5"/>
        <v>0.4320722128</v>
      </c>
      <c r="M328" s="12">
        <f t="shared" si="6"/>
        <v>0.2257510521</v>
      </c>
      <c r="N328" s="9">
        <f t="shared" si="7"/>
        <v>0.8866271553</v>
      </c>
      <c r="P328" s="16"/>
      <c r="T328" s="18"/>
      <c r="U328" s="18"/>
      <c r="V328" s="18"/>
      <c r="W328" s="18"/>
    </row>
    <row r="329" ht="15.75" customHeight="1">
      <c r="A329" s="20">
        <v>80901.0</v>
      </c>
      <c r="B329" s="8">
        <v>362.0</v>
      </c>
      <c r="C329" s="8">
        <v>193.44444927573204</v>
      </c>
      <c r="D329" s="8">
        <v>440.0</v>
      </c>
      <c r="E329" s="9">
        <f t="shared" si="1"/>
        <v>0.8227272727</v>
      </c>
      <c r="F329" s="10">
        <f t="shared" si="2"/>
        <v>0.5343769317</v>
      </c>
      <c r="G329" s="10">
        <f t="shared" si="3"/>
        <v>0.4396464756</v>
      </c>
      <c r="H329" s="8">
        <v>2414.0</v>
      </c>
      <c r="I329" s="8">
        <v>1253.666698127985</v>
      </c>
      <c r="J329" s="8">
        <v>2700.0</v>
      </c>
      <c r="K329" s="11">
        <f t="shared" si="4"/>
        <v>0.8940740741</v>
      </c>
      <c r="L329" s="12">
        <f t="shared" si="5"/>
        <v>0.5193316894</v>
      </c>
      <c r="M329" s="12">
        <f t="shared" si="6"/>
        <v>0.4643209993</v>
      </c>
      <c r="N329" s="9">
        <f t="shared" si="7"/>
        <v>1.056123556</v>
      </c>
      <c r="P329" s="16"/>
      <c r="T329" s="18"/>
      <c r="U329" s="18"/>
      <c r="V329" s="18"/>
      <c r="W329" s="18"/>
    </row>
    <row r="330" ht="15.75" customHeight="1">
      <c r="A330" s="8">
        <v>90101.0</v>
      </c>
      <c r="B330" s="8">
        <v>2003.0</v>
      </c>
      <c r="C330" s="8">
        <v>837.8889094293118</v>
      </c>
      <c r="D330" s="8">
        <v>7756.0</v>
      </c>
      <c r="E330" s="9">
        <f t="shared" si="1"/>
        <v>0.2582516761</v>
      </c>
      <c r="F330" s="10">
        <f t="shared" si="2"/>
        <v>0.4183169792</v>
      </c>
      <c r="G330" s="10">
        <f t="shared" si="3"/>
        <v>0.108031061</v>
      </c>
      <c r="H330" s="8">
        <v>9658.0</v>
      </c>
      <c r="I330" s="8">
        <v>3998.00009983778</v>
      </c>
      <c r="J330" s="8">
        <v>35045.0</v>
      </c>
      <c r="K330" s="11">
        <f t="shared" si="4"/>
        <v>0.275588529</v>
      </c>
      <c r="L330" s="12">
        <f t="shared" si="5"/>
        <v>0.4139573514</v>
      </c>
      <c r="M330" s="12">
        <f t="shared" si="6"/>
        <v>0.1140818976</v>
      </c>
      <c r="N330" s="9">
        <f t="shared" si="7"/>
        <v>1.056010155</v>
      </c>
      <c r="P330" s="16"/>
      <c r="T330" s="18"/>
      <c r="U330" s="18"/>
      <c r="V330" s="18"/>
      <c r="W330" s="18"/>
    </row>
    <row r="331" ht="15.75" customHeight="1">
      <c r="A331" s="8">
        <v>90102.0</v>
      </c>
      <c r="B331" s="8">
        <v>197.0</v>
      </c>
      <c r="C331" s="8">
        <v>83.44444677233696</v>
      </c>
      <c r="D331" s="8">
        <v>505.0</v>
      </c>
      <c r="E331" s="9">
        <f t="shared" si="1"/>
        <v>0.3900990099</v>
      </c>
      <c r="F331" s="10">
        <f t="shared" si="2"/>
        <v>0.4235758719</v>
      </c>
      <c r="G331" s="10">
        <f t="shared" si="3"/>
        <v>0.1652365283</v>
      </c>
      <c r="H331" s="8">
        <v>2784.0</v>
      </c>
      <c r="I331" s="8">
        <v>1187.4444737434387</v>
      </c>
      <c r="J331" s="8">
        <v>7105.0</v>
      </c>
      <c r="K331" s="11">
        <f t="shared" si="4"/>
        <v>0.3918367347</v>
      </c>
      <c r="L331" s="12">
        <f t="shared" si="5"/>
        <v>0.4265245955</v>
      </c>
      <c r="M331" s="12">
        <f t="shared" si="6"/>
        <v>0.1671280047</v>
      </c>
      <c r="N331" s="9">
        <f t="shared" si="7"/>
        <v>1.011447084</v>
      </c>
      <c r="P331" s="16"/>
      <c r="T331" s="18"/>
      <c r="U331" s="18"/>
      <c r="V331" s="18"/>
      <c r="W331" s="18"/>
    </row>
    <row r="332" ht="15.75" customHeight="1">
      <c r="A332" s="8">
        <v>90103.0</v>
      </c>
      <c r="B332" s="8">
        <v>190.0</v>
      </c>
      <c r="C332" s="8">
        <v>91.55555766820908</v>
      </c>
      <c r="D332" s="8">
        <v>230.0</v>
      </c>
      <c r="E332" s="9">
        <f t="shared" si="1"/>
        <v>0.8260869565</v>
      </c>
      <c r="F332" s="10">
        <f t="shared" si="2"/>
        <v>0.4818713561</v>
      </c>
      <c r="G332" s="10">
        <f t="shared" si="3"/>
        <v>0.398067642</v>
      </c>
      <c r="H332" s="8">
        <v>1347.0</v>
      </c>
      <c r="I332" s="8">
        <v>637.444461286068</v>
      </c>
      <c r="J332" s="8">
        <v>1779.0</v>
      </c>
      <c r="K332" s="11">
        <f t="shared" si="4"/>
        <v>0.7571669477</v>
      </c>
      <c r="L332" s="12">
        <f t="shared" si="5"/>
        <v>0.4732327107</v>
      </c>
      <c r="M332" s="12">
        <f t="shared" si="6"/>
        <v>0.3583161671</v>
      </c>
      <c r="N332" s="9">
        <f t="shared" si="7"/>
        <v>0.9001388942</v>
      </c>
      <c r="P332" s="16"/>
      <c r="T332" s="18"/>
      <c r="U332" s="18"/>
      <c r="V332" s="18"/>
      <c r="W332" s="18"/>
    </row>
    <row r="333" ht="15.75" customHeight="1">
      <c r="A333" s="8">
        <v>90104.0</v>
      </c>
      <c r="B333" s="8">
        <v>435.0</v>
      </c>
      <c r="C333" s="8">
        <v>197.33333840966225</v>
      </c>
      <c r="D333" s="8">
        <v>920.0</v>
      </c>
      <c r="E333" s="9">
        <f t="shared" si="1"/>
        <v>0.472826087</v>
      </c>
      <c r="F333" s="10">
        <f t="shared" si="2"/>
        <v>0.4536398584</v>
      </c>
      <c r="G333" s="10">
        <f t="shared" si="3"/>
        <v>0.2144927591</v>
      </c>
      <c r="H333" s="8">
        <v>1702.0</v>
      </c>
      <c r="I333" s="8">
        <v>808.000022649765</v>
      </c>
      <c r="J333" s="8">
        <v>2574.0</v>
      </c>
      <c r="K333" s="11">
        <f t="shared" si="4"/>
        <v>0.6612276612</v>
      </c>
      <c r="L333" s="12">
        <f t="shared" si="5"/>
        <v>0.4747356185</v>
      </c>
      <c r="M333" s="12">
        <f t="shared" si="6"/>
        <v>0.3139083227</v>
      </c>
      <c r="N333" s="9">
        <f t="shared" si="7"/>
        <v>1.463491467</v>
      </c>
      <c r="P333" s="16"/>
      <c r="T333" s="18"/>
      <c r="U333" s="18"/>
      <c r="V333" s="18"/>
      <c r="W333" s="18"/>
    </row>
    <row r="334" ht="15.75" customHeight="1">
      <c r="A334" s="8">
        <v>90201.0</v>
      </c>
      <c r="B334" s="8">
        <v>718.0</v>
      </c>
      <c r="C334" s="8">
        <v>315.22223007678986</v>
      </c>
      <c r="D334" s="8">
        <v>1296.0</v>
      </c>
      <c r="E334" s="9">
        <f t="shared" si="1"/>
        <v>0.5540123457</v>
      </c>
      <c r="F334" s="10">
        <f t="shared" si="2"/>
        <v>0.4390281756</v>
      </c>
      <c r="G334" s="10">
        <f t="shared" si="3"/>
        <v>0.2432270294</v>
      </c>
      <c r="H334" s="8">
        <v>2062.0</v>
      </c>
      <c r="I334" s="8">
        <v>900.1111335754395</v>
      </c>
      <c r="J334" s="8">
        <v>4275.0</v>
      </c>
      <c r="K334" s="11">
        <f t="shared" si="4"/>
        <v>0.4823391813</v>
      </c>
      <c r="L334" s="12">
        <f t="shared" si="5"/>
        <v>0.4365233432</v>
      </c>
      <c r="M334" s="12">
        <f t="shared" si="6"/>
        <v>0.2105523119</v>
      </c>
      <c r="N334" s="9">
        <f t="shared" si="7"/>
        <v>0.8656616515</v>
      </c>
      <c r="P334" s="16"/>
      <c r="T334" s="18"/>
      <c r="U334" s="18"/>
      <c r="V334" s="18"/>
      <c r="W334" s="18"/>
    </row>
    <row r="335" ht="15.75" customHeight="1">
      <c r="A335" s="8">
        <v>90202.0</v>
      </c>
      <c r="B335" s="8">
        <v>115.0</v>
      </c>
      <c r="C335" s="8">
        <v>58.00000178813934</v>
      </c>
      <c r="D335" s="8">
        <v>128.0</v>
      </c>
      <c r="E335" s="9">
        <f t="shared" si="1"/>
        <v>0.8984375</v>
      </c>
      <c r="F335" s="10">
        <f t="shared" si="2"/>
        <v>0.5043478416</v>
      </c>
      <c r="G335" s="10">
        <f t="shared" si="3"/>
        <v>0.453125014</v>
      </c>
      <c r="H335" s="8">
        <v>2631.0</v>
      </c>
      <c r="I335" s="8">
        <v>1346.5555935502052</v>
      </c>
      <c r="J335" s="8">
        <v>2841.0</v>
      </c>
      <c r="K335" s="11">
        <f t="shared" si="4"/>
        <v>0.9260823654</v>
      </c>
      <c r="L335" s="12">
        <f t="shared" si="5"/>
        <v>0.5118037224</v>
      </c>
      <c r="M335" s="12">
        <f t="shared" si="6"/>
        <v>0.4739724018</v>
      </c>
      <c r="N335" s="9">
        <f t="shared" si="7"/>
        <v>1.046008027</v>
      </c>
      <c r="P335" s="16"/>
      <c r="T335" s="18"/>
      <c r="U335" s="18"/>
      <c r="V335" s="18"/>
      <c r="W335" s="18"/>
    </row>
    <row r="336" ht="15.75" customHeight="1">
      <c r="A336" s="8">
        <v>90203.0</v>
      </c>
      <c r="B336" s="8">
        <v>837.0</v>
      </c>
      <c r="C336" s="8">
        <v>373.11112064123154</v>
      </c>
      <c r="D336" s="8">
        <v>1206.0</v>
      </c>
      <c r="E336" s="9">
        <f t="shared" si="1"/>
        <v>0.6940298507</v>
      </c>
      <c r="F336" s="10">
        <f t="shared" si="2"/>
        <v>0.4457719482</v>
      </c>
      <c r="G336" s="10">
        <f t="shared" si="3"/>
        <v>0.3093790387</v>
      </c>
      <c r="H336" s="8">
        <v>2800.0</v>
      </c>
      <c r="I336" s="8">
        <v>1254.6666986048222</v>
      </c>
      <c r="J336" s="8">
        <v>4283.0</v>
      </c>
      <c r="K336" s="11">
        <f t="shared" si="4"/>
        <v>0.6537473733</v>
      </c>
      <c r="L336" s="12">
        <f t="shared" si="5"/>
        <v>0.4480952495</v>
      </c>
      <c r="M336" s="12">
        <f t="shared" si="6"/>
        <v>0.2929410924</v>
      </c>
      <c r="N336" s="9">
        <f t="shared" si="7"/>
        <v>0.9468679379</v>
      </c>
      <c r="P336" s="16"/>
      <c r="T336" s="18"/>
      <c r="U336" s="18"/>
      <c r="V336" s="18"/>
      <c r="W336" s="18"/>
    </row>
    <row r="337" ht="15.75" customHeight="1">
      <c r="A337" s="8">
        <v>90301.0</v>
      </c>
      <c r="B337" s="8">
        <v>594.0</v>
      </c>
      <c r="C337" s="8">
        <v>274.22223034501076</v>
      </c>
      <c r="D337" s="8">
        <v>1011.0</v>
      </c>
      <c r="E337" s="9">
        <f t="shared" si="1"/>
        <v>0.587537092</v>
      </c>
      <c r="F337" s="10">
        <f t="shared" si="2"/>
        <v>0.4616535864</v>
      </c>
      <c r="G337" s="10">
        <f t="shared" si="3"/>
        <v>0.2712386057</v>
      </c>
      <c r="H337" s="8">
        <v>4583.0</v>
      </c>
      <c r="I337" s="8">
        <v>2255.888947069645</v>
      </c>
      <c r="J337" s="8">
        <v>6505.0</v>
      </c>
      <c r="K337" s="11">
        <f t="shared" si="4"/>
        <v>0.7045349731</v>
      </c>
      <c r="L337" s="12">
        <f t="shared" si="5"/>
        <v>0.4922297506</v>
      </c>
      <c r="M337" s="12">
        <f t="shared" si="6"/>
        <v>0.3467930741</v>
      </c>
      <c r="N337" s="9">
        <f t="shared" si="7"/>
        <v>1.27855352</v>
      </c>
      <c r="P337" s="16"/>
      <c r="T337" s="18"/>
      <c r="U337" s="18"/>
      <c r="V337" s="18"/>
      <c r="W337" s="18"/>
    </row>
    <row r="338" ht="15.75" customHeight="1">
      <c r="A338" s="8">
        <v>90302.0</v>
      </c>
      <c r="B338" s="8">
        <v>893.0</v>
      </c>
      <c r="C338" s="8">
        <v>424.00001123547554</v>
      </c>
      <c r="D338" s="8">
        <v>1160.0</v>
      </c>
      <c r="E338" s="9">
        <f t="shared" si="1"/>
        <v>0.7698275862</v>
      </c>
      <c r="F338" s="10">
        <f t="shared" si="2"/>
        <v>0.4748040439</v>
      </c>
      <c r="G338" s="10">
        <f t="shared" si="3"/>
        <v>0.3655172511</v>
      </c>
      <c r="H338" s="8">
        <v>4282.0</v>
      </c>
      <c r="I338" s="8">
        <v>2002.444495946169</v>
      </c>
      <c r="J338" s="8">
        <v>5887.0</v>
      </c>
      <c r="K338" s="11">
        <f t="shared" si="4"/>
        <v>0.7273653813</v>
      </c>
      <c r="L338" s="12">
        <f t="shared" si="5"/>
        <v>0.4676423391</v>
      </c>
      <c r="M338" s="12">
        <f t="shared" si="6"/>
        <v>0.3401468483</v>
      </c>
      <c r="N338" s="9">
        <f t="shared" si="7"/>
        <v>0.9305904094</v>
      </c>
      <c r="P338" s="16"/>
      <c r="T338" s="18"/>
      <c r="U338" s="18"/>
      <c r="V338" s="18"/>
      <c r="W338" s="18"/>
    </row>
    <row r="339" ht="15.75" customHeight="1">
      <c r="A339" s="8">
        <v>90303.0</v>
      </c>
      <c r="B339" s="8">
        <v>1940.0</v>
      </c>
      <c r="C339" s="8">
        <v>1037.5555846989155</v>
      </c>
      <c r="D339" s="8">
        <v>2043.0</v>
      </c>
      <c r="E339" s="9">
        <f t="shared" si="1"/>
        <v>0.9495839452</v>
      </c>
      <c r="F339" s="10">
        <f t="shared" si="2"/>
        <v>0.5348224663</v>
      </c>
      <c r="G339" s="10">
        <f t="shared" si="3"/>
        <v>0.5078588276</v>
      </c>
      <c r="H339" s="8">
        <v>5799.0</v>
      </c>
      <c r="I339" s="8">
        <v>3089.0000842511654</v>
      </c>
      <c r="J339" s="8">
        <v>6100.0</v>
      </c>
      <c r="K339" s="11">
        <f t="shared" si="4"/>
        <v>0.9506557377</v>
      </c>
      <c r="L339" s="12">
        <f t="shared" si="5"/>
        <v>0.5326780625</v>
      </c>
      <c r="M339" s="12">
        <f t="shared" si="6"/>
        <v>0.5063934564</v>
      </c>
      <c r="N339" s="9">
        <f t="shared" si="7"/>
        <v>0.9971146093</v>
      </c>
      <c r="P339" s="16"/>
      <c r="T339" s="18"/>
      <c r="U339" s="18"/>
      <c r="V339" s="18"/>
      <c r="W339" s="18"/>
    </row>
    <row r="340" ht="15.75" customHeight="1">
      <c r="A340" s="8">
        <v>90401.0</v>
      </c>
      <c r="B340" s="8">
        <v>503.0</v>
      </c>
      <c r="C340" s="8">
        <v>212.55556112527847</v>
      </c>
      <c r="D340" s="8">
        <v>993.0</v>
      </c>
      <c r="E340" s="9">
        <f t="shared" si="1"/>
        <v>0.5065458207</v>
      </c>
      <c r="F340" s="10">
        <f t="shared" si="2"/>
        <v>0.4225756682</v>
      </c>
      <c r="G340" s="10">
        <f t="shared" si="3"/>
        <v>0.2140539387</v>
      </c>
      <c r="H340" s="8">
        <v>583.0</v>
      </c>
      <c r="I340" s="8">
        <v>248.11111730337143</v>
      </c>
      <c r="J340" s="8">
        <v>1115.0</v>
      </c>
      <c r="K340" s="11">
        <f t="shared" si="4"/>
        <v>0.5228699552</v>
      </c>
      <c r="L340" s="12">
        <f t="shared" si="5"/>
        <v>0.4255765305</v>
      </c>
      <c r="M340" s="12">
        <f t="shared" si="6"/>
        <v>0.2225211814</v>
      </c>
      <c r="N340" s="9">
        <f t="shared" si="7"/>
        <v>1.039556585</v>
      </c>
      <c r="P340" s="16"/>
      <c r="T340" s="18"/>
      <c r="U340" s="18"/>
      <c r="V340" s="18"/>
      <c r="W340" s="18"/>
    </row>
    <row r="341" ht="15.75" customHeight="1">
      <c r="A341" s="8">
        <v>90402.0</v>
      </c>
      <c r="B341" s="8">
        <v>359.0</v>
      </c>
      <c r="C341" s="8">
        <v>163.22222647070885</v>
      </c>
      <c r="D341" s="8">
        <v>442.0</v>
      </c>
      <c r="E341" s="9">
        <f t="shared" si="1"/>
        <v>0.8122171946</v>
      </c>
      <c r="F341" s="10">
        <f t="shared" si="2"/>
        <v>0.4546580125</v>
      </c>
      <c r="G341" s="10">
        <f t="shared" si="3"/>
        <v>0.3692810554</v>
      </c>
      <c r="H341" s="8">
        <v>743.0</v>
      </c>
      <c r="I341" s="8">
        <v>338.77778750658035</v>
      </c>
      <c r="J341" s="8">
        <v>1162.0</v>
      </c>
      <c r="K341" s="11">
        <f t="shared" si="4"/>
        <v>0.6394148021</v>
      </c>
      <c r="L341" s="12">
        <f t="shared" si="5"/>
        <v>0.4559593372</v>
      </c>
      <c r="M341" s="12">
        <f t="shared" si="6"/>
        <v>0.2915471493</v>
      </c>
      <c r="N341" s="9">
        <f t="shared" si="7"/>
        <v>0.7894993395</v>
      </c>
      <c r="P341" s="16"/>
      <c r="T341" s="18"/>
      <c r="U341" s="18"/>
      <c r="V341" s="18"/>
      <c r="W341" s="18"/>
    </row>
    <row r="342" ht="15.75" customHeight="1">
      <c r="A342" s="8">
        <v>90501.0</v>
      </c>
      <c r="B342" s="8">
        <v>557.0</v>
      </c>
      <c r="C342" s="8">
        <v>253.0000074505806</v>
      </c>
      <c r="D342" s="8">
        <v>710.0</v>
      </c>
      <c r="E342" s="9">
        <f t="shared" si="1"/>
        <v>0.7845070423</v>
      </c>
      <c r="F342" s="10">
        <f t="shared" si="2"/>
        <v>0.4542190439</v>
      </c>
      <c r="G342" s="10">
        <f t="shared" si="3"/>
        <v>0.3563380387</v>
      </c>
      <c r="H342" s="8">
        <v>805.0</v>
      </c>
      <c r="I342" s="8">
        <v>352.1111200749874</v>
      </c>
      <c r="J342" s="8">
        <v>1031.0</v>
      </c>
      <c r="K342" s="11">
        <f t="shared" si="4"/>
        <v>0.7807953443</v>
      </c>
      <c r="L342" s="12">
        <f t="shared" si="5"/>
        <v>0.4374051181</v>
      </c>
      <c r="M342" s="12">
        <f t="shared" si="6"/>
        <v>0.3415238798</v>
      </c>
      <c r="N342" s="9">
        <f t="shared" si="7"/>
        <v>0.95842667</v>
      </c>
      <c r="P342" s="16"/>
      <c r="T342" s="18"/>
      <c r="U342" s="18"/>
      <c r="V342" s="18"/>
      <c r="W342" s="18"/>
    </row>
    <row r="343" ht="15.75" customHeight="1">
      <c r="A343" s="8">
        <v>90502.0</v>
      </c>
      <c r="B343" s="8">
        <v>498.0</v>
      </c>
      <c r="C343" s="8">
        <v>244.22222846746445</v>
      </c>
      <c r="D343" s="8">
        <v>618.0</v>
      </c>
      <c r="E343" s="9">
        <f t="shared" si="1"/>
        <v>0.8058252427</v>
      </c>
      <c r="F343" s="10">
        <f t="shared" si="2"/>
        <v>0.4904060813</v>
      </c>
      <c r="G343" s="10">
        <f t="shared" si="3"/>
        <v>0.3951815995</v>
      </c>
      <c r="H343" s="8">
        <v>1697.0</v>
      </c>
      <c r="I343" s="8">
        <v>787.3333542346954</v>
      </c>
      <c r="J343" s="8">
        <v>2160.0</v>
      </c>
      <c r="K343" s="11">
        <f t="shared" si="4"/>
        <v>0.7856481481</v>
      </c>
      <c r="L343" s="12">
        <f t="shared" si="5"/>
        <v>0.4639560131</v>
      </c>
      <c r="M343" s="12">
        <f t="shared" si="6"/>
        <v>0.3645061825</v>
      </c>
      <c r="N343" s="9">
        <f t="shared" si="7"/>
        <v>0.9223764037</v>
      </c>
      <c r="P343" s="16"/>
      <c r="T343" s="18"/>
      <c r="U343" s="18"/>
      <c r="V343" s="18"/>
      <c r="W343" s="18"/>
    </row>
    <row r="344" ht="15.75" customHeight="1">
      <c r="A344" s="8">
        <v>90503.0</v>
      </c>
      <c r="B344" s="8">
        <v>519.0</v>
      </c>
      <c r="C344" s="8">
        <v>238.11111655831337</v>
      </c>
      <c r="D344" s="8">
        <v>647.0</v>
      </c>
      <c r="E344" s="9">
        <f t="shared" si="1"/>
        <v>0.8021638331</v>
      </c>
      <c r="F344" s="10">
        <f t="shared" si="2"/>
        <v>0.4587882785</v>
      </c>
      <c r="G344" s="10">
        <f t="shared" si="3"/>
        <v>0.3680233641</v>
      </c>
      <c r="H344" s="8">
        <v>1047.0</v>
      </c>
      <c r="I344" s="8">
        <v>496.3333471417427</v>
      </c>
      <c r="J344" s="8">
        <v>1317.0</v>
      </c>
      <c r="K344" s="11">
        <f t="shared" si="4"/>
        <v>0.7949886105</v>
      </c>
      <c r="L344" s="12">
        <f t="shared" si="5"/>
        <v>0.4740528626</v>
      </c>
      <c r="M344" s="12">
        <f t="shared" si="6"/>
        <v>0.3768666265</v>
      </c>
      <c r="N344" s="9">
        <f t="shared" si="7"/>
        <v>1.024029079</v>
      </c>
      <c r="P344" s="16"/>
      <c r="T344" s="18"/>
      <c r="U344" s="18"/>
      <c r="V344" s="18"/>
      <c r="W344" s="18"/>
    </row>
    <row r="345" ht="15.75" customHeight="1">
      <c r="A345" s="8">
        <v>10.0</v>
      </c>
      <c r="B345" s="8">
        <f t="shared" ref="B345:D345" si="15">SUM(B246:B248)</f>
        <v>3674</v>
      </c>
      <c r="C345" s="8">
        <f t="shared" si="15"/>
        <v>1578.222263</v>
      </c>
      <c r="D345" s="8">
        <f t="shared" si="15"/>
        <v>15443</v>
      </c>
      <c r="E345" s="9">
        <f t="shared" si="1"/>
        <v>0.2379071424</v>
      </c>
      <c r="F345" s="10">
        <f t="shared" si="2"/>
        <v>0.4295651232</v>
      </c>
      <c r="G345" s="10">
        <f t="shared" si="3"/>
        <v>0.1021966109</v>
      </c>
      <c r="H345" s="8">
        <f t="shared" ref="H345:J345" si="16">SUM(H246:H248)</f>
        <v>22469</v>
      </c>
      <c r="I345" s="8">
        <f t="shared" si="16"/>
        <v>9319.222462</v>
      </c>
      <c r="J345" s="8">
        <f t="shared" si="16"/>
        <v>121005</v>
      </c>
      <c r="K345" s="11">
        <f t="shared" si="4"/>
        <v>0.1856865419</v>
      </c>
      <c r="L345" s="12">
        <f t="shared" si="5"/>
        <v>0.4147591109</v>
      </c>
      <c r="M345" s="12">
        <f t="shared" si="6"/>
        <v>0.07701518501</v>
      </c>
      <c r="N345" s="9">
        <f t="shared" si="7"/>
        <v>0.753598229</v>
      </c>
      <c r="P345" s="16"/>
      <c r="T345" s="18"/>
      <c r="U345" s="18"/>
      <c r="V345" s="18"/>
      <c r="W345" s="18"/>
    </row>
    <row r="346" ht="15.75" customHeight="1">
      <c r="A346" s="8">
        <v>11.0</v>
      </c>
      <c r="B346" s="8">
        <f t="shared" ref="B346:D346" si="17">SUM(B2:B344)</f>
        <v>226181</v>
      </c>
      <c r="C346" s="8">
        <f t="shared" si="17"/>
        <v>97314.00246</v>
      </c>
      <c r="D346" s="8">
        <f t="shared" si="17"/>
        <v>704971</v>
      </c>
      <c r="E346" s="9">
        <f t="shared" si="1"/>
        <v>0.320837311</v>
      </c>
      <c r="F346" s="10">
        <f t="shared" si="2"/>
        <v>0.4302483518</v>
      </c>
      <c r="G346" s="10">
        <f t="shared" si="3"/>
        <v>0.1380397243</v>
      </c>
      <c r="H346" s="8">
        <f t="shared" ref="H346:J346" si="18">SUM(H2:H344)</f>
        <v>2705586</v>
      </c>
      <c r="I346" s="8">
        <f t="shared" si="18"/>
        <v>1201105.698</v>
      </c>
      <c r="J346" s="8">
        <f t="shared" si="18"/>
        <v>8949055</v>
      </c>
      <c r="K346" s="11">
        <f t="shared" si="4"/>
        <v>0.3023320339</v>
      </c>
      <c r="L346" s="12">
        <f t="shared" si="5"/>
        <v>0.4439355088</v>
      </c>
      <c r="M346" s="12">
        <f t="shared" si="6"/>
        <v>0.1342159253</v>
      </c>
      <c r="N346" s="9">
        <f t="shared" si="7"/>
        <v>0.9722992858</v>
      </c>
      <c r="P346" s="16"/>
      <c r="T346" s="18"/>
      <c r="U346" s="18"/>
      <c r="V346" s="18"/>
      <c r="W346" s="18"/>
    </row>
    <row r="347" ht="15.75" customHeight="1">
      <c r="A347" s="14"/>
      <c r="E347" s="18"/>
      <c r="F347" s="18"/>
      <c r="G347" s="18"/>
      <c r="K347" s="12"/>
      <c r="L347" s="12"/>
      <c r="M347" s="12"/>
      <c r="N347" s="18"/>
      <c r="P347" s="16"/>
      <c r="T347" s="18"/>
      <c r="U347" s="18"/>
      <c r="V347" s="18"/>
      <c r="W347" s="18"/>
    </row>
    <row r="348" ht="15.75" customHeight="1">
      <c r="A348" s="14"/>
      <c r="E348" s="18"/>
      <c r="F348" s="18"/>
      <c r="G348" s="18"/>
      <c r="K348" s="12"/>
      <c r="L348" s="12"/>
      <c r="M348" s="12"/>
      <c r="N348" s="18"/>
      <c r="P348" s="16"/>
      <c r="T348" s="18"/>
      <c r="U348" s="18"/>
      <c r="V348" s="18"/>
      <c r="W348" s="18"/>
    </row>
    <row r="349" ht="15.75" customHeight="1">
      <c r="A349" s="14"/>
      <c r="E349" s="18"/>
      <c r="F349" s="18"/>
      <c r="G349" s="18"/>
      <c r="K349" s="12"/>
      <c r="L349" s="12"/>
      <c r="M349" s="12"/>
      <c r="N349" s="18"/>
      <c r="P349" s="16"/>
      <c r="T349" s="18"/>
      <c r="U349" s="18"/>
      <c r="V349" s="18"/>
      <c r="W349" s="18"/>
    </row>
    <row r="350" ht="15.75" customHeight="1">
      <c r="A350" s="14"/>
      <c r="E350" s="18"/>
      <c r="F350" s="18"/>
      <c r="G350" s="18"/>
      <c r="K350" s="12"/>
      <c r="L350" s="12"/>
      <c r="M350" s="12"/>
      <c r="N350" s="18"/>
      <c r="P350" s="16"/>
      <c r="T350" s="18"/>
      <c r="U350" s="18"/>
      <c r="V350" s="18"/>
      <c r="W350" s="18"/>
    </row>
    <row r="351" ht="15.75" customHeight="1">
      <c r="A351" s="14"/>
      <c r="E351" s="18"/>
      <c r="F351" s="18"/>
      <c r="G351" s="18"/>
      <c r="K351" s="12"/>
      <c r="L351" s="12"/>
      <c r="M351" s="12"/>
      <c r="N351" s="18"/>
      <c r="P351" s="16"/>
      <c r="T351" s="18"/>
      <c r="U351" s="18"/>
      <c r="V351" s="18"/>
      <c r="W351" s="18"/>
    </row>
    <row r="352" ht="15.75" customHeight="1">
      <c r="A352" s="14"/>
      <c r="E352" s="18"/>
      <c r="F352" s="18"/>
      <c r="G352" s="18"/>
      <c r="K352" s="12"/>
      <c r="L352" s="12"/>
      <c r="M352" s="12"/>
      <c r="N352" s="18"/>
      <c r="P352" s="16"/>
      <c r="T352" s="18"/>
      <c r="U352" s="18"/>
      <c r="V352" s="18"/>
      <c r="W352" s="18"/>
    </row>
    <row r="353" ht="15.75" customHeight="1">
      <c r="A353" s="14"/>
      <c r="E353" s="18"/>
      <c r="F353" s="18"/>
      <c r="G353" s="18"/>
      <c r="K353" s="12"/>
      <c r="L353" s="12"/>
      <c r="M353" s="12"/>
      <c r="N353" s="18"/>
      <c r="P353" s="16"/>
      <c r="T353" s="18"/>
      <c r="U353" s="18"/>
      <c r="V353" s="18"/>
      <c r="W353" s="18"/>
    </row>
    <row r="354" ht="15.75" customHeight="1">
      <c r="A354" s="14"/>
      <c r="E354" s="18"/>
      <c r="F354" s="18"/>
      <c r="G354" s="18"/>
      <c r="K354" s="12"/>
      <c r="L354" s="12"/>
      <c r="M354" s="12"/>
      <c r="N354" s="18"/>
      <c r="P354" s="16"/>
      <c r="T354" s="18"/>
      <c r="U354" s="18"/>
      <c r="V354" s="18"/>
      <c r="W354" s="18"/>
    </row>
    <row r="355" ht="15.75" customHeight="1">
      <c r="A355" s="14"/>
      <c r="E355" s="18"/>
      <c r="F355" s="18"/>
      <c r="G355" s="18"/>
      <c r="K355" s="12"/>
      <c r="L355" s="12"/>
      <c r="M355" s="12"/>
      <c r="N355" s="18"/>
      <c r="P355" s="16"/>
      <c r="T355" s="18"/>
      <c r="U355" s="18"/>
      <c r="V355" s="18"/>
      <c r="W355" s="18"/>
    </row>
    <row r="356" ht="15.75" customHeight="1">
      <c r="A356" s="14"/>
      <c r="E356" s="18"/>
      <c r="F356" s="18"/>
      <c r="G356" s="18"/>
      <c r="K356" s="12"/>
      <c r="L356" s="12"/>
      <c r="M356" s="12"/>
      <c r="N356" s="18"/>
      <c r="P356" s="16"/>
      <c r="T356" s="18"/>
      <c r="U356" s="18"/>
      <c r="V356" s="18"/>
      <c r="W356" s="18"/>
    </row>
    <row r="357" ht="15.75" customHeight="1">
      <c r="A357" s="14"/>
      <c r="E357" s="18"/>
      <c r="F357" s="18"/>
      <c r="G357" s="18"/>
      <c r="K357" s="12"/>
      <c r="L357" s="12"/>
      <c r="M357" s="12"/>
      <c r="N357" s="18"/>
      <c r="P357" s="16"/>
      <c r="T357" s="18"/>
      <c r="U357" s="18"/>
      <c r="V357" s="18"/>
      <c r="W357" s="18"/>
    </row>
    <row r="358" ht="15.75" customHeight="1">
      <c r="A358" s="14"/>
      <c r="E358" s="18"/>
      <c r="F358" s="18"/>
      <c r="G358" s="18"/>
      <c r="K358" s="12"/>
      <c r="L358" s="12"/>
      <c r="M358" s="12"/>
      <c r="N358" s="18"/>
      <c r="P358" s="16"/>
      <c r="T358" s="18"/>
      <c r="U358" s="18"/>
      <c r="V358" s="18"/>
      <c r="W358" s="18"/>
    </row>
    <row r="359" ht="15.75" customHeight="1">
      <c r="A359" s="14"/>
      <c r="E359" s="18"/>
      <c r="F359" s="18"/>
      <c r="G359" s="18"/>
      <c r="K359" s="12"/>
      <c r="L359" s="12"/>
      <c r="M359" s="12"/>
      <c r="N359" s="18"/>
      <c r="P359" s="16"/>
      <c r="T359" s="18"/>
      <c r="U359" s="18"/>
      <c r="V359" s="18"/>
      <c r="W359" s="18"/>
    </row>
    <row r="360" ht="15.75" customHeight="1">
      <c r="A360" s="14"/>
      <c r="E360" s="18"/>
      <c r="F360" s="18"/>
      <c r="G360" s="18"/>
      <c r="K360" s="12"/>
      <c r="L360" s="12"/>
      <c r="M360" s="12"/>
      <c r="N360" s="18"/>
      <c r="P360" s="16"/>
      <c r="T360" s="18"/>
      <c r="U360" s="18"/>
      <c r="V360" s="18"/>
      <c r="W360" s="18"/>
    </row>
    <row r="361" ht="15.75" customHeight="1">
      <c r="A361" s="14"/>
      <c r="E361" s="18"/>
      <c r="F361" s="18"/>
      <c r="G361" s="18"/>
      <c r="K361" s="12"/>
      <c r="L361" s="12"/>
      <c r="M361" s="12"/>
      <c r="N361" s="18"/>
      <c r="P361" s="16"/>
      <c r="T361" s="18"/>
      <c r="U361" s="18"/>
      <c r="V361" s="18"/>
      <c r="W361" s="18"/>
    </row>
    <row r="362" ht="15.75" customHeight="1">
      <c r="A362" s="14"/>
      <c r="E362" s="18"/>
      <c r="F362" s="18"/>
      <c r="G362" s="18"/>
      <c r="K362" s="12"/>
      <c r="L362" s="12"/>
      <c r="M362" s="12"/>
      <c r="N362" s="18"/>
      <c r="P362" s="16"/>
      <c r="T362" s="18"/>
      <c r="U362" s="18"/>
      <c r="V362" s="18"/>
      <c r="W362" s="18"/>
    </row>
    <row r="363" ht="15.75" customHeight="1">
      <c r="A363" s="14"/>
      <c r="E363" s="18"/>
      <c r="F363" s="18"/>
      <c r="G363" s="18"/>
      <c r="K363" s="12"/>
      <c r="L363" s="12"/>
      <c r="M363" s="12"/>
      <c r="N363" s="18"/>
      <c r="P363" s="16"/>
      <c r="T363" s="18"/>
      <c r="U363" s="18"/>
      <c r="V363" s="18"/>
      <c r="W363" s="18"/>
    </row>
    <row r="364" ht="15.75" customHeight="1">
      <c r="A364" s="14"/>
      <c r="E364" s="18"/>
      <c r="F364" s="18"/>
      <c r="G364" s="18"/>
      <c r="K364" s="12"/>
      <c r="L364" s="12"/>
      <c r="M364" s="12"/>
      <c r="N364" s="18"/>
      <c r="P364" s="16"/>
      <c r="T364" s="18"/>
      <c r="U364" s="18"/>
      <c r="V364" s="18"/>
      <c r="W364" s="18"/>
    </row>
    <row r="365" ht="15.75" customHeight="1">
      <c r="A365" s="14"/>
      <c r="E365" s="18"/>
      <c r="F365" s="18"/>
      <c r="G365" s="18"/>
      <c r="K365" s="12"/>
      <c r="L365" s="12"/>
      <c r="M365" s="12"/>
      <c r="N365" s="18"/>
      <c r="P365" s="16"/>
      <c r="T365" s="18"/>
      <c r="U365" s="18"/>
      <c r="V365" s="18"/>
      <c r="W365" s="18"/>
    </row>
    <row r="366" ht="15.75" customHeight="1">
      <c r="A366" s="14"/>
      <c r="E366" s="18"/>
      <c r="F366" s="18"/>
      <c r="G366" s="18"/>
      <c r="K366" s="12"/>
      <c r="L366" s="12"/>
      <c r="M366" s="12"/>
      <c r="N366" s="18"/>
      <c r="P366" s="16"/>
      <c r="T366" s="18"/>
      <c r="U366" s="18"/>
      <c r="V366" s="18"/>
      <c r="W366" s="18"/>
    </row>
    <row r="367" ht="15.75" customHeight="1">
      <c r="A367" s="14"/>
      <c r="E367" s="18"/>
      <c r="F367" s="18"/>
      <c r="G367" s="18"/>
      <c r="K367" s="12"/>
      <c r="L367" s="12"/>
      <c r="M367" s="12"/>
      <c r="N367" s="18"/>
      <c r="P367" s="16"/>
      <c r="T367" s="18"/>
      <c r="U367" s="18"/>
      <c r="V367" s="18"/>
      <c r="W367" s="18"/>
    </row>
    <row r="368" ht="15.75" customHeight="1">
      <c r="A368" s="14"/>
      <c r="E368" s="18"/>
      <c r="F368" s="18"/>
      <c r="G368" s="18"/>
      <c r="K368" s="12"/>
      <c r="L368" s="12"/>
      <c r="M368" s="12"/>
      <c r="N368" s="18"/>
      <c r="P368" s="16"/>
      <c r="T368" s="18"/>
      <c r="U368" s="18"/>
      <c r="V368" s="18"/>
      <c r="W368" s="18"/>
    </row>
    <row r="369" ht="15.75" customHeight="1">
      <c r="A369" s="14"/>
      <c r="E369" s="18"/>
      <c r="F369" s="18"/>
      <c r="G369" s="18"/>
      <c r="K369" s="12"/>
      <c r="L369" s="12"/>
      <c r="M369" s="12"/>
      <c r="N369" s="18"/>
      <c r="P369" s="16"/>
      <c r="T369" s="18"/>
      <c r="U369" s="18"/>
      <c r="V369" s="18"/>
      <c r="W369" s="18"/>
    </row>
    <row r="370" ht="15.75" customHeight="1">
      <c r="A370" s="14"/>
      <c r="E370" s="18"/>
      <c r="F370" s="18"/>
      <c r="G370" s="18"/>
      <c r="K370" s="12"/>
      <c r="L370" s="12"/>
      <c r="M370" s="12"/>
      <c r="N370" s="18"/>
      <c r="P370" s="16"/>
      <c r="T370" s="18"/>
      <c r="U370" s="18"/>
      <c r="V370" s="18"/>
      <c r="W370" s="18"/>
    </row>
    <row r="371" ht="15.75" customHeight="1">
      <c r="A371" s="14"/>
      <c r="E371" s="18"/>
      <c r="F371" s="18"/>
      <c r="G371" s="18"/>
      <c r="K371" s="12"/>
      <c r="L371" s="12"/>
      <c r="M371" s="12"/>
      <c r="N371" s="18"/>
      <c r="P371" s="16"/>
      <c r="T371" s="18"/>
      <c r="U371" s="18"/>
      <c r="V371" s="18"/>
      <c r="W371" s="18"/>
    </row>
    <row r="372" ht="15.75" customHeight="1">
      <c r="A372" s="14"/>
      <c r="E372" s="18"/>
      <c r="F372" s="18"/>
      <c r="G372" s="18"/>
      <c r="K372" s="12"/>
      <c r="L372" s="12"/>
      <c r="M372" s="12"/>
      <c r="N372" s="18"/>
      <c r="P372" s="16"/>
      <c r="T372" s="18"/>
      <c r="U372" s="18"/>
      <c r="V372" s="18"/>
      <c r="W372" s="18"/>
    </row>
    <row r="373" ht="15.75" customHeight="1">
      <c r="A373" s="14"/>
      <c r="E373" s="18"/>
      <c r="F373" s="18"/>
      <c r="G373" s="18"/>
      <c r="K373" s="12"/>
      <c r="L373" s="12"/>
      <c r="M373" s="12"/>
      <c r="N373" s="18"/>
      <c r="P373" s="16"/>
      <c r="T373" s="18"/>
      <c r="U373" s="18"/>
      <c r="V373" s="18"/>
      <c r="W373" s="18"/>
    </row>
    <row r="374" ht="15.75" customHeight="1">
      <c r="A374" s="14"/>
      <c r="E374" s="18"/>
      <c r="F374" s="18"/>
      <c r="G374" s="18"/>
      <c r="K374" s="12"/>
      <c r="L374" s="12"/>
      <c r="M374" s="12"/>
      <c r="N374" s="18"/>
      <c r="P374" s="16"/>
      <c r="T374" s="18"/>
      <c r="U374" s="18"/>
      <c r="V374" s="18"/>
      <c r="W374" s="18"/>
    </row>
    <row r="375" ht="15.75" customHeight="1">
      <c r="A375" s="14"/>
      <c r="E375" s="18"/>
      <c r="F375" s="18"/>
      <c r="G375" s="18"/>
      <c r="K375" s="12"/>
      <c r="L375" s="12"/>
      <c r="M375" s="12"/>
      <c r="N375" s="18"/>
      <c r="P375" s="16"/>
      <c r="T375" s="18"/>
      <c r="U375" s="18"/>
      <c r="V375" s="18"/>
      <c r="W375" s="18"/>
    </row>
    <row r="376" ht="15.75" customHeight="1">
      <c r="A376" s="14"/>
      <c r="E376" s="18"/>
      <c r="F376" s="18"/>
      <c r="G376" s="18"/>
      <c r="K376" s="12"/>
      <c r="L376" s="12"/>
      <c r="M376" s="12"/>
      <c r="N376" s="18"/>
      <c r="P376" s="16"/>
      <c r="T376" s="18"/>
      <c r="U376" s="18"/>
      <c r="V376" s="18"/>
      <c r="W376" s="18"/>
    </row>
    <row r="377" ht="15.75" customHeight="1">
      <c r="A377" s="14"/>
      <c r="E377" s="18"/>
      <c r="F377" s="18"/>
      <c r="G377" s="18"/>
      <c r="K377" s="12"/>
      <c r="L377" s="12"/>
      <c r="M377" s="12"/>
      <c r="N377" s="18"/>
      <c r="P377" s="16"/>
      <c r="T377" s="18"/>
      <c r="U377" s="18"/>
      <c r="V377" s="18"/>
      <c r="W377" s="18"/>
    </row>
    <row r="378" ht="15.75" customHeight="1">
      <c r="A378" s="14"/>
      <c r="E378" s="18"/>
      <c r="F378" s="18"/>
      <c r="G378" s="18"/>
      <c r="K378" s="12"/>
      <c r="L378" s="12"/>
      <c r="M378" s="12"/>
      <c r="N378" s="18"/>
      <c r="P378" s="16"/>
      <c r="T378" s="18"/>
      <c r="U378" s="18"/>
      <c r="V378" s="18"/>
      <c r="W378" s="18"/>
    </row>
    <row r="379" ht="15.75" customHeight="1">
      <c r="A379" s="14"/>
      <c r="E379" s="18"/>
      <c r="F379" s="18"/>
      <c r="G379" s="18"/>
      <c r="K379" s="12"/>
      <c r="L379" s="12"/>
      <c r="M379" s="12"/>
      <c r="N379" s="18"/>
      <c r="P379" s="16"/>
      <c r="T379" s="18"/>
      <c r="U379" s="18"/>
      <c r="V379" s="18"/>
      <c r="W379" s="18"/>
    </row>
    <row r="380" ht="15.75" customHeight="1">
      <c r="A380" s="14"/>
      <c r="E380" s="18"/>
      <c r="F380" s="18"/>
      <c r="G380" s="18"/>
      <c r="K380" s="12"/>
      <c r="L380" s="12"/>
      <c r="M380" s="12"/>
      <c r="N380" s="18"/>
      <c r="P380" s="16"/>
      <c r="T380" s="18"/>
      <c r="U380" s="18"/>
      <c r="V380" s="18"/>
      <c r="W380" s="18"/>
    </row>
    <row r="381" ht="15.75" customHeight="1">
      <c r="A381" s="14"/>
      <c r="E381" s="18"/>
      <c r="F381" s="18"/>
      <c r="G381" s="18"/>
      <c r="K381" s="12"/>
      <c r="L381" s="12"/>
      <c r="M381" s="12"/>
      <c r="N381" s="18"/>
      <c r="P381" s="16"/>
      <c r="T381" s="18"/>
      <c r="U381" s="18"/>
      <c r="V381" s="18"/>
      <c r="W381" s="18"/>
    </row>
    <row r="382" ht="15.75" customHeight="1">
      <c r="A382" s="14"/>
      <c r="E382" s="18"/>
      <c r="F382" s="18"/>
      <c r="G382" s="18"/>
      <c r="K382" s="12"/>
      <c r="L382" s="12"/>
      <c r="M382" s="12"/>
      <c r="N382" s="18"/>
      <c r="P382" s="16"/>
      <c r="T382" s="18"/>
      <c r="U382" s="18"/>
      <c r="V382" s="18"/>
      <c r="W382" s="18"/>
    </row>
    <row r="383" ht="15.75" customHeight="1">
      <c r="A383" s="14"/>
      <c r="E383" s="18"/>
      <c r="F383" s="18"/>
      <c r="G383" s="18"/>
      <c r="K383" s="12"/>
      <c r="L383" s="12"/>
      <c r="M383" s="12"/>
      <c r="N383" s="18"/>
      <c r="P383" s="16"/>
      <c r="T383" s="18"/>
      <c r="U383" s="18"/>
      <c r="V383" s="18"/>
      <c r="W383" s="18"/>
    </row>
    <row r="384" ht="15.75" customHeight="1">
      <c r="A384" s="14"/>
      <c r="E384" s="18"/>
      <c r="F384" s="18"/>
      <c r="G384" s="18"/>
      <c r="K384" s="12"/>
      <c r="L384" s="12"/>
      <c r="M384" s="12"/>
      <c r="N384" s="18"/>
      <c r="P384" s="16"/>
      <c r="T384" s="18"/>
      <c r="U384" s="18"/>
      <c r="V384" s="18"/>
      <c r="W384" s="18"/>
    </row>
    <row r="385" ht="15.75" customHeight="1">
      <c r="A385" s="14"/>
      <c r="E385" s="18"/>
      <c r="F385" s="18"/>
      <c r="G385" s="18"/>
      <c r="K385" s="12"/>
      <c r="L385" s="12"/>
      <c r="M385" s="12"/>
      <c r="N385" s="18"/>
      <c r="P385" s="16"/>
      <c r="T385" s="18"/>
      <c r="U385" s="18"/>
      <c r="V385" s="18"/>
      <c r="W385" s="18"/>
    </row>
    <row r="386" ht="15.75" customHeight="1">
      <c r="A386" s="14"/>
      <c r="E386" s="18"/>
      <c r="F386" s="18"/>
      <c r="G386" s="18"/>
      <c r="K386" s="12"/>
      <c r="L386" s="12"/>
      <c r="M386" s="12"/>
      <c r="N386" s="18"/>
      <c r="P386" s="16"/>
      <c r="T386" s="18"/>
      <c r="U386" s="18"/>
      <c r="V386" s="18"/>
      <c r="W386" s="18"/>
    </row>
    <row r="387" ht="15.75" customHeight="1">
      <c r="A387" s="14"/>
      <c r="E387" s="18"/>
      <c r="F387" s="18"/>
      <c r="G387" s="18"/>
      <c r="K387" s="12"/>
      <c r="L387" s="12"/>
      <c r="M387" s="12"/>
      <c r="N387" s="18"/>
      <c r="P387" s="16"/>
      <c r="T387" s="18"/>
      <c r="U387" s="18"/>
      <c r="V387" s="18"/>
      <c r="W387" s="18"/>
    </row>
    <row r="388" ht="15.75" customHeight="1">
      <c r="A388" s="14"/>
      <c r="E388" s="18"/>
      <c r="F388" s="18"/>
      <c r="G388" s="18"/>
      <c r="K388" s="12"/>
      <c r="L388" s="12"/>
      <c r="M388" s="12"/>
      <c r="N388" s="18"/>
      <c r="P388" s="16"/>
      <c r="T388" s="18"/>
      <c r="U388" s="18"/>
      <c r="V388" s="18"/>
      <c r="W388" s="18"/>
    </row>
    <row r="389" ht="15.75" customHeight="1">
      <c r="A389" s="14"/>
      <c r="E389" s="18"/>
      <c r="F389" s="18"/>
      <c r="G389" s="18"/>
      <c r="K389" s="12"/>
      <c r="L389" s="12"/>
      <c r="M389" s="12"/>
      <c r="N389" s="18"/>
      <c r="P389" s="16"/>
      <c r="T389" s="18"/>
      <c r="U389" s="18"/>
      <c r="V389" s="18"/>
      <c r="W389" s="18"/>
    </row>
    <row r="390" ht="15.75" customHeight="1">
      <c r="A390" s="14"/>
      <c r="E390" s="18"/>
      <c r="F390" s="18"/>
      <c r="G390" s="18"/>
      <c r="K390" s="12"/>
      <c r="L390" s="12"/>
      <c r="M390" s="12"/>
      <c r="N390" s="18"/>
      <c r="P390" s="16"/>
      <c r="T390" s="18"/>
      <c r="U390" s="18"/>
      <c r="V390" s="18"/>
      <c r="W390" s="18"/>
    </row>
    <row r="391" ht="15.75" customHeight="1">
      <c r="A391" s="14"/>
      <c r="E391" s="18"/>
      <c r="F391" s="18"/>
      <c r="G391" s="18"/>
      <c r="K391" s="12"/>
      <c r="L391" s="12"/>
      <c r="M391" s="12"/>
      <c r="N391" s="18"/>
      <c r="P391" s="16"/>
      <c r="T391" s="18"/>
      <c r="U391" s="18"/>
      <c r="V391" s="18"/>
      <c r="W391" s="18"/>
    </row>
    <row r="392" ht="15.75" customHeight="1">
      <c r="A392" s="14"/>
      <c r="E392" s="18"/>
      <c r="F392" s="18"/>
      <c r="G392" s="18"/>
      <c r="K392" s="12"/>
      <c r="L392" s="12"/>
      <c r="M392" s="12"/>
      <c r="N392" s="18"/>
      <c r="P392" s="16"/>
      <c r="T392" s="18"/>
      <c r="U392" s="18"/>
      <c r="V392" s="18"/>
      <c r="W392" s="18"/>
    </row>
    <row r="393" ht="15.75" customHeight="1">
      <c r="A393" s="14"/>
      <c r="E393" s="18"/>
      <c r="F393" s="18"/>
      <c r="G393" s="18"/>
      <c r="K393" s="12"/>
      <c r="L393" s="12"/>
      <c r="M393" s="12"/>
      <c r="N393" s="18"/>
      <c r="P393" s="16"/>
      <c r="T393" s="18"/>
      <c r="U393" s="18"/>
      <c r="V393" s="18"/>
      <c r="W393" s="18"/>
    </row>
    <row r="394" ht="15.75" customHeight="1">
      <c r="A394" s="14"/>
      <c r="E394" s="18"/>
      <c r="F394" s="18"/>
      <c r="G394" s="18"/>
      <c r="K394" s="12"/>
      <c r="L394" s="12"/>
      <c r="M394" s="12"/>
      <c r="N394" s="18"/>
      <c r="P394" s="16"/>
      <c r="T394" s="18"/>
      <c r="U394" s="18"/>
      <c r="V394" s="18"/>
      <c r="W394" s="18"/>
    </row>
    <row r="395" ht="15.75" customHeight="1">
      <c r="A395" s="14"/>
      <c r="E395" s="18"/>
      <c r="F395" s="18"/>
      <c r="G395" s="18"/>
      <c r="K395" s="12"/>
      <c r="L395" s="12"/>
      <c r="M395" s="12"/>
      <c r="N395" s="18"/>
      <c r="P395" s="16"/>
      <c r="T395" s="18"/>
      <c r="U395" s="18"/>
      <c r="V395" s="18"/>
      <c r="W395" s="18"/>
    </row>
    <row r="396" ht="15.75" customHeight="1">
      <c r="A396" s="14"/>
      <c r="E396" s="18"/>
      <c r="F396" s="18"/>
      <c r="G396" s="18"/>
      <c r="K396" s="12"/>
      <c r="L396" s="12"/>
      <c r="M396" s="12"/>
      <c r="N396" s="18"/>
      <c r="P396" s="16"/>
      <c r="T396" s="18"/>
      <c r="U396" s="18"/>
      <c r="V396" s="18"/>
      <c r="W396" s="18"/>
    </row>
    <row r="397" ht="15.75" customHeight="1">
      <c r="A397" s="14"/>
      <c r="E397" s="18"/>
      <c r="F397" s="18"/>
      <c r="G397" s="18"/>
      <c r="K397" s="12"/>
      <c r="L397" s="12"/>
      <c r="M397" s="12"/>
      <c r="N397" s="18"/>
      <c r="P397" s="16"/>
      <c r="T397" s="18"/>
      <c r="U397" s="18"/>
      <c r="V397" s="18"/>
      <c r="W397" s="18"/>
    </row>
    <row r="398" ht="15.75" customHeight="1">
      <c r="A398" s="14"/>
      <c r="E398" s="18"/>
      <c r="F398" s="18"/>
      <c r="G398" s="18"/>
      <c r="K398" s="12"/>
      <c r="L398" s="12"/>
      <c r="M398" s="12"/>
      <c r="N398" s="18"/>
      <c r="P398" s="16"/>
      <c r="T398" s="18"/>
      <c r="U398" s="18"/>
      <c r="V398" s="18"/>
      <c r="W398" s="18"/>
    </row>
    <row r="399" ht="15.75" customHeight="1">
      <c r="A399" s="14"/>
      <c r="E399" s="18"/>
      <c r="F399" s="18"/>
      <c r="G399" s="18"/>
      <c r="K399" s="12"/>
      <c r="L399" s="12"/>
      <c r="M399" s="12"/>
      <c r="N399" s="18"/>
      <c r="P399" s="16"/>
      <c r="T399" s="18"/>
      <c r="U399" s="18"/>
      <c r="V399" s="18"/>
      <c r="W399" s="18"/>
    </row>
    <row r="400" ht="15.75" customHeight="1">
      <c r="A400" s="14"/>
      <c r="E400" s="18"/>
      <c r="F400" s="18"/>
      <c r="G400" s="18"/>
      <c r="K400" s="12"/>
      <c r="L400" s="12"/>
      <c r="M400" s="12"/>
      <c r="N400" s="18"/>
      <c r="P400" s="16"/>
      <c r="T400" s="18"/>
      <c r="U400" s="18"/>
      <c r="V400" s="18"/>
      <c r="W400" s="18"/>
    </row>
    <row r="401" ht="15.75" customHeight="1">
      <c r="A401" s="14"/>
      <c r="E401" s="18"/>
      <c r="F401" s="18"/>
      <c r="G401" s="18"/>
      <c r="K401" s="12"/>
      <c r="L401" s="12"/>
      <c r="M401" s="12"/>
      <c r="N401" s="18"/>
      <c r="P401" s="16"/>
      <c r="T401" s="18"/>
      <c r="U401" s="18"/>
      <c r="V401" s="18"/>
      <c r="W401" s="18"/>
    </row>
    <row r="402" ht="15.75" customHeight="1">
      <c r="A402" s="14"/>
      <c r="E402" s="18"/>
      <c r="F402" s="18"/>
      <c r="G402" s="18"/>
      <c r="K402" s="12"/>
      <c r="L402" s="12"/>
      <c r="M402" s="12"/>
      <c r="N402" s="18"/>
      <c r="P402" s="16"/>
      <c r="T402" s="18"/>
      <c r="U402" s="18"/>
      <c r="V402" s="18"/>
      <c r="W402" s="18"/>
    </row>
    <row r="403" ht="15.75" customHeight="1">
      <c r="A403" s="14"/>
      <c r="E403" s="18"/>
      <c r="F403" s="18"/>
      <c r="G403" s="18"/>
      <c r="K403" s="12"/>
      <c r="L403" s="12"/>
      <c r="M403" s="12"/>
      <c r="N403" s="18"/>
      <c r="P403" s="16"/>
      <c r="T403" s="18"/>
      <c r="U403" s="18"/>
      <c r="V403" s="18"/>
      <c r="W403" s="18"/>
    </row>
    <row r="404" ht="15.75" customHeight="1">
      <c r="A404" s="14"/>
      <c r="E404" s="18"/>
      <c r="F404" s="18"/>
      <c r="G404" s="18"/>
      <c r="K404" s="12"/>
      <c r="L404" s="12"/>
      <c r="M404" s="12"/>
      <c r="N404" s="18"/>
      <c r="P404" s="16"/>
      <c r="T404" s="18"/>
      <c r="U404" s="18"/>
      <c r="V404" s="18"/>
      <c r="W404" s="18"/>
    </row>
    <row r="405" ht="15.75" customHeight="1">
      <c r="A405" s="14"/>
      <c r="E405" s="18"/>
      <c r="F405" s="18"/>
      <c r="G405" s="18"/>
      <c r="K405" s="12"/>
      <c r="L405" s="12"/>
      <c r="M405" s="12"/>
      <c r="N405" s="18"/>
      <c r="P405" s="16"/>
      <c r="T405" s="18"/>
      <c r="U405" s="18"/>
      <c r="V405" s="18"/>
      <c r="W405" s="18"/>
    </row>
    <row r="406" ht="15.75" customHeight="1">
      <c r="A406" s="14"/>
      <c r="E406" s="18"/>
      <c r="F406" s="18"/>
      <c r="G406" s="18"/>
      <c r="K406" s="12"/>
      <c r="L406" s="12"/>
      <c r="M406" s="12"/>
      <c r="N406" s="18"/>
      <c r="P406" s="16"/>
      <c r="T406" s="18"/>
      <c r="U406" s="18"/>
      <c r="V406" s="18"/>
      <c r="W406" s="18"/>
    </row>
    <row r="407" ht="15.75" customHeight="1">
      <c r="A407" s="14"/>
      <c r="E407" s="18"/>
      <c r="F407" s="18"/>
      <c r="G407" s="18"/>
      <c r="K407" s="12"/>
      <c r="L407" s="12"/>
      <c r="M407" s="12"/>
      <c r="N407" s="18"/>
      <c r="P407" s="16"/>
      <c r="T407" s="18"/>
      <c r="U407" s="18"/>
      <c r="V407" s="18"/>
      <c r="W407" s="18"/>
    </row>
    <row r="408" ht="15.75" customHeight="1">
      <c r="A408" s="14"/>
      <c r="E408" s="18"/>
      <c r="F408" s="18"/>
      <c r="G408" s="18"/>
      <c r="K408" s="12"/>
      <c r="L408" s="12"/>
      <c r="M408" s="12"/>
      <c r="N408" s="18"/>
      <c r="P408" s="16"/>
      <c r="T408" s="18"/>
      <c r="U408" s="18"/>
      <c r="V408" s="18"/>
      <c r="W408" s="18"/>
    </row>
    <row r="409" ht="15.75" customHeight="1">
      <c r="A409" s="14"/>
      <c r="E409" s="18"/>
      <c r="F409" s="18"/>
      <c r="G409" s="18"/>
      <c r="K409" s="12"/>
      <c r="L409" s="12"/>
      <c r="M409" s="12"/>
      <c r="N409" s="18"/>
      <c r="P409" s="16"/>
      <c r="T409" s="18"/>
      <c r="U409" s="18"/>
      <c r="V409" s="18"/>
      <c r="W409" s="18"/>
    </row>
    <row r="410" ht="15.75" customHeight="1">
      <c r="A410" s="14"/>
      <c r="E410" s="18"/>
      <c r="F410" s="18"/>
      <c r="G410" s="18"/>
      <c r="K410" s="12"/>
      <c r="L410" s="12"/>
      <c r="M410" s="12"/>
      <c r="N410" s="18"/>
      <c r="P410" s="16"/>
      <c r="T410" s="18"/>
      <c r="U410" s="18"/>
      <c r="V410" s="18"/>
      <c r="W410" s="18"/>
    </row>
    <row r="411" ht="15.75" customHeight="1">
      <c r="A411" s="14"/>
      <c r="E411" s="18"/>
      <c r="F411" s="18"/>
      <c r="G411" s="18"/>
      <c r="K411" s="12"/>
      <c r="L411" s="12"/>
      <c r="M411" s="12"/>
      <c r="N411" s="18"/>
      <c r="P411" s="16"/>
      <c r="T411" s="18"/>
      <c r="U411" s="18"/>
      <c r="V411" s="18"/>
      <c r="W411" s="18"/>
    </row>
    <row r="412" ht="15.75" customHeight="1">
      <c r="A412" s="14"/>
      <c r="E412" s="18"/>
      <c r="F412" s="18"/>
      <c r="G412" s="18"/>
      <c r="K412" s="12"/>
      <c r="L412" s="12"/>
      <c r="M412" s="12"/>
      <c r="N412" s="18"/>
      <c r="P412" s="16"/>
      <c r="T412" s="18"/>
      <c r="U412" s="18"/>
      <c r="V412" s="18"/>
      <c r="W412" s="18"/>
    </row>
    <row r="413" ht="15.75" customHeight="1">
      <c r="A413" s="14"/>
      <c r="E413" s="18"/>
      <c r="F413" s="18"/>
      <c r="G413" s="18"/>
      <c r="K413" s="12"/>
      <c r="L413" s="12"/>
      <c r="M413" s="12"/>
      <c r="N413" s="18"/>
      <c r="P413" s="16"/>
      <c r="T413" s="18"/>
      <c r="U413" s="18"/>
      <c r="V413" s="18"/>
      <c r="W413" s="18"/>
    </row>
    <row r="414" ht="15.75" customHeight="1">
      <c r="A414" s="14"/>
      <c r="E414" s="18"/>
      <c r="F414" s="18"/>
      <c r="G414" s="18"/>
      <c r="K414" s="12"/>
      <c r="L414" s="12"/>
      <c r="M414" s="12"/>
      <c r="N414" s="18"/>
      <c r="P414" s="16"/>
      <c r="T414" s="18"/>
      <c r="U414" s="18"/>
      <c r="V414" s="18"/>
      <c r="W414" s="18"/>
    </row>
    <row r="415" ht="15.75" customHeight="1">
      <c r="A415" s="14"/>
      <c r="E415" s="18"/>
      <c r="F415" s="18"/>
      <c r="G415" s="18"/>
      <c r="K415" s="12"/>
      <c r="L415" s="12"/>
      <c r="M415" s="12"/>
      <c r="N415" s="18"/>
      <c r="P415" s="16"/>
      <c r="T415" s="18"/>
      <c r="U415" s="18"/>
      <c r="V415" s="18"/>
      <c r="W415" s="18"/>
    </row>
    <row r="416" ht="15.75" customHeight="1">
      <c r="A416" s="14"/>
      <c r="E416" s="18"/>
      <c r="F416" s="18"/>
      <c r="G416" s="18"/>
      <c r="K416" s="12"/>
      <c r="L416" s="12"/>
      <c r="M416" s="12"/>
      <c r="N416" s="18"/>
      <c r="P416" s="16"/>
      <c r="T416" s="18"/>
      <c r="U416" s="18"/>
      <c r="V416" s="18"/>
      <c r="W416" s="18"/>
    </row>
    <row r="417" ht="15.75" customHeight="1">
      <c r="A417" s="14"/>
      <c r="E417" s="18"/>
      <c r="F417" s="18"/>
      <c r="G417" s="18"/>
      <c r="K417" s="12"/>
      <c r="L417" s="12"/>
      <c r="M417" s="12"/>
      <c r="N417" s="18"/>
      <c r="P417" s="16"/>
      <c r="T417" s="18"/>
      <c r="U417" s="18"/>
      <c r="V417" s="18"/>
      <c r="W417" s="18"/>
    </row>
    <row r="418" ht="15.75" customHeight="1">
      <c r="A418" s="14"/>
      <c r="E418" s="18"/>
      <c r="F418" s="18"/>
      <c r="G418" s="18"/>
      <c r="K418" s="12"/>
      <c r="L418" s="12"/>
      <c r="M418" s="12"/>
      <c r="N418" s="18"/>
      <c r="P418" s="16"/>
      <c r="T418" s="18"/>
      <c r="U418" s="18"/>
      <c r="V418" s="18"/>
      <c r="W418" s="18"/>
    </row>
    <row r="419" ht="15.75" customHeight="1">
      <c r="A419" s="14"/>
      <c r="E419" s="18"/>
      <c r="F419" s="18"/>
      <c r="G419" s="18"/>
      <c r="K419" s="12"/>
      <c r="L419" s="12"/>
      <c r="M419" s="12"/>
      <c r="N419" s="18"/>
      <c r="P419" s="16"/>
      <c r="T419" s="18"/>
      <c r="U419" s="18"/>
      <c r="V419" s="18"/>
      <c r="W419" s="18"/>
    </row>
    <row r="420" ht="15.75" customHeight="1">
      <c r="A420" s="14"/>
      <c r="E420" s="18"/>
      <c r="F420" s="18"/>
      <c r="G420" s="18"/>
      <c r="K420" s="12"/>
      <c r="L420" s="12"/>
      <c r="M420" s="12"/>
      <c r="N420" s="18"/>
      <c r="P420" s="16"/>
      <c r="T420" s="18"/>
      <c r="U420" s="18"/>
      <c r="V420" s="18"/>
      <c r="W420" s="18"/>
    </row>
    <row r="421" ht="15.75" customHeight="1">
      <c r="A421" s="14"/>
      <c r="E421" s="18"/>
      <c r="F421" s="18"/>
      <c r="G421" s="18"/>
      <c r="K421" s="12"/>
      <c r="L421" s="12"/>
      <c r="M421" s="12"/>
      <c r="N421" s="18"/>
      <c r="P421" s="16"/>
      <c r="T421" s="18"/>
      <c r="U421" s="18"/>
      <c r="V421" s="18"/>
      <c r="W421" s="18"/>
    </row>
    <row r="422" ht="15.75" customHeight="1">
      <c r="A422" s="14"/>
      <c r="E422" s="18"/>
      <c r="F422" s="18"/>
      <c r="G422" s="18"/>
      <c r="K422" s="12"/>
      <c r="L422" s="12"/>
      <c r="M422" s="12"/>
      <c r="N422" s="18"/>
      <c r="P422" s="16"/>
      <c r="T422" s="18"/>
      <c r="U422" s="18"/>
      <c r="V422" s="18"/>
      <c r="W422" s="18"/>
    </row>
    <row r="423" ht="15.75" customHeight="1">
      <c r="A423" s="14"/>
      <c r="E423" s="18"/>
      <c r="F423" s="18"/>
      <c r="G423" s="18"/>
      <c r="K423" s="12"/>
      <c r="L423" s="12"/>
      <c r="M423" s="12"/>
      <c r="N423" s="18"/>
      <c r="P423" s="16"/>
      <c r="T423" s="18"/>
      <c r="U423" s="18"/>
      <c r="V423" s="18"/>
      <c r="W423" s="18"/>
    </row>
    <row r="424" ht="15.75" customHeight="1">
      <c r="A424" s="14"/>
      <c r="E424" s="18"/>
      <c r="F424" s="18"/>
      <c r="G424" s="18"/>
      <c r="K424" s="12"/>
      <c r="L424" s="12"/>
      <c r="M424" s="12"/>
      <c r="N424" s="18"/>
      <c r="P424" s="16"/>
      <c r="T424" s="18"/>
      <c r="U424" s="18"/>
      <c r="V424" s="18"/>
      <c r="W424" s="18"/>
    </row>
    <row r="425" ht="15.75" customHeight="1">
      <c r="A425" s="14"/>
      <c r="E425" s="18"/>
      <c r="F425" s="18"/>
      <c r="G425" s="18"/>
      <c r="K425" s="12"/>
      <c r="L425" s="12"/>
      <c r="M425" s="12"/>
      <c r="N425" s="18"/>
      <c r="P425" s="16"/>
      <c r="T425" s="18"/>
      <c r="U425" s="18"/>
      <c r="V425" s="18"/>
      <c r="W425" s="18"/>
    </row>
    <row r="426" ht="15.75" customHeight="1">
      <c r="A426" s="14"/>
      <c r="E426" s="18"/>
      <c r="F426" s="18"/>
      <c r="G426" s="18"/>
      <c r="K426" s="12"/>
      <c r="L426" s="12"/>
      <c r="M426" s="12"/>
      <c r="N426" s="18"/>
      <c r="P426" s="16"/>
      <c r="T426" s="18"/>
      <c r="U426" s="18"/>
      <c r="V426" s="18"/>
      <c r="W426" s="18"/>
    </row>
    <row r="427" ht="15.75" customHeight="1">
      <c r="A427" s="14"/>
      <c r="E427" s="18"/>
      <c r="F427" s="18"/>
      <c r="G427" s="18"/>
      <c r="K427" s="12"/>
      <c r="L427" s="12"/>
      <c r="M427" s="12"/>
      <c r="N427" s="18"/>
      <c r="P427" s="16"/>
      <c r="T427" s="18"/>
      <c r="U427" s="18"/>
      <c r="V427" s="18"/>
      <c r="W427" s="18"/>
    </row>
    <row r="428" ht="15.75" customHeight="1">
      <c r="A428" s="14"/>
      <c r="E428" s="18"/>
      <c r="F428" s="18"/>
      <c r="G428" s="18"/>
      <c r="K428" s="12"/>
      <c r="L428" s="12"/>
      <c r="M428" s="12"/>
      <c r="N428" s="18"/>
      <c r="P428" s="16"/>
      <c r="T428" s="18"/>
      <c r="U428" s="18"/>
      <c r="V428" s="18"/>
      <c r="W428" s="18"/>
    </row>
    <row r="429" ht="15.75" customHeight="1">
      <c r="A429" s="14"/>
      <c r="E429" s="18"/>
      <c r="F429" s="18"/>
      <c r="G429" s="18"/>
      <c r="K429" s="12"/>
      <c r="L429" s="12"/>
      <c r="M429" s="12"/>
      <c r="N429" s="18"/>
      <c r="P429" s="16"/>
      <c r="T429" s="18"/>
      <c r="U429" s="18"/>
      <c r="V429" s="18"/>
      <c r="W429" s="18"/>
    </row>
    <row r="430" ht="15.75" customHeight="1">
      <c r="A430" s="14"/>
      <c r="E430" s="18"/>
      <c r="F430" s="18"/>
      <c r="G430" s="18"/>
      <c r="K430" s="12"/>
      <c r="L430" s="12"/>
      <c r="M430" s="12"/>
      <c r="N430" s="18"/>
      <c r="P430" s="16"/>
      <c r="T430" s="18"/>
      <c r="U430" s="18"/>
      <c r="V430" s="18"/>
      <c r="W430" s="18"/>
    </row>
    <row r="431" ht="15.75" customHeight="1">
      <c r="A431" s="14"/>
      <c r="E431" s="18"/>
      <c r="F431" s="18"/>
      <c r="G431" s="18"/>
      <c r="K431" s="12"/>
      <c r="L431" s="12"/>
      <c r="M431" s="12"/>
      <c r="N431" s="18"/>
      <c r="P431" s="16"/>
      <c r="T431" s="18"/>
      <c r="U431" s="18"/>
      <c r="V431" s="18"/>
      <c r="W431" s="18"/>
    </row>
    <row r="432" ht="15.75" customHeight="1">
      <c r="A432" s="14"/>
      <c r="E432" s="18"/>
      <c r="F432" s="18"/>
      <c r="G432" s="18"/>
      <c r="K432" s="12"/>
      <c r="L432" s="12"/>
      <c r="M432" s="12"/>
      <c r="N432" s="18"/>
      <c r="P432" s="16"/>
      <c r="T432" s="18"/>
      <c r="U432" s="18"/>
      <c r="V432" s="18"/>
      <c r="W432" s="18"/>
    </row>
    <row r="433" ht="15.75" customHeight="1">
      <c r="A433" s="14"/>
      <c r="E433" s="18"/>
      <c r="F433" s="18"/>
      <c r="G433" s="18"/>
      <c r="K433" s="12"/>
      <c r="L433" s="12"/>
      <c r="M433" s="12"/>
      <c r="N433" s="18"/>
      <c r="P433" s="16"/>
      <c r="T433" s="18"/>
      <c r="U433" s="18"/>
      <c r="V433" s="18"/>
      <c r="W433" s="18"/>
    </row>
    <row r="434" ht="15.75" customHeight="1">
      <c r="A434" s="14"/>
      <c r="E434" s="18"/>
      <c r="F434" s="18"/>
      <c r="G434" s="18"/>
      <c r="K434" s="12"/>
      <c r="L434" s="12"/>
      <c r="M434" s="12"/>
      <c r="N434" s="18"/>
      <c r="P434" s="16"/>
      <c r="T434" s="18"/>
      <c r="U434" s="18"/>
      <c r="V434" s="18"/>
      <c r="W434" s="18"/>
    </row>
    <row r="435" ht="15.75" customHeight="1">
      <c r="A435" s="14"/>
      <c r="E435" s="18"/>
      <c r="F435" s="18"/>
      <c r="G435" s="18"/>
      <c r="K435" s="12"/>
      <c r="L435" s="12"/>
      <c r="M435" s="12"/>
      <c r="N435" s="18"/>
      <c r="P435" s="16"/>
      <c r="T435" s="18"/>
      <c r="U435" s="18"/>
      <c r="V435" s="18"/>
      <c r="W435" s="18"/>
    </row>
    <row r="436" ht="15.75" customHeight="1">
      <c r="A436" s="14"/>
      <c r="E436" s="18"/>
      <c r="F436" s="18"/>
      <c r="G436" s="18"/>
      <c r="K436" s="12"/>
      <c r="L436" s="12"/>
      <c r="M436" s="12"/>
      <c r="N436" s="18"/>
      <c r="P436" s="16"/>
      <c r="T436" s="18"/>
      <c r="U436" s="18"/>
      <c r="V436" s="18"/>
      <c r="W436" s="18"/>
    </row>
    <row r="437" ht="15.75" customHeight="1">
      <c r="A437" s="14"/>
      <c r="E437" s="18"/>
      <c r="F437" s="18"/>
      <c r="G437" s="18"/>
      <c r="K437" s="12"/>
      <c r="L437" s="12"/>
      <c r="M437" s="12"/>
      <c r="N437" s="18"/>
      <c r="P437" s="16"/>
      <c r="T437" s="18"/>
      <c r="U437" s="18"/>
      <c r="V437" s="18"/>
      <c r="W437" s="18"/>
    </row>
    <row r="438" ht="15.75" customHeight="1">
      <c r="A438" s="14"/>
      <c r="E438" s="18"/>
      <c r="F438" s="18"/>
      <c r="G438" s="18"/>
      <c r="K438" s="12"/>
      <c r="L438" s="12"/>
      <c r="M438" s="12"/>
      <c r="N438" s="18"/>
      <c r="P438" s="16"/>
      <c r="T438" s="18"/>
      <c r="U438" s="18"/>
      <c r="V438" s="18"/>
      <c r="W438" s="18"/>
    </row>
    <row r="439" ht="15.75" customHeight="1">
      <c r="A439" s="14"/>
      <c r="E439" s="18"/>
      <c r="F439" s="18"/>
      <c r="G439" s="18"/>
      <c r="K439" s="12"/>
      <c r="L439" s="12"/>
      <c r="M439" s="12"/>
      <c r="N439" s="18"/>
      <c r="P439" s="16"/>
      <c r="T439" s="18"/>
      <c r="U439" s="18"/>
      <c r="V439" s="18"/>
      <c r="W439" s="18"/>
    </row>
    <row r="440" ht="15.75" customHeight="1">
      <c r="A440" s="14"/>
      <c r="E440" s="18"/>
      <c r="F440" s="18"/>
      <c r="G440" s="18"/>
      <c r="K440" s="12"/>
      <c r="L440" s="12"/>
      <c r="M440" s="12"/>
      <c r="N440" s="18"/>
      <c r="P440" s="16"/>
      <c r="T440" s="18"/>
      <c r="U440" s="18"/>
      <c r="V440" s="18"/>
      <c r="W440" s="18"/>
    </row>
    <row r="441" ht="15.75" customHeight="1">
      <c r="A441" s="14"/>
      <c r="E441" s="18"/>
      <c r="F441" s="18"/>
      <c r="G441" s="18"/>
      <c r="K441" s="12"/>
      <c r="L441" s="12"/>
      <c r="M441" s="12"/>
      <c r="N441" s="18"/>
      <c r="P441" s="16"/>
      <c r="T441" s="18"/>
      <c r="U441" s="18"/>
      <c r="V441" s="18"/>
      <c r="W441" s="18"/>
    </row>
    <row r="442" ht="15.75" customHeight="1">
      <c r="A442" s="14"/>
      <c r="E442" s="18"/>
      <c r="F442" s="18"/>
      <c r="G442" s="18"/>
      <c r="K442" s="12"/>
      <c r="L442" s="12"/>
      <c r="M442" s="12"/>
      <c r="N442" s="18"/>
      <c r="P442" s="16"/>
      <c r="T442" s="18"/>
      <c r="U442" s="18"/>
      <c r="V442" s="18"/>
      <c r="W442" s="18"/>
    </row>
    <row r="443" ht="15.75" customHeight="1">
      <c r="A443" s="14"/>
      <c r="E443" s="18"/>
      <c r="F443" s="18"/>
      <c r="G443" s="18"/>
      <c r="K443" s="12"/>
      <c r="L443" s="12"/>
      <c r="M443" s="12"/>
      <c r="N443" s="18"/>
      <c r="P443" s="16"/>
      <c r="T443" s="18"/>
      <c r="U443" s="18"/>
      <c r="V443" s="18"/>
      <c r="W443" s="18"/>
    </row>
    <row r="444" ht="15.75" customHeight="1">
      <c r="A444" s="14"/>
      <c r="E444" s="18"/>
      <c r="F444" s="18"/>
      <c r="G444" s="18"/>
      <c r="K444" s="12"/>
      <c r="L444" s="12"/>
      <c r="M444" s="12"/>
      <c r="N444" s="18"/>
      <c r="P444" s="16"/>
      <c r="T444" s="18"/>
      <c r="U444" s="18"/>
      <c r="V444" s="18"/>
      <c r="W444" s="18"/>
    </row>
    <row r="445" ht="15.75" customHeight="1">
      <c r="A445" s="14"/>
      <c r="E445" s="18"/>
      <c r="F445" s="18"/>
      <c r="G445" s="18"/>
      <c r="K445" s="12"/>
      <c r="L445" s="12"/>
      <c r="M445" s="12"/>
      <c r="N445" s="18"/>
      <c r="P445" s="16"/>
      <c r="T445" s="18"/>
      <c r="U445" s="18"/>
      <c r="V445" s="18"/>
      <c r="W445" s="18"/>
    </row>
    <row r="446" ht="15.75" customHeight="1">
      <c r="A446" s="14"/>
      <c r="E446" s="18"/>
      <c r="F446" s="18"/>
      <c r="G446" s="18"/>
      <c r="K446" s="12"/>
      <c r="L446" s="12"/>
      <c r="M446" s="12"/>
      <c r="N446" s="18"/>
      <c r="P446" s="16"/>
      <c r="T446" s="18"/>
      <c r="U446" s="18"/>
      <c r="V446" s="18"/>
      <c r="W446" s="18"/>
    </row>
    <row r="447" ht="15.75" customHeight="1">
      <c r="A447" s="14"/>
      <c r="E447" s="18"/>
      <c r="F447" s="18"/>
      <c r="G447" s="18"/>
      <c r="K447" s="12"/>
      <c r="L447" s="12"/>
      <c r="M447" s="12"/>
      <c r="N447" s="18"/>
      <c r="P447" s="16"/>
      <c r="T447" s="18"/>
      <c r="U447" s="18"/>
      <c r="V447" s="18"/>
      <c r="W447" s="18"/>
    </row>
    <row r="448" ht="15.75" customHeight="1">
      <c r="A448" s="14"/>
      <c r="E448" s="18"/>
      <c r="F448" s="18"/>
      <c r="G448" s="18"/>
      <c r="K448" s="12"/>
      <c r="L448" s="12"/>
      <c r="M448" s="12"/>
      <c r="N448" s="18"/>
      <c r="P448" s="16"/>
      <c r="T448" s="18"/>
      <c r="U448" s="18"/>
      <c r="V448" s="18"/>
      <c r="W448" s="18"/>
    </row>
    <row r="449" ht="15.75" customHeight="1">
      <c r="A449" s="14"/>
      <c r="E449" s="18"/>
      <c r="F449" s="18"/>
      <c r="G449" s="18"/>
      <c r="K449" s="12"/>
      <c r="L449" s="12"/>
      <c r="M449" s="12"/>
      <c r="N449" s="18"/>
      <c r="P449" s="16"/>
      <c r="T449" s="18"/>
      <c r="U449" s="18"/>
      <c r="V449" s="18"/>
      <c r="W449" s="18"/>
    </row>
    <row r="450" ht="15.75" customHeight="1">
      <c r="A450" s="14"/>
      <c r="E450" s="18"/>
      <c r="F450" s="18"/>
      <c r="G450" s="18"/>
      <c r="K450" s="12"/>
      <c r="L450" s="12"/>
      <c r="M450" s="12"/>
      <c r="N450" s="18"/>
      <c r="P450" s="16"/>
      <c r="T450" s="18"/>
      <c r="U450" s="18"/>
      <c r="V450" s="18"/>
      <c r="W450" s="18"/>
    </row>
    <row r="451" ht="15.75" customHeight="1">
      <c r="A451" s="14"/>
      <c r="E451" s="18"/>
      <c r="F451" s="18"/>
      <c r="G451" s="18"/>
      <c r="K451" s="12"/>
      <c r="L451" s="12"/>
      <c r="M451" s="12"/>
      <c r="N451" s="18"/>
      <c r="P451" s="16"/>
      <c r="T451" s="18"/>
      <c r="U451" s="18"/>
      <c r="V451" s="18"/>
      <c r="W451" s="18"/>
    </row>
    <row r="452" ht="15.75" customHeight="1">
      <c r="A452" s="14"/>
      <c r="E452" s="18"/>
      <c r="F452" s="18"/>
      <c r="G452" s="18"/>
      <c r="K452" s="12"/>
      <c r="L452" s="12"/>
      <c r="M452" s="12"/>
      <c r="N452" s="18"/>
      <c r="P452" s="16"/>
      <c r="T452" s="18"/>
      <c r="U452" s="18"/>
      <c r="V452" s="18"/>
      <c r="W452" s="18"/>
    </row>
    <row r="453" ht="15.75" customHeight="1">
      <c r="A453" s="14"/>
      <c r="E453" s="18"/>
      <c r="F453" s="18"/>
      <c r="G453" s="18"/>
      <c r="K453" s="12"/>
      <c r="L453" s="12"/>
      <c r="M453" s="12"/>
      <c r="N453" s="18"/>
      <c r="P453" s="16"/>
      <c r="T453" s="18"/>
      <c r="U453" s="18"/>
      <c r="V453" s="18"/>
      <c r="W453" s="18"/>
    </row>
    <row r="454" ht="15.75" customHeight="1">
      <c r="A454" s="14"/>
      <c r="E454" s="18"/>
      <c r="F454" s="18"/>
      <c r="G454" s="18"/>
      <c r="K454" s="12"/>
      <c r="L454" s="12"/>
      <c r="M454" s="12"/>
      <c r="N454" s="18"/>
      <c r="P454" s="16"/>
      <c r="T454" s="18"/>
      <c r="U454" s="18"/>
      <c r="V454" s="18"/>
      <c r="W454" s="18"/>
    </row>
    <row r="455" ht="15.75" customHeight="1">
      <c r="A455" s="14"/>
      <c r="E455" s="18"/>
      <c r="F455" s="18"/>
      <c r="G455" s="18"/>
      <c r="K455" s="12"/>
      <c r="L455" s="12"/>
      <c r="M455" s="12"/>
      <c r="N455" s="18"/>
      <c r="P455" s="16"/>
      <c r="T455" s="18"/>
      <c r="U455" s="18"/>
      <c r="V455" s="18"/>
      <c r="W455" s="18"/>
    </row>
    <row r="456" ht="15.75" customHeight="1">
      <c r="A456" s="14"/>
      <c r="E456" s="18"/>
      <c r="F456" s="18"/>
      <c r="G456" s="18"/>
      <c r="K456" s="12"/>
      <c r="L456" s="12"/>
      <c r="M456" s="12"/>
      <c r="N456" s="18"/>
      <c r="P456" s="16"/>
      <c r="T456" s="18"/>
      <c r="U456" s="18"/>
      <c r="V456" s="18"/>
      <c r="W456" s="18"/>
    </row>
    <row r="457" ht="15.75" customHeight="1">
      <c r="A457" s="14"/>
      <c r="E457" s="18"/>
      <c r="F457" s="18"/>
      <c r="G457" s="18"/>
      <c r="K457" s="12"/>
      <c r="L457" s="12"/>
      <c r="M457" s="12"/>
      <c r="N457" s="18"/>
      <c r="P457" s="16"/>
      <c r="T457" s="18"/>
      <c r="U457" s="18"/>
      <c r="V457" s="18"/>
      <c r="W457" s="18"/>
    </row>
    <row r="458" ht="15.75" customHeight="1">
      <c r="A458" s="14"/>
      <c r="E458" s="18"/>
      <c r="F458" s="18"/>
      <c r="G458" s="18"/>
      <c r="K458" s="12"/>
      <c r="L458" s="12"/>
      <c r="M458" s="12"/>
      <c r="N458" s="18"/>
      <c r="P458" s="16"/>
      <c r="T458" s="18"/>
      <c r="U458" s="18"/>
      <c r="V458" s="18"/>
      <c r="W458" s="18"/>
    </row>
    <row r="459" ht="15.75" customHeight="1">
      <c r="A459" s="14"/>
      <c r="E459" s="18"/>
      <c r="F459" s="18"/>
      <c r="G459" s="18"/>
      <c r="K459" s="12"/>
      <c r="L459" s="12"/>
      <c r="M459" s="12"/>
      <c r="N459" s="18"/>
      <c r="P459" s="16"/>
      <c r="T459" s="18"/>
      <c r="U459" s="18"/>
      <c r="V459" s="18"/>
      <c r="W459" s="18"/>
    </row>
    <row r="460" ht="15.75" customHeight="1">
      <c r="A460" s="14"/>
      <c r="E460" s="18"/>
      <c r="F460" s="18"/>
      <c r="G460" s="18"/>
      <c r="K460" s="12"/>
      <c r="L460" s="12"/>
      <c r="M460" s="12"/>
      <c r="N460" s="18"/>
      <c r="P460" s="16"/>
      <c r="T460" s="18"/>
      <c r="U460" s="18"/>
      <c r="V460" s="18"/>
      <c r="W460" s="18"/>
    </row>
    <row r="461" ht="15.75" customHeight="1">
      <c r="A461" s="14"/>
      <c r="E461" s="18"/>
      <c r="F461" s="18"/>
      <c r="G461" s="18"/>
      <c r="K461" s="12"/>
      <c r="L461" s="12"/>
      <c r="M461" s="12"/>
      <c r="N461" s="18"/>
      <c r="P461" s="16"/>
      <c r="T461" s="18"/>
      <c r="U461" s="18"/>
      <c r="V461" s="18"/>
      <c r="W461" s="18"/>
    </row>
    <row r="462" ht="15.75" customHeight="1">
      <c r="A462" s="14"/>
      <c r="E462" s="18"/>
      <c r="F462" s="18"/>
      <c r="G462" s="18"/>
      <c r="K462" s="12"/>
      <c r="L462" s="12"/>
      <c r="M462" s="12"/>
      <c r="N462" s="18"/>
      <c r="P462" s="16"/>
      <c r="T462" s="18"/>
      <c r="U462" s="18"/>
      <c r="V462" s="18"/>
      <c r="W462" s="18"/>
    </row>
    <row r="463" ht="15.75" customHeight="1">
      <c r="A463" s="14"/>
      <c r="E463" s="18"/>
      <c r="F463" s="18"/>
      <c r="G463" s="18"/>
      <c r="K463" s="12"/>
      <c r="L463" s="12"/>
      <c r="M463" s="12"/>
      <c r="N463" s="18"/>
      <c r="P463" s="16"/>
      <c r="T463" s="18"/>
      <c r="U463" s="18"/>
      <c r="V463" s="18"/>
      <c r="W463" s="18"/>
    </row>
    <row r="464" ht="15.75" customHeight="1">
      <c r="A464" s="14"/>
      <c r="E464" s="18"/>
      <c r="F464" s="18"/>
      <c r="G464" s="18"/>
      <c r="K464" s="12"/>
      <c r="L464" s="12"/>
      <c r="M464" s="12"/>
      <c r="N464" s="18"/>
      <c r="P464" s="16"/>
      <c r="T464" s="18"/>
      <c r="U464" s="18"/>
      <c r="V464" s="18"/>
      <c r="W464" s="18"/>
    </row>
    <row r="465" ht="15.75" customHeight="1">
      <c r="A465" s="14"/>
      <c r="E465" s="18"/>
      <c r="F465" s="18"/>
      <c r="G465" s="18"/>
      <c r="K465" s="12"/>
      <c r="L465" s="12"/>
      <c r="M465" s="12"/>
      <c r="N465" s="18"/>
      <c r="P465" s="16"/>
      <c r="T465" s="18"/>
      <c r="U465" s="18"/>
      <c r="V465" s="18"/>
      <c r="W465" s="18"/>
    </row>
    <row r="466" ht="15.75" customHeight="1">
      <c r="A466" s="14"/>
      <c r="E466" s="18"/>
      <c r="F466" s="18"/>
      <c r="G466" s="18"/>
      <c r="K466" s="12"/>
      <c r="L466" s="12"/>
      <c r="M466" s="12"/>
      <c r="N466" s="18"/>
      <c r="P466" s="16"/>
      <c r="T466" s="18"/>
      <c r="U466" s="18"/>
      <c r="V466" s="18"/>
      <c r="W466" s="18"/>
    </row>
    <row r="467" ht="15.75" customHeight="1">
      <c r="A467" s="14"/>
      <c r="E467" s="18"/>
      <c r="F467" s="18"/>
      <c r="G467" s="18"/>
      <c r="K467" s="12"/>
      <c r="L467" s="12"/>
      <c r="M467" s="12"/>
      <c r="N467" s="18"/>
      <c r="P467" s="16"/>
      <c r="T467" s="18"/>
      <c r="U467" s="18"/>
      <c r="V467" s="18"/>
      <c r="W467" s="18"/>
    </row>
    <row r="468" ht="15.75" customHeight="1">
      <c r="A468" s="14"/>
      <c r="E468" s="18"/>
      <c r="F468" s="18"/>
      <c r="G468" s="18"/>
      <c r="K468" s="12"/>
      <c r="L468" s="12"/>
      <c r="M468" s="12"/>
      <c r="N468" s="18"/>
      <c r="P468" s="16"/>
      <c r="T468" s="18"/>
      <c r="U468" s="18"/>
      <c r="V468" s="18"/>
      <c r="W468" s="18"/>
    </row>
    <row r="469" ht="15.75" customHeight="1">
      <c r="A469" s="14"/>
      <c r="E469" s="18"/>
      <c r="F469" s="18"/>
      <c r="G469" s="18"/>
      <c r="K469" s="12"/>
      <c r="L469" s="12"/>
      <c r="M469" s="12"/>
      <c r="N469" s="18"/>
      <c r="P469" s="16"/>
      <c r="T469" s="18"/>
      <c r="U469" s="18"/>
      <c r="V469" s="18"/>
      <c r="W469" s="18"/>
    </row>
    <row r="470" ht="15.75" customHeight="1">
      <c r="A470" s="14"/>
      <c r="E470" s="18"/>
      <c r="F470" s="18"/>
      <c r="G470" s="18"/>
      <c r="K470" s="12"/>
      <c r="L470" s="12"/>
      <c r="M470" s="12"/>
      <c r="N470" s="18"/>
      <c r="P470" s="16"/>
      <c r="T470" s="18"/>
      <c r="U470" s="18"/>
      <c r="V470" s="18"/>
      <c r="W470" s="18"/>
    </row>
    <row r="471" ht="15.75" customHeight="1">
      <c r="A471" s="14"/>
      <c r="E471" s="18"/>
      <c r="F471" s="18"/>
      <c r="G471" s="18"/>
      <c r="K471" s="12"/>
      <c r="L471" s="12"/>
      <c r="M471" s="12"/>
      <c r="N471" s="18"/>
      <c r="P471" s="16"/>
      <c r="T471" s="18"/>
      <c r="U471" s="18"/>
      <c r="V471" s="18"/>
      <c r="W471" s="18"/>
    </row>
    <row r="472" ht="15.75" customHeight="1">
      <c r="A472" s="14"/>
      <c r="E472" s="18"/>
      <c r="F472" s="18"/>
      <c r="G472" s="18"/>
      <c r="K472" s="12"/>
      <c r="L472" s="12"/>
      <c r="M472" s="12"/>
      <c r="N472" s="18"/>
      <c r="P472" s="16"/>
      <c r="T472" s="18"/>
      <c r="U472" s="18"/>
      <c r="V472" s="18"/>
      <c r="W472" s="18"/>
    </row>
    <row r="473" ht="15.75" customHeight="1">
      <c r="A473" s="14"/>
      <c r="E473" s="18"/>
      <c r="F473" s="18"/>
      <c r="G473" s="18"/>
      <c r="K473" s="12"/>
      <c r="L473" s="12"/>
      <c r="M473" s="12"/>
      <c r="N473" s="18"/>
      <c r="P473" s="16"/>
      <c r="T473" s="18"/>
      <c r="U473" s="18"/>
      <c r="V473" s="18"/>
      <c r="W473" s="18"/>
    </row>
    <row r="474" ht="15.75" customHeight="1">
      <c r="A474" s="14"/>
      <c r="E474" s="18"/>
      <c r="F474" s="18"/>
      <c r="G474" s="18"/>
      <c r="K474" s="12"/>
      <c r="L474" s="12"/>
      <c r="M474" s="12"/>
      <c r="N474" s="18"/>
      <c r="P474" s="16"/>
      <c r="T474" s="18"/>
      <c r="U474" s="18"/>
      <c r="V474" s="18"/>
      <c r="W474" s="18"/>
    </row>
    <row r="475" ht="15.75" customHeight="1">
      <c r="A475" s="14"/>
      <c r="E475" s="18"/>
      <c r="F475" s="18"/>
      <c r="G475" s="18"/>
      <c r="K475" s="12"/>
      <c r="L475" s="12"/>
      <c r="M475" s="12"/>
      <c r="N475" s="18"/>
      <c r="P475" s="16"/>
      <c r="T475" s="18"/>
      <c r="U475" s="18"/>
      <c r="V475" s="18"/>
      <c r="W475" s="18"/>
    </row>
    <row r="476" ht="15.75" customHeight="1">
      <c r="A476" s="14"/>
      <c r="E476" s="18"/>
      <c r="F476" s="18"/>
      <c r="G476" s="18"/>
      <c r="K476" s="12"/>
      <c r="L476" s="12"/>
      <c r="M476" s="12"/>
      <c r="N476" s="18"/>
      <c r="P476" s="16"/>
      <c r="T476" s="18"/>
      <c r="U476" s="18"/>
      <c r="V476" s="18"/>
      <c r="W476" s="18"/>
    </row>
    <row r="477" ht="15.75" customHeight="1">
      <c r="A477" s="14"/>
      <c r="E477" s="18"/>
      <c r="F477" s="18"/>
      <c r="G477" s="18"/>
      <c r="K477" s="12"/>
      <c r="L477" s="12"/>
      <c r="M477" s="12"/>
      <c r="N477" s="18"/>
      <c r="P477" s="16"/>
      <c r="T477" s="18"/>
      <c r="U477" s="18"/>
      <c r="V477" s="18"/>
      <c r="W477" s="18"/>
    </row>
    <row r="478" ht="15.75" customHeight="1">
      <c r="A478" s="14"/>
      <c r="E478" s="18"/>
      <c r="F478" s="18"/>
      <c r="G478" s="18"/>
      <c r="K478" s="12"/>
      <c r="L478" s="12"/>
      <c r="M478" s="12"/>
      <c r="N478" s="18"/>
      <c r="P478" s="16"/>
      <c r="T478" s="18"/>
      <c r="U478" s="18"/>
      <c r="V478" s="18"/>
      <c r="W478" s="18"/>
    </row>
    <row r="479" ht="15.75" customHeight="1">
      <c r="A479" s="14"/>
      <c r="E479" s="18"/>
      <c r="F479" s="18"/>
      <c r="G479" s="18"/>
      <c r="K479" s="12"/>
      <c r="L479" s="12"/>
      <c r="M479" s="12"/>
      <c r="N479" s="18"/>
      <c r="P479" s="16"/>
      <c r="T479" s="18"/>
      <c r="U479" s="18"/>
      <c r="V479" s="18"/>
      <c r="W479" s="18"/>
    </row>
    <row r="480" ht="15.75" customHeight="1">
      <c r="A480" s="14"/>
      <c r="E480" s="18"/>
      <c r="F480" s="18"/>
      <c r="G480" s="18"/>
      <c r="K480" s="12"/>
      <c r="L480" s="12"/>
      <c r="M480" s="12"/>
      <c r="N480" s="18"/>
      <c r="P480" s="16"/>
      <c r="T480" s="18"/>
      <c r="U480" s="18"/>
      <c r="V480" s="18"/>
      <c r="W480" s="18"/>
    </row>
    <row r="481" ht="15.75" customHeight="1">
      <c r="A481" s="14"/>
      <c r="E481" s="18"/>
      <c r="F481" s="18"/>
      <c r="G481" s="18"/>
      <c r="K481" s="12"/>
      <c r="L481" s="12"/>
      <c r="M481" s="12"/>
      <c r="N481" s="18"/>
      <c r="P481" s="16"/>
      <c r="T481" s="18"/>
      <c r="U481" s="18"/>
      <c r="V481" s="18"/>
      <c r="W481" s="18"/>
    </row>
    <row r="482" ht="15.75" customHeight="1">
      <c r="A482" s="14"/>
      <c r="E482" s="18"/>
      <c r="F482" s="18"/>
      <c r="G482" s="18"/>
      <c r="K482" s="12"/>
      <c r="L482" s="12"/>
      <c r="M482" s="12"/>
      <c r="N482" s="18"/>
      <c r="P482" s="16"/>
      <c r="T482" s="18"/>
      <c r="U482" s="18"/>
      <c r="V482" s="18"/>
      <c r="W482" s="18"/>
    </row>
    <row r="483" ht="15.75" customHeight="1">
      <c r="A483" s="14"/>
      <c r="E483" s="18"/>
      <c r="F483" s="18"/>
      <c r="G483" s="18"/>
      <c r="K483" s="12"/>
      <c r="L483" s="12"/>
      <c r="M483" s="12"/>
      <c r="N483" s="18"/>
      <c r="P483" s="16"/>
      <c r="T483" s="18"/>
      <c r="U483" s="18"/>
      <c r="V483" s="18"/>
      <c r="W483" s="18"/>
    </row>
    <row r="484" ht="15.75" customHeight="1">
      <c r="A484" s="14"/>
      <c r="E484" s="18"/>
      <c r="F484" s="18"/>
      <c r="G484" s="18"/>
      <c r="K484" s="12"/>
      <c r="L484" s="12"/>
      <c r="M484" s="12"/>
      <c r="N484" s="18"/>
      <c r="P484" s="16"/>
      <c r="T484" s="18"/>
      <c r="U484" s="18"/>
      <c r="V484" s="18"/>
      <c r="W484" s="18"/>
    </row>
    <row r="485" ht="15.75" customHeight="1">
      <c r="A485" s="14"/>
      <c r="E485" s="18"/>
      <c r="F485" s="18"/>
      <c r="G485" s="18"/>
      <c r="K485" s="12"/>
      <c r="L485" s="12"/>
      <c r="M485" s="12"/>
      <c r="N485" s="18"/>
      <c r="P485" s="16"/>
      <c r="T485" s="18"/>
      <c r="U485" s="18"/>
      <c r="V485" s="18"/>
      <c r="W485" s="18"/>
    </row>
    <row r="486" ht="15.75" customHeight="1">
      <c r="A486" s="14"/>
      <c r="E486" s="18"/>
      <c r="F486" s="18"/>
      <c r="G486" s="18"/>
      <c r="K486" s="12"/>
      <c r="L486" s="12"/>
      <c r="M486" s="12"/>
      <c r="N486" s="18"/>
      <c r="P486" s="16"/>
      <c r="T486" s="18"/>
      <c r="U486" s="18"/>
      <c r="V486" s="18"/>
      <c r="W486" s="18"/>
    </row>
    <row r="487" ht="15.75" customHeight="1">
      <c r="A487" s="14"/>
      <c r="E487" s="18"/>
      <c r="F487" s="18"/>
      <c r="G487" s="18"/>
      <c r="K487" s="12"/>
      <c r="L487" s="12"/>
      <c r="M487" s="12"/>
      <c r="N487" s="18"/>
      <c r="P487" s="16"/>
      <c r="T487" s="18"/>
      <c r="U487" s="18"/>
      <c r="V487" s="18"/>
      <c r="W487" s="18"/>
    </row>
    <row r="488" ht="15.75" customHeight="1">
      <c r="A488" s="14"/>
      <c r="E488" s="18"/>
      <c r="F488" s="18"/>
      <c r="G488" s="18"/>
      <c r="K488" s="12"/>
      <c r="L488" s="12"/>
      <c r="M488" s="12"/>
      <c r="N488" s="18"/>
      <c r="P488" s="16"/>
      <c r="T488" s="18"/>
      <c r="U488" s="18"/>
      <c r="V488" s="18"/>
      <c r="W488" s="18"/>
    </row>
    <row r="489" ht="15.75" customHeight="1">
      <c r="A489" s="14"/>
      <c r="E489" s="18"/>
      <c r="F489" s="18"/>
      <c r="G489" s="18"/>
      <c r="K489" s="12"/>
      <c r="L489" s="12"/>
      <c r="M489" s="12"/>
      <c r="N489" s="18"/>
      <c r="P489" s="16"/>
      <c r="T489" s="18"/>
      <c r="U489" s="18"/>
      <c r="V489" s="18"/>
      <c r="W489" s="18"/>
    </row>
    <row r="490" ht="15.75" customHeight="1">
      <c r="A490" s="14"/>
      <c r="E490" s="18"/>
      <c r="F490" s="18"/>
      <c r="G490" s="18"/>
      <c r="K490" s="12"/>
      <c r="L490" s="12"/>
      <c r="M490" s="12"/>
      <c r="N490" s="18"/>
      <c r="P490" s="16"/>
      <c r="T490" s="18"/>
      <c r="U490" s="18"/>
      <c r="V490" s="18"/>
      <c r="W490" s="18"/>
    </row>
    <row r="491" ht="15.75" customHeight="1">
      <c r="A491" s="14"/>
      <c r="E491" s="18"/>
      <c r="F491" s="18"/>
      <c r="G491" s="18"/>
      <c r="K491" s="12"/>
      <c r="L491" s="12"/>
      <c r="M491" s="12"/>
      <c r="N491" s="18"/>
      <c r="P491" s="16"/>
      <c r="T491" s="18"/>
      <c r="U491" s="18"/>
      <c r="V491" s="18"/>
      <c r="W491" s="18"/>
    </row>
    <row r="492" ht="15.75" customHeight="1">
      <c r="A492" s="14"/>
      <c r="E492" s="18"/>
      <c r="F492" s="18"/>
      <c r="G492" s="18"/>
      <c r="K492" s="12"/>
      <c r="L492" s="12"/>
      <c r="M492" s="12"/>
      <c r="N492" s="18"/>
      <c r="P492" s="16"/>
      <c r="T492" s="18"/>
      <c r="U492" s="18"/>
      <c r="V492" s="18"/>
      <c r="W492" s="18"/>
    </row>
    <row r="493" ht="15.75" customHeight="1">
      <c r="A493" s="14"/>
      <c r="E493" s="18"/>
      <c r="F493" s="18"/>
      <c r="G493" s="18"/>
      <c r="K493" s="12"/>
      <c r="L493" s="12"/>
      <c r="M493" s="12"/>
      <c r="N493" s="18"/>
      <c r="P493" s="16"/>
      <c r="T493" s="18"/>
      <c r="U493" s="18"/>
      <c r="V493" s="18"/>
      <c r="W493" s="18"/>
    </row>
    <row r="494" ht="15.75" customHeight="1">
      <c r="A494" s="14"/>
      <c r="E494" s="18"/>
      <c r="F494" s="18"/>
      <c r="G494" s="18"/>
      <c r="K494" s="12"/>
      <c r="L494" s="12"/>
      <c r="M494" s="12"/>
      <c r="N494" s="18"/>
      <c r="P494" s="16"/>
      <c r="T494" s="18"/>
      <c r="U494" s="18"/>
      <c r="V494" s="18"/>
      <c r="W494" s="18"/>
    </row>
    <row r="495" ht="15.75" customHeight="1">
      <c r="A495" s="14"/>
      <c r="E495" s="18"/>
      <c r="F495" s="18"/>
      <c r="G495" s="18"/>
      <c r="K495" s="12"/>
      <c r="L495" s="12"/>
      <c r="M495" s="12"/>
      <c r="N495" s="18"/>
      <c r="P495" s="16"/>
      <c r="T495" s="18"/>
      <c r="U495" s="18"/>
      <c r="V495" s="18"/>
      <c r="W495" s="18"/>
    </row>
    <row r="496" ht="15.75" customHeight="1">
      <c r="A496" s="14"/>
      <c r="E496" s="18"/>
      <c r="F496" s="18"/>
      <c r="G496" s="18"/>
      <c r="K496" s="12"/>
      <c r="L496" s="12"/>
      <c r="M496" s="12"/>
      <c r="N496" s="18"/>
      <c r="P496" s="16"/>
      <c r="T496" s="18"/>
      <c r="U496" s="18"/>
      <c r="V496" s="18"/>
      <c r="W496" s="18"/>
    </row>
    <row r="497" ht="15.75" customHeight="1">
      <c r="A497" s="14"/>
      <c r="E497" s="18"/>
      <c r="F497" s="18"/>
      <c r="G497" s="18"/>
      <c r="K497" s="12"/>
      <c r="L497" s="12"/>
      <c r="M497" s="12"/>
      <c r="N497" s="18"/>
      <c r="P497" s="16"/>
      <c r="T497" s="18"/>
      <c r="U497" s="18"/>
      <c r="V497" s="18"/>
      <c r="W497" s="18"/>
    </row>
    <row r="498" ht="15.75" customHeight="1">
      <c r="A498" s="14"/>
      <c r="E498" s="18"/>
      <c r="F498" s="18"/>
      <c r="G498" s="18"/>
      <c r="K498" s="12"/>
      <c r="L498" s="12"/>
      <c r="M498" s="12"/>
      <c r="N498" s="18"/>
      <c r="P498" s="16"/>
      <c r="T498" s="18"/>
      <c r="U498" s="18"/>
      <c r="V498" s="18"/>
      <c r="W498" s="18"/>
    </row>
    <row r="499" ht="15.75" customHeight="1">
      <c r="A499" s="14"/>
      <c r="E499" s="18"/>
      <c r="F499" s="18"/>
      <c r="G499" s="18"/>
      <c r="K499" s="12"/>
      <c r="L499" s="12"/>
      <c r="M499" s="12"/>
      <c r="N499" s="18"/>
      <c r="P499" s="16"/>
      <c r="T499" s="18"/>
      <c r="U499" s="18"/>
      <c r="V499" s="18"/>
      <c r="W499" s="18"/>
    </row>
    <row r="500" ht="15.75" customHeight="1">
      <c r="A500" s="14"/>
      <c r="E500" s="18"/>
      <c r="F500" s="18"/>
      <c r="G500" s="18"/>
      <c r="K500" s="12"/>
      <c r="L500" s="12"/>
      <c r="M500" s="12"/>
      <c r="N500" s="18"/>
      <c r="P500" s="16"/>
      <c r="T500" s="18"/>
      <c r="U500" s="18"/>
      <c r="V500" s="18"/>
      <c r="W500" s="18"/>
    </row>
    <row r="501" ht="15.75" customHeight="1">
      <c r="A501" s="14"/>
      <c r="E501" s="18"/>
      <c r="F501" s="18"/>
      <c r="G501" s="18"/>
      <c r="K501" s="12"/>
      <c r="L501" s="12"/>
      <c r="M501" s="12"/>
      <c r="N501" s="18"/>
      <c r="P501" s="16"/>
      <c r="T501" s="18"/>
      <c r="U501" s="18"/>
      <c r="V501" s="18"/>
      <c r="W501" s="18"/>
    </row>
    <row r="502" ht="15.75" customHeight="1">
      <c r="A502" s="14"/>
      <c r="E502" s="18"/>
      <c r="F502" s="18"/>
      <c r="G502" s="18"/>
      <c r="K502" s="12"/>
      <c r="L502" s="12"/>
      <c r="M502" s="12"/>
      <c r="N502" s="18"/>
      <c r="P502" s="16"/>
      <c r="T502" s="18"/>
      <c r="U502" s="18"/>
      <c r="V502" s="18"/>
      <c r="W502" s="18"/>
    </row>
    <row r="503" ht="15.75" customHeight="1">
      <c r="A503" s="14"/>
      <c r="E503" s="18"/>
      <c r="F503" s="18"/>
      <c r="G503" s="18"/>
      <c r="K503" s="12"/>
      <c r="L503" s="12"/>
      <c r="M503" s="12"/>
      <c r="N503" s="18"/>
      <c r="P503" s="16"/>
      <c r="T503" s="18"/>
      <c r="U503" s="18"/>
      <c r="V503" s="18"/>
      <c r="W503" s="18"/>
    </row>
    <row r="504" ht="15.75" customHeight="1">
      <c r="A504" s="14"/>
      <c r="E504" s="18"/>
      <c r="F504" s="18"/>
      <c r="G504" s="18"/>
      <c r="K504" s="12"/>
      <c r="L504" s="12"/>
      <c r="M504" s="12"/>
      <c r="N504" s="18"/>
      <c r="P504" s="16"/>
      <c r="T504" s="18"/>
      <c r="U504" s="18"/>
      <c r="V504" s="18"/>
      <c r="W504" s="18"/>
    </row>
    <row r="505" ht="15.75" customHeight="1">
      <c r="A505" s="14"/>
      <c r="E505" s="18"/>
      <c r="F505" s="18"/>
      <c r="G505" s="18"/>
      <c r="K505" s="12"/>
      <c r="L505" s="12"/>
      <c r="M505" s="12"/>
      <c r="N505" s="18"/>
      <c r="P505" s="16"/>
      <c r="T505" s="18"/>
      <c r="U505" s="18"/>
      <c r="V505" s="18"/>
      <c r="W505" s="18"/>
    </row>
    <row r="506" ht="15.75" customHeight="1">
      <c r="A506" s="14"/>
      <c r="E506" s="18"/>
      <c r="F506" s="18"/>
      <c r="G506" s="18"/>
      <c r="K506" s="12"/>
      <c r="L506" s="12"/>
      <c r="M506" s="12"/>
      <c r="N506" s="18"/>
      <c r="P506" s="16"/>
      <c r="T506" s="18"/>
      <c r="U506" s="18"/>
      <c r="V506" s="18"/>
      <c r="W506" s="18"/>
    </row>
    <row r="507" ht="15.75" customHeight="1">
      <c r="A507" s="14"/>
      <c r="E507" s="18"/>
      <c r="F507" s="18"/>
      <c r="G507" s="18"/>
      <c r="K507" s="12"/>
      <c r="L507" s="12"/>
      <c r="M507" s="12"/>
      <c r="N507" s="18"/>
      <c r="P507" s="16"/>
      <c r="T507" s="18"/>
      <c r="U507" s="18"/>
      <c r="V507" s="18"/>
      <c r="W507" s="18"/>
    </row>
    <row r="508" ht="15.75" customHeight="1">
      <c r="A508" s="14"/>
      <c r="E508" s="18"/>
      <c r="F508" s="18"/>
      <c r="G508" s="18"/>
      <c r="K508" s="12"/>
      <c r="L508" s="12"/>
      <c r="M508" s="12"/>
      <c r="N508" s="18"/>
      <c r="P508" s="16"/>
      <c r="T508" s="18"/>
      <c r="U508" s="18"/>
      <c r="V508" s="18"/>
      <c r="W508" s="18"/>
    </row>
    <row r="509" ht="15.75" customHeight="1">
      <c r="A509" s="14"/>
      <c r="E509" s="18"/>
      <c r="F509" s="18"/>
      <c r="G509" s="18"/>
      <c r="K509" s="12"/>
      <c r="L509" s="12"/>
      <c r="M509" s="12"/>
      <c r="N509" s="18"/>
      <c r="P509" s="16"/>
      <c r="T509" s="18"/>
      <c r="U509" s="18"/>
      <c r="V509" s="18"/>
      <c r="W509" s="18"/>
    </row>
    <row r="510" ht="15.75" customHeight="1">
      <c r="A510" s="14"/>
      <c r="E510" s="18"/>
      <c r="F510" s="18"/>
      <c r="G510" s="18"/>
      <c r="K510" s="12"/>
      <c r="L510" s="12"/>
      <c r="M510" s="12"/>
      <c r="N510" s="18"/>
      <c r="P510" s="16"/>
      <c r="T510" s="18"/>
      <c r="U510" s="18"/>
      <c r="V510" s="18"/>
      <c r="W510" s="18"/>
    </row>
    <row r="511" ht="15.75" customHeight="1">
      <c r="A511" s="14"/>
      <c r="E511" s="18"/>
      <c r="F511" s="18"/>
      <c r="G511" s="18"/>
      <c r="K511" s="12"/>
      <c r="L511" s="12"/>
      <c r="M511" s="12"/>
      <c r="N511" s="18"/>
      <c r="P511" s="16"/>
      <c r="T511" s="18"/>
      <c r="U511" s="18"/>
      <c r="V511" s="18"/>
      <c r="W511" s="18"/>
    </row>
    <row r="512" ht="15.75" customHeight="1">
      <c r="A512" s="14"/>
      <c r="E512" s="18"/>
      <c r="F512" s="18"/>
      <c r="G512" s="18"/>
      <c r="K512" s="12"/>
      <c r="L512" s="12"/>
      <c r="M512" s="12"/>
      <c r="N512" s="18"/>
      <c r="P512" s="16"/>
      <c r="T512" s="18"/>
      <c r="U512" s="18"/>
      <c r="V512" s="18"/>
      <c r="W512" s="18"/>
    </row>
    <row r="513" ht="15.75" customHeight="1">
      <c r="A513" s="14"/>
      <c r="E513" s="18"/>
      <c r="F513" s="18"/>
      <c r="G513" s="18"/>
      <c r="K513" s="12"/>
      <c r="L513" s="12"/>
      <c r="M513" s="12"/>
      <c r="N513" s="18"/>
      <c r="P513" s="16"/>
      <c r="T513" s="18"/>
      <c r="U513" s="18"/>
      <c r="V513" s="18"/>
      <c r="W513" s="18"/>
    </row>
    <row r="514" ht="15.75" customHeight="1">
      <c r="A514" s="14"/>
      <c r="E514" s="18"/>
      <c r="F514" s="18"/>
      <c r="G514" s="18"/>
      <c r="K514" s="12"/>
      <c r="L514" s="12"/>
      <c r="M514" s="12"/>
      <c r="N514" s="18"/>
      <c r="P514" s="16"/>
      <c r="T514" s="18"/>
      <c r="U514" s="18"/>
      <c r="V514" s="18"/>
      <c r="W514" s="18"/>
    </row>
    <row r="515" ht="15.75" customHeight="1">
      <c r="A515" s="14"/>
      <c r="E515" s="18"/>
      <c r="F515" s="18"/>
      <c r="G515" s="18"/>
      <c r="K515" s="12"/>
      <c r="L515" s="12"/>
      <c r="M515" s="12"/>
      <c r="N515" s="18"/>
      <c r="P515" s="16"/>
      <c r="T515" s="18"/>
      <c r="U515" s="18"/>
      <c r="V515" s="18"/>
      <c r="W515" s="18"/>
    </row>
    <row r="516" ht="15.75" customHeight="1">
      <c r="A516" s="14"/>
      <c r="E516" s="18"/>
      <c r="F516" s="18"/>
      <c r="G516" s="18"/>
      <c r="K516" s="12"/>
      <c r="L516" s="12"/>
      <c r="M516" s="12"/>
      <c r="N516" s="18"/>
      <c r="P516" s="16"/>
      <c r="T516" s="18"/>
      <c r="U516" s="18"/>
      <c r="V516" s="18"/>
      <c r="W516" s="18"/>
    </row>
    <row r="517" ht="15.75" customHeight="1">
      <c r="A517" s="14"/>
      <c r="E517" s="18"/>
      <c r="F517" s="18"/>
      <c r="G517" s="18"/>
      <c r="K517" s="12"/>
      <c r="L517" s="12"/>
      <c r="M517" s="12"/>
      <c r="N517" s="18"/>
      <c r="P517" s="16"/>
      <c r="T517" s="18"/>
      <c r="U517" s="18"/>
      <c r="V517" s="18"/>
      <c r="W517" s="18"/>
    </row>
    <row r="518" ht="15.75" customHeight="1">
      <c r="A518" s="14"/>
      <c r="E518" s="18"/>
      <c r="F518" s="18"/>
      <c r="G518" s="18"/>
      <c r="K518" s="12"/>
      <c r="L518" s="12"/>
      <c r="M518" s="12"/>
      <c r="N518" s="18"/>
      <c r="P518" s="16"/>
      <c r="T518" s="18"/>
      <c r="U518" s="18"/>
      <c r="V518" s="18"/>
      <c r="W518" s="18"/>
    </row>
    <row r="519" ht="15.75" customHeight="1">
      <c r="A519" s="14"/>
      <c r="E519" s="18"/>
      <c r="F519" s="18"/>
      <c r="G519" s="18"/>
      <c r="K519" s="12"/>
      <c r="L519" s="12"/>
      <c r="M519" s="12"/>
      <c r="N519" s="18"/>
      <c r="P519" s="16"/>
      <c r="T519" s="18"/>
      <c r="U519" s="18"/>
      <c r="V519" s="18"/>
      <c r="W519" s="18"/>
    </row>
    <row r="520" ht="15.75" customHeight="1">
      <c r="A520" s="14"/>
      <c r="E520" s="18"/>
      <c r="F520" s="18"/>
      <c r="G520" s="18"/>
      <c r="K520" s="12"/>
      <c r="L520" s="12"/>
      <c r="M520" s="12"/>
      <c r="N520" s="18"/>
      <c r="P520" s="16"/>
      <c r="T520" s="18"/>
      <c r="U520" s="18"/>
      <c r="V520" s="18"/>
      <c r="W520" s="18"/>
    </row>
    <row r="521" ht="15.75" customHeight="1">
      <c r="A521" s="14"/>
      <c r="E521" s="18"/>
      <c r="F521" s="18"/>
      <c r="G521" s="18"/>
      <c r="K521" s="12"/>
      <c r="L521" s="12"/>
      <c r="M521" s="12"/>
      <c r="N521" s="18"/>
      <c r="P521" s="16"/>
      <c r="T521" s="18"/>
      <c r="U521" s="18"/>
      <c r="V521" s="18"/>
      <c r="W521" s="18"/>
    </row>
    <row r="522" ht="15.75" customHeight="1">
      <c r="A522" s="14"/>
      <c r="E522" s="18"/>
      <c r="F522" s="18"/>
      <c r="G522" s="18"/>
      <c r="K522" s="12"/>
      <c r="L522" s="12"/>
      <c r="M522" s="12"/>
      <c r="N522" s="18"/>
      <c r="P522" s="16"/>
      <c r="T522" s="18"/>
      <c r="U522" s="18"/>
      <c r="V522" s="18"/>
      <c r="W522" s="18"/>
    </row>
    <row r="523" ht="15.75" customHeight="1">
      <c r="A523" s="14"/>
      <c r="E523" s="18"/>
      <c r="F523" s="18"/>
      <c r="G523" s="18"/>
      <c r="K523" s="12"/>
      <c r="L523" s="12"/>
      <c r="M523" s="12"/>
      <c r="N523" s="18"/>
      <c r="P523" s="16"/>
      <c r="T523" s="18"/>
      <c r="U523" s="18"/>
      <c r="V523" s="18"/>
      <c r="W523" s="18"/>
    </row>
    <row r="524" ht="15.75" customHeight="1">
      <c r="A524" s="14"/>
      <c r="E524" s="18"/>
      <c r="F524" s="18"/>
      <c r="G524" s="18"/>
      <c r="K524" s="12"/>
      <c r="L524" s="12"/>
      <c r="M524" s="12"/>
      <c r="N524" s="18"/>
      <c r="P524" s="16"/>
      <c r="T524" s="18"/>
      <c r="U524" s="18"/>
      <c r="V524" s="18"/>
      <c r="W524" s="18"/>
    </row>
    <row r="525" ht="15.75" customHeight="1">
      <c r="A525" s="14"/>
      <c r="E525" s="18"/>
      <c r="F525" s="18"/>
      <c r="G525" s="18"/>
      <c r="K525" s="12"/>
      <c r="L525" s="12"/>
      <c r="M525" s="12"/>
      <c r="N525" s="18"/>
      <c r="P525" s="16"/>
      <c r="T525" s="18"/>
      <c r="U525" s="18"/>
      <c r="V525" s="18"/>
      <c r="W525" s="18"/>
    </row>
    <row r="526" ht="15.75" customHeight="1">
      <c r="A526" s="14"/>
      <c r="E526" s="18"/>
      <c r="F526" s="18"/>
      <c r="G526" s="18"/>
      <c r="K526" s="12"/>
      <c r="L526" s="12"/>
      <c r="M526" s="12"/>
      <c r="N526" s="18"/>
      <c r="P526" s="16"/>
      <c r="T526" s="18"/>
      <c r="U526" s="18"/>
      <c r="V526" s="18"/>
      <c r="W526" s="18"/>
    </row>
    <row r="527" ht="15.75" customHeight="1">
      <c r="A527" s="14"/>
      <c r="E527" s="18"/>
      <c r="F527" s="18"/>
      <c r="G527" s="18"/>
      <c r="K527" s="12"/>
      <c r="L527" s="12"/>
      <c r="M527" s="12"/>
      <c r="N527" s="18"/>
      <c r="P527" s="16"/>
      <c r="T527" s="18"/>
      <c r="U527" s="18"/>
      <c r="V527" s="18"/>
      <c r="W527" s="18"/>
    </row>
    <row r="528" ht="15.75" customHeight="1">
      <c r="A528" s="14"/>
      <c r="E528" s="18"/>
      <c r="F528" s="18"/>
      <c r="G528" s="18"/>
      <c r="K528" s="12"/>
      <c r="L528" s="12"/>
      <c r="M528" s="12"/>
      <c r="N528" s="18"/>
      <c r="P528" s="16"/>
      <c r="T528" s="18"/>
      <c r="U528" s="18"/>
      <c r="V528" s="18"/>
      <c r="W528" s="18"/>
    </row>
    <row r="529" ht="15.75" customHeight="1">
      <c r="A529" s="14"/>
      <c r="E529" s="18"/>
      <c r="F529" s="18"/>
      <c r="G529" s="18"/>
      <c r="K529" s="12"/>
      <c r="L529" s="12"/>
      <c r="M529" s="12"/>
      <c r="N529" s="18"/>
      <c r="P529" s="16"/>
      <c r="T529" s="18"/>
      <c r="U529" s="18"/>
      <c r="V529" s="18"/>
      <c r="W529" s="18"/>
    </row>
    <row r="530" ht="15.75" customHeight="1">
      <c r="A530" s="14"/>
      <c r="E530" s="18"/>
      <c r="F530" s="18"/>
      <c r="G530" s="18"/>
      <c r="K530" s="12"/>
      <c r="L530" s="12"/>
      <c r="M530" s="12"/>
      <c r="N530" s="18"/>
      <c r="P530" s="16"/>
      <c r="T530" s="18"/>
      <c r="U530" s="18"/>
      <c r="V530" s="18"/>
      <c r="W530" s="18"/>
    </row>
    <row r="531" ht="15.75" customHeight="1">
      <c r="A531" s="14"/>
      <c r="E531" s="18"/>
      <c r="F531" s="18"/>
      <c r="G531" s="18"/>
      <c r="K531" s="12"/>
      <c r="L531" s="12"/>
      <c r="M531" s="12"/>
      <c r="N531" s="18"/>
      <c r="P531" s="16"/>
      <c r="T531" s="18"/>
      <c r="U531" s="18"/>
      <c r="V531" s="18"/>
      <c r="W531" s="18"/>
    </row>
    <row r="532" ht="15.75" customHeight="1">
      <c r="A532" s="14"/>
      <c r="E532" s="18"/>
      <c r="F532" s="18"/>
      <c r="G532" s="18"/>
      <c r="K532" s="12"/>
      <c r="L532" s="12"/>
      <c r="M532" s="12"/>
      <c r="N532" s="18"/>
      <c r="P532" s="16"/>
      <c r="T532" s="18"/>
      <c r="U532" s="18"/>
      <c r="V532" s="18"/>
      <c r="W532" s="18"/>
    </row>
    <row r="533" ht="15.75" customHeight="1">
      <c r="A533" s="14"/>
      <c r="E533" s="18"/>
      <c r="F533" s="18"/>
      <c r="G533" s="18"/>
      <c r="K533" s="12"/>
      <c r="L533" s="12"/>
      <c r="M533" s="12"/>
      <c r="N533" s="18"/>
      <c r="P533" s="16"/>
      <c r="T533" s="18"/>
      <c r="U533" s="18"/>
      <c r="V533" s="18"/>
      <c r="W533" s="18"/>
    </row>
    <row r="534" ht="15.75" customHeight="1">
      <c r="A534" s="14"/>
      <c r="E534" s="18"/>
      <c r="F534" s="18"/>
      <c r="G534" s="18"/>
      <c r="K534" s="12"/>
      <c r="L534" s="12"/>
      <c r="M534" s="12"/>
      <c r="N534" s="18"/>
      <c r="P534" s="16"/>
      <c r="T534" s="18"/>
      <c r="U534" s="18"/>
      <c r="V534" s="18"/>
      <c r="W534" s="18"/>
    </row>
    <row r="535" ht="15.75" customHeight="1">
      <c r="A535" s="14"/>
      <c r="E535" s="18"/>
      <c r="F535" s="18"/>
      <c r="G535" s="18"/>
      <c r="K535" s="12"/>
      <c r="L535" s="12"/>
      <c r="M535" s="12"/>
      <c r="N535" s="18"/>
      <c r="P535" s="16"/>
      <c r="T535" s="18"/>
      <c r="U535" s="18"/>
      <c r="V535" s="18"/>
      <c r="W535" s="18"/>
    </row>
    <row r="536" ht="15.75" customHeight="1">
      <c r="A536" s="14"/>
      <c r="E536" s="18"/>
      <c r="F536" s="18"/>
      <c r="G536" s="18"/>
      <c r="K536" s="12"/>
      <c r="L536" s="12"/>
      <c r="M536" s="12"/>
      <c r="N536" s="18"/>
      <c r="P536" s="16"/>
      <c r="T536" s="18"/>
      <c r="U536" s="18"/>
      <c r="V536" s="18"/>
      <c r="W536" s="18"/>
    </row>
    <row r="537" ht="15.75" customHeight="1">
      <c r="A537" s="14"/>
      <c r="E537" s="18"/>
      <c r="F537" s="18"/>
      <c r="G537" s="18"/>
      <c r="K537" s="12"/>
      <c r="L537" s="12"/>
      <c r="M537" s="12"/>
      <c r="N537" s="18"/>
      <c r="P537" s="16"/>
      <c r="T537" s="18"/>
      <c r="U537" s="18"/>
      <c r="V537" s="18"/>
      <c r="W537" s="18"/>
    </row>
    <row r="538" ht="15.75" customHeight="1">
      <c r="A538" s="14"/>
      <c r="E538" s="18"/>
      <c r="F538" s="18"/>
      <c r="G538" s="18"/>
      <c r="K538" s="12"/>
      <c r="L538" s="12"/>
      <c r="M538" s="12"/>
      <c r="N538" s="18"/>
      <c r="P538" s="16"/>
      <c r="T538" s="18"/>
      <c r="U538" s="18"/>
      <c r="V538" s="18"/>
      <c r="W538" s="18"/>
    </row>
    <row r="539" ht="15.75" customHeight="1">
      <c r="A539" s="14"/>
      <c r="E539" s="18"/>
      <c r="F539" s="18"/>
      <c r="G539" s="18"/>
      <c r="K539" s="12"/>
      <c r="L539" s="12"/>
      <c r="M539" s="12"/>
      <c r="N539" s="18"/>
      <c r="P539" s="16"/>
      <c r="T539" s="18"/>
      <c r="U539" s="18"/>
      <c r="V539" s="18"/>
      <c r="W539" s="18"/>
    </row>
    <row r="540" ht="15.75" customHeight="1">
      <c r="A540" s="14"/>
      <c r="E540" s="18"/>
      <c r="F540" s="18"/>
      <c r="G540" s="18"/>
      <c r="P540" s="16"/>
      <c r="T540" s="18"/>
      <c r="U540" s="18"/>
      <c r="V540" s="18"/>
    </row>
    <row r="541" ht="15.75" customHeight="1">
      <c r="A541" s="14"/>
      <c r="E541" s="18"/>
      <c r="F541" s="18"/>
      <c r="G541" s="18"/>
      <c r="P541" s="16"/>
      <c r="T541" s="18"/>
      <c r="U541" s="18"/>
      <c r="V541" s="18"/>
    </row>
    <row r="542" ht="15.75" customHeight="1">
      <c r="A542" s="14"/>
      <c r="E542" s="18"/>
      <c r="F542" s="18"/>
      <c r="G542" s="18"/>
      <c r="P542" s="16"/>
      <c r="T542" s="18"/>
      <c r="U542" s="18"/>
      <c r="V542" s="18"/>
    </row>
    <row r="543" ht="15.75" customHeight="1">
      <c r="A543" s="14"/>
      <c r="E543" s="18"/>
      <c r="F543" s="18"/>
      <c r="G543" s="18"/>
      <c r="P543" s="16"/>
      <c r="T543" s="18"/>
      <c r="U543" s="18"/>
      <c r="V543" s="18"/>
    </row>
    <row r="544" ht="15.75" customHeight="1">
      <c r="A544" s="14"/>
      <c r="E544" s="18"/>
      <c r="F544" s="18"/>
      <c r="G544" s="18"/>
      <c r="P544" s="16"/>
      <c r="T544" s="18"/>
      <c r="U544" s="18"/>
      <c r="V544" s="18"/>
    </row>
    <row r="545" ht="15.75" customHeight="1">
      <c r="A545" s="14"/>
      <c r="E545" s="18"/>
      <c r="F545" s="18"/>
      <c r="G545" s="18"/>
      <c r="P545" s="16"/>
      <c r="T545" s="18"/>
      <c r="U545" s="18"/>
      <c r="V545" s="18"/>
    </row>
    <row r="546" ht="15.75" customHeight="1">
      <c r="A546" s="14"/>
      <c r="E546" s="18"/>
      <c r="F546" s="18"/>
      <c r="G546" s="18"/>
      <c r="P546" s="16"/>
      <c r="T546" s="18"/>
      <c r="U546" s="18"/>
      <c r="V546" s="18"/>
    </row>
    <row r="547" ht="15.75" customHeight="1">
      <c r="A547" s="14"/>
      <c r="E547" s="18"/>
      <c r="F547" s="18"/>
      <c r="G547" s="18"/>
      <c r="P547" s="16"/>
      <c r="T547" s="18"/>
      <c r="U547" s="18"/>
      <c r="V547" s="18"/>
    </row>
    <row r="548" ht="15.75" customHeight="1">
      <c r="A548" s="14"/>
      <c r="E548" s="18"/>
      <c r="F548" s="18"/>
      <c r="G548" s="18"/>
      <c r="P548" s="16"/>
      <c r="T548" s="18"/>
      <c r="U548" s="18"/>
      <c r="V548" s="18"/>
    </row>
    <row r="549" ht="15.75" customHeight="1">
      <c r="A549" s="14"/>
      <c r="E549" s="18"/>
      <c r="F549" s="18"/>
      <c r="G549" s="18"/>
      <c r="P549" s="16"/>
      <c r="T549" s="18"/>
      <c r="U549" s="18"/>
      <c r="V549" s="18"/>
    </row>
    <row r="550" ht="15.75" customHeight="1">
      <c r="A550" s="14"/>
      <c r="E550" s="18"/>
      <c r="F550" s="18"/>
      <c r="G550" s="18"/>
      <c r="P550" s="16"/>
      <c r="T550" s="18"/>
      <c r="U550" s="18"/>
      <c r="V550" s="18"/>
    </row>
    <row r="551" ht="15.75" customHeight="1">
      <c r="A551" s="14"/>
      <c r="E551" s="18"/>
      <c r="F551" s="18"/>
      <c r="G551" s="18"/>
      <c r="P551" s="16"/>
      <c r="T551" s="18"/>
      <c r="U551" s="18"/>
      <c r="V551" s="18"/>
    </row>
    <row r="552" ht="15.75" customHeight="1">
      <c r="A552" s="14"/>
      <c r="E552" s="18"/>
      <c r="F552" s="18"/>
      <c r="G552" s="18"/>
      <c r="P552" s="16"/>
      <c r="T552" s="18"/>
      <c r="U552" s="18"/>
      <c r="V552" s="18"/>
    </row>
    <row r="553" ht="15.75" customHeight="1">
      <c r="A553" s="14"/>
      <c r="E553" s="18"/>
      <c r="F553" s="18"/>
      <c r="G553" s="18"/>
      <c r="P553" s="16"/>
      <c r="T553" s="18"/>
      <c r="U553" s="18"/>
      <c r="V553" s="18"/>
    </row>
    <row r="554" ht="15.75" customHeight="1">
      <c r="A554" s="14"/>
      <c r="E554" s="18"/>
      <c r="F554" s="18"/>
      <c r="G554" s="18"/>
      <c r="P554" s="16"/>
      <c r="T554" s="18"/>
      <c r="U554" s="18"/>
      <c r="V554" s="18"/>
    </row>
    <row r="555" ht="15.75" customHeight="1">
      <c r="A555" s="14"/>
      <c r="E555" s="18"/>
      <c r="F555" s="18"/>
      <c r="G555" s="18"/>
      <c r="P555" s="16"/>
      <c r="T555" s="18"/>
      <c r="U555" s="18"/>
      <c r="V555" s="18"/>
    </row>
    <row r="556" ht="15.75" customHeight="1">
      <c r="A556" s="14"/>
      <c r="E556" s="18"/>
      <c r="F556" s="18"/>
      <c r="G556" s="18"/>
      <c r="P556" s="16"/>
      <c r="T556" s="18"/>
      <c r="U556" s="18"/>
      <c r="V556" s="18"/>
    </row>
    <row r="557" ht="15.75" customHeight="1">
      <c r="A557" s="14"/>
      <c r="E557" s="18"/>
      <c r="F557" s="18"/>
      <c r="G557" s="18"/>
      <c r="P557" s="16"/>
      <c r="T557" s="18"/>
      <c r="U557" s="18"/>
      <c r="V557" s="18"/>
    </row>
    <row r="558" ht="15.75" customHeight="1">
      <c r="A558" s="14"/>
      <c r="E558" s="18"/>
      <c r="F558" s="18"/>
      <c r="G558" s="18"/>
      <c r="P558" s="16"/>
      <c r="T558" s="18"/>
      <c r="U558" s="18"/>
      <c r="V558" s="18"/>
    </row>
    <row r="559" ht="15.75" customHeight="1">
      <c r="A559" s="14"/>
      <c r="E559" s="18"/>
      <c r="F559" s="18"/>
      <c r="G559" s="18"/>
      <c r="P559" s="16"/>
      <c r="T559" s="18"/>
      <c r="U559" s="18"/>
      <c r="V559" s="18"/>
    </row>
    <row r="560" ht="15.75" customHeight="1">
      <c r="A560" s="14"/>
      <c r="E560" s="18"/>
      <c r="F560" s="18"/>
      <c r="G560" s="18"/>
      <c r="P560" s="16"/>
      <c r="T560" s="18"/>
      <c r="U560" s="18"/>
      <c r="V560" s="18"/>
    </row>
    <row r="561" ht="15.75" customHeight="1">
      <c r="A561" s="14"/>
      <c r="E561" s="18"/>
      <c r="F561" s="18"/>
      <c r="G561" s="18"/>
      <c r="P561" s="16"/>
      <c r="T561" s="18"/>
      <c r="U561" s="18"/>
      <c r="V561" s="18"/>
    </row>
    <row r="562" ht="15.75" customHeight="1">
      <c r="A562" s="14"/>
      <c r="E562" s="18"/>
      <c r="F562" s="18"/>
      <c r="G562" s="18"/>
      <c r="P562" s="16"/>
      <c r="T562" s="18"/>
      <c r="U562" s="18"/>
      <c r="V562" s="18"/>
    </row>
    <row r="563" ht="15.75" customHeight="1">
      <c r="A563" s="14"/>
      <c r="E563" s="18"/>
      <c r="F563" s="18"/>
      <c r="G563" s="18"/>
      <c r="P563" s="16"/>
      <c r="T563" s="18"/>
      <c r="U563" s="18"/>
      <c r="V563" s="18"/>
    </row>
    <row r="564" ht="15.75" customHeight="1">
      <c r="A564" s="14"/>
      <c r="E564" s="18"/>
      <c r="F564" s="18"/>
      <c r="G564" s="18"/>
      <c r="P564" s="16"/>
      <c r="T564" s="18"/>
      <c r="U564" s="18"/>
      <c r="V564" s="18"/>
    </row>
    <row r="565" ht="15.75" customHeight="1">
      <c r="A565" s="14"/>
      <c r="E565" s="18"/>
      <c r="F565" s="18"/>
      <c r="G565" s="18"/>
      <c r="P565" s="16"/>
      <c r="T565" s="18"/>
      <c r="U565" s="18"/>
      <c r="V565" s="18"/>
    </row>
    <row r="566" ht="15.75" customHeight="1">
      <c r="A566" s="14"/>
      <c r="E566" s="18"/>
      <c r="F566" s="18"/>
      <c r="G566" s="18"/>
      <c r="P566" s="16"/>
      <c r="T566" s="18"/>
      <c r="U566" s="18"/>
      <c r="V566" s="18"/>
    </row>
    <row r="567" ht="15.75" customHeight="1">
      <c r="A567" s="14"/>
      <c r="E567" s="18"/>
      <c r="F567" s="18"/>
      <c r="G567" s="18"/>
      <c r="P567" s="16"/>
      <c r="T567" s="18"/>
      <c r="U567" s="18"/>
      <c r="V567" s="18"/>
    </row>
    <row r="568" ht="15.75" customHeight="1">
      <c r="A568" s="14"/>
      <c r="E568" s="18"/>
      <c r="F568" s="18"/>
      <c r="G568" s="18"/>
      <c r="P568" s="16"/>
      <c r="T568" s="18"/>
      <c r="U568" s="18"/>
      <c r="V568" s="18"/>
    </row>
    <row r="569" ht="15.75" customHeight="1">
      <c r="A569" s="14"/>
      <c r="E569" s="18"/>
      <c r="F569" s="18"/>
      <c r="G569" s="18"/>
      <c r="P569" s="16"/>
      <c r="T569" s="18"/>
      <c r="U569" s="18"/>
      <c r="V569" s="18"/>
    </row>
    <row r="570" ht="15.75" customHeight="1">
      <c r="A570" s="14"/>
      <c r="E570" s="18"/>
      <c r="F570" s="18"/>
      <c r="G570" s="18"/>
      <c r="P570" s="16"/>
      <c r="T570" s="18"/>
      <c r="U570" s="18"/>
      <c r="V570" s="18"/>
    </row>
    <row r="571" ht="15.75" customHeight="1">
      <c r="A571" s="14"/>
      <c r="E571" s="18"/>
      <c r="F571" s="18"/>
      <c r="G571" s="18"/>
      <c r="P571" s="16"/>
      <c r="T571" s="18"/>
      <c r="U571" s="18"/>
      <c r="V571" s="18"/>
    </row>
    <row r="572" ht="15.75" customHeight="1">
      <c r="A572" s="14"/>
      <c r="E572" s="18"/>
      <c r="F572" s="18"/>
      <c r="G572" s="18"/>
      <c r="P572" s="16"/>
      <c r="T572" s="18"/>
      <c r="U572" s="18"/>
      <c r="V572" s="18"/>
    </row>
    <row r="573" ht="15.75" customHeight="1">
      <c r="A573" s="14"/>
      <c r="E573" s="18"/>
      <c r="F573" s="18"/>
      <c r="G573" s="18"/>
      <c r="P573" s="16"/>
      <c r="T573" s="18"/>
      <c r="U573" s="18"/>
      <c r="V573" s="18"/>
    </row>
    <row r="574" ht="15.75" customHeight="1">
      <c r="A574" s="14"/>
      <c r="E574" s="18"/>
      <c r="F574" s="18"/>
      <c r="G574" s="18"/>
      <c r="P574" s="16"/>
      <c r="T574" s="18"/>
      <c r="U574" s="18"/>
      <c r="V574" s="18"/>
    </row>
    <row r="575" ht="15.75" customHeight="1">
      <c r="A575" s="14"/>
      <c r="E575" s="18"/>
      <c r="F575" s="18"/>
      <c r="G575" s="18"/>
      <c r="P575" s="16"/>
      <c r="T575" s="18"/>
      <c r="U575" s="18"/>
      <c r="V575" s="18"/>
    </row>
    <row r="576" ht="15.75" customHeight="1">
      <c r="A576" s="14"/>
      <c r="E576" s="18"/>
      <c r="F576" s="18"/>
      <c r="G576" s="18"/>
      <c r="P576" s="16"/>
      <c r="T576" s="18"/>
      <c r="U576" s="18"/>
      <c r="V576" s="18"/>
    </row>
    <row r="577" ht="15.75" customHeight="1">
      <c r="A577" s="14"/>
      <c r="E577" s="18"/>
      <c r="F577" s="18"/>
      <c r="G577" s="18"/>
      <c r="P577" s="16"/>
      <c r="T577" s="18"/>
      <c r="U577" s="18"/>
      <c r="V577" s="18"/>
    </row>
    <row r="578" ht="15.75" customHeight="1">
      <c r="A578" s="14"/>
      <c r="E578" s="18"/>
      <c r="F578" s="18"/>
      <c r="G578" s="18"/>
      <c r="P578" s="16"/>
      <c r="T578" s="18"/>
      <c r="U578" s="18"/>
      <c r="V578" s="18"/>
    </row>
    <row r="579" ht="15.75" customHeight="1">
      <c r="A579" s="14"/>
      <c r="E579" s="18"/>
      <c r="F579" s="18"/>
      <c r="G579" s="18"/>
      <c r="P579" s="16"/>
      <c r="T579" s="18"/>
      <c r="U579" s="18"/>
      <c r="V579" s="18"/>
    </row>
    <row r="580" ht="15.75" customHeight="1">
      <c r="A580" s="14"/>
      <c r="E580" s="18"/>
      <c r="F580" s="18"/>
      <c r="G580" s="18"/>
      <c r="P580" s="16"/>
      <c r="T580" s="18"/>
      <c r="U580" s="18"/>
      <c r="V580" s="18"/>
    </row>
    <row r="581" ht="15.75" customHeight="1">
      <c r="A581" s="14"/>
      <c r="E581" s="18"/>
      <c r="F581" s="18"/>
      <c r="G581" s="18"/>
      <c r="P581" s="16"/>
      <c r="T581" s="18"/>
      <c r="U581" s="18"/>
      <c r="V581" s="18"/>
    </row>
    <row r="582" ht="15.75" customHeight="1">
      <c r="A582" s="14"/>
      <c r="E582" s="18"/>
      <c r="F582" s="18"/>
      <c r="G582" s="18"/>
      <c r="P582" s="16"/>
      <c r="T582" s="18"/>
      <c r="U582" s="18"/>
      <c r="V582" s="18"/>
    </row>
    <row r="583" ht="15.75" customHeight="1">
      <c r="A583" s="14"/>
      <c r="E583" s="18"/>
      <c r="F583" s="18"/>
      <c r="G583" s="18"/>
      <c r="P583" s="16"/>
      <c r="T583" s="18"/>
      <c r="U583" s="18"/>
      <c r="V583" s="18"/>
    </row>
    <row r="584" ht="15.75" customHeight="1">
      <c r="A584" s="14"/>
      <c r="E584" s="18"/>
      <c r="F584" s="18"/>
      <c r="G584" s="18"/>
      <c r="P584" s="16"/>
      <c r="T584" s="18"/>
      <c r="U584" s="18"/>
      <c r="V584" s="18"/>
    </row>
    <row r="585" ht="15.75" customHeight="1">
      <c r="A585" s="14"/>
      <c r="E585" s="18"/>
      <c r="F585" s="18"/>
      <c r="G585" s="18"/>
      <c r="P585" s="16"/>
      <c r="T585" s="18"/>
      <c r="U585" s="18"/>
      <c r="V585" s="18"/>
    </row>
    <row r="586" ht="15.75" customHeight="1">
      <c r="A586" s="14"/>
      <c r="E586" s="18"/>
      <c r="F586" s="18"/>
      <c r="G586" s="18"/>
      <c r="P586" s="16"/>
      <c r="T586" s="18"/>
      <c r="U586" s="18"/>
      <c r="V586" s="18"/>
    </row>
    <row r="587" ht="15.75" customHeight="1">
      <c r="A587" s="14"/>
      <c r="E587" s="18"/>
      <c r="F587" s="18"/>
      <c r="G587" s="18"/>
      <c r="P587" s="16"/>
      <c r="T587" s="18"/>
      <c r="U587" s="18"/>
      <c r="V587" s="18"/>
    </row>
    <row r="588" ht="15.75" customHeight="1">
      <c r="A588" s="14"/>
      <c r="E588" s="18"/>
      <c r="F588" s="18"/>
      <c r="G588" s="18"/>
      <c r="P588" s="16"/>
      <c r="T588" s="18"/>
      <c r="U588" s="18"/>
      <c r="V588" s="18"/>
    </row>
    <row r="589" ht="15.75" customHeight="1">
      <c r="A589" s="14"/>
      <c r="E589" s="18"/>
      <c r="F589" s="18"/>
      <c r="G589" s="18"/>
      <c r="P589" s="16"/>
      <c r="T589" s="18"/>
      <c r="U589" s="18"/>
      <c r="V589" s="18"/>
    </row>
    <row r="590" ht="15.75" customHeight="1">
      <c r="A590" s="14"/>
      <c r="E590" s="18"/>
      <c r="F590" s="18"/>
      <c r="G590" s="18"/>
      <c r="P590" s="16"/>
      <c r="T590" s="18"/>
      <c r="U590" s="18"/>
      <c r="V590" s="18"/>
    </row>
    <row r="591" ht="15.75" customHeight="1">
      <c r="A591" s="14"/>
      <c r="E591" s="18"/>
      <c r="F591" s="18"/>
      <c r="G591" s="18"/>
      <c r="P591" s="16"/>
      <c r="T591" s="18"/>
      <c r="U591" s="18"/>
      <c r="V591" s="18"/>
    </row>
    <row r="592" ht="15.75" customHeight="1">
      <c r="A592" s="14"/>
      <c r="E592" s="18"/>
      <c r="F592" s="18"/>
      <c r="G592" s="18"/>
      <c r="P592" s="16"/>
      <c r="T592" s="18"/>
      <c r="U592" s="18"/>
      <c r="V592" s="18"/>
    </row>
    <row r="593" ht="15.75" customHeight="1">
      <c r="A593" s="14"/>
      <c r="E593" s="18"/>
      <c r="F593" s="18"/>
      <c r="G593" s="18"/>
      <c r="P593" s="16"/>
      <c r="T593" s="18"/>
      <c r="U593" s="18"/>
      <c r="V593" s="18"/>
    </row>
    <row r="594" ht="15.75" customHeight="1">
      <c r="A594" s="14"/>
      <c r="E594" s="18"/>
      <c r="F594" s="18"/>
      <c r="G594" s="18"/>
      <c r="P594" s="16"/>
      <c r="T594" s="18"/>
      <c r="U594" s="18"/>
      <c r="V594" s="18"/>
    </row>
    <row r="595" ht="15.75" customHeight="1">
      <c r="A595" s="14"/>
      <c r="E595" s="18"/>
      <c r="F595" s="18"/>
      <c r="G595" s="18"/>
      <c r="P595" s="16"/>
      <c r="T595" s="18"/>
      <c r="U595" s="18"/>
      <c r="V595" s="18"/>
    </row>
    <row r="596" ht="15.75" customHeight="1">
      <c r="A596" s="14"/>
      <c r="E596" s="18"/>
      <c r="F596" s="18"/>
      <c r="G596" s="18"/>
      <c r="P596" s="16"/>
      <c r="T596" s="18"/>
      <c r="U596" s="18"/>
      <c r="V596" s="18"/>
    </row>
    <row r="597" ht="15.75" customHeight="1">
      <c r="A597" s="14"/>
      <c r="E597" s="18"/>
      <c r="F597" s="18"/>
      <c r="G597" s="18"/>
      <c r="P597" s="16"/>
      <c r="T597" s="18"/>
      <c r="U597" s="18"/>
      <c r="V597" s="18"/>
    </row>
    <row r="598" ht="15.75" customHeight="1">
      <c r="A598" s="14"/>
      <c r="E598" s="18"/>
      <c r="F598" s="18"/>
      <c r="G598" s="18"/>
      <c r="P598" s="16"/>
      <c r="T598" s="18"/>
      <c r="U598" s="18"/>
      <c r="V598" s="18"/>
    </row>
    <row r="599" ht="15.75" customHeight="1">
      <c r="A599" s="14"/>
      <c r="E599" s="18"/>
      <c r="F599" s="18"/>
      <c r="G599" s="18"/>
      <c r="P599" s="16"/>
      <c r="T599" s="18"/>
      <c r="U599" s="18"/>
      <c r="V599" s="18"/>
    </row>
    <row r="600" ht="15.75" customHeight="1">
      <c r="A600" s="14"/>
      <c r="E600" s="18"/>
      <c r="F600" s="18"/>
      <c r="G600" s="18"/>
      <c r="P600" s="16"/>
      <c r="T600" s="18"/>
      <c r="U600" s="18"/>
      <c r="V600" s="18"/>
    </row>
    <row r="601" ht="15.75" customHeight="1">
      <c r="A601" s="14"/>
      <c r="E601" s="18"/>
      <c r="F601" s="18"/>
      <c r="G601" s="18"/>
      <c r="P601" s="16"/>
      <c r="T601" s="18"/>
      <c r="U601" s="18"/>
      <c r="V601" s="18"/>
    </row>
    <row r="602" ht="15.75" customHeight="1">
      <c r="A602" s="14"/>
      <c r="E602" s="18"/>
      <c r="F602" s="18"/>
      <c r="G602" s="18"/>
      <c r="P602" s="16"/>
      <c r="T602" s="18"/>
      <c r="U602" s="18"/>
      <c r="V602" s="18"/>
    </row>
    <row r="603" ht="15.75" customHeight="1">
      <c r="A603" s="14"/>
      <c r="E603" s="18"/>
      <c r="F603" s="18"/>
      <c r="G603" s="18"/>
      <c r="P603" s="16"/>
      <c r="T603" s="18"/>
      <c r="U603" s="18"/>
      <c r="V603" s="18"/>
    </row>
    <row r="604" ht="15.75" customHeight="1">
      <c r="A604" s="14"/>
      <c r="E604" s="18"/>
      <c r="F604" s="18"/>
      <c r="G604" s="18"/>
      <c r="P604" s="16"/>
      <c r="T604" s="18"/>
      <c r="U604" s="18"/>
      <c r="V604" s="18"/>
    </row>
    <row r="605" ht="15.75" customHeight="1">
      <c r="A605" s="14"/>
      <c r="E605" s="18"/>
      <c r="F605" s="18"/>
      <c r="G605" s="18"/>
      <c r="P605" s="16"/>
      <c r="T605" s="18"/>
      <c r="U605" s="18"/>
      <c r="V605" s="18"/>
    </row>
    <row r="606" ht="15.75" customHeight="1">
      <c r="A606" s="14"/>
      <c r="E606" s="18"/>
      <c r="F606" s="18"/>
      <c r="G606" s="18"/>
      <c r="P606" s="16"/>
      <c r="T606" s="18"/>
      <c r="U606" s="18"/>
      <c r="V606" s="18"/>
    </row>
    <row r="607" ht="15.75" customHeight="1">
      <c r="A607" s="14"/>
      <c r="E607" s="18"/>
      <c r="F607" s="18"/>
      <c r="G607" s="18"/>
      <c r="P607" s="16"/>
      <c r="T607" s="18"/>
      <c r="U607" s="18"/>
      <c r="V607" s="18"/>
    </row>
    <row r="608" ht="15.75" customHeight="1">
      <c r="A608" s="14"/>
      <c r="E608" s="18"/>
      <c r="F608" s="18"/>
      <c r="G608" s="18"/>
      <c r="P608" s="16"/>
      <c r="T608" s="18"/>
      <c r="U608" s="18"/>
      <c r="V608" s="18"/>
    </row>
    <row r="609" ht="15.75" customHeight="1">
      <c r="A609" s="14"/>
      <c r="E609" s="18"/>
      <c r="F609" s="18"/>
      <c r="G609" s="18"/>
      <c r="P609" s="16"/>
      <c r="T609" s="18"/>
      <c r="U609" s="18"/>
      <c r="V609" s="18"/>
    </row>
    <row r="610" ht="15.75" customHeight="1">
      <c r="A610" s="14"/>
      <c r="E610" s="18"/>
      <c r="F610" s="18"/>
      <c r="G610" s="18"/>
      <c r="P610" s="16"/>
      <c r="T610" s="18"/>
      <c r="U610" s="18"/>
      <c r="V610" s="18"/>
    </row>
    <row r="611" ht="15.75" customHeight="1">
      <c r="A611" s="14"/>
      <c r="E611" s="18"/>
      <c r="F611" s="18"/>
      <c r="G611" s="18"/>
      <c r="P611" s="16"/>
      <c r="T611" s="18"/>
      <c r="U611" s="18"/>
      <c r="V611" s="18"/>
    </row>
    <row r="612" ht="15.75" customHeight="1">
      <c r="A612" s="14"/>
      <c r="E612" s="18"/>
      <c r="F612" s="18"/>
      <c r="G612" s="18"/>
      <c r="P612" s="16"/>
      <c r="T612" s="18"/>
      <c r="U612" s="18"/>
      <c r="V612" s="18"/>
    </row>
    <row r="613" ht="15.75" customHeight="1">
      <c r="A613" s="14"/>
      <c r="E613" s="18"/>
      <c r="F613" s="18"/>
      <c r="G613" s="18"/>
      <c r="P613" s="16"/>
      <c r="T613" s="18"/>
      <c r="U613" s="18"/>
      <c r="V613" s="18"/>
    </row>
    <row r="614" ht="15.75" customHeight="1">
      <c r="A614" s="14"/>
      <c r="E614" s="18"/>
      <c r="F614" s="18"/>
      <c r="G614" s="18"/>
      <c r="P614" s="16"/>
      <c r="T614" s="18"/>
      <c r="U614" s="18"/>
      <c r="V614" s="18"/>
    </row>
    <row r="615" ht="15.75" customHeight="1">
      <c r="A615" s="14"/>
      <c r="E615" s="18"/>
      <c r="F615" s="18"/>
      <c r="G615" s="18"/>
      <c r="P615" s="16"/>
      <c r="T615" s="18"/>
      <c r="U615" s="18"/>
      <c r="V615" s="18"/>
    </row>
    <row r="616" ht="15.75" customHeight="1">
      <c r="A616" s="14"/>
      <c r="E616" s="18"/>
      <c r="F616" s="18"/>
      <c r="G616" s="18"/>
      <c r="P616" s="16"/>
      <c r="T616" s="18"/>
      <c r="U616" s="18"/>
      <c r="V616" s="18"/>
    </row>
    <row r="617" ht="15.75" customHeight="1">
      <c r="A617" s="14"/>
      <c r="E617" s="18"/>
      <c r="F617" s="18"/>
      <c r="G617" s="18"/>
      <c r="P617" s="16"/>
      <c r="T617" s="18"/>
      <c r="U617" s="18"/>
      <c r="V617" s="18"/>
    </row>
    <row r="618" ht="15.75" customHeight="1">
      <c r="A618" s="14"/>
      <c r="E618" s="18"/>
      <c r="F618" s="18"/>
      <c r="G618" s="18"/>
      <c r="P618" s="16"/>
      <c r="T618" s="18"/>
      <c r="U618" s="18"/>
      <c r="V618" s="18"/>
    </row>
    <row r="619" ht="15.75" customHeight="1">
      <c r="A619" s="14"/>
      <c r="E619" s="18"/>
      <c r="F619" s="18"/>
      <c r="G619" s="18"/>
      <c r="P619" s="16"/>
      <c r="T619" s="18"/>
      <c r="U619" s="18"/>
      <c r="V619" s="18"/>
    </row>
    <row r="620" ht="15.75" customHeight="1">
      <c r="A620" s="14"/>
      <c r="E620" s="18"/>
      <c r="F620" s="18"/>
      <c r="G620" s="18"/>
      <c r="P620" s="16"/>
      <c r="T620" s="18"/>
      <c r="U620" s="18"/>
      <c r="V620" s="18"/>
    </row>
    <row r="621" ht="15.75" customHeight="1">
      <c r="A621" s="14"/>
      <c r="E621" s="18"/>
      <c r="F621" s="18"/>
      <c r="G621" s="18"/>
      <c r="P621" s="16"/>
      <c r="T621" s="18"/>
      <c r="U621" s="18"/>
      <c r="V621" s="18"/>
    </row>
    <row r="622" ht="15.75" customHeight="1">
      <c r="A622" s="14"/>
      <c r="E622" s="18"/>
      <c r="F622" s="18"/>
      <c r="G622" s="18"/>
      <c r="P622" s="16"/>
      <c r="T622" s="18"/>
      <c r="U622" s="18"/>
      <c r="V622" s="18"/>
    </row>
    <row r="623" ht="15.75" customHeight="1">
      <c r="A623" s="14"/>
      <c r="E623" s="18"/>
      <c r="F623" s="18"/>
      <c r="G623" s="18"/>
      <c r="P623" s="16"/>
      <c r="T623" s="18"/>
      <c r="U623" s="18"/>
      <c r="V623" s="18"/>
    </row>
    <row r="624" ht="15.75" customHeight="1">
      <c r="A624" s="14"/>
      <c r="E624" s="18"/>
      <c r="F624" s="18"/>
      <c r="G624" s="18"/>
      <c r="P624" s="16"/>
      <c r="T624" s="18"/>
      <c r="U624" s="18"/>
      <c r="V624" s="18"/>
    </row>
    <row r="625" ht="15.75" customHeight="1">
      <c r="A625" s="14"/>
      <c r="E625" s="18"/>
      <c r="F625" s="18"/>
      <c r="G625" s="18"/>
      <c r="P625" s="16"/>
      <c r="T625" s="18"/>
      <c r="U625" s="18"/>
      <c r="V625" s="18"/>
    </row>
    <row r="626" ht="15.75" customHeight="1">
      <c r="A626" s="14"/>
      <c r="E626" s="18"/>
      <c r="F626" s="18"/>
      <c r="G626" s="18"/>
      <c r="P626" s="16"/>
      <c r="T626" s="18"/>
      <c r="U626" s="18"/>
      <c r="V626" s="18"/>
    </row>
    <row r="627" ht="15.75" customHeight="1">
      <c r="A627" s="14"/>
      <c r="E627" s="18"/>
      <c r="F627" s="18"/>
      <c r="G627" s="18"/>
      <c r="P627" s="16"/>
      <c r="T627" s="18"/>
      <c r="U627" s="18"/>
      <c r="V627" s="18"/>
    </row>
    <row r="628" ht="15.75" customHeight="1">
      <c r="A628" s="14"/>
      <c r="E628" s="18"/>
      <c r="F628" s="18"/>
      <c r="G628" s="18"/>
      <c r="P628" s="16"/>
      <c r="T628" s="18"/>
      <c r="U628" s="18"/>
      <c r="V628" s="18"/>
    </row>
    <row r="629" ht="15.75" customHeight="1">
      <c r="A629" s="14"/>
      <c r="E629" s="18"/>
      <c r="F629" s="18"/>
      <c r="G629" s="18"/>
      <c r="P629" s="16"/>
      <c r="T629" s="18"/>
      <c r="U629" s="18"/>
      <c r="V629" s="18"/>
    </row>
    <row r="630" ht="15.75" customHeight="1">
      <c r="A630" s="14"/>
      <c r="E630" s="18"/>
      <c r="F630" s="18"/>
      <c r="G630" s="18"/>
      <c r="P630" s="16"/>
      <c r="T630" s="18"/>
      <c r="U630" s="18"/>
      <c r="V630" s="18"/>
    </row>
    <row r="631" ht="15.75" customHeight="1">
      <c r="A631" s="14"/>
      <c r="E631" s="18"/>
      <c r="F631" s="18"/>
      <c r="G631" s="18"/>
      <c r="P631" s="16"/>
      <c r="T631" s="18"/>
      <c r="U631" s="18"/>
      <c r="V631" s="18"/>
    </row>
    <row r="632" ht="15.75" customHeight="1">
      <c r="A632" s="14"/>
      <c r="E632" s="18"/>
      <c r="F632" s="18"/>
      <c r="G632" s="18"/>
      <c r="P632" s="16"/>
      <c r="T632" s="18"/>
      <c r="U632" s="18"/>
      <c r="V632" s="18"/>
    </row>
    <row r="633" ht="15.75" customHeight="1">
      <c r="A633" s="14"/>
      <c r="E633" s="18"/>
      <c r="F633" s="18"/>
      <c r="G633" s="18"/>
      <c r="P633" s="16"/>
      <c r="T633" s="18"/>
      <c r="U633" s="18"/>
      <c r="V633" s="18"/>
    </row>
    <row r="634" ht="15.75" customHeight="1">
      <c r="A634" s="14"/>
      <c r="E634" s="18"/>
      <c r="F634" s="18"/>
      <c r="G634" s="18"/>
      <c r="P634" s="16"/>
      <c r="T634" s="18"/>
      <c r="U634" s="18"/>
      <c r="V634" s="18"/>
    </row>
    <row r="635" ht="15.75" customHeight="1">
      <c r="A635" s="14"/>
      <c r="E635" s="18"/>
      <c r="F635" s="18"/>
      <c r="G635" s="18"/>
      <c r="P635" s="16"/>
      <c r="T635" s="18"/>
      <c r="U635" s="18"/>
      <c r="V635" s="18"/>
    </row>
    <row r="636" ht="15.75" customHeight="1">
      <c r="A636" s="14"/>
      <c r="E636" s="18"/>
      <c r="F636" s="18"/>
      <c r="G636" s="18"/>
      <c r="P636" s="16"/>
      <c r="T636" s="18"/>
      <c r="U636" s="18"/>
      <c r="V636" s="18"/>
    </row>
    <row r="637" ht="15.75" customHeight="1">
      <c r="A637" s="14"/>
      <c r="E637" s="18"/>
      <c r="F637" s="18"/>
      <c r="G637" s="18"/>
      <c r="P637" s="16"/>
      <c r="T637" s="18"/>
      <c r="U637" s="18"/>
      <c r="V637" s="18"/>
    </row>
    <row r="638" ht="15.75" customHeight="1">
      <c r="A638" s="14"/>
      <c r="E638" s="18"/>
      <c r="F638" s="18"/>
      <c r="G638" s="18"/>
      <c r="P638" s="16"/>
      <c r="T638" s="18"/>
      <c r="U638" s="18"/>
      <c r="V638" s="18"/>
    </row>
    <row r="639" ht="15.75" customHeight="1">
      <c r="A639" s="14"/>
      <c r="E639" s="18"/>
      <c r="F639" s="18"/>
      <c r="G639" s="18"/>
      <c r="P639" s="16"/>
      <c r="T639" s="18"/>
      <c r="U639" s="18"/>
      <c r="V639" s="18"/>
    </row>
    <row r="640" ht="15.75" customHeight="1">
      <c r="A640" s="14"/>
      <c r="E640" s="18"/>
      <c r="F640" s="18"/>
      <c r="G640" s="18"/>
      <c r="P640" s="16"/>
      <c r="T640" s="18"/>
      <c r="U640" s="18"/>
      <c r="V640" s="18"/>
    </row>
    <row r="641" ht="15.75" customHeight="1">
      <c r="A641" s="14"/>
      <c r="E641" s="18"/>
      <c r="F641" s="18"/>
      <c r="G641" s="18"/>
      <c r="P641" s="16"/>
      <c r="T641" s="18"/>
      <c r="U641" s="18"/>
      <c r="V641" s="18"/>
    </row>
    <row r="642" ht="15.75" customHeight="1">
      <c r="A642" s="14"/>
      <c r="E642" s="18"/>
      <c r="F642" s="18"/>
      <c r="G642" s="18"/>
      <c r="P642" s="16"/>
      <c r="T642" s="18"/>
      <c r="U642" s="18"/>
      <c r="V642" s="18"/>
    </row>
    <row r="643" ht="15.75" customHeight="1">
      <c r="A643" s="14"/>
      <c r="E643" s="18"/>
      <c r="F643" s="18"/>
      <c r="G643" s="18"/>
      <c r="P643" s="16"/>
      <c r="T643" s="18"/>
      <c r="U643" s="18"/>
      <c r="V643" s="18"/>
    </row>
    <row r="644" ht="15.75" customHeight="1">
      <c r="A644" s="14"/>
      <c r="E644" s="18"/>
      <c r="F644" s="18"/>
      <c r="G644" s="18"/>
      <c r="P644" s="16"/>
      <c r="T644" s="18"/>
      <c r="U644" s="18"/>
      <c r="V644" s="18"/>
    </row>
    <row r="645" ht="15.75" customHeight="1">
      <c r="A645" s="14"/>
      <c r="E645" s="18"/>
      <c r="F645" s="18"/>
      <c r="G645" s="18"/>
      <c r="P645" s="16"/>
      <c r="T645" s="18"/>
      <c r="U645" s="18"/>
      <c r="V645" s="18"/>
    </row>
    <row r="646" ht="15.75" customHeight="1">
      <c r="A646" s="14"/>
      <c r="E646" s="18"/>
      <c r="F646" s="18"/>
      <c r="G646" s="18"/>
      <c r="P646" s="16"/>
      <c r="T646" s="18"/>
      <c r="U646" s="18"/>
      <c r="V646" s="18"/>
    </row>
    <row r="647" ht="15.75" customHeight="1">
      <c r="A647" s="14"/>
      <c r="E647" s="18"/>
      <c r="F647" s="18"/>
      <c r="G647" s="18"/>
      <c r="P647" s="16"/>
      <c r="T647" s="18"/>
      <c r="U647" s="18"/>
      <c r="V647" s="18"/>
    </row>
    <row r="648" ht="15.75" customHeight="1">
      <c r="A648" s="14"/>
      <c r="E648" s="18"/>
      <c r="F648" s="18"/>
      <c r="G648" s="18"/>
      <c r="P648" s="16"/>
      <c r="T648" s="18"/>
      <c r="U648" s="18"/>
      <c r="V648" s="18"/>
    </row>
    <row r="649" ht="15.75" customHeight="1">
      <c r="A649" s="14"/>
      <c r="E649" s="18"/>
      <c r="F649" s="18"/>
      <c r="G649" s="18"/>
      <c r="P649" s="16"/>
      <c r="T649" s="18"/>
      <c r="U649" s="18"/>
      <c r="V649" s="18"/>
    </row>
    <row r="650" ht="15.75" customHeight="1">
      <c r="A650" s="14"/>
      <c r="E650" s="18"/>
      <c r="F650" s="18"/>
      <c r="G650" s="18"/>
      <c r="P650" s="16"/>
      <c r="T650" s="18"/>
      <c r="U650" s="18"/>
      <c r="V650" s="18"/>
    </row>
    <row r="651" ht="15.75" customHeight="1">
      <c r="A651" s="14"/>
      <c r="E651" s="18"/>
      <c r="F651" s="18"/>
      <c r="G651" s="18"/>
      <c r="P651" s="16"/>
      <c r="T651" s="18"/>
      <c r="U651" s="18"/>
      <c r="V651" s="18"/>
    </row>
    <row r="652" ht="15.75" customHeight="1">
      <c r="A652" s="14"/>
      <c r="E652" s="18"/>
      <c r="F652" s="18"/>
      <c r="G652" s="18"/>
      <c r="P652" s="16"/>
      <c r="T652" s="18"/>
      <c r="U652" s="18"/>
      <c r="V652" s="18"/>
    </row>
    <row r="653" ht="15.75" customHeight="1">
      <c r="A653" s="14"/>
      <c r="E653" s="18"/>
      <c r="F653" s="18"/>
      <c r="G653" s="18"/>
      <c r="P653" s="16"/>
      <c r="T653" s="18"/>
      <c r="U653" s="18"/>
      <c r="V653" s="18"/>
    </row>
    <row r="654" ht="15.75" customHeight="1">
      <c r="A654" s="14"/>
      <c r="E654" s="18"/>
      <c r="F654" s="18"/>
      <c r="G654" s="18"/>
      <c r="P654" s="16"/>
      <c r="T654" s="18"/>
      <c r="U654" s="18"/>
      <c r="V654" s="18"/>
    </row>
    <row r="655" ht="15.75" customHeight="1">
      <c r="A655" s="14"/>
      <c r="E655" s="18"/>
      <c r="F655" s="18"/>
      <c r="G655" s="18"/>
      <c r="P655" s="16"/>
      <c r="T655" s="18"/>
      <c r="U655" s="18"/>
      <c r="V655" s="18"/>
    </row>
    <row r="656" ht="15.75" customHeight="1">
      <c r="A656" s="14"/>
      <c r="E656" s="18"/>
      <c r="F656" s="18"/>
      <c r="G656" s="18"/>
      <c r="P656" s="16"/>
      <c r="T656" s="18"/>
      <c r="U656" s="18"/>
      <c r="V656" s="18"/>
    </row>
    <row r="657" ht="15.75" customHeight="1">
      <c r="A657" s="14"/>
      <c r="E657" s="18"/>
      <c r="F657" s="18"/>
      <c r="G657" s="18"/>
      <c r="P657" s="16"/>
      <c r="T657" s="18"/>
      <c r="U657" s="18"/>
      <c r="V657" s="18"/>
    </row>
    <row r="658" ht="15.75" customHeight="1">
      <c r="A658" s="14"/>
      <c r="E658" s="18"/>
      <c r="F658" s="18"/>
      <c r="G658" s="18"/>
      <c r="P658" s="16"/>
      <c r="T658" s="18"/>
      <c r="U658" s="18"/>
      <c r="V658" s="18"/>
    </row>
    <row r="659" ht="15.75" customHeight="1">
      <c r="A659" s="14"/>
      <c r="E659" s="18"/>
      <c r="F659" s="18"/>
      <c r="G659" s="18"/>
      <c r="P659" s="16"/>
      <c r="T659" s="18"/>
      <c r="U659" s="18"/>
      <c r="V659" s="18"/>
    </row>
    <row r="660" ht="15.75" customHeight="1">
      <c r="A660" s="14"/>
      <c r="E660" s="18"/>
      <c r="F660" s="18"/>
      <c r="G660" s="18"/>
      <c r="P660" s="16"/>
      <c r="T660" s="18"/>
      <c r="U660" s="18"/>
      <c r="V660" s="18"/>
    </row>
    <row r="661" ht="15.75" customHeight="1">
      <c r="A661" s="14"/>
      <c r="E661" s="18"/>
      <c r="F661" s="18"/>
      <c r="G661" s="18"/>
      <c r="P661" s="16"/>
      <c r="T661" s="18"/>
      <c r="U661" s="18"/>
      <c r="V661" s="18"/>
    </row>
    <row r="662" ht="15.75" customHeight="1">
      <c r="A662" s="14"/>
      <c r="E662" s="18"/>
      <c r="F662" s="18"/>
      <c r="G662" s="18"/>
      <c r="P662" s="16"/>
      <c r="T662" s="18"/>
      <c r="U662" s="18"/>
      <c r="V662" s="18"/>
    </row>
    <row r="663" ht="15.75" customHeight="1">
      <c r="A663" s="14"/>
      <c r="E663" s="18"/>
      <c r="F663" s="18"/>
      <c r="G663" s="18"/>
      <c r="P663" s="16"/>
      <c r="T663" s="18"/>
      <c r="U663" s="18"/>
      <c r="V663" s="18"/>
    </row>
    <row r="664" ht="15.75" customHeight="1">
      <c r="A664" s="14"/>
      <c r="E664" s="18"/>
      <c r="F664" s="18"/>
      <c r="G664" s="18"/>
      <c r="P664" s="16"/>
      <c r="T664" s="18"/>
      <c r="U664" s="18"/>
      <c r="V664" s="18"/>
    </row>
    <row r="665" ht="15.75" customHeight="1">
      <c r="A665" s="14"/>
      <c r="E665" s="18"/>
      <c r="F665" s="18"/>
      <c r="G665" s="18"/>
      <c r="P665" s="16"/>
      <c r="T665" s="18"/>
      <c r="U665" s="18"/>
      <c r="V665" s="18"/>
    </row>
    <row r="666" ht="15.75" customHeight="1">
      <c r="A666" s="14"/>
      <c r="E666" s="18"/>
      <c r="F666" s="18"/>
      <c r="G666" s="18"/>
      <c r="P666" s="16"/>
      <c r="T666" s="18"/>
      <c r="U666" s="18"/>
      <c r="V666" s="18"/>
    </row>
    <row r="667" ht="15.75" customHeight="1">
      <c r="A667" s="14"/>
      <c r="E667" s="18"/>
      <c r="F667" s="18"/>
      <c r="G667" s="18"/>
      <c r="P667" s="16"/>
      <c r="T667" s="18"/>
      <c r="U667" s="18"/>
      <c r="V667" s="18"/>
    </row>
    <row r="668" ht="15.75" customHeight="1">
      <c r="A668" s="14"/>
      <c r="E668" s="18"/>
      <c r="F668" s="18"/>
      <c r="G668" s="18"/>
      <c r="P668" s="16"/>
      <c r="T668" s="18"/>
      <c r="U668" s="18"/>
      <c r="V668" s="18"/>
    </row>
    <row r="669" ht="15.75" customHeight="1">
      <c r="A669" s="14"/>
      <c r="E669" s="18"/>
      <c r="F669" s="18"/>
      <c r="G669" s="18"/>
      <c r="P669" s="16"/>
      <c r="T669" s="18"/>
      <c r="U669" s="18"/>
      <c r="V669" s="18"/>
    </row>
    <row r="670" ht="15.75" customHeight="1">
      <c r="A670" s="14"/>
      <c r="E670" s="18"/>
      <c r="F670" s="18"/>
      <c r="G670" s="18"/>
      <c r="P670" s="16"/>
      <c r="T670" s="18"/>
      <c r="U670" s="18"/>
      <c r="V670" s="18"/>
    </row>
    <row r="671" ht="15.75" customHeight="1">
      <c r="A671" s="14"/>
      <c r="E671" s="18"/>
      <c r="F671" s="18"/>
      <c r="G671" s="18"/>
      <c r="P671" s="16"/>
      <c r="T671" s="18"/>
      <c r="U671" s="18"/>
      <c r="V671" s="18"/>
    </row>
    <row r="672" ht="15.75" customHeight="1">
      <c r="A672" s="14"/>
      <c r="E672" s="18"/>
      <c r="F672" s="18"/>
      <c r="G672" s="18"/>
      <c r="P672" s="16"/>
      <c r="T672" s="18"/>
      <c r="U672" s="18"/>
      <c r="V672" s="18"/>
    </row>
    <row r="673" ht="15.75" customHeight="1">
      <c r="A673" s="14"/>
      <c r="E673" s="18"/>
      <c r="F673" s="18"/>
      <c r="G673" s="18"/>
      <c r="P673" s="16"/>
      <c r="T673" s="18"/>
      <c r="U673" s="18"/>
      <c r="V673" s="18"/>
    </row>
    <row r="674" ht="15.75" customHeight="1">
      <c r="A674" s="14"/>
      <c r="E674" s="18"/>
      <c r="F674" s="18"/>
      <c r="G674" s="18"/>
      <c r="P674" s="16"/>
      <c r="T674" s="18"/>
      <c r="U674" s="18"/>
      <c r="V674" s="18"/>
    </row>
    <row r="675" ht="15.75" customHeight="1">
      <c r="A675" s="14"/>
      <c r="E675" s="18"/>
      <c r="F675" s="18"/>
      <c r="G675" s="18"/>
      <c r="P675" s="16"/>
      <c r="T675" s="18"/>
      <c r="U675" s="18"/>
      <c r="V675" s="18"/>
    </row>
    <row r="676" ht="15.75" customHeight="1">
      <c r="A676" s="14"/>
      <c r="E676" s="18"/>
      <c r="F676" s="18"/>
      <c r="G676" s="18"/>
      <c r="P676" s="16"/>
      <c r="T676" s="18"/>
      <c r="U676" s="18"/>
      <c r="V676" s="18"/>
    </row>
    <row r="677" ht="15.75" customHeight="1">
      <c r="A677" s="14"/>
      <c r="E677" s="18"/>
      <c r="F677" s="18"/>
      <c r="G677" s="18"/>
      <c r="P677" s="16"/>
      <c r="T677" s="18"/>
      <c r="U677" s="18"/>
      <c r="V677" s="18"/>
    </row>
    <row r="678" ht="15.75" customHeight="1">
      <c r="A678" s="14"/>
      <c r="E678" s="18"/>
      <c r="F678" s="18"/>
      <c r="G678" s="18"/>
      <c r="P678" s="16"/>
      <c r="T678" s="18"/>
      <c r="U678" s="18"/>
      <c r="V678" s="18"/>
    </row>
    <row r="679" ht="15.75" customHeight="1">
      <c r="A679" s="14"/>
      <c r="E679" s="18"/>
      <c r="F679" s="18"/>
      <c r="G679" s="18"/>
      <c r="P679" s="16"/>
      <c r="T679" s="18"/>
      <c r="U679" s="18"/>
      <c r="V679" s="18"/>
    </row>
    <row r="680" ht="15.75" customHeight="1">
      <c r="A680" s="14"/>
      <c r="E680" s="18"/>
      <c r="F680" s="18"/>
      <c r="G680" s="18"/>
      <c r="P680" s="16"/>
      <c r="T680" s="18"/>
      <c r="U680" s="18"/>
      <c r="V680" s="18"/>
    </row>
    <row r="681" ht="15.75" customHeight="1">
      <c r="A681" s="14"/>
      <c r="E681" s="18"/>
      <c r="F681" s="18"/>
      <c r="G681" s="18"/>
      <c r="P681" s="16"/>
      <c r="T681" s="18"/>
      <c r="U681" s="18"/>
      <c r="V681" s="18"/>
    </row>
    <row r="682" ht="15.75" customHeight="1">
      <c r="A682" s="14"/>
      <c r="E682" s="18"/>
      <c r="F682" s="18"/>
      <c r="G682" s="18"/>
      <c r="P682" s="16"/>
      <c r="T682" s="18"/>
      <c r="U682" s="18"/>
      <c r="V682" s="18"/>
    </row>
    <row r="683" ht="15.75" customHeight="1">
      <c r="A683" s="14"/>
      <c r="E683" s="18"/>
      <c r="F683" s="18"/>
      <c r="G683" s="18"/>
      <c r="P683" s="16"/>
      <c r="T683" s="18"/>
      <c r="U683" s="18"/>
      <c r="V683" s="18"/>
    </row>
    <row r="684" ht="15.75" customHeight="1">
      <c r="A684" s="14"/>
      <c r="E684" s="18"/>
      <c r="F684" s="18"/>
      <c r="G684" s="18"/>
      <c r="P684" s="16"/>
      <c r="T684" s="18"/>
      <c r="U684" s="18"/>
      <c r="V684" s="18"/>
    </row>
    <row r="685" ht="15.75" customHeight="1">
      <c r="A685" s="14"/>
      <c r="E685" s="18"/>
      <c r="F685" s="18"/>
      <c r="G685" s="18"/>
      <c r="P685" s="16"/>
      <c r="T685" s="18"/>
      <c r="U685" s="18"/>
      <c r="V685" s="18"/>
    </row>
    <row r="686" ht="15.75" customHeight="1">
      <c r="A686" s="14"/>
      <c r="E686" s="18"/>
      <c r="F686" s="18"/>
      <c r="G686" s="18"/>
      <c r="P686" s="16"/>
      <c r="T686" s="18"/>
      <c r="U686" s="18"/>
      <c r="V686" s="18"/>
    </row>
    <row r="687" ht="15.75" customHeight="1">
      <c r="A687" s="14"/>
      <c r="E687" s="18"/>
      <c r="F687" s="18"/>
      <c r="G687" s="18"/>
      <c r="P687" s="16"/>
      <c r="T687" s="18"/>
      <c r="U687" s="18"/>
      <c r="V687" s="18"/>
    </row>
    <row r="688" ht="15.75" customHeight="1">
      <c r="A688" s="14"/>
      <c r="E688" s="18"/>
      <c r="F688" s="18"/>
      <c r="G688" s="18"/>
      <c r="P688" s="16"/>
      <c r="T688" s="18"/>
      <c r="U688" s="18"/>
      <c r="V688" s="18"/>
    </row>
    <row r="689" ht="15.75" customHeight="1">
      <c r="A689" s="14"/>
      <c r="E689" s="18"/>
      <c r="F689" s="18"/>
      <c r="G689" s="18"/>
      <c r="P689" s="16"/>
      <c r="T689" s="18"/>
      <c r="U689" s="18"/>
      <c r="V689" s="18"/>
    </row>
    <row r="690" ht="15.75" customHeight="1">
      <c r="A690" s="14"/>
      <c r="E690" s="18"/>
      <c r="F690" s="18"/>
      <c r="G690" s="18"/>
      <c r="P690" s="16"/>
      <c r="T690" s="18"/>
      <c r="U690" s="18"/>
      <c r="V690" s="18"/>
    </row>
    <row r="691" ht="15.75" customHeight="1">
      <c r="A691" s="14"/>
      <c r="E691" s="18"/>
      <c r="F691" s="18"/>
      <c r="G691" s="18"/>
      <c r="P691" s="16"/>
      <c r="T691" s="18"/>
      <c r="U691" s="18"/>
      <c r="V691" s="18"/>
    </row>
    <row r="692" ht="15.75" customHeight="1">
      <c r="A692" s="14"/>
      <c r="E692" s="18"/>
      <c r="F692" s="18"/>
      <c r="G692" s="18"/>
      <c r="P692" s="16"/>
      <c r="T692" s="18"/>
      <c r="U692" s="18"/>
      <c r="V692" s="18"/>
    </row>
    <row r="693" ht="15.75" customHeight="1">
      <c r="A693" s="14"/>
      <c r="E693" s="18"/>
      <c r="F693" s="18"/>
      <c r="G693" s="18"/>
      <c r="P693" s="16"/>
      <c r="T693" s="18"/>
      <c r="U693" s="18"/>
      <c r="V693" s="18"/>
    </row>
    <row r="694" ht="15.75" customHeight="1">
      <c r="A694" s="14"/>
      <c r="E694" s="18"/>
      <c r="F694" s="18"/>
      <c r="G694" s="18"/>
      <c r="P694" s="16"/>
      <c r="T694" s="18"/>
      <c r="U694" s="18"/>
      <c r="V694" s="18"/>
    </row>
    <row r="695" ht="15.75" customHeight="1">
      <c r="A695" s="14"/>
      <c r="E695" s="18"/>
      <c r="F695" s="18"/>
      <c r="G695" s="18"/>
      <c r="P695" s="16"/>
      <c r="T695" s="18"/>
      <c r="U695" s="18"/>
      <c r="V695" s="18"/>
    </row>
    <row r="696" ht="15.75" customHeight="1">
      <c r="A696" s="14"/>
      <c r="E696" s="18"/>
      <c r="F696" s="18"/>
      <c r="G696" s="18"/>
      <c r="P696" s="16"/>
      <c r="T696" s="18"/>
      <c r="U696" s="18"/>
      <c r="V696" s="18"/>
    </row>
    <row r="697" ht="15.75" customHeight="1">
      <c r="A697" s="14"/>
      <c r="E697" s="18"/>
      <c r="F697" s="18"/>
      <c r="G697" s="18"/>
      <c r="P697" s="16"/>
      <c r="T697" s="18"/>
      <c r="U697" s="18"/>
      <c r="V697" s="18"/>
    </row>
    <row r="698" ht="15.75" customHeight="1">
      <c r="A698" s="14"/>
      <c r="E698" s="18"/>
      <c r="F698" s="18"/>
      <c r="G698" s="18"/>
      <c r="P698" s="16"/>
      <c r="T698" s="18"/>
      <c r="U698" s="18"/>
      <c r="V698" s="18"/>
    </row>
    <row r="699" ht="15.75" customHeight="1">
      <c r="A699" s="14"/>
      <c r="E699" s="18"/>
      <c r="F699" s="18"/>
      <c r="G699" s="18"/>
      <c r="P699" s="16"/>
      <c r="T699" s="18"/>
      <c r="U699" s="18"/>
      <c r="V699" s="18"/>
    </row>
    <row r="700" ht="15.75" customHeight="1">
      <c r="A700" s="14"/>
      <c r="E700" s="18"/>
      <c r="F700" s="18"/>
      <c r="G700" s="18"/>
      <c r="P700" s="16"/>
      <c r="T700" s="18"/>
      <c r="U700" s="18"/>
      <c r="V700" s="18"/>
    </row>
    <row r="701" ht="15.75" customHeight="1">
      <c r="A701" s="14"/>
      <c r="E701" s="18"/>
      <c r="F701" s="18"/>
      <c r="G701" s="18"/>
      <c r="P701" s="16"/>
      <c r="T701" s="18"/>
      <c r="U701" s="18"/>
      <c r="V701" s="18"/>
    </row>
    <row r="702" ht="15.75" customHeight="1">
      <c r="A702" s="14"/>
      <c r="E702" s="18"/>
      <c r="F702" s="18"/>
      <c r="G702" s="18"/>
      <c r="P702" s="16"/>
      <c r="T702" s="18"/>
      <c r="U702" s="18"/>
      <c r="V702" s="18"/>
    </row>
    <row r="703" ht="15.75" customHeight="1">
      <c r="A703" s="14"/>
      <c r="E703" s="18"/>
      <c r="F703" s="18"/>
      <c r="G703" s="18"/>
      <c r="P703" s="16"/>
      <c r="T703" s="18"/>
      <c r="U703" s="18"/>
      <c r="V703" s="18"/>
    </row>
    <row r="704" ht="15.75" customHeight="1">
      <c r="A704" s="14"/>
      <c r="E704" s="18"/>
      <c r="F704" s="18"/>
      <c r="G704" s="18"/>
      <c r="P704" s="16"/>
      <c r="T704" s="18"/>
      <c r="U704" s="18"/>
      <c r="V704" s="18"/>
    </row>
    <row r="705" ht="15.75" customHeight="1">
      <c r="A705" s="14"/>
      <c r="E705" s="18"/>
      <c r="F705" s="18"/>
      <c r="G705" s="18"/>
      <c r="P705" s="16"/>
      <c r="T705" s="18"/>
      <c r="U705" s="18"/>
      <c r="V705" s="18"/>
    </row>
    <row r="706" ht="15.75" customHeight="1">
      <c r="A706" s="14"/>
      <c r="E706" s="18"/>
      <c r="F706" s="18"/>
      <c r="G706" s="18"/>
      <c r="P706" s="16"/>
      <c r="T706" s="18"/>
      <c r="U706" s="18"/>
      <c r="V706" s="18"/>
    </row>
    <row r="707" ht="15.75" customHeight="1">
      <c r="A707" s="14"/>
      <c r="E707" s="18"/>
      <c r="F707" s="18"/>
      <c r="G707" s="18"/>
      <c r="P707" s="16"/>
      <c r="T707" s="18"/>
      <c r="U707" s="18"/>
      <c r="V707" s="18"/>
    </row>
    <row r="708" ht="15.75" customHeight="1">
      <c r="A708" s="14"/>
      <c r="E708" s="18"/>
      <c r="F708" s="18"/>
      <c r="G708" s="18"/>
      <c r="P708" s="16"/>
      <c r="T708" s="18"/>
      <c r="U708" s="18"/>
      <c r="V708" s="18"/>
    </row>
    <row r="709" ht="15.75" customHeight="1">
      <c r="A709" s="14"/>
      <c r="E709" s="18"/>
      <c r="F709" s="18"/>
      <c r="G709" s="18"/>
      <c r="P709" s="16"/>
      <c r="T709" s="18"/>
      <c r="U709" s="18"/>
      <c r="V709" s="18"/>
    </row>
    <row r="710" ht="15.75" customHeight="1">
      <c r="A710" s="14"/>
      <c r="E710" s="18"/>
      <c r="F710" s="18"/>
      <c r="G710" s="18"/>
      <c r="P710" s="16"/>
      <c r="T710" s="18"/>
      <c r="U710" s="18"/>
      <c r="V710" s="18"/>
    </row>
    <row r="711" ht="15.75" customHeight="1">
      <c r="A711" s="14"/>
      <c r="E711" s="18"/>
      <c r="F711" s="18"/>
      <c r="G711" s="18"/>
      <c r="P711" s="16"/>
      <c r="T711" s="18"/>
      <c r="U711" s="18"/>
      <c r="V711" s="18"/>
    </row>
    <row r="712" ht="15.75" customHeight="1">
      <c r="A712" s="14"/>
      <c r="E712" s="18"/>
      <c r="F712" s="18"/>
      <c r="G712" s="18"/>
      <c r="P712" s="16"/>
      <c r="T712" s="18"/>
      <c r="U712" s="18"/>
      <c r="V712" s="18"/>
    </row>
    <row r="713" ht="15.75" customHeight="1">
      <c r="A713" s="14"/>
      <c r="E713" s="18"/>
      <c r="F713" s="18"/>
      <c r="G713" s="18"/>
      <c r="P713" s="16"/>
      <c r="T713" s="18"/>
      <c r="U713" s="18"/>
      <c r="V713" s="18"/>
    </row>
    <row r="714" ht="15.75" customHeight="1">
      <c r="A714" s="14"/>
      <c r="E714" s="18"/>
      <c r="F714" s="18"/>
      <c r="G714" s="18"/>
      <c r="P714" s="16"/>
      <c r="T714" s="18"/>
      <c r="U714" s="18"/>
      <c r="V714" s="18"/>
    </row>
    <row r="715" ht="15.75" customHeight="1">
      <c r="A715" s="14"/>
      <c r="E715" s="18"/>
      <c r="F715" s="18"/>
      <c r="G715" s="18"/>
      <c r="P715" s="16"/>
      <c r="T715" s="18"/>
      <c r="U715" s="18"/>
      <c r="V715" s="18"/>
    </row>
    <row r="716" ht="15.75" customHeight="1">
      <c r="A716" s="14"/>
      <c r="E716" s="18"/>
      <c r="F716" s="18"/>
      <c r="G716" s="18"/>
      <c r="P716" s="16"/>
      <c r="T716" s="18"/>
      <c r="U716" s="18"/>
      <c r="V716" s="18"/>
    </row>
    <row r="717" ht="15.75" customHeight="1">
      <c r="A717" s="14"/>
      <c r="E717" s="18"/>
      <c r="F717" s="18"/>
      <c r="G717" s="18"/>
      <c r="P717" s="16"/>
      <c r="T717" s="18"/>
      <c r="U717" s="18"/>
      <c r="V717" s="18"/>
    </row>
    <row r="718" ht="15.75" customHeight="1">
      <c r="A718" s="14"/>
      <c r="E718" s="18"/>
      <c r="F718" s="18"/>
      <c r="G718" s="18"/>
      <c r="P718" s="16"/>
      <c r="T718" s="18"/>
      <c r="U718" s="18"/>
      <c r="V718" s="18"/>
    </row>
    <row r="719" ht="15.75" customHeight="1">
      <c r="A719" s="14"/>
      <c r="E719" s="18"/>
      <c r="F719" s="18"/>
      <c r="G719" s="18"/>
      <c r="P719" s="16"/>
      <c r="T719" s="18"/>
      <c r="U719" s="18"/>
      <c r="V719" s="18"/>
    </row>
    <row r="720" ht="15.75" customHeight="1">
      <c r="A720" s="14"/>
      <c r="E720" s="18"/>
      <c r="F720" s="18"/>
      <c r="G720" s="18"/>
      <c r="P720" s="16"/>
      <c r="T720" s="18"/>
      <c r="U720" s="18"/>
      <c r="V720" s="18"/>
    </row>
    <row r="721" ht="15.75" customHeight="1">
      <c r="A721" s="14"/>
      <c r="E721" s="18"/>
      <c r="F721" s="18"/>
      <c r="G721" s="18"/>
      <c r="P721" s="16"/>
      <c r="T721" s="18"/>
      <c r="U721" s="18"/>
      <c r="V721" s="18"/>
    </row>
    <row r="722" ht="15.75" customHeight="1">
      <c r="A722" s="14"/>
      <c r="E722" s="18"/>
      <c r="F722" s="18"/>
      <c r="G722" s="18"/>
      <c r="P722" s="16"/>
      <c r="T722" s="18"/>
      <c r="U722" s="18"/>
      <c r="V722" s="18"/>
    </row>
    <row r="723" ht="15.75" customHeight="1">
      <c r="A723" s="14"/>
      <c r="E723" s="18"/>
      <c r="F723" s="18"/>
      <c r="G723" s="18"/>
      <c r="P723" s="16"/>
      <c r="T723" s="18"/>
      <c r="U723" s="18"/>
      <c r="V723" s="18"/>
    </row>
    <row r="724" ht="15.75" customHeight="1">
      <c r="A724" s="14"/>
      <c r="E724" s="18"/>
      <c r="F724" s="18"/>
      <c r="G724" s="18"/>
      <c r="P724" s="16"/>
      <c r="T724" s="18"/>
      <c r="U724" s="18"/>
      <c r="V724" s="18"/>
    </row>
    <row r="725" ht="15.75" customHeight="1">
      <c r="A725" s="14"/>
      <c r="E725" s="18"/>
      <c r="F725" s="18"/>
      <c r="G725" s="18"/>
      <c r="P725" s="16"/>
      <c r="T725" s="18"/>
      <c r="U725" s="18"/>
      <c r="V725" s="18"/>
    </row>
    <row r="726" ht="15.75" customHeight="1">
      <c r="A726" s="14"/>
      <c r="E726" s="18"/>
      <c r="F726" s="18"/>
      <c r="G726" s="18"/>
      <c r="P726" s="16"/>
      <c r="T726" s="18"/>
      <c r="U726" s="18"/>
      <c r="V726" s="18"/>
    </row>
    <row r="727" ht="15.75" customHeight="1">
      <c r="A727" s="14"/>
      <c r="E727" s="18"/>
      <c r="F727" s="18"/>
      <c r="G727" s="18"/>
      <c r="P727" s="16"/>
      <c r="T727" s="18"/>
      <c r="U727" s="18"/>
      <c r="V727" s="18"/>
    </row>
    <row r="728" ht="15.75" customHeight="1">
      <c r="A728" s="14"/>
      <c r="E728" s="18"/>
      <c r="F728" s="18"/>
      <c r="G728" s="18"/>
      <c r="P728" s="16"/>
      <c r="T728" s="18"/>
      <c r="U728" s="18"/>
      <c r="V728" s="18"/>
    </row>
    <row r="729" ht="15.75" customHeight="1">
      <c r="A729" s="14"/>
      <c r="E729" s="18"/>
      <c r="F729" s="18"/>
      <c r="G729" s="18"/>
      <c r="P729" s="16"/>
      <c r="T729" s="18"/>
      <c r="U729" s="18"/>
      <c r="V729" s="18"/>
    </row>
    <row r="730" ht="15.75" customHeight="1">
      <c r="A730" s="14"/>
      <c r="E730" s="18"/>
      <c r="F730" s="18"/>
      <c r="G730" s="18"/>
      <c r="P730" s="16"/>
      <c r="T730" s="18"/>
      <c r="U730" s="18"/>
      <c r="V730" s="18"/>
    </row>
    <row r="731" ht="15.75" customHeight="1">
      <c r="A731" s="14"/>
      <c r="E731" s="18"/>
      <c r="F731" s="18"/>
      <c r="G731" s="18"/>
      <c r="P731" s="16"/>
      <c r="T731" s="18"/>
      <c r="U731" s="18"/>
      <c r="V731" s="18"/>
    </row>
    <row r="732" ht="15.75" customHeight="1">
      <c r="A732" s="14"/>
      <c r="E732" s="18"/>
      <c r="F732" s="18"/>
      <c r="G732" s="18"/>
      <c r="P732" s="16"/>
      <c r="T732" s="18"/>
      <c r="U732" s="18"/>
      <c r="V732" s="18"/>
    </row>
    <row r="733" ht="15.75" customHeight="1">
      <c r="A733" s="14"/>
      <c r="E733" s="18"/>
      <c r="F733" s="18"/>
      <c r="G733" s="18"/>
      <c r="P733" s="16"/>
      <c r="T733" s="18"/>
      <c r="U733" s="18"/>
      <c r="V733" s="18"/>
    </row>
    <row r="734" ht="15.75" customHeight="1">
      <c r="A734" s="14"/>
      <c r="E734" s="18"/>
      <c r="F734" s="18"/>
      <c r="G734" s="18"/>
      <c r="P734" s="16"/>
      <c r="T734" s="18"/>
      <c r="U734" s="18"/>
      <c r="V734" s="18"/>
    </row>
    <row r="735" ht="15.75" customHeight="1">
      <c r="A735" s="14"/>
      <c r="E735" s="18"/>
      <c r="F735" s="18"/>
      <c r="G735" s="18"/>
      <c r="P735" s="16"/>
      <c r="T735" s="18"/>
      <c r="U735" s="18"/>
      <c r="V735" s="18"/>
    </row>
    <row r="736" ht="15.75" customHeight="1">
      <c r="A736" s="14"/>
      <c r="E736" s="18"/>
      <c r="F736" s="18"/>
      <c r="G736" s="18"/>
      <c r="P736" s="16"/>
      <c r="T736" s="18"/>
      <c r="U736" s="18"/>
      <c r="V736" s="18"/>
    </row>
    <row r="737" ht="15.75" customHeight="1">
      <c r="A737" s="14"/>
      <c r="E737" s="18"/>
      <c r="F737" s="18"/>
      <c r="G737" s="18"/>
      <c r="P737" s="16"/>
      <c r="T737" s="18"/>
      <c r="U737" s="18"/>
      <c r="V737" s="18"/>
    </row>
    <row r="738" ht="15.75" customHeight="1">
      <c r="A738" s="14"/>
      <c r="E738" s="18"/>
      <c r="F738" s="18"/>
      <c r="G738" s="18"/>
      <c r="P738" s="16"/>
      <c r="T738" s="18"/>
      <c r="U738" s="18"/>
      <c r="V738" s="18"/>
    </row>
    <row r="739" ht="15.75" customHeight="1">
      <c r="A739" s="14"/>
      <c r="E739" s="18"/>
      <c r="F739" s="18"/>
      <c r="G739" s="18"/>
      <c r="P739" s="16"/>
      <c r="T739" s="18"/>
      <c r="U739" s="18"/>
      <c r="V739" s="18"/>
    </row>
    <row r="740" ht="15.75" customHeight="1">
      <c r="A740" s="14"/>
      <c r="E740" s="18"/>
      <c r="F740" s="18"/>
      <c r="G740" s="18"/>
      <c r="P740" s="16"/>
      <c r="T740" s="18"/>
      <c r="U740" s="18"/>
      <c r="V740" s="18"/>
    </row>
    <row r="741" ht="15.75" customHeight="1">
      <c r="A741" s="14"/>
      <c r="E741" s="18"/>
      <c r="F741" s="18"/>
      <c r="G741" s="18"/>
      <c r="P741" s="16"/>
      <c r="T741" s="18"/>
      <c r="U741" s="18"/>
      <c r="V741" s="18"/>
    </row>
    <row r="742" ht="15.75" customHeight="1">
      <c r="A742" s="14"/>
      <c r="E742" s="18"/>
      <c r="F742" s="18"/>
      <c r="G742" s="18"/>
      <c r="P742" s="16"/>
      <c r="T742" s="18"/>
      <c r="U742" s="18"/>
      <c r="V742" s="18"/>
    </row>
    <row r="743" ht="15.75" customHeight="1">
      <c r="A743" s="14"/>
      <c r="E743" s="18"/>
      <c r="F743" s="18"/>
      <c r="G743" s="18"/>
      <c r="P743" s="16"/>
      <c r="T743" s="18"/>
      <c r="U743" s="18"/>
      <c r="V743" s="18"/>
    </row>
    <row r="744" ht="15.75" customHeight="1">
      <c r="A744" s="14"/>
      <c r="E744" s="18"/>
      <c r="F744" s="18"/>
      <c r="G744" s="18"/>
      <c r="P744" s="16"/>
      <c r="T744" s="18"/>
      <c r="U744" s="18"/>
      <c r="V744" s="18"/>
    </row>
    <row r="745" ht="15.75" customHeight="1">
      <c r="A745" s="14"/>
      <c r="E745" s="18"/>
      <c r="F745" s="18"/>
      <c r="G745" s="18"/>
      <c r="P745" s="16"/>
      <c r="T745" s="18"/>
      <c r="U745" s="18"/>
      <c r="V745" s="18"/>
    </row>
    <row r="746" ht="15.75" customHeight="1">
      <c r="A746" s="14"/>
      <c r="E746" s="18"/>
      <c r="F746" s="18"/>
      <c r="G746" s="18"/>
      <c r="P746" s="16"/>
      <c r="T746" s="18"/>
      <c r="U746" s="18"/>
      <c r="V746" s="18"/>
    </row>
    <row r="747" ht="15.75" customHeight="1">
      <c r="A747" s="14"/>
      <c r="E747" s="18"/>
      <c r="F747" s="18"/>
      <c r="G747" s="18"/>
      <c r="P747" s="16"/>
      <c r="T747" s="18"/>
      <c r="U747" s="18"/>
      <c r="V747" s="18"/>
    </row>
    <row r="748" ht="15.75" customHeight="1">
      <c r="A748" s="14"/>
      <c r="E748" s="18"/>
      <c r="F748" s="18"/>
      <c r="G748" s="18"/>
      <c r="P748" s="16"/>
      <c r="T748" s="18"/>
      <c r="U748" s="18"/>
      <c r="V748" s="18"/>
    </row>
    <row r="749" ht="15.75" customHeight="1">
      <c r="A749" s="14"/>
      <c r="E749" s="18"/>
      <c r="F749" s="18"/>
      <c r="G749" s="18"/>
      <c r="P749" s="16"/>
      <c r="T749" s="18"/>
      <c r="U749" s="18"/>
      <c r="V749" s="18"/>
    </row>
    <row r="750" ht="15.75" customHeight="1">
      <c r="A750" s="14"/>
      <c r="E750" s="18"/>
      <c r="F750" s="18"/>
      <c r="G750" s="18"/>
      <c r="P750" s="16"/>
      <c r="T750" s="18"/>
      <c r="U750" s="18"/>
      <c r="V750" s="18"/>
    </row>
    <row r="751" ht="15.75" customHeight="1">
      <c r="A751" s="14"/>
      <c r="E751" s="18"/>
      <c r="F751" s="18"/>
      <c r="G751" s="18"/>
      <c r="P751" s="16"/>
      <c r="T751" s="18"/>
      <c r="U751" s="18"/>
      <c r="V751" s="18"/>
    </row>
    <row r="752" ht="15.75" customHeight="1">
      <c r="A752" s="14"/>
      <c r="E752" s="18"/>
      <c r="F752" s="18"/>
      <c r="G752" s="18"/>
      <c r="P752" s="16"/>
      <c r="T752" s="18"/>
      <c r="U752" s="18"/>
      <c r="V752" s="18"/>
    </row>
    <row r="753" ht="15.75" customHeight="1">
      <c r="A753" s="14"/>
      <c r="E753" s="18"/>
      <c r="F753" s="18"/>
      <c r="G753" s="18"/>
      <c r="P753" s="16"/>
      <c r="T753" s="18"/>
      <c r="U753" s="18"/>
      <c r="V753" s="18"/>
    </row>
    <row r="754" ht="15.75" customHeight="1">
      <c r="A754" s="14"/>
      <c r="E754" s="18"/>
      <c r="F754" s="18"/>
      <c r="G754" s="18"/>
      <c r="P754" s="16"/>
      <c r="T754" s="18"/>
      <c r="U754" s="18"/>
      <c r="V754" s="18"/>
    </row>
    <row r="755" ht="15.75" customHeight="1">
      <c r="A755" s="14"/>
      <c r="E755" s="18"/>
      <c r="F755" s="18"/>
      <c r="G755" s="18"/>
      <c r="P755" s="16"/>
      <c r="T755" s="18"/>
      <c r="U755" s="18"/>
      <c r="V755" s="18"/>
    </row>
    <row r="756" ht="15.75" customHeight="1">
      <c r="A756" s="14"/>
      <c r="E756" s="18"/>
      <c r="F756" s="18"/>
      <c r="G756" s="18"/>
      <c r="P756" s="16"/>
      <c r="T756" s="18"/>
      <c r="U756" s="18"/>
      <c r="V756" s="18"/>
    </row>
    <row r="757" ht="15.75" customHeight="1">
      <c r="A757" s="14"/>
      <c r="E757" s="18"/>
      <c r="F757" s="18"/>
      <c r="G757" s="18"/>
      <c r="P757" s="16"/>
      <c r="T757" s="18"/>
      <c r="U757" s="18"/>
      <c r="V757" s="18"/>
    </row>
    <row r="758" ht="15.75" customHeight="1">
      <c r="A758" s="14"/>
      <c r="E758" s="18"/>
      <c r="F758" s="18"/>
      <c r="G758" s="18"/>
      <c r="P758" s="16"/>
      <c r="T758" s="18"/>
      <c r="U758" s="18"/>
      <c r="V758" s="18"/>
    </row>
    <row r="759" ht="15.75" customHeight="1">
      <c r="A759" s="14"/>
      <c r="E759" s="18"/>
      <c r="F759" s="18"/>
      <c r="G759" s="18"/>
      <c r="P759" s="16"/>
      <c r="T759" s="18"/>
      <c r="U759" s="18"/>
      <c r="V759" s="18"/>
    </row>
    <row r="760" ht="15.75" customHeight="1">
      <c r="A760" s="14"/>
      <c r="E760" s="18"/>
      <c r="F760" s="18"/>
      <c r="G760" s="18"/>
      <c r="P760" s="16"/>
      <c r="T760" s="18"/>
      <c r="U760" s="18"/>
      <c r="V760" s="18"/>
    </row>
    <row r="761" ht="15.75" customHeight="1">
      <c r="A761" s="14"/>
      <c r="E761" s="18"/>
      <c r="F761" s="18"/>
      <c r="G761" s="18"/>
      <c r="P761" s="16"/>
      <c r="T761" s="18"/>
      <c r="U761" s="18"/>
      <c r="V761" s="18"/>
    </row>
    <row r="762" ht="15.75" customHeight="1">
      <c r="A762" s="14"/>
      <c r="E762" s="18"/>
      <c r="F762" s="18"/>
      <c r="G762" s="18"/>
      <c r="P762" s="16"/>
      <c r="T762" s="18"/>
      <c r="U762" s="18"/>
      <c r="V762" s="18"/>
    </row>
    <row r="763" ht="15.75" customHeight="1">
      <c r="A763" s="14"/>
      <c r="E763" s="18"/>
      <c r="F763" s="18"/>
      <c r="G763" s="18"/>
      <c r="P763" s="16"/>
      <c r="T763" s="18"/>
      <c r="U763" s="18"/>
      <c r="V763" s="18"/>
    </row>
    <row r="764" ht="15.75" customHeight="1">
      <c r="A764" s="14"/>
      <c r="E764" s="18"/>
      <c r="F764" s="18"/>
      <c r="G764" s="18"/>
      <c r="P764" s="16"/>
      <c r="T764" s="18"/>
      <c r="U764" s="18"/>
      <c r="V764" s="18"/>
    </row>
    <row r="765" ht="15.75" customHeight="1">
      <c r="A765" s="14"/>
      <c r="E765" s="18"/>
      <c r="F765" s="18"/>
      <c r="G765" s="18"/>
      <c r="P765" s="16"/>
      <c r="T765" s="18"/>
      <c r="U765" s="18"/>
      <c r="V765" s="18"/>
    </row>
    <row r="766" ht="15.75" customHeight="1">
      <c r="A766" s="14"/>
      <c r="E766" s="18"/>
      <c r="F766" s="18"/>
      <c r="G766" s="18"/>
      <c r="P766" s="16"/>
      <c r="T766" s="18"/>
      <c r="U766" s="18"/>
      <c r="V766" s="18"/>
    </row>
    <row r="767" ht="15.75" customHeight="1">
      <c r="A767" s="14"/>
      <c r="E767" s="18"/>
      <c r="F767" s="18"/>
      <c r="G767" s="18"/>
      <c r="P767" s="16"/>
      <c r="T767" s="18"/>
      <c r="U767" s="18"/>
      <c r="V767" s="18"/>
    </row>
    <row r="768" ht="15.75" customHeight="1">
      <c r="A768" s="14"/>
      <c r="E768" s="18"/>
      <c r="F768" s="18"/>
      <c r="G768" s="18"/>
      <c r="P768" s="16"/>
      <c r="T768" s="18"/>
      <c r="U768" s="18"/>
      <c r="V768" s="18"/>
    </row>
    <row r="769" ht="15.75" customHeight="1">
      <c r="A769" s="14"/>
      <c r="E769" s="18"/>
      <c r="F769" s="18"/>
      <c r="G769" s="18"/>
      <c r="P769" s="16"/>
      <c r="T769" s="18"/>
      <c r="U769" s="18"/>
      <c r="V769" s="18"/>
    </row>
    <row r="770" ht="15.75" customHeight="1">
      <c r="A770" s="14"/>
      <c r="E770" s="18"/>
      <c r="F770" s="18"/>
      <c r="G770" s="18"/>
      <c r="P770" s="16"/>
      <c r="T770" s="18"/>
      <c r="U770" s="18"/>
      <c r="V770" s="18"/>
    </row>
    <row r="771" ht="15.75" customHeight="1">
      <c r="A771" s="14"/>
      <c r="E771" s="18"/>
      <c r="F771" s="18"/>
      <c r="G771" s="18"/>
      <c r="P771" s="16"/>
      <c r="T771" s="18"/>
      <c r="U771" s="18"/>
      <c r="V771" s="18"/>
    </row>
    <row r="772" ht="15.75" customHeight="1">
      <c r="A772" s="14"/>
      <c r="E772" s="18"/>
      <c r="F772" s="18"/>
      <c r="G772" s="18"/>
      <c r="P772" s="16"/>
      <c r="T772" s="18"/>
      <c r="U772" s="18"/>
      <c r="V772" s="18"/>
    </row>
    <row r="773" ht="15.75" customHeight="1">
      <c r="A773" s="14"/>
      <c r="E773" s="18"/>
      <c r="F773" s="18"/>
      <c r="G773" s="18"/>
      <c r="P773" s="16"/>
      <c r="T773" s="18"/>
      <c r="U773" s="18"/>
      <c r="V773" s="18"/>
    </row>
    <row r="774" ht="15.75" customHeight="1">
      <c r="A774" s="14"/>
      <c r="E774" s="18"/>
      <c r="F774" s="18"/>
      <c r="G774" s="18"/>
      <c r="P774" s="16"/>
      <c r="T774" s="18"/>
      <c r="U774" s="18"/>
      <c r="V774" s="18"/>
    </row>
    <row r="775" ht="15.75" customHeight="1">
      <c r="A775" s="14"/>
      <c r="E775" s="18"/>
      <c r="F775" s="18"/>
      <c r="G775" s="18"/>
      <c r="P775" s="16"/>
      <c r="T775" s="18"/>
      <c r="U775" s="18"/>
      <c r="V775" s="18"/>
    </row>
    <row r="776" ht="15.75" customHeight="1">
      <c r="A776" s="14"/>
      <c r="E776" s="18"/>
      <c r="F776" s="18"/>
      <c r="G776" s="18"/>
      <c r="P776" s="16"/>
      <c r="T776" s="18"/>
      <c r="U776" s="18"/>
      <c r="V776" s="18"/>
    </row>
    <row r="777" ht="15.75" customHeight="1">
      <c r="A777" s="14"/>
      <c r="E777" s="18"/>
      <c r="F777" s="18"/>
      <c r="G777" s="18"/>
      <c r="P777" s="16"/>
      <c r="T777" s="18"/>
      <c r="U777" s="18"/>
      <c r="V777" s="18"/>
    </row>
    <row r="778" ht="15.75" customHeight="1">
      <c r="A778" s="14"/>
      <c r="E778" s="18"/>
      <c r="F778" s="18"/>
      <c r="G778" s="18"/>
      <c r="P778" s="16"/>
      <c r="T778" s="18"/>
      <c r="U778" s="18"/>
      <c r="V778" s="18"/>
    </row>
    <row r="779" ht="15.75" customHeight="1">
      <c r="A779" s="14"/>
      <c r="E779" s="18"/>
      <c r="F779" s="18"/>
      <c r="G779" s="18"/>
      <c r="P779" s="16"/>
      <c r="T779" s="18"/>
      <c r="U779" s="18"/>
      <c r="V779" s="18"/>
    </row>
    <row r="780" ht="15.75" customHeight="1">
      <c r="A780" s="14"/>
      <c r="E780" s="18"/>
      <c r="F780" s="18"/>
      <c r="G780" s="18"/>
      <c r="P780" s="16"/>
      <c r="T780" s="18"/>
      <c r="U780" s="18"/>
      <c r="V780" s="18"/>
    </row>
    <row r="781" ht="15.75" customHeight="1">
      <c r="A781" s="14"/>
      <c r="E781" s="18"/>
      <c r="F781" s="18"/>
      <c r="G781" s="18"/>
      <c r="P781" s="16"/>
      <c r="T781" s="18"/>
      <c r="U781" s="18"/>
      <c r="V781" s="18"/>
    </row>
    <row r="782" ht="15.75" customHeight="1">
      <c r="A782" s="14"/>
      <c r="E782" s="18"/>
      <c r="F782" s="18"/>
      <c r="G782" s="18"/>
      <c r="P782" s="16"/>
      <c r="T782" s="18"/>
      <c r="U782" s="18"/>
      <c r="V782" s="18"/>
    </row>
    <row r="783" ht="15.75" customHeight="1">
      <c r="A783" s="14"/>
      <c r="E783" s="18"/>
      <c r="F783" s="18"/>
      <c r="G783" s="18"/>
      <c r="P783" s="16"/>
      <c r="T783" s="18"/>
      <c r="U783" s="18"/>
      <c r="V783" s="18"/>
    </row>
    <row r="784" ht="15.75" customHeight="1">
      <c r="A784" s="14"/>
      <c r="E784" s="18"/>
      <c r="F784" s="18"/>
      <c r="G784" s="18"/>
      <c r="P784" s="16"/>
      <c r="T784" s="18"/>
      <c r="U784" s="18"/>
      <c r="V784" s="18"/>
    </row>
    <row r="785" ht="15.75" customHeight="1">
      <c r="A785" s="14"/>
      <c r="E785" s="18"/>
      <c r="F785" s="18"/>
      <c r="G785" s="18"/>
      <c r="P785" s="16"/>
      <c r="T785" s="18"/>
      <c r="U785" s="18"/>
      <c r="V785" s="18"/>
    </row>
    <row r="786" ht="15.75" customHeight="1">
      <c r="A786" s="14"/>
      <c r="E786" s="18"/>
      <c r="F786" s="18"/>
      <c r="G786" s="18"/>
      <c r="P786" s="16"/>
      <c r="T786" s="18"/>
      <c r="U786" s="18"/>
      <c r="V786" s="18"/>
    </row>
    <row r="787" ht="15.75" customHeight="1">
      <c r="A787" s="14"/>
      <c r="E787" s="18"/>
      <c r="F787" s="18"/>
      <c r="G787" s="18"/>
      <c r="P787" s="16"/>
      <c r="T787" s="18"/>
      <c r="U787" s="18"/>
      <c r="V787" s="18"/>
    </row>
    <row r="788" ht="15.75" customHeight="1">
      <c r="A788" s="14"/>
      <c r="E788" s="18"/>
      <c r="F788" s="18"/>
      <c r="G788" s="18"/>
      <c r="P788" s="16"/>
      <c r="T788" s="18"/>
      <c r="U788" s="18"/>
      <c r="V788" s="18"/>
    </row>
    <row r="789" ht="15.75" customHeight="1">
      <c r="A789" s="14"/>
      <c r="E789" s="18"/>
      <c r="F789" s="18"/>
      <c r="G789" s="18"/>
      <c r="P789" s="16"/>
      <c r="T789" s="18"/>
      <c r="U789" s="18"/>
      <c r="V789" s="18"/>
    </row>
    <row r="790" ht="15.75" customHeight="1">
      <c r="A790" s="14"/>
      <c r="E790" s="18"/>
      <c r="F790" s="18"/>
      <c r="G790" s="18"/>
      <c r="P790" s="16"/>
      <c r="T790" s="18"/>
      <c r="U790" s="18"/>
      <c r="V790" s="18"/>
    </row>
    <row r="791" ht="15.75" customHeight="1">
      <c r="A791" s="14"/>
      <c r="E791" s="18"/>
      <c r="F791" s="18"/>
      <c r="G791" s="18"/>
      <c r="P791" s="16"/>
      <c r="T791" s="18"/>
      <c r="U791" s="18"/>
      <c r="V791" s="18"/>
    </row>
    <row r="792" ht="15.75" customHeight="1">
      <c r="A792" s="14"/>
      <c r="E792" s="18"/>
      <c r="F792" s="18"/>
      <c r="G792" s="18"/>
      <c r="P792" s="16"/>
      <c r="T792" s="18"/>
      <c r="U792" s="18"/>
      <c r="V792" s="18"/>
    </row>
    <row r="793" ht="15.75" customHeight="1">
      <c r="A793" s="14"/>
      <c r="E793" s="18"/>
      <c r="F793" s="18"/>
      <c r="G793" s="18"/>
      <c r="P793" s="16"/>
      <c r="T793" s="18"/>
      <c r="U793" s="18"/>
      <c r="V793" s="18"/>
    </row>
    <row r="794" ht="15.75" customHeight="1">
      <c r="A794" s="14"/>
      <c r="E794" s="18"/>
      <c r="F794" s="18"/>
      <c r="G794" s="18"/>
      <c r="P794" s="16"/>
      <c r="T794" s="18"/>
      <c r="U794" s="18"/>
      <c r="V794" s="18"/>
    </row>
    <row r="795" ht="15.75" customHeight="1">
      <c r="A795" s="14"/>
      <c r="E795" s="18"/>
      <c r="F795" s="18"/>
      <c r="G795" s="18"/>
      <c r="P795" s="16"/>
      <c r="T795" s="18"/>
      <c r="U795" s="18"/>
      <c r="V795" s="18"/>
    </row>
    <row r="796" ht="15.75" customHeight="1">
      <c r="A796" s="14"/>
      <c r="E796" s="18"/>
      <c r="F796" s="18"/>
      <c r="G796" s="18"/>
      <c r="P796" s="16"/>
      <c r="T796" s="18"/>
      <c r="U796" s="18"/>
      <c r="V796" s="18"/>
    </row>
    <row r="797" ht="15.75" customHeight="1">
      <c r="A797" s="14"/>
      <c r="E797" s="18"/>
      <c r="F797" s="18"/>
      <c r="G797" s="18"/>
      <c r="P797" s="16"/>
      <c r="T797" s="18"/>
      <c r="U797" s="18"/>
      <c r="V797" s="18"/>
    </row>
    <row r="798" ht="15.75" customHeight="1">
      <c r="A798" s="14"/>
      <c r="E798" s="18"/>
      <c r="F798" s="18"/>
      <c r="G798" s="18"/>
      <c r="P798" s="16"/>
      <c r="T798" s="18"/>
      <c r="U798" s="18"/>
      <c r="V798" s="18"/>
    </row>
    <row r="799" ht="15.75" customHeight="1">
      <c r="A799" s="14"/>
      <c r="E799" s="18"/>
      <c r="F799" s="18"/>
      <c r="G799" s="18"/>
      <c r="P799" s="16"/>
      <c r="T799" s="18"/>
      <c r="U799" s="18"/>
      <c r="V799" s="18"/>
    </row>
    <row r="800" ht="15.75" customHeight="1">
      <c r="A800" s="14"/>
      <c r="E800" s="18"/>
      <c r="F800" s="18"/>
      <c r="G800" s="18"/>
      <c r="P800" s="16"/>
      <c r="T800" s="18"/>
      <c r="U800" s="18"/>
      <c r="V800" s="18"/>
    </row>
    <row r="801" ht="15.75" customHeight="1">
      <c r="A801" s="14"/>
      <c r="E801" s="18"/>
      <c r="F801" s="18"/>
      <c r="G801" s="18"/>
      <c r="P801" s="16"/>
      <c r="T801" s="18"/>
      <c r="U801" s="18"/>
      <c r="V801" s="18"/>
    </row>
    <row r="802" ht="15.75" customHeight="1">
      <c r="A802" s="14"/>
      <c r="E802" s="18"/>
      <c r="F802" s="18"/>
      <c r="G802" s="18"/>
      <c r="P802" s="16"/>
      <c r="T802" s="18"/>
      <c r="U802" s="18"/>
      <c r="V802" s="18"/>
    </row>
    <row r="803" ht="15.75" customHeight="1">
      <c r="A803" s="14"/>
      <c r="E803" s="18"/>
      <c r="F803" s="18"/>
      <c r="G803" s="18"/>
      <c r="P803" s="16"/>
      <c r="T803" s="18"/>
      <c r="U803" s="18"/>
      <c r="V803" s="18"/>
    </row>
    <row r="804" ht="15.75" customHeight="1">
      <c r="A804" s="14"/>
      <c r="E804" s="18"/>
      <c r="F804" s="18"/>
      <c r="G804" s="18"/>
      <c r="P804" s="16"/>
      <c r="T804" s="18"/>
      <c r="U804" s="18"/>
      <c r="V804" s="18"/>
    </row>
    <row r="805" ht="15.75" customHeight="1">
      <c r="A805" s="14"/>
      <c r="E805" s="18"/>
      <c r="F805" s="18"/>
      <c r="G805" s="18"/>
      <c r="P805" s="16"/>
      <c r="T805" s="18"/>
      <c r="U805" s="18"/>
      <c r="V805" s="18"/>
    </row>
    <row r="806" ht="15.75" customHeight="1">
      <c r="A806" s="14"/>
      <c r="E806" s="18"/>
      <c r="F806" s="18"/>
      <c r="G806" s="18"/>
      <c r="P806" s="16"/>
      <c r="T806" s="18"/>
      <c r="U806" s="18"/>
      <c r="V806" s="18"/>
    </row>
    <row r="807" ht="15.75" customHeight="1">
      <c r="A807" s="14"/>
      <c r="E807" s="18"/>
      <c r="F807" s="18"/>
      <c r="G807" s="18"/>
      <c r="P807" s="16"/>
      <c r="T807" s="18"/>
      <c r="U807" s="18"/>
      <c r="V807" s="18"/>
    </row>
    <row r="808" ht="15.75" customHeight="1">
      <c r="A808" s="14"/>
      <c r="E808" s="18"/>
      <c r="F808" s="18"/>
      <c r="G808" s="18"/>
      <c r="P808" s="16"/>
      <c r="T808" s="18"/>
      <c r="U808" s="18"/>
      <c r="V808" s="18"/>
    </row>
    <row r="809" ht="15.75" customHeight="1">
      <c r="A809" s="14"/>
      <c r="E809" s="18"/>
      <c r="F809" s="18"/>
      <c r="G809" s="18"/>
      <c r="P809" s="16"/>
      <c r="T809" s="18"/>
      <c r="U809" s="18"/>
      <c r="V809" s="18"/>
    </row>
    <row r="810" ht="15.75" customHeight="1">
      <c r="A810" s="14"/>
      <c r="E810" s="18"/>
      <c r="F810" s="18"/>
      <c r="G810" s="18"/>
      <c r="P810" s="16"/>
      <c r="T810" s="18"/>
      <c r="U810" s="18"/>
      <c r="V810" s="18"/>
    </row>
    <row r="811" ht="15.75" customHeight="1">
      <c r="A811" s="14"/>
      <c r="E811" s="18"/>
      <c r="F811" s="18"/>
      <c r="G811" s="18"/>
      <c r="P811" s="16"/>
      <c r="T811" s="18"/>
      <c r="U811" s="18"/>
      <c r="V811" s="18"/>
    </row>
    <row r="812" ht="15.75" customHeight="1">
      <c r="A812" s="14"/>
      <c r="E812" s="18"/>
      <c r="F812" s="18"/>
      <c r="G812" s="18"/>
      <c r="P812" s="16"/>
      <c r="T812" s="18"/>
      <c r="U812" s="18"/>
      <c r="V812" s="18"/>
    </row>
    <row r="813" ht="15.75" customHeight="1">
      <c r="A813" s="14"/>
      <c r="E813" s="18"/>
      <c r="F813" s="18"/>
      <c r="G813" s="18"/>
      <c r="P813" s="16"/>
      <c r="T813" s="18"/>
      <c r="U813" s="18"/>
      <c r="V813" s="18"/>
    </row>
    <row r="814" ht="15.75" customHeight="1">
      <c r="A814" s="14"/>
      <c r="E814" s="18"/>
      <c r="F814" s="18"/>
      <c r="G814" s="18"/>
      <c r="P814" s="16"/>
      <c r="T814" s="18"/>
      <c r="U814" s="18"/>
      <c r="V814" s="18"/>
    </row>
    <row r="815" ht="15.75" customHeight="1">
      <c r="A815" s="14"/>
      <c r="E815" s="18"/>
      <c r="F815" s="18"/>
      <c r="G815" s="18"/>
      <c r="P815" s="16"/>
      <c r="T815" s="18"/>
      <c r="U815" s="18"/>
      <c r="V815" s="18"/>
    </row>
    <row r="816" ht="15.75" customHeight="1">
      <c r="A816" s="14"/>
      <c r="E816" s="18"/>
      <c r="F816" s="18"/>
      <c r="G816" s="18"/>
      <c r="P816" s="16"/>
      <c r="T816" s="18"/>
      <c r="U816" s="18"/>
      <c r="V816" s="18"/>
    </row>
    <row r="817" ht="15.75" customHeight="1">
      <c r="A817" s="14"/>
      <c r="E817" s="18"/>
      <c r="F817" s="18"/>
      <c r="G817" s="18"/>
      <c r="P817" s="16"/>
      <c r="T817" s="18"/>
      <c r="U817" s="18"/>
      <c r="V817" s="18"/>
    </row>
    <row r="818" ht="15.75" customHeight="1">
      <c r="A818" s="14"/>
      <c r="E818" s="18"/>
      <c r="F818" s="18"/>
      <c r="G818" s="18"/>
      <c r="P818" s="16"/>
      <c r="T818" s="18"/>
      <c r="U818" s="18"/>
      <c r="V818" s="18"/>
    </row>
    <row r="819" ht="15.75" customHeight="1">
      <c r="A819" s="14"/>
      <c r="E819" s="18"/>
      <c r="F819" s="18"/>
      <c r="G819" s="18"/>
      <c r="P819" s="16"/>
      <c r="T819" s="18"/>
      <c r="U819" s="18"/>
      <c r="V819" s="18"/>
    </row>
    <row r="820" ht="15.75" customHeight="1">
      <c r="A820" s="14"/>
      <c r="E820" s="18"/>
      <c r="F820" s="18"/>
      <c r="G820" s="18"/>
      <c r="P820" s="16"/>
      <c r="T820" s="18"/>
      <c r="U820" s="18"/>
      <c r="V820" s="18"/>
    </row>
    <row r="821" ht="15.75" customHeight="1">
      <c r="A821" s="14"/>
      <c r="E821" s="18"/>
      <c r="F821" s="18"/>
      <c r="G821" s="18"/>
      <c r="P821" s="16"/>
      <c r="T821" s="18"/>
      <c r="U821" s="18"/>
      <c r="V821" s="18"/>
    </row>
    <row r="822" ht="15.75" customHeight="1">
      <c r="A822" s="14"/>
      <c r="E822" s="18"/>
      <c r="F822" s="18"/>
      <c r="G822" s="18"/>
      <c r="P822" s="16"/>
      <c r="T822" s="18"/>
      <c r="U822" s="18"/>
      <c r="V822" s="18"/>
    </row>
    <row r="823" ht="15.75" customHeight="1">
      <c r="A823" s="14"/>
      <c r="E823" s="18"/>
      <c r="F823" s="18"/>
      <c r="G823" s="18"/>
      <c r="P823" s="16"/>
      <c r="T823" s="18"/>
      <c r="U823" s="18"/>
      <c r="V823" s="18"/>
    </row>
    <row r="824" ht="15.75" customHeight="1">
      <c r="A824" s="14"/>
      <c r="E824" s="18"/>
      <c r="F824" s="18"/>
      <c r="G824" s="18"/>
      <c r="P824" s="16"/>
      <c r="T824" s="18"/>
      <c r="U824" s="18"/>
      <c r="V824" s="18"/>
    </row>
    <row r="825" ht="15.75" customHeight="1">
      <c r="A825" s="14"/>
      <c r="E825" s="18"/>
      <c r="F825" s="18"/>
      <c r="G825" s="18"/>
      <c r="P825" s="16"/>
      <c r="T825" s="18"/>
      <c r="U825" s="18"/>
      <c r="V825" s="18"/>
    </row>
    <row r="826" ht="15.75" customHeight="1">
      <c r="A826" s="14"/>
      <c r="E826" s="18"/>
      <c r="F826" s="18"/>
      <c r="G826" s="18"/>
      <c r="P826" s="16"/>
      <c r="T826" s="18"/>
      <c r="U826" s="18"/>
      <c r="V826" s="18"/>
    </row>
    <row r="827" ht="15.75" customHeight="1">
      <c r="A827" s="14"/>
      <c r="E827" s="18"/>
      <c r="F827" s="18"/>
      <c r="G827" s="18"/>
      <c r="P827" s="16"/>
      <c r="T827" s="18"/>
      <c r="U827" s="18"/>
      <c r="V827" s="18"/>
    </row>
    <row r="828" ht="15.75" customHeight="1">
      <c r="A828" s="14"/>
      <c r="E828" s="18"/>
      <c r="F828" s="18"/>
      <c r="G828" s="18"/>
      <c r="P828" s="16"/>
      <c r="T828" s="18"/>
      <c r="U828" s="18"/>
      <c r="V828" s="18"/>
    </row>
    <row r="829" ht="15.75" customHeight="1">
      <c r="A829" s="14"/>
      <c r="E829" s="18"/>
      <c r="F829" s="18"/>
      <c r="G829" s="18"/>
      <c r="P829" s="16"/>
      <c r="T829" s="18"/>
      <c r="U829" s="18"/>
      <c r="V829" s="18"/>
    </row>
    <row r="830" ht="15.75" customHeight="1">
      <c r="A830" s="14"/>
      <c r="E830" s="18"/>
      <c r="F830" s="18"/>
      <c r="G830" s="18"/>
      <c r="P830" s="16"/>
      <c r="T830" s="18"/>
      <c r="U830" s="18"/>
      <c r="V830" s="18"/>
    </row>
    <row r="831" ht="15.75" customHeight="1">
      <c r="A831" s="14"/>
      <c r="E831" s="18"/>
      <c r="F831" s="18"/>
      <c r="G831" s="18"/>
      <c r="P831" s="16"/>
      <c r="T831" s="18"/>
      <c r="U831" s="18"/>
      <c r="V831" s="18"/>
    </row>
    <row r="832" ht="15.75" customHeight="1">
      <c r="A832" s="14"/>
      <c r="E832" s="18"/>
      <c r="F832" s="18"/>
      <c r="G832" s="18"/>
      <c r="P832" s="16"/>
      <c r="T832" s="18"/>
      <c r="U832" s="18"/>
      <c r="V832" s="18"/>
    </row>
    <row r="833" ht="15.75" customHeight="1">
      <c r="A833" s="14"/>
      <c r="E833" s="18"/>
      <c r="F833" s="18"/>
      <c r="G833" s="18"/>
      <c r="P833" s="16"/>
      <c r="T833" s="18"/>
      <c r="U833" s="18"/>
      <c r="V833" s="18"/>
    </row>
    <row r="834" ht="15.75" customHeight="1">
      <c r="A834" s="14"/>
      <c r="E834" s="18"/>
      <c r="F834" s="18"/>
      <c r="G834" s="18"/>
      <c r="P834" s="16"/>
      <c r="T834" s="18"/>
      <c r="U834" s="18"/>
      <c r="V834" s="18"/>
    </row>
    <row r="835" ht="15.75" customHeight="1">
      <c r="A835" s="14"/>
      <c r="E835" s="18"/>
      <c r="F835" s="18"/>
      <c r="G835" s="18"/>
      <c r="P835" s="16"/>
      <c r="T835" s="18"/>
      <c r="U835" s="18"/>
      <c r="V835" s="18"/>
    </row>
    <row r="836" ht="15.75" customHeight="1">
      <c r="A836" s="14"/>
      <c r="E836" s="18"/>
      <c r="F836" s="18"/>
      <c r="G836" s="18"/>
      <c r="P836" s="16"/>
      <c r="T836" s="18"/>
      <c r="U836" s="18"/>
      <c r="V836" s="18"/>
    </row>
    <row r="837" ht="15.75" customHeight="1">
      <c r="A837" s="14"/>
      <c r="E837" s="18"/>
      <c r="F837" s="18"/>
      <c r="G837" s="18"/>
      <c r="P837" s="16"/>
      <c r="T837" s="18"/>
      <c r="U837" s="18"/>
      <c r="V837" s="18"/>
    </row>
    <row r="838" ht="15.75" customHeight="1">
      <c r="A838" s="14"/>
      <c r="E838" s="18"/>
      <c r="F838" s="18"/>
      <c r="G838" s="18"/>
      <c r="P838" s="16"/>
      <c r="T838" s="18"/>
      <c r="U838" s="18"/>
      <c r="V838" s="18"/>
    </row>
    <row r="839" ht="15.75" customHeight="1">
      <c r="A839" s="14"/>
      <c r="E839" s="18"/>
      <c r="F839" s="18"/>
      <c r="G839" s="18"/>
      <c r="P839" s="16"/>
      <c r="T839" s="18"/>
      <c r="U839" s="18"/>
      <c r="V839" s="18"/>
    </row>
    <row r="840" ht="15.75" customHeight="1">
      <c r="A840" s="14"/>
      <c r="E840" s="18"/>
      <c r="F840" s="18"/>
      <c r="G840" s="18"/>
      <c r="P840" s="16"/>
      <c r="T840" s="18"/>
      <c r="U840" s="18"/>
      <c r="V840" s="18"/>
    </row>
    <row r="841" ht="15.75" customHeight="1">
      <c r="A841" s="14"/>
      <c r="E841" s="18"/>
      <c r="F841" s="18"/>
      <c r="G841" s="18"/>
      <c r="P841" s="16"/>
      <c r="T841" s="18"/>
      <c r="U841" s="18"/>
      <c r="V841" s="18"/>
    </row>
    <row r="842" ht="15.75" customHeight="1">
      <c r="A842" s="14"/>
      <c r="E842" s="18"/>
      <c r="F842" s="18"/>
      <c r="G842" s="18"/>
      <c r="P842" s="16"/>
      <c r="T842" s="18"/>
      <c r="U842" s="18"/>
      <c r="V842" s="18"/>
    </row>
    <row r="843" ht="15.75" customHeight="1">
      <c r="A843" s="14"/>
      <c r="E843" s="18"/>
      <c r="F843" s="18"/>
      <c r="G843" s="18"/>
      <c r="P843" s="16"/>
      <c r="T843" s="18"/>
      <c r="U843" s="18"/>
      <c r="V843" s="18"/>
    </row>
    <row r="844" ht="15.75" customHeight="1">
      <c r="A844" s="14"/>
      <c r="E844" s="18"/>
      <c r="F844" s="18"/>
      <c r="G844" s="18"/>
      <c r="P844" s="16"/>
      <c r="T844" s="18"/>
      <c r="U844" s="18"/>
      <c r="V844" s="18"/>
    </row>
    <row r="845" ht="15.75" customHeight="1">
      <c r="A845" s="14"/>
      <c r="E845" s="18"/>
      <c r="F845" s="18"/>
      <c r="G845" s="18"/>
      <c r="P845" s="16"/>
      <c r="T845" s="18"/>
      <c r="U845" s="18"/>
      <c r="V845" s="18"/>
    </row>
    <row r="846" ht="15.75" customHeight="1">
      <c r="A846" s="14"/>
      <c r="E846" s="18"/>
      <c r="F846" s="18"/>
      <c r="G846" s="18"/>
      <c r="P846" s="16"/>
      <c r="T846" s="18"/>
      <c r="U846" s="18"/>
      <c r="V846" s="18"/>
    </row>
    <row r="847" ht="15.75" customHeight="1">
      <c r="A847" s="14"/>
      <c r="E847" s="18"/>
      <c r="F847" s="18"/>
      <c r="G847" s="18"/>
      <c r="P847" s="16"/>
      <c r="T847" s="18"/>
      <c r="U847" s="18"/>
      <c r="V847" s="18"/>
    </row>
    <row r="848" ht="15.75" customHeight="1">
      <c r="A848" s="14"/>
      <c r="E848" s="18"/>
      <c r="F848" s="18"/>
      <c r="G848" s="18"/>
      <c r="P848" s="16"/>
      <c r="T848" s="18"/>
      <c r="U848" s="18"/>
      <c r="V848" s="18"/>
    </row>
    <row r="849" ht="15.75" customHeight="1">
      <c r="A849" s="14"/>
      <c r="E849" s="18"/>
      <c r="F849" s="18"/>
      <c r="G849" s="18"/>
      <c r="P849" s="16"/>
      <c r="T849" s="18"/>
      <c r="U849" s="18"/>
      <c r="V849" s="18"/>
    </row>
    <row r="850" ht="15.75" customHeight="1">
      <c r="A850" s="14"/>
      <c r="E850" s="18"/>
      <c r="F850" s="18"/>
      <c r="G850" s="18"/>
      <c r="P850" s="16"/>
      <c r="T850" s="18"/>
      <c r="U850" s="18"/>
      <c r="V850" s="18"/>
    </row>
    <row r="851" ht="15.75" customHeight="1">
      <c r="A851" s="14"/>
      <c r="E851" s="18"/>
      <c r="F851" s="18"/>
      <c r="G851" s="18"/>
      <c r="P851" s="16"/>
      <c r="T851" s="18"/>
      <c r="U851" s="18"/>
      <c r="V851" s="18"/>
    </row>
    <row r="852" ht="15.75" customHeight="1">
      <c r="A852" s="14"/>
      <c r="E852" s="18"/>
      <c r="F852" s="18"/>
      <c r="G852" s="18"/>
      <c r="P852" s="16"/>
      <c r="T852" s="18"/>
      <c r="U852" s="18"/>
      <c r="V852" s="18"/>
    </row>
    <row r="853" ht="15.75" customHeight="1">
      <c r="A853" s="14"/>
      <c r="E853" s="18"/>
      <c r="F853" s="18"/>
      <c r="G853" s="18"/>
      <c r="P853" s="16"/>
      <c r="T853" s="18"/>
      <c r="U853" s="18"/>
      <c r="V853" s="18"/>
    </row>
    <row r="854" ht="15.75" customHeight="1">
      <c r="A854" s="14"/>
      <c r="E854" s="18"/>
      <c r="F854" s="18"/>
      <c r="G854" s="18"/>
      <c r="P854" s="16"/>
      <c r="T854" s="18"/>
      <c r="U854" s="18"/>
      <c r="V854" s="18"/>
    </row>
    <row r="855" ht="15.75" customHeight="1">
      <c r="A855" s="14"/>
      <c r="E855" s="18"/>
      <c r="F855" s="18"/>
      <c r="G855" s="18"/>
      <c r="P855" s="16"/>
      <c r="T855" s="18"/>
      <c r="U855" s="18"/>
      <c r="V855" s="18"/>
    </row>
    <row r="856" ht="15.75" customHeight="1">
      <c r="A856" s="14"/>
      <c r="E856" s="18"/>
      <c r="F856" s="18"/>
      <c r="G856" s="18"/>
      <c r="P856" s="16"/>
      <c r="T856" s="18"/>
      <c r="U856" s="18"/>
      <c r="V856" s="18"/>
    </row>
    <row r="857" ht="15.75" customHeight="1">
      <c r="A857" s="14"/>
      <c r="E857" s="18"/>
      <c r="F857" s="18"/>
      <c r="G857" s="18"/>
      <c r="P857" s="16"/>
      <c r="T857" s="18"/>
      <c r="U857" s="18"/>
      <c r="V857" s="18"/>
    </row>
    <row r="858" ht="15.75" customHeight="1">
      <c r="A858" s="14"/>
      <c r="E858" s="18"/>
      <c r="F858" s="18"/>
      <c r="G858" s="18"/>
      <c r="P858" s="16"/>
      <c r="T858" s="18"/>
      <c r="U858" s="18"/>
      <c r="V858" s="18"/>
    </row>
    <row r="859" ht="15.75" customHeight="1">
      <c r="A859" s="14"/>
      <c r="E859" s="18"/>
      <c r="F859" s="18"/>
      <c r="G859" s="18"/>
      <c r="P859" s="16"/>
      <c r="T859" s="18"/>
      <c r="U859" s="18"/>
      <c r="V859" s="18"/>
    </row>
    <row r="860" ht="15.75" customHeight="1">
      <c r="A860" s="14"/>
      <c r="E860" s="18"/>
      <c r="F860" s="18"/>
      <c r="G860" s="18"/>
      <c r="P860" s="16"/>
      <c r="T860" s="18"/>
      <c r="U860" s="18"/>
      <c r="V860" s="18"/>
    </row>
    <row r="861" ht="15.75" customHeight="1">
      <c r="A861" s="14"/>
      <c r="E861" s="18"/>
      <c r="F861" s="18"/>
      <c r="G861" s="18"/>
      <c r="P861" s="16"/>
      <c r="T861" s="18"/>
      <c r="U861" s="18"/>
      <c r="V861" s="18"/>
    </row>
    <row r="862" ht="15.75" customHeight="1">
      <c r="A862" s="14"/>
      <c r="E862" s="18"/>
      <c r="F862" s="18"/>
      <c r="G862" s="18"/>
      <c r="P862" s="16"/>
      <c r="T862" s="18"/>
      <c r="U862" s="18"/>
      <c r="V862" s="18"/>
    </row>
    <row r="863" ht="15.75" customHeight="1">
      <c r="A863" s="14"/>
      <c r="E863" s="18"/>
      <c r="F863" s="18"/>
      <c r="G863" s="18"/>
      <c r="P863" s="16"/>
      <c r="T863" s="18"/>
      <c r="U863" s="18"/>
      <c r="V863" s="18"/>
    </row>
    <row r="864" ht="15.75" customHeight="1">
      <c r="A864" s="14"/>
      <c r="E864" s="18"/>
      <c r="F864" s="18"/>
      <c r="G864" s="18"/>
      <c r="P864" s="16"/>
      <c r="T864" s="18"/>
      <c r="U864" s="18"/>
      <c r="V864" s="18"/>
    </row>
    <row r="865" ht="15.75" customHeight="1">
      <c r="A865" s="14"/>
      <c r="E865" s="18"/>
      <c r="F865" s="18"/>
      <c r="G865" s="18"/>
      <c r="P865" s="16"/>
      <c r="T865" s="18"/>
      <c r="U865" s="18"/>
      <c r="V865" s="18"/>
    </row>
    <row r="866" ht="15.75" customHeight="1">
      <c r="A866" s="14"/>
      <c r="E866" s="18"/>
      <c r="F866" s="18"/>
      <c r="G866" s="18"/>
      <c r="P866" s="16"/>
      <c r="T866" s="18"/>
      <c r="U866" s="18"/>
      <c r="V866" s="18"/>
    </row>
    <row r="867" ht="15.75" customHeight="1">
      <c r="A867" s="14"/>
      <c r="E867" s="18"/>
      <c r="F867" s="18"/>
      <c r="G867" s="18"/>
      <c r="P867" s="16"/>
      <c r="T867" s="18"/>
      <c r="U867" s="18"/>
      <c r="V867" s="18"/>
    </row>
    <row r="868" ht="15.75" customHeight="1">
      <c r="A868" s="14"/>
      <c r="E868" s="18"/>
      <c r="F868" s="18"/>
      <c r="G868" s="18"/>
      <c r="P868" s="16"/>
      <c r="T868" s="18"/>
      <c r="U868" s="18"/>
      <c r="V868" s="18"/>
    </row>
    <row r="869" ht="15.75" customHeight="1">
      <c r="A869" s="14"/>
      <c r="E869" s="18"/>
      <c r="F869" s="18"/>
      <c r="G869" s="18"/>
      <c r="P869" s="16"/>
      <c r="T869" s="18"/>
      <c r="U869" s="18"/>
      <c r="V869" s="18"/>
    </row>
    <row r="870" ht="15.75" customHeight="1">
      <c r="A870" s="14"/>
      <c r="E870" s="18"/>
      <c r="F870" s="18"/>
      <c r="G870" s="18"/>
      <c r="P870" s="16"/>
      <c r="T870" s="18"/>
      <c r="U870" s="18"/>
      <c r="V870" s="18"/>
    </row>
    <row r="871" ht="15.75" customHeight="1">
      <c r="A871" s="14"/>
      <c r="E871" s="18"/>
      <c r="F871" s="18"/>
      <c r="G871" s="18"/>
      <c r="P871" s="16"/>
      <c r="T871" s="18"/>
      <c r="U871" s="18"/>
      <c r="V871" s="18"/>
    </row>
    <row r="872" ht="15.75" customHeight="1">
      <c r="A872" s="14"/>
      <c r="E872" s="18"/>
      <c r="F872" s="18"/>
      <c r="G872" s="18"/>
      <c r="P872" s="16"/>
      <c r="T872" s="18"/>
      <c r="U872" s="18"/>
      <c r="V872" s="18"/>
    </row>
    <row r="873" ht="15.75" customHeight="1">
      <c r="A873" s="14"/>
      <c r="E873" s="18"/>
      <c r="F873" s="18"/>
      <c r="G873" s="18"/>
      <c r="P873" s="16"/>
      <c r="T873" s="18"/>
      <c r="U873" s="18"/>
      <c r="V873" s="18"/>
    </row>
    <row r="874" ht="15.75" customHeight="1">
      <c r="A874" s="14"/>
      <c r="E874" s="18"/>
      <c r="F874" s="18"/>
      <c r="G874" s="18"/>
      <c r="P874" s="16"/>
      <c r="T874" s="18"/>
      <c r="U874" s="18"/>
      <c r="V874" s="18"/>
    </row>
    <row r="875" ht="15.75" customHeight="1">
      <c r="A875" s="14"/>
      <c r="E875" s="18"/>
      <c r="F875" s="18"/>
      <c r="G875" s="18"/>
      <c r="P875" s="16"/>
      <c r="T875" s="18"/>
      <c r="U875" s="18"/>
      <c r="V875" s="18"/>
    </row>
    <row r="876" ht="15.75" customHeight="1">
      <c r="A876" s="14"/>
      <c r="E876" s="18"/>
      <c r="F876" s="18"/>
      <c r="G876" s="18"/>
      <c r="P876" s="16"/>
      <c r="T876" s="18"/>
      <c r="U876" s="18"/>
      <c r="V876" s="18"/>
    </row>
    <row r="877" ht="15.75" customHeight="1">
      <c r="A877" s="14"/>
      <c r="E877" s="18"/>
      <c r="F877" s="18"/>
      <c r="G877" s="18"/>
      <c r="P877" s="16"/>
      <c r="T877" s="18"/>
      <c r="U877" s="18"/>
      <c r="V877" s="18"/>
    </row>
    <row r="878" ht="15.75" customHeight="1">
      <c r="A878" s="14"/>
      <c r="E878" s="18"/>
      <c r="F878" s="18"/>
      <c r="G878" s="18"/>
      <c r="P878" s="16"/>
      <c r="T878" s="18"/>
      <c r="U878" s="18"/>
      <c r="V878" s="18"/>
    </row>
    <row r="879" ht="15.75" customHeight="1">
      <c r="A879" s="14"/>
      <c r="E879" s="18"/>
      <c r="F879" s="18"/>
      <c r="G879" s="18"/>
      <c r="P879" s="16"/>
      <c r="T879" s="18"/>
      <c r="U879" s="18"/>
      <c r="V879" s="18"/>
    </row>
    <row r="880" ht="15.75" customHeight="1">
      <c r="A880" s="14"/>
      <c r="E880" s="18"/>
      <c r="F880" s="18"/>
      <c r="G880" s="18"/>
      <c r="P880" s="16"/>
      <c r="T880" s="18"/>
      <c r="U880" s="18"/>
      <c r="V880" s="18"/>
    </row>
    <row r="881" ht="15.75" customHeight="1">
      <c r="A881" s="14"/>
      <c r="E881" s="18"/>
      <c r="F881" s="18"/>
      <c r="G881" s="18"/>
      <c r="P881" s="16"/>
      <c r="T881" s="18"/>
      <c r="U881" s="18"/>
      <c r="V881" s="18"/>
    </row>
    <row r="882" ht="15.75" customHeight="1">
      <c r="A882" s="14"/>
      <c r="E882" s="18"/>
      <c r="F882" s="18"/>
      <c r="G882" s="18"/>
      <c r="P882" s="16"/>
      <c r="T882" s="18"/>
      <c r="U882" s="18"/>
      <c r="V882" s="18"/>
    </row>
    <row r="883" ht="15.75" customHeight="1">
      <c r="A883" s="14"/>
      <c r="E883" s="18"/>
      <c r="F883" s="18"/>
      <c r="G883" s="18"/>
      <c r="P883" s="16"/>
      <c r="T883" s="18"/>
      <c r="U883" s="18"/>
      <c r="V883" s="18"/>
    </row>
    <row r="884" ht="15.75" customHeight="1">
      <c r="A884" s="14"/>
      <c r="E884" s="18"/>
      <c r="F884" s="18"/>
      <c r="G884" s="18"/>
      <c r="P884" s="16"/>
      <c r="T884" s="18"/>
      <c r="U884" s="18"/>
      <c r="V884" s="18"/>
    </row>
    <row r="885" ht="15.75" customHeight="1">
      <c r="A885" s="14"/>
      <c r="E885" s="18"/>
      <c r="F885" s="18"/>
      <c r="G885" s="18"/>
      <c r="P885" s="16"/>
      <c r="T885" s="18"/>
      <c r="U885" s="18"/>
      <c r="V885" s="18"/>
    </row>
    <row r="886" ht="15.75" customHeight="1">
      <c r="A886" s="14"/>
      <c r="E886" s="18"/>
      <c r="F886" s="18"/>
      <c r="G886" s="18"/>
      <c r="P886" s="16"/>
      <c r="T886" s="18"/>
      <c r="U886" s="18"/>
      <c r="V886" s="18"/>
    </row>
    <row r="887" ht="15.75" customHeight="1">
      <c r="A887" s="14"/>
      <c r="E887" s="18"/>
      <c r="F887" s="18"/>
      <c r="G887" s="18"/>
      <c r="P887" s="16"/>
      <c r="T887" s="18"/>
      <c r="U887" s="18"/>
      <c r="V887" s="18"/>
    </row>
    <row r="888" ht="15.75" customHeight="1">
      <c r="A888" s="14"/>
      <c r="E888" s="18"/>
      <c r="F888" s="18"/>
      <c r="G888" s="18"/>
      <c r="P888" s="16"/>
      <c r="T888" s="18"/>
      <c r="U888" s="18"/>
      <c r="V888" s="18"/>
    </row>
    <row r="889" ht="15.75" customHeight="1">
      <c r="A889" s="14"/>
      <c r="E889" s="18"/>
      <c r="F889" s="18"/>
      <c r="G889" s="18"/>
      <c r="P889" s="16"/>
      <c r="T889" s="18"/>
      <c r="U889" s="18"/>
      <c r="V889" s="18"/>
    </row>
    <row r="890" ht="15.75" customHeight="1">
      <c r="A890" s="14"/>
      <c r="E890" s="18"/>
      <c r="F890" s="18"/>
      <c r="G890" s="18"/>
      <c r="P890" s="16"/>
      <c r="T890" s="18"/>
      <c r="U890" s="18"/>
      <c r="V890" s="18"/>
    </row>
    <row r="891" ht="15.75" customHeight="1">
      <c r="A891" s="14"/>
      <c r="E891" s="18"/>
      <c r="F891" s="18"/>
      <c r="G891" s="18"/>
      <c r="P891" s="16"/>
      <c r="T891" s="18"/>
      <c r="U891" s="18"/>
      <c r="V891" s="18"/>
    </row>
    <row r="892" ht="15.75" customHeight="1">
      <c r="A892" s="14"/>
      <c r="E892" s="18"/>
      <c r="F892" s="18"/>
      <c r="G892" s="18"/>
      <c r="P892" s="16"/>
      <c r="T892" s="18"/>
      <c r="U892" s="18"/>
      <c r="V892" s="18"/>
    </row>
    <row r="893" ht="15.75" customHeight="1">
      <c r="A893" s="14"/>
      <c r="E893" s="18"/>
      <c r="F893" s="18"/>
      <c r="G893" s="18"/>
      <c r="P893" s="16"/>
      <c r="T893" s="18"/>
      <c r="U893" s="18"/>
      <c r="V893" s="18"/>
    </row>
    <row r="894" ht="15.75" customHeight="1">
      <c r="A894" s="14"/>
      <c r="E894" s="18"/>
      <c r="F894" s="18"/>
      <c r="G894" s="18"/>
      <c r="P894" s="16"/>
      <c r="T894" s="18"/>
      <c r="U894" s="18"/>
      <c r="V894" s="18"/>
    </row>
    <row r="895" ht="15.75" customHeight="1">
      <c r="A895" s="14"/>
      <c r="E895" s="18"/>
      <c r="F895" s="18"/>
      <c r="G895" s="18"/>
      <c r="P895" s="16"/>
      <c r="T895" s="18"/>
      <c r="U895" s="18"/>
      <c r="V895" s="18"/>
    </row>
    <row r="896" ht="15.75" customHeight="1">
      <c r="A896" s="14"/>
      <c r="E896" s="18"/>
      <c r="F896" s="18"/>
      <c r="G896" s="18"/>
      <c r="P896" s="16"/>
      <c r="T896" s="18"/>
      <c r="U896" s="18"/>
      <c r="V896" s="18"/>
    </row>
    <row r="897" ht="15.75" customHeight="1">
      <c r="A897" s="14"/>
      <c r="E897" s="18"/>
      <c r="F897" s="18"/>
      <c r="G897" s="18"/>
      <c r="P897" s="16"/>
      <c r="T897" s="18"/>
      <c r="U897" s="18"/>
      <c r="V897" s="18"/>
    </row>
    <row r="898" ht="15.75" customHeight="1">
      <c r="A898" s="14"/>
      <c r="E898" s="18"/>
      <c r="F898" s="18"/>
      <c r="G898" s="18"/>
      <c r="P898" s="16"/>
      <c r="T898" s="18"/>
      <c r="U898" s="18"/>
      <c r="V898" s="18"/>
    </row>
    <row r="899" ht="15.75" customHeight="1">
      <c r="A899" s="14"/>
      <c r="E899" s="18"/>
      <c r="F899" s="18"/>
      <c r="G899" s="18"/>
      <c r="P899" s="16"/>
      <c r="T899" s="18"/>
      <c r="U899" s="18"/>
      <c r="V899" s="18"/>
    </row>
    <row r="900" ht="15.75" customHeight="1">
      <c r="A900" s="14"/>
      <c r="E900" s="18"/>
      <c r="F900" s="18"/>
      <c r="G900" s="18"/>
      <c r="P900" s="16"/>
      <c r="T900" s="18"/>
      <c r="U900" s="18"/>
      <c r="V900" s="18"/>
    </row>
    <row r="901" ht="15.75" customHeight="1">
      <c r="A901" s="14"/>
      <c r="E901" s="18"/>
      <c r="F901" s="18"/>
      <c r="G901" s="18"/>
      <c r="P901" s="16"/>
      <c r="T901" s="18"/>
      <c r="U901" s="18"/>
      <c r="V901" s="18"/>
    </row>
    <row r="902" ht="15.75" customHeight="1">
      <c r="A902" s="14"/>
      <c r="E902" s="18"/>
      <c r="F902" s="18"/>
      <c r="G902" s="18"/>
      <c r="P902" s="16"/>
      <c r="T902" s="18"/>
      <c r="U902" s="18"/>
      <c r="V902" s="18"/>
    </row>
    <row r="903" ht="15.75" customHeight="1">
      <c r="A903" s="14"/>
      <c r="E903" s="18"/>
      <c r="F903" s="18"/>
      <c r="G903" s="18"/>
      <c r="P903" s="16"/>
      <c r="T903" s="18"/>
      <c r="U903" s="18"/>
      <c r="V903" s="18"/>
    </row>
    <row r="904" ht="15.75" customHeight="1">
      <c r="A904" s="14"/>
      <c r="E904" s="18"/>
      <c r="F904" s="18"/>
      <c r="G904" s="18"/>
      <c r="P904" s="16"/>
      <c r="T904" s="18"/>
      <c r="U904" s="18"/>
      <c r="V904" s="18"/>
    </row>
    <row r="905" ht="15.75" customHeight="1">
      <c r="A905" s="14"/>
      <c r="E905" s="18"/>
      <c r="F905" s="18"/>
      <c r="G905" s="18"/>
      <c r="P905" s="16"/>
      <c r="T905" s="18"/>
      <c r="U905" s="18"/>
      <c r="V905" s="18"/>
    </row>
    <row r="906" ht="15.75" customHeight="1">
      <c r="A906" s="14"/>
      <c r="E906" s="18"/>
      <c r="F906" s="18"/>
      <c r="G906" s="18"/>
      <c r="P906" s="16"/>
      <c r="T906" s="18"/>
      <c r="U906" s="18"/>
      <c r="V906" s="18"/>
    </row>
    <row r="907" ht="15.75" customHeight="1">
      <c r="A907" s="14"/>
      <c r="E907" s="18"/>
      <c r="F907" s="18"/>
      <c r="G907" s="18"/>
      <c r="P907" s="16"/>
      <c r="T907" s="18"/>
      <c r="U907" s="18"/>
      <c r="V907" s="18"/>
    </row>
    <row r="908" ht="15.75" customHeight="1">
      <c r="A908" s="14"/>
      <c r="E908" s="18"/>
      <c r="F908" s="18"/>
      <c r="G908" s="18"/>
      <c r="P908" s="16"/>
      <c r="T908" s="18"/>
      <c r="U908" s="18"/>
      <c r="V908" s="18"/>
    </row>
    <row r="909" ht="15.75" customHeight="1">
      <c r="A909" s="14"/>
      <c r="E909" s="18"/>
      <c r="F909" s="18"/>
      <c r="G909" s="18"/>
      <c r="P909" s="16"/>
      <c r="T909" s="18"/>
      <c r="U909" s="18"/>
      <c r="V909" s="18"/>
    </row>
    <row r="910" ht="15.75" customHeight="1">
      <c r="A910" s="14"/>
      <c r="E910" s="18"/>
      <c r="F910" s="18"/>
      <c r="G910" s="18"/>
      <c r="P910" s="16"/>
      <c r="T910" s="18"/>
      <c r="U910" s="18"/>
      <c r="V910" s="18"/>
    </row>
    <row r="911" ht="15.75" customHeight="1">
      <c r="A911" s="14"/>
      <c r="E911" s="18"/>
      <c r="F911" s="18"/>
      <c r="G911" s="18"/>
      <c r="P911" s="16"/>
      <c r="T911" s="18"/>
      <c r="U911" s="18"/>
      <c r="V911" s="18"/>
    </row>
    <row r="912" ht="15.75" customHeight="1">
      <c r="A912" s="14"/>
      <c r="E912" s="18"/>
      <c r="F912" s="18"/>
      <c r="G912" s="18"/>
      <c r="P912" s="16"/>
      <c r="T912" s="18"/>
      <c r="U912" s="18"/>
      <c r="V912" s="18"/>
    </row>
    <row r="913" ht="15.75" customHeight="1">
      <c r="A913" s="14"/>
      <c r="E913" s="18"/>
      <c r="F913" s="18"/>
      <c r="G913" s="18"/>
      <c r="P913" s="16"/>
      <c r="T913" s="18"/>
      <c r="U913" s="18"/>
      <c r="V913" s="18"/>
    </row>
    <row r="914" ht="15.75" customHeight="1">
      <c r="A914" s="14"/>
      <c r="E914" s="18"/>
      <c r="F914" s="18"/>
      <c r="G914" s="18"/>
      <c r="P914" s="16"/>
      <c r="T914" s="18"/>
      <c r="U914" s="18"/>
      <c r="V914" s="18"/>
    </row>
    <row r="915" ht="15.75" customHeight="1">
      <c r="A915" s="14"/>
      <c r="E915" s="18"/>
      <c r="F915" s="18"/>
      <c r="G915" s="18"/>
      <c r="P915" s="16"/>
      <c r="T915" s="18"/>
      <c r="U915" s="18"/>
      <c r="V915" s="18"/>
    </row>
    <row r="916" ht="15.75" customHeight="1">
      <c r="A916" s="14"/>
      <c r="E916" s="18"/>
      <c r="F916" s="18"/>
      <c r="G916" s="18"/>
      <c r="P916" s="16"/>
      <c r="T916" s="18"/>
      <c r="U916" s="18"/>
      <c r="V916" s="18"/>
    </row>
    <row r="917" ht="15.75" customHeight="1">
      <c r="A917" s="14"/>
      <c r="E917" s="18"/>
      <c r="F917" s="18"/>
      <c r="G917" s="18"/>
      <c r="P917" s="16"/>
      <c r="T917" s="18"/>
      <c r="U917" s="18"/>
      <c r="V917" s="18"/>
    </row>
    <row r="918" ht="15.75" customHeight="1">
      <c r="A918" s="14"/>
      <c r="E918" s="18"/>
      <c r="F918" s="18"/>
      <c r="G918" s="18"/>
      <c r="P918" s="16"/>
      <c r="T918" s="18"/>
      <c r="U918" s="18"/>
      <c r="V918" s="18"/>
    </row>
    <row r="919" ht="15.75" customHeight="1">
      <c r="A919" s="14"/>
      <c r="E919" s="18"/>
      <c r="F919" s="18"/>
      <c r="G919" s="18"/>
      <c r="P919" s="16"/>
      <c r="T919" s="18"/>
      <c r="U919" s="18"/>
      <c r="V919" s="18"/>
    </row>
    <row r="920" ht="15.75" customHeight="1">
      <c r="A920" s="14"/>
      <c r="E920" s="18"/>
      <c r="F920" s="18"/>
      <c r="G920" s="18"/>
      <c r="P920" s="16"/>
      <c r="T920" s="18"/>
      <c r="U920" s="18"/>
      <c r="V920" s="18"/>
    </row>
    <row r="921" ht="15.75" customHeight="1">
      <c r="A921" s="14"/>
      <c r="E921" s="18"/>
      <c r="F921" s="18"/>
      <c r="G921" s="18"/>
      <c r="P921" s="16"/>
      <c r="T921" s="18"/>
      <c r="U921" s="18"/>
      <c r="V921" s="18"/>
    </row>
    <row r="922" ht="15.75" customHeight="1">
      <c r="A922" s="14"/>
      <c r="E922" s="18"/>
      <c r="F922" s="18"/>
      <c r="G922" s="18"/>
      <c r="P922" s="16"/>
      <c r="T922" s="18"/>
      <c r="U922" s="18"/>
      <c r="V922" s="18"/>
    </row>
    <row r="923" ht="15.75" customHeight="1">
      <c r="A923" s="14"/>
      <c r="E923" s="18"/>
      <c r="F923" s="18"/>
      <c r="G923" s="18"/>
      <c r="P923" s="16"/>
      <c r="T923" s="18"/>
      <c r="U923" s="18"/>
      <c r="V923" s="18"/>
    </row>
    <row r="924" ht="15.75" customHeight="1">
      <c r="A924" s="14"/>
      <c r="E924" s="18"/>
      <c r="F924" s="18"/>
      <c r="G924" s="18"/>
      <c r="P924" s="16"/>
      <c r="T924" s="18"/>
      <c r="U924" s="18"/>
      <c r="V924" s="18"/>
    </row>
    <row r="925" ht="15.75" customHeight="1">
      <c r="A925" s="14"/>
      <c r="E925" s="18"/>
      <c r="F925" s="18"/>
      <c r="G925" s="18"/>
      <c r="P925" s="16"/>
      <c r="T925" s="18"/>
      <c r="U925" s="18"/>
      <c r="V925" s="18"/>
    </row>
    <row r="926" ht="15.75" customHeight="1">
      <c r="A926" s="14"/>
      <c r="E926" s="18"/>
      <c r="F926" s="18"/>
      <c r="G926" s="18"/>
      <c r="P926" s="16"/>
      <c r="T926" s="18"/>
      <c r="U926" s="18"/>
      <c r="V926" s="18"/>
    </row>
    <row r="927" ht="15.75" customHeight="1">
      <c r="A927" s="14"/>
      <c r="E927" s="18"/>
      <c r="F927" s="18"/>
      <c r="G927" s="18"/>
      <c r="P927" s="16"/>
      <c r="T927" s="18"/>
      <c r="U927" s="18"/>
      <c r="V927" s="18"/>
    </row>
    <row r="928" ht="15.75" customHeight="1">
      <c r="A928" s="14"/>
      <c r="E928" s="18"/>
      <c r="F928" s="18"/>
      <c r="G928" s="18"/>
      <c r="P928" s="16"/>
      <c r="T928" s="18"/>
      <c r="U928" s="18"/>
      <c r="V928" s="18"/>
    </row>
    <row r="929" ht="15.75" customHeight="1">
      <c r="A929" s="14"/>
      <c r="E929" s="18"/>
      <c r="F929" s="18"/>
      <c r="G929" s="18"/>
      <c r="P929" s="16"/>
      <c r="T929" s="18"/>
      <c r="U929" s="18"/>
      <c r="V929" s="18"/>
    </row>
    <row r="930" ht="15.75" customHeight="1">
      <c r="A930" s="14"/>
      <c r="E930" s="18"/>
      <c r="F930" s="18"/>
      <c r="G930" s="18"/>
      <c r="P930" s="16"/>
      <c r="T930" s="18"/>
      <c r="U930" s="18"/>
      <c r="V930" s="18"/>
    </row>
    <row r="931" ht="15.75" customHeight="1">
      <c r="A931" s="14"/>
      <c r="E931" s="18"/>
      <c r="F931" s="18"/>
      <c r="G931" s="18"/>
      <c r="P931" s="16"/>
      <c r="T931" s="18"/>
      <c r="U931" s="18"/>
      <c r="V931" s="18"/>
    </row>
    <row r="932" ht="15.75" customHeight="1">
      <c r="A932" s="14"/>
      <c r="E932" s="18"/>
      <c r="F932" s="18"/>
      <c r="G932" s="18"/>
      <c r="P932" s="16"/>
      <c r="T932" s="18"/>
      <c r="U932" s="18"/>
      <c r="V932" s="18"/>
    </row>
    <row r="933" ht="15.75" customHeight="1">
      <c r="A933" s="14"/>
      <c r="E933" s="18"/>
      <c r="F933" s="18"/>
      <c r="G933" s="18"/>
      <c r="P933" s="16"/>
      <c r="T933" s="18"/>
      <c r="U933" s="18"/>
      <c r="V933" s="18"/>
    </row>
    <row r="934" ht="15.75" customHeight="1">
      <c r="A934" s="14"/>
      <c r="E934" s="18"/>
      <c r="F934" s="18"/>
      <c r="G934" s="18"/>
      <c r="P934" s="16"/>
      <c r="T934" s="18"/>
      <c r="U934" s="18"/>
      <c r="V934" s="18"/>
    </row>
    <row r="935" ht="15.75" customHeight="1">
      <c r="A935" s="14"/>
      <c r="E935" s="18"/>
      <c r="F935" s="18"/>
      <c r="G935" s="18"/>
      <c r="P935" s="16"/>
      <c r="T935" s="18"/>
      <c r="U935" s="18"/>
      <c r="V935" s="18"/>
    </row>
    <row r="936" ht="15.75" customHeight="1">
      <c r="A936" s="14"/>
      <c r="E936" s="18"/>
      <c r="F936" s="18"/>
      <c r="G936" s="18"/>
      <c r="P936" s="16"/>
      <c r="T936" s="18"/>
      <c r="U936" s="18"/>
      <c r="V936" s="18"/>
    </row>
    <row r="937" ht="15.75" customHeight="1">
      <c r="A937" s="14"/>
      <c r="E937" s="18"/>
      <c r="F937" s="18"/>
      <c r="G937" s="18"/>
      <c r="P937" s="16"/>
      <c r="T937" s="18"/>
      <c r="U937" s="18"/>
      <c r="V937" s="18"/>
    </row>
    <row r="938" ht="15.75" customHeight="1">
      <c r="A938" s="14"/>
      <c r="E938" s="18"/>
      <c r="F938" s="18"/>
      <c r="G938" s="18"/>
      <c r="P938" s="16"/>
      <c r="T938" s="18"/>
      <c r="U938" s="18"/>
      <c r="V938" s="18"/>
    </row>
    <row r="939" ht="15.75" customHeight="1">
      <c r="A939" s="14"/>
      <c r="E939" s="18"/>
      <c r="F939" s="18"/>
      <c r="G939" s="18"/>
      <c r="P939" s="16"/>
      <c r="T939" s="18"/>
      <c r="U939" s="18"/>
      <c r="V939" s="18"/>
    </row>
    <row r="940" ht="15.75" customHeight="1">
      <c r="A940" s="14"/>
      <c r="E940" s="18"/>
      <c r="F940" s="18"/>
      <c r="G940" s="18"/>
      <c r="P940" s="16"/>
      <c r="T940" s="18"/>
      <c r="U940" s="18"/>
      <c r="V940" s="18"/>
    </row>
    <row r="941" ht="15.75" customHeight="1">
      <c r="A941" s="14"/>
      <c r="E941" s="18"/>
      <c r="F941" s="18"/>
      <c r="G941" s="18"/>
      <c r="P941" s="16"/>
      <c r="T941" s="18"/>
      <c r="U941" s="18"/>
      <c r="V941" s="18"/>
    </row>
    <row r="942" ht="15.75" customHeight="1">
      <c r="A942" s="14"/>
      <c r="E942" s="18"/>
      <c r="F942" s="18"/>
      <c r="G942" s="18"/>
      <c r="P942" s="16"/>
      <c r="T942" s="18"/>
      <c r="U942" s="18"/>
      <c r="V942" s="18"/>
    </row>
    <row r="943" ht="15.75" customHeight="1">
      <c r="A943" s="14"/>
      <c r="E943" s="18"/>
      <c r="F943" s="18"/>
      <c r="G943" s="18"/>
      <c r="P943" s="16"/>
      <c r="T943" s="18"/>
      <c r="U943" s="18"/>
      <c r="V943" s="18"/>
    </row>
    <row r="944" ht="15.75" customHeight="1">
      <c r="A944" s="14"/>
      <c r="E944" s="18"/>
      <c r="F944" s="18"/>
      <c r="G944" s="18"/>
      <c r="P944" s="16"/>
      <c r="T944" s="18"/>
      <c r="U944" s="18"/>
      <c r="V944" s="18"/>
    </row>
    <row r="945" ht="15.75" customHeight="1">
      <c r="A945" s="14"/>
      <c r="E945" s="18"/>
      <c r="F945" s="18"/>
      <c r="G945" s="18"/>
      <c r="P945" s="16"/>
      <c r="T945" s="18"/>
      <c r="U945" s="18"/>
      <c r="V945" s="18"/>
    </row>
    <row r="946" ht="15.75" customHeight="1">
      <c r="A946" s="14"/>
      <c r="E946" s="18"/>
      <c r="F946" s="18"/>
      <c r="G946" s="18"/>
      <c r="P946" s="16"/>
      <c r="T946" s="18"/>
      <c r="U946" s="18"/>
      <c r="V946" s="18"/>
    </row>
    <row r="947" ht="15.75" customHeight="1">
      <c r="A947" s="14"/>
      <c r="E947" s="18"/>
      <c r="F947" s="18"/>
      <c r="G947" s="18"/>
      <c r="P947" s="16"/>
      <c r="T947" s="18"/>
      <c r="U947" s="18"/>
      <c r="V947" s="18"/>
    </row>
    <row r="948" ht="15.75" customHeight="1">
      <c r="A948" s="14"/>
      <c r="E948" s="18"/>
      <c r="F948" s="18"/>
      <c r="G948" s="18"/>
      <c r="P948" s="16"/>
      <c r="T948" s="18"/>
      <c r="U948" s="18"/>
      <c r="V948" s="18"/>
    </row>
    <row r="949" ht="15.75" customHeight="1">
      <c r="A949" s="14"/>
      <c r="E949" s="18"/>
      <c r="F949" s="18"/>
      <c r="G949" s="18"/>
      <c r="P949" s="16"/>
      <c r="T949" s="18"/>
      <c r="U949" s="18"/>
      <c r="V949" s="18"/>
    </row>
    <row r="950" ht="15.75" customHeight="1">
      <c r="A950" s="14"/>
      <c r="E950" s="18"/>
      <c r="F950" s="18"/>
      <c r="G950" s="18"/>
      <c r="P950" s="16"/>
      <c r="T950" s="18"/>
      <c r="U950" s="18"/>
      <c r="V950" s="18"/>
    </row>
    <row r="951" ht="15.75" customHeight="1">
      <c r="A951" s="14"/>
      <c r="E951" s="18"/>
      <c r="F951" s="18"/>
      <c r="G951" s="18"/>
      <c r="P951" s="16"/>
      <c r="T951" s="18"/>
      <c r="U951" s="18"/>
      <c r="V951" s="18"/>
    </row>
    <row r="952" ht="15.75" customHeight="1">
      <c r="A952" s="14"/>
      <c r="E952" s="18"/>
      <c r="F952" s="18"/>
      <c r="G952" s="18"/>
      <c r="P952" s="16"/>
      <c r="T952" s="18"/>
      <c r="U952" s="18"/>
      <c r="V952" s="18"/>
    </row>
    <row r="953" ht="15.75" customHeight="1">
      <c r="A953" s="14"/>
      <c r="E953" s="18"/>
      <c r="F953" s="18"/>
      <c r="G953" s="18"/>
      <c r="P953" s="16"/>
      <c r="T953" s="18"/>
      <c r="U953" s="18"/>
      <c r="V953" s="18"/>
    </row>
    <row r="954" ht="15.75" customHeight="1">
      <c r="A954" s="14"/>
      <c r="E954" s="18"/>
      <c r="F954" s="18"/>
      <c r="G954" s="18"/>
      <c r="P954" s="16"/>
      <c r="T954" s="18"/>
      <c r="U954" s="18"/>
      <c r="V954" s="18"/>
    </row>
    <row r="955" ht="15.75" customHeight="1">
      <c r="A955" s="14"/>
      <c r="E955" s="18"/>
      <c r="F955" s="18"/>
      <c r="G955" s="18"/>
      <c r="P955" s="16"/>
      <c r="T955" s="18"/>
      <c r="U955" s="18"/>
      <c r="V955" s="18"/>
    </row>
    <row r="956" ht="15.75" customHeight="1">
      <c r="A956" s="14"/>
      <c r="E956" s="18"/>
      <c r="F956" s="18"/>
      <c r="G956" s="18"/>
      <c r="P956" s="16"/>
      <c r="T956" s="18"/>
      <c r="U956" s="18"/>
      <c r="V956" s="18"/>
    </row>
    <row r="957" ht="15.75" customHeight="1">
      <c r="A957" s="14"/>
      <c r="E957" s="18"/>
      <c r="F957" s="18"/>
      <c r="G957" s="18"/>
      <c r="P957" s="16"/>
      <c r="T957" s="18"/>
      <c r="U957" s="18"/>
      <c r="V957" s="18"/>
    </row>
    <row r="958" ht="15.75" customHeight="1">
      <c r="A958" s="14"/>
      <c r="E958" s="18"/>
      <c r="F958" s="18"/>
      <c r="G958" s="18"/>
      <c r="P958" s="16"/>
      <c r="T958" s="18"/>
      <c r="U958" s="18"/>
      <c r="V958" s="18"/>
    </row>
    <row r="959" ht="15.75" customHeight="1">
      <c r="A959" s="14"/>
      <c r="E959" s="18"/>
      <c r="F959" s="18"/>
      <c r="G959" s="18"/>
      <c r="P959" s="16"/>
      <c r="T959" s="18"/>
      <c r="U959" s="18"/>
      <c r="V959" s="18"/>
    </row>
    <row r="960" ht="15.75" customHeight="1">
      <c r="A960" s="14"/>
      <c r="E960" s="18"/>
      <c r="F960" s="18"/>
      <c r="G960" s="18"/>
      <c r="P960" s="16"/>
      <c r="T960" s="18"/>
      <c r="U960" s="18"/>
      <c r="V960" s="18"/>
    </row>
    <row r="961" ht="15.75" customHeight="1">
      <c r="A961" s="14"/>
      <c r="E961" s="18"/>
      <c r="F961" s="18"/>
      <c r="G961" s="18"/>
      <c r="P961" s="16"/>
      <c r="T961" s="18"/>
      <c r="U961" s="18"/>
      <c r="V961" s="18"/>
    </row>
    <row r="962" ht="15.75" customHeight="1">
      <c r="A962" s="14"/>
      <c r="E962" s="18"/>
      <c r="F962" s="18"/>
      <c r="G962" s="18"/>
      <c r="P962" s="16"/>
      <c r="T962" s="18"/>
      <c r="U962" s="18"/>
      <c r="V962" s="18"/>
    </row>
    <row r="963" ht="15.75" customHeight="1">
      <c r="A963" s="14"/>
      <c r="E963" s="18"/>
      <c r="F963" s="18"/>
      <c r="G963" s="18"/>
      <c r="P963" s="16"/>
      <c r="T963" s="18"/>
      <c r="U963" s="18"/>
      <c r="V963" s="18"/>
    </row>
    <row r="964" ht="15.75" customHeight="1">
      <c r="A964" s="14"/>
      <c r="E964" s="18"/>
      <c r="F964" s="18"/>
      <c r="G964" s="18"/>
      <c r="P964" s="16"/>
      <c r="T964" s="18"/>
      <c r="U964" s="18"/>
      <c r="V964" s="18"/>
    </row>
    <row r="965" ht="15.75" customHeight="1">
      <c r="A965" s="14"/>
      <c r="E965" s="18"/>
      <c r="F965" s="18"/>
      <c r="G965" s="18"/>
      <c r="P965" s="16"/>
      <c r="T965" s="18"/>
      <c r="U965" s="18"/>
      <c r="V965" s="18"/>
    </row>
    <row r="966" ht="15.75" customHeight="1">
      <c r="A966" s="14"/>
      <c r="E966" s="18"/>
      <c r="F966" s="18"/>
      <c r="G966" s="18"/>
      <c r="P966" s="16"/>
      <c r="T966" s="18"/>
      <c r="U966" s="18"/>
      <c r="V966" s="18"/>
    </row>
    <row r="967" ht="15.75" customHeight="1">
      <c r="A967" s="14"/>
      <c r="E967" s="18"/>
      <c r="F967" s="18"/>
      <c r="G967" s="18"/>
      <c r="P967" s="16"/>
      <c r="T967" s="18"/>
      <c r="U967" s="18"/>
      <c r="V967" s="18"/>
    </row>
    <row r="968" ht="15.75" customHeight="1">
      <c r="A968" s="14"/>
      <c r="E968" s="18"/>
      <c r="F968" s="18"/>
      <c r="G968" s="18"/>
      <c r="P968" s="16"/>
      <c r="T968" s="18"/>
      <c r="U968" s="18"/>
      <c r="V968" s="18"/>
    </row>
    <row r="969" ht="15.75" customHeight="1">
      <c r="A969" s="14"/>
      <c r="E969" s="18"/>
      <c r="F969" s="18"/>
      <c r="G969" s="18"/>
      <c r="P969" s="16"/>
      <c r="T969" s="18"/>
      <c r="U969" s="18"/>
      <c r="V969" s="18"/>
    </row>
    <row r="970" ht="15.75" customHeight="1">
      <c r="A970" s="14"/>
      <c r="E970" s="18"/>
      <c r="F970" s="18"/>
      <c r="G970" s="18"/>
      <c r="P970" s="16"/>
      <c r="T970" s="18"/>
      <c r="U970" s="18"/>
      <c r="V970" s="18"/>
    </row>
    <row r="971" ht="15.75" customHeight="1">
      <c r="A971" s="14"/>
      <c r="E971" s="18"/>
      <c r="F971" s="18"/>
      <c r="G971" s="18"/>
      <c r="P971" s="16"/>
      <c r="T971" s="18"/>
      <c r="U971" s="18"/>
      <c r="V971" s="18"/>
    </row>
    <row r="972" ht="15.75" customHeight="1">
      <c r="A972" s="14"/>
      <c r="E972" s="18"/>
      <c r="F972" s="18"/>
      <c r="G972" s="18"/>
      <c r="P972" s="16"/>
      <c r="T972" s="18"/>
      <c r="U972" s="18"/>
      <c r="V972" s="18"/>
    </row>
    <row r="973" ht="15.75" customHeight="1">
      <c r="A973" s="14"/>
      <c r="E973" s="18"/>
      <c r="F973" s="18"/>
      <c r="G973" s="18"/>
      <c r="P973" s="16"/>
      <c r="T973" s="18"/>
      <c r="U973" s="18"/>
      <c r="V973" s="18"/>
    </row>
    <row r="974" ht="15.75" customHeight="1">
      <c r="A974" s="14"/>
      <c r="E974" s="18"/>
      <c r="F974" s="18"/>
      <c r="G974" s="18"/>
      <c r="P974" s="16"/>
      <c r="T974" s="18"/>
      <c r="U974" s="18"/>
      <c r="V974" s="18"/>
    </row>
    <row r="975" ht="15.75" customHeight="1">
      <c r="A975" s="14"/>
      <c r="E975" s="18"/>
      <c r="F975" s="18"/>
      <c r="G975" s="18"/>
      <c r="P975" s="16"/>
      <c r="T975" s="18"/>
      <c r="U975" s="18"/>
      <c r="V975" s="18"/>
    </row>
    <row r="976" ht="15.75" customHeight="1">
      <c r="A976" s="14"/>
      <c r="E976" s="18"/>
      <c r="F976" s="18"/>
      <c r="G976" s="18"/>
      <c r="P976" s="16"/>
      <c r="T976" s="18"/>
      <c r="U976" s="18"/>
      <c r="V976" s="18"/>
    </row>
    <row r="977" ht="15.75" customHeight="1">
      <c r="A977" s="14"/>
      <c r="E977" s="18"/>
      <c r="F977" s="18"/>
      <c r="G977" s="18"/>
      <c r="P977" s="16"/>
      <c r="T977" s="18"/>
      <c r="U977" s="18"/>
      <c r="V977" s="18"/>
    </row>
    <row r="978" ht="15.75" customHeight="1">
      <c r="A978" s="14"/>
      <c r="E978" s="18"/>
      <c r="F978" s="18"/>
      <c r="G978" s="18"/>
      <c r="P978" s="16"/>
      <c r="T978" s="18"/>
      <c r="U978" s="18"/>
      <c r="V978" s="18"/>
    </row>
    <row r="979" ht="15.75" customHeight="1">
      <c r="A979" s="14"/>
      <c r="E979" s="18"/>
      <c r="F979" s="18"/>
      <c r="G979" s="18"/>
      <c r="P979" s="16"/>
      <c r="T979" s="18"/>
      <c r="U979" s="18"/>
      <c r="V979" s="18"/>
    </row>
    <row r="980" ht="15.75" customHeight="1">
      <c r="A980" s="14"/>
      <c r="E980" s="18"/>
      <c r="F980" s="18"/>
      <c r="G980" s="18"/>
      <c r="P980" s="16"/>
      <c r="T980" s="18"/>
      <c r="U980" s="18"/>
      <c r="V980" s="18"/>
    </row>
    <row r="981" ht="15.75" customHeight="1">
      <c r="A981" s="14"/>
      <c r="E981" s="18"/>
      <c r="F981" s="18"/>
      <c r="G981" s="18"/>
      <c r="P981" s="16"/>
      <c r="T981" s="18"/>
      <c r="U981" s="18"/>
      <c r="V981" s="18"/>
    </row>
    <row r="982" ht="15.75" customHeight="1">
      <c r="A982" s="14"/>
      <c r="E982" s="18"/>
      <c r="F982" s="18"/>
      <c r="G982" s="18"/>
      <c r="P982" s="16"/>
      <c r="T982" s="18"/>
      <c r="U982" s="18"/>
      <c r="V982" s="18"/>
    </row>
    <row r="983" ht="15.75" customHeight="1">
      <c r="A983" s="14"/>
      <c r="E983" s="18"/>
      <c r="F983" s="18"/>
      <c r="G983" s="18"/>
      <c r="P983" s="16"/>
      <c r="T983" s="18"/>
      <c r="U983" s="18"/>
      <c r="V983" s="18"/>
    </row>
    <row r="984" ht="15.75" customHeight="1">
      <c r="A984" s="14"/>
      <c r="E984" s="18"/>
      <c r="F984" s="18"/>
      <c r="G984" s="18"/>
      <c r="P984" s="16"/>
      <c r="T984" s="18"/>
      <c r="U984" s="18"/>
      <c r="V984" s="18"/>
    </row>
    <row r="985" ht="15.75" customHeight="1">
      <c r="A985" s="14"/>
      <c r="E985" s="18"/>
      <c r="F985" s="18"/>
      <c r="G985" s="18"/>
      <c r="P985" s="16"/>
      <c r="T985" s="18"/>
      <c r="U985" s="18"/>
      <c r="V985" s="18"/>
    </row>
    <row r="986" ht="15.75" customHeight="1">
      <c r="A986" s="14"/>
      <c r="E986" s="18"/>
      <c r="F986" s="18"/>
      <c r="G986" s="18"/>
      <c r="P986" s="16"/>
      <c r="T986" s="18"/>
      <c r="U986" s="18"/>
      <c r="V986" s="18"/>
    </row>
    <row r="987" ht="15.75" customHeight="1">
      <c r="A987" s="14"/>
      <c r="E987" s="18"/>
      <c r="F987" s="18"/>
      <c r="G987" s="18"/>
      <c r="P987" s="16"/>
      <c r="T987" s="18"/>
      <c r="U987" s="18"/>
      <c r="V987" s="18"/>
    </row>
    <row r="988" ht="15.75" customHeight="1">
      <c r="A988" s="14"/>
      <c r="E988" s="18"/>
      <c r="F988" s="18"/>
      <c r="G988" s="18"/>
      <c r="P988" s="16"/>
      <c r="T988" s="18"/>
      <c r="U988" s="18"/>
      <c r="V988" s="18"/>
    </row>
    <row r="989" ht="15.75" customHeight="1">
      <c r="A989" s="14"/>
      <c r="E989" s="18"/>
      <c r="F989" s="18"/>
      <c r="G989" s="18"/>
      <c r="P989" s="16"/>
      <c r="T989" s="18"/>
      <c r="U989" s="18"/>
      <c r="V989" s="18"/>
    </row>
    <row r="990" ht="15.75" customHeight="1">
      <c r="A990" s="14"/>
      <c r="E990" s="18"/>
      <c r="F990" s="18"/>
      <c r="G990" s="18"/>
      <c r="P990" s="16"/>
      <c r="T990" s="18"/>
      <c r="U990" s="18"/>
      <c r="V990" s="18"/>
    </row>
    <row r="991" ht="15.75" customHeight="1">
      <c r="A991" s="14"/>
      <c r="E991" s="18"/>
      <c r="F991" s="18"/>
      <c r="G991" s="18"/>
      <c r="P991" s="16"/>
      <c r="T991" s="18"/>
      <c r="U991" s="18"/>
      <c r="V991" s="18"/>
    </row>
    <row r="992" ht="15.75" customHeight="1">
      <c r="A992" s="14"/>
      <c r="E992" s="18"/>
      <c r="F992" s="18"/>
      <c r="G992" s="18"/>
      <c r="P992" s="16"/>
      <c r="T992" s="18"/>
      <c r="U992" s="18"/>
      <c r="V992" s="18"/>
    </row>
    <row r="993" ht="15.75" customHeight="1">
      <c r="A993" s="14"/>
      <c r="E993" s="18"/>
      <c r="F993" s="18"/>
      <c r="G993" s="18"/>
      <c r="P993" s="16"/>
      <c r="T993" s="18"/>
      <c r="U993" s="18"/>
      <c r="V993" s="18"/>
    </row>
    <row r="994" ht="15.75" customHeight="1">
      <c r="A994" s="14"/>
      <c r="E994" s="18"/>
      <c r="F994" s="18"/>
      <c r="G994" s="18"/>
      <c r="P994" s="16"/>
      <c r="T994" s="18"/>
      <c r="U994" s="18"/>
      <c r="V994" s="18"/>
    </row>
    <row r="995" ht="15.75" customHeight="1">
      <c r="A995" s="14"/>
      <c r="E995" s="18"/>
      <c r="F995" s="18"/>
      <c r="G995" s="18"/>
      <c r="P995" s="16"/>
      <c r="T995" s="18"/>
      <c r="U995" s="18"/>
      <c r="V995" s="18"/>
    </row>
    <row r="996" ht="15.75" customHeight="1">
      <c r="A996" s="14"/>
      <c r="E996" s="18"/>
      <c r="F996" s="18"/>
      <c r="G996" s="18"/>
      <c r="P996" s="16"/>
      <c r="T996" s="18"/>
      <c r="U996" s="18"/>
      <c r="V996" s="18"/>
    </row>
    <row r="997" ht="15.75" customHeight="1">
      <c r="A997" s="14"/>
      <c r="E997" s="18"/>
      <c r="F997" s="18"/>
      <c r="G997" s="18"/>
      <c r="P997" s="16"/>
      <c r="T997" s="18"/>
      <c r="U997" s="18"/>
      <c r="V997" s="18"/>
    </row>
    <row r="998" ht="15.75" customHeight="1">
      <c r="A998" s="14"/>
      <c r="E998" s="18"/>
      <c r="F998" s="18"/>
      <c r="G998" s="18"/>
      <c r="P998" s="16"/>
      <c r="T998" s="18"/>
      <c r="U998" s="18"/>
      <c r="V998" s="18"/>
    </row>
    <row r="999" ht="15.75" customHeight="1">
      <c r="A999" s="14"/>
      <c r="E999" s="18"/>
      <c r="F999" s="18"/>
      <c r="G999" s="18"/>
      <c r="P999" s="16"/>
      <c r="T999" s="18"/>
      <c r="U999" s="18"/>
      <c r="V999" s="18"/>
    </row>
    <row r="1000" ht="15.75" customHeight="1">
      <c r="A1000" s="14"/>
      <c r="E1000" s="18"/>
      <c r="F1000" s="18"/>
      <c r="G1000" s="18"/>
      <c r="P1000" s="16"/>
      <c r="T1000" s="18"/>
      <c r="U1000" s="18"/>
      <c r="V1000" s="1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9" max="9" width="15.75"/>
  </cols>
  <sheetData>
    <row r="1" ht="56.25" customHeight="1">
      <c r="A1" s="2" t="s">
        <v>15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16</v>
      </c>
      <c r="H1" s="2" t="s">
        <v>7</v>
      </c>
      <c r="I1" s="2" t="s">
        <v>8</v>
      </c>
      <c r="J1" s="2" t="s">
        <v>9</v>
      </c>
      <c r="K1" s="3" t="s">
        <v>10</v>
      </c>
      <c r="L1" s="19" t="s">
        <v>11</v>
      </c>
      <c r="M1" s="3" t="s">
        <v>17</v>
      </c>
      <c r="N1" s="19" t="s">
        <v>18</v>
      </c>
      <c r="O1" s="7"/>
      <c r="P1" s="2" t="s">
        <v>19</v>
      </c>
      <c r="Q1" s="2" t="s">
        <v>1</v>
      </c>
      <c r="R1" s="2" t="s">
        <v>2</v>
      </c>
      <c r="S1" s="2" t="s">
        <v>3</v>
      </c>
      <c r="T1" s="3" t="s">
        <v>4</v>
      </c>
      <c r="U1" s="3" t="s">
        <v>5</v>
      </c>
      <c r="V1" s="3" t="s">
        <v>16</v>
      </c>
      <c r="W1" s="19" t="s">
        <v>18</v>
      </c>
      <c r="X1" s="7"/>
      <c r="Y1" s="7"/>
    </row>
    <row r="2" ht="15.75" customHeight="1">
      <c r="A2" s="8">
        <v>10101.0</v>
      </c>
      <c r="B2" s="8">
        <v>709.0</v>
      </c>
      <c r="C2" s="8">
        <v>261.55556270480156</v>
      </c>
      <c r="D2" s="8">
        <v>21365.0</v>
      </c>
      <c r="E2" s="18">
        <f t="shared" ref="E2:E346" si="1">B2/D2</f>
        <v>0.03318511584</v>
      </c>
      <c r="F2" s="18">
        <f t="shared" ref="F2:F188" si="2">C2/B2</f>
        <v>0.3689077048</v>
      </c>
      <c r="G2" s="18">
        <f t="shared" ref="G2:G346" si="3">E2*F2</f>
        <v>0.01224224492</v>
      </c>
      <c r="H2" s="8">
        <v>9569.0</v>
      </c>
      <c r="I2" s="8">
        <v>3562.1112012267113</v>
      </c>
      <c r="J2" s="8">
        <v>263883.0</v>
      </c>
      <c r="K2" s="18">
        <f t="shared" ref="K2:K346" si="4">H2/J2</f>
        <v>0.03626228291</v>
      </c>
      <c r="L2" s="18">
        <f t="shared" ref="L2:L346" si="5">I2/H2</f>
        <v>0.3722553246</v>
      </c>
      <c r="M2" s="18">
        <f t="shared" ref="M2:M346" si="6">K2*L2</f>
        <v>0.01349882789</v>
      </c>
      <c r="N2" s="18">
        <f t="shared" ref="N2:N188" si="7">M2/G2</f>
        <v>1.102643182</v>
      </c>
      <c r="P2" s="8">
        <v>1.0</v>
      </c>
      <c r="Q2" s="8">
        <v>2974.0</v>
      </c>
      <c r="R2" s="8">
        <v>1135.6666966974735</v>
      </c>
      <c r="S2" s="8">
        <v>38343.0</v>
      </c>
      <c r="T2" s="18">
        <f t="shared" ref="T2:T10" si="8">Q2/S2</f>
        <v>0.07756304932</v>
      </c>
      <c r="U2" s="18">
        <f t="shared" ref="U2:U10" si="9">R2/Q2</f>
        <v>0.3818650628</v>
      </c>
      <c r="V2" s="18">
        <f t="shared" ref="V2:V10" si="10">T2*U2</f>
        <v>0.0296186187</v>
      </c>
      <c r="W2" s="18">
        <f t="shared" ref="W2:W10" si="11">V14/V2</f>
        <v>2.038244693</v>
      </c>
    </row>
    <row r="3" ht="15.75" customHeight="1">
      <c r="A3" s="8">
        <v>10102.0</v>
      </c>
      <c r="B3" s="8">
        <v>98.0</v>
      </c>
      <c r="C3" s="8">
        <v>36.44444540143013</v>
      </c>
      <c r="D3" s="8">
        <v>874.0</v>
      </c>
      <c r="E3" s="18">
        <f t="shared" si="1"/>
        <v>0.1121281465</v>
      </c>
      <c r="F3" s="18">
        <f t="shared" si="2"/>
        <v>0.3718820959</v>
      </c>
      <c r="G3" s="18">
        <f t="shared" si="3"/>
        <v>0.04169845012</v>
      </c>
      <c r="H3" s="8">
        <v>586.0</v>
      </c>
      <c r="I3" s="8">
        <v>214.88889449834824</v>
      </c>
      <c r="J3" s="8">
        <v>7944.0</v>
      </c>
      <c r="K3" s="18">
        <f t="shared" si="4"/>
        <v>0.07376636455</v>
      </c>
      <c r="L3" s="18">
        <f t="shared" si="5"/>
        <v>0.3667045981</v>
      </c>
      <c r="M3" s="18">
        <f t="shared" si="6"/>
        <v>0.02705046507</v>
      </c>
      <c r="N3" s="18">
        <f t="shared" si="7"/>
        <v>0.648716319</v>
      </c>
      <c r="P3" s="8">
        <v>2.0</v>
      </c>
      <c r="Q3" s="8">
        <v>22561.0</v>
      </c>
      <c r="R3" s="8">
        <v>8296.22243180871</v>
      </c>
      <c r="S3" s="8">
        <v>244081.0</v>
      </c>
      <c r="T3" s="18">
        <f t="shared" si="8"/>
        <v>0.09243243022</v>
      </c>
      <c r="U3" s="18">
        <f t="shared" si="9"/>
        <v>0.3677240562</v>
      </c>
      <c r="V3" s="18">
        <f t="shared" si="10"/>
        <v>0.03398962816</v>
      </c>
      <c r="W3" s="18">
        <f t="shared" si="11"/>
        <v>0.7842534915</v>
      </c>
    </row>
    <row r="4" ht="15.75" customHeight="1">
      <c r="A4" s="8">
        <v>10103.0</v>
      </c>
      <c r="B4" s="8">
        <v>230.0</v>
      </c>
      <c r="C4" s="8">
        <v>91.22222474217415</v>
      </c>
      <c r="D4" s="8">
        <v>644.0</v>
      </c>
      <c r="E4" s="18">
        <f t="shared" si="1"/>
        <v>0.3571428571</v>
      </c>
      <c r="F4" s="18">
        <f t="shared" si="2"/>
        <v>0.3966183684</v>
      </c>
      <c r="G4" s="18">
        <f t="shared" si="3"/>
        <v>0.1416494173</v>
      </c>
      <c r="H4" s="8">
        <v>6997.0</v>
      </c>
      <c r="I4" s="8">
        <v>2909.7778504490852</v>
      </c>
      <c r="J4" s="8">
        <v>12823.0</v>
      </c>
      <c r="K4" s="18">
        <f t="shared" si="4"/>
        <v>0.5456601419</v>
      </c>
      <c r="L4" s="18">
        <f t="shared" si="5"/>
        <v>0.4158607761</v>
      </c>
      <c r="M4" s="18">
        <f t="shared" si="6"/>
        <v>0.2269186501</v>
      </c>
      <c r="N4" s="18">
        <f t="shared" si="7"/>
        <v>1.601973763</v>
      </c>
      <c r="P4" s="8">
        <v>3.0</v>
      </c>
      <c r="Q4" s="8">
        <v>24305.0</v>
      </c>
      <c r="R4" s="8">
        <v>8946.222448706627</v>
      </c>
      <c r="S4" s="8">
        <v>201638.0</v>
      </c>
      <c r="T4" s="18">
        <f t="shared" si="8"/>
        <v>0.1205377955</v>
      </c>
      <c r="U4" s="18">
        <f t="shared" si="9"/>
        <v>0.3680815655</v>
      </c>
      <c r="V4" s="18">
        <f t="shared" si="10"/>
        <v>0.04436774045</v>
      </c>
      <c r="W4" s="18">
        <f t="shared" si="11"/>
        <v>0.847995275</v>
      </c>
    </row>
    <row r="5" ht="15.75" customHeight="1">
      <c r="A5" s="8">
        <v>10201.0</v>
      </c>
      <c r="B5" s="8">
        <v>151.0</v>
      </c>
      <c r="C5" s="8">
        <v>58.44444581866264</v>
      </c>
      <c r="D5" s="8">
        <v>453.0</v>
      </c>
      <c r="E5" s="18">
        <f t="shared" si="1"/>
        <v>0.3333333333</v>
      </c>
      <c r="F5" s="18">
        <f t="shared" si="2"/>
        <v>0.3870493101</v>
      </c>
      <c r="G5" s="18">
        <f t="shared" si="3"/>
        <v>0.1290164367</v>
      </c>
      <c r="H5" s="8">
        <v>3267.0</v>
      </c>
      <c r="I5" s="8">
        <v>1379.1111439168453</v>
      </c>
      <c r="J5" s="8">
        <v>7260.0</v>
      </c>
      <c r="K5" s="18">
        <f t="shared" si="4"/>
        <v>0.45</v>
      </c>
      <c r="L5" s="18">
        <f t="shared" si="5"/>
        <v>0.4221338059</v>
      </c>
      <c r="M5" s="18">
        <f t="shared" si="6"/>
        <v>0.1899602127</v>
      </c>
      <c r="N5" s="18">
        <f t="shared" si="7"/>
        <v>1.472372184</v>
      </c>
      <c r="P5" s="8">
        <v>4.0</v>
      </c>
      <c r="Q5" s="8">
        <v>5179.0</v>
      </c>
      <c r="R5" s="8">
        <v>1905.6667131781578</v>
      </c>
      <c r="S5" s="8">
        <v>45473.0</v>
      </c>
      <c r="T5" s="18">
        <f t="shared" si="8"/>
        <v>0.1138917599</v>
      </c>
      <c r="U5" s="18">
        <f t="shared" si="9"/>
        <v>0.3679603617</v>
      </c>
      <c r="V5" s="18">
        <f t="shared" si="10"/>
        <v>0.04190765318</v>
      </c>
      <c r="W5" s="18">
        <f t="shared" si="11"/>
        <v>0.8780265097</v>
      </c>
    </row>
    <row r="6" ht="15.75" customHeight="1">
      <c r="A6" s="8">
        <v>10202.0</v>
      </c>
      <c r="B6" s="8">
        <v>100.0</v>
      </c>
      <c r="C6" s="8">
        <v>38.4444454908371</v>
      </c>
      <c r="D6" s="8">
        <v>705.0</v>
      </c>
      <c r="E6" s="18">
        <f t="shared" si="1"/>
        <v>0.1418439716</v>
      </c>
      <c r="F6" s="18">
        <f t="shared" si="2"/>
        <v>0.3844444549</v>
      </c>
      <c r="G6" s="18">
        <f t="shared" si="3"/>
        <v>0.05453112836</v>
      </c>
      <c r="H6" s="8">
        <v>5306.0</v>
      </c>
      <c r="I6" s="8">
        <v>2151.8889441490173</v>
      </c>
      <c r="J6" s="8">
        <v>15836.0</v>
      </c>
      <c r="K6" s="18">
        <f t="shared" si="4"/>
        <v>0.3350593584</v>
      </c>
      <c r="L6" s="18">
        <f t="shared" si="5"/>
        <v>0.40555766</v>
      </c>
      <c r="M6" s="18">
        <f t="shared" si="6"/>
        <v>0.1358858894</v>
      </c>
      <c r="N6" s="18">
        <f t="shared" si="7"/>
        <v>2.491895794</v>
      </c>
      <c r="P6" s="8">
        <v>5.0</v>
      </c>
      <c r="Q6" s="8">
        <v>9949.0</v>
      </c>
      <c r="R6" s="8">
        <v>3699.7778685986996</v>
      </c>
      <c r="S6" s="8">
        <v>70621.0</v>
      </c>
      <c r="T6" s="18">
        <f t="shared" si="8"/>
        <v>0.1408787754</v>
      </c>
      <c r="U6" s="18">
        <f t="shared" si="9"/>
        <v>0.371874346</v>
      </c>
      <c r="V6" s="18">
        <f t="shared" si="10"/>
        <v>0.05238920248</v>
      </c>
      <c r="W6" s="18">
        <f t="shared" si="11"/>
        <v>1.228671612</v>
      </c>
    </row>
    <row r="7" ht="15.75" customHeight="1">
      <c r="A7" s="8">
        <v>10301.0</v>
      </c>
      <c r="B7" s="8">
        <v>72.0</v>
      </c>
      <c r="C7" s="8">
        <v>26.888889521360397</v>
      </c>
      <c r="D7" s="8">
        <v>829.0</v>
      </c>
      <c r="E7" s="18">
        <f t="shared" si="1"/>
        <v>0.08685162847</v>
      </c>
      <c r="F7" s="18">
        <f t="shared" si="2"/>
        <v>0.3734567989</v>
      </c>
      <c r="G7" s="18">
        <f t="shared" si="3"/>
        <v>0.03243533115</v>
      </c>
      <c r="H7" s="8">
        <v>2781.0</v>
      </c>
      <c r="I7" s="8">
        <v>1067.777804851532</v>
      </c>
      <c r="J7" s="8">
        <v>12508.0</v>
      </c>
      <c r="K7" s="18">
        <f t="shared" si="4"/>
        <v>0.2223377039</v>
      </c>
      <c r="L7" s="18">
        <f t="shared" si="5"/>
        <v>0.3839546224</v>
      </c>
      <c r="M7" s="18">
        <f t="shared" si="6"/>
        <v>0.08536758913</v>
      </c>
      <c r="N7" s="18">
        <f t="shared" si="7"/>
        <v>2.631932097</v>
      </c>
      <c r="P7" s="8">
        <v>6.0</v>
      </c>
      <c r="Q7" s="8">
        <v>1568.0</v>
      </c>
      <c r="R7" s="8">
        <v>567.1111261546612</v>
      </c>
      <c r="S7" s="8">
        <v>31385.0</v>
      </c>
      <c r="T7" s="18">
        <f t="shared" si="8"/>
        <v>0.04996017206</v>
      </c>
      <c r="U7" s="18">
        <f t="shared" si="9"/>
        <v>0.3616780141</v>
      </c>
      <c r="V7" s="18">
        <f t="shared" si="10"/>
        <v>0.01806949582</v>
      </c>
      <c r="W7" s="18">
        <f t="shared" si="11"/>
        <v>0.9710267111</v>
      </c>
    </row>
    <row r="8" ht="15.75" customHeight="1">
      <c r="A8" s="8">
        <v>10302.0</v>
      </c>
      <c r="B8" s="8">
        <v>66.0</v>
      </c>
      <c r="C8" s="8">
        <v>26.66666755080223</v>
      </c>
      <c r="D8" s="8">
        <v>594.0</v>
      </c>
      <c r="E8" s="18">
        <f t="shared" si="1"/>
        <v>0.1111111111</v>
      </c>
      <c r="F8" s="18">
        <f t="shared" si="2"/>
        <v>0.4040404174</v>
      </c>
      <c r="G8" s="18">
        <f t="shared" si="3"/>
        <v>0.04489337972</v>
      </c>
      <c r="H8" s="8">
        <v>3859.0</v>
      </c>
      <c r="I8" s="8">
        <v>1571.444484502077</v>
      </c>
      <c r="J8" s="8">
        <v>11618.0</v>
      </c>
      <c r="K8" s="18">
        <f t="shared" si="4"/>
        <v>0.3321569978</v>
      </c>
      <c r="L8" s="18">
        <f t="shared" si="5"/>
        <v>0.4072154663</v>
      </c>
      <c r="M8" s="18">
        <f t="shared" si="6"/>
        <v>0.1352594667</v>
      </c>
      <c r="N8" s="18">
        <f t="shared" si="7"/>
        <v>3.012904522</v>
      </c>
      <c r="P8" s="8">
        <v>7.0</v>
      </c>
      <c r="Q8" s="8">
        <v>17902.0</v>
      </c>
      <c r="R8" s="8">
        <v>6568.222388625145</v>
      </c>
      <c r="S8" s="8">
        <v>278691.0</v>
      </c>
      <c r="T8" s="18">
        <f t="shared" si="8"/>
        <v>0.06423601767</v>
      </c>
      <c r="U8" s="18">
        <f t="shared" si="9"/>
        <v>0.366898804</v>
      </c>
      <c r="V8" s="18">
        <f t="shared" si="10"/>
        <v>0.02356811805</v>
      </c>
      <c r="W8" s="18">
        <f t="shared" si="11"/>
        <v>0.6974339324</v>
      </c>
    </row>
    <row r="9" ht="15.75" customHeight="1">
      <c r="A9" s="8">
        <v>10303.0</v>
      </c>
      <c r="B9" s="8">
        <v>7.0</v>
      </c>
      <c r="C9" s="8">
        <v>3.0000000298023224</v>
      </c>
      <c r="D9" s="8">
        <v>344.0</v>
      </c>
      <c r="E9" s="18">
        <f t="shared" si="1"/>
        <v>0.02034883721</v>
      </c>
      <c r="F9" s="18">
        <f t="shared" si="2"/>
        <v>0.4285714328</v>
      </c>
      <c r="G9" s="18">
        <f t="shared" si="3"/>
        <v>0.008720930319</v>
      </c>
      <c r="H9" s="8">
        <v>1726.0</v>
      </c>
      <c r="I9" s="8">
        <v>659.3333497643471</v>
      </c>
      <c r="J9" s="8">
        <v>8606.0</v>
      </c>
      <c r="K9" s="18">
        <f t="shared" si="4"/>
        <v>0.2005577504</v>
      </c>
      <c r="L9" s="18">
        <f t="shared" si="5"/>
        <v>0.382000782</v>
      </c>
      <c r="M9" s="18">
        <f t="shared" si="6"/>
        <v>0.0766132175</v>
      </c>
      <c r="N9" s="18">
        <f t="shared" si="7"/>
        <v>8.784982186</v>
      </c>
      <c r="P9" s="8">
        <v>8.0</v>
      </c>
      <c r="Q9" s="8">
        <v>7773.0</v>
      </c>
      <c r="R9" s="8">
        <v>2953.444517880678</v>
      </c>
      <c r="S9" s="8">
        <v>45009.0</v>
      </c>
      <c r="T9" s="18">
        <f t="shared" si="8"/>
        <v>0.1726987936</v>
      </c>
      <c r="U9" s="18">
        <f t="shared" si="9"/>
        <v>0.3799619861</v>
      </c>
      <c r="V9" s="18">
        <f t="shared" si="10"/>
        <v>0.0656189766</v>
      </c>
      <c r="W9" s="18">
        <f t="shared" si="11"/>
        <v>1.11450813</v>
      </c>
    </row>
    <row r="10" ht="15.75" customHeight="1">
      <c r="A10" s="8">
        <v>10304.0</v>
      </c>
      <c r="B10" s="8">
        <v>41.0</v>
      </c>
      <c r="C10" s="8">
        <v>15.777778267860413</v>
      </c>
      <c r="D10" s="8">
        <v>329.0</v>
      </c>
      <c r="E10" s="18">
        <f t="shared" si="1"/>
        <v>0.1246200608</v>
      </c>
      <c r="F10" s="18">
        <f t="shared" si="2"/>
        <v>0.3848238602</v>
      </c>
      <c r="G10" s="18">
        <f t="shared" si="3"/>
        <v>0.04795677285</v>
      </c>
      <c r="H10" s="8">
        <v>2439.0</v>
      </c>
      <c r="I10" s="8">
        <v>962.7778020203114</v>
      </c>
      <c r="J10" s="8">
        <v>8666.0</v>
      </c>
      <c r="K10" s="18">
        <f t="shared" si="4"/>
        <v>0.2814447265</v>
      </c>
      <c r="L10" s="18">
        <f t="shared" si="5"/>
        <v>0.3947428463</v>
      </c>
      <c r="M10" s="18">
        <f t="shared" si="6"/>
        <v>0.1110982924</v>
      </c>
      <c r="N10" s="18">
        <f t="shared" si="7"/>
        <v>2.316634039</v>
      </c>
      <c r="P10" s="8">
        <v>9.0</v>
      </c>
      <c r="Q10" s="8">
        <v>2852.0</v>
      </c>
      <c r="R10" s="8">
        <v>1068.4444712102413</v>
      </c>
      <c r="S10" s="8">
        <v>17164.0</v>
      </c>
      <c r="T10" s="18">
        <f t="shared" si="8"/>
        <v>0.1661617339</v>
      </c>
      <c r="U10" s="18">
        <f t="shared" si="9"/>
        <v>0.3746298987</v>
      </c>
      <c r="V10" s="18">
        <f t="shared" si="10"/>
        <v>0.06224915353</v>
      </c>
      <c r="W10" s="18">
        <f t="shared" si="11"/>
        <v>0.7533538665</v>
      </c>
    </row>
    <row r="11" ht="15.75" customHeight="1">
      <c r="A11" s="8">
        <v>10401.0</v>
      </c>
      <c r="B11" s="8">
        <v>58.0</v>
      </c>
      <c r="C11" s="8">
        <v>21.444444954395294</v>
      </c>
      <c r="D11" s="8">
        <v>734.0</v>
      </c>
      <c r="E11" s="18">
        <f t="shared" si="1"/>
        <v>0.07901907357</v>
      </c>
      <c r="F11" s="18">
        <f t="shared" si="2"/>
        <v>0.3697318096</v>
      </c>
      <c r="G11" s="18">
        <f t="shared" si="3"/>
        <v>0.02921586506</v>
      </c>
      <c r="H11" s="8">
        <v>1489.0</v>
      </c>
      <c r="I11" s="8">
        <v>567.4444577991962</v>
      </c>
      <c r="J11" s="8">
        <v>8206.0</v>
      </c>
      <c r="K11" s="18">
        <f t="shared" si="4"/>
        <v>0.1814525957</v>
      </c>
      <c r="L11" s="18">
        <f t="shared" si="5"/>
        <v>0.3810909723</v>
      </c>
      <c r="M11" s="18">
        <f t="shared" si="6"/>
        <v>0.06914994611</v>
      </c>
      <c r="N11" s="18">
        <f t="shared" si="7"/>
        <v>2.366862866</v>
      </c>
      <c r="T11" s="18"/>
      <c r="U11" s="18"/>
      <c r="V11" s="18"/>
      <c r="W11" s="18"/>
    </row>
    <row r="12" ht="15.75" customHeight="1">
      <c r="A12" s="8">
        <v>10402.0</v>
      </c>
      <c r="B12" s="8">
        <v>25.0</v>
      </c>
      <c r="C12" s="8">
        <v>9.888889193534851</v>
      </c>
      <c r="D12" s="8">
        <v>476.0</v>
      </c>
      <c r="E12" s="18">
        <f t="shared" si="1"/>
        <v>0.0525210084</v>
      </c>
      <c r="F12" s="18">
        <f t="shared" si="2"/>
        <v>0.3955555677</v>
      </c>
      <c r="G12" s="18">
        <f t="shared" si="3"/>
        <v>0.0207749773</v>
      </c>
      <c r="H12" s="8">
        <v>1384.0</v>
      </c>
      <c r="I12" s="8">
        <v>530.4444573819637</v>
      </c>
      <c r="J12" s="8">
        <v>7883.0</v>
      </c>
      <c r="K12" s="18">
        <f t="shared" si="4"/>
        <v>0.1755676773</v>
      </c>
      <c r="L12" s="18">
        <f t="shared" si="5"/>
        <v>0.3832691166</v>
      </c>
      <c r="M12" s="18">
        <f t="shared" si="6"/>
        <v>0.06728966858</v>
      </c>
      <c r="N12" s="18">
        <f t="shared" si="7"/>
        <v>3.238976756</v>
      </c>
      <c r="T12" s="18"/>
      <c r="U12" s="18"/>
      <c r="V12" s="18"/>
      <c r="W12" s="18"/>
    </row>
    <row r="13" ht="15.75" customHeight="1">
      <c r="A13" s="8">
        <v>10403.0</v>
      </c>
      <c r="B13" s="8">
        <v>57.0</v>
      </c>
      <c r="C13" s="8">
        <v>22.555556178092957</v>
      </c>
      <c r="D13" s="8">
        <v>460.0</v>
      </c>
      <c r="E13" s="18">
        <f t="shared" si="1"/>
        <v>0.1239130435</v>
      </c>
      <c r="F13" s="18">
        <f t="shared" si="2"/>
        <v>0.3957115119</v>
      </c>
      <c r="G13" s="18">
        <f t="shared" si="3"/>
        <v>0.04903381778</v>
      </c>
      <c r="H13" s="8">
        <v>2445.0</v>
      </c>
      <c r="I13" s="8">
        <v>991.4444689154625</v>
      </c>
      <c r="J13" s="8">
        <v>6398.0</v>
      </c>
      <c r="K13" s="18">
        <f t="shared" si="4"/>
        <v>0.3821506721</v>
      </c>
      <c r="L13" s="18">
        <f t="shared" si="5"/>
        <v>0.4054987603</v>
      </c>
      <c r="M13" s="18">
        <f t="shared" si="6"/>
        <v>0.1549616238</v>
      </c>
      <c r="N13" s="18">
        <f t="shared" si="7"/>
        <v>3.160301008</v>
      </c>
      <c r="P13" s="13" t="s">
        <v>19</v>
      </c>
      <c r="Q13" s="2" t="s">
        <v>7</v>
      </c>
      <c r="R13" s="2" t="s">
        <v>8</v>
      </c>
      <c r="S13" s="2" t="s">
        <v>9</v>
      </c>
      <c r="T13" s="3" t="s">
        <v>10</v>
      </c>
      <c r="U13" s="19" t="s">
        <v>11</v>
      </c>
      <c r="V13" s="3" t="s">
        <v>17</v>
      </c>
      <c r="W13" s="18"/>
    </row>
    <row r="14" ht="15.75" customHeight="1">
      <c r="A14" s="8">
        <v>10404.0</v>
      </c>
      <c r="B14" s="8">
        <v>14.0</v>
      </c>
      <c r="C14" s="8">
        <v>6.222222477197647</v>
      </c>
      <c r="D14" s="8">
        <v>356.0</v>
      </c>
      <c r="E14" s="18">
        <f t="shared" si="1"/>
        <v>0.0393258427</v>
      </c>
      <c r="F14" s="18">
        <f t="shared" si="2"/>
        <v>0.4444444627</v>
      </c>
      <c r="G14" s="18">
        <f t="shared" si="3"/>
        <v>0.01747815303</v>
      </c>
      <c r="H14" s="8">
        <v>332.0</v>
      </c>
      <c r="I14" s="8">
        <v>122.44444766640663</v>
      </c>
      <c r="J14" s="8">
        <v>3364.0</v>
      </c>
      <c r="K14" s="18">
        <f t="shared" si="4"/>
        <v>0.09869203329</v>
      </c>
      <c r="L14" s="18">
        <f t="shared" si="5"/>
        <v>0.3688085773</v>
      </c>
      <c r="M14" s="18">
        <f t="shared" si="6"/>
        <v>0.03639846839</v>
      </c>
      <c r="N14" s="18">
        <f t="shared" si="7"/>
        <v>2.082512285</v>
      </c>
      <c r="P14" s="8">
        <v>1.0</v>
      </c>
      <c r="Q14" s="8">
        <v>81964.0</v>
      </c>
      <c r="R14" s="8">
        <v>32875.445269823074</v>
      </c>
      <c r="S14" s="8">
        <v>544566.0</v>
      </c>
      <c r="T14" s="18">
        <f t="shared" ref="T14:T22" si="12">Q14/S14</f>
        <v>0.1505125182</v>
      </c>
      <c r="U14" s="18">
        <f t="shared" ref="U14:U22" si="13">R14/Q14</f>
        <v>0.4010961553</v>
      </c>
      <c r="V14" s="18">
        <f t="shared" ref="V14:V22" si="14">T14*U14</f>
        <v>0.06036999238</v>
      </c>
      <c r="W14" s="18"/>
    </row>
    <row r="15" ht="15.75" customHeight="1">
      <c r="A15" s="8">
        <v>10405.0</v>
      </c>
      <c r="B15" s="8">
        <v>16.0</v>
      </c>
      <c r="C15" s="8">
        <v>5.555555701255798</v>
      </c>
      <c r="D15" s="8">
        <v>232.0</v>
      </c>
      <c r="E15" s="18">
        <f t="shared" si="1"/>
        <v>0.06896551724</v>
      </c>
      <c r="F15" s="18">
        <f t="shared" si="2"/>
        <v>0.3472222313</v>
      </c>
      <c r="G15" s="18">
        <f t="shared" si="3"/>
        <v>0.02394636078</v>
      </c>
      <c r="H15" s="8">
        <v>1265.0</v>
      </c>
      <c r="I15" s="8">
        <v>497.5555674433708</v>
      </c>
      <c r="J15" s="8">
        <v>5360.0</v>
      </c>
      <c r="K15" s="18">
        <f t="shared" si="4"/>
        <v>0.2360074627</v>
      </c>
      <c r="L15" s="18">
        <f t="shared" si="5"/>
        <v>0.3933245592</v>
      </c>
      <c r="M15" s="18">
        <f t="shared" si="6"/>
        <v>0.09282753124</v>
      </c>
      <c r="N15" s="18">
        <f t="shared" si="7"/>
        <v>3.876477603</v>
      </c>
      <c r="P15" s="8">
        <v>2.0</v>
      </c>
      <c r="Q15" s="8">
        <v>192012.0</v>
      </c>
      <c r="R15" s="8">
        <v>71460.22399798036</v>
      </c>
      <c r="S15" s="8">
        <v>2680782.0</v>
      </c>
      <c r="T15" s="18">
        <f t="shared" si="12"/>
        <v>0.07162536902</v>
      </c>
      <c r="U15" s="18">
        <f t="shared" si="13"/>
        <v>0.3721654063</v>
      </c>
      <c r="V15" s="18">
        <f t="shared" si="14"/>
        <v>0.02665648456</v>
      </c>
      <c r="W15" s="18"/>
    </row>
    <row r="16" ht="15.75" customHeight="1">
      <c r="A16" s="8">
        <v>10501.0</v>
      </c>
      <c r="B16" s="8">
        <v>100.0</v>
      </c>
      <c r="C16" s="8">
        <v>39.44444552063942</v>
      </c>
      <c r="D16" s="8">
        <v>1638.0</v>
      </c>
      <c r="E16" s="18">
        <f t="shared" si="1"/>
        <v>0.06105006105</v>
      </c>
      <c r="F16" s="18">
        <f t="shared" si="2"/>
        <v>0.3944444552</v>
      </c>
      <c r="G16" s="18">
        <f t="shared" si="3"/>
        <v>0.02408085807</v>
      </c>
      <c r="H16" s="8">
        <v>2553.0</v>
      </c>
      <c r="I16" s="8">
        <v>984.5555803179741</v>
      </c>
      <c r="J16" s="8">
        <v>22186.0</v>
      </c>
      <c r="K16" s="18">
        <f t="shared" si="4"/>
        <v>0.1150725683</v>
      </c>
      <c r="L16" s="18">
        <f t="shared" si="5"/>
        <v>0.3856465258</v>
      </c>
      <c r="M16" s="18">
        <f t="shared" si="6"/>
        <v>0.04437733617</v>
      </c>
      <c r="N16" s="18">
        <f t="shared" si="7"/>
        <v>1.842846963</v>
      </c>
      <c r="P16" s="8">
        <v>3.0</v>
      </c>
      <c r="Q16" s="8">
        <v>175875.0</v>
      </c>
      <c r="R16" s="8">
        <v>65678.22388327122</v>
      </c>
      <c r="S16" s="8">
        <v>1745664.0</v>
      </c>
      <c r="T16" s="18">
        <f t="shared" si="12"/>
        <v>0.1007496288</v>
      </c>
      <c r="U16" s="18">
        <f t="shared" si="13"/>
        <v>0.3734369517</v>
      </c>
      <c r="V16" s="18">
        <f t="shared" si="14"/>
        <v>0.03762363426</v>
      </c>
      <c r="W16" s="18"/>
    </row>
    <row r="17" ht="15.75" customHeight="1">
      <c r="A17" s="8">
        <v>10502.0</v>
      </c>
      <c r="B17" s="8">
        <v>33.0</v>
      </c>
      <c r="C17" s="8">
        <v>11.444444745779037</v>
      </c>
      <c r="D17" s="8">
        <v>433.0</v>
      </c>
      <c r="E17" s="18">
        <f t="shared" si="1"/>
        <v>0.07621247113</v>
      </c>
      <c r="F17" s="18">
        <f t="shared" si="2"/>
        <v>0.3468013559</v>
      </c>
      <c r="G17" s="18">
        <f t="shared" si="3"/>
        <v>0.02643058833</v>
      </c>
      <c r="H17" s="8">
        <v>1180.0</v>
      </c>
      <c r="I17" s="8">
        <v>440.8888993859291</v>
      </c>
      <c r="J17" s="8">
        <v>6375.0</v>
      </c>
      <c r="K17" s="18">
        <f t="shared" si="4"/>
        <v>0.1850980392</v>
      </c>
      <c r="L17" s="18">
        <f t="shared" si="5"/>
        <v>0.3736346605</v>
      </c>
      <c r="M17" s="18">
        <f t="shared" si="6"/>
        <v>0.06915904304</v>
      </c>
      <c r="N17" s="18">
        <f t="shared" si="7"/>
        <v>2.616628967</v>
      </c>
      <c r="P17" s="8">
        <v>4.0</v>
      </c>
      <c r="Q17" s="8">
        <v>50608.0</v>
      </c>
      <c r="R17" s="8">
        <v>18632.111573278904</v>
      </c>
      <c r="S17" s="8">
        <v>506362.0</v>
      </c>
      <c r="T17" s="18">
        <f t="shared" si="12"/>
        <v>0.09994430862</v>
      </c>
      <c r="U17" s="18">
        <f t="shared" si="13"/>
        <v>0.3681653409</v>
      </c>
      <c r="V17" s="18">
        <f t="shared" si="14"/>
        <v>0.03679603046</v>
      </c>
      <c r="W17" s="18"/>
    </row>
    <row r="18" ht="15.75" customHeight="1">
      <c r="A18" s="8">
        <v>10601.0</v>
      </c>
      <c r="B18" s="8">
        <v>148.0</v>
      </c>
      <c r="C18" s="8">
        <v>55.777779281139374</v>
      </c>
      <c r="D18" s="8">
        <v>774.0</v>
      </c>
      <c r="E18" s="18">
        <f t="shared" si="1"/>
        <v>0.1912144703</v>
      </c>
      <c r="F18" s="18">
        <f t="shared" si="2"/>
        <v>0.376876887</v>
      </c>
      <c r="G18" s="18">
        <f t="shared" si="3"/>
        <v>0.07206431432</v>
      </c>
      <c r="H18" s="8">
        <v>2898.0</v>
      </c>
      <c r="I18" s="8">
        <v>1116.5555837750435</v>
      </c>
      <c r="J18" s="8">
        <v>12158.0</v>
      </c>
      <c r="K18" s="18">
        <f t="shared" si="4"/>
        <v>0.2383615726</v>
      </c>
      <c r="L18" s="18">
        <f t="shared" si="5"/>
        <v>0.3852848805</v>
      </c>
      <c r="M18" s="18">
        <f t="shared" si="6"/>
        <v>0.09183711003</v>
      </c>
      <c r="N18" s="18">
        <f t="shared" si="7"/>
        <v>1.274377074</v>
      </c>
      <c r="P18" s="8">
        <v>5.0</v>
      </c>
      <c r="Q18" s="8">
        <v>125979.0</v>
      </c>
      <c r="R18" s="8">
        <v>48790.44567292929</v>
      </c>
      <c r="S18" s="8">
        <v>757979.0</v>
      </c>
      <c r="T18" s="18">
        <f t="shared" si="12"/>
        <v>0.166203813</v>
      </c>
      <c r="U18" s="18">
        <f t="shared" si="13"/>
        <v>0.3872903077</v>
      </c>
      <c r="V18" s="18">
        <f t="shared" si="14"/>
        <v>0.06436912589</v>
      </c>
      <c r="W18" s="18"/>
    </row>
    <row r="19" ht="15.75" customHeight="1">
      <c r="A19" s="8">
        <v>10602.0</v>
      </c>
      <c r="B19" s="8">
        <v>83.0</v>
      </c>
      <c r="C19" s="8">
        <v>31.222222834825516</v>
      </c>
      <c r="D19" s="8">
        <v>647.0</v>
      </c>
      <c r="E19" s="18">
        <f t="shared" si="1"/>
        <v>0.1282843895</v>
      </c>
      <c r="F19" s="18">
        <f t="shared" si="2"/>
        <v>0.3761713595</v>
      </c>
      <c r="G19" s="18">
        <f t="shared" si="3"/>
        <v>0.04825691319</v>
      </c>
      <c r="H19" s="8">
        <v>1454.0</v>
      </c>
      <c r="I19" s="8">
        <v>549.5555691123009</v>
      </c>
      <c r="J19" s="8">
        <v>7551.0</v>
      </c>
      <c r="K19" s="18">
        <f t="shared" si="4"/>
        <v>0.1925572772</v>
      </c>
      <c r="L19" s="18">
        <f t="shared" si="5"/>
        <v>0.3779611892</v>
      </c>
      <c r="M19" s="18">
        <f t="shared" si="6"/>
        <v>0.07277917747</v>
      </c>
      <c r="N19" s="18">
        <f t="shared" si="7"/>
        <v>1.508160648</v>
      </c>
      <c r="P19" s="8">
        <v>6.0</v>
      </c>
      <c r="Q19" s="8">
        <v>22699.0</v>
      </c>
      <c r="R19" s="8">
        <v>8489.66688027978</v>
      </c>
      <c r="S19" s="8">
        <v>483853.0</v>
      </c>
      <c r="T19" s="18">
        <f t="shared" si="12"/>
        <v>0.0469130087</v>
      </c>
      <c r="U19" s="18">
        <f t="shared" si="13"/>
        <v>0.3740106119</v>
      </c>
      <c r="V19" s="18">
        <f t="shared" si="14"/>
        <v>0.01754596309</v>
      </c>
      <c r="W19" s="18"/>
    </row>
    <row r="20" ht="15.75" customHeight="1">
      <c r="A20" s="8">
        <v>10701.0</v>
      </c>
      <c r="B20" s="8">
        <v>69.0</v>
      </c>
      <c r="C20" s="8">
        <v>24.666667252779007</v>
      </c>
      <c r="D20" s="8">
        <v>805.0</v>
      </c>
      <c r="E20" s="18">
        <f t="shared" si="1"/>
        <v>0.08571428571</v>
      </c>
      <c r="F20" s="18">
        <f t="shared" si="2"/>
        <v>0.3574879312</v>
      </c>
      <c r="G20" s="18">
        <f t="shared" si="3"/>
        <v>0.03064182267</v>
      </c>
      <c r="H20" s="8">
        <v>1611.0</v>
      </c>
      <c r="I20" s="8">
        <v>606.4444586634636</v>
      </c>
      <c r="J20" s="8">
        <v>13233.0</v>
      </c>
      <c r="K20" s="18">
        <f t="shared" si="4"/>
        <v>0.1217411018</v>
      </c>
      <c r="L20" s="18">
        <f t="shared" si="5"/>
        <v>0.3764397633</v>
      </c>
      <c r="M20" s="18">
        <f t="shared" si="6"/>
        <v>0.04582819154</v>
      </c>
      <c r="N20" s="18">
        <f t="shared" si="7"/>
        <v>1.495609188</v>
      </c>
      <c r="P20" s="8">
        <v>7.0</v>
      </c>
      <c r="Q20" s="8">
        <v>122883.0</v>
      </c>
      <c r="R20" s="8">
        <v>44611.89003363252</v>
      </c>
      <c r="S20" s="8">
        <v>2714080.0</v>
      </c>
      <c r="T20" s="18">
        <f t="shared" si="12"/>
        <v>0.04527611566</v>
      </c>
      <c r="U20" s="18">
        <f t="shared" si="13"/>
        <v>0.3630436271</v>
      </c>
      <c r="V20" s="18">
        <f t="shared" si="14"/>
        <v>0.01643720525</v>
      </c>
      <c r="W20" s="18"/>
    </row>
    <row r="21" ht="15.75" customHeight="1">
      <c r="A21" s="8">
        <v>10702.0</v>
      </c>
      <c r="B21" s="8">
        <v>240.0</v>
      </c>
      <c r="C21" s="8">
        <v>94.33333578705788</v>
      </c>
      <c r="D21" s="8">
        <v>1352.0</v>
      </c>
      <c r="E21" s="18">
        <f t="shared" si="1"/>
        <v>0.1775147929</v>
      </c>
      <c r="F21" s="18">
        <f t="shared" si="2"/>
        <v>0.3930555658</v>
      </c>
      <c r="G21" s="18">
        <f t="shared" si="3"/>
        <v>0.06977317736</v>
      </c>
      <c r="H21" s="8">
        <v>7843.0</v>
      </c>
      <c r="I21" s="8">
        <v>3182.88896971941</v>
      </c>
      <c r="J21" s="8">
        <v>24450.0</v>
      </c>
      <c r="K21" s="18">
        <f t="shared" si="4"/>
        <v>0.3207770961</v>
      </c>
      <c r="L21" s="18">
        <f t="shared" si="5"/>
        <v>0.4058254456</v>
      </c>
      <c r="M21" s="18">
        <f t="shared" si="6"/>
        <v>0.130179508</v>
      </c>
      <c r="N21" s="18">
        <f t="shared" si="7"/>
        <v>1.8657529</v>
      </c>
      <c r="P21" s="8">
        <v>8.0</v>
      </c>
      <c r="Q21" s="8">
        <v>76848.0</v>
      </c>
      <c r="R21" s="8">
        <v>30568.66745302081</v>
      </c>
      <c r="S21" s="8">
        <v>417988.0</v>
      </c>
      <c r="T21" s="18">
        <f t="shared" si="12"/>
        <v>0.183852168</v>
      </c>
      <c r="U21" s="18">
        <f t="shared" si="13"/>
        <v>0.3977809111</v>
      </c>
      <c r="V21" s="18">
        <f t="shared" si="14"/>
        <v>0.07313288289</v>
      </c>
      <c r="W21" s="18"/>
    </row>
    <row r="22" ht="15.75" customHeight="1">
      <c r="A22" s="8">
        <v>10703.0</v>
      </c>
      <c r="B22" s="8">
        <v>88.0</v>
      </c>
      <c r="C22" s="8">
        <v>37.88888990879059</v>
      </c>
      <c r="D22" s="8">
        <v>539.0</v>
      </c>
      <c r="E22" s="18">
        <f t="shared" si="1"/>
        <v>0.1632653061</v>
      </c>
      <c r="F22" s="18">
        <f t="shared" si="2"/>
        <v>0.4305555671</v>
      </c>
      <c r="G22" s="18">
        <f t="shared" si="3"/>
        <v>0.07029478647</v>
      </c>
      <c r="H22" s="8">
        <v>6915.0</v>
      </c>
      <c r="I22" s="8">
        <v>2994.3334094285965</v>
      </c>
      <c r="J22" s="8">
        <v>15255.0</v>
      </c>
      <c r="K22" s="18">
        <f t="shared" si="4"/>
        <v>0.453294002</v>
      </c>
      <c r="L22" s="18">
        <f t="shared" si="5"/>
        <v>0.4330200158</v>
      </c>
      <c r="M22" s="18">
        <f t="shared" si="6"/>
        <v>0.1962853759</v>
      </c>
      <c r="N22" s="18">
        <f t="shared" si="7"/>
        <v>2.792317692</v>
      </c>
      <c r="P22" s="8">
        <v>9.0</v>
      </c>
      <c r="Q22" s="8">
        <v>13500.0</v>
      </c>
      <c r="R22" s="8">
        <v>5072.889015316963</v>
      </c>
      <c r="S22" s="8">
        <v>108174.0</v>
      </c>
      <c r="T22" s="18">
        <f t="shared" si="12"/>
        <v>0.124798935</v>
      </c>
      <c r="U22" s="18">
        <f t="shared" si="13"/>
        <v>0.3757695567</v>
      </c>
      <c r="V22" s="18">
        <f t="shared" si="14"/>
        <v>0.0468956405</v>
      </c>
      <c r="W22" s="18"/>
    </row>
    <row r="23" ht="15.75" customHeight="1">
      <c r="A23" s="8">
        <v>10704.0</v>
      </c>
      <c r="B23" s="8">
        <v>192.0</v>
      </c>
      <c r="C23" s="8">
        <v>76.22222396731377</v>
      </c>
      <c r="D23" s="8">
        <v>721.0</v>
      </c>
      <c r="E23" s="18">
        <f t="shared" si="1"/>
        <v>0.26629681</v>
      </c>
      <c r="F23" s="18">
        <f t="shared" si="2"/>
        <v>0.3969907498</v>
      </c>
      <c r="G23" s="18">
        <f t="shared" si="3"/>
        <v>0.1057173703</v>
      </c>
      <c r="H23" s="8">
        <v>4631.0</v>
      </c>
      <c r="I23" s="8">
        <v>2034.6667196452618</v>
      </c>
      <c r="J23" s="8">
        <v>13127.0</v>
      </c>
      <c r="K23" s="18">
        <f t="shared" si="4"/>
        <v>0.3527843376</v>
      </c>
      <c r="L23" s="18">
        <f t="shared" si="5"/>
        <v>0.4393579615</v>
      </c>
      <c r="M23" s="18">
        <f t="shared" si="6"/>
        <v>0.1549986074</v>
      </c>
      <c r="N23" s="18">
        <f t="shared" si="7"/>
        <v>1.466160263</v>
      </c>
      <c r="T23" s="18"/>
      <c r="U23" s="18"/>
      <c r="V23" s="18"/>
      <c r="W23" s="18"/>
    </row>
    <row r="24" ht="15.75" customHeight="1">
      <c r="A24" s="8">
        <v>10801.0</v>
      </c>
      <c r="B24" s="8">
        <v>48.0</v>
      </c>
      <c r="C24" s="8">
        <v>18.444444954395294</v>
      </c>
      <c r="D24" s="8">
        <v>665.0</v>
      </c>
      <c r="E24" s="18">
        <f t="shared" si="1"/>
        <v>0.07218045113</v>
      </c>
      <c r="F24" s="18">
        <f t="shared" si="2"/>
        <v>0.3842592699</v>
      </c>
      <c r="G24" s="18">
        <f t="shared" si="3"/>
        <v>0.02773600745</v>
      </c>
      <c r="H24" s="8">
        <v>1229.0</v>
      </c>
      <c r="I24" s="8">
        <v>477.6666778922081</v>
      </c>
      <c r="J24" s="8">
        <v>8269.0</v>
      </c>
      <c r="K24" s="18">
        <f t="shared" si="4"/>
        <v>0.1486274036</v>
      </c>
      <c r="L24" s="18">
        <f t="shared" si="5"/>
        <v>0.3886628787</v>
      </c>
      <c r="M24" s="18">
        <f t="shared" si="6"/>
        <v>0.05776595452</v>
      </c>
      <c r="N24" s="18">
        <f t="shared" si="7"/>
        <v>2.082706194</v>
      </c>
      <c r="T24" s="18"/>
      <c r="U24" s="18"/>
      <c r="V24" s="18"/>
      <c r="W24" s="18"/>
    </row>
    <row r="25" ht="15.75" customHeight="1">
      <c r="A25" s="8">
        <v>10901.0</v>
      </c>
      <c r="B25" s="8">
        <v>52.0</v>
      </c>
      <c r="C25" s="8">
        <v>21.333334147930145</v>
      </c>
      <c r="D25" s="8">
        <v>353.0</v>
      </c>
      <c r="E25" s="18">
        <f t="shared" si="1"/>
        <v>0.1473087819</v>
      </c>
      <c r="F25" s="18">
        <f t="shared" si="2"/>
        <v>0.4102564259</v>
      </c>
      <c r="G25" s="18">
        <f t="shared" si="3"/>
        <v>0.06043437436</v>
      </c>
      <c r="H25" s="8">
        <v>637.0</v>
      </c>
      <c r="I25" s="8">
        <v>242.55556127429008</v>
      </c>
      <c r="J25" s="8">
        <v>4807.0</v>
      </c>
      <c r="K25" s="18">
        <f t="shared" si="4"/>
        <v>0.1325150822</v>
      </c>
      <c r="L25" s="18">
        <f t="shared" si="5"/>
        <v>0.3807779612</v>
      </c>
      <c r="M25" s="18">
        <f t="shared" si="6"/>
        <v>0.05045882282</v>
      </c>
      <c r="N25" s="18">
        <f t="shared" si="7"/>
        <v>0.8349358019</v>
      </c>
      <c r="T25" s="18"/>
      <c r="U25" s="18"/>
      <c r="V25" s="18"/>
      <c r="W25" s="18"/>
    </row>
    <row r="26" ht="15.75" customHeight="1">
      <c r="A26" s="8">
        <v>10902.0</v>
      </c>
      <c r="B26" s="8">
        <v>116.0</v>
      </c>
      <c r="C26" s="8">
        <v>43.44444555044174</v>
      </c>
      <c r="D26" s="8">
        <v>652.0</v>
      </c>
      <c r="E26" s="18">
        <f t="shared" si="1"/>
        <v>0.1779141104</v>
      </c>
      <c r="F26" s="18">
        <f t="shared" si="2"/>
        <v>0.3745210823</v>
      </c>
      <c r="G26" s="18">
        <f t="shared" si="3"/>
        <v>0.0666325852</v>
      </c>
      <c r="H26" s="8">
        <v>4215.0</v>
      </c>
      <c r="I26" s="8">
        <v>1717.0000428259373</v>
      </c>
      <c r="J26" s="8">
        <v>13807.0</v>
      </c>
      <c r="K26" s="18">
        <f t="shared" si="4"/>
        <v>0.3052799305</v>
      </c>
      <c r="L26" s="18">
        <f t="shared" si="5"/>
        <v>0.4073546958</v>
      </c>
      <c r="M26" s="18">
        <f t="shared" si="6"/>
        <v>0.1243572132</v>
      </c>
      <c r="N26" s="18">
        <f t="shared" si="7"/>
        <v>1.866312298</v>
      </c>
      <c r="T26" s="18"/>
      <c r="U26" s="18"/>
      <c r="V26" s="18"/>
      <c r="W26" s="18"/>
    </row>
    <row r="27" ht="15.75" customHeight="1">
      <c r="A27" s="8">
        <v>10903.0</v>
      </c>
      <c r="B27" s="8">
        <v>34.0</v>
      </c>
      <c r="C27" s="8">
        <v>12.444444715976715</v>
      </c>
      <c r="D27" s="8">
        <v>371.0</v>
      </c>
      <c r="E27" s="18">
        <f t="shared" si="1"/>
        <v>0.09164420485</v>
      </c>
      <c r="F27" s="18">
        <f t="shared" si="2"/>
        <v>0.3660130799</v>
      </c>
      <c r="G27" s="18">
        <f t="shared" si="3"/>
        <v>0.03354297767</v>
      </c>
      <c r="H27" s="8">
        <v>693.0</v>
      </c>
      <c r="I27" s="8">
        <v>272.66667398810387</v>
      </c>
      <c r="J27" s="8">
        <v>4556.0</v>
      </c>
      <c r="K27" s="18">
        <f t="shared" si="4"/>
        <v>0.1521071115</v>
      </c>
      <c r="L27" s="18">
        <f t="shared" si="5"/>
        <v>0.393458404</v>
      </c>
      <c r="M27" s="18">
        <f t="shared" si="6"/>
        <v>0.05984782133</v>
      </c>
      <c r="N27" s="18">
        <f t="shared" si="7"/>
        <v>1.784213135</v>
      </c>
      <c r="T27" s="18"/>
      <c r="U27" s="18"/>
      <c r="V27" s="18"/>
      <c r="W27" s="18"/>
    </row>
    <row r="28" ht="15.75" customHeight="1">
      <c r="A28" s="8">
        <v>11001.0</v>
      </c>
      <c r="B28" s="8">
        <v>17.0</v>
      </c>
      <c r="C28" s="8">
        <v>5.888889044523239</v>
      </c>
      <c r="D28" s="8">
        <v>162.0</v>
      </c>
      <c r="E28" s="18">
        <f t="shared" si="1"/>
        <v>0.1049382716</v>
      </c>
      <c r="F28" s="18">
        <f t="shared" si="2"/>
        <v>0.3464052379</v>
      </c>
      <c r="G28" s="18">
        <f t="shared" si="3"/>
        <v>0.03635116694</v>
      </c>
      <c r="H28" s="8">
        <v>2030.0</v>
      </c>
      <c r="I28" s="8">
        <v>831.0000206530094</v>
      </c>
      <c r="J28" s="8">
        <v>10378.0</v>
      </c>
      <c r="K28" s="18">
        <f t="shared" si="4"/>
        <v>0.1956060898</v>
      </c>
      <c r="L28" s="18">
        <f t="shared" si="5"/>
        <v>0.4093596161</v>
      </c>
      <c r="M28" s="18">
        <f t="shared" si="6"/>
        <v>0.08007323383</v>
      </c>
      <c r="N28" s="18">
        <f t="shared" si="7"/>
        <v>2.20276928</v>
      </c>
      <c r="T28" s="18"/>
      <c r="U28" s="18"/>
      <c r="V28" s="18"/>
      <c r="W28" s="18"/>
    </row>
    <row r="29" ht="15.75" customHeight="1">
      <c r="A29" s="8">
        <v>11002.0</v>
      </c>
      <c r="B29" s="8">
        <v>5.0</v>
      </c>
      <c r="C29" s="8">
        <v>1.666666716337204</v>
      </c>
      <c r="D29" s="8">
        <v>180.0</v>
      </c>
      <c r="E29" s="18">
        <f t="shared" si="1"/>
        <v>0.02777777778</v>
      </c>
      <c r="F29" s="18">
        <f t="shared" si="2"/>
        <v>0.3333333433</v>
      </c>
      <c r="G29" s="18">
        <f t="shared" si="3"/>
        <v>0.009259259535</v>
      </c>
      <c r="H29" s="8">
        <v>192.0</v>
      </c>
      <c r="I29" s="8">
        <v>71.66666868329048</v>
      </c>
      <c r="J29" s="8">
        <v>2338.0</v>
      </c>
      <c r="K29" s="18">
        <f t="shared" si="4"/>
        <v>0.08212147134</v>
      </c>
      <c r="L29" s="18">
        <f t="shared" si="5"/>
        <v>0.3732638994</v>
      </c>
      <c r="M29" s="18">
        <f t="shared" si="6"/>
        <v>0.03065298062</v>
      </c>
      <c r="N29" s="18">
        <f t="shared" si="7"/>
        <v>3.310521808</v>
      </c>
      <c r="T29" s="18"/>
      <c r="U29" s="18"/>
      <c r="V29" s="18"/>
      <c r="W29" s="18"/>
    </row>
    <row r="30" ht="15.75" customHeight="1">
      <c r="A30" s="8">
        <v>11003.0</v>
      </c>
      <c r="B30" s="8">
        <v>105.0</v>
      </c>
      <c r="C30" s="8">
        <v>37.33333423733711</v>
      </c>
      <c r="D30" s="8">
        <v>656.0</v>
      </c>
      <c r="E30" s="18">
        <f t="shared" si="1"/>
        <v>0.1600609756</v>
      </c>
      <c r="F30" s="18">
        <f t="shared" si="2"/>
        <v>0.3555555642</v>
      </c>
      <c r="G30" s="18">
        <f t="shared" si="3"/>
        <v>0.05691057048</v>
      </c>
      <c r="H30" s="8">
        <v>438.0</v>
      </c>
      <c r="I30" s="8">
        <v>164.55555987358093</v>
      </c>
      <c r="J30" s="8">
        <v>5721.0</v>
      </c>
      <c r="K30" s="18">
        <f t="shared" si="4"/>
        <v>0.07656004195</v>
      </c>
      <c r="L30" s="18">
        <f t="shared" si="5"/>
        <v>0.3756976253</v>
      </c>
      <c r="M30" s="18">
        <f t="shared" si="6"/>
        <v>0.02876342595</v>
      </c>
      <c r="N30" s="18">
        <f t="shared" si="7"/>
        <v>0.5054144724</v>
      </c>
      <c r="T30" s="18"/>
      <c r="U30" s="18"/>
      <c r="V30" s="18"/>
      <c r="W30" s="18"/>
    </row>
    <row r="31" ht="15.75" customHeight="1">
      <c r="A31" s="8">
        <v>20101.0</v>
      </c>
      <c r="B31" s="8">
        <v>532.0</v>
      </c>
      <c r="C31" s="8">
        <v>193.444449365139</v>
      </c>
      <c r="D31" s="8">
        <v>30285.0</v>
      </c>
      <c r="E31" s="18">
        <f t="shared" si="1"/>
        <v>0.01756645204</v>
      </c>
      <c r="F31" s="18">
        <f t="shared" si="2"/>
        <v>0.363617386</v>
      </c>
      <c r="G31" s="18">
        <f t="shared" si="3"/>
        <v>0.006387467372</v>
      </c>
      <c r="H31" s="8">
        <v>4706.0</v>
      </c>
      <c r="I31" s="8">
        <v>1696.0000439584255</v>
      </c>
      <c r="J31" s="8">
        <v>688513.0</v>
      </c>
      <c r="K31" s="18">
        <f t="shared" si="4"/>
        <v>0.006835019818</v>
      </c>
      <c r="L31" s="18">
        <f t="shared" si="5"/>
        <v>0.3603909996</v>
      </c>
      <c r="M31" s="18">
        <f t="shared" si="6"/>
        <v>0.002463279624</v>
      </c>
      <c r="N31" s="18">
        <f t="shared" si="7"/>
        <v>0.3856426156</v>
      </c>
      <c r="T31" s="18"/>
      <c r="U31" s="18"/>
      <c r="V31" s="18"/>
      <c r="W31" s="18"/>
    </row>
    <row r="32" ht="15.75" customHeight="1">
      <c r="A32" s="8">
        <v>20102.0</v>
      </c>
      <c r="B32" s="8">
        <v>158.0</v>
      </c>
      <c r="C32" s="8">
        <v>55.333334773778915</v>
      </c>
      <c r="D32" s="8">
        <v>1245.0</v>
      </c>
      <c r="E32" s="18">
        <f t="shared" si="1"/>
        <v>0.1269076305</v>
      </c>
      <c r="F32" s="18">
        <f t="shared" si="2"/>
        <v>0.3502109796</v>
      </c>
      <c r="G32" s="18">
        <f t="shared" si="3"/>
        <v>0.0444444456</v>
      </c>
      <c r="H32" s="8">
        <v>3032.0</v>
      </c>
      <c r="I32" s="8">
        <v>1130.33336186409</v>
      </c>
      <c r="J32" s="8">
        <v>20102.0</v>
      </c>
      <c r="K32" s="18">
        <f t="shared" si="4"/>
        <v>0.1508307631</v>
      </c>
      <c r="L32" s="18">
        <f t="shared" si="5"/>
        <v>0.3728012407</v>
      </c>
      <c r="M32" s="18">
        <f t="shared" si="6"/>
        <v>0.05622989563</v>
      </c>
      <c r="N32" s="18">
        <f t="shared" si="7"/>
        <v>1.265172619</v>
      </c>
      <c r="T32" s="18"/>
      <c r="U32" s="18"/>
      <c r="V32" s="18"/>
      <c r="W32" s="18"/>
    </row>
    <row r="33" ht="15.75" customHeight="1">
      <c r="A33" s="8">
        <v>20103.0</v>
      </c>
      <c r="B33" s="8">
        <v>112.0</v>
      </c>
      <c r="C33" s="8">
        <v>38.66666769981384</v>
      </c>
      <c r="D33" s="8">
        <v>2920.0</v>
      </c>
      <c r="E33" s="18">
        <f t="shared" si="1"/>
        <v>0.03835616438</v>
      </c>
      <c r="F33" s="18">
        <f t="shared" si="2"/>
        <v>0.3452381045</v>
      </c>
      <c r="G33" s="18">
        <f t="shared" si="3"/>
        <v>0.01324200949</v>
      </c>
      <c r="H33" s="8">
        <v>1546.0</v>
      </c>
      <c r="I33" s="8">
        <v>568.2222364544868</v>
      </c>
      <c r="J33" s="8">
        <v>17202.0</v>
      </c>
      <c r="K33" s="18">
        <f t="shared" si="4"/>
        <v>0.08987327055</v>
      </c>
      <c r="L33" s="18">
        <f t="shared" si="5"/>
        <v>0.3675434906</v>
      </c>
      <c r="M33" s="18">
        <f t="shared" si="6"/>
        <v>0.03303233557</v>
      </c>
      <c r="N33" s="18">
        <f t="shared" si="7"/>
        <v>2.494510792</v>
      </c>
      <c r="T33" s="18"/>
      <c r="U33" s="18"/>
      <c r="V33" s="18"/>
      <c r="W33" s="18"/>
    </row>
    <row r="34" ht="15.75" customHeight="1">
      <c r="A34" s="8">
        <v>20104.0</v>
      </c>
      <c r="B34" s="8">
        <v>1408.0</v>
      </c>
      <c r="C34" s="8">
        <v>505.33334678411484</v>
      </c>
      <c r="D34" s="8">
        <v>9855.0</v>
      </c>
      <c r="E34" s="18">
        <f t="shared" si="1"/>
        <v>0.1428716388</v>
      </c>
      <c r="F34" s="18">
        <f t="shared" si="2"/>
        <v>0.3589015247</v>
      </c>
      <c r="G34" s="18">
        <f t="shared" si="3"/>
        <v>0.05127684899</v>
      </c>
      <c r="H34" s="8">
        <v>3867.0</v>
      </c>
      <c r="I34" s="8">
        <v>1390.4444798529148</v>
      </c>
      <c r="J34" s="8">
        <v>34138.0</v>
      </c>
      <c r="K34" s="18">
        <f t="shared" si="4"/>
        <v>0.1132755287</v>
      </c>
      <c r="L34" s="18">
        <f t="shared" si="5"/>
        <v>0.3595667132</v>
      </c>
      <c r="M34" s="18">
        <f t="shared" si="6"/>
        <v>0.04073010955</v>
      </c>
      <c r="N34" s="18">
        <f t="shared" si="7"/>
        <v>0.7943177156</v>
      </c>
      <c r="T34" s="18"/>
      <c r="U34" s="18"/>
      <c r="V34" s="18"/>
      <c r="W34" s="18"/>
    </row>
    <row r="35" ht="15.75" customHeight="1">
      <c r="A35" s="8">
        <v>20105.0</v>
      </c>
      <c r="B35" s="8">
        <v>2151.0</v>
      </c>
      <c r="C35" s="8">
        <v>770.1111306846142</v>
      </c>
      <c r="D35" s="8">
        <v>69042.0</v>
      </c>
      <c r="E35" s="18">
        <f t="shared" si="1"/>
        <v>0.03115494916</v>
      </c>
      <c r="F35" s="18">
        <f t="shared" si="2"/>
        <v>0.3580247005</v>
      </c>
      <c r="G35" s="18">
        <f t="shared" si="3"/>
        <v>0.01115424134</v>
      </c>
      <c r="H35" s="8">
        <v>11272.0</v>
      </c>
      <c r="I35" s="8">
        <v>4019.222326427698</v>
      </c>
      <c r="J35" s="8">
        <v>796417.0</v>
      </c>
      <c r="K35" s="18">
        <f t="shared" si="4"/>
        <v>0.01415338949</v>
      </c>
      <c r="L35" s="18">
        <f t="shared" si="5"/>
        <v>0.3565669204</v>
      </c>
      <c r="M35" s="18">
        <f t="shared" si="6"/>
        <v>0.005046630504</v>
      </c>
      <c r="N35" s="18">
        <f t="shared" si="7"/>
        <v>0.4524404977</v>
      </c>
      <c r="T35" s="18"/>
      <c r="U35" s="18"/>
      <c r="V35" s="18"/>
      <c r="W35" s="18"/>
    </row>
    <row r="36" ht="15.75" customHeight="1">
      <c r="A36" s="8">
        <v>20201.0</v>
      </c>
      <c r="B36" s="8">
        <v>291.0</v>
      </c>
      <c r="C36" s="8">
        <v>106.66666954755783</v>
      </c>
      <c r="D36" s="8">
        <v>2795.0</v>
      </c>
      <c r="E36" s="18">
        <f t="shared" si="1"/>
        <v>0.1041144902</v>
      </c>
      <c r="F36" s="18">
        <f t="shared" si="2"/>
        <v>0.366552129</v>
      </c>
      <c r="G36" s="18">
        <f t="shared" si="3"/>
        <v>0.03816338803</v>
      </c>
      <c r="H36" s="8">
        <v>4056.0</v>
      </c>
      <c r="I36" s="8">
        <v>1493.222259938717</v>
      </c>
      <c r="J36" s="8">
        <v>43122.0</v>
      </c>
      <c r="K36" s="18">
        <f t="shared" si="4"/>
        <v>0.09405871713</v>
      </c>
      <c r="L36" s="18">
        <f t="shared" si="5"/>
        <v>0.3681514448</v>
      </c>
      <c r="M36" s="18">
        <f t="shared" si="6"/>
        <v>0.0346278526</v>
      </c>
      <c r="N36" s="18">
        <f t="shared" si="7"/>
        <v>0.9073579257</v>
      </c>
      <c r="T36" s="18"/>
      <c r="U36" s="18"/>
      <c r="V36" s="18"/>
      <c r="W36" s="18"/>
    </row>
    <row r="37" ht="15.75" customHeight="1">
      <c r="A37" s="8">
        <v>20202.0</v>
      </c>
      <c r="B37" s="8">
        <v>225.0</v>
      </c>
      <c r="C37" s="8">
        <v>82.11111322045326</v>
      </c>
      <c r="D37" s="8">
        <v>1147.0</v>
      </c>
      <c r="E37" s="18">
        <f t="shared" si="1"/>
        <v>0.1961639058</v>
      </c>
      <c r="F37" s="18">
        <f t="shared" si="2"/>
        <v>0.364938281</v>
      </c>
      <c r="G37" s="18">
        <f t="shared" si="3"/>
        <v>0.07158771859</v>
      </c>
      <c r="H37" s="8">
        <v>2672.0</v>
      </c>
      <c r="I37" s="8">
        <v>985.5555804371834</v>
      </c>
      <c r="J37" s="8">
        <v>15480.0</v>
      </c>
      <c r="K37" s="18">
        <f t="shared" si="4"/>
        <v>0.1726098191</v>
      </c>
      <c r="L37" s="18">
        <f t="shared" si="5"/>
        <v>0.3688456514</v>
      </c>
      <c r="M37" s="18">
        <f t="shared" si="6"/>
        <v>0.06366638117</v>
      </c>
      <c r="N37" s="18">
        <f t="shared" si="7"/>
        <v>0.8893478158</v>
      </c>
      <c r="T37" s="18"/>
      <c r="U37" s="18"/>
      <c r="V37" s="18"/>
      <c r="W37" s="18"/>
    </row>
    <row r="38" ht="15.75" customHeight="1">
      <c r="A38" s="8">
        <v>20203.0</v>
      </c>
      <c r="B38" s="8">
        <v>132.0</v>
      </c>
      <c r="C38" s="8">
        <v>47.55555671453476</v>
      </c>
      <c r="D38" s="8">
        <v>1025.0</v>
      </c>
      <c r="E38" s="18">
        <f t="shared" si="1"/>
        <v>0.1287804878</v>
      </c>
      <c r="F38" s="18">
        <f t="shared" si="2"/>
        <v>0.360269369</v>
      </c>
      <c r="G38" s="18">
        <f t="shared" si="3"/>
        <v>0.04639566509</v>
      </c>
      <c r="H38" s="8">
        <v>514.0</v>
      </c>
      <c r="I38" s="8">
        <v>188.22222703695297</v>
      </c>
      <c r="J38" s="8">
        <v>5757.0</v>
      </c>
      <c r="K38" s="18">
        <f t="shared" si="4"/>
        <v>0.08928261247</v>
      </c>
      <c r="L38" s="18">
        <f t="shared" si="5"/>
        <v>0.3661911032</v>
      </c>
      <c r="M38" s="18">
        <f t="shared" si="6"/>
        <v>0.03269449836</v>
      </c>
      <c r="N38" s="18">
        <f t="shared" si="7"/>
        <v>0.7046886448</v>
      </c>
      <c r="T38" s="18"/>
      <c r="U38" s="18"/>
      <c r="V38" s="18"/>
      <c r="W38" s="18"/>
    </row>
    <row r="39" ht="15.75" customHeight="1">
      <c r="A39" s="8">
        <v>20204.0</v>
      </c>
      <c r="B39" s="8">
        <v>89.0</v>
      </c>
      <c r="C39" s="8">
        <v>30.77777862548828</v>
      </c>
      <c r="D39" s="8">
        <v>839.0</v>
      </c>
      <c r="E39" s="18">
        <f t="shared" si="1"/>
        <v>0.1060786651</v>
      </c>
      <c r="F39" s="18">
        <f t="shared" si="2"/>
        <v>0.3458177374</v>
      </c>
      <c r="G39" s="18">
        <f t="shared" si="3"/>
        <v>0.03668388394</v>
      </c>
      <c r="H39" s="8">
        <v>751.0</v>
      </c>
      <c r="I39" s="8">
        <v>272.88889569044113</v>
      </c>
      <c r="J39" s="8">
        <v>7581.0</v>
      </c>
      <c r="K39" s="18">
        <f t="shared" si="4"/>
        <v>0.09906344809</v>
      </c>
      <c r="L39" s="18">
        <f t="shared" si="5"/>
        <v>0.3633673711</v>
      </c>
      <c r="M39" s="18">
        <f t="shared" si="6"/>
        <v>0.03599642471</v>
      </c>
      <c r="N39" s="18">
        <f t="shared" si="7"/>
        <v>0.9812599114</v>
      </c>
      <c r="T39" s="18"/>
      <c r="U39" s="18"/>
      <c r="V39" s="18"/>
      <c r="W39" s="18"/>
    </row>
    <row r="40" ht="15.75" customHeight="1">
      <c r="A40" s="8">
        <v>20205.0</v>
      </c>
      <c r="B40" s="8">
        <v>106.0</v>
      </c>
      <c r="C40" s="8">
        <v>39.33333432674408</v>
      </c>
      <c r="D40" s="8">
        <v>1026.0</v>
      </c>
      <c r="E40" s="18">
        <f t="shared" si="1"/>
        <v>0.1033138402</v>
      </c>
      <c r="F40" s="18">
        <f t="shared" si="2"/>
        <v>0.3710691918</v>
      </c>
      <c r="G40" s="18">
        <f t="shared" si="3"/>
        <v>0.03833658316</v>
      </c>
      <c r="H40" s="8">
        <v>653.0</v>
      </c>
      <c r="I40" s="8">
        <v>241.11111721396446</v>
      </c>
      <c r="J40" s="8">
        <v>8052.0</v>
      </c>
      <c r="K40" s="18">
        <f t="shared" si="4"/>
        <v>0.08109786388</v>
      </c>
      <c r="L40" s="18">
        <f t="shared" si="5"/>
        <v>0.3692360141</v>
      </c>
      <c r="M40" s="18">
        <f t="shared" si="6"/>
        <v>0.02994425201</v>
      </c>
      <c r="N40" s="18">
        <f t="shared" si="7"/>
        <v>0.7810881811</v>
      </c>
      <c r="T40" s="18"/>
      <c r="U40" s="18"/>
      <c r="V40" s="18"/>
      <c r="W40" s="18"/>
    </row>
    <row r="41" ht="15.75" customHeight="1">
      <c r="A41" s="8">
        <v>20206.0</v>
      </c>
      <c r="B41" s="8">
        <v>50.0</v>
      </c>
      <c r="C41" s="8">
        <v>17.88888931274414</v>
      </c>
      <c r="D41" s="8">
        <v>792.0</v>
      </c>
      <c r="E41" s="18">
        <f t="shared" si="1"/>
        <v>0.06313131313</v>
      </c>
      <c r="F41" s="18">
        <f t="shared" si="2"/>
        <v>0.3577777863</v>
      </c>
      <c r="G41" s="18">
        <f t="shared" si="3"/>
        <v>0.02258698146</v>
      </c>
      <c r="H41" s="8">
        <v>236.0</v>
      </c>
      <c r="I41" s="8">
        <v>86.00000220537186</v>
      </c>
      <c r="J41" s="8">
        <v>4159.0</v>
      </c>
      <c r="K41" s="18">
        <f t="shared" si="4"/>
        <v>0.05674440971</v>
      </c>
      <c r="L41" s="18">
        <f t="shared" si="5"/>
        <v>0.364406789</v>
      </c>
      <c r="M41" s="18">
        <f t="shared" si="6"/>
        <v>0.02067804814</v>
      </c>
      <c r="N41" s="18">
        <f t="shared" si="7"/>
        <v>0.91548524</v>
      </c>
      <c r="T41" s="18"/>
      <c r="U41" s="18"/>
      <c r="V41" s="18"/>
      <c r="W41" s="18"/>
    </row>
    <row r="42" ht="15.75" customHeight="1">
      <c r="A42" s="8">
        <v>20301.0</v>
      </c>
      <c r="B42" s="8">
        <v>167.0</v>
      </c>
      <c r="C42" s="8">
        <v>63.88889020681381</v>
      </c>
      <c r="D42" s="8">
        <v>1090.0</v>
      </c>
      <c r="E42" s="18">
        <f t="shared" si="1"/>
        <v>0.1532110092</v>
      </c>
      <c r="F42" s="18">
        <f t="shared" si="2"/>
        <v>0.3825682048</v>
      </c>
      <c r="G42" s="18">
        <f t="shared" si="3"/>
        <v>0.05861366074</v>
      </c>
      <c r="H42" s="8">
        <v>2913.0</v>
      </c>
      <c r="I42" s="8">
        <v>1092.111138343811</v>
      </c>
      <c r="J42" s="8">
        <v>11947.0</v>
      </c>
      <c r="K42" s="18">
        <f t="shared" si="4"/>
        <v>0.2438269022</v>
      </c>
      <c r="L42" s="18">
        <f t="shared" si="5"/>
        <v>0.3749094193</v>
      </c>
      <c r="M42" s="18">
        <f t="shared" si="6"/>
        <v>0.09141300229</v>
      </c>
      <c r="N42" s="18">
        <f t="shared" si="7"/>
        <v>1.559585276</v>
      </c>
      <c r="T42" s="18"/>
      <c r="U42" s="18"/>
      <c r="V42" s="18"/>
      <c r="W42" s="18"/>
    </row>
    <row r="43" ht="15.75" customHeight="1">
      <c r="A43" s="8">
        <v>20302.0</v>
      </c>
      <c r="B43" s="8">
        <v>192.0</v>
      </c>
      <c r="C43" s="8">
        <v>69.55555725097656</v>
      </c>
      <c r="D43" s="8">
        <v>1273.0</v>
      </c>
      <c r="E43" s="18">
        <f t="shared" si="1"/>
        <v>0.1508248233</v>
      </c>
      <c r="F43" s="18">
        <f t="shared" si="2"/>
        <v>0.3622685273</v>
      </c>
      <c r="G43" s="18">
        <f t="shared" si="3"/>
        <v>0.05463908661</v>
      </c>
      <c r="H43" s="8">
        <v>2056.0</v>
      </c>
      <c r="I43" s="8">
        <v>755.0000182688236</v>
      </c>
      <c r="J43" s="8">
        <v>13964.0</v>
      </c>
      <c r="K43" s="18">
        <f t="shared" si="4"/>
        <v>0.1472357491</v>
      </c>
      <c r="L43" s="18">
        <f t="shared" si="5"/>
        <v>0.3672179077</v>
      </c>
      <c r="M43" s="18">
        <f t="shared" si="6"/>
        <v>0.05406760371</v>
      </c>
      <c r="N43" s="18">
        <f t="shared" si="7"/>
        <v>0.9895407678</v>
      </c>
      <c r="T43" s="18"/>
      <c r="U43" s="18"/>
      <c r="V43" s="18"/>
      <c r="W43" s="18"/>
    </row>
    <row r="44" ht="15.75" customHeight="1">
      <c r="A44" s="8">
        <v>20303.0</v>
      </c>
      <c r="B44" s="8">
        <v>250.0</v>
      </c>
      <c r="C44" s="8">
        <v>91.77777990698814</v>
      </c>
      <c r="D44" s="8">
        <v>1174.0</v>
      </c>
      <c r="E44" s="18">
        <f t="shared" si="1"/>
        <v>0.2129471891</v>
      </c>
      <c r="F44" s="18">
        <f t="shared" si="2"/>
        <v>0.3671111196</v>
      </c>
      <c r="G44" s="18">
        <f t="shared" si="3"/>
        <v>0.07817528101</v>
      </c>
      <c r="H44" s="8">
        <v>2894.0</v>
      </c>
      <c r="I44" s="8">
        <v>1080.1111368238926</v>
      </c>
      <c r="J44" s="8">
        <v>10836.0</v>
      </c>
      <c r="K44" s="18">
        <f t="shared" si="4"/>
        <v>0.2670727206</v>
      </c>
      <c r="L44" s="18">
        <f t="shared" si="5"/>
        <v>0.3732243044</v>
      </c>
      <c r="M44" s="18">
        <f t="shared" si="6"/>
        <v>0.09967803035</v>
      </c>
      <c r="N44" s="18">
        <f t="shared" si="7"/>
        <v>1.275058165</v>
      </c>
      <c r="T44" s="18"/>
      <c r="U44" s="18"/>
      <c r="V44" s="18"/>
      <c r="W44" s="18"/>
    </row>
    <row r="45" ht="15.75" customHeight="1">
      <c r="A45" s="8">
        <v>20304.0</v>
      </c>
      <c r="B45" s="8">
        <v>39.0</v>
      </c>
      <c r="C45" s="8">
        <v>13.33333370089531</v>
      </c>
      <c r="D45" s="8">
        <v>306.0</v>
      </c>
      <c r="E45" s="18">
        <f t="shared" si="1"/>
        <v>0.1274509804</v>
      </c>
      <c r="F45" s="18">
        <f t="shared" si="2"/>
        <v>0.3418803513</v>
      </c>
      <c r="G45" s="18">
        <f t="shared" si="3"/>
        <v>0.04357298595</v>
      </c>
      <c r="H45" s="8">
        <v>503.0</v>
      </c>
      <c r="I45" s="8">
        <v>180.3333379328251</v>
      </c>
      <c r="J45" s="8">
        <v>4853.0</v>
      </c>
      <c r="K45" s="18">
        <f t="shared" si="4"/>
        <v>0.1036472285</v>
      </c>
      <c r="L45" s="18">
        <f t="shared" si="5"/>
        <v>0.3585155824</v>
      </c>
      <c r="M45" s="18">
        <f t="shared" si="6"/>
        <v>0.03715914649</v>
      </c>
      <c r="N45" s="18">
        <f t="shared" si="7"/>
        <v>0.8528023885</v>
      </c>
      <c r="T45" s="18"/>
      <c r="U45" s="18"/>
      <c r="V45" s="18"/>
      <c r="W45" s="18"/>
    </row>
    <row r="46" ht="15.75" customHeight="1">
      <c r="A46" s="8">
        <v>20305.0</v>
      </c>
      <c r="B46" s="8">
        <v>49.0</v>
      </c>
      <c r="C46" s="8">
        <v>17.777778178453445</v>
      </c>
      <c r="D46" s="8">
        <v>234.0</v>
      </c>
      <c r="E46" s="18">
        <f t="shared" si="1"/>
        <v>0.2094017094</v>
      </c>
      <c r="F46" s="18">
        <f t="shared" si="2"/>
        <v>0.3628117996</v>
      </c>
      <c r="G46" s="18">
        <f t="shared" si="3"/>
        <v>0.07597341102</v>
      </c>
      <c r="H46" s="8">
        <v>1296.0</v>
      </c>
      <c r="I46" s="8">
        <v>488.44445633888245</v>
      </c>
      <c r="J46" s="8">
        <v>3776.0</v>
      </c>
      <c r="K46" s="18">
        <f t="shared" si="4"/>
        <v>0.343220339</v>
      </c>
      <c r="L46" s="18">
        <f t="shared" si="5"/>
        <v>0.3768861546</v>
      </c>
      <c r="M46" s="18">
        <f t="shared" si="6"/>
        <v>0.1293549937</v>
      </c>
      <c r="N46" s="18">
        <f t="shared" si="7"/>
        <v>1.702635067</v>
      </c>
      <c r="T46" s="18"/>
      <c r="U46" s="18"/>
      <c r="V46" s="18"/>
      <c r="W46" s="18"/>
    </row>
    <row r="47" ht="15.75" customHeight="1">
      <c r="A47" s="8">
        <v>20306.0</v>
      </c>
      <c r="B47" s="8">
        <v>61.0</v>
      </c>
      <c r="C47" s="8">
        <v>21.888889461755753</v>
      </c>
      <c r="D47" s="8">
        <v>399.0</v>
      </c>
      <c r="E47" s="18">
        <f t="shared" si="1"/>
        <v>0.1528822055</v>
      </c>
      <c r="F47" s="18">
        <f t="shared" si="2"/>
        <v>0.3588342535</v>
      </c>
      <c r="G47" s="18">
        <f t="shared" si="3"/>
        <v>0.05485937208</v>
      </c>
      <c r="H47" s="8">
        <v>1060.0</v>
      </c>
      <c r="I47" s="8">
        <v>394.6666768193245</v>
      </c>
      <c r="J47" s="8">
        <v>5464.0</v>
      </c>
      <c r="K47" s="18">
        <f t="shared" si="4"/>
        <v>0.1939970717</v>
      </c>
      <c r="L47" s="18">
        <f t="shared" si="5"/>
        <v>0.3723270536</v>
      </c>
      <c r="M47" s="18">
        <f t="shared" si="6"/>
        <v>0.07223035813</v>
      </c>
      <c r="N47" s="18">
        <f t="shared" si="7"/>
        <v>1.316645732</v>
      </c>
      <c r="T47" s="18"/>
      <c r="U47" s="18"/>
      <c r="V47" s="18"/>
      <c r="W47" s="18"/>
    </row>
    <row r="48" ht="15.75" customHeight="1">
      <c r="A48" s="8">
        <v>20307.0</v>
      </c>
      <c r="B48" s="8">
        <v>72.0</v>
      </c>
      <c r="C48" s="8">
        <v>25.888889491558075</v>
      </c>
      <c r="D48" s="8">
        <v>376.0</v>
      </c>
      <c r="E48" s="18">
        <f t="shared" si="1"/>
        <v>0.1914893617</v>
      </c>
      <c r="F48" s="18">
        <f t="shared" si="2"/>
        <v>0.3595679096</v>
      </c>
      <c r="G48" s="18">
        <f t="shared" si="3"/>
        <v>0.0688534295</v>
      </c>
      <c r="H48" s="8">
        <v>688.0</v>
      </c>
      <c r="I48" s="8">
        <v>251.4444504380226</v>
      </c>
      <c r="J48" s="8">
        <v>3550.0</v>
      </c>
      <c r="K48" s="18">
        <f t="shared" si="4"/>
        <v>0.1938028169</v>
      </c>
      <c r="L48" s="18">
        <f t="shared" si="5"/>
        <v>0.3654715849</v>
      </c>
      <c r="M48" s="18">
        <f t="shared" si="6"/>
        <v>0.07082942266</v>
      </c>
      <c r="N48" s="18">
        <f t="shared" si="7"/>
        <v>1.028698544</v>
      </c>
      <c r="T48" s="18"/>
      <c r="U48" s="18"/>
      <c r="V48" s="18"/>
      <c r="W48" s="18"/>
    </row>
    <row r="49" ht="15.75" customHeight="1">
      <c r="A49" s="8">
        <v>20308.0</v>
      </c>
      <c r="B49" s="8">
        <v>277.0</v>
      </c>
      <c r="C49" s="8">
        <v>104.44444698095322</v>
      </c>
      <c r="D49" s="8">
        <v>721.0</v>
      </c>
      <c r="E49" s="18">
        <f t="shared" si="1"/>
        <v>0.3841886269</v>
      </c>
      <c r="F49" s="18">
        <f t="shared" si="2"/>
        <v>0.3770557653</v>
      </c>
      <c r="G49" s="18">
        <f t="shared" si="3"/>
        <v>0.1448605367</v>
      </c>
      <c r="H49" s="8">
        <v>2547.0</v>
      </c>
      <c r="I49" s="8">
        <v>943.000022649765</v>
      </c>
      <c r="J49" s="8">
        <v>7128.0</v>
      </c>
      <c r="K49" s="18">
        <f t="shared" si="4"/>
        <v>0.3573232323</v>
      </c>
      <c r="L49" s="18">
        <f t="shared" si="5"/>
        <v>0.3702395063</v>
      </c>
      <c r="M49" s="18">
        <f t="shared" si="6"/>
        <v>0.1322951771</v>
      </c>
      <c r="N49" s="18">
        <f t="shared" si="7"/>
        <v>0.9132589187</v>
      </c>
      <c r="T49" s="18"/>
      <c r="U49" s="18"/>
      <c r="V49" s="18"/>
      <c r="W49" s="18"/>
    </row>
    <row r="50" ht="15.75" customHeight="1">
      <c r="A50" s="8">
        <v>20401.0</v>
      </c>
      <c r="B50" s="8">
        <v>341.0</v>
      </c>
      <c r="C50" s="8">
        <v>125.11111423373222</v>
      </c>
      <c r="D50" s="8">
        <v>1247.0</v>
      </c>
      <c r="E50" s="18">
        <f t="shared" si="1"/>
        <v>0.2734562951</v>
      </c>
      <c r="F50" s="18">
        <f t="shared" si="2"/>
        <v>0.3668947631</v>
      </c>
      <c r="G50" s="18">
        <f t="shared" si="3"/>
        <v>0.1003296826</v>
      </c>
      <c r="H50" s="8">
        <v>3096.0</v>
      </c>
      <c r="I50" s="8">
        <v>1149.8889167010784</v>
      </c>
      <c r="J50" s="8">
        <v>12535.0</v>
      </c>
      <c r="K50" s="18">
        <f t="shared" si="4"/>
        <v>0.2469884324</v>
      </c>
      <c r="L50" s="18">
        <f t="shared" si="5"/>
        <v>0.3714111488</v>
      </c>
      <c r="M50" s="18">
        <f t="shared" si="6"/>
        <v>0.09173425742</v>
      </c>
      <c r="N50" s="18">
        <f t="shared" si="7"/>
        <v>0.914328193</v>
      </c>
      <c r="T50" s="18"/>
      <c r="U50" s="18"/>
      <c r="V50" s="18"/>
      <c r="W50" s="18"/>
    </row>
    <row r="51" ht="15.75" customHeight="1">
      <c r="A51" s="8">
        <v>20402.0</v>
      </c>
      <c r="B51" s="8">
        <v>159.0</v>
      </c>
      <c r="C51" s="8">
        <v>57.333334773778915</v>
      </c>
      <c r="D51" s="8">
        <v>1071.0</v>
      </c>
      <c r="E51" s="18">
        <f t="shared" si="1"/>
        <v>0.1484593838</v>
      </c>
      <c r="F51" s="18">
        <f t="shared" si="2"/>
        <v>0.3605870112</v>
      </c>
      <c r="G51" s="18">
        <f t="shared" si="3"/>
        <v>0.05353252547</v>
      </c>
      <c r="H51" s="8">
        <v>2969.0</v>
      </c>
      <c r="I51" s="8">
        <v>1106.3333612680435</v>
      </c>
      <c r="J51" s="8">
        <v>16271.0</v>
      </c>
      <c r="K51" s="18">
        <f t="shared" si="4"/>
        <v>0.1824718825</v>
      </c>
      <c r="L51" s="18">
        <f t="shared" si="5"/>
        <v>0.3726282793</v>
      </c>
      <c r="M51" s="18">
        <f t="shared" si="6"/>
        <v>0.06799418359</v>
      </c>
      <c r="N51" s="18">
        <f t="shared" si="7"/>
        <v>1.27014713</v>
      </c>
      <c r="T51" s="18"/>
      <c r="U51" s="18"/>
      <c r="V51" s="18"/>
      <c r="W51" s="18"/>
    </row>
    <row r="52" ht="15.75" customHeight="1">
      <c r="A52" s="8">
        <v>20403.0</v>
      </c>
      <c r="B52" s="8">
        <v>204.0</v>
      </c>
      <c r="C52" s="8">
        <v>74.111113011837</v>
      </c>
      <c r="D52" s="8">
        <v>1255.0</v>
      </c>
      <c r="E52" s="18">
        <f t="shared" si="1"/>
        <v>0.1625498008</v>
      </c>
      <c r="F52" s="18">
        <f t="shared" si="2"/>
        <v>0.3632897697</v>
      </c>
      <c r="G52" s="18">
        <f t="shared" si="3"/>
        <v>0.05905267969</v>
      </c>
      <c r="H52" s="8">
        <v>2817.0</v>
      </c>
      <c r="I52" s="8">
        <v>1028.6666927337646</v>
      </c>
      <c r="J52" s="8">
        <v>15526.0</v>
      </c>
      <c r="K52" s="18">
        <f t="shared" si="4"/>
        <v>0.1814375886</v>
      </c>
      <c r="L52" s="18">
        <f t="shared" si="5"/>
        <v>0.3651638952</v>
      </c>
      <c r="M52" s="18">
        <f t="shared" si="6"/>
        <v>0.06625445657</v>
      </c>
      <c r="N52" s="18">
        <f t="shared" si="7"/>
        <v>1.121955124</v>
      </c>
      <c r="T52" s="18"/>
      <c r="U52" s="18"/>
      <c r="V52" s="18"/>
      <c r="W52" s="18"/>
    </row>
    <row r="53" ht="15.75" customHeight="1">
      <c r="A53" s="8">
        <v>20404.0</v>
      </c>
      <c r="B53" s="8">
        <v>84.0</v>
      </c>
      <c r="C53" s="8">
        <v>31.777778416872025</v>
      </c>
      <c r="D53" s="8">
        <v>255.0</v>
      </c>
      <c r="E53" s="18">
        <f t="shared" si="1"/>
        <v>0.3294117647</v>
      </c>
      <c r="F53" s="18">
        <f t="shared" si="2"/>
        <v>0.3783068859</v>
      </c>
      <c r="G53" s="18">
        <f t="shared" si="3"/>
        <v>0.1246187389</v>
      </c>
      <c r="H53" s="8">
        <v>1432.0</v>
      </c>
      <c r="I53" s="8">
        <v>550.8889029026031</v>
      </c>
      <c r="J53" s="8">
        <v>5353.0</v>
      </c>
      <c r="K53" s="18">
        <f t="shared" si="4"/>
        <v>0.2675135438</v>
      </c>
      <c r="L53" s="18">
        <f t="shared" si="5"/>
        <v>0.3846989545</v>
      </c>
      <c r="M53" s="18">
        <f t="shared" si="6"/>
        <v>0.1029121806</v>
      </c>
      <c r="N53" s="18">
        <f t="shared" si="7"/>
        <v>0.825816258</v>
      </c>
      <c r="T53" s="18"/>
      <c r="U53" s="18"/>
      <c r="V53" s="18"/>
      <c r="W53" s="18"/>
    </row>
    <row r="54" ht="15.75" customHeight="1">
      <c r="A54" s="8">
        <v>20405.0</v>
      </c>
      <c r="B54" s="8">
        <v>171.0</v>
      </c>
      <c r="C54" s="8">
        <v>64.11111262440681</v>
      </c>
      <c r="D54" s="8">
        <v>821.0</v>
      </c>
      <c r="E54" s="18">
        <f t="shared" si="1"/>
        <v>0.2082825822</v>
      </c>
      <c r="F54" s="18">
        <f t="shared" si="2"/>
        <v>0.3749187873</v>
      </c>
      <c r="G54" s="18">
        <f t="shared" si="3"/>
        <v>0.07808905314</v>
      </c>
      <c r="H54" s="8">
        <v>1778.0</v>
      </c>
      <c r="I54" s="8">
        <v>668.7777940928936</v>
      </c>
      <c r="J54" s="8">
        <v>7893.0</v>
      </c>
      <c r="K54" s="18">
        <f t="shared" si="4"/>
        <v>0.2252628912</v>
      </c>
      <c r="L54" s="18">
        <f t="shared" si="5"/>
        <v>0.3761404916</v>
      </c>
      <c r="M54" s="18">
        <f t="shared" si="6"/>
        <v>0.08473049463</v>
      </c>
      <c r="N54" s="18">
        <f t="shared" si="7"/>
        <v>1.085049584</v>
      </c>
      <c r="T54" s="18"/>
      <c r="U54" s="18"/>
      <c r="V54" s="18"/>
      <c r="W54" s="18"/>
    </row>
    <row r="55" ht="15.75" customHeight="1">
      <c r="A55" s="8">
        <v>20501.0</v>
      </c>
      <c r="B55" s="8">
        <v>116.0</v>
      </c>
      <c r="C55" s="8">
        <v>43.88888981938362</v>
      </c>
      <c r="D55" s="8">
        <v>801.0</v>
      </c>
      <c r="E55" s="18">
        <f t="shared" si="1"/>
        <v>0.1448189763</v>
      </c>
      <c r="F55" s="18">
        <f t="shared" si="2"/>
        <v>0.3783524984</v>
      </c>
      <c r="G55" s="18">
        <f t="shared" si="3"/>
        <v>0.0547926215</v>
      </c>
      <c r="H55" s="8">
        <v>2431.0</v>
      </c>
      <c r="I55" s="8">
        <v>912.0000230371952</v>
      </c>
      <c r="J55" s="8">
        <v>16656.0</v>
      </c>
      <c r="K55" s="18">
        <f t="shared" si="4"/>
        <v>0.1459534102</v>
      </c>
      <c r="L55" s="18">
        <f t="shared" si="5"/>
        <v>0.375154267</v>
      </c>
      <c r="M55" s="18">
        <f t="shared" si="6"/>
        <v>0.05475504461</v>
      </c>
      <c r="N55" s="18">
        <f t="shared" si="7"/>
        <v>0.9993141981</v>
      </c>
      <c r="T55" s="18"/>
      <c r="U55" s="18"/>
      <c r="V55" s="18"/>
      <c r="W55" s="18"/>
    </row>
    <row r="56" ht="15.75" customHeight="1">
      <c r="A56" s="8">
        <v>20502.0</v>
      </c>
      <c r="B56" s="8">
        <v>104.0</v>
      </c>
      <c r="C56" s="8">
        <v>39.00000077486038</v>
      </c>
      <c r="D56" s="8">
        <v>675.0</v>
      </c>
      <c r="E56" s="18">
        <f t="shared" si="1"/>
        <v>0.1540740741</v>
      </c>
      <c r="F56" s="18">
        <f t="shared" si="2"/>
        <v>0.3750000075</v>
      </c>
      <c r="G56" s="18">
        <f t="shared" si="3"/>
        <v>0.05777777893</v>
      </c>
      <c r="H56" s="8">
        <v>1792.0</v>
      </c>
      <c r="I56" s="8">
        <v>684.2222398221493</v>
      </c>
      <c r="J56" s="8">
        <v>8114.0</v>
      </c>
      <c r="K56" s="18">
        <f t="shared" si="4"/>
        <v>0.2208528469</v>
      </c>
      <c r="L56" s="18">
        <f t="shared" si="5"/>
        <v>0.3818204463</v>
      </c>
      <c r="M56" s="18">
        <f t="shared" si="6"/>
        <v>0.08432613259</v>
      </c>
      <c r="N56" s="18">
        <f t="shared" si="7"/>
        <v>1.459490727</v>
      </c>
      <c r="T56" s="18"/>
      <c r="U56" s="18"/>
      <c r="V56" s="18"/>
      <c r="W56" s="18"/>
    </row>
    <row r="57" ht="15.75" customHeight="1">
      <c r="A57" s="8">
        <v>20503.0</v>
      </c>
      <c r="B57" s="8">
        <v>102.0</v>
      </c>
      <c r="C57" s="8">
        <v>37.11111205816269</v>
      </c>
      <c r="D57" s="8">
        <v>692.0</v>
      </c>
      <c r="E57" s="18">
        <f t="shared" si="1"/>
        <v>0.1473988439</v>
      </c>
      <c r="F57" s="18">
        <f t="shared" si="2"/>
        <v>0.3638344319</v>
      </c>
      <c r="G57" s="18">
        <f t="shared" si="3"/>
        <v>0.05362877465</v>
      </c>
      <c r="H57" s="8">
        <v>1160.0</v>
      </c>
      <c r="I57" s="8">
        <v>442.0000114142895</v>
      </c>
      <c r="J57" s="8">
        <v>5640.0</v>
      </c>
      <c r="K57" s="18">
        <f t="shared" si="4"/>
        <v>0.2056737589</v>
      </c>
      <c r="L57" s="18">
        <f t="shared" si="5"/>
        <v>0.3810344926</v>
      </c>
      <c r="M57" s="18">
        <f t="shared" si="6"/>
        <v>0.07836879635</v>
      </c>
      <c r="N57" s="18">
        <f t="shared" si="7"/>
        <v>1.461319914</v>
      </c>
      <c r="T57" s="18"/>
      <c r="U57" s="18"/>
      <c r="V57" s="18"/>
      <c r="W57" s="18"/>
    </row>
    <row r="58" ht="15.75" customHeight="1">
      <c r="A58" s="8">
        <v>20601.0</v>
      </c>
      <c r="B58" s="8">
        <v>358.0</v>
      </c>
      <c r="C58" s="8">
        <v>126.77778121829033</v>
      </c>
      <c r="D58" s="8">
        <v>2482.0</v>
      </c>
      <c r="E58" s="18">
        <f t="shared" si="1"/>
        <v>0.1442385173</v>
      </c>
      <c r="F58" s="18">
        <f t="shared" si="2"/>
        <v>0.3541278805</v>
      </c>
      <c r="G58" s="18">
        <f t="shared" si="3"/>
        <v>0.05107888043</v>
      </c>
      <c r="H58" s="8">
        <v>3942.0</v>
      </c>
      <c r="I58" s="8">
        <v>1452.3333700299263</v>
      </c>
      <c r="J58" s="8">
        <v>26780.0</v>
      </c>
      <c r="K58" s="18">
        <f t="shared" si="4"/>
        <v>0.1471994025</v>
      </c>
      <c r="L58" s="18">
        <f t="shared" si="5"/>
        <v>0.3684255124</v>
      </c>
      <c r="M58" s="18">
        <f t="shared" si="6"/>
        <v>0.05423201531</v>
      </c>
      <c r="N58" s="18">
        <f t="shared" si="7"/>
        <v>1.061730697</v>
      </c>
      <c r="T58" s="18"/>
      <c r="U58" s="18"/>
      <c r="V58" s="18"/>
      <c r="W58" s="18"/>
    </row>
    <row r="59" ht="15.75" customHeight="1">
      <c r="A59" s="8">
        <v>20602.0</v>
      </c>
      <c r="B59" s="8">
        <v>204.0</v>
      </c>
      <c r="C59" s="8">
        <v>76.22222399711609</v>
      </c>
      <c r="D59" s="8">
        <v>1901.0</v>
      </c>
      <c r="E59" s="18">
        <f t="shared" si="1"/>
        <v>0.1073119411</v>
      </c>
      <c r="F59" s="18">
        <f t="shared" si="2"/>
        <v>0.3736383529</v>
      </c>
      <c r="G59" s="18">
        <f t="shared" si="3"/>
        <v>0.04009585692</v>
      </c>
      <c r="H59" s="8">
        <v>1731.0</v>
      </c>
      <c r="I59" s="8">
        <v>650.6666823923588</v>
      </c>
      <c r="J59" s="8">
        <v>13838.0</v>
      </c>
      <c r="K59" s="18">
        <f t="shared" si="4"/>
        <v>0.125090331</v>
      </c>
      <c r="L59" s="18">
        <f t="shared" si="5"/>
        <v>0.3758906311</v>
      </c>
      <c r="M59" s="18">
        <f t="shared" si="6"/>
        <v>0.04702028345</v>
      </c>
      <c r="N59" s="18">
        <f t="shared" si="7"/>
        <v>1.172696809</v>
      </c>
      <c r="T59" s="18"/>
      <c r="U59" s="18"/>
      <c r="V59" s="18"/>
      <c r="W59" s="18"/>
    </row>
    <row r="60" ht="15.75" customHeight="1">
      <c r="A60" s="8">
        <v>20603.0</v>
      </c>
      <c r="B60" s="8">
        <v>253.0</v>
      </c>
      <c r="C60" s="8">
        <v>92.44444677233696</v>
      </c>
      <c r="D60" s="8">
        <v>1110.0</v>
      </c>
      <c r="E60" s="18">
        <f t="shared" si="1"/>
        <v>0.2279279279</v>
      </c>
      <c r="F60" s="18">
        <f t="shared" si="2"/>
        <v>0.3653930702</v>
      </c>
      <c r="G60" s="18">
        <f t="shared" si="3"/>
        <v>0.08328328538</v>
      </c>
      <c r="H60" s="8">
        <v>1528.0</v>
      </c>
      <c r="I60" s="8">
        <v>576.2222369909286</v>
      </c>
      <c r="J60" s="8">
        <v>8237.0</v>
      </c>
      <c r="K60" s="18">
        <f t="shared" si="4"/>
        <v>0.1855044312</v>
      </c>
      <c r="L60" s="18">
        <f t="shared" si="5"/>
        <v>0.3771087938</v>
      </c>
      <c r="M60" s="18">
        <f t="shared" si="6"/>
        <v>0.06995535231</v>
      </c>
      <c r="N60" s="18">
        <f t="shared" si="7"/>
        <v>0.8399686923</v>
      </c>
      <c r="T60" s="18"/>
      <c r="U60" s="18"/>
      <c r="V60" s="18"/>
      <c r="W60" s="18"/>
    </row>
    <row r="61" ht="15.75" customHeight="1">
      <c r="A61" s="8">
        <v>20604.0</v>
      </c>
      <c r="B61" s="8">
        <v>44.0</v>
      </c>
      <c r="C61" s="8">
        <v>16.444444805383682</v>
      </c>
      <c r="D61" s="8">
        <v>225.0</v>
      </c>
      <c r="E61" s="18">
        <f t="shared" si="1"/>
        <v>0.1955555556</v>
      </c>
      <c r="F61" s="18">
        <f t="shared" si="2"/>
        <v>0.3737373819</v>
      </c>
      <c r="G61" s="18">
        <f t="shared" si="3"/>
        <v>0.07308642136</v>
      </c>
      <c r="H61" s="8">
        <v>915.0</v>
      </c>
      <c r="I61" s="8">
        <v>347.11111974716187</v>
      </c>
      <c r="J61" s="8">
        <v>3859.0</v>
      </c>
      <c r="K61" s="18">
        <f t="shared" si="4"/>
        <v>0.2371080591</v>
      </c>
      <c r="L61" s="18">
        <f t="shared" si="5"/>
        <v>0.379356415</v>
      </c>
      <c r="M61" s="18">
        <f t="shared" si="6"/>
        <v>0.08994846327</v>
      </c>
      <c r="N61" s="18">
        <f t="shared" si="7"/>
        <v>1.230713744</v>
      </c>
      <c r="T61" s="18"/>
      <c r="U61" s="18"/>
      <c r="V61" s="18"/>
      <c r="W61" s="18"/>
    </row>
    <row r="62" ht="15.75" customHeight="1">
      <c r="A62" s="8">
        <v>20605.0</v>
      </c>
      <c r="B62" s="8">
        <v>25.0</v>
      </c>
      <c r="C62" s="8">
        <v>8.444444686174393</v>
      </c>
      <c r="D62" s="8">
        <v>262.0</v>
      </c>
      <c r="E62" s="18">
        <f t="shared" si="1"/>
        <v>0.09541984733</v>
      </c>
      <c r="F62" s="18">
        <f t="shared" si="2"/>
        <v>0.3377777874</v>
      </c>
      <c r="G62" s="18">
        <f t="shared" si="3"/>
        <v>0.03223070491</v>
      </c>
      <c r="H62" s="8">
        <v>574.0</v>
      </c>
      <c r="I62" s="8">
        <v>217.00000470876694</v>
      </c>
      <c r="J62" s="8">
        <v>3196.0</v>
      </c>
      <c r="K62" s="18">
        <f t="shared" si="4"/>
        <v>0.1795994994</v>
      </c>
      <c r="L62" s="18">
        <f t="shared" si="5"/>
        <v>0.3780487887</v>
      </c>
      <c r="M62" s="18">
        <f t="shared" si="6"/>
        <v>0.06789737319</v>
      </c>
      <c r="N62" s="18">
        <f t="shared" si="7"/>
        <v>2.106605282</v>
      </c>
      <c r="T62" s="18"/>
      <c r="U62" s="18"/>
      <c r="V62" s="18"/>
      <c r="W62" s="18"/>
    </row>
    <row r="63" ht="15.75" customHeight="1">
      <c r="A63" s="8">
        <v>20606.0</v>
      </c>
      <c r="B63" s="8">
        <v>102.0</v>
      </c>
      <c r="C63" s="8">
        <v>35.8888897895813</v>
      </c>
      <c r="D63" s="8">
        <v>1305.0</v>
      </c>
      <c r="E63" s="18">
        <f t="shared" si="1"/>
        <v>0.07816091954</v>
      </c>
      <c r="F63" s="18">
        <f t="shared" si="2"/>
        <v>0.3518518607</v>
      </c>
      <c r="G63" s="18">
        <f t="shared" si="3"/>
        <v>0.02750106497</v>
      </c>
      <c r="H63" s="8">
        <v>491.0</v>
      </c>
      <c r="I63" s="8">
        <v>175.3333376646042</v>
      </c>
      <c r="J63" s="8">
        <v>6159.0</v>
      </c>
      <c r="K63" s="18">
        <f t="shared" si="4"/>
        <v>0.07972073389</v>
      </c>
      <c r="L63" s="18">
        <f t="shared" si="5"/>
        <v>0.3570943741</v>
      </c>
      <c r="M63" s="18">
        <f t="shared" si="6"/>
        <v>0.02846782557</v>
      </c>
      <c r="N63" s="18">
        <f t="shared" si="7"/>
        <v>1.035153569</v>
      </c>
      <c r="T63" s="18"/>
      <c r="U63" s="18"/>
      <c r="V63" s="18"/>
      <c r="W63" s="18"/>
    </row>
    <row r="64" ht="15.75" customHeight="1">
      <c r="A64" s="8">
        <v>20607.0</v>
      </c>
      <c r="B64" s="8">
        <v>242.0</v>
      </c>
      <c r="C64" s="8">
        <v>89.8888911306858</v>
      </c>
      <c r="D64" s="8">
        <v>3586.0</v>
      </c>
      <c r="E64" s="18">
        <f t="shared" si="1"/>
        <v>0.06748466258</v>
      </c>
      <c r="F64" s="18">
        <f t="shared" si="2"/>
        <v>0.3714416989</v>
      </c>
      <c r="G64" s="18">
        <f t="shared" si="3"/>
        <v>0.02506661772</v>
      </c>
      <c r="H64" s="8">
        <v>919.0</v>
      </c>
      <c r="I64" s="8">
        <v>342.66667515039444</v>
      </c>
      <c r="J64" s="8">
        <v>16073.0</v>
      </c>
      <c r="K64" s="18">
        <f t="shared" si="4"/>
        <v>0.05717663162</v>
      </c>
      <c r="L64" s="18">
        <f t="shared" si="5"/>
        <v>0.3728690698</v>
      </c>
      <c r="M64" s="18">
        <f t="shared" si="6"/>
        <v>0.02131939745</v>
      </c>
      <c r="N64" s="18">
        <f t="shared" si="7"/>
        <v>0.8505095377</v>
      </c>
      <c r="T64" s="18"/>
      <c r="U64" s="18"/>
      <c r="V64" s="18"/>
      <c r="W64" s="18"/>
    </row>
    <row r="65" ht="15.75" customHeight="1">
      <c r="A65" s="8">
        <v>20608.0</v>
      </c>
      <c r="B65" s="8">
        <v>468.0</v>
      </c>
      <c r="C65" s="8">
        <v>185.00000488758087</v>
      </c>
      <c r="D65" s="8">
        <v>1913.0</v>
      </c>
      <c r="E65" s="18">
        <f t="shared" si="1"/>
        <v>0.2446419237</v>
      </c>
      <c r="F65" s="18">
        <f t="shared" si="2"/>
        <v>0.3952991557</v>
      </c>
      <c r="G65" s="18">
        <f t="shared" si="3"/>
        <v>0.09670674589</v>
      </c>
      <c r="H65" s="8">
        <v>2311.0</v>
      </c>
      <c r="I65" s="8">
        <v>859.6666875779629</v>
      </c>
      <c r="J65" s="8">
        <v>10720.0</v>
      </c>
      <c r="K65" s="18">
        <f t="shared" si="4"/>
        <v>0.2155783582</v>
      </c>
      <c r="L65" s="18">
        <f t="shared" si="5"/>
        <v>0.371989047</v>
      </c>
      <c r="M65" s="18">
        <f t="shared" si="6"/>
        <v>0.08019278802</v>
      </c>
      <c r="N65" s="18">
        <f t="shared" si="7"/>
        <v>0.8292367537</v>
      </c>
      <c r="T65" s="18"/>
      <c r="U65" s="18"/>
      <c r="V65" s="18"/>
      <c r="W65" s="18"/>
    </row>
    <row r="66" ht="15.75" customHeight="1">
      <c r="A66" s="8">
        <v>20701.0</v>
      </c>
      <c r="B66" s="8">
        <v>399.0</v>
      </c>
      <c r="C66" s="8">
        <v>168.66667112708092</v>
      </c>
      <c r="D66" s="8">
        <v>2228.0</v>
      </c>
      <c r="E66" s="18">
        <f t="shared" si="1"/>
        <v>0.1790843806</v>
      </c>
      <c r="F66" s="18">
        <f t="shared" si="2"/>
        <v>0.4227234865</v>
      </c>
      <c r="G66" s="18">
        <f t="shared" si="3"/>
        <v>0.07570317376</v>
      </c>
      <c r="H66" s="8">
        <v>3463.0</v>
      </c>
      <c r="I66" s="8">
        <v>1387.3333689570427</v>
      </c>
      <c r="J66" s="8">
        <v>15851.0</v>
      </c>
      <c r="K66" s="18">
        <f t="shared" si="4"/>
        <v>0.2184720207</v>
      </c>
      <c r="L66" s="18">
        <f t="shared" si="5"/>
        <v>0.4006160465</v>
      </c>
      <c r="M66" s="18">
        <f t="shared" si="6"/>
        <v>0.0875233972</v>
      </c>
      <c r="N66" s="18">
        <f t="shared" si="7"/>
        <v>1.156139074</v>
      </c>
      <c r="T66" s="18"/>
      <c r="U66" s="18"/>
      <c r="V66" s="18"/>
      <c r="W66" s="18"/>
    </row>
    <row r="67" ht="15.75" customHeight="1">
      <c r="A67" s="8">
        <v>20702.0</v>
      </c>
      <c r="B67" s="8">
        <v>102.0</v>
      </c>
      <c r="C67" s="8">
        <v>36.66666769981384</v>
      </c>
      <c r="D67" s="8">
        <v>651.0</v>
      </c>
      <c r="E67" s="18">
        <f t="shared" si="1"/>
        <v>0.1566820276</v>
      </c>
      <c r="F67" s="18">
        <f t="shared" si="2"/>
        <v>0.3594771343</v>
      </c>
      <c r="G67" s="18">
        <f t="shared" si="3"/>
        <v>0.0563236063</v>
      </c>
      <c r="H67" s="8">
        <v>1094.0</v>
      </c>
      <c r="I67" s="8">
        <v>401.4444543123245</v>
      </c>
      <c r="J67" s="8">
        <v>7656.0</v>
      </c>
      <c r="K67" s="18">
        <f t="shared" si="4"/>
        <v>0.1428944619</v>
      </c>
      <c r="L67" s="18">
        <f t="shared" si="5"/>
        <v>0.3669510551</v>
      </c>
      <c r="M67" s="18">
        <f t="shared" si="6"/>
        <v>0.05243527355</v>
      </c>
      <c r="N67" s="18">
        <f t="shared" si="7"/>
        <v>0.9309644215</v>
      </c>
      <c r="T67" s="18"/>
      <c r="U67" s="18"/>
      <c r="V67" s="18"/>
      <c r="W67" s="18"/>
    </row>
    <row r="68" ht="15.75" customHeight="1">
      <c r="A68" s="8">
        <v>20801.0</v>
      </c>
      <c r="B68" s="8">
        <v>1909.0</v>
      </c>
      <c r="C68" s="8">
        <v>685.111128538847</v>
      </c>
      <c r="D68" s="8">
        <v>21924.0</v>
      </c>
      <c r="E68" s="18">
        <f t="shared" si="1"/>
        <v>0.08707352673</v>
      </c>
      <c r="F68" s="18">
        <f t="shared" si="2"/>
        <v>0.3588848238</v>
      </c>
      <c r="G68" s="18">
        <f t="shared" si="3"/>
        <v>0.03124936729</v>
      </c>
      <c r="H68" s="8">
        <v>4634.0</v>
      </c>
      <c r="I68" s="8">
        <v>1682.6667091548443</v>
      </c>
      <c r="J68" s="8">
        <v>87490.0</v>
      </c>
      <c r="K68" s="18">
        <f t="shared" si="4"/>
        <v>0.05296605326</v>
      </c>
      <c r="L68" s="18">
        <f t="shared" si="5"/>
        <v>0.3631132303</v>
      </c>
      <c r="M68" s="18">
        <f t="shared" si="6"/>
        <v>0.0192326747</v>
      </c>
      <c r="N68" s="18">
        <f t="shared" si="7"/>
        <v>0.6154580512</v>
      </c>
      <c r="T68" s="18"/>
      <c r="U68" s="18"/>
      <c r="V68" s="18"/>
      <c r="W68" s="18"/>
    </row>
    <row r="69" ht="15.75" customHeight="1">
      <c r="A69" s="8">
        <v>20802.0</v>
      </c>
      <c r="B69" s="8">
        <v>55.0</v>
      </c>
      <c r="C69" s="8">
        <v>19.444444954395294</v>
      </c>
      <c r="D69" s="8">
        <v>990.0</v>
      </c>
      <c r="E69" s="18">
        <f t="shared" si="1"/>
        <v>0.05555555556</v>
      </c>
      <c r="F69" s="18">
        <f t="shared" si="2"/>
        <v>0.3535353628</v>
      </c>
      <c r="G69" s="18">
        <f t="shared" si="3"/>
        <v>0.01964085349</v>
      </c>
      <c r="H69" s="8">
        <v>573.0</v>
      </c>
      <c r="I69" s="8">
        <v>208.888894200325</v>
      </c>
      <c r="J69" s="8">
        <v>7068.0</v>
      </c>
      <c r="K69" s="18">
        <f t="shared" si="4"/>
        <v>0.08106960951</v>
      </c>
      <c r="L69" s="18">
        <f t="shared" si="5"/>
        <v>0.364553044</v>
      </c>
      <c r="M69" s="18">
        <f t="shared" si="6"/>
        <v>0.02955417292</v>
      </c>
      <c r="N69" s="18">
        <f t="shared" si="7"/>
        <v>1.504729565</v>
      </c>
      <c r="T69" s="18"/>
      <c r="U69" s="18"/>
      <c r="V69" s="18"/>
      <c r="W69" s="18"/>
    </row>
    <row r="70" ht="15.75" customHeight="1">
      <c r="A70" s="8">
        <v>20803.0</v>
      </c>
      <c r="B70" s="8">
        <v>92.0</v>
      </c>
      <c r="C70" s="8">
        <v>33.888889759778976</v>
      </c>
      <c r="D70" s="8">
        <v>772.0</v>
      </c>
      <c r="E70" s="18">
        <f t="shared" si="1"/>
        <v>0.1191709845</v>
      </c>
      <c r="F70" s="18">
        <f t="shared" si="2"/>
        <v>0.3683574974</v>
      </c>
      <c r="G70" s="18">
        <f t="shared" si="3"/>
        <v>0.0438975256</v>
      </c>
      <c r="H70" s="8">
        <v>2519.0</v>
      </c>
      <c r="I70" s="8">
        <v>978.6666904091835</v>
      </c>
      <c r="J70" s="8">
        <v>12631.0</v>
      </c>
      <c r="K70" s="18">
        <f t="shared" si="4"/>
        <v>0.1994299739</v>
      </c>
      <c r="L70" s="18">
        <f t="shared" si="5"/>
        <v>0.38851397</v>
      </c>
      <c r="M70" s="18">
        <f t="shared" si="6"/>
        <v>0.07748133089</v>
      </c>
      <c r="N70" s="18">
        <f t="shared" si="7"/>
        <v>1.765050076</v>
      </c>
      <c r="T70" s="18"/>
      <c r="U70" s="18"/>
      <c r="V70" s="18"/>
      <c r="W70" s="18"/>
    </row>
    <row r="71" ht="15.75" customHeight="1">
      <c r="A71" s="8">
        <v>20804.0</v>
      </c>
      <c r="B71" s="8">
        <v>26.0</v>
      </c>
      <c r="C71" s="8">
        <v>9.555555760860443</v>
      </c>
      <c r="D71" s="8">
        <v>562.0</v>
      </c>
      <c r="E71" s="18">
        <f t="shared" si="1"/>
        <v>0.0462633452</v>
      </c>
      <c r="F71" s="18">
        <f t="shared" si="2"/>
        <v>0.3675213754</v>
      </c>
      <c r="G71" s="18">
        <f t="shared" si="3"/>
        <v>0.01700276826</v>
      </c>
      <c r="H71" s="8">
        <v>267.0</v>
      </c>
      <c r="I71" s="8">
        <v>96.00000247359276</v>
      </c>
      <c r="J71" s="8">
        <v>7099.0</v>
      </c>
      <c r="K71" s="18">
        <f t="shared" si="4"/>
        <v>0.03761093112</v>
      </c>
      <c r="L71" s="18">
        <f t="shared" si="5"/>
        <v>0.3595505711</v>
      </c>
      <c r="M71" s="18">
        <f t="shared" si="6"/>
        <v>0.01352303176</v>
      </c>
      <c r="N71" s="18">
        <f t="shared" si="7"/>
        <v>0.7953429439</v>
      </c>
      <c r="T71" s="18"/>
      <c r="U71" s="18"/>
      <c r="V71" s="18"/>
      <c r="W71" s="18"/>
    </row>
    <row r="72" ht="15.75" customHeight="1">
      <c r="A72" s="8">
        <v>20805.0</v>
      </c>
      <c r="B72" s="8">
        <v>68.0</v>
      </c>
      <c r="C72" s="8">
        <v>24.000000596046448</v>
      </c>
      <c r="D72" s="8">
        <v>568.0</v>
      </c>
      <c r="E72" s="18">
        <f t="shared" si="1"/>
        <v>0.1197183099</v>
      </c>
      <c r="F72" s="18">
        <f t="shared" si="2"/>
        <v>0.3529411852</v>
      </c>
      <c r="G72" s="18">
        <f t="shared" si="3"/>
        <v>0.04225352218</v>
      </c>
      <c r="H72" s="8">
        <v>1129.0</v>
      </c>
      <c r="I72" s="8">
        <v>417.0000102221966</v>
      </c>
      <c r="J72" s="8">
        <v>7171.0</v>
      </c>
      <c r="K72" s="18">
        <f t="shared" si="4"/>
        <v>0.1574396876</v>
      </c>
      <c r="L72" s="18">
        <f t="shared" si="5"/>
        <v>0.3693534192</v>
      </c>
      <c r="M72" s="18">
        <f t="shared" si="6"/>
        <v>0.05815088694</v>
      </c>
      <c r="N72" s="18">
        <f t="shared" si="7"/>
        <v>1.376237623</v>
      </c>
      <c r="T72" s="18"/>
      <c r="U72" s="18"/>
      <c r="V72" s="18"/>
      <c r="W72" s="18"/>
    </row>
    <row r="73" ht="15.75" customHeight="1">
      <c r="A73" s="8">
        <v>20806.0</v>
      </c>
      <c r="B73" s="8">
        <v>138.0</v>
      </c>
      <c r="C73" s="8">
        <v>48.44444566965103</v>
      </c>
      <c r="D73" s="8">
        <v>1023.0</v>
      </c>
      <c r="E73" s="18">
        <f t="shared" si="1"/>
        <v>0.1348973607</v>
      </c>
      <c r="F73" s="18">
        <f t="shared" si="2"/>
        <v>0.3510467078</v>
      </c>
      <c r="G73" s="18">
        <f t="shared" si="3"/>
        <v>0.04735527436</v>
      </c>
      <c r="H73" s="8">
        <v>1929.0</v>
      </c>
      <c r="I73" s="8">
        <v>710.3333513438702</v>
      </c>
      <c r="J73" s="8">
        <v>15706.0</v>
      </c>
      <c r="K73" s="18">
        <f t="shared" si="4"/>
        <v>0.1228193047</v>
      </c>
      <c r="L73" s="18">
        <f t="shared" si="5"/>
        <v>0.3682391661</v>
      </c>
      <c r="M73" s="18">
        <f t="shared" si="6"/>
        <v>0.04522687835</v>
      </c>
      <c r="N73" s="18">
        <f t="shared" si="7"/>
        <v>0.9550547212</v>
      </c>
      <c r="T73" s="18"/>
      <c r="U73" s="18"/>
      <c r="V73" s="18"/>
      <c r="W73" s="18"/>
    </row>
    <row r="74" ht="15.75" customHeight="1">
      <c r="A74" s="8">
        <v>20807.0</v>
      </c>
      <c r="B74" s="8">
        <v>106.0</v>
      </c>
      <c r="C74" s="8">
        <v>36.888889849185944</v>
      </c>
      <c r="D74" s="8">
        <v>799.0</v>
      </c>
      <c r="E74" s="18">
        <f t="shared" si="1"/>
        <v>0.1326658323</v>
      </c>
      <c r="F74" s="18">
        <f t="shared" si="2"/>
        <v>0.3480083948</v>
      </c>
      <c r="G74" s="18">
        <f t="shared" si="3"/>
        <v>0.04616882334</v>
      </c>
      <c r="H74" s="8">
        <v>730.0</v>
      </c>
      <c r="I74" s="8">
        <v>267.4444509148598</v>
      </c>
      <c r="J74" s="8">
        <v>6568.0</v>
      </c>
      <c r="K74" s="18">
        <f t="shared" si="4"/>
        <v>0.1111449452</v>
      </c>
      <c r="L74" s="18">
        <f t="shared" si="5"/>
        <v>0.3663622615</v>
      </c>
      <c r="M74" s="18">
        <f t="shared" si="6"/>
        <v>0.04071931348</v>
      </c>
      <c r="N74" s="18">
        <f t="shared" si="7"/>
        <v>0.8819655891</v>
      </c>
      <c r="T74" s="18"/>
      <c r="U74" s="18"/>
      <c r="V74" s="18"/>
      <c r="W74" s="18"/>
    </row>
    <row r="75" ht="15.75" customHeight="1">
      <c r="A75" s="8">
        <v>20901.0</v>
      </c>
      <c r="B75" s="8">
        <v>55.0</v>
      </c>
      <c r="C75" s="8">
        <v>18.888889402151108</v>
      </c>
      <c r="D75" s="8">
        <v>612.0</v>
      </c>
      <c r="E75" s="18">
        <f t="shared" si="1"/>
        <v>0.08986928105</v>
      </c>
      <c r="F75" s="18">
        <f t="shared" si="2"/>
        <v>0.3434343528</v>
      </c>
      <c r="G75" s="18">
        <f t="shared" si="3"/>
        <v>0.03086419837</v>
      </c>
      <c r="H75" s="8">
        <v>1120.0</v>
      </c>
      <c r="I75" s="8">
        <v>409.4444546699524</v>
      </c>
      <c r="J75" s="8">
        <v>9799.0</v>
      </c>
      <c r="K75" s="18">
        <f t="shared" si="4"/>
        <v>0.1142973773</v>
      </c>
      <c r="L75" s="18">
        <f t="shared" si="5"/>
        <v>0.365575406</v>
      </c>
      <c r="M75" s="18">
        <f t="shared" si="6"/>
        <v>0.0417843101</v>
      </c>
      <c r="N75" s="18">
        <f t="shared" si="7"/>
        <v>1.35381161</v>
      </c>
      <c r="T75" s="18"/>
      <c r="U75" s="18"/>
      <c r="V75" s="18"/>
      <c r="W75" s="18"/>
    </row>
    <row r="76" ht="15.75" customHeight="1">
      <c r="A76" s="8">
        <v>20902.0</v>
      </c>
      <c r="B76" s="8">
        <v>124.0</v>
      </c>
      <c r="C76" s="8">
        <v>44.555556654930115</v>
      </c>
      <c r="D76" s="8">
        <v>983.0</v>
      </c>
      <c r="E76" s="18">
        <f t="shared" si="1"/>
        <v>0.1261444557</v>
      </c>
      <c r="F76" s="18">
        <f t="shared" si="2"/>
        <v>0.3593190053</v>
      </c>
      <c r="G76" s="18">
        <f t="shared" si="3"/>
        <v>0.04532610036</v>
      </c>
      <c r="H76" s="8">
        <v>2166.0</v>
      </c>
      <c r="I76" s="8">
        <v>801.0000202953815</v>
      </c>
      <c r="J76" s="8">
        <v>15218.0</v>
      </c>
      <c r="K76" s="18">
        <f t="shared" si="4"/>
        <v>0.1423314496</v>
      </c>
      <c r="L76" s="18">
        <f t="shared" si="5"/>
        <v>0.3698061036</v>
      </c>
      <c r="M76" s="18">
        <f t="shared" si="6"/>
        <v>0.05263503879</v>
      </c>
      <c r="N76" s="18">
        <f t="shared" si="7"/>
        <v>1.161252311</v>
      </c>
      <c r="T76" s="18"/>
      <c r="U76" s="18"/>
      <c r="V76" s="18"/>
      <c r="W76" s="18"/>
    </row>
    <row r="77" ht="15.75" customHeight="1">
      <c r="A77" s="8">
        <v>20903.0</v>
      </c>
      <c r="B77" s="8">
        <v>176.0</v>
      </c>
      <c r="C77" s="8">
        <v>61.666668236255646</v>
      </c>
      <c r="D77" s="8">
        <v>1089.0</v>
      </c>
      <c r="E77" s="18">
        <f t="shared" si="1"/>
        <v>0.1616161616</v>
      </c>
      <c r="F77" s="18">
        <f t="shared" si="2"/>
        <v>0.3503787968</v>
      </c>
      <c r="G77" s="18">
        <f t="shared" si="3"/>
        <v>0.05662687625</v>
      </c>
      <c r="H77" s="8">
        <v>2760.0</v>
      </c>
      <c r="I77" s="8">
        <v>1056.3333593308926</v>
      </c>
      <c r="J77" s="8">
        <v>10980.0</v>
      </c>
      <c r="K77" s="18">
        <f t="shared" si="4"/>
        <v>0.2513661202</v>
      </c>
      <c r="L77" s="18">
        <f t="shared" si="5"/>
        <v>0.382729478</v>
      </c>
      <c r="M77" s="18">
        <f t="shared" si="6"/>
        <v>0.09620522398</v>
      </c>
      <c r="N77" s="18">
        <f t="shared" si="7"/>
        <v>1.698932209</v>
      </c>
      <c r="T77" s="18"/>
      <c r="U77" s="18"/>
      <c r="V77" s="18"/>
      <c r="W77" s="18"/>
    </row>
    <row r="78" ht="15.75" customHeight="1">
      <c r="A78" s="8">
        <v>20904.0</v>
      </c>
      <c r="B78" s="8">
        <v>196.0</v>
      </c>
      <c r="C78" s="8">
        <v>71.88889068365097</v>
      </c>
      <c r="D78" s="8">
        <v>637.0</v>
      </c>
      <c r="E78" s="18">
        <f t="shared" si="1"/>
        <v>0.3076923077</v>
      </c>
      <c r="F78" s="18">
        <f t="shared" si="2"/>
        <v>0.3667800545</v>
      </c>
      <c r="G78" s="18">
        <f t="shared" si="3"/>
        <v>0.1128554014</v>
      </c>
      <c r="H78" s="8">
        <v>944.0</v>
      </c>
      <c r="I78" s="8">
        <v>359.77778708934784</v>
      </c>
      <c r="J78" s="8">
        <v>4515.0</v>
      </c>
      <c r="K78" s="18">
        <f t="shared" si="4"/>
        <v>0.2090808416</v>
      </c>
      <c r="L78" s="18">
        <f t="shared" si="5"/>
        <v>0.3811205372</v>
      </c>
      <c r="M78" s="18">
        <f t="shared" si="6"/>
        <v>0.07968500268</v>
      </c>
      <c r="N78" s="18">
        <f t="shared" si="7"/>
        <v>0.7060805393</v>
      </c>
      <c r="T78" s="18"/>
      <c r="U78" s="18"/>
      <c r="V78" s="18"/>
      <c r="W78" s="18"/>
    </row>
    <row r="79" ht="15.75" customHeight="1">
      <c r="A79" s="8">
        <v>20905.0</v>
      </c>
      <c r="B79" s="8">
        <v>87.0</v>
      </c>
      <c r="C79" s="8">
        <v>30.666667580604553</v>
      </c>
      <c r="D79" s="8">
        <v>855.0</v>
      </c>
      <c r="E79" s="18">
        <f t="shared" si="1"/>
        <v>0.101754386</v>
      </c>
      <c r="F79" s="18">
        <f t="shared" si="2"/>
        <v>0.352490432</v>
      </c>
      <c r="G79" s="18">
        <f t="shared" si="3"/>
        <v>0.03586744746</v>
      </c>
      <c r="H79" s="8">
        <v>2119.0</v>
      </c>
      <c r="I79" s="8">
        <v>789.888907968998</v>
      </c>
      <c r="J79" s="8">
        <v>12478.0</v>
      </c>
      <c r="K79" s="18">
        <f t="shared" si="4"/>
        <v>0.1698188812</v>
      </c>
      <c r="L79" s="18">
        <f t="shared" si="5"/>
        <v>0.3727649401</v>
      </c>
      <c r="M79" s="18">
        <f t="shared" si="6"/>
        <v>0.06330252508</v>
      </c>
      <c r="N79" s="18">
        <f t="shared" si="7"/>
        <v>1.76490187</v>
      </c>
      <c r="T79" s="18"/>
      <c r="U79" s="18"/>
      <c r="V79" s="18"/>
      <c r="W79" s="18"/>
    </row>
    <row r="80" ht="15.75" customHeight="1">
      <c r="A80" s="8">
        <v>21001.0</v>
      </c>
      <c r="B80" s="8">
        <v>333.0</v>
      </c>
      <c r="C80" s="8">
        <v>122.66666954755783</v>
      </c>
      <c r="D80" s="8">
        <v>1253.0</v>
      </c>
      <c r="E80" s="18">
        <f t="shared" si="1"/>
        <v>0.2657621708</v>
      </c>
      <c r="F80" s="18">
        <f t="shared" si="2"/>
        <v>0.368368377</v>
      </c>
      <c r="G80" s="18">
        <f t="shared" si="3"/>
        <v>0.09789837953</v>
      </c>
      <c r="H80" s="8">
        <v>4645.0</v>
      </c>
      <c r="I80" s="8">
        <v>1753.5555979311466</v>
      </c>
      <c r="J80" s="8">
        <v>17180.0</v>
      </c>
      <c r="K80" s="18">
        <f t="shared" si="4"/>
        <v>0.2703725262</v>
      </c>
      <c r="L80" s="18">
        <f t="shared" si="5"/>
        <v>0.3775146605</v>
      </c>
      <c r="M80" s="18">
        <f t="shared" si="6"/>
        <v>0.1020695924</v>
      </c>
      <c r="N80" s="18">
        <f t="shared" si="7"/>
        <v>1.042607579</v>
      </c>
      <c r="T80" s="18"/>
      <c r="U80" s="18"/>
      <c r="V80" s="18"/>
      <c r="W80" s="18"/>
    </row>
    <row r="81" ht="15.75" customHeight="1">
      <c r="A81" s="8">
        <v>21002.0</v>
      </c>
      <c r="B81" s="8">
        <v>103.0</v>
      </c>
      <c r="C81" s="8">
        <v>37.44444537162781</v>
      </c>
      <c r="D81" s="8">
        <v>1222.0</v>
      </c>
      <c r="E81" s="18">
        <f t="shared" si="1"/>
        <v>0.08428805237</v>
      </c>
      <c r="F81" s="18">
        <f t="shared" si="2"/>
        <v>0.3635383046</v>
      </c>
      <c r="G81" s="18">
        <f t="shared" si="3"/>
        <v>0.03064193566</v>
      </c>
      <c r="H81" s="8">
        <v>1321.0</v>
      </c>
      <c r="I81" s="8">
        <v>499.00001180171967</v>
      </c>
      <c r="J81" s="8">
        <v>8709.0</v>
      </c>
      <c r="K81" s="18">
        <f t="shared" si="4"/>
        <v>0.1516821679</v>
      </c>
      <c r="L81" s="18">
        <f t="shared" si="5"/>
        <v>0.3777441422</v>
      </c>
      <c r="M81" s="18">
        <f t="shared" si="6"/>
        <v>0.05729705038</v>
      </c>
      <c r="N81" s="18">
        <f t="shared" si="7"/>
        <v>1.869890043</v>
      </c>
      <c r="T81" s="18"/>
      <c r="U81" s="18"/>
      <c r="V81" s="18"/>
      <c r="W81" s="18"/>
    </row>
    <row r="82" ht="15.75" customHeight="1">
      <c r="A82" s="8">
        <v>21003.0</v>
      </c>
      <c r="B82" s="8">
        <v>193.0</v>
      </c>
      <c r="C82" s="8">
        <v>73.88889068365097</v>
      </c>
      <c r="D82" s="8">
        <v>1382.0</v>
      </c>
      <c r="E82" s="18">
        <f t="shared" si="1"/>
        <v>0.1396526773</v>
      </c>
      <c r="F82" s="18">
        <f t="shared" si="2"/>
        <v>0.3828439932</v>
      </c>
      <c r="G82" s="18">
        <f t="shared" si="3"/>
        <v>0.05346518863</v>
      </c>
      <c r="H82" s="8">
        <v>1288.0</v>
      </c>
      <c r="I82" s="8">
        <v>475.8889004290104</v>
      </c>
      <c r="J82" s="8">
        <v>13838.0</v>
      </c>
      <c r="K82" s="18">
        <f t="shared" si="4"/>
        <v>0.09307703425</v>
      </c>
      <c r="L82" s="18">
        <f t="shared" si="5"/>
        <v>0.36947896</v>
      </c>
      <c r="M82" s="18">
        <f t="shared" si="6"/>
        <v>0.03439000581</v>
      </c>
      <c r="N82" s="18">
        <f t="shared" si="7"/>
        <v>0.6432223788</v>
      </c>
      <c r="T82" s="18"/>
      <c r="U82" s="18"/>
      <c r="V82" s="18"/>
      <c r="W82" s="18"/>
    </row>
    <row r="83" ht="15.75" customHeight="1">
      <c r="A83" s="8">
        <v>21004.0</v>
      </c>
      <c r="B83" s="8">
        <v>239.0</v>
      </c>
      <c r="C83" s="8">
        <v>84.11111325025558</v>
      </c>
      <c r="D83" s="8">
        <v>1545.0</v>
      </c>
      <c r="E83" s="18">
        <f t="shared" si="1"/>
        <v>0.1546925566</v>
      </c>
      <c r="F83" s="18">
        <f t="shared" si="2"/>
        <v>0.3519293441</v>
      </c>
      <c r="G83" s="18">
        <f t="shared" si="3"/>
        <v>0.05444085</v>
      </c>
      <c r="H83" s="8">
        <v>3519.0</v>
      </c>
      <c r="I83" s="8">
        <v>1301.4444772601128</v>
      </c>
      <c r="J83" s="8">
        <v>21178.0</v>
      </c>
      <c r="K83" s="18">
        <f t="shared" si="4"/>
        <v>0.1661629993</v>
      </c>
      <c r="L83" s="18">
        <f t="shared" si="5"/>
        <v>0.369833611</v>
      </c>
      <c r="M83" s="18">
        <f t="shared" si="6"/>
        <v>0.06145266207</v>
      </c>
      <c r="N83" s="18">
        <f t="shared" si="7"/>
        <v>1.128796888</v>
      </c>
      <c r="T83" s="18"/>
      <c r="U83" s="18"/>
      <c r="V83" s="18"/>
      <c r="W83" s="18"/>
    </row>
    <row r="84" ht="15.75" customHeight="1">
      <c r="A84" s="8">
        <v>21005.0</v>
      </c>
      <c r="B84" s="8">
        <v>61.0</v>
      </c>
      <c r="C84" s="8">
        <v>21.000000566244125</v>
      </c>
      <c r="D84" s="8">
        <v>266.0</v>
      </c>
      <c r="E84" s="18">
        <f t="shared" si="1"/>
        <v>0.2293233083</v>
      </c>
      <c r="F84" s="18">
        <f t="shared" si="2"/>
        <v>0.3442623044</v>
      </c>
      <c r="G84" s="18">
        <f t="shared" si="3"/>
        <v>0.07894737055</v>
      </c>
      <c r="H84" s="8">
        <v>3517.0</v>
      </c>
      <c r="I84" s="8">
        <v>1332.2222542762756</v>
      </c>
      <c r="J84" s="8">
        <v>9154.0</v>
      </c>
      <c r="K84" s="18">
        <f t="shared" si="4"/>
        <v>0.3842036268</v>
      </c>
      <c r="L84" s="18">
        <f t="shared" si="5"/>
        <v>0.378795068</v>
      </c>
      <c r="M84" s="18">
        <f t="shared" si="6"/>
        <v>0.145534439</v>
      </c>
      <c r="N84" s="18">
        <f t="shared" si="7"/>
        <v>1.843436177</v>
      </c>
      <c r="T84" s="18"/>
      <c r="U84" s="18"/>
      <c r="V84" s="18"/>
      <c r="W84" s="18"/>
    </row>
    <row r="85" ht="15.75" customHeight="1">
      <c r="A85" s="8">
        <v>21006.0</v>
      </c>
      <c r="B85" s="8">
        <v>25.0</v>
      </c>
      <c r="C85" s="8">
        <v>8.444444686174393</v>
      </c>
      <c r="D85" s="8">
        <v>492.0</v>
      </c>
      <c r="E85" s="18">
        <f t="shared" si="1"/>
        <v>0.05081300813</v>
      </c>
      <c r="F85" s="18">
        <f t="shared" si="2"/>
        <v>0.3377777874</v>
      </c>
      <c r="G85" s="18">
        <f t="shared" si="3"/>
        <v>0.01716350546</v>
      </c>
      <c r="H85" s="8">
        <v>1126.0</v>
      </c>
      <c r="I85" s="8">
        <v>429.7777869403362</v>
      </c>
      <c r="J85" s="8">
        <v>7241.0</v>
      </c>
      <c r="K85" s="18">
        <f t="shared" si="4"/>
        <v>0.1555033835</v>
      </c>
      <c r="L85" s="18">
        <f t="shared" si="5"/>
        <v>0.3816854236</v>
      </c>
      <c r="M85" s="18">
        <f t="shared" si="6"/>
        <v>0.0593533748</v>
      </c>
      <c r="N85" s="18">
        <f t="shared" si="7"/>
        <v>3.458114949</v>
      </c>
      <c r="T85" s="18"/>
      <c r="U85" s="18"/>
      <c r="V85" s="18"/>
      <c r="W85" s="18"/>
    </row>
    <row r="86" ht="15.75" customHeight="1">
      <c r="A86" s="8">
        <v>21101.0</v>
      </c>
      <c r="B86" s="8">
        <v>54.0</v>
      </c>
      <c r="C86" s="8">
        <v>19.222222685813904</v>
      </c>
      <c r="D86" s="8">
        <v>1346.0</v>
      </c>
      <c r="E86" s="18">
        <f t="shared" si="1"/>
        <v>0.04011887073</v>
      </c>
      <c r="F86" s="18">
        <f t="shared" si="2"/>
        <v>0.3559670868</v>
      </c>
      <c r="G86" s="18">
        <f t="shared" si="3"/>
        <v>0.01428099754</v>
      </c>
      <c r="H86" s="8">
        <v>901.0</v>
      </c>
      <c r="I86" s="8">
        <v>328.0000089406967</v>
      </c>
      <c r="J86" s="8">
        <v>16542.0</v>
      </c>
      <c r="K86" s="18">
        <f t="shared" si="4"/>
        <v>0.05446741627</v>
      </c>
      <c r="L86" s="18">
        <f t="shared" si="5"/>
        <v>0.3640399655</v>
      </c>
      <c r="M86" s="18">
        <f t="shared" si="6"/>
        <v>0.01982831634</v>
      </c>
      <c r="N86" s="18">
        <f t="shared" si="7"/>
        <v>1.388440569</v>
      </c>
      <c r="T86" s="18"/>
      <c r="U86" s="18"/>
      <c r="V86" s="18"/>
      <c r="W86" s="18"/>
    </row>
    <row r="87" ht="15.75" customHeight="1">
      <c r="A87" s="8">
        <v>21102.0</v>
      </c>
      <c r="B87" s="8">
        <v>169.0</v>
      </c>
      <c r="C87" s="8">
        <v>60.00000151991844</v>
      </c>
      <c r="D87" s="8">
        <v>2296.0</v>
      </c>
      <c r="E87" s="18">
        <f t="shared" si="1"/>
        <v>0.07360627178</v>
      </c>
      <c r="F87" s="18">
        <f t="shared" si="2"/>
        <v>0.3550295948</v>
      </c>
      <c r="G87" s="18">
        <f t="shared" si="3"/>
        <v>0.02613240484</v>
      </c>
      <c r="H87" s="8">
        <v>2479.0</v>
      </c>
      <c r="I87" s="8">
        <v>907.5555776357651</v>
      </c>
      <c r="J87" s="8">
        <v>19306.0</v>
      </c>
      <c r="K87" s="18">
        <f t="shared" si="4"/>
        <v>0.128405677</v>
      </c>
      <c r="L87" s="18">
        <f t="shared" si="5"/>
        <v>0.3660974496</v>
      </c>
      <c r="M87" s="18">
        <f t="shared" si="6"/>
        <v>0.04700899086</v>
      </c>
      <c r="N87" s="18">
        <f t="shared" si="7"/>
        <v>1.798877338</v>
      </c>
      <c r="T87" s="18"/>
      <c r="U87" s="18"/>
      <c r="V87" s="18"/>
      <c r="W87" s="18"/>
    </row>
    <row r="88" ht="15.75" customHeight="1">
      <c r="A88" s="8">
        <v>21103.0</v>
      </c>
      <c r="B88" s="8">
        <v>58.0</v>
      </c>
      <c r="C88" s="8">
        <v>22.111111849546432</v>
      </c>
      <c r="D88" s="8">
        <v>1003.0</v>
      </c>
      <c r="E88" s="18">
        <f t="shared" si="1"/>
        <v>0.05782652044</v>
      </c>
      <c r="F88" s="18">
        <f t="shared" si="2"/>
        <v>0.3812260664</v>
      </c>
      <c r="G88" s="18">
        <f t="shared" si="3"/>
        <v>0.02204497692</v>
      </c>
      <c r="H88" s="8">
        <v>361.0</v>
      </c>
      <c r="I88" s="8">
        <v>127.00000327825546</v>
      </c>
      <c r="J88" s="8">
        <v>6332.0</v>
      </c>
      <c r="K88" s="18">
        <f t="shared" si="4"/>
        <v>0.05701200253</v>
      </c>
      <c r="L88" s="18">
        <f t="shared" si="5"/>
        <v>0.3518005631</v>
      </c>
      <c r="M88" s="18">
        <f t="shared" si="6"/>
        <v>0.02005685459</v>
      </c>
      <c r="N88" s="18">
        <f t="shared" si="7"/>
        <v>0.9098151777</v>
      </c>
      <c r="T88" s="18"/>
      <c r="U88" s="18"/>
      <c r="V88" s="18"/>
      <c r="W88" s="18"/>
    </row>
    <row r="89" ht="15.75" customHeight="1">
      <c r="A89" s="8">
        <v>21104.0</v>
      </c>
      <c r="B89" s="8">
        <v>752.0</v>
      </c>
      <c r="C89" s="8">
        <v>294.88889622688293</v>
      </c>
      <c r="D89" s="8">
        <v>3176.0</v>
      </c>
      <c r="E89" s="18">
        <f t="shared" si="1"/>
        <v>0.2367758186</v>
      </c>
      <c r="F89" s="18">
        <f t="shared" si="2"/>
        <v>0.3921394897</v>
      </c>
      <c r="G89" s="18">
        <f t="shared" si="3"/>
        <v>0.09284914869</v>
      </c>
      <c r="H89" s="8">
        <v>4934.0</v>
      </c>
      <c r="I89" s="8">
        <v>1850.6667127609253</v>
      </c>
      <c r="J89" s="8">
        <v>23373.0</v>
      </c>
      <c r="K89" s="18">
        <f t="shared" si="4"/>
        <v>0.2110982758</v>
      </c>
      <c r="L89" s="18">
        <f t="shared" si="5"/>
        <v>0.3750844574</v>
      </c>
      <c r="M89" s="18">
        <f t="shared" si="6"/>
        <v>0.07917968223</v>
      </c>
      <c r="N89" s="18">
        <f t="shared" si="7"/>
        <v>0.8527776867</v>
      </c>
      <c r="T89" s="18"/>
      <c r="U89" s="18"/>
      <c r="V89" s="18"/>
      <c r="W89" s="18"/>
    </row>
    <row r="90" ht="15.75" customHeight="1">
      <c r="A90" s="8">
        <v>21105.0</v>
      </c>
      <c r="B90" s="8">
        <v>1000.0</v>
      </c>
      <c r="C90" s="8">
        <v>383.00000977516174</v>
      </c>
      <c r="D90" s="8">
        <v>4411.0</v>
      </c>
      <c r="E90" s="18">
        <f t="shared" si="1"/>
        <v>0.2267059624</v>
      </c>
      <c r="F90" s="18">
        <f t="shared" si="2"/>
        <v>0.3830000098</v>
      </c>
      <c r="G90" s="18">
        <f t="shared" si="3"/>
        <v>0.0868283858</v>
      </c>
      <c r="H90" s="8">
        <v>7827.0</v>
      </c>
      <c r="I90" s="8">
        <v>2949.8889586925507</v>
      </c>
      <c r="J90" s="8">
        <v>40021.0</v>
      </c>
      <c r="K90" s="18">
        <f t="shared" si="4"/>
        <v>0.1955723245</v>
      </c>
      <c r="L90" s="18">
        <f t="shared" si="5"/>
        <v>0.3768862858</v>
      </c>
      <c r="M90" s="18">
        <f t="shared" si="6"/>
        <v>0.07370852699</v>
      </c>
      <c r="N90" s="18">
        <f t="shared" si="7"/>
        <v>0.8488989667</v>
      </c>
      <c r="T90" s="18"/>
      <c r="U90" s="18"/>
      <c r="V90" s="18"/>
      <c r="W90" s="18"/>
    </row>
    <row r="91" ht="15.75" customHeight="1">
      <c r="A91" s="8">
        <v>21201.0</v>
      </c>
      <c r="B91" s="8">
        <v>1081.0</v>
      </c>
      <c r="C91" s="8">
        <v>390.5555652678013</v>
      </c>
      <c r="D91" s="8">
        <v>5985.0</v>
      </c>
      <c r="E91" s="18">
        <f t="shared" si="1"/>
        <v>0.1806182122</v>
      </c>
      <c r="F91" s="18">
        <f t="shared" si="2"/>
        <v>0.3612909947</v>
      </c>
      <c r="G91" s="18">
        <f t="shared" si="3"/>
        <v>0.06525573355</v>
      </c>
      <c r="H91" s="8">
        <v>6323.0</v>
      </c>
      <c r="I91" s="8">
        <v>2343.555613040924</v>
      </c>
      <c r="J91" s="8">
        <v>42613.0</v>
      </c>
      <c r="K91" s="18">
        <f t="shared" si="4"/>
        <v>0.1483819492</v>
      </c>
      <c r="L91" s="18">
        <f t="shared" si="5"/>
        <v>0.3706398249</v>
      </c>
      <c r="M91" s="18">
        <f t="shared" si="6"/>
        <v>0.05499625966</v>
      </c>
      <c r="N91" s="18">
        <f t="shared" si="7"/>
        <v>0.8427804988</v>
      </c>
      <c r="T91" s="18"/>
      <c r="U91" s="18"/>
      <c r="V91" s="18"/>
      <c r="W91" s="18"/>
    </row>
    <row r="92" ht="15.75" customHeight="1">
      <c r="A92" s="8">
        <v>21202.0</v>
      </c>
      <c r="B92" s="8">
        <v>769.0</v>
      </c>
      <c r="C92" s="8">
        <v>275.44445142149925</v>
      </c>
      <c r="D92" s="8">
        <v>6938.0</v>
      </c>
      <c r="E92" s="18">
        <f t="shared" si="1"/>
        <v>0.1108388585</v>
      </c>
      <c r="F92" s="18">
        <f t="shared" si="2"/>
        <v>0.3581852424</v>
      </c>
      <c r="G92" s="18">
        <f t="shared" si="3"/>
        <v>0.03970084339</v>
      </c>
      <c r="H92" s="8">
        <v>4138.0</v>
      </c>
      <c r="I92" s="8">
        <v>1523.5555942058563</v>
      </c>
      <c r="J92" s="8">
        <v>31064.0</v>
      </c>
      <c r="K92" s="18">
        <f t="shared" si="4"/>
        <v>0.1332088591</v>
      </c>
      <c r="L92" s="18">
        <f t="shared" si="5"/>
        <v>0.3681864655</v>
      </c>
      <c r="M92" s="18">
        <f t="shared" si="6"/>
        <v>0.04904569902</v>
      </c>
      <c r="N92" s="18">
        <f t="shared" si="7"/>
        <v>1.235381791</v>
      </c>
      <c r="T92" s="18"/>
      <c r="U92" s="18"/>
      <c r="V92" s="18"/>
      <c r="W92" s="18"/>
    </row>
    <row r="93" ht="15.75" customHeight="1">
      <c r="A93" s="8">
        <v>21203.0</v>
      </c>
      <c r="B93" s="8">
        <v>137.0</v>
      </c>
      <c r="C93" s="8">
        <v>49.55555686354637</v>
      </c>
      <c r="D93" s="8">
        <v>1514.0</v>
      </c>
      <c r="E93" s="18">
        <f t="shared" si="1"/>
        <v>0.09048877147</v>
      </c>
      <c r="F93" s="18">
        <f t="shared" si="2"/>
        <v>0.3617193932</v>
      </c>
      <c r="G93" s="18">
        <f t="shared" si="3"/>
        <v>0.0327315435</v>
      </c>
      <c r="H93" s="8">
        <v>2439.0</v>
      </c>
      <c r="I93" s="8">
        <v>894.7777993083</v>
      </c>
      <c r="J93" s="8">
        <v>18607.0</v>
      </c>
      <c r="K93" s="18">
        <f t="shared" si="4"/>
        <v>0.1310797012</v>
      </c>
      <c r="L93" s="18">
        <f t="shared" si="5"/>
        <v>0.3668625663</v>
      </c>
      <c r="M93" s="18">
        <f t="shared" si="6"/>
        <v>0.04808823557</v>
      </c>
      <c r="N93" s="18">
        <f t="shared" si="7"/>
        <v>1.469171033</v>
      </c>
      <c r="T93" s="18"/>
      <c r="U93" s="18"/>
      <c r="V93" s="18"/>
      <c r="W93" s="18"/>
    </row>
    <row r="94" ht="15.75" customHeight="1">
      <c r="A94" s="8">
        <v>21204.0</v>
      </c>
      <c r="B94" s="8">
        <v>114.0</v>
      </c>
      <c r="C94" s="8">
        <v>42.44444555044174</v>
      </c>
      <c r="D94" s="8">
        <v>704.0</v>
      </c>
      <c r="E94" s="18">
        <f t="shared" si="1"/>
        <v>0.1619318182</v>
      </c>
      <c r="F94" s="18">
        <f t="shared" si="2"/>
        <v>0.3723196978</v>
      </c>
      <c r="G94" s="18">
        <f t="shared" si="3"/>
        <v>0.06029040561</v>
      </c>
      <c r="H94" s="8">
        <v>1023.0</v>
      </c>
      <c r="I94" s="8">
        <v>372.66667580604553</v>
      </c>
      <c r="J94" s="8">
        <v>6997.0</v>
      </c>
      <c r="K94" s="18">
        <f t="shared" si="4"/>
        <v>0.1462055166</v>
      </c>
      <c r="L94" s="18">
        <f t="shared" si="5"/>
        <v>0.3642880506</v>
      </c>
      <c r="M94" s="18">
        <f t="shared" si="6"/>
        <v>0.05326092265</v>
      </c>
      <c r="N94" s="18">
        <f t="shared" si="7"/>
        <v>0.8834062752</v>
      </c>
      <c r="T94" s="18"/>
      <c r="U94" s="18"/>
      <c r="V94" s="18"/>
      <c r="W94" s="18"/>
    </row>
    <row r="95" ht="15.75" customHeight="1">
      <c r="A95" s="8">
        <v>21301.0</v>
      </c>
      <c r="B95" s="8">
        <v>334.0</v>
      </c>
      <c r="C95" s="8">
        <v>119.33333647251129</v>
      </c>
      <c r="D95" s="8">
        <v>2384.0</v>
      </c>
      <c r="E95" s="18">
        <f t="shared" si="1"/>
        <v>0.1401006711</v>
      </c>
      <c r="F95" s="18">
        <f t="shared" si="2"/>
        <v>0.3572854385</v>
      </c>
      <c r="G95" s="18">
        <f t="shared" si="3"/>
        <v>0.05005592973</v>
      </c>
      <c r="H95" s="8">
        <v>5529.0</v>
      </c>
      <c r="I95" s="8">
        <v>2104.2222732305527</v>
      </c>
      <c r="J95" s="8">
        <v>30717.0</v>
      </c>
      <c r="K95" s="18">
        <f t="shared" si="4"/>
        <v>0.1799980467</v>
      </c>
      <c r="L95" s="18">
        <f t="shared" si="5"/>
        <v>0.3805791777</v>
      </c>
      <c r="M95" s="18">
        <f t="shared" si="6"/>
        <v>0.06850350859</v>
      </c>
      <c r="N95" s="18">
        <f t="shared" si="7"/>
        <v>1.368539331</v>
      </c>
      <c r="T95" s="18"/>
      <c r="U95" s="18"/>
      <c r="V95" s="18"/>
      <c r="W95" s="18"/>
    </row>
    <row r="96" ht="15.75" customHeight="1">
      <c r="A96" s="8">
        <v>21302.0</v>
      </c>
      <c r="B96" s="8">
        <v>127.0</v>
      </c>
      <c r="C96" s="8">
        <v>45.777778923511505</v>
      </c>
      <c r="D96" s="8">
        <v>916.0</v>
      </c>
      <c r="E96" s="18">
        <f t="shared" si="1"/>
        <v>0.1386462882</v>
      </c>
      <c r="F96" s="18">
        <f t="shared" si="2"/>
        <v>0.3604549522</v>
      </c>
      <c r="G96" s="18">
        <f t="shared" si="3"/>
        <v>0.04997574118</v>
      </c>
      <c r="H96" s="8">
        <v>1247.0</v>
      </c>
      <c r="I96" s="8">
        <v>457.6666772067547</v>
      </c>
      <c r="J96" s="8">
        <v>7896.0</v>
      </c>
      <c r="K96" s="18">
        <f t="shared" si="4"/>
        <v>0.1579280648</v>
      </c>
      <c r="L96" s="18">
        <f t="shared" si="5"/>
        <v>0.3670141758</v>
      </c>
      <c r="M96" s="18">
        <f t="shared" si="6"/>
        <v>0.05796183855</v>
      </c>
      <c r="N96" s="18">
        <f t="shared" si="7"/>
        <v>1.159799478</v>
      </c>
      <c r="T96" s="18"/>
      <c r="U96" s="18"/>
      <c r="V96" s="18"/>
      <c r="W96" s="18"/>
    </row>
    <row r="97" ht="15.75" customHeight="1">
      <c r="A97" s="8">
        <v>21303.0</v>
      </c>
      <c r="B97" s="8">
        <v>177.0</v>
      </c>
      <c r="C97" s="8">
        <v>63.77777934074402</v>
      </c>
      <c r="D97" s="8">
        <v>750.0</v>
      </c>
      <c r="E97" s="18">
        <f t="shared" si="1"/>
        <v>0.236</v>
      </c>
      <c r="F97" s="18">
        <f t="shared" si="2"/>
        <v>0.360326437</v>
      </c>
      <c r="G97" s="18">
        <f t="shared" si="3"/>
        <v>0.08503703912</v>
      </c>
      <c r="H97" s="8">
        <v>2573.0</v>
      </c>
      <c r="I97" s="8">
        <v>948.5555792152882</v>
      </c>
      <c r="J97" s="8">
        <v>10321.0</v>
      </c>
      <c r="K97" s="18">
        <f t="shared" si="4"/>
        <v>0.2492975487</v>
      </c>
      <c r="L97" s="18">
        <f t="shared" si="5"/>
        <v>0.3686574346</v>
      </c>
      <c r="M97" s="18">
        <f t="shared" si="6"/>
        <v>0.09190539475</v>
      </c>
      <c r="N97" s="18">
        <f t="shared" si="7"/>
        <v>1.080768988</v>
      </c>
      <c r="T97" s="18"/>
      <c r="U97" s="18"/>
      <c r="V97" s="18"/>
      <c r="W97" s="18"/>
    </row>
    <row r="98" ht="15.75" customHeight="1">
      <c r="A98" s="8">
        <v>21304.0</v>
      </c>
      <c r="B98" s="8">
        <v>149.0</v>
      </c>
      <c r="C98" s="8">
        <v>54.66666799783707</v>
      </c>
      <c r="D98" s="8">
        <v>1155.0</v>
      </c>
      <c r="E98" s="18">
        <f t="shared" si="1"/>
        <v>0.129004329</v>
      </c>
      <c r="F98" s="18">
        <f t="shared" si="2"/>
        <v>0.3668903892</v>
      </c>
      <c r="G98" s="18">
        <f t="shared" si="3"/>
        <v>0.04733044848</v>
      </c>
      <c r="H98" s="8">
        <v>1638.0</v>
      </c>
      <c r="I98" s="8">
        <v>599.1111268997192</v>
      </c>
      <c r="J98" s="8">
        <v>13812.0</v>
      </c>
      <c r="K98" s="18">
        <f t="shared" si="4"/>
        <v>0.1185925282</v>
      </c>
      <c r="L98" s="18">
        <f t="shared" si="5"/>
        <v>0.3657577087</v>
      </c>
      <c r="M98" s="18">
        <f t="shared" si="6"/>
        <v>0.0433761314</v>
      </c>
      <c r="N98" s="18">
        <f t="shared" si="7"/>
        <v>0.9164529978</v>
      </c>
      <c r="T98" s="18"/>
      <c r="U98" s="18"/>
      <c r="V98" s="18"/>
      <c r="W98" s="18"/>
    </row>
    <row r="99" ht="15.75" customHeight="1">
      <c r="A99" s="8">
        <v>21305.0</v>
      </c>
      <c r="B99" s="8">
        <v>250.0</v>
      </c>
      <c r="C99" s="8">
        <v>92.22222453355789</v>
      </c>
      <c r="D99" s="8">
        <v>2428.0</v>
      </c>
      <c r="E99" s="18">
        <f t="shared" si="1"/>
        <v>0.1029654036</v>
      </c>
      <c r="F99" s="18">
        <f t="shared" si="2"/>
        <v>0.3688888981</v>
      </c>
      <c r="G99" s="18">
        <f t="shared" si="3"/>
        <v>0.03798279429</v>
      </c>
      <c r="H99" s="8">
        <v>2294.0</v>
      </c>
      <c r="I99" s="8">
        <v>832.6666876673698</v>
      </c>
      <c r="J99" s="8">
        <v>21657.0</v>
      </c>
      <c r="K99" s="18">
        <f t="shared" si="4"/>
        <v>0.1059241816</v>
      </c>
      <c r="L99" s="18">
        <f t="shared" si="5"/>
        <v>0.3629758883</v>
      </c>
      <c r="M99" s="18">
        <f t="shared" si="6"/>
        <v>0.03844792389</v>
      </c>
      <c r="N99" s="18">
        <f t="shared" si="7"/>
        <v>1.012245797</v>
      </c>
      <c r="T99" s="18"/>
      <c r="U99" s="18"/>
      <c r="V99" s="18"/>
      <c r="W99" s="18"/>
    </row>
    <row r="100" ht="15.75" customHeight="1">
      <c r="A100" s="8">
        <v>21306.0</v>
      </c>
      <c r="B100" s="8">
        <v>50.0</v>
      </c>
      <c r="C100" s="8">
        <v>17.666667103767395</v>
      </c>
      <c r="D100" s="8">
        <v>460.0</v>
      </c>
      <c r="E100" s="18">
        <f t="shared" si="1"/>
        <v>0.1086956522</v>
      </c>
      <c r="F100" s="18">
        <f t="shared" si="2"/>
        <v>0.3533333421</v>
      </c>
      <c r="G100" s="18">
        <f t="shared" si="3"/>
        <v>0.03840579805</v>
      </c>
      <c r="H100" s="8">
        <v>1448.0</v>
      </c>
      <c r="I100" s="8">
        <v>533.111123919487</v>
      </c>
      <c r="J100" s="8">
        <v>11581.0</v>
      </c>
      <c r="K100" s="18">
        <f t="shared" si="4"/>
        <v>0.1250323806</v>
      </c>
      <c r="L100" s="18">
        <f t="shared" si="5"/>
        <v>0.3681706657</v>
      </c>
      <c r="M100" s="18">
        <f t="shared" si="6"/>
        <v>0.04603325481</v>
      </c>
      <c r="N100" s="18">
        <f t="shared" si="7"/>
        <v>1.198601699</v>
      </c>
      <c r="T100" s="18"/>
      <c r="U100" s="18"/>
      <c r="V100" s="18"/>
      <c r="W100" s="18"/>
    </row>
    <row r="101" ht="15.75" customHeight="1">
      <c r="A101" s="8">
        <v>21307.0</v>
      </c>
      <c r="B101" s="8">
        <v>38.0</v>
      </c>
      <c r="C101" s="8">
        <v>13.88888931274414</v>
      </c>
      <c r="D101" s="8">
        <v>421.0</v>
      </c>
      <c r="E101" s="18">
        <f t="shared" si="1"/>
        <v>0.09026128266</v>
      </c>
      <c r="F101" s="18">
        <f t="shared" si="2"/>
        <v>0.3654970872</v>
      </c>
      <c r="G101" s="18">
        <f t="shared" si="3"/>
        <v>0.0329902359</v>
      </c>
      <c r="H101" s="8">
        <v>523.0</v>
      </c>
      <c r="I101" s="8">
        <v>198.77778273820877</v>
      </c>
      <c r="J101" s="8">
        <v>4992.0</v>
      </c>
      <c r="K101" s="18">
        <f t="shared" si="4"/>
        <v>0.1047676282</v>
      </c>
      <c r="L101" s="18">
        <f t="shared" si="5"/>
        <v>0.3800722423</v>
      </c>
      <c r="M101" s="18">
        <f t="shared" si="6"/>
        <v>0.03981926738</v>
      </c>
      <c r="N101" s="18">
        <f t="shared" si="7"/>
        <v>1.207001596</v>
      </c>
      <c r="T101" s="18"/>
      <c r="U101" s="18"/>
      <c r="V101" s="18"/>
      <c r="W101" s="18"/>
    </row>
    <row r="102" ht="15.75" customHeight="1">
      <c r="A102" s="8">
        <v>21401.0</v>
      </c>
      <c r="B102" s="8">
        <v>432.0</v>
      </c>
      <c r="C102" s="8">
        <v>154.88889268040657</v>
      </c>
      <c r="D102" s="8">
        <v>3920.0</v>
      </c>
      <c r="E102" s="18">
        <f t="shared" si="1"/>
        <v>0.1102040816</v>
      </c>
      <c r="F102" s="18">
        <f t="shared" si="2"/>
        <v>0.3585391034</v>
      </c>
      <c r="G102" s="18">
        <f t="shared" si="3"/>
        <v>0.03951247262</v>
      </c>
      <c r="H102" s="8">
        <v>2494.0</v>
      </c>
      <c r="I102" s="8">
        <v>903.4444667994976</v>
      </c>
      <c r="J102" s="8">
        <v>22262.0</v>
      </c>
      <c r="K102" s="18">
        <f t="shared" si="4"/>
        <v>0.1120294673</v>
      </c>
      <c r="L102" s="18">
        <f t="shared" si="5"/>
        <v>0.36224718</v>
      </c>
      <c r="M102" s="18">
        <f t="shared" si="6"/>
        <v>0.04058235858</v>
      </c>
      <c r="N102" s="18">
        <f t="shared" si="7"/>
        <v>1.027077171</v>
      </c>
      <c r="T102" s="18"/>
      <c r="U102" s="18"/>
      <c r="V102" s="18"/>
      <c r="W102" s="18"/>
    </row>
    <row r="103" ht="15.75" customHeight="1">
      <c r="A103" s="8">
        <v>21402.0</v>
      </c>
      <c r="B103" s="8">
        <v>94.0</v>
      </c>
      <c r="C103" s="8">
        <v>39.33333423733711</v>
      </c>
      <c r="D103" s="8">
        <v>1432.0</v>
      </c>
      <c r="E103" s="18">
        <f t="shared" si="1"/>
        <v>0.0656424581</v>
      </c>
      <c r="F103" s="18">
        <f t="shared" si="2"/>
        <v>0.4184397259</v>
      </c>
      <c r="G103" s="18">
        <f t="shared" si="3"/>
        <v>0.02746741218</v>
      </c>
      <c r="H103" s="8">
        <v>1168.0</v>
      </c>
      <c r="I103" s="8">
        <v>419.7777889072895</v>
      </c>
      <c r="J103" s="8">
        <v>21137.0</v>
      </c>
      <c r="K103" s="18">
        <f t="shared" si="4"/>
        <v>0.05525855136</v>
      </c>
      <c r="L103" s="18">
        <f t="shared" si="5"/>
        <v>0.3593987919</v>
      </c>
      <c r="M103" s="18">
        <f t="shared" si="6"/>
        <v>0.0198598566</v>
      </c>
      <c r="N103" s="18">
        <f t="shared" si="7"/>
        <v>0.7230334066</v>
      </c>
      <c r="T103" s="18"/>
      <c r="U103" s="18"/>
      <c r="V103" s="18"/>
      <c r="W103" s="18"/>
    </row>
    <row r="104" ht="15.75" customHeight="1">
      <c r="A104" s="8">
        <v>21501.0</v>
      </c>
      <c r="B104" s="8">
        <v>431.0</v>
      </c>
      <c r="C104" s="8">
        <v>170.7777816951275</v>
      </c>
      <c r="D104" s="8">
        <v>1595.0</v>
      </c>
      <c r="E104" s="18">
        <f t="shared" si="1"/>
        <v>0.2702194357</v>
      </c>
      <c r="F104" s="18">
        <f t="shared" si="2"/>
        <v>0.3962361524</v>
      </c>
      <c r="G104" s="18">
        <f t="shared" si="3"/>
        <v>0.1070707095</v>
      </c>
      <c r="H104" s="8">
        <v>2157.0</v>
      </c>
      <c r="I104" s="8">
        <v>864.4444652199745</v>
      </c>
      <c r="J104" s="8">
        <v>9406.0</v>
      </c>
      <c r="K104" s="18">
        <f t="shared" si="4"/>
        <v>0.2293217095</v>
      </c>
      <c r="L104" s="18">
        <f t="shared" si="5"/>
        <v>0.4007623854</v>
      </c>
      <c r="M104" s="18">
        <f t="shared" si="6"/>
        <v>0.09190351533</v>
      </c>
      <c r="N104" s="18">
        <f t="shared" si="7"/>
        <v>0.8583441329</v>
      </c>
      <c r="T104" s="18"/>
      <c r="U104" s="18"/>
      <c r="V104" s="18"/>
      <c r="W104" s="18"/>
    </row>
    <row r="105" ht="15.75" customHeight="1">
      <c r="A105" s="8">
        <v>21502.0</v>
      </c>
      <c r="B105" s="8">
        <v>110.0</v>
      </c>
      <c r="C105" s="8">
        <v>62.33333429694176</v>
      </c>
      <c r="D105" s="8">
        <v>1202.0</v>
      </c>
      <c r="E105" s="18">
        <f t="shared" si="1"/>
        <v>0.09151414309</v>
      </c>
      <c r="F105" s="18">
        <f t="shared" si="2"/>
        <v>0.5666666754</v>
      </c>
      <c r="G105" s="18">
        <f t="shared" si="3"/>
        <v>0.05185801522</v>
      </c>
      <c r="H105" s="8">
        <v>820.0</v>
      </c>
      <c r="I105" s="8">
        <v>312.11111852526665</v>
      </c>
      <c r="J105" s="8">
        <v>8269.0</v>
      </c>
      <c r="K105" s="18">
        <f t="shared" si="4"/>
        <v>0.09916555811</v>
      </c>
      <c r="L105" s="18">
        <f t="shared" si="5"/>
        <v>0.3806233153</v>
      </c>
      <c r="M105" s="18">
        <f t="shared" si="6"/>
        <v>0.03774472349</v>
      </c>
      <c r="N105" s="18">
        <f t="shared" si="7"/>
        <v>0.7278474374</v>
      </c>
      <c r="T105" s="18"/>
      <c r="U105" s="18"/>
      <c r="V105" s="18"/>
      <c r="W105" s="18"/>
    </row>
    <row r="106" ht="15.75" customHeight="1">
      <c r="A106" s="8">
        <v>21601.0</v>
      </c>
      <c r="B106" s="8">
        <v>303.0</v>
      </c>
      <c r="C106" s="8">
        <v>116.22222545742989</v>
      </c>
      <c r="D106" s="8">
        <v>1292.0</v>
      </c>
      <c r="E106" s="18">
        <f t="shared" si="1"/>
        <v>0.2345201238</v>
      </c>
      <c r="F106" s="18">
        <f t="shared" si="2"/>
        <v>0.3835717012</v>
      </c>
      <c r="G106" s="18">
        <f t="shared" si="3"/>
        <v>0.08995528286</v>
      </c>
      <c r="H106" s="8">
        <v>2966.0</v>
      </c>
      <c r="I106" s="8">
        <v>1164.1111404895782</v>
      </c>
      <c r="J106" s="8">
        <v>14164.0</v>
      </c>
      <c r="K106" s="18">
        <f t="shared" si="4"/>
        <v>0.2094041231</v>
      </c>
      <c r="L106" s="18">
        <f t="shared" si="5"/>
        <v>0.3924852126</v>
      </c>
      <c r="M106" s="18">
        <f t="shared" si="6"/>
        <v>0.08218802178</v>
      </c>
      <c r="N106" s="18">
        <f t="shared" si="7"/>
        <v>0.9136541976</v>
      </c>
      <c r="T106" s="18"/>
      <c r="U106" s="18"/>
      <c r="V106" s="18"/>
      <c r="W106" s="18"/>
    </row>
    <row r="107" ht="15.75" customHeight="1">
      <c r="A107" s="8">
        <v>21602.0</v>
      </c>
      <c r="B107" s="8">
        <v>117.0</v>
      </c>
      <c r="C107" s="8">
        <v>47.666667729616165</v>
      </c>
      <c r="D107" s="8">
        <v>435.0</v>
      </c>
      <c r="E107" s="18">
        <f t="shared" si="1"/>
        <v>0.2689655172</v>
      </c>
      <c r="F107" s="18">
        <f t="shared" si="2"/>
        <v>0.4074074165</v>
      </c>
      <c r="G107" s="18">
        <f t="shared" si="3"/>
        <v>0.1095785465</v>
      </c>
      <c r="H107" s="8">
        <v>1713.0</v>
      </c>
      <c r="I107" s="8">
        <v>719.444462031126</v>
      </c>
      <c r="J107" s="8">
        <v>5965.0</v>
      </c>
      <c r="K107" s="18">
        <f t="shared" si="4"/>
        <v>0.2871751886</v>
      </c>
      <c r="L107" s="18">
        <f t="shared" si="5"/>
        <v>0.4199909294</v>
      </c>
      <c r="M107" s="18">
        <f t="shared" si="6"/>
        <v>0.1206109744</v>
      </c>
      <c r="N107" s="18">
        <f t="shared" si="7"/>
        <v>1.100680546</v>
      </c>
      <c r="T107" s="18"/>
      <c r="U107" s="18"/>
      <c r="V107" s="18"/>
      <c r="W107" s="18"/>
    </row>
    <row r="108" ht="15.75" customHeight="1">
      <c r="A108" s="8">
        <v>21701.0</v>
      </c>
      <c r="B108" s="8">
        <v>228.0</v>
      </c>
      <c r="C108" s="8">
        <v>83.22222456336021</v>
      </c>
      <c r="D108" s="8">
        <v>1572.0</v>
      </c>
      <c r="E108" s="18">
        <f t="shared" si="1"/>
        <v>0.1450381679</v>
      </c>
      <c r="F108" s="18">
        <f t="shared" si="2"/>
        <v>0.3650097569</v>
      </c>
      <c r="G108" s="18">
        <f t="shared" si="3"/>
        <v>0.05294034641</v>
      </c>
      <c r="H108" s="8">
        <v>1781.0</v>
      </c>
      <c r="I108" s="8">
        <v>654.5555720329285</v>
      </c>
      <c r="J108" s="8">
        <v>15396.0</v>
      </c>
      <c r="K108" s="18">
        <f t="shared" si="4"/>
        <v>0.1156793972</v>
      </c>
      <c r="L108" s="18">
        <f t="shared" si="5"/>
        <v>0.3675213768</v>
      </c>
      <c r="M108" s="18">
        <f t="shared" si="6"/>
        <v>0.04251465134</v>
      </c>
      <c r="N108" s="18">
        <f t="shared" si="7"/>
        <v>0.8030671165</v>
      </c>
      <c r="T108" s="18"/>
      <c r="U108" s="18"/>
      <c r="V108" s="18"/>
      <c r="W108" s="18"/>
    </row>
    <row r="109" ht="15.75" customHeight="1">
      <c r="A109" s="8">
        <v>21702.0</v>
      </c>
      <c r="B109" s="8">
        <v>154.0</v>
      </c>
      <c r="C109" s="8">
        <v>54.33333474397659</v>
      </c>
      <c r="D109" s="8">
        <v>1252.0</v>
      </c>
      <c r="E109" s="18">
        <f t="shared" si="1"/>
        <v>0.1230031949</v>
      </c>
      <c r="F109" s="18">
        <f t="shared" si="2"/>
        <v>0.352813862</v>
      </c>
      <c r="G109" s="18">
        <f t="shared" si="3"/>
        <v>0.04339723222</v>
      </c>
      <c r="H109" s="8">
        <v>759.0</v>
      </c>
      <c r="I109" s="8">
        <v>273.88889586925507</v>
      </c>
      <c r="J109" s="8">
        <v>7419.0</v>
      </c>
      <c r="K109" s="18">
        <f t="shared" si="4"/>
        <v>0.1023048928</v>
      </c>
      <c r="L109" s="18">
        <f t="shared" si="5"/>
        <v>0.3608549353</v>
      </c>
      <c r="M109" s="18">
        <f t="shared" si="6"/>
        <v>0.03691722548</v>
      </c>
      <c r="N109" s="18">
        <f t="shared" si="7"/>
        <v>0.8506815664</v>
      </c>
      <c r="T109" s="18"/>
      <c r="U109" s="18"/>
      <c r="V109" s="18"/>
      <c r="W109" s="18"/>
    </row>
    <row r="110" ht="15.75" customHeight="1">
      <c r="A110" s="8">
        <v>21703.0</v>
      </c>
      <c r="B110" s="8">
        <v>109.0</v>
      </c>
      <c r="C110" s="8">
        <v>37.111112147569656</v>
      </c>
      <c r="D110" s="8">
        <v>335.0</v>
      </c>
      <c r="E110" s="18">
        <f t="shared" si="1"/>
        <v>0.3253731343</v>
      </c>
      <c r="F110" s="18">
        <f t="shared" si="2"/>
        <v>0.3404689188</v>
      </c>
      <c r="G110" s="18">
        <f t="shared" si="3"/>
        <v>0.1107794392</v>
      </c>
      <c r="H110" s="8">
        <v>1632.0</v>
      </c>
      <c r="I110" s="8">
        <v>620.7777934372425</v>
      </c>
      <c r="J110" s="8">
        <v>6943.0</v>
      </c>
      <c r="K110" s="18">
        <f t="shared" si="4"/>
        <v>0.2350568918</v>
      </c>
      <c r="L110" s="18">
        <f t="shared" si="5"/>
        <v>0.3803785499</v>
      </c>
      <c r="M110" s="18">
        <f t="shared" si="6"/>
        <v>0.08941059966</v>
      </c>
      <c r="N110" s="18">
        <f t="shared" si="7"/>
        <v>0.8071046421</v>
      </c>
      <c r="T110" s="18"/>
      <c r="U110" s="18"/>
      <c r="V110" s="18"/>
      <c r="W110" s="18"/>
    </row>
    <row r="111" ht="15.75" customHeight="1">
      <c r="A111" s="8">
        <v>21801.0</v>
      </c>
      <c r="B111" s="8">
        <v>198.0</v>
      </c>
      <c r="C111" s="8">
        <v>73.22222390770912</v>
      </c>
      <c r="D111" s="8">
        <v>910.0</v>
      </c>
      <c r="E111" s="18">
        <f t="shared" si="1"/>
        <v>0.2175824176</v>
      </c>
      <c r="F111" s="18">
        <f t="shared" si="2"/>
        <v>0.3698092117</v>
      </c>
      <c r="G111" s="18">
        <f t="shared" si="3"/>
        <v>0.08046398232</v>
      </c>
      <c r="H111" s="8">
        <v>1630.0</v>
      </c>
      <c r="I111" s="8">
        <v>600.3333479464054</v>
      </c>
      <c r="J111" s="8">
        <v>8032.0</v>
      </c>
      <c r="K111" s="18">
        <f t="shared" si="4"/>
        <v>0.202938247</v>
      </c>
      <c r="L111" s="18">
        <f t="shared" si="5"/>
        <v>0.3683026675</v>
      </c>
      <c r="M111" s="18">
        <f t="shared" si="6"/>
        <v>0.0747426977</v>
      </c>
      <c r="N111" s="18">
        <f t="shared" si="7"/>
        <v>0.9288963279</v>
      </c>
      <c r="T111" s="18"/>
      <c r="U111" s="18"/>
      <c r="V111" s="18"/>
      <c r="W111" s="18"/>
    </row>
    <row r="112" ht="15.75" customHeight="1">
      <c r="A112" s="8">
        <v>21802.0</v>
      </c>
      <c r="B112" s="8">
        <v>79.0</v>
      </c>
      <c r="C112" s="8">
        <v>27.222222954034805</v>
      </c>
      <c r="D112" s="8">
        <v>373.0</v>
      </c>
      <c r="E112" s="18">
        <f t="shared" si="1"/>
        <v>0.2117962466</v>
      </c>
      <c r="F112" s="18">
        <f t="shared" si="2"/>
        <v>0.3445851007</v>
      </c>
      <c r="G112" s="18">
        <f t="shared" si="3"/>
        <v>0.07298183098</v>
      </c>
      <c r="H112" s="8">
        <v>773.0</v>
      </c>
      <c r="I112" s="8">
        <v>277.2222290933132</v>
      </c>
      <c r="J112" s="8">
        <v>6166.0</v>
      </c>
      <c r="K112" s="18">
        <f t="shared" si="4"/>
        <v>0.1253649043</v>
      </c>
      <c r="L112" s="18">
        <f t="shared" si="5"/>
        <v>0.358631603</v>
      </c>
      <c r="M112" s="18">
        <f t="shared" si="6"/>
        <v>0.04495981659</v>
      </c>
      <c r="N112" s="18">
        <f t="shared" si="7"/>
        <v>0.6160412254</v>
      </c>
      <c r="T112" s="18"/>
      <c r="U112" s="18"/>
      <c r="V112" s="18"/>
      <c r="W112" s="18"/>
    </row>
    <row r="113" ht="15.75" customHeight="1">
      <c r="A113" s="8">
        <v>21803.0</v>
      </c>
      <c r="B113" s="8">
        <v>42.0</v>
      </c>
      <c r="C113" s="8">
        <v>14.444444835186005</v>
      </c>
      <c r="D113" s="8">
        <v>193.0</v>
      </c>
      <c r="E113" s="18">
        <f t="shared" si="1"/>
        <v>0.2176165803</v>
      </c>
      <c r="F113" s="18">
        <f t="shared" si="2"/>
        <v>0.3439153532</v>
      </c>
      <c r="G113" s="18">
        <f t="shared" si="3"/>
        <v>0.07484168308</v>
      </c>
      <c r="H113" s="8">
        <v>467.0</v>
      </c>
      <c r="I113" s="8">
        <v>168.11111563444138</v>
      </c>
      <c r="J113" s="8">
        <v>1844.0</v>
      </c>
      <c r="K113" s="18">
        <f t="shared" si="4"/>
        <v>0.2532537961</v>
      </c>
      <c r="L113" s="18">
        <f t="shared" si="5"/>
        <v>0.3599809757</v>
      </c>
      <c r="M113" s="18">
        <f t="shared" si="6"/>
        <v>0.09116654861</v>
      </c>
      <c r="N113" s="18">
        <f t="shared" si="7"/>
        <v>1.218125313</v>
      </c>
      <c r="T113" s="18"/>
      <c r="U113" s="18"/>
      <c r="V113" s="18"/>
      <c r="W113" s="18"/>
    </row>
    <row r="114" ht="15.75" customHeight="1">
      <c r="A114" s="8">
        <v>21901.0</v>
      </c>
      <c r="B114" s="8">
        <v>26.0</v>
      </c>
      <c r="C114" s="8">
        <v>9.000000238418579</v>
      </c>
      <c r="D114" s="8">
        <v>441.0</v>
      </c>
      <c r="E114" s="18">
        <f t="shared" si="1"/>
        <v>0.0589569161</v>
      </c>
      <c r="F114" s="18">
        <f t="shared" si="2"/>
        <v>0.3461538553</v>
      </c>
      <c r="G114" s="18">
        <f t="shared" si="3"/>
        <v>0.02040816381</v>
      </c>
      <c r="H114" s="8">
        <v>1024.0</v>
      </c>
      <c r="I114" s="8">
        <v>376.77778711915016</v>
      </c>
      <c r="J114" s="8">
        <v>6203.0</v>
      </c>
      <c r="K114" s="18">
        <f t="shared" si="4"/>
        <v>0.1650814122</v>
      </c>
      <c r="L114" s="18">
        <f t="shared" si="5"/>
        <v>0.3679470577</v>
      </c>
      <c r="M114" s="18">
        <f t="shared" si="6"/>
        <v>0.06074121991</v>
      </c>
      <c r="N114" s="18">
        <f t="shared" si="7"/>
        <v>2.976319697</v>
      </c>
      <c r="T114" s="18"/>
      <c r="U114" s="18"/>
      <c r="V114" s="18"/>
      <c r="W114" s="18"/>
    </row>
    <row r="115" ht="15.75" customHeight="1">
      <c r="A115" s="8">
        <v>21902.0</v>
      </c>
      <c r="B115" s="8">
        <v>67.0</v>
      </c>
      <c r="C115" s="8">
        <v>23.00000062584877</v>
      </c>
      <c r="D115" s="8">
        <v>377.0</v>
      </c>
      <c r="E115" s="18">
        <f t="shared" si="1"/>
        <v>0.1777188329</v>
      </c>
      <c r="F115" s="18">
        <f t="shared" si="2"/>
        <v>0.3432835914</v>
      </c>
      <c r="G115" s="18">
        <f t="shared" si="3"/>
        <v>0.06100795922</v>
      </c>
      <c r="H115" s="8">
        <v>756.0</v>
      </c>
      <c r="I115" s="8">
        <v>281.4444509446621</v>
      </c>
      <c r="J115" s="8">
        <v>4758.0</v>
      </c>
      <c r="K115" s="18">
        <f t="shared" si="4"/>
        <v>0.15889029</v>
      </c>
      <c r="L115" s="18">
        <f t="shared" si="5"/>
        <v>0.3722810198</v>
      </c>
      <c r="M115" s="18">
        <f t="shared" si="6"/>
        <v>0.05915183921</v>
      </c>
      <c r="N115" s="18">
        <f t="shared" si="7"/>
        <v>0.9695757728</v>
      </c>
      <c r="T115" s="18"/>
      <c r="U115" s="18"/>
      <c r="V115" s="18"/>
      <c r="W115" s="18"/>
    </row>
    <row r="116" ht="15.75" customHeight="1">
      <c r="A116" s="8">
        <v>22001.0</v>
      </c>
      <c r="B116" s="8">
        <v>838.0</v>
      </c>
      <c r="C116" s="8">
        <v>306.33334082365036</v>
      </c>
      <c r="D116" s="8">
        <v>5989.0</v>
      </c>
      <c r="E116" s="18">
        <f t="shared" si="1"/>
        <v>0.1399231925</v>
      </c>
      <c r="F116" s="18">
        <f t="shared" si="2"/>
        <v>0.3655529127</v>
      </c>
      <c r="G116" s="18">
        <f t="shared" si="3"/>
        <v>0.05114933058</v>
      </c>
      <c r="H116" s="8">
        <v>5968.0</v>
      </c>
      <c r="I116" s="8">
        <v>2242.5556116700172</v>
      </c>
      <c r="J116" s="8">
        <v>51133.0</v>
      </c>
      <c r="K116" s="18">
        <f t="shared" si="4"/>
        <v>0.1167152328</v>
      </c>
      <c r="L116" s="18">
        <f t="shared" si="5"/>
        <v>0.3757633398</v>
      </c>
      <c r="M116" s="18">
        <f t="shared" si="6"/>
        <v>0.04385730569</v>
      </c>
      <c r="N116" s="18">
        <f t="shared" si="7"/>
        <v>0.8574365528</v>
      </c>
      <c r="T116" s="18"/>
      <c r="U116" s="18"/>
      <c r="V116" s="18"/>
      <c r="W116" s="18"/>
    </row>
    <row r="117" ht="15.75" customHeight="1">
      <c r="A117" s="8">
        <v>22002.0</v>
      </c>
      <c r="B117" s="8">
        <v>249.0</v>
      </c>
      <c r="C117" s="8">
        <v>95.33333617448807</v>
      </c>
      <c r="D117" s="8">
        <v>878.0</v>
      </c>
      <c r="E117" s="18">
        <f t="shared" si="1"/>
        <v>0.2835990888</v>
      </c>
      <c r="F117" s="18">
        <f t="shared" si="2"/>
        <v>0.3828648039</v>
      </c>
      <c r="G117" s="18">
        <f t="shared" si="3"/>
        <v>0.1085801095</v>
      </c>
      <c r="H117" s="8">
        <v>2216.0</v>
      </c>
      <c r="I117" s="8">
        <v>831.2222428023815</v>
      </c>
      <c r="J117" s="8">
        <v>9433.0</v>
      </c>
      <c r="K117" s="18">
        <f t="shared" si="4"/>
        <v>0.2349199618</v>
      </c>
      <c r="L117" s="18">
        <f t="shared" si="5"/>
        <v>0.3751002901</v>
      </c>
      <c r="M117" s="18">
        <f t="shared" si="6"/>
        <v>0.08811854583</v>
      </c>
      <c r="N117" s="18">
        <f t="shared" si="7"/>
        <v>0.8115532965</v>
      </c>
      <c r="T117" s="18"/>
      <c r="U117" s="18"/>
      <c r="V117" s="18"/>
      <c r="W117" s="18"/>
    </row>
    <row r="118" ht="15.75" customHeight="1">
      <c r="A118" s="8">
        <v>30101.0</v>
      </c>
      <c r="B118" s="8">
        <v>4653.0</v>
      </c>
      <c r="C118" s="8">
        <v>1692.6667100787163</v>
      </c>
      <c r="D118" s="8">
        <v>51551.0</v>
      </c>
      <c r="E118" s="18">
        <f t="shared" si="1"/>
        <v>0.09026013074</v>
      </c>
      <c r="F118" s="18">
        <f t="shared" si="2"/>
        <v>0.3637796497</v>
      </c>
      <c r="G118" s="18">
        <f t="shared" si="3"/>
        <v>0.03283479874</v>
      </c>
      <c r="H118" s="8">
        <v>33923.0</v>
      </c>
      <c r="I118" s="8">
        <v>12044.111425459385</v>
      </c>
      <c r="J118" s="8">
        <v>589367.0</v>
      </c>
      <c r="K118" s="18">
        <f t="shared" si="4"/>
        <v>0.05755836346</v>
      </c>
      <c r="L118" s="18">
        <f t="shared" si="5"/>
        <v>0.3550426385</v>
      </c>
      <c r="M118" s="18">
        <f t="shared" si="6"/>
        <v>0.02043567323</v>
      </c>
      <c r="N118" s="18">
        <f t="shared" si="7"/>
        <v>0.6223785134</v>
      </c>
      <c r="T118" s="18"/>
      <c r="U118" s="18"/>
      <c r="V118" s="18"/>
      <c r="W118" s="18"/>
    </row>
    <row r="119" ht="15.75" customHeight="1">
      <c r="A119" s="8">
        <v>30201.0</v>
      </c>
      <c r="B119" s="8">
        <v>176.0</v>
      </c>
      <c r="C119" s="8">
        <v>69.22222405672073</v>
      </c>
      <c r="D119" s="8">
        <v>1387.0</v>
      </c>
      <c r="E119" s="18">
        <f t="shared" si="1"/>
        <v>0.1268925739</v>
      </c>
      <c r="F119" s="18">
        <f t="shared" si="2"/>
        <v>0.3933080912</v>
      </c>
      <c r="G119" s="18">
        <f t="shared" si="3"/>
        <v>0.04990787603</v>
      </c>
      <c r="H119" s="8">
        <v>4228.0</v>
      </c>
      <c r="I119" s="8">
        <v>1654.5555971562862</v>
      </c>
      <c r="J119" s="8">
        <v>21086.0</v>
      </c>
      <c r="K119" s="18">
        <f t="shared" si="4"/>
        <v>0.2005121882</v>
      </c>
      <c r="L119" s="18">
        <f t="shared" si="5"/>
        <v>0.3913329227</v>
      </c>
      <c r="M119" s="18">
        <f t="shared" si="6"/>
        <v>0.07846702064</v>
      </c>
      <c r="N119" s="18">
        <f t="shared" si="7"/>
        <v>1.572237227</v>
      </c>
      <c r="T119" s="18"/>
      <c r="U119" s="18"/>
      <c r="V119" s="18"/>
      <c r="W119" s="18"/>
    </row>
    <row r="120" ht="15.75" customHeight="1">
      <c r="A120" s="8">
        <v>30202.0</v>
      </c>
      <c r="B120" s="8">
        <v>44.0</v>
      </c>
      <c r="C120" s="8">
        <v>16.66666716337204</v>
      </c>
      <c r="D120" s="8">
        <v>332.0</v>
      </c>
      <c r="E120" s="18">
        <f t="shared" si="1"/>
        <v>0.1325301205</v>
      </c>
      <c r="F120" s="18">
        <f t="shared" si="2"/>
        <v>0.3787878901</v>
      </c>
      <c r="G120" s="18">
        <f t="shared" si="3"/>
        <v>0.05020080471</v>
      </c>
      <c r="H120" s="8">
        <v>925.0</v>
      </c>
      <c r="I120" s="8">
        <v>347.1111195087433</v>
      </c>
      <c r="J120" s="8">
        <v>6039.0</v>
      </c>
      <c r="K120" s="18">
        <f t="shared" si="4"/>
        <v>0.1531710548</v>
      </c>
      <c r="L120" s="18">
        <f t="shared" si="5"/>
        <v>0.3752552643</v>
      </c>
      <c r="M120" s="18">
        <f t="shared" si="6"/>
        <v>0.05747824466</v>
      </c>
      <c r="N120" s="18">
        <f t="shared" si="7"/>
        <v>1.1449666</v>
      </c>
      <c r="T120" s="18"/>
      <c r="U120" s="18"/>
      <c r="V120" s="18"/>
      <c r="W120" s="18"/>
    </row>
    <row r="121" ht="15.75" customHeight="1">
      <c r="A121" s="8">
        <v>30203.0</v>
      </c>
      <c r="B121" s="8">
        <v>25.0</v>
      </c>
      <c r="C121" s="8">
        <v>9.000000208616257</v>
      </c>
      <c r="D121" s="8">
        <v>446.0</v>
      </c>
      <c r="E121" s="18">
        <f t="shared" si="1"/>
        <v>0.05605381166</v>
      </c>
      <c r="F121" s="18">
        <f t="shared" si="2"/>
        <v>0.3600000083</v>
      </c>
      <c r="G121" s="18">
        <f t="shared" si="3"/>
        <v>0.02017937267</v>
      </c>
      <c r="H121" s="8">
        <v>611.0</v>
      </c>
      <c r="I121" s="8">
        <v>231.66667219996452</v>
      </c>
      <c r="J121" s="8">
        <v>6166.0</v>
      </c>
      <c r="K121" s="18">
        <f t="shared" si="4"/>
        <v>0.09909179371</v>
      </c>
      <c r="L121" s="18">
        <f t="shared" si="5"/>
        <v>0.3791598563</v>
      </c>
      <c r="M121" s="18">
        <f t="shared" si="6"/>
        <v>0.03757163026</v>
      </c>
      <c r="N121" s="18">
        <f t="shared" si="7"/>
        <v>1.861882968</v>
      </c>
      <c r="T121" s="18"/>
      <c r="U121" s="18"/>
      <c r="V121" s="18"/>
      <c r="W121" s="18"/>
    </row>
    <row r="122" ht="15.75" customHeight="1">
      <c r="A122" s="8">
        <v>30301.0</v>
      </c>
      <c r="B122" s="8">
        <v>259.0</v>
      </c>
      <c r="C122" s="8">
        <v>92.4444468319416</v>
      </c>
      <c r="D122" s="8">
        <v>1553.0</v>
      </c>
      <c r="E122" s="18">
        <f t="shared" si="1"/>
        <v>0.1667739858</v>
      </c>
      <c r="F122" s="18">
        <f t="shared" si="2"/>
        <v>0.3569283661</v>
      </c>
      <c r="G122" s="18">
        <f t="shared" si="3"/>
        <v>0.05952636628</v>
      </c>
      <c r="H122" s="8">
        <v>5443.0</v>
      </c>
      <c r="I122" s="8">
        <v>2137.66672244668</v>
      </c>
      <c r="J122" s="8">
        <v>19891.0</v>
      </c>
      <c r="K122" s="18">
        <f t="shared" si="4"/>
        <v>0.2736413453</v>
      </c>
      <c r="L122" s="18">
        <f t="shared" si="5"/>
        <v>0.3927368588</v>
      </c>
      <c r="M122" s="18">
        <f t="shared" si="6"/>
        <v>0.1074690424</v>
      </c>
      <c r="N122" s="18">
        <f t="shared" si="7"/>
        <v>1.805402364</v>
      </c>
      <c r="T122" s="18"/>
      <c r="U122" s="18"/>
      <c r="V122" s="18"/>
      <c r="W122" s="18"/>
    </row>
    <row r="123" ht="15.75" customHeight="1">
      <c r="A123" s="8">
        <v>30302.0</v>
      </c>
      <c r="B123" s="8">
        <v>114.0</v>
      </c>
      <c r="C123" s="8">
        <v>44.222223192453384</v>
      </c>
      <c r="D123" s="8">
        <v>473.0</v>
      </c>
      <c r="E123" s="18">
        <f t="shared" si="1"/>
        <v>0.2410147992</v>
      </c>
      <c r="F123" s="18">
        <f t="shared" si="2"/>
        <v>0.3879142385</v>
      </c>
      <c r="G123" s="18">
        <f t="shared" si="3"/>
        <v>0.09349307229</v>
      </c>
      <c r="H123" s="8">
        <v>3814.0</v>
      </c>
      <c r="I123" s="8">
        <v>1452.000036597252</v>
      </c>
      <c r="J123" s="8">
        <v>14023.0</v>
      </c>
      <c r="K123" s="18">
        <f t="shared" si="4"/>
        <v>0.2719817443</v>
      </c>
      <c r="L123" s="18">
        <f t="shared" si="5"/>
        <v>0.380702684</v>
      </c>
      <c r="M123" s="18">
        <f t="shared" si="6"/>
        <v>0.10354418</v>
      </c>
      <c r="N123" s="18">
        <f t="shared" si="7"/>
        <v>1.107506444</v>
      </c>
      <c r="T123" s="18"/>
      <c r="U123" s="18"/>
      <c r="V123" s="18"/>
      <c r="W123" s="18"/>
    </row>
    <row r="124" ht="15.75" customHeight="1">
      <c r="A124" s="8">
        <v>30303.0</v>
      </c>
      <c r="B124" s="8">
        <v>602.0</v>
      </c>
      <c r="C124" s="8">
        <v>235.3333386182785</v>
      </c>
      <c r="D124" s="8">
        <v>1588.0</v>
      </c>
      <c r="E124" s="18">
        <f t="shared" si="1"/>
        <v>0.379093199</v>
      </c>
      <c r="F124" s="18">
        <f t="shared" si="2"/>
        <v>0.3909191671</v>
      </c>
      <c r="G124" s="18">
        <f t="shared" si="3"/>
        <v>0.1481947976</v>
      </c>
      <c r="H124" s="8">
        <v>6346.0</v>
      </c>
      <c r="I124" s="8">
        <v>2474.3333902955055</v>
      </c>
      <c r="J124" s="8">
        <v>17576.0</v>
      </c>
      <c r="K124" s="18">
        <f t="shared" si="4"/>
        <v>0.3610605371</v>
      </c>
      <c r="L124" s="18">
        <f t="shared" si="5"/>
        <v>0.3899044107</v>
      </c>
      <c r="M124" s="18">
        <f t="shared" si="6"/>
        <v>0.1407790959</v>
      </c>
      <c r="N124" s="18">
        <f t="shared" si="7"/>
        <v>0.9499597706</v>
      </c>
      <c r="T124" s="18"/>
      <c r="U124" s="18"/>
      <c r="V124" s="18"/>
      <c r="W124" s="18"/>
    </row>
    <row r="125" ht="15.75" customHeight="1">
      <c r="A125" s="8">
        <v>30401.0</v>
      </c>
      <c r="B125" s="8">
        <v>523.0</v>
      </c>
      <c r="C125" s="8">
        <v>207.6666716337204</v>
      </c>
      <c r="D125" s="8">
        <v>1407.0</v>
      </c>
      <c r="E125" s="18">
        <f t="shared" si="1"/>
        <v>0.3717128643</v>
      </c>
      <c r="F125" s="18">
        <f t="shared" si="2"/>
        <v>0.3970682058</v>
      </c>
      <c r="G125" s="18">
        <f t="shared" si="3"/>
        <v>0.1475953601</v>
      </c>
      <c r="H125" s="8">
        <v>1239.0</v>
      </c>
      <c r="I125" s="8">
        <v>472.22223445773125</v>
      </c>
      <c r="J125" s="8">
        <v>9139.0</v>
      </c>
      <c r="K125" s="18">
        <f t="shared" si="4"/>
        <v>0.1355728198</v>
      </c>
      <c r="L125" s="18">
        <f t="shared" si="5"/>
        <v>0.3811317469</v>
      </c>
      <c r="M125" s="18">
        <f t="shared" si="6"/>
        <v>0.05167110564</v>
      </c>
      <c r="N125" s="18">
        <f t="shared" si="7"/>
        <v>0.3500862467</v>
      </c>
      <c r="T125" s="18"/>
      <c r="U125" s="18"/>
      <c r="V125" s="18"/>
      <c r="W125" s="18"/>
    </row>
    <row r="126" ht="15.75" customHeight="1">
      <c r="A126" s="8">
        <v>30402.0</v>
      </c>
      <c r="B126" s="8">
        <v>121.0</v>
      </c>
      <c r="C126" s="8">
        <v>44.55555662512779</v>
      </c>
      <c r="D126" s="8">
        <v>551.0</v>
      </c>
      <c r="E126" s="18">
        <f t="shared" si="1"/>
        <v>0.219600726</v>
      </c>
      <c r="F126" s="18">
        <f t="shared" si="2"/>
        <v>0.3682277407</v>
      </c>
      <c r="G126" s="18">
        <f t="shared" si="3"/>
        <v>0.08086307917</v>
      </c>
      <c r="H126" s="8">
        <v>1826.0</v>
      </c>
      <c r="I126" s="8">
        <v>687.3333505094051</v>
      </c>
      <c r="J126" s="8">
        <v>6647.0</v>
      </c>
      <c r="K126" s="18">
        <f t="shared" si="4"/>
        <v>0.2747103957</v>
      </c>
      <c r="L126" s="18">
        <f t="shared" si="5"/>
        <v>0.3764147593</v>
      </c>
      <c r="M126" s="18">
        <f t="shared" si="6"/>
        <v>0.1034050475</v>
      </c>
      <c r="N126" s="18">
        <f t="shared" si="7"/>
        <v>1.278767127</v>
      </c>
      <c r="T126" s="18"/>
      <c r="U126" s="18"/>
      <c r="V126" s="18"/>
      <c r="W126" s="18"/>
    </row>
    <row r="127" ht="15.75" customHeight="1">
      <c r="A127" s="8">
        <v>30403.0</v>
      </c>
      <c r="B127" s="8">
        <v>4355.0</v>
      </c>
      <c r="C127" s="8">
        <v>1611.111152291298</v>
      </c>
      <c r="D127" s="8">
        <v>8278.0</v>
      </c>
      <c r="E127" s="18">
        <f t="shared" si="1"/>
        <v>0.5260932592</v>
      </c>
      <c r="F127" s="18">
        <f t="shared" si="2"/>
        <v>0.3699451555</v>
      </c>
      <c r="G127" s="18">
        <f t="shared" si="3"/>
        <v>0.1946256526</v>
      </c>
      <c r="H127" s="8">
        <v>4872.0</v>
      </c>
      <c r="I127" s="8">
        <v>1763.1111564934254</v>
      </c>
      <c r="J127" s="8">
        <v>20293.0</v>
      </c>
      <c r="K127" s="18">
        <f t="shared" si="4"/>
        <v>0.2400827872</v>
      </c>
      <c r="L127" s="18">
        <f t="shared" si="5"/>
        <v>0.3618865264</v>
      </c>
      <c r="M127" s="18">
        <f t="shared" si="6"/>
        <v>0.08688272589</v>
      </c>
      <c r="N127" s="18">
        <f t="shared" si="7"/>
        <v>0.4464094261</v>
      </c>
      <c r="T127" s="18"/>
      <c r="U127" s="18"/>
      <c r="V127" s="18"/>
      <c r="W127" s="18"/>
    </row>
    <row r="128" ht="15.75" customHeight="1">
      <c r="A128" s="8">
        <v>30404.0</v>
      </c>
      <c r="B128" s="8">
        <v>38.0</v>
      </c>
      <c r="C128" s="8">
        <v>14.555556029081345</v>
      </c>
      <c r="D128" s="8">
        <v>122.0</v>
      </c>
      <c r="E128" s="18">
        <f t="shared" si="1"/>
        <v>0.3114754098</v>
      </c>
      <c r="F128" s="18">
        <f t="shared" si="2"/>
        <v>0.3830409481</v>
      </c>
      <c r="G128" s="18">
        <f t="shared" si="3"/>
        <v>0.1193078363</v>
      </c>
      <c r="H128" s="8">
        <v>1590.0</v>
      </c>
      <c r="I128" s="8">
        <v>610.4444594979286</v>
      </c>
      <c r="J128" s="8">
        <v>4807.0</v>
      </c>
      <c r="K128" s="18">
        <f t="shared" si="4"/>
        <v>0.3307676305</v>
      </c>
      <c r="L128" s="18">
        <f t="shared" si="5"/>
        <v>0.383927333</v>
      </c>
      <c r="M128" s="18">
        <f t="shared" si="6"/>
        <v>0.1269907342</v>
      </c>
      <c r="N128" s="18">
        <f t="shared" si="7"/>
        <v>1.064395585</v>
      </c>
      <c r="T128" s="18"/>
      <c r="U128" s="18"/>
      <c r="V128" s="18"/>
      <c r="W128" s="18"/>
    </row>
    <row r="129" ht="15.75" customHeight="1">
      <c r="A129" s="8">
        <v>30501.0</v>
      </c>
      <c r="B129" s="8">
        <v>59.0</v>
      </c>
      <c r="C129" s="8">
        <v>21.444444924592972</v>
      </c>
      <c r="D129" s="8">
        <v>632.0</v>
      </c>
      <c r="E129" s="18">
        <f t="shared" si="1"/>
        <v>0.09335443038</v>
      </c>
      <c r="F129" s="18">
        <f t="shared" si="2"/>
        <v>0.3634651682</v>
      </c>
      <c r="G129" s="18">
        <f t="shared" si="3"/>
        <v>0.03393108374</v>
      </c>
      <c r="H129" s="8">
        <v>686.0</v>
      </c>
      <c r="I129" s="8">
        <v>260.5555623471737</v>
      </c>
      <c r="J129" s="8">
        <v>10214.0</v>
      </c>
      <c r="K129" s="18">
        <f t="shared" si="4"/>
        <v>0.06716271784</v>
      </c>
      <c r="L129" s="18">
        <f t="shared" si="5"/>
        <v>0.379818604</v>
      </c>
      <c r="M129" s="18">
        <f t="shared" si="6"/>
        <v>0.02550964973</v>
      </c>
      <c r="N129" s="18">
        <f t="shared" si="7"/>
        <v>0.7518076913</v>
      </c>
      <c r="T129" s="18"/>
      <c r="U129" s="18"/>
      <c r="V129" s="18"/>
      <c r="W129" s="18"/>
    </row>
    <row r="130" ht="15.75" customHeight="1">
      <c r="A130" s="8">
        <v>30502.0</v>
      </c>
      <c r="B130" s="8">
        <v>59.0</v>
      </c>
      <c r="C130" s="8">
        <v>23.888889461755753</v>
      </c>
      <c r="D130" s="8">
        <v>409.0</v>
      </c>
      <c r="E130" s="18">
        <f t="shared" si="1"/>
        <v>0.1442542787</v>
      </c>
      <c r="F130" s="18">
        <f t="shared" si="2"/>
        <v>0.4048964316</v>
      </c>
      <c r="G130" s="18">
        <f t="shared" si="3"/>
        <v>0.05840804269</v>
      </c>
      <c r="H130" s="8">
        <v>1380.0</v>
      </c>
      <c r="I130" s="8">
        <v>515.8889008164406</v>
      </c>
      <c r="J130" s="8">
        <v>7740.0</v>
      </c>
      <c r="K130" s="18">
        <f t="shared" si="4"/>
        <v>0.1782945736</v>
      </c>
      <c r="L130" s="18">
        <f t="shared" si="5"/>
        <v>0.3738325368</v>
      </c>
      <c r="M130" s="18">
        <f t="shared" si="6"/>
        <v>0.06665231277</v>
      </c>
      <c r="N130" s="18">
        <f t="shared" si="7"/>
        <v>1.141149569</v>
      </c>
      <c r="T130" s="18"/>
      <c r="U130" s="18"/>
      <c r="V130" s="18"/>
      <c r="W130" s="18"/>
    </row>
    <row r="131" ht="15.75" customHeight="1">
      <c r="A131" s="8">
        <v>30601.0</v>
      </c>
      <c r="B131" s="8">
        <v>131.0</v>
      </c>
      <c r="C131" s="8">
        <v>47.33333468437195</v>
      </c>
      <c r="D131" s="8">
        <v>455.0</v>
      </c>
      <c r="E131" s="18">
        <f t="shared" si="1"/>
        <v>0.2879120879</v>
      </c>
      <c r="F131" s="18">
        <f t="shared" si="2"/>
        <v>0.3613231655</v>
      </c>
      <c r="G131" s="18">
        <f t="shared" si="3"/>
        <v>0.104029307</v>
      </c>
      <c r="H131" s="8">
        <v>3983.0</v>
      </c>
      <c r="I131" s="8">
        <v>1579.6667066216469</v>
      </c>
      <c r="J131" s="8">
        <v>9961.0</v>
      </c>
      <c r="K131" s="18">
        <f t="shared" si="4"/>
        <v>0.3998594519</v>
      </c>
      <c r="L131" s="18">
        <f t="shared" si="5"/>
        <v>0.3966022362</v>
      </c>
      <c r="M131" s="18">
        <f t="shared" si="6"/>
        <v>0.1585851528</v>
      </c>
      <c r="N131" s="18">
        <f t="shared" si="7"/>
        <v>1.524427657</v>
      </c>
      <c r="T131" s="18"/>
      <c r="U131" s="18"/>
      <c r="V131" s="18"/>
      <c r="W131" s="18"/>
    </row>
    <row r="132" ht="15.75" customHeight="1">
      <c r="A132" s="8">
        <v>30602.0</v>
      </c>
      <c r="B132" s="8">
        <v>122.0</v>
      </c>
      <c r="C132" s="8">
        <v>46.66666775941849</v>
      </c>
      <c r="D132" s="8">
        <v>706.0</v>
      </c>
      <c r="E132" s="18">
        <f t="shared" si="1"/>
        <v>0.1728045326</v>
      </c>
      <c r="F132" s="18">
        <f t="shared" si="2"/>
        <v>0.3825136702</v>
      </c>
      <c r="G132" s="18">
        <f t="shared" si="3"/>
        <v>0.06610009598</v>
      </c>
      <c r="H132" s="8">
        <v>2237.0</v>
      </c>
      <c r="I132" s="8">
        <v>832.7777989804745</v>
      </c>
      <c r="J132" s="8">
        <v>9835.0</v>
      </c>
      <c r="K132" s="18">
        <f t="shared" si="4"/>
        <v>0.2274529741</v>
      </c>
      <c r="L132" s="18">
        <f t="shared" si="5"/>
        <v>0.3722743849</v>
      </c>
      <c r="M132" s="18">
        <f t="shared" si="6"/>
        <v>0.08467491601</v>
      </c>
      <c r="N132" s="18">
        <f t="shared" si="7"/>
        <v>1.281010485</v>
      </c>
      <c r="T132" s="18"/>
      <c r="U132" s="18"/>
      <c r="V132" s="18"/>
      <c r="W132" s="18"/>
    </row>
    <row r="133" ht="15.75" customHeight="1">
      <c r="A133" s="8">
        <v>30701.0</v>
      </c>
      <c r="B133" s="8">
        <v>181.0</v>
      </c>
      <c r="C133" s="8">
        <v>71.00000196695328</v>
      </c>
      <c r="D133" s="8">
        <v>1310.0</v>
      </c>
      <c r="E133" s="18">
        <f t="shared" si="1"/>
        <v>0.1381679389</v>
      </c>
      <c r="F133" s="18">
        <f t="shared" si="2"/>
        <v>0.3922652042</v>
      </c>
      <c r="G133" s="18">
        <f t="shared" si="3"/>
        <v>0.05419847478</v>
      </c>
      <c r="H133" s="8">
        <v>2190.0</v>
      </c>
      <c r="I133" s="8">
        <v>824.555576056242</v>
      </c>
      <c r="J133" s="8">
        <v>17706.0</v>
      </c>
      <c r="K133" s="18">
        <f t="shared" si="4"/>
        <v>0.1236868858</v>
      </c>
      <c r="L133" s="18">
        <f t="shared" si="5"/>
        <v>0.3765093955</v>
      </c>
      <c r="M133" s="18">
        <f t="shared" si="6"/>
        <v>0.0465692746</v>
      </c>
      <c r="N133" s="18">
        <f t="shared" si="7"/>
        <v>0.8592358878</v>
      </c>
      <c r="T133" s="18"/>
      <c r="U133" s="18"/>
      <c r="V133" s="18"/>
      <c r="W133" s="18"/>
    </row>
    <row r="134" ht="15.75" customHeight="1">
      <c r="A134" s="8">
        <v>30702.0</v>
      </c>
      <c r="B134" s="8">
        <v>137.0</v>
      </c>
      <c r="C134" s="8">
        <v>49.33333447575569</v>
      </c>
      <c r="D134" s="8">
        <v>965.0</v>
      </c>
      <c r="E134" s="18">
        <f t="shared" si="1"/>
        <v>0.1419689119</v>
      </c>
      <c r="F134" s="18">
        <f t="shared" si="2"/>
        <v>0.3600973319</v>
      </c>
      <c r="G134" s="18">
        <f t="shared" si="3"/>
        <v>0.0511226264</v>
      </c>
      <c r="H134" s="8">
        <v>415.0</v>
      </c>
      <c r="I134" s="8">
        <v>152.33333697915077</v>
      </c>
      <c r="J134" s="8">
        <v>6628.0</v>
      </c>
      <c r="K134" s="18">
        <f t="shared" si="4"/>
        <v>0.06261315631</v>
      </c>
      <c r="L134" s="18">
        <f t="shared" si="5"/>
        <v>0.3670682819</v>
      </c>
      <c r="M134" s="18">
        <f t="shared" si="6"/>
        <v>0.02298330371</v>
      </c>
      <c r="N134" s="18">
        <f t="shared" si="7"/>
        <v>0.4495720452</v>
      </c>
      <c r="T134" s="18"/>
      <c r="U134" s="18"/>
      <c r="V134" s="18"/>
      <c r="W134" s="18"/>
    </row>
    <row r="135" ht="15.75" customHeight="1">
      <c r="A135" s="8">
        <v>30703.0</v>
      </c>
      <c r="B135" s="8">
        <v>33.0</v>
      </c>
      <c r="C135" s="8">
        <v>12.444444686174393</v>
      </c>
      <c r="D135" s="8">
        <v>235.0</v>
      </c>
      <c r="E135" s="18">
        <f t="shared" si="1"/>
        <v>0.1404255319</v>
      </c>
      <c r="F135" s="18">
        <f t="shared" si="2"/>
        <v>0.3771043844</v>
      </c>
      <c r="G135" s="18">
        <f t="shared" si="3"/>
        <v>0.05295508377</v>
      </c>
      <c r="H135" s="8">
        <v>521.0</v>
      </c>
      <c r="I135" s="8">
        <v>194.8888935148716</v>
      </c>
      <c r="J135" s="8">
        <v>3652.0</v>
      </c>
      <c r="K135" s="18">
        <f t="shared" si="4"/>
        <v>0.1426615553</v>
      </c>
      <c r="L135" s="18">
        <f t="shared" si="5"/>
        <v>0.3740669741</v>
      </c>
      <c r="M135" s="18">
        <f t="shared" si="6"/>
        <v>0.05336497632</v>
      </c>
      <c r="N135" s="18">
        <f t="shared" si="7"/>
        <v>1.007740381</v>
      </c>
      <c r="T135" s="18"/>
      <c r="U135" s="18"/>
      <c r="V135" s="18"/>
      <c r="W135" s="18"/>
    </row>
    <row r="136" ht="15.75" customHeight="1">
      <c r="A136" s="8">
        <v>30801.0</v>
      </c>
      <c r="B136" s="8">
        <v>104.0</v>
      </c>
      <c r="C136" s="8">
        <v>35.77777874469757</v>
      </c>
      <c r="D136" s="8">
        <v>1248.0</v>
      </c>
      <c r="E136" s="18">
        <f t="shared" si="1"/>
        <v>0.08333333333</v>
      </c>
      <c r="F136" s="18">
        <f t="shared" si="2"/>
        <v>0.3440171033</v>
      </c>
      <c r="G136" s="18">
        <f t="shared" si="3"/>
        <v>0.02866809194</v>
      </c>
      <c r="H136" s="8">
        <v>320.0</v>
      </c>
      <c r="I136" s="8">
        <v>114.00000283122063</v>
      </c>
      <c r="J136" s="8">
        <v>19263.0</v>
      </c>
      <c r="K136" s="18">
        <f t="shared" si="4"/>
        <v>0.01661215802</v>
      </c>
      <c r="L136" s="18">
        <f t="shared" si="5"/>
        <v>0.3562500088</v>
      </c>
      <c r="M136" s="18">
        <f t="shared" si="6"/>
        <v>0.005918081443</v>
      </c>
      <c r="N136" s="18">
        <f t="shared" si="7"/>
        <v>0.2064344378</v>
      </c>
      <c r="T136" s="18"/>
      <c r="U136" s="18"/>
      <c r="V136" s="18"/>
      <c r="W136" s="18"/>
    </row>
    <row r="137" ht="15.75" customHeight="1">
      <c r="A137" s="8">
        <v>30802.0</v>
      </c>
      <c r="B137" s="8">
        <v>50.0</v>
      </c>
      <c r="C137" s="8">
        <v>19.666667133569717</v>
      </c>
      <c r="D137" s="8">
        <v>563.0</v>
      </c>
      <c r="E137" s="18">
        <f t="shared" si="1"/>
        <v>0.08880994671</v>
      </c>
      <c r="F137" s="18">
        <f t="shared" si="2"/>
        <v>0.3933333427</v>
      </c>
      <c r="G137" s="18">
        <f t="shared" si="3"/>
        <v>0.0349319132</v>
      </c>
      <c r="H137" s="8">
        <v>568.0</v>
      </c>
      <c r="I137" s="8">
        <v>208.7777833044529</v>
      </c>
      <c r="J137" s="8">
        <v>6701.0</v>
      </c>
      <c r="K137" s="18">
        <f t="shared" si="4"/>
        <v>0.08476346814</v>
      </c>
      <c r="L137" s="18">
        <f t="shared" si="5"/>
        <v>0.3675665199</v>
      </c>
      <c r="M137" s="18">
        <f t="shared" si="6"/>
        <v>0.031156213</v>
      </c>
      <c r="N137" s="18">
        <f t="shared" si="7"/>
        <v>0.8919125848</v>
      </c>
      <c r="T137" s="18"/>
      <c r="U137" s="18"/>
      <c r="V137" s="18"/>
      <c r="W137" s="18"/>
    </row>
    <row r="138" ht="15.75" customHeight="1">
      <c r="A138" s="8">
        <v>30803.0</v>
      </c>
      <c r="B138" s="8">
        <v>932.0</v>
      </c>
      <c r="C138" s="8">
        <v>336.6666751205921</v>
      </c>
      <c r="D138" s="8">
        <v>1926.0</v>
      </c>
      <c r="E138" s="18">
        <f t="shared" si="1"/>
        <v>0.4839044652</v>
      </c>
      <c r="F138" s="18">
        <f t="shared" si="2"/>
        <v>0.3612303381</v>
      </c>
      <c r="G138" s="18">
        <f t="shared" si="3"/>
        <v>0.1748009736</v>
      </c>
      <c r="H138" s="8">
        <v>374.0</v>
      </c>
      <c r="I138" s="8">
        <v>131.77778136730194</v>
      </c>
      <c r="J138" s="8">
        <v>5502.0</v>
      </c>
      <c r="K138" s="18">
        <f t="shared" si="4"/>
        <v>0.06797528172</v>
      </c>
      <c r="L138" s="18">
        <f t="shared" si="5"/>
        <v>0.352347009</v>
      </c>
      <c r="M138" s="18">
        <f t="shared" si="6"/>
        <v>0.0239508872</v>
      </c>
      <c r="N138" s="18">
        <f t="shared" si="7"/>
        <v>0.1370180423</v>
      </c>
      <c r="T138" s="18"/>
      <c r="U138" s="18"/>
      <c r="V138" s="18"/>
      <c r="W138" s="18"/>
    </row>
    <row r="139" ht="15.75" customHeight="1">
      <c r="A139" s="8">
        <v>30901.0</v>
      </c>
      <c r="B139" s="8">
        <v>952.0</v>
      </c>
      <c r="C139" s="8">
        <v>338.2222310304642</v>
      </c>
      <c r="D139" s="8">
        <v>17538.0</v>
      </c>
      <c r="E139" s="18">
        <f t="shared" si="1"/>
        <v>0.05428213023</v>
      </c>
      <c r="F139" s="18">
        <f t="shared" si="2"/>
        <v>0.3552754528</v>
      </c>
      <c r="G139" s="18">
        <f t="shared" si="3"/>
        <v>0.01928510839</v>
      </c>
      <c r="H139" s="8">
        <v>5522.0</v>
      </c>
      <c r="I139" s="8">
        <v>1968.6667188704014</v>
      </c>
      <c r="J139" s="8">
        <v>144459.0</v>
      </c>
      <c r="K139" s="18">
        <f t="shared" si="4"/>
        <v>0.03822537883</v>
      </c>
      <c r="L139" s="18">
        <f t="shared" si="5"/>
        <v>0.35651335</v>
      </c>
      <c r="M139" s="18">
        <f t="shared" si="6"/>
        <v>0.01362785786</v>
      </c>
      <c r="N139" s="18">
        <f t="shared" si="7"/>
        <v>0.7066518675</v>
      </c>
      <c r="T139" s="18"/>
      <c r="U139" s="18"/>
      <c r="V139" s="18"/>
      <c r="W139" s="18"/>
    </row>
    <row r="140" ht="15.75" customHeight="1">
      <c r="A140" s="8">
        <v>30902.0</v>
      </c>
      <c r="B140" s="8">
        <v>658.0</v>
      </c>
      <c r="C140" s="8">
        <v>239.5555622279644</v>
      </c>
      <c r="D140" s="8">
        <v>6805.0</v>
      </c>
      <c r="E140" s="18">
        <f t="shared" si="1"/>
        <v>0.09669360764</v>
      </c>
      <c r="F140" s="18">
        <f t="shared" si="2"/>
        <v>0.364066204</v>
      </c>
      <c r="G140" s="18">
        <f t="shared" si="3"/>
        <v>0.03520287468</v>
      </c>
      <c r="H140" s="8">
        <v>3847.0</v>
      </c>
      <c r="I140" s="8">
        <v>1409.5555911660194</v>
      </c>
      <c r="J140" s="8">
        <v>48065.0</v>
      </c>
      <c r="K140" s="18">
        <f t="shared" si="4"/>
        <v>0.08003744929</v>
      </c>
      <c r="L140" s="18">
        <f t="shared" si="5"/>
        <v>0.3664038449</v>
      </c>
      <c r="M140" s="18">
        <f t="shared" si="6"/>
        <v>0.02932602915</v>
      </c>
      <c r="N140" s="18">
        <f t="shared" si="7"/>
        <v>0.8330577947</v>
      </c>
      <c r="T140" s="18"/>
      <c r="U140" s="18"/>
      <c r="V140" s="18"/>
      <c r="W140" s="18"/>
    </row>
    <row r="141" ht="15.75" customHeight="1">
      <c r="A141" s="8">
        <v>30903.0</v>
      </c>
      <c r="B141" s="8">
        <v>226.0</v>
      </c>
      <c r="C141" s="8">
        <v>79.77777975797653</v>
      </c>
      <c r="D141" s="8">
        <v>9878.0</v>
      </c>
      <c r="E141" s="18">
        <f t="shared" si="1"/>
        <v>0.02287912533</v>
      </c>
      <c r="F141" s="18">
        <f t="shared" si="2"/>
        <v>0.3529990255</v>
      </c>
      <c r="G141" s="18">
        <f t="shared" si="3"/>
        <v>0.008076308945</v>
      </c>
      <c r="H141" s="8">
        <v>2255.0</v>
      </c>
      <c r="I141" s="8">
        <v>812.3333538472652</v>
      </c>
      <c r="J141" s="8">
        <v>49634.0</v>
      </c>
      <c r="K141" s="18">
        <f t="shared" si="4"/>
        <v>0.04543256639</v>
      </c>
      <c r="L141" s="18">
        <f t="shared" si="5"/>
        <v>0.3602365206</v>
      </c>
      <c r="M141" s="18">
        <f t="shared" si="6"/>
        <v>0.01636646963</v>
      </c>
      <c r="N141" s="18">
        <f t="shared" si="7"/>
        <v>2.026478896</v>
      </c>
      <c r="T141" s="18"/>
      <c r="U141" s="18"/>
      <c r="V141" s="18"/>
      <c r="W141" s="18"/>
    </row>
    <row r="142" ht="15.75" customHeight="1">
      <c r="A142" s="8">
        <v>30904.0</v>
      </c>
      <c r="B142" s="8">
        <v>464.0</v>
      </c>
      <c r="C142" s="8">
        <v>165.55555987358093</v>
      </c>
      <c r="D142" s="8">
        <v>7724.0</v>
      </c>
      <c r="E142" s="18">
        <f t="shared" si="1"/>
        <v>0.06007250129</v>
      </c>
      <c r="F142" s="18">
        <f t="shared" si="2"/>
        <v>0.3568007756</v>
      </c>
      <c r="G142" s="18">
        <f t="shared" si="3"/>
        <v>0.02143391505</v>
      </c>
      <c r="H142" s="8">
        <v>2754.0</v>
      </c>
      <c r="I142" s="8">
        <v>987.1111370027065</v>
      </c>
      <c r="J142" s="8">
        <v>46718.0</v>
      </c>
      <c r="K142" s="18">
        <f t="shared" si="4"/>
        <v>0.05894944133</v>
      </c>
      <c r="L142" s="18">
        <f t="shared" si="5"/>
        <v>0.3584281543</v>
      </c>
      <c r="M142" s="18">
        <f t="shared" si="6"/>
        <v>0.02112913945</v>
      </c>
      <c r="N142" s="18">
        <f t="shared" si="7"/>
        <v>0.9857806845</v>
      </c>
      <c r="T142" s="18"/>
      <c r="U142" s="18"/>
      <c r="V142" s="18"/>
      <c r="W142" s="18"/>
    </row>
    <row r="143" ht="15.75" customHeight="1">
      <c r="A143" s="8">
        <v>30905.0</v>
      </c>
      <c r="B143" s="8">
        <v>159.0</v>
      </c>
      <c r="C143" s="8">
        <v>55.77777919173241</v>
      </c>
      <c r="D143" s="8">
        <v>11028.0</v>
      </c>
      <c r="E143" s="18">
        <f t="shared" si="1"/>
        <v>0.01441784548</v>
      </c>
      <c r="F143" s="18">
        <f t="shared" si="2"/>
        <v>0.3508036427</v>
      </c>
      <c r="G143" s="18">
        <f t="shared" si="3"/>
        <v>0.005057832716</v>
      </c>
      <c r="H143" s="8">
        <v>846.0</v>
      </c>
      <c r="I143" s="8">
        <v>297.5555631816387</v>
      </c>
      <c r="J143" s="8">
        <v>53863.0</v>
      </c>
      <c r="K143" s="18">
        <f t="shared" si="4"/>
        <v>0.01570651468</v>
      </c>
      <c r="L143" s="18">
        <f t="shared" si="5"/>
        <v>0.3517205239</v>
      </c>
      <c r="M143" s="18">
        <f t="shared" si="6"/>
        <v>0.00552430357</v>
      </c>
      <c r="N143" s="18">
        <f t="shared" si="7"/>
        <v>1.092227418</v>
      </c>
      <c r="T143" s="18"/>
      <c r="U143" s="18"/>
      <c r="V143" s="18"/>
      <c r="W143" s="18"/>
    </row>
    <row r="144" ht="15.75" customHeight="1">
      <c r="A144" s="8">
        <v>31001.0</v>
      </c>
      <c r="B144" s="8">
        <v>2273.0</v>
      </c>
      <c r="C144" s="8">
        <v>818.6666881144047</v>
      </c>
      <c r="D144" s="8">
        <v>29314.0</v>
      </c>
      <c r="E144" s="18">
        <f t="shared" si="1"/>
        <v>0.0775397421</v>
      </c>
      <c r="F144" s="18">
        <f t="shared" si="2"/>
        <v>0.3601701224</v>
      </c>
      <c r="G144" s="18">
        <f t="shared" si="3"/>
        <v>0.0279274984</v>
      </c>
      <c r="H144" s="8">
        <v>9328.0</v>
      </c>
      <c r="I144" s="8">
        <v>3354.333419173956</v>
      </c>
      <c r="J144" s="8">
        <v>181459.0</v>
      </c>
      <c r="K144" s="18">
        <f t="shared" si="4"/>
        <v>0.05140555167</v>
      </c>
      <c r="L144" s="18">
        <f t="shared" si="5"/>
        <v>0.3595983511</v>
      </c>
      <c r="M144" s="18">
        <f t="shared" si="6"/>
        <v>0.01848535162</v>
      </c>
      <c r="N144" s="18">
        <f t="shared" si="7"/>
        <v>0.6619050282</v>
      </c>
      <c r="T144" s="18"/>
      <c r="U144" s="18"/>
      <c r="V144" s="18"/>
      <c r="W144" s="18"/>
    </row>
    <row r="145" ht="15.75" customHeight="1">
      <c r="A145" s="8">
        <v>31002.0</v>
      </c>
      <c r="B145" s="8">
        <v>252.0</v>
      </c>
      <c r="C145" s="8">
        <v>90.66666895151138</v>
      </c>
      <c r="D145" s="8">
        <v>1652.0</v>
      </c>
      <c r="E145" s="18">
        <f t="shared" si="1"/>
        <v>0.1525423729</v>
      </c>
      <c r="F145" s="18">
        <f t="shared" si="2"/>
        <v>0.3597883689</v>
      </c>
      <c r="G145" s="18">
        <f t="shared" si="3"/>
        <v>0.05488297152</v>
      </c>
      <c r="H145" s="8">
        <v>2553.0</v>
      </c>
      <c r="I145" s="8">
        <v>941.8889120519161</v>
      </c>
      <c r="J145" s="8">
        <v>19464.0</v>
      </c>
      <c r="K145" s="18">
        <f t="shared" si="4"/>
        <v>0.1311652281</v>
      </c>
      <c r="L145" s="18">
        <f t="shared" si="5"/>
        <v>0.3689341606</v>
      </c>
      <c r="M145" s="18">
        <f t="shared" si="6"/>
        <v>0.04839133334</v>
      </c>
      <c r="N145" s="18">
        <f t="shared" si="7"/>
        <v>0.8817185367</v>
      </c>
      <c r="T145" s="18"/>
      <c r="U145" s="18"/>
      <c r="V145" s="18"/>
      <c r="W145" s="18"/>
    </row>
    <row r="146" ht="15.75" customHeight="1">
      <c r="A146" s="8">
        <v>31003.0</v>
      </c>
      <c r="B146" s="8">
        <v>2068.0</v>
      </c>
      <c r="C146" s="8">
        <v>761.7777969241142</v>
      </c>
      <c r="D146" s="8">
        <v>11779.0</v>
      </c>
      <c r="E146" s="18">
        <f t="shared" si="1"/>
        <v>0.1755666865</v>
      </c>
      <c r="F146" s="18">
        <f t="shared" si="2"/>
        <v>0.3683645053</v>
      </c>
      <c r="G146" s="18">
        <f t="shared" si="3"/>
        <v>0.06467253561</v>
      </c>
      <c r="H146" s="8">
        <v>14604.0</v>
      </c>
      <c r="I146" s="8">
        <v>5425.0001328885555</v>
      </c>
      <c r="J146" s="8">
        <v>78433.0</v>
      </c>
      <c r="K146" s="18">
        <f t="shared" si="4"/>
        <v>0.1861971364</v>
      </c>
      <c r="L146" s="18">
        <f t="shared" si="5"/>
        <v>0.371473578</v>
      </c>
      <c r="M146" s="18">
        <f t="shared" si="6"/>
        <v>0.06916731647</v>
      </c>
      <c r="N146" s="18">
        <f t="shared" si="7"/>
        <v>1.069500613</v>
      </c>
      <c r="T146" s="18"/>
      <c r="U146" s="18"/>
      <c r="V146" s="18"/>
      <c r="W146" s="18"/>
    </row>
    <row r="147" ht="15.75" customHeight="1">
      <c r="A147" s="8">
        <v>31101.0</v>
      </c>
      <c r="B147" s="8">
        <v>385.0</v>
      </c>
      <c r="C147" s="8">
        <v>146.6666703224182</v>
      </c>
      <c r="D147" s="8">
        <v>1301.0</v>
      </c>
      <c r="E147" s="18">
        <f t="shared" si="1"/>
        <v>0.2959262106</v>
      </c>
      <c r="F147" s="18">
        <f t="shared" si="2"/>
        <v>0.3809523904</v>
      </c>
      <c r="G147" s="18">
        <f t="shared" si="3"/>
        <v>0.1127337973</v>
      </c>
      <c r="H147" s="8">
        <v>8780.0</v>
      </c>
      <c r="I147" s="8">
        <v>3437.7778635919094</v>
      </c>
      <c r="J147" s="8">
        <v>22885.0</v>
      </c>
      <c r="K147" s="18">
        <f t="shared" si="4"/>
        <v>0.3836574175</v>
      </c>
      <c r="L147" s="18">
        <f t="shared" si="5"/>
        <v>0.3915464537</v>
      </c>
      <c r="M147" s="18">
        <f t="shared" si="6"/>
        <v>0.1502197013</v>
      </c>
      <c r="N147" s="18">
        <f t="shared" si="7"/>
        <v>1.332516999</v>
      </c>
      <c r="T147" s="18"/>
      <c r="U147" s="18"/>
      <c r="V147" s="18"/>
      <c r="W147" s="18"/>
    </row>
    <row r="148" ht="15.75" customHeight="1">
      <c r="A148" s="8">
        <v>31201.0</v>
      </c>
      <c r="B148" s="8">
        <v>282.0</v>
      </c>
      <c r="C148" s="8">
        <v>106.88889139890671</v>
      </c>
      <c r="D148" s="8">
        <v>927.0</v>
      </c>
      <c r="E148" s="18">
        <f t="shared" si="1"/>
        <v>0.3042071197</v>
      </c>
      <c r="F148" s="18">
        <f t="shared" si="2"/>
        <v>0.379038622</v>
      </c>
      <c r="G148" s="18">
        <f t="shared" si="3"/>
        <v>0.1153062475</v>
      </c>
      <c r="H148" s="8">
        <v>3610.0</v>
      </c>
      <c r="I148" s="8">
        <v>1373.2222563922405</v>
      </c>
      <c r="J148" s="8">
        <v>13253.0</v>
      </c>
      <c r="K148" s="18">
        <f t="shared" si="4"/>
        <v>0.2723911567</v>
      </c>
      <c r="L148" s="18">
        <f t="shared" si="5"/>
        <v>0.3803939768</v>
      </c>
      <c r="M148" s="18">
        <f t="shared" si="6"/>
        <v>0.1036159554</v>
      </c>
      <c r="N148" s="18">
        <f t="shared" si="7"/>
        <v>0.8986152758</v>
      </c>
      <c r="T148" s="18"/>
      <c r="U148" s="18"/>
      <c r="V148" s="18"/>
      <c r="W148" s="18"/>
    </row>
    <row r="149" ht="15.75" customHeight="1">
      <c r="A149" s="8">
        <v>31202.0</v>
      </c>
      <c r="B149" s="8">
        <v>131.0</v>
      </c>
      <c r="C149" s="8">
        <v>47.444445729255676</v>
      </c>
      <c r="D149" s="8">
        <v>658.0</v>
      </c>
      <c r="E149" s="18">
        <f t="shared" si="1"/>
        <v>0.1990881459</v>
      </c>
      <c r="F149" s="18">
        <f t="shared" si="2"/>
        <v>0.3621713414</v>
      </c>
      <c r="G149" s="18">
        <f t="shared" si="3"/>
        <v>0.07210402087</v>
      </c>
      <c r="H149" s="8">
        <v>3242.0</v>
      </c>
      <c r="I149" s="8">
        <v>1259.5555858314037</v>
      </c>
      <c r="J149" s="8">
        <v>10779.0</v>
      </c>
      <c r="K149" s="18">
        <f t="shared" si="4"/>
        <v>0.3007700158</v>
      </c>
      <c r="L149" s="18">
        <f t="shared" si="5"/>
        <v>0.3885119019</v>
      </c>
      <c r="M149" s="18">
        <f t="shared" si="6"/>
        <v>0.1168527308</v>
      </c>
      <c r="N149" s="18">
        <f t="shared" si="7"/>
        <v>1.62061324</v>
      </c>
      <c r="T149" s="18"/>
      <c r="U149" s="18"/>
      <c r="V149" s="18"/>
      <c r="W149" s="18"/>
    </row>
    <row r="150" ht="15.75" customHeight="1">
      <c r="A150" s="8">
        <v>31203.0</v>
      </c>
      <c r="B150" s="8">
        <v>126.0</v>
      </c>
      <c r="C150" s="8">
        <v>44.22222343087196</v>
      </c>
      <c r="D150" s="8">
        <v>842.0</v>
      </c>
      <c r="E150" s="18">
        <f t="shared" si="1"/>
        <v>0.1496437055</v>
      </c>
      <c r="F150" s="18">
        <f t="shared" si="2"/>
        <v>0.3509700272</v>
      </c>
      <c r="G150" s="18">
        <f t="shared" si="3"/>
        <v>0.05252045538</v>
      </c>
      <c r="H150" s="8">
        <v>1601.0</v>
      </c>
      <c r="I150" s="8">
        <v>608.2222374081612</v>
      </c>
      <c r="J150" s="8">
        <v>11005.0</v>
      </c>
      <c r="K150" s="18">
        <f t="shared" si="4"/>
        <v>0.1454793276</v>
      </c>
      <c r="L150" s="18">
        <f t="shared" si="5"/>
        <v>0.37990146</v>
      </c>
      <c r="M150" s="18">
        <f t="shared" si="6"/>
        <v>0.05526780894</v>
      </c>
      <c r="N150" s="18">
        <f t="shared" si="7"/>
        <v>1.052310163</v>
      </c>
      <c r="T150" s="18"/>
      <c r="U150" s="18"/>
      <c r="V150" s="18"/>
      <c r="W150" s="18"/>
    </row>
    <row r="151" ht="15.75" customHeight="1">
      <c r="A151" s="8">
        <v>31204.0</v>
      </c>
      <c r="B151" s="8">
        <v>457.0</v>
      </c>
      <c r="C151" s="8">
        <v>172.44444873929024</v>
      </c>
      <c r="D151" s="8">
        <v>3481.0</v>
      </c>
      <c r="E151" s="18">
        <f t="shared" si="1"/>
        <v>0.1312841138</v>
      </c>
      <c r="F151" s="18">
        <f t="shared" si="2"/>
        <v>0.3773401504</v>
      </c>
      <c r="G151" s="18">
        <f t="shared" si="3"/>
        <v>0.04953876723</v>
      </c>
      <c r="H151" s="8">
        <v>3392.0</v>
      </c>
      <c r="I151" s="8">
        <v>1245.4444760680199</v>
      </c>
      <c r="J151" s="8">
        <v>22293.0</v>
      </c>
      <c r="K151" s="18">
        <f t="shared" si="4"/>
        <v>0.1521553851</v>
      </c>
      <c r="L151" s="18">
        <f t="shared" si="5"/>
        <v>0.3671711309</v>
      </c>
      <c r="M151" s="18">
        <f t="shared" si="6"/>
        <v>0.05586706482</v>
      </c>
      <c r="N151" s="18">
        <f t="shared" si="7"/>
        <v>1.127744349</v>
      </c>
      <c r="T151" s="18"/>
      <c r="U151" s="18"/>
      <c r="V151" s="18"/>
      <c r="W151" s="18"/>
    </row>
    <row r="152" ht="15.75" customHeight="1">
      <c r="A152" s="8">
        <v>31205.0</v>
      </c>
      <c r="B152" s="8">
        <v>723.0</v>
      </c>
      <c r="C152" s="8">
        <v>273.555562376976</v>
      </c>
      <c r="D152" s="8">
        <v>5373.0</v>
      </c>
      <c r="E152" s="18">
        <f t="shared" si="1"/>
        <v>0.1345616974</v>
      </c>
      <c r="F152" s="18">
        <f t="shared" si="2"/>
        <v>0.3783617737</v>
      </c>
      <c r="G152" s="18">
        <f t="shared" si="3"/>
        <v>0.05091300249</v>
      </c>
      <c r="H152" s="8">
        <v>8400.0</v>
      </c>
      <c r="I152" s="8">
        <v>3076.2222983539104</v>
      </c>
      <c r="J152" s="8">
        <v>57153.0</v>
      </c>
      <c r="K152" s="18">
        <f t="shared" si="4"/>
        <v>0.1469739121</v>
      </c>
      <c r="L152" s="18">
        <f t="shared" si="5"/>
        <v>0.3662169403</v>
      </c>
      <c r="M152" s="18">
        <f t="shared" si="6"/>
        <v>0.0538243364</v>
      </c>
      <c r="N152" s="18">
        <f t="shared" si="7"/>
        <v>1.057182523</v>
      </c>
      <c r="T152" s="18"/>
      <c r="U152" s="18"/>
      <c r="V152" s="18"/>
      <c r="W152" s="18"/>
    </row>
    <row r="153" ht="15.75" customHeight="1">
      <c r="A153" s="8">
        <v>31206.0</v>
      </c>
      <c r="B153" s="8">
        <v>736.0</v>
      </c>
      <c r="C153" s="8">
        <v>270.6666732132435</v>
      </c>
      <c r="D153" s="8">
        <v>5244.0</v>
      </c>
      <c r="E153" s="18">
        <f t="shared" si="1"/>
        <v>0.1403508772</v>
      </c>
      <c r="F153" s="18">
        <f t="shared" si="2"/>
        <v>0.3677536321</v>
      </c>
      <c r="G153" s="18">
        <f t="shared" si="3"/>
        <v>0.05161454485</v>
      </c>
      <c r="H153" s="8">
        <v>5934.0</v>
      </c>
      <c r="I153" s="8">
        <v>2182.4444996118546</v>
      </c>
      <c r="J153" s="8">
        <v>38180.0</v>
      </c>
      <c r="K153" s="18">
        <f t="shared" si="4"/>
        <v>0.1554216867</v>
      </c>
      <c r="L153" s="18">
        <f t="shared" si="5"/>
        <v>0.3677864003</v>
      </c>
      <c r="M153" s="18">
        <f t="shared" si="6"/>
        <v>0.0571619827</v>
      </c>
      <c r="N153" s="18">
        <f t="shared" si="7"/>
        <v>1.10747819</v>
      </c>
      <c r="T153" s="18"/>
      <c r="U153" s="18"/>
      <c r="V153" s="18"/>
      <c r="W153" s="18"/>
    </row>
    <row r="154" ht="15.75" customHeight="1">
      <c r="A154" s="8">
        <v>31301.0</v>
      </c>
      <c r="B154" s="8">
        <v>194.0</v>
      </c>
      <c r="C154" s="8">
        <v>69.77777951955795</v>
      </c>
      <c r="D154" s="8">
        <v>1502.0</v>
      </c>
      <c r="E154" s="18">
        <f t="shared" si="1"/>
        <v>0.1291611185</v>
      </c>
      <c r="F154" s="18">
        <f t="shared" si="2"/>
        <v>0.3596792759</v>
      </c>
      <c r="G154" s="18">
        <f t="shared" si="3"/>
        <v>0.04645657758</v>
      </c>
      <c r="H154" s="8">
        <v>3244.0</v>
      </c>
      <c r="I154" s="8">
        <v>1233.8889189362526</v>
      </c>
      <c r="J154" s="8">
        <v>17653.0</v>
      </c>
      <c r="K154" s="18">
        <f t="shared" si="4"/>
        <v>0.1837647992</v>
      </c>
      <c r="L154" s="18">
        <f t="shared" si="5"/>
        <v>0.3803603326</v>
      </c>
      <c r="M154" s="18">
        <f t="shared" si="6"/>
        <v>0.06989684014</v>
      </c>
      <c r="N154" s="18">
        <f t="shared" si="7"/>
        <v>1.504562837</v>
      </c>
      <c r="T154" s="18"/>
      <c r="U154" s="18"/>
      <c r="V154" s="18"/>
      <c r="W154" s="18"/>
    </row>
    <row r="155" ht="15.75" customHeight="1">
      <c r="A155" s="8">
        <v>31302.0</v>
      </c>
      <c r="B155" s="8">
        <v>58.0</v>
      </c>
      <c r="C155" s="8">
        <v>22.555556058883667</v>
      </c>
      <c r="D155" s="8">
        <v>223.0</v>
      </c>
      <c r="E155" s="18">
        <f t="shared" si="1"/>
        <v>0.2600896861</v>
      </c>
      <c r="F155" s="18">
        <f t="shared" si="2"/>
        <v>0.3888888976</v>
      </c>
      <c r="G155" s="18">
        <f t="shared" si="3"/>
        <v>0.1011459913</v>
      </c>
      <c r="H155" s="8">
        <v>2455.0</v>
      </c>
      <c r="I155" s="8">
        <v>1008.555582344532</v>
      </c>
      <c r="J155" s="8">
        <v>4936.0</v>
      </c>
      <c r="K155" s="18">
        <f t="shared" si="4"/>
        <v>0.4973662885</v>
      </c>
      <c r="L155" s="18">
        <f t="shared" si="5"/>
        <v>0.4108169378</v>
      </c>
      <c r="M155" s="18">
        <f t="shared" si="6"/>
        <v>0.2043264956</v>
      </c>
      <c r="N155" s="18">
        <f t="shared" si="7"/>
        <v>2.020114618</v>
      </c>
      <c r="T155" s="18"/>
      <c r="U155" s="18"/>
      <c r="V155" s="18"/>
      <c r="W155" s="18"/>
    </row>
    <row r="156" ht="15.75" customHeight="1">
      <c r="A156" s="8">
        <v>31303.0</v>
      </c>
      <c r="B156" s="8">
        <v>52.0</v>
      </c>
      <c r="C156" s="8">
        <v>20.000000447034836</v>
      </c>
      <c r="D156" s="8">
        <v>109.0</v>
      </c>
      <c r="E156" s="18">
        <f t="shared" si="1"/>
        <v>0.4770642202</v>
      </c>
      <c r="F156" s="18">
        <f t="shared" si="2"/>
        <v>0.3846153932</v>
      </c>
      <c r="G156" s="18">
        <f t="shared" si="3"/>
        <v>0.1834862426</v>
      </c>
      <c r="H156" s="8">
        <v>1297.0</v>
      </c>
      <c r="I156" s="8">
        <v>506.11112347245216</v>
      </c>
      <c r="J156" s="8">
        <v>3340.0</v>
      </c>
      <c r="K156" s="18">
        <f t="shared" si="4"/>
        <v>0.3883233533</v>
      </c>
      <c r="L156" s="18">
        <f t="shared" si="5"/>
        <v>0.390216749</v>
      </c>
      <c r="M156" s="18">
        <f t="shared" si="6"/>
        <v>0.1515302765</v>
      </c>
      <c r="N156" s="18">
        <f t="shared" si="7"/>
        <v>0.8258399884</v>
      </c>
      <c r="T156" s="18"/>
      <c r="U156" s="18"/>
      <c r="V156" s="18"/>
      <c r="W156" s="18"/>
    </row>
    <row r="157" ht="15.75" customHeight="1">
      <c r="A157" s="8">
        <v>31304.0</v>
      </c>
      <c r="B157" s="8">
        <v>148.0</v>
      </c>
      <c r="C157" s="8">
        <v>60.66666799783707</v>
      </c>
      <c r="D157" s="8">
        <v>352.0</v>
      </c>
      <c r="E157" s="18">
        <f t="shared" si="1"/>
        <v>0.4204545455</v>
      </c>
      <c r="F157" s="18">
        <f t="shared" si="2"/>
        <v>0.4099099189</v>
      </c>
      <c r="G157" s="18">
        <f t="shared" si="3"/>
        <v>0.1723484886</v>
      </c>
      <c r="H157" s="8">
        <v>5107.0</v>
      </c>
      <c r="I157" s="8">
        <v>2292.111172616482</v>
      </c>
      <c r="J157" s="8">
        <v>7595.0</v>
      </c>
      <c r="K157" s="18">
        <f t="shared" si="4"/>
        <v>0.6724160632</v>
      </c>
      <c r="L157" s="18">
        <f t="shared" si="5"/>
        <v>0.4488175392</v>
      </c>
      <c r="M157" s="18">
        <f t="shared" si="6"/>
        <v>0.3017921228</v>
      </c>
      <c r="N157" s="18">
        <f t="shared" si="7"/>
        <v>1.751057553</v>
      </c>
      <c r="T157" s="18"/>
      <c r="U157" s="18"/>
      <c r="V157" s="18"/>
      <c r="W157" s="18"/>
    </row>
    <row r="158" ht="15.75" customHeight="1">
      <c r="A158" s="8">
        <v>31401.0</v>
      </c>
      <c r="B158" s="8">
        <v>287.0</v>
      </c>
      <c r="C158" s="8">
        <v>101.44444718956947</v>
      </c>
      <c r="D158" s="8">
        <v>2370.0</v>
      </c>
      <c r="E158" s="18">
        <f t="shared" si="1"/>
        <v>0.1210970464</v>
      </c>
      <c r="F158" s="18">
        <f t="shared" si="2"/>
        <v>0.3534649728</v>
      </c>
      <c r="G158" s="18">
        <f t="shared" si="3"/>
        <v>0.04280356422</v>
      </c>
      <c r="H158" s="8">
        <v>1481.0</v>
      </c>
      <c r="I158" s="8">
        <v>534.2222360670567</v>
      </c>
      <c r="J158" s="8">
        <v>31373.0</v>
      </c>
      <c r="K158" s="18">
        <f t="shared" si="4"/>
        <v>0.04720619641</v>
      </c>
      <c r="L158" s="18">
        <f t="shared" si="5"/>
        <v>0.3607172424</v>
      </c>
      <c r="M158" s="18">
        <f t="shared" si="6"/>
        <v>0.017028089</v>
      </c>
      <c r="N158" s="18">
        <f t="shared" si="7"/>
        <v>0.3978194178</v>
      </c>
      <c r="T158" s="18"/>
      <c r="U158" s="18"/>
      <c r="V158" s="18"/>
      <c r="W158" s="18"/>
    </row>
    <row r="159" ht="15.75" customHeight="1">
      <c r="A159" s="8">
        <v>31402.0</v>
      </c>
      <c r="B159" s="8">
        <v>107.0</v>
      </c>
      <c r="C159" s="8">
        <v>37.555556535720825</v>
      </c>
      <c r="D159" s="8">
        <v>1010.0</v>
      </c>
      <c r="E159" s="18">
        <f t="shared" si="1"/>
        <v>0.1059405941</v>
      </c>
      <c r="F159" s="18">
        <f t="shared" si="2"/>
        <v>0.3509865097</v>
      </c>
      <c r="G159" s="18">
        <f t="shared" si="3"/>
        <v>0.03718371934</v>
      </c>
      <c r="H159" s="8">
        <v>520.0</v>
      </c>
      <c r="I159" s="8">
        <v>189.11111614108086</v>
      </c>
      <c r="J159" s="8">
        <v>7363.0</v>
      </c>
      <c r="K159" s="18">
        <f t="shared" si="4"/>
        <v>0.07062338721</v>
      </c>
      <c r="L159" s="18">
        <f t="shared" si="5"/>
        <v>0.3636752233</v>
      </c>
      <c r="M159" s="18">
        <f t="shared" si="6"/>
        <v>0.02568397612</v>
      </c>
      <c r="N159" s="18">
        <f t="shared" si="7"/>
        <v>0.6907317657</v>
      </c>
      <c r="T159" s="18"/>
      <c r="U159" s="18"/>
      <c r="V159" s="18"/>
      <c r="W159" s="18"/>
    </row>
    <row r="160" ht="15.75" customHeight="1">
      <c r="A160" s="8">
        <v>31403.0</v>
      </c>
      <c r="B160" s="8">
        <v>78.0</v>
      </c>
      <c r="C160" s="8">
        <v>28.33333396911621</v>
      </c>
      <c r="D160" s="8">
        <v>1161.0</v>
      </c>
      <c r="E160" s="18">
        <f t="shared" si="1"/>
        <v>0.06718346253</v>
      </c>
      <c r="F160" s="18">
        <f t="shared" si="2"/>
        <v>0.3632478714</v>
      </c>
      <c r="G160" s="18">
        <f t="shared" si="3"/>
        <v>0.02440424976</v>
      </c>
      <c r="H160" s="8">
        <v>557.0</v>
      </c>
      <c r="I160" s="8">
        <v>200.66667187213898</v>
      </c>
      <c r="J160" s="8">
        <v>11604.0</v>
      </c>
      <c r="K160" s="18">
        <f t="shared" si="4"/>
        <v>0.04800068942</v>
      </c>
      <c r="L160" s="18">
        <f t="shared" si="5"/>
        <v>0.3602633247</v>
      </c>
      <c r="M160" s="18">
        <f t="shared" si="6"/>
        <v>0.01729288796</v>
      </c>
      <c r="N160" s="18">
        <f t="shared" si="7"/>
        <v>0.7086014989</v>
      </c>
      <c r="T160" s="18"/>
      <c r="U160" s="18"/>
      <c r="V160" s="18"/>
      <c r="W160" s="18"/>
    </row>
    <row r="161" ht="15.75" customHeight="1">
      <c r="A161" s="8">
        <v>31404.0</v>
      </c>
      <c r="B161" s="8">
        <v>8.0</v>
      </c>
      <c r="C161" s="8">
        <v>3.444444477558136</v>
      </c>
      <c r="D161" s="8">
        <v>156.0</v>
      </c>
      <c r="E161" s="18">
        <f t="shared" si="1"/>
        <v>0.05128205128</v>
      </c>
      <c r="F161" s="18">
        <f t="shared" si="2"/>
        <v>0.4305555597</v>
      </c>
      <c r="G161" s="18">
        <f t="shared" si="3"/>
        <v>0.02207977229</v>
      </c>
      <c r="H161" s="8">
        <v>61.0</v>
      </c>
      <c r="I161" s="8">
        <v>22.777778297662735</v>
      </c>
      <c r="J161" s="8">
        <v>1103.0</v>
      </c>
      <c r="K161" s="18">
        <f t="shared" si="4"/>
        <v>0.05530371714</v>
      </c>
      <c r="L161" s="18">
        <f t="shared" si="5"/>
        <v>0.3734062016</v>
      </c>
      <c r="M161" s="18">
        <f t="shared" si="6"/>
        <v>0.02065075095</v>
      </c>
      <c r="N161" s="18">
        <f t="shared" si="7"/>
        <v>0.9352791631</v>
      </c>
      <c r="T161" s="18"/>
      <c r="U161" s="18"/>
      <c r="V161" s="18"/>
      <c r="W161" s="18"/>
    </row>
    <row r="162" ht="15.75" customHeight="1">
      <c r="A162" s="8">
        <v>31405.0</v>
      </c>
      <c r="B162" s="8">
        <v>32.0</v>
      </c>
      <c r="C162" s="8">
        <v>11.111111402511597</v>
      </c>
      <c r="D162" s="8">
        <v>158.0</v>
      </c>
      <c r="E162" s="18">
        <f t="shared" si="1"/>
        <v>0.2025316456</v>
      </c>
      <c r="F162" s="18">
        <f t="shared" si="2"/>
        <v>0.3472222313</v>
      </c>
      <c r="G162" s="18">
        <f t="shared" si="3"/>
        <v>0.07032348989</v>
      </c>
      <c r="H162" s="8">
        <v>560.0</v>
      </c>
      <c r="I162" s="8">
        <v>221.66667187213898</v>
      </c>
      <c r="J162" s="8">
        <v>3572.0</v>
      </c>
      <c r="K162" s="18">
        <f t="shared" si="4"/>
        <v>0.156774916</v>
      </c>
      <c r="L162" s="18">
        <f t="shared" si="5"/>
        <v>0.3958333426</v>
      </c>
      <c r="M162" s="18">
        <f t="shared" si="6"/>
        <v>0.06205673905</v>
      </c>
      <c r="N162" s="18">
        <f t="shared" si="7"/>
        <v>0.8824468061</v>
      </c>
      <c r="T162" s="18"/>
      <c r="U162" s="18"/>
      <c r="V162" s="18"/>
      <c r="W162" s="18"/>
    </row>
    <row r="163" ht="15.75" customHeight="1">
      <c r="A163" s="8">
        <v>31501.0</v>
      </c>
      <c r="B163" s="8">
        <v>85.0</v>
      </c>
      <c r="C163" s="8">
        <v>32.22222286462784</v>
      </c>
      <c r="D163" s="8">
        <v>405.0</v>
      </c>
      <c r="E163" s="18">
        <f t="shared" si="1"/>
        <v>0.2098765432</v>
      </c>
      <c r="F163" s="18">
        <f t="shared" si="2"/>
        <v>0.3790849749</v>
      </c>
      <c r="G163" s="18">
        <f t="shared" si="3"/>
        <v>0.07956104411</v>
      </c>
      <c r="H163" s="8">
        <v>2154.0</v>
      </c>
      <c r="I163" s="8">
        <v>805.6666864454746</v>
      </c>
      <c r="J163" s="8">
        <v>7644.0</v>
      </c>
      <c r="K163" s="18">
        <f t="shared" si="4"/>
        <v>0.2817896389</v>
      </c>
      <c r="L163" s="18">
        <f t="shared" si="5"/>
        <v>0.3740328164</v>
      </c>
      <c r="M163" s="18">
        <f t="shared" si="6"/>
        <v>0.1053985723</v>
      </c>
      <c r="N163" s="18">
        <f t="shared" si="7"/>
        <v>1.324750994</v>
      </c>
      <c r="T163" s="18"/>
      <c r="U163" s="18"/>
      <c r="V163" s="18"/>
      <c r="W163" s="18"/>
    </row>
    <row r="164" ht="15.75" customHeight="1">
      <c r="A164" s="8">
        <v>31601.0</v>
      </c>
      <c r="B164" s="8">
        <v>242.0</v>
      </c>
      <c r="C164" s="8">
        <v>97.0000019967556</v>
      </c>
      <c r="D164" s="8">
        <v>825.0</v>
      </c>
      <c r="E164" s="18">
        <f t="shared" si="1"/>
        <v>0.2933333333</v>
      </c>
      <c r="F164" s="18">
        <f t="shared" si="2"/>
        <v>0.4008264545</v>
      </c>
      <c r="G164" s="18">
        <f t="shared" si="3"/>
        <v>0.11757576</v>
      </c>
      <c r="H164" s="8">
        <v>1901.0</v>
      </c>
      <c r="I164" s="8">
        <v>718.6666844189167</v>
      </c>
      <c r="J164" s="8">
        <v>17264.0</v>
      </c>
      <c r="K164" s="18">
        <f t="shared" si="4"/>
        <v>0.110113531</v>
      </c>
      <c r="L164" s="18">
        <f t="shared" si="5"/>
        <v>0.3780466515</v>
      </c>
      <c r="M164" s="18">
        <f t="shared" si="6"/>
        <v>0.04162805169</v>
      </c>
      <c r="N164" s="18">
        <f t="shared" si="7"/>
        <v>0.3540530097</v>
      </c>
      <c r="T164" s="18"/>
      <c r="U164" s="18"/>
      <c r="V164" s="18"/>
      <c r="W164" s="18"/>
    </row>
    <row r="165" ht="15.75" customHeight="1">
      <c r="A165" s="8">
        <v>31602.0</v>
      </c>
      <c r="B165" s="8">
        <v>404.0</v>
      </c>
      <c r="C165" s="8">
        <v>148.55555927753448</v>
      </c>
      <c r="D165" s="8">
        <v>3686.0</v>
      </c>
      <c r="E165" s="18">
        <f t="shared" si="1"/>
        <v>0.1096039067</v>
      </c>
      <c r="F165" s="18">
        <f t="shared" si="2"/>
        <v>0.3677117804</v>
      </c>
      <c r="G165" s="18">
        <f t="shared" si="3"/>
        <v>0.04030264766</v>
      </c>
      <c r="H165" s="8">
        <v>2379.0</v>
      </c>
      <c r="I165" s="8">
        <v>875.6666879057884</v>
      </c>
      <c r="J165" s="8">
        <v>22338.0</v>
      </c>
      <c r="K165" s="18">
        <f t="shared" si="4"/>
        <v>0.1065001343</v>
      </c>
      <c r="L165" s="18">
        <f t="shared" si="5"/>
        <v>0.368081836</v>
      </c>
      <c r="M165" s="18">
        <f t="shared" si="6"/>
        <v>0.03920076497</v>
      </c>
      <c r="N165" s="18">
        <f t="shared" si="7"/>
        <v>0.972659794</v>
      </c>
      <c r="T165" s="18"/>
      <c r="U165" s="18"/>
      <c r="V165" s="18"/>
      <c r="W165" s="18"/>
    </row>
    <row r="166" ht="15.75" customHeight="1">
      <c r="A166" s="8">
        <v>40101.0</v>
      </c>
      <c r="B166" s="8">
        <v>1335.0</v>
      </c>
      <c r="C166" s="8">
        <v>494.5555682480335</v>
      </c>
      <c r="D166" s="8">
        <v>20935.0</v>
      </c>
      <c r="E166" s="18">
        <f t="shared" si="1"/>
        <v>0.06376880822</v>
      </c>
      <c r="F166" s="18">
        <f t="shared" si="2"/>
        <v>0.3704536092</v>
      </c>
      <c r="G166" s="18">
        <f t="shared" si="3"/>
        <v>0.02362338516</v>
      </c>
      <c r="H166" s="8">
        <v>4537.0</v>
      </c>
      <c r="I166" s="8">
        <v>1635.111152946949</v>
      </c>
      <c r="J166" s="8">
        <v>266806.0</v>
      </c>
      <c r="K166" s="18">
        <f t="shared" si="4"/>
        <v>0.01700486496</v>
      </c>
      <c r="L166" s="18">
        <f t="shared" si="5"/>
        <v>0.360394788</v>
      </c>
      <c r="M166" s="18">
        <f t="shared" si="6"/>
        <v>0.006128464701</v>
      </c>
      <c r="N166" s="18">
        <f t="shared" si="7"/>
        <v>0.2594236457</v>
      </c>
      <c r="T166" s="18"/>
      <c r="U166" s="18"/>
      <c r="V166" s="18"/>
      <c r="W166" s="18"/>
    </row>
    <row r="167" ht="15.75" customHeight="1">
      <c r="A167" s="8">
        <v>40102.0</v>
      </c>
      <c r="B167" s="8">
        <v>151.0</v>
      </c>
      <c r="C167" s="8">
        <v>53.777779161930084</v>
      </c>
      <c r="D167" s="8">
        <v>1666.0</v>
      </c>
      <c r="E167" s="18">
        <f t="shared" si="1"/>
        <v>0.0906362545</v>
      </c>
      <c r="F167" s="18">
        <f t="shared" si="2"/>
        <v>0.3561442329</v>
      </c>
      <c r="G167" s="18">
        <f t="shared" si="3"/>
        <v>0.03227957933</v>
      </c>
      <c r="H167" s="8">
        <v>2872.0</v>
      </c>
      <c r="I167" s="8">
        <v>1036.8889147341251</v>
      </c>
      <c r="J167" s="8">
        <v>20350.0</v>
      </c>
      <c r="K167" s="18">
        <f t="shared" si="4"/>
        <v>0.1411302211</v>
      </c>
      <c r="L167" s="18">
        <f t="shared" si="5"/>
        <v>0.3610337447</v>
      </c>
      <c r="M167" s="18">
        <f t="shared" si="6"/>
        <v>0.05095277222</v>
      </c>
      <c r="N167" s="18">
        <f t="shared" si="7"/>
        <v>1.578483155</v>
      </c>
      <c r="T167" s="18"/>
      <c r="U167" s="18"/>
      <c r="V167" s="18"/>
      <c r="W167" s="18"/>
    </row>
    <row r="168" ht="15.75" customHeight="1">
      <c r="A168" s="8">
        <v>40103.0</v>
      </c>
      <c r="B168" s="8">
        <v>442.0</v>
      </c>
      <c r="C168" s="8">
        <v>164.11111497879028</v>
      </c>
      <c r="D168" s="8">
        <v>784.0</v>
      </c>
      <c r="E168" s="18">
        <f t="shared" si="1"/>
        <v>0.5637755102</v>
      </c>
      <c r="F168" s="18">
        <f t="shared" si="2"/>
        <v>0.3712921153</v>
      </c>
      <c r="G168" s="18">
        <f t="shared" si="3"/>
        <v>0.2093254018</v>
      </c>
      <c r="H168" s="8">
        <v>4825.0</v>
      </c>
      <c r="I168" s="8">
        <v>1798.222265958786</v>
      </c>
      <c r="J168" s="8">
        <v>8875.0</v>
      </c>
      <c r="K168" s="18">
        <f t="shared" si="4"/>
        <v>0.5436619718</v>
      </c>
      <c r="L168" s="18">
        <f t="shared" si="5"/>
        <v>0.3726885525</v>
      </c>
      <c r="M168" s="18">
        <f t="shared" si="6"/>
        <v>0.2026165933</v>
      </c>
      <c r="N168" s="18">
        <f t="shared" si="7"/>
        <v>0.9679503378</v>
      </c>
      <c r="T168" s="18"/>
      <c r="U168" s="18"/>
      <c r="V168" s="18"/>
      <c r="W168" s="18"/>
    </row>
    <row r="169" ht="15.75" customHeight="1">
      <c r="A169" s="8">
        <v>40104.0</v>
      </c>
      <c r="B169" s="8">
        <v>216.0</v>
      </c>
      <c r="C169" s="8">
        <v>78.66666856408119</v>
      </c>
      <c r="D169" s="8">
        <v>1221.0</v>
      </c>
      <c r="E169" s="18">
        <f t="shared" si="1"/>
        <v>0.1769041769</v>
      </c>
      <c r="F169" s="18">
        <f t="shared" si="2"/>
        <v>0.3641975396</v>
      </c>
      <c r="G169" s="18">
        <f t="shared" si="3"/>
        <v>0.06442806598</v>
      </c>
      <c r="H169" s="8">
        <v>1633.0</v>
      </c>
      <c r="I169" s="8">
        <v>603.6666815280914</v>
      </c>
      <c r="J169" s="8">
        <v>14275.0</v>
      </c>
      <c r="K169" s="18">
        <f t="shared" si="4"/>
        <v>0.1143957968</v>
      </c>
      <c r="L169" s="18">
        <f t="shared" si="5"/>
        <v>0.3696672881</v>
      </c>
      <c r="M169" s="18">
        <f t="shared" si="6"/>
        <v>0.04228838399</v>
      </c>
      <c r="N169" s="18">
        <f t="shared" si="7"/>
        <v>0.6563658764</v>
      </c>
      <c r="T169" s="18"/>
      <c r="U169" s="18"/>
      <c r="V169" s="18"/>
      <c r="W169" s="18"/>
    </row>
    <row r="170" ht="15.75" customHeight="1">
      <c r="A170" s="8">
        <v>40201.0</v>
      </c>
      <c r="B170" s="8">
        <v>250.0</v>
      </c>
      <c r="C170" s="8">
        <v>89.55555778741837</v>
      </c>
      <c r="D170" s="8">
        <v>2374.0</v>
      </c>
      <c r="E170" s="18">
        <f t="shared" si="1"/>
        <v>0.1053074979</v>
      </c>
      <c r="F170" s="18">
        <f t="shared" si="2"/>
        <v>0.3582222311</v>
      </c>
      <c r="G170" s="18">
        <f t="shared" si="3"/>
        <v>0.03772348685</v>
      </c>
      <c r="H170" s="8">
        <v>5840.0</v>
      </c>
      <c r="I170" s="8">
        <v>2162.444498360157</v>
      </c>
      <c r="J170" s="8">
        <v>32001.0</v>
      </c>
      <c r="K170" s="18">
        <f t="shared" si="4"/>
        <v>0.1824942971</v>
      </c>
      <c r="L170" s="18">
        <f t="shared" si="5"/>
        <v>0.3702815922</v>
      </c>
      <c r="M170" s="18">
        <f t="shared" si="6"/>
        <v>0.06757427888</v>
      </c>
      <c r="N170" s="18">
        <f t="shared" si="7"/>
        <v>1.791305219</v>
      </c>
      <c r="T170" s="18"/>
      <c r="U170" s="18"/>
      <c r="V170" s="18"/>
      <c r="W170" s="18"/>
    </row>
    <row r="171" ht="15.75" customHeight="1">
      <c r="A171" s="8">
        <v>40202.0</v>
      </c>
      <c r="B171" s="8">
        <v>133.0</v>
      </c>
      <c r="C171" s="8">
        <v>49.222223341464996</v>
      </c>
      <c r="D171" s="8">
        <v>466.0</v>
      </c>
      <c r="E171" s="18">
        <f t="shared" si="1"/>
        <v>0.2854077253</v>
      </c>
      <c r="F171" s="18">
        <f t="shared" si="2"/>
        <v>0.3700919048</v>
      </c>
      <c r="G171" s="18">
        <f t="shared" si="3"/>
        <v>0.1056270887</v>
      </c>
      <c r="H171" s="8">
        <v>985.0</v>
      </c>
      <c r="I171" s="8">
        <v>349.00000888109207</v>
      </c>
      <c r="J171" s="8">
        <v>4589.0</v>
      </c>
      <c r="K171" s="18">
        <f t="shared" si="4"/>
        <v>0.2146437132</v>
      </c>
      <c r="L171" s="18">
        <f t="shared" si="5"/>
        <v>0.3543147298</v>
      </c>
      <c r="M171" s="18">
        <f t="shared" si="6"/>
        <v>0.07605142926</v>
      </c>
      <c r="N171" s="18">
        <f t="shared" si="7"/>
        <v>0.7199992936</v>
      </c>
      <c r="T171" s="18"/>
      <c r="U171" s="18"/>
      <c r="V171" s="18"/>
      <c r="W171" s="18"/>
    </row>
    <row r="172" ht="15.75" customHeight="1">
      <c r="A172" s="8">
        <v>40301.0</v>
      </c>
      <c r="B172" s="8">
        <v>436.0</v>
      </c>
      <c r="C172" s="8">
        <v>167.1111147403717</v>
      </c>
      <c r="D172" s="8">
        <v>1831.0</v>
      </c>
      <c r="E172" s="18">
        <f t="shared" si="1"/>
        <v>0.2381212452</v>
      </c>
      <c r="F172" s="18">
        <f t="shared" si="2"/>
        <v>0.3832823733</v>
      </c>
      <c r="G172" s="18">
        <f t="shared" si="3"/>
        <v>0.09126767599</v>
      </c>
      <c r="H172" s="8">
        <v>4761.0</v>
      </c>
      <c r="I172" s="8">
        <v>1774.4444882571697</v>
      </c>
      <c r="J172" s="8">
        <v>13732.0</v>
      </c>
      <c r="K172" s="18">
        <f t="shared" si="4"/>
        <v>0.3467084183</v>
      </c>
      <c r="L172" s="18">
        <f t="shared" si="5"/>
        <v>0.3727041563</v>
      </c>
      <c r="M172" s="18">
        <f t="shared" si="6"/>
        <v>0.1292196685</v>
      </c>
      <c r="N172" s="18">
        <f t="shared" si="7"/>
        <v>1.415831696</v>
      </c>
      <c r="T172" s="18"/>
      <c r="U172" s="18"/>
      <c r="V172" s="18"/>
      <c r="W172" s="18"/>
    </row>
    <row r="173" ht="15.75" customHeight="1">
      <c r="A173" s="8">
        <v>40302.0</v>
      </c>
      <c r="B173" s="8">
        <v>26.0</v>
      </c>
      <c r="C173" s="8">
        <v>8.888889133930206</v>
      </c>
      <c r="D173" s="8">
        <v>158.0</v>
      </c>
      <c r="E173" s="18">
        <f t="shared" si="1"/>
        <v>0.164556962</v>
      </c>
      <c r="F173" s="18">
        <f t="shared" si="2"/>
        <v>0.3418803513</v>
      </c>
      <c r="G173" s="18">
        <f t="shared" si="3"/>
        <v>0.05625879199</v>
      </c>
      <c r="H173" s="8">
        <v>639.0</v>
      </c>
      <c r="I173" s="8">
        <v>230.1111170053482</v>
      </c>
      <c r="J173" s="8">
        <v>2301.0</v>
      </c>
      <c r="K173" s="18">
        <f t="shared" si="4"/>
        <v>0.2777053455</v>
      </c>
      <c r="L173" s="18">
        <f t="shared" si="5"/>
        <v>0.3601112942</v>
      </c>
      <c r="M173" s="18">
        <f t="shared" si="6"/>
        <v>0.1000048314</v>
      </c>
      <c r="N173" s="18">
        <f t="shared" si="7"/>
        <v>1.777585829</v>
      </c>
      <c r="T173" s="18"/>
      <c r="U173" s="18"/>
      <c r="V173" s="18"/>
      <c r="W173" s="18"/>
    </row>
    <row r="174" ht="15.75" customHeight="1">
      <c r="A174" s="8">
        <v>40401.0</v>
      </c>
      <c r="B174" s="8">
        <v>39.0</v>
      </c>
      <c r="C174" s="8">
        <v>14.888889342546463</v>
      </c>
      <c r="D174" s="8">
        <v>348.0</v>
      </c>
      <c r="E174" s="18">
        <f t="shared" si="1"/>
        <v>0.1120689655</v>
      </c>
      <c r="F174" s="18">
        <f t="shared" si="2"/>
        <v>0.3817663934</v>
      </c>
      <c r="G174" s="18">
        <f t="shared" si="3"/>
        <v>0.04278416478</v>
      </c>
      <c r="H174" s="8">
        <v>1170.0</v>
      </c>
      <c r="I174" s="8">
        <v>435.55556559562683</v>
      </c>
      <c r="J174" s="8">
        <v>5952.0</v>
      </c>
      <c r="K174" s="18">
        <f t="shared" si="4"/>
        <v>0.1965725806</v>
      </c>
      <c r="L174" s="18">
        <f t="shared" si="5"/>
        <v>0.3722697142</v>
      </c>
      <c r="M174" s="18">
        <f t="shared" si="6"/>
        <v>0.07317801841</v>
      </c>
      <c r="N174" s="18">
        <f t="shared" si="7"/>
        <v>1.710399602</v>
      </c>
      <c r="T174" s="18"/>
      <c r="U174" s="18"/>
      <c r="V174" s="18"/>
      <c r="W174" s="18"/>
    </row>
    <row r="175" ht="15.75" customHeight="1">
      <c r="A175" s="8">
        <v>40402.0</v>
      </c>
      <c r="B175" s="8">
        <v>60.0</v>
      </c>
      <c r="C175" s="8">
        <v>22.222222685813904</v>
      </c>
      <c r="D175" s="8">
        <v>367.0</v>
      </c>
      <c r="E175" s="18">
        <f t="shared" si="1"/>
        <v>0.1634877384</v>
      </c>
      <c r="F175" s="18">
        <f t="shared" si="2"/>
        <v>0.3703703781</v>
      </c>
      <c r="G175" s="18">
        <f t="shared" si="3"/>
        <v>0.06055101549</v>
      </c>
      <c r="H175" s="8">
        <v>1739.0</v>
      </c>
      <c r="I175" s="8">
        <v>651.333348929882</v>
      </c>
      <c r="J175" s="8">
        <v>5095.0</v>
      </c>
      <c r="K175" s="18">
        <f t="shared" si="4"/>
        <v>0.3413150147</v>
      </c>
      <c r="L175" s="18">
        <f t="shared" si="5"/>
        <v>0.3745447665</v>
      </c>
      <c r="M175" s="18">
        <f t="shared" si="6"/>
        <v>0.1278377525</v>
      </c>
      <c r="N175" s="18">
        <f t="shared" si="7"/>
        <v>2.111240438</v>
      </c>
      <c r="T175" s="18"/>
      <c r="U175" s="18"/>
      <c r="V175" s="18"/>
      <c r="W175" s="18"/>
    </row>
    <row r="176" ht="15.75" customHeight="1">
      <c r="A176" s="8">
        <v>40501.0</v>
      </c>
      <c r="B176" s="8">
        <v>9.0</v>
      </c>
      <c r="C176" s="8">
        <v>3.3333334028720856</v>
      </c>
      <c r="D176" s="8">
        <v>683.0</v>
      </c>
      <c r="E176" s="18">
        <f t="shared" si="1"/>
        <v>0.01317715959</v>
      </c>
      <c r="F176" s="18">
        <f t="shared" si="2"/>
        <v>0.3703703781</v>
      </c>
      <c r="G176" s="18">
        <f t="shared" si="3"/>
        <v>0.00488042958</v>
      </c>
      <c r="H176" s="8">
        <v>83.0</v>
      </c>
      <c r="I176" s="8">
        <v>28.55555632710457</v>
      </c>
      <c r="J176" s="8">
        <v>2974.0</v>
      </c>
      <c r="K176" s="18">
        <f t="shared" si="4"/>
        <v>0.02790854069</v>
      </c>
      <c r="L176" s="18">
        <f t="shared" si="5"/>
        <v>0.3440428473</v>
      </c>
      <c r="M176" s="18">
        <f t="shared" si="6"/>
        <v>0.009601733802</v>
      </c>
      <c r="N176" s="18">
        <f t="shared" si="7"/>
        <v>1.967395215</v>
      </c>
      <c r="T176" s="18"/>
      <c r="U176" s="18"/>
      <c r="V176" s="18"/>
      <c r="W176" s="18"/>
    </row>
    <row r="177" ht="15.75" customHeight="1">
      <c r="A177" s="8">
        <v>40502.0</v>
      </c>
      <c r="B177" s="8">
        <v>36.0</v>
      </c>
      <c r="C177" s="8">
        <v>13.888889133930206</v>
      </c>
      <c r="D177" s="8">
        <v>430.0</v>
      </c>
      <c r="E177" s="18">
        <f t="shared" si="1"/>
        <v>0.08372093023</v>
      </c>
      <c r="F177" s="18">
        <f t="shared" si="2"/>
        <v>0.3858024759</v>
      </c>
      <c r="G177" s="18">
        <f t="shared" si="3"/>
        <v>0.03229974217</v>
      </c>
      <c r="H177" s="8">
        <v>718.0</v>
      </c>
      <c r="I177" s="8">
        <v>264.33333989977837</v>
      </c>
      <c r="J177" s="8">
        <v>3690.0</v>
      </c>
      <c r="K177" s="18">
        <f t="shared" si="4"/>
        <v>0.1945799458</v>
      </c>
      <c r="L177" s="18">
        <f t="shared" si="5"/>
        <v>0.368152284</v>
      </c>
      <c r="M177" s="18">
        <f t="shared" si="6"/>
        <v>0.07163505146</v>
      </c>
      <c r="N177" s="18">
        <f t="shared" si="7"/>
        <v>2.217821154</v>
      </c>
      <c r="T177" s="18"/>
      <c r="U177" s="18"/>
      <c r="V177" s="18"/>
      <c r="W177" s="18"/>
    </row>
    <row r="178" ht="15.75" customHeight="1">
      <c r="A178" s="8">
        <v>40503.0</v>
      </c>
      <c r="B178" s="8">
        <v>46.0</v>
      </c>
      <c r="C178" s="8">
        <v>18.44444489479065</v>
      </c>
      <c r="D178" s="8">
        <v>306.0</v>
      </c>
      <c r="E178" s="18">
        <f t="shared" si="1"/>
        <v>0.1503267974</v>
      </c>
      <c r="F178" s="18">
        <f t="shared" si="2"/>
        <v>0.4009661934</v>
      </c>
      <c r="G178" s="18">
        <f t="shared" si="3"/>
        <v>0.06027596371</v>
      </c>
      <c r="H178" s="8">
        <v>86.0</v>
      </c>
      <c r="I178" s="8">
        <v>32.77777856588364</v>
      </c>
      <c r="J178" s="8">
        <v>1135.0</v>
      </c>
      <c r="K178" s="18">
        <f t="shared" si="4"/>
        <v>0.07577092511</v>
      </c>
      <c r="L178" s="18">
        <f t="shared" si="5"/>
        <v>0.3811369601</v>
      </c>
      <c r="M178" s="18">
        <f t="shared" si="6"/>
        <v>0.02887910006</v>
      </c>
      <c r="N178" s="18">
        <f t="shared" si="7"/>
        <v>0.4791146965</v>
      </c>
      <c r="T178" s="18"/>
      <c r="U178" s="18"/>
      <c r="V178" s="18"/>
      <c r="W178" s="18"/>
    </row>
    <row r="179" ht="15.75" customHeight="1">
      <c r="A179" s="8">
        <v>40504.0</v>
      </c>
      <c r="B179" s="8">
        <v>2.0</v>
      </c>
      <c r="C179" s="8">
        <v>0.6666666865348816</v>
      </c>
      <c r="D179" s="8">
        <v>156.0</v>
      </c>
      <c r="E179" s="18">
        <f t="shared" si="1"/>
        <v>0.01282051282</v>
      </c>
      <c r="F179" s="18">
        <f t="shared" si="2"/>
        <v>0.3333333433</v>
      </c>
      <c r="G179" s="18">
        <f t="shared" si="3"/>
        <v>0.004273504401</v>
      </c>
      <c r="H179" s="8">
        <v>18.0</v>
      </c>
      <c r="I179" s="8">
        <v>6.000000178813934</v>
      </c>
      <c r="J179" s="8">
        <v>696.0</v>
      </c>
      <c r="K179" s="18">
        <f t="shared" si="4"/>
        <v>0.02586206897</v>
      </c>
      <c r="L179" s="18">
        <f t="shared" si="5"/>
        <v>0.3333333433</v>
      </c>
      <c r="M179" s="18">
        <f t="shared" si="6"/>
        <v>0.008620689912</v>
      </c>
      <c r="N179" s="18">
        <f t="shared" si="7"/>
        <v>2.017241379</v>
      </c>
      <c r="T179" s="18"/>
      <c r="U179" s="18"/>
      <c r="V179" s="18"/>
      <c r="W179" s="18"/>
    </row>
    <row r="180" ht="15.75" customHeight="1">
      <c r="A180" s="8">
        <v>40505.0</v>
      </c>
      <c r="B180" s="8">
        <v>34.0</v>
      </c>
      <c r="C180" s="8">
        <v>12.111111402511597</v>
      </c>
      <c r="D180" s="8">
        <v>326.0</v>
      </c>
      <c r="E180" s="18">
        <f t="shared" si="1"/>
        <v>0.1042944785</v>
      </c>
      <c r="F180" s="18">
        <f t="shared" si="2"/>
        <v>0.3562091589</v>
      </c>
      <c r="G180" s="18">
        <f t="shared" si="3"/>
        <v>0.03715064847</v>
      </c>
      <c r="H180" s="8">
        <v>294.0</v>
      </c>
      <c r="I180" s="8">
        <v>110.22222512960434</v>
      </c>
      <c r="J180" s="8">
        <v>3458.0</v>
      </c>
      <c r="K180" s="18">
        <f t="shared" si="4"/>
        <v>0.08502024291</v>
      </c>
      <c r="L180" s="18">
        <f t="shared" si="5"/>
        <v>0.3749055277</v>
      </c>
      <c r="M180" s="18">
        <f t="shared" si="6"/>
        <v>0.03187455903</v>
      </c>
      <c r="N180" s="18">
        <f t="shared" si="7"/>
        <v>0.8579812289</v>
      </c>
      <c r="T180" s="18"/>
      <c r="U180" s="18"/>
      <c r="V180" s="18"/>
      <c r="W180" s="18"/>
    </row>
    <row r="181" ht="15.75" customHeight="1">
      <c r="A181" s="8">
        <v>40601.0</v>
      </c>
      <c r="B181" s="8">
        <v>153.0</v>
      </c>
      <c r="C181" s="8">
        <v>53.111112505197525</v>
      </c>
      <c r="D181" s="8">
        <v>1354.0</v>
      </c>
      <c r="E181" s="18">
        <f t="shared" si="1"/>
        <v>0.1129985229</v>
      </c>
      <c r="F181" s="18">
        <f t="shared" si="2"/>
        <v>0.3471314543</v>
      </c>
      <c r="G181" s="18">
        <f t="shared" si="3"/>
        <v>0.03922534158</v>
      </c>
      <c r="H181" s="8">
        <v>828.0</v>
      </c>
      <c r="I181" s="8">
        <v>301.7777855396271</v>
      </c>
      <c r="J181" s="8">
        <v>7529.0</v>
      </c>
      <c r="K181" s="18">
        <f t="shared" si="4"/>
        <v>0.1099747642</v>
      </c>
      <c r="L181" s="18">
        <f t="shared" si="5"/>
        <v>0.3644659246</v>
      </c>
      <c r="M181" s="18">
        <f t="shared" si="6"/>
        <v>0.04008205413</v>
      </c>
      <c r="N181" s="18">
        <f t="shared" si="7"/>
        <v>1.021840792</v>
      </c>
      <c r="T181" s="18"/>
      <c r="U181" s="18"/>
      <c r="V181" s="18"/>
      <c r="W181" s="18"/>
    </row>
    <row r="182" ht="15.75" customHeight="1">
      <c r="A182" s="8">
        <v>40602.0</v>
      </c>
      <c r="B182" s="8">
        <v>41.0</v>
      </c>
      <c r="C182" s="8">
        <v>15.000000357627869</v>
      </c>
      <c r="D182" s="8">
        <v>432.0</v>
      </c>
      <c r="E182" s="18">
        <f t="shared" si="1"/>
        <v>0.09490740741</v>
      </c>
      <c r="F182" s="18">
        <f t="shared" si="2"/>
        <v>0.3658536673</v>
      </c>
      <c r="G182" s="18">
        <f t="shared" si="3"/>
        <v>0.03472222305</v>
      </c>
      <c r="H182" s="8">
        <v>485.0</v>
      </c>
      <c r="I182" s="8">
        <v>179.77778217196465</v>
      </c>
      <c r="J182" s="8">
        <v>3659.0</v>
      </c>
      <c r="K182" s="18">
        <f t="shared" si="4"/>
        <v>0.132549877</v>
      </c>
      <c r="L182" s="18">
        <f t="shared" si="5"/>
        <v>0.3706758395</v>
      </c>
      <c r="M182" s="18">
        <f t="shared" si="6"/>
        <v>0.04913303694</v>
      </c>
      <c r="N182" s="18">
        <f t="shared" si="7"/>
        <v>1.41503143</v>
      </c>
      <c r="T182" s="18"/>
      <c r="U182" s="18"/>
      <c r="V182" s="18"/>
      <c r="W182" s="18"/>
    </row>
    <row r="183" ht="15.75" customHeight="1">
      <c r="A183" s="8">
        <v>40603.0</v>
      </c>
      <c r="B183" s="8">
        <v>51.0</v>
      </c>
      <c r="C183" s="8">
        <v>17.666667133569717</v>
      </c>
      <c r="D183" s="8">
        <v>538.0</v>
      </c>
      <c r="E183" s="18">
        <f t="shared" si="1"/>
        <v>0.09479553903</v>
      </c>
      <c r="F183" s="18">
        <f t="shared" si="2"/>
        <v>0.3464052379</v>
      </c>
      <c r="G183" s="18">
        <f t="shared" si="3"/>
        <v>0.03283767125</v>
      </c>
      <c r="H183" s="8">
        <v>220.0</v>
      </c>
      <c r="I183" s="8">
        <v>77.88889080286026</v>
      </c>
      <c r="J183" s="8">
        <v>2994.0</v>
      </c>
      <c r="K183" s="18">
        <f t="shared" si="4"/>
        <v>0.07348029392</v>
      </c>
      <c r="L183" s="18">
        <f t="shared" si="5"/>
        <v>0.3540404127</v>
      </c>
      <c r="M183" s="18">
        <f t="shared" si="6"/>
        <v>0.02601499359</v>
      </c>
      <c r="N183" s="18">
        <f t="shared" si="7"/>
        <v>0.7922301612</v>
      </c>
      <c r="T183" s="18"/>
      <c r="U183" s="18"/>
      <c r="V183" s="18"/>
      <c r="W183" s="18"/>
    </row>
    <row r="184" ht="15.75" customHeight="1">
      <c r="A184" s="8">
        <v>40701.0</v>
      </c>
      <c r="B184" s="8">
        <v>56.0</v>
      </c>
      <c r="C184" s="8">
        <v>19.000000536441803</v>
      </c>
      <c r="D184" s="8">
        <v>1146.0</v>
      </c>
      <c r="E184" s="18">
        <f t="shared" si="1"/>
        <v>0.04886561955</v>
      </c>
      <c r="F184" s="18">
        <f t="shared" si="2"/>
        <v>0.3392857239</v>
      </c>
      <c r="G184" s="18">
        <f t="shared" si="3"/>
        <v>0.0165794071</v>
      </c>
      <c r="H184" s="8">
        <v>571.0</v>
      </c>
      <c r="I184" s="8">
        <v>205.7777826488018</v>
      </c>
      <c r="J184" s="8">
        <v>18107.0</v>
      </c>
      <c r="K184" s="18">
        <f t="shared" si="4"/>
        <v>0.03153476556</v>
      </c>
      <c r="L184" s="18">
        <f t="shared" si="5"/>
        <v>0.3603814057</v>
      </c>
      <c r="M184" s="18">
        <f t="shared" si="6"/>
        <v>0.01136454314</v>
      </c>
      <c r="N184" s="18">
        <f t="shared" si="7"/>
        <v>0.6854613722</v>
      </c>
      <c r="T184" s="18"/>
      <c r="U184" s="18"/>
      <c r="V184" s="18"/>
      <c r="W184" s="18"/>
    </row>
    <row r="185" ht="15.75" customHeight="1">
      <c r="A185" s="8">
        <v>40702.0</v>
      </c>
      <c r="B185" s="8">
        <v>46.0</v>
      </c>
      <c r="C185" s="8">
        <v>16.888889253139496</v>
      </c>
      <c r="D185" s="8">
        <v>480.0</v>
      </c>
      <c r="E185" s="18">
        <f t="shared" si="1"/>
        <v>0.09583333333</v>
      </c>
      <c r="F185" s="18">
        <f t="shared" si="2"/>
        <v>0.3671497664</v>
      </c>
      <c r="G185" s="18">
        <f t="shared" si="3"/>
        <v>0.03518518594</v>
      </c>
      <c r="H185" s="8">
        <v>294.0</v>
      </c>
      <c r="I185" s="8">
        <v>106.4444471001625</v>
      </c>
      <c r="J185" s="8">
        <v>5559.0</v>
      </c>
      <c r="K185" s="18">
        <f t="shared" si="4"/>
        <v>0.05288720993</v>
      </c>
      <c r="L185" s="18">
        <f t="shared" si="5"/>
        <v>0.3620559425</v>
      </c>
      <c r="M185" s="18">
        <f t="shared" si="6"/>
        <v>0.01914812864</v>
      </c>
      <c r="N185" s="18">
        <f t="shared" si="7"/>
        <v>0.5442099601</v>
      </c>
      <c r="T185" s="18"/>
      <c r="U185" s="18"/>
      <c r="V185" s="18"/>
      <c r="W185" s="18"/>
    </row>
    <row r="186" ht="15.75" customHeight="1">
      <c r="A186" s="8">
        <v>40801.0</v>
      </c>
      <c r="B186" s="8">
        <v>219.0</v>
      </c>
      <c r="C186" s="8">
        <v>80.00000175833702</v>
      </c>
      <c r="D186" s="8">
        <v>1752.0</v>
      </c>
      <c r="E186" s="18">
        <f t="shared" si="1"/>
        <v>0.125</v>
      </c>
      <c r="F186" s="18">
        <f t="shared" si="2"/>
        <v>0.3652968117</v>
      </c>
      <c r="G186" s="18">
        <f t="shared" si="3"/>
        <v>0.04566210146</v>
      </c>
      <c r="H186" s="8">
        <v>2101.0</v>
      </c>
      <c r="I186" s="8">
        <v>764.2222417294979</v>
      </c>
      <c r="J186" s="8">
        <v>13896.0</v>
      </c>
      <c r="K186" s="18">
        <f t="shared" si="4"/>
        <v>0.1511945884</v>
      </c>
      <c r="L186" s="18">
        <f t="shared" si="5"/>
        <v>0.3637421427</v>
      </c>
      <c r="M186" s="18">
        <f t="shared" si="6"/>
        <v>0.05499584353</v>
      </c>
      <c r="N186" s="18">
        <f t="shared" si="7"/>
        <v>1.204408947</v>
      </c>
      <c r="T186" s="18"/>
      <c r="U186" s="18"/>
      <c r="V186" s="18"/>
      <c r="W186" s="18"/>
    </row>
    <row r="187" ht="15.75" customHeight="1">
      <c r="A187" s="8">
        <v>40802.0</v>
      </c>
      <c r="B187" s="8">
        <v>95.0</v>
      </c>
      <c r="C187" s="8">
        <v>34.77777862548828</v>
      </c>
      <c r="D187" s="8">
        <v>341.0</v>
      </c>
      <c r="E187" s="18">
        <f t="shared" si="1"/>
        <v>0.2785923754</v>
      </c>
      <c r="F187" s="18">
        <f t="shared" si="2"/>
        <v>0.3660818803</v>
      </c>
      <c r="G187" s="18">
        <f t="shared" si="3"/>
        <v>0.1019876206</v>
      </c>
      <c r="H187" s="8">
        <v>522.0</v>
      </c>
      <c r="I187" s="8">
        <v>188.4444492161274</v>
      </c>
      <c r="J187" s="8">
        <v>2821.0</v>
      </c>
      <c r="K187" s="18">
        <f t="shared" si="4"/>
        <v>0.1850407657</v>
      </c>
      <c r="L187" s="18">
        <f t="shared" si="5"/>
        <v>0.361004692</v>
      </c>
      <c r="M187" s="18">
        <f t="shared" si="6"/>
        <v>0.06680058462</v>
      </c>
      <c r="N187" s="18">
        <f t="shared" si="7"/>
        <v>0.654987186</v>
      </c>
      <c r="T187" s="18"/>
      <c r="U187" s="18"/>
      <c r="V187" s="18"/>
      <c r="W187" s="18"/>
    </row>
    <row r="188" ht="15.75" customHeight="1">
      <c r="A188" s="8">
        <v>40901.0</v>
      </c>
      <c r="B188" s="8">
        <v>184.0</v>
      </c>
      <c r="C188" s="8">
        <v>71.77777963876724</v>
      </c>
      <c r="D188" s="8">
        <v>2013.0</v>
      </c>
      <c r="E188" s="18">
        <f t="shared" si="1"/>
        <v>0.0914058619</v>
      </c>
      <c r="F188" s="18">
        <f t="shared" si="2"/>
        <v>0.3900966285</v>
      </c>
      <c r="G188" s="18">
        <f t="shared" si="3"/>
        <v>0.03565711855</v>
      </c>
      <c r="H188" s="8">
        <v>1151.0</v>
      </c>
      <c r="I188" s="8">
        <v>418.5555657148361</v>
      </c>
      <c r="J188" s="8">
        <v>12468.0</v>
      </c>
      <c r="K188" s="18">
        <f t="shared" si="4"/>
        <v>0.0923163298</v>
      </c>
      <c r="L188" s="18">
        <f t="shared" si="5"/>
        <v>0.3636451483</v>
      </c>
      <c r="M188" s="18">
        <f t="shared" si="6"/>
        <v>0.03357038544</v>
      </c>
      <c r="N188" s="18">
        <f t="shared" si="7"/>
        <v>0.9414777977</v>
      </c>
      <c r="T188" s="18"/>
      <c r="U188" s="18"/>
      <c r="V188" s="18"/>
      <c r="W188" s="18"/>
    </row>
    <row r="189" ht="15.75" customHeight="1">
      <c r="A189" s="8">
        <v>40902.0</v>
      </c>
      <c r="B189" s="8">
        <v>0.0</v>
      </c>
      <c r="C189" s="8">
        <v>0.0</v>
      </c>
      <c r="D189" s="8">
        <v>96.0</v>
      </c>
      <c r="E189" s="18">
        <f t="shared" si="1"/>
        <v>0</v>
      </c>
      <c r="F189" s="18">
        <v>0.0</v>
      </c>
      <c r="G189" s="18">
        <f t="shared" si="3"/>
        <v>0</v>
      </c>
      <c r="H189" s="8">
        <v>136.0</v>
      </c>
      <c r="I189" s="8">
        <v>53.22222310304642</v>
      </c>
      <c r="J189" s="8">
        <v>1240.0</v>
      </c>
      <c r="K189" s="18">
        <f t="shared" si="4"/>
        <v>0.1096774194</v>
      </c>
      <c r="L189" s="18">
        <f t="shared" si="5"/>
        <v>0.3913398758</v>
      </c>
      <c r="M189" s="18">
        <f t="shared" si="6"/>
        <v>0.04292114766</v>
      </c>
      <c r="N189" s="18">
        <v>0.0</v>
      </c>
      <c r="T189" s="18"/>
      <c r="U189" s="18"/>
      <c r="V189" s="18"/>
      <c r="W189" s="18"/>
    </row>
    <row r="190" ht="15.75" customHeight="1">
      <c r="A190" s="8">
        <v>40903.0</v>
      </c>
      <c r="B190" s="8">
        <v>14.0</v>
      </c>
      <c r="C190" s="8">
        <v>4.777777910232544</v>
      </c>
      <c r="D190" s="8">
        <v>39.0</v>
      </c>
      <c r="E190" s="18">
        <f t="shared" si="1"/>
        <v>0.358974359</v>
      </c>
      <c r="F190" s="18">
        <f t="shared" ref="F190:F227" si="15">C190/B190</f>
        <v>0.3412698507</v>
      </c>
      <c r="G190" s="18">
        <f t="shared" si="3"/>
        <v>0.1225071259</v>
      </c>
      <c r="H190" s="8">
        <v>828.0</v>
      </c>
      <c r="I190" s="8">
        <v>315.5555631816387</v>
      </c>
      <c r="J190" s="8">
        <v>2242.0</v>
      </c>
      <c r="K190" s="18">
        <f t="shared" si="4"/>
        <v>0.3693131133</v>
      </c>
      <c r="L190" s="18">
        <f t="shared" si="5"/>
        <v>0.3811057526</v>
      </c>
      <c r="M190" s="18">
        <f t="shared" si="6"/>
        <v>0.140747352</v>
      </c>
      <c r="N190" s="18">
        <f t="shared" ref="N190:N227" si="16">M190/G190</f>
        <v>1.148891144</v>
      </c>
      <c r="T190" s="18"/>
      <c r="U190" s="18"/>
      <c r="V190" s="18"/>
      <c r="W190" s="18"/>
    </row>
    <row r="191" ht="15.75" customHeight="1">
      <c r="A191" s="8">
        <v>41001.0</v>
      </c>
      <c r="B191" s="8">
        <v>295.0</v>
      </c>
      <c r="C191" s="8">
        <v>105.6666692495346</v>
      </c>
      <c r="D191" s="8">
        <v>1121.0</v>
      </c>
      <c r="E191" s="18">
        <f t="shared" si="1"/>
        <v>0.2631578947</v>
      </c>
      <c r="F191" s="18">
        <f t="shared" si="15"/>
        <v>0.3581920992</v>
      </c>
      <c r="G191" s="18">
        <f t="shared" si="3"/>
        <v>0.09426107872</v>
      </c>
      <c r="H191" s="8">
        <v>3513.0</v>
      </c>
      <c r="I191" s="8">
        <v>1270.5555872321129</v>
      </c>
      <c r="J191" s="8">
        <v>10802.0</v>
      </c>
      <c r="K191" s="18">
        <f t="shared" si="4"/>
        <v>0.3252175523</v>
      </c>
      <c r="L191" s="18">
        <f t="shared" si="5"/>
        <v>0.361672527</v>
      </c>
      <c r="M191" s="18">
        <f t="shared" si="6"/>
        <v>0.117622254</v>
      </c>
      <c r="N191" s="18">
        <f t="shared" si="16"/>
        <v>1.247834796</v>
      </c>
      <c r="T191" s="18"/>
      <c r="U191" s="18"/>
      <c r="V191" s="18"/>
      <c r="W191" s="18"/>
    </row>
    <row r="192" ht="15.75" customHeight="1">
      <c r="A192" s="8">
        <v>41101.0</v>
      </c>
      <c r="B192" s="8">
        <v>45.0</v>
      </c>
      <c r="C192" s="8">
        <v>15.777778178453445</v>
      </c>
      <c r="D192" s="8">
        <v>434.0</v>
      </c>
      <c r="E192" s="18">
        <f t="shared" si="1"/>
        <v>0.1036866359</v>
      </c>
      <c r="F192" s="18">
        <f t="shared" si="15"/>
        <v>0.3506172929</v>
      </c>
      <c r="G192" s="18">
        <f t="shared" si="3"/>
        <v>0.0363543276</v>
      </c>
      <c r="H192" s="8">
        <v>592.0</v>
      </c>
      <c r="I192" s="8">
        <v>215.3333390057087</v>
      </c>
      <c r="J192" s="8">
        <v>4815.0</v>
      </c>
      <c r="K192" s="18">
        <f t="shared" si="4"/>
        <v>0.1229491173</v>
      </c>
      <c r="L192" s="18">
        <f t="shared" si="5"/>
        <v>0.3637387483</v>
      </c>
      <c r="M192" s="18">
        <f t="shared" si="6"/>
        <v>0.04472135805</v>
      </c>
      <c r="N192" s="18">
        <f t="shared" si="16"/>
        <v>1.230152254</v>
      </c>
      <c r="T192" s="18"/>
      <c r="U192" s="18"/>
      <c r="V192" s="18"/>
      <c r="W192" s="18"/>
    </row>
    <row r="193" ht="15.75" customHeight="1">
      <c r="A193" s="8">
        <v>41201.0</v>
      </c>
      <c r="B193" s="8">
        <v>170.0</v>
      </c>
      <c r="C193" s="8">
        <v>61.777779310941696</v>
      </c>
      <c r="D193" s="8">
        <v>654.0</v>
      </c>
      <c r="E193" s="18">
        <f t="shared" si="1"/>
        <v>0.2599388379</v>
      </c>
      <c r="F193" s="18">
        <f t="shared" si="15"/>
        <v>0.3633987018</v>
      </c>
      <c r="G193" s="18">
        <f t="shared" si="3"/>
        <v>0.09446143626</v>
      </c>
      <c r="H193" s="8">
        <v>1715.0</v>
      </c>
      <c r="I193" s="8">
        <v>641.3333487510681</v>
      </c>
      <c r="J193" s="8">
        <v>5493.0</v>
      </c>
      <c r="K193" s="18">
        <f t="shared" si="4"/>
        <v>0.3122155471</v>
      </c>
      <c r="L193" s="18">
        <f t="shared" si="5"/>
        <v>0.3739553054</v>
      </c>
      <c r="M193" s="18">
        <f t="shared" si="6"/>
        <v>0.1167546602</v>
      </c>
      <c r="N193" s="18">
        <f t="shared" si="16"/>
        <v>1.236003441</v>
      </c>
      <c r="T193" s="18"/>
      <c r="U193" s="18"/>
      <c r="V193" s="18"/>
      <c r="W193" s="18"/>
    </row>
    <row r="194" ht="15.75" customHeight="1">
      <c r="A194" s="8">
        <v>41202.0</v>
      </c>
      <c r="B194" s="8">
        <v>25.0</v>
      </c>
      <c r="C194" s="8">
        <v>9.222222477197647</v>
      </c>
      <c r="D194" s="8">
        <v>280.0</v>
      </c>
      <c r="E194" s="18">
        <f t="shared" si="1"/>
        <v>0.08928571429</v>
      </c>
      <c r="F194" s="18">
        <f t="shared" si="15"/>
        <v>0.3688888991</v>
      </c>
      <c r="G194" s="18">
        <f t="shared" si="3"/>
        <v>0.03293650885</v>
      </c>
      <c r="H194" s="8">
        <v>624.0</v>
      </c>
      <c r="I194" s="8">
        <v>224.77778348326683</v>
      </c>
      <c r="J194" s="8">
        <v>2697.0</v>
      </c>
      <c r="K194" s="18">
        <f t="shared" si="4"/>
        <v>0.2313681869</v>
      </c>
      <c r="L194" s="18">
        <f t="shared" si="5"/>
        <v>0.3602208069</v>
      </c>
      <c r="M194" s="18">
        <f t="shared" si="6"/>
        <v>0.08334363496</v>
      </c>
      <c r="N194" s="18">
        <f t="shared" si="16"/>
        <v>2.530433184</v>
      </c>
      <c r="T194" s="18"/>
      <c r="U194" s="18"/>
      <c r="V194" s="18"/>
      <c r="W194" s="18"/>
    </row>
    <row r="195" ht="15.75" customHeight="1">
      <c r="A195" s="8">
        <v>41301.0</v>
      </c>
      <c r="B195" s="8">
        <v>192.0</v>
      </c>
      <c r="C195" s="8">
        <v>70.55555731058121</v>
      </c>
      <c r="D195" s="8">
        <v>568.0</v>
      </c>
      <c r="E195" s="18">
        <f t="shared" si="1"/>
        <v>0.338028169</v>
      </c>
      <c r="F195" s="18">
        <f t="shared" si="15"/>
        <v>0.367476861</v>
      </c>
      <c r="G195" s="18">
        <f t="shared" si="3"/>
        <v>0.1242175305</v>
      </c>
      <c r="H195" s="8">
        <v>2131.0</v>
      </c>
      <c r="I195" s="8">
        <v>793.2222422659397</v>
      </c>
      <c r="J195" s="8">
        <v>5811.0</v>
      </c>
      <c r="K195" s="18">
        <f t="shared" si="4"/>
        <v>0.3667182929</v>
      </c>
      <c r="L195" s="18">
        <f t="shared" si="5"/>
        <v>0.3722300527</v>
      </c>
      <c r="M195" s="18">
        <f t="shared" si="6"/>
        <v>0.1365035695</v>
      </c>
      <c r="N195" s="18">
        <f t="shared" si="16"/>
        <v>1.098907449</v>
      </c>
      <c r="T195" s="18"/>
      <c r="U195" s="18"/>
      <c r="V195" s="18"/>
      <c r="W195" s="18"/>
    </row>
    <row r="196" ht="15.75" customHeight="1">
      <c r="A196" s="8">
        <v>41401.0</v>
      </c>
      <c r="B196" s="8">
        <v>227.0</v>
      </c>
      <c r="C196" s="8">
        <v>85.33333519101143</v>
      </c>
      <c r="D196" s="8">
        <v>1249.0</v>
      </c>
      <c r="E196" s="18">
        <f t="shared" si="1"/>
        <v>0.1817453963</v>
      </c>
      <c r="F196" s="18">
        <f t="shared" si="15"/>
        <v>0.3759177762</v>
      </c>
      <c r="G196" s="18">
        <f t="shared" si="3"/>
        <v>0.06832132521</v>
      </c>
      <c r="H196" s="8">
        <v>2262.0</v>
      </c>
      <c r="I196" s="8">
        <v>851.2222432494164</v>
      </c>
      <c r="J196" s="8">
        <v>11975.0</v>
      </c>
      <c r="K196" s="18">
        <f t="shared" si="4"/>
        <v>0.1888935282</v>
      </c>
      <c r="L196" s="18">
        <f t="shared" si="5"/>
        <v>0.3763139891</v>
      </c>
      <c r="M196" s="18">
        <f t="shared" si="6"/>
        <v>0.0710832771</v>
      </c>
      <c r="N196" s="18">
        <f t="shared" si="16"/>
        <v>1.040425912</v>
      </c>
      <c r="T196" s="18"/>
      <c r="U196" s="18"/>
      <c r="V196" s="18"/>
      <c r="W196" s="18"/>
    </row>
    <row r="197" ht="15.75" customHeight="1">
      <c r="A197" s="8">
        <v>41501.0</v>
      </c>
      <c r="B197" s="8">
        <v>10.0</v>
      </c>
      <c r="C197" s="8">
        <v>4.22222226858139</v>
      </c>
      <c r="D197" s="8">
        <v>106.0</v>
      </c>
      <c r="E197" s="18">
        <f t="shared" si="1"/>
        <v>0.09433962264</v>
      </c>
      <c r="F197" s="18">
        <f t="shared" si="15"/>
        <v>0.4222222269</v>
      </c>
      <c r="G197" s="18">
        <f t="shared" si="3"/>
        <v>0.03983228555</v>
      </c>
      <c r="H197" s="8">
        <v>380.0</v>
      </c>
      <c r="I197" s="8">
        <v>151.5555595755577</v>
      </c>
      <c r="J197" s="8">
        <v>1109.0</v>
      </c>
      <c r="K197" s="18">
        <f t="shared" si="4"/>
        <v>0.342651037</v>
      </c>
      <c r="L197" s="18">
        <f t="shared" si="5"/>
        <v>0.3988304199</v>
      </c>
      <c r="M197" s="18">
        <f t="shared" si="6"/>
        <v>0.136659657</v>
      </c>
      <c r="N197" s="18">
        <f t="shared" si="16"/>
        <v>3.430876614</v>
      </c>
      <c r="T197" s="18"/>
      <c r="U197" s="18"/>
      <c r="V197" s="18"/>
      <c r="W197" s="18"/>
    </row>
    <row r="198" ht="15.75" customHeight="1">
      <c r="A198" s="8">
        <v>41502.0</v>
      </c>
      <c r="B198" s="8">
        <v>8.0</v>
      </c>
      <c r="C198" s="8">
        <v>2.6666667461395264</v>
      </c>
      <c r="D198" s="8">
        <v>83.0</v>
      </c>
      <c r="E198" s="18">
        <f t="shared" si="1"/>
        <v>0.09638554217</v>
      </c>
      <c r="F198" s="18">
        <f t="shared" si="15"/>
        <v>0.3333333433</v>
      </c>
      <c r="G198" s="18">
        <f t="shared" si="3"/>
        <v>0.03212851501</v>
      </c>
      <c r="H198" s="8">
        <v>136.0</v>
      </c>
      <c r="I198" s="8">
        <v>50.000001072883606</v>
      </c>
      <c r="J198" s="8">
        <v>988.0</v>
      </c>
      <c r="K198" s="18">
        <f t="shared" si="4"/>
        <v>0.1376518219</v>
      </c>
      <c r="L198" s="18">
        <f t="shared" si="5"/>
        <v>0.3676470667</v>
      </c>
      <c r="M198" s="18">
        <f t="shared" si="6"/>
        <v>0.05060728854</v>
      </c>
      <c r="N198" s="18">
        <f t="shared" si="16"/>
        <v>1.575151809</v>
      </c>
      <c r="T198" s="18"/>
      <c r="U198" s="18"/>
      <c r="V198" s="18"/>
      <c r="W198" s="18"/>
    </row>
    <row r="199" ht="15.75" customHeight="1">
      <c r="A199" s="8">
        <v>41503.0</v>
      </c>
      <c r="B199" s="8">
        <v>21.0</v>
      </c>
      <c r="C199" s="8">
        <v>8.000000149011612</v>
      </c>
      <c r="D199" s="8">
        <v>177.0</v>
      </c>
      <c r="E199" s="18">
        <f t="shared" si="1"/>
        <v>0.1186440678</v>
      </c>
      <c r="F199" s="18">
        <f t="shared" si="15"/>
        <v>0.380952388</v>
      </c>
      <c r="G199" s="18">
        <f t="shared" si="3"/>
        <v>0.04519774095</v>
      </c>
      <c r="H199" s="8">
        <v>180.0</v>
      </c>
      <c r="I199" s="8">
        <v>66.22222378849983</v>
      </c>
      <c r="J199" s="8">
        <v>907.0</v>
      </c>
      <c r="K199" s="18">
        <f t="shared" si="4"/>
        <v>0.1984564498</v>
      </c>
      <c r="L199" s="18">
        <f t="shared" si="5"/>
        <v>0.3679012433</v>
      </c>
      <c r="M199" s="18">
        <f t="shared" si="6"/>
        <v>0.07301237463</v>
      </c>
      <c r="N199" s="18">
        <f t="shared" si="16"/>
        <v>1.615398759</v>
      </c>
      <c r="T199" s="18"/>
      <c r="U199" s="18"/>
      <c r="V199" s="18"/>
      <c r="W199" s="18"/>
    </row>
    <row r="200" ht="15.75" customHeight="1">
      <c r="A200" s="8">
        <v>41601.0</v>
      </c>
      <c r="B200" s="8">
        <v>112.0</v>
      </c>
      <c r="C200" s="8">
        <v>38.000001072883606</v>
      </c>
      <c r="D200" s="8">
        <v>559.0</v>
      </c>
      <c r="E200" s="18">
        <f t="shared" si="1"/>
        <v>0.2003577818</v>
      </c>
      <c r="F200" s="18">
        <f t="shared" si="15"/>
        <v>0.3392857239</v>
      </c>
      <c r="G200" s="18">
        <f t="shared" si="3"/>
        <v>0.06797853501</v>
      </c>
      <c r="H200" s="8">
        <v>1739.0</v>
      </c>
      <c r="I200" s="8">
        <v>637.555571347475</v>
      </c>
      <c r="J200" s="8">
        <v>5321.0</v>
      </c>
      <c r="K200" s="18">
        <f t="shared" si="4"/>
        <v>0.3268182672</v>
      </c>
      <c r="L200" s="18">
        <f t="shared" si="5"/>
        <v>0.3666219502</v>
      </c>
      <c r="M200" s="18">
        <f t="shared" si="6"/>
        <v>0.1198187505</v>
      </c>
      <c r="N200" s="18">
        <f t="shared" si="16"/>
        <v>1.762596832</v>
      </c>
      <c r="T200" s="18"/>
      <c r="U200" s="18"/>
      <c r="V200" s="18"/>
      <c r="W200" s="18"/>
    </row>
    <row r="201" ht="15.75" customHeight="1">
      <c r="A201" s="8">
        <v>50101.0</v>
      </c>
      <c r="B201" s="8">
        <v>768.0</v>
      </c>
      <c r="C201" s="8">
        <v>289.66667369008064</v>
      </c>
      <c r="D201" s="8">
        <v>13132.0</v>
      </c>
      <c r="E201" s="18">
        <f t="shared" si="1"/>
        <v>0.05848309473</v>
      </c>
      <c r="F201" s="18">
        <f t="shared" si="15"/>
        <v>0.377170148</v>
      </c>
      <c r="G201" s="18">
        <f t="shared" si="3"/>
        <v>0.0220580775</v>
      </c>
      <c r="H201" s="8">
        <v>6450.0</v>
      </c>
      <c r="I201" s="8">
        <v>2344.00006043911</v>
      </c>
      <c r="J201" s="8">
        <v>197558.0</v>
      </c>
      <c r="K201" s="18">
        <f t="shared" si="4"/>
        <v>0.03264863989</v>
      </c>
      <c r="L201" s="18">
        <f t="shared" si="5"/>
        <v>0.3634108621</v>
      </c>
      <c r="M201" s="18">
        <f t="shared" si="6"/>
        <v>0.01186487037</v>
      </c>
      <c r="N201" s="18">
        <f t="shared" si="16"/>
        <v>0.537892315</v>
      </c>
      <c r="T201" s="18"/>
      <c r="U201" s="18"/>
      <c r="V201" s="18"/>
      <c r="W201" s="18"/>
    </row>
    <row r="202" ht="15.75" customHeight="1">
      <c r="A202" s="8">
        <v>50102.0</v>
      </c>
      <c r="B202" s="8">
        <v>451.0</v>
      </c>
      <c r="C202" s="8">
        <v>165.4444481730461</v>
      </c>
      <c r="D202" s="8">
        <v>1668.0</v>
      </c>
      <c r="E202" s="18">
        <f t="shared" si="1"/>
        <v>0.270383693</v>
      </c>
      <c r="F202" s="18">
        <f t="shared" si="15"/>
        <v>0.3668391312</v>
      </c>
      <c r="G202" s="18">
        <f t="shared" si="3"/>
        <v>0.09918731905</v>
      </c>
      <c r="H202" s="8">
        <v>9353.0</v>
      </c>
      <c r="I202" s="8">
        <v>3641.0000914037228</v>
      </c>
      <c r="J202" s="8">
        <v>26637.0</v>
      </c>
      <c r="K202" s="18">
        <f t="shared" si="4"/>
        <v>0.35112813</v>
      </c>
      <c r="L202" s="18">
        <f t="shared" si="5"/>
        <v>0.3892868696</v>
      </c>
      <c r="M202" s="18">
        <f t="shared" si="6"/>
        <v>0.1366895706</v>
      </c>
      <c r="N202" s="18">
        <f t="shared" si="16"/>
        <v>1.378095223</v>
      </c>
      <c r="T202" s="18"/>
      <c r="U202" s="18"/>
      <c r="V202" s="18"/>
      <c r="W202" s="18"/>
    </row>
    <row r="203" ht="15.75" customHeight="1">
      <c r="A203" s="8">
        <v>50103.0</v>
      </c>
      <c r="B203" s="8">
        <v>104.0</v>
      </c>
      <c r="C203" s="8">
        <v>38.22222304344177</v>
      </c>
      <c r="D203" s="8">
        <v>1445.0</v>
      </c>
      <c r="E203" s="18">
        <f t="shared" si="1"/>
        <v>0.07197231834</v>
      </c>
      <c r="F203" s="18">
        <f t="shared" si="15"/>
        <v>0.3675213754</v>
      </c>
      <c r="G203" s="18">
        <f t="shared" si="3"/>
        <v>0.02645136543</v>
      </c>
      <c r="H203" s="8">
        <v>885.0</v>
      </c>
      <c r="I203" s="8">
        <v>317.44445249438286</v>
      </c>
      <c r="J203" s="8">
        <v>10434.0</v>
      </c>
      <c r="K203" s="18">
        <f t="shared" si="4"/>
        <v>0.08481886141</v>
      </c>
      <c r="L203" s="18">
        <f t="shared" si="5"/>
        <v>0.3586942966</v>
      </c>
      <c r="M203" s="18">
        <f t="shared" si="6"/>
        <v>0.03042404183</v>
      </c>
      <c r="N203" s="18">
        <f t="shared" si="16"/>
        <v>1.150187952</v>
      </c>
      <c r="T203" s="18"/>
      <c r="U203" s="18"/>
      <c r="V203" s="18"/>
      <c r="W203" s="18"/>
    </row>
    <row r="204" ht="15.75" customHeight="1">
      <c r="A204" s="8">
        <v>50104.0</v>
      </c>
      <c r="B204" s="8">
        <v>46.0</v>
      </c>
      <c r="C204" s="8">
        <v>16.333333730697632</v>
      </c>
      <c r="D204" s="8">
        <v>184.0</v>
      </c>
      <c r="E204" s="18">
        <f t="shared" si="1"/>
        <v>0.25</v>
      </c>
      <c r="F204" s="18">
        <f t="shared" si="15"/>
        <v>0.3550724724</v>
      </c>
      <c r="G204" s="18">
        <f t="shared" si="3"/>
        <v>0.0887681181</v>
      </c>
      <c r="H204" s="8">
        <v>1092.0</v>
      </c>
      <c r="I204" s="8">
        <v>411.44445437192917</v>
      </c>
      <c r="J204" s="8">
        <v>2916.0</v>
      </c>
      <c r="K204" s="18">
        <f t="shared" si="4"/>
        <v>0.3744855967</v>
      </c>
      <c r="L204" s="18">
        <f t="shared" si="5"/>
        <v>0.3767806359</v>
      </c>
      <c r="M204" s="18">
        <f t="shared" si="6"/>
        <v>0.1410989213</v>
      </c>
      <c r="N204" s="18">
        <f t="shared" si="16"/>
        <v>1.589522503</v>
      </c>
      <c r="T204" s="18"/>
      <c r="U204" s="18"/>
      <c r="V204" s="18"/>
      <c r="W204" s="18"/>
    </row>
    <row r="205" ht="15.75" customHeight="1">
      <c r="A205" s="8">
        <v>50201.0</v>
      </c>
      <c r="B205" s="8">
        <v>237.0</v>
      </c>
      <c r="C205" s="8">
        <v>89.88889119029045</v>
      </c>
      <c r="D205" s="8">
        <v>1518.0</v>
      </c>
      <c r="E205" s="18">
        <f t="shared" si="1"/>
        <v>0.1561264822</v>
      </c>
      <c r="F205" s="18">
        <f t="shared" si="15"/>
        <v>0.3792780219</v>
      </c>
      <c r="G205" s="18">
        <f t="shared" si="3"/>
        <v>0.05921534334</v>
      </c>
      <c r="H205" s="8">
        <v>3322.0</v>
      </c>
      <c r="I205" s="8">
        <v>1230.1111413240433</v>
      </c>
      <c r="J205" s="8">
        <v>20224.0</v>
      </c>
      <c r="K205" s="18">
        <f t="shared" si="4"/>
        <v>0.1642602848</v>
      </c>
      <c r="L205" s="18">
        <f t="shared" si="5"/>
        <v>0.3702923363</v>
      </c>
      <c r="M205" s="18">
        <f t="shared" si="6"/>
        <v>0.06082432463</v>
      </c>
      <c r="N205" s="18">
        <f t="shared" si="16"/>
        <v>1.027171696</v>
      </c>
      <c r="T205" s="18"/>
      <c r="U205" s="18"/>
      <c r="V205" s="18"/>
      <c r="W205" s="18"/>
    </row>
    <row r="206" ht="15.75" customHeight="1">
      <c r="A206" s="8">
        <v>50202.0</v>
      </c>
      <c r="B206" s="8">
        <v>104.0</v>
      </c>
      <c r="C206" s="8">
        <v>38.66666769981384</v>
      </c>
      <c r="D206" s="8">
        <v>1152.0</v>
      </c>
      <c r="E206" s="18">
        <f t="shared" si="1"/>
        <v>0.09027777778</v>
      </c>
      <c r="F206" s="18">
        <f t="shared" si="15"/>
        <v>0.3717948817</v>
      </c>
      <c r="G206" s="18">
        <f t="shared" si="3"/>
        <v>0.03356481571</v>
      </c>
      <c r="H206" s="8">
        <v>2039.0</v>
      </c>
      <c r="I206" s="8">
        <v>757.888907968998</v>
      </c>
      <c r="J206" s="8">
        <v>14257.0</v>
      </c>
      <c r="K206" s="18">
        <f t="shared" si="4"/>
        <v>0.1430174651</v>
      </c>
      <c r="L206" s="18">
        <f t="shared" si="5"/>
        <v>0.3716963747</v>
      </c>
      <c r="M206" s="18">
        <f t="shared" si="6"/>
        <v>0.0531590733</v>
      </c>
      <c r="N206" s="18">
        <f t="shared" si="16"/>
        <v>1.583773728</v>
      </c>
      <c r="T206" s="18"/>
      <c r="U206" s="18"/>
      <c r="V206" s="18"/>
      <c r="W206" s="18"/>
    </row>
    <row r="207" ht="15.75" customHeight="1">
      <c r="A207" s="8">
        <v>50203.0</v>
      </c>
      <c r="B207" s="8">
        <v>331.0</v>
      </c>
      <c r="C207" s="8">
        <v>122.2222253382206</v>
      </c>
      <c r="D207" s="8">
        <v>4849.0</v>
      </c>
      <c r="E207" s="18">
        <f t="shared" si="1"/>
        <v>0.06826149722</v>
      </c>
      <c r="F207" s="18">
        <f t="shared" si="15"/>
        <v>0.3692514361</v>
      </c>
      <c r="G207" s="18">
        <f t="shared" si="3"/>
        <v>0.02520565588</v>
      </c>
      <c r="H207" s="8">
        <v>2487.0</v>
      </c>
      <c r="I207" s="8">
        <v>925.6666900217533</v>
      </c>
      <c r="J207" s="8">
        <v>35819.0</v>
      </c>
      <c r="K207" s="18">
        <f t="shared" si="4"/>
        <v>0.06943242413</v>
      </c>
      <c r="L207" s="18">
        <f t="shared" si="5"/>
        <v>0.3722021271</v>
      </c>
      <c r="M207" s="18">
        <f t="shared" si="6"/>
        <v>0.02584289595</v>
      </c>
      <c r="N207" s="18">
        <f t="shared" si="16"/>
        <v>1.02528163</v>
      </c>
      <c r="T207" s="18"/>
      <c r="U207" s="18"/>
      <c r="V207" s="18"/>
      <c r="W207" s="18"/>
    </row>
    <row r="208" ht="15.75" customHeight="1">
      <c r="A208" s="8">
        <v>50204.0</v>
      </c>
      <c r="B208" s="8">
        <v>97.0</v>
      </c>
      <c r="C208" s="8">
        <v>34.666667491197586</v>
      </c>
      <c r="D208" s="8">
        <v>581.0</v>
      </c>
      <c r="E208" s="18">
        <f t="shared" si="1"/>
        <v>0.1669535284</v>
      </c>
      <c r="F208" s="18">
        <f t="shared" si="15"/>
        <v>0.3573883247</v>
      </c>
      <c r="G208" s="18">
        <f t="shared" si="3"/>
        <v>0.05966724181</v>
      </c>
      <c r="H208" s="8">
        <v>1973.0</v>
      </c>
      <c r="I208" s="8">
        <v>753.7777975201607</v>
      </c>
      <c r="J208" s="8">
        <v>7477.0</v>
      </c>
      <c r="K208" s="18">
        <f t="shared" si="4"/>
        <v>0.2638758861</v>
      </c>
      <c r="L208" s="18">
        <f t="shared" si="5"/>
        <v>0.3820465269</v>
      </c>
      <c r="M208" s="18">
        <f t="shared" si="6"/>
        <v>0.1008128658</v>
      </c>
      <c r="N208" s="18">
        <f t="shared" si="16"/>
        <v>1.689584816</v>
      </c>
      <c r="T208" s="18"/>
      <c r="U208" s="18"/>
      <c r="V208" s="18"/>
      <c r="W208" s="18"/>
    </row>
    <row r="209" ht="15.75" customHeight="1">
      <c r="A209" s="8">
        <v>50301.0</v>
      </c>
      <c r="B209" s="8">
        <v>395.0</v>
      </c>
      <c r="C209" s="8">
        <v>152.33333712816238</v>
      </c>
      <c r="D209" s="8">
        <v>2095.0</v>
      </c>
      <c r="E209" s="18">
        <f t="shared" si="1"/>
        <v>0.1885441527</v>
      </c>
      <c r="F209" s="18">
        <f t="shared" si="15"/>
        <v>0.385654018</v>
      </c>
      <c r="G209" s="18">
        <f t="shared" si="3"/>
        <v>0.07271281009</v>
      </c>
      <c r="H209" s="8">
        <v>6050.0</v>
      </c>
      <c r="I209" s="8">
        <v>2291.555613219738</v>
      </c>
      <c r="J209" s="8">
        <v>28783.0</v>
      </c>
      <c r="K209" s="18">
        <f t="shared" si="4"/>
        <v>0.210193517</v>
      </c>
      <c r="L209" s="18">
        <f t="shared" si="5"/>
        <v>0.3787695228</v>
      </c>
      <c r="M209" s="18">
        <f t="shared" si="6"/>
        <v>0.07961489814</v>
      </c>
      <c r="N209" s="18">
        <f t="shared" si="16"/>
        <v>1.094922587</v>
      </c>
      <c r="T209" s="18"/>
      <c r="U209" s="18"/>
      <c r="V209" s="18"/>
      <c r="W209" s="18"/>
    </row>
    <row r="210" ht="15.75" customHeight="1">
      <c r="A210" s="8">
        <v>50302.0</v>
      </c>
      <c r="B210" s="8">
        <v>183.0</v>
      </c>
      <c r="C210" s="8">
        <v>69.22222366929054</v>
      </c>
      <c r="D210" s="8">
        <v>806.0</v>
      </c>
      <c r="E210" s="18">
        <f t="shared" si="1"/>
        <v>0.2270471464</v>
      </c>
      <c r="F210" s="18">
        <f t="shared" si="15"/>
        <v>0.3782635173</v>
      </c>
      <c r="G210" s="18">
        <f t="shared" si="3"/>
        <v>0.0858836522</v>
      </c>
      <c r="H210" s="8">
        <v>1569.0</v>
      </c>
      <c r="I210" s="8">
        <v>592.1111252903938</v>
      </c>
      <c r="J210" s="8">
        <v>8156.0</v>
      </c>
      <c r="K210" s="18">
        <f t="shared" si="4"/>
        <v>0.1923737126</v>
      </c>
      <c r="L210" s="18">
        <f t="shared" si="5"/>
        <v>0.3773812143</v>
      </c>
      <c r="M210" s="18">
        <f t="shared" si="6"/>
        <v>0.07259822527</v>
      </c>
      <c r="N210" s="18">
        <f t="shared" si="16"/>
        <v>0.845309013</v>
      </c>
      <c r="T210" s="18"/>
      <c r="U210" s="18"/>
      <c r="V210" s="18"/>
      <c r="W210" s="18"/>
    </row>
    <row r="211" ht="15.75" customHeight="1">
      <c r="A211" s="8">
        <v>50303.0</v>
      </c>
      <c r="B211" s="8">
        <v>523.0</v>
      </c>
      <c r="C211" s="8">
        <v>189.222226947546</v>
      </c>
      <c r="D211" s="8">
        <v>1447.0</v>
      </c>
      <c r="E211" s="18">
        <f t="shared" si="1"/>
        <v>0.3614374568</v>
      </c>
      <c r="F211" s="18">
        <f t="shared" si="15"/>
        <v>0.3618015812</v>
      </c>
      <c r="G211" s="18">
        <f t="shared" si="3"/>
        <v>0.1307686434</v>
      </c>
      <c r="H211" s="8">
        <v>5682.0</v>
      </c>
      <c r="I211" s="8">
        <v>2229.222279012203</v>
      </c>
      <c r="J211" s="8">
        <v>12634.0</v>
      </c>
      <c r="K211" s="18">
        <f t="shared" si="4"/>
        <v>0.4497388001</v>
      </c>
      <c r="L211" s="18">
        <f t="shared" si="5"/>
        <v>0.3923305665</v>
      </c>
      <c r="M211" s="18">
        <f t="shared" si="6"/>
        <v>0.1764462782</v>
      </c>
      <c r="N211" s="18">
        <f t="shared" si="16"/>
        <v>1.34930113</v>
      </c>
      <c r="T211" s="18"/>
      <c r="U211" s="18"/>
      <c r="V211" s="18"/>
      <c r="W211" s="18"/>
    </row>
    <row r="212" ht="15.75" customHeight="1">
      <c r="A212" s="8">
        <v>50401.0</v>
      </c>
      <c r="B212" s="8">
        <v>375.0</v>
      </c>
      <c r="C212" s="8">
        <v>140.88889226317406</v>
      </c>
      <c r="D212" s="8">
        <v>1688.0</v>
      </c>
      <c r="E212" s="18">
        <f t="shared" si="1"/>
        <v>0.2221563981</v>
      </c>
      <c r="F212" s="18">
        <f t="shared" si="15"/>
        <v>0.3757037127</v>
      </c>
      <c r="G212" s="18">
        <f t="shared" si="3"/>
        <v>0.08346498357</v>
      </c>
      <c r="H212" s="8">
        <v>4851.0</v>
      </c>
      <c r="I212" s="8">
        <v>1954.8889376819134</v>
      </c>
      <c r="J212" s="8">
        <v>13835.0</v>
      </c>
      <c r="K212" s="18">
        <f t="shared" si="4"/>
        <v>0.3506324539</v>
      </c>
      <c r="L212" s="18">
        <f t="shared" si="5"/>
        <v>0.402986794</v>
      </c>
      <c r="M212" s="18">
        <f t="shared" si="6"/>
        <v>0.1413002485</v>
      </c>
      <c r="N212" s="18">
        <f t="shared" si="16"/>
        <v>1.692928489</v>
      </c>
      <c r="T212" s="18"/>
      <c r="U212" s="18"/>
      <c r="V212" s="18"/>
      <c r="W212" s="18"/>
    </row>
    <row r="213" ht="15.75" customHeight="1">
      <c r="A213" s="8">
        <v>50402.0</v>
      </c>
      <c r="B213" s="8">
        <v>405.0</v>
      </c>
      <c r="C213" s="8">
        <v>156.22222608327866</v>
      </c>
      <c r="D213" s="8">
        <v>1521.0</v>
      </c>
      <c r="E213" s="18">
        <f t="shared" si="1"/>
        <v>0.2662721893</v>
      </c>
      <c r="F213" s="18">
        <f t="shared" si="15"/>
        <v>0.3857338916</v>
      </c>
      <c r="G213" s="18">
        <f t="shared" si="3"/>
        <v>0.1027102078</v>
      </c>
      <c r="H213" s="8">
        <v>5460.0</v>
      </c>
      <c r="I213" s="8">
        <v>2199.6667230427265</v>
      </c>
      <c r="J213" s="8">
        <v>14830.0</v>
      </c>
      <c r="K213" s="18">
        <f t="shared" si="4"/>
        <v>0.3681726231</v>
      </c>
      <c r="L213" s="18">
        <f t="shared" si="5"/>
        <v>0.4028693632</v>
      </c>
      <c r="M213" s="18">
        <f t="shared" si="6"/>
        <v>0.1483254702</v>
      </c>
      <c r="N213" s="18">
        <f t="shared" si="16"/>
        <v>1.444116153</v>
      </c>
      <c r="T213" s="18"/>
      <c r="U213" s="18"/>
      <c r="V213" s="18"/>
      <c r="W213" s="18"/>
    </row>
    <row r="214" ht="15.75" customHeight="1">
      <c r="A214" s="8">
        <v>50403.0</v>
      </c>
      <c r="B214" s="8">
        <v>735.0</v>
      </c>
      <c r="C214" s="8">
        <v>275.8888955116272</v>
      </c>
      <c r="D214" s="8">
        <v>2912.0</v>
      </c>
      <c r="E214" s="18">
        <f t="shared" si="1"/>
        <v>0.2524038462</v>
      </c>
      <c r="F214" s="18">
        <f t="shared" si="15"/>
        <v>0.3753590415</v>
      </c>
      <c r="G214" s="18">
        <f t="shared" si="3"/>
        <v>0.09474206577</v>
      </c>
      <c r="H214" s="8">
        <v>8488.0</v>
      </c>
      <c r="I214" s="8">
        <v>3244.1111938357353</v>
      </c>
      <c r="J214" s="8">
        <v>28874.0</v>
      </c>
      <c r="K214" s="18">
        <f t="shared" si="4"/>
        <v>0.2939668906</v>
      </c>
      <c r="L214" s="18">
        <f t="shared" si="5"/>
        <v>0.3821997165</v>
      </c>
      <c r="M214" s="18">
        <f t="shared" si="6"/>
        <v>0.1123540623</v>
      </c>
      <c r="N214" s="18">
        <f t="shared" si="16"/>
        <v>1.185894158</v>
      </c>
      <c r="T214" s="18"/>
      <c r="U214" s="18"/>
      <c r="V214" s="18"/>
      <c r="W214" s="18"/>
    </row>
    <row r="215" ht="15.75" customHeight="1">
      <c r="A215" s="8">
        <v>50404.0</v>
      </c>
      <c r="B215" s="8">
        <v>578.0</v>
      </c>
      <c r="C215" s="8">
        <v>223.33333930373192</v>
      </c>
      <c r="D215" s="8">
        <v>1631.0</v>
      </c>
      <c r="E215" s="18">
        <f t="shared" si="1"/>
        <v>0.3543838136</v>
      </c>
      <c r="F215" s="18">
        <f t="shared" si="15"/>
        <v>0.3863898604</v>
      </c>
      <c r="G215" s="18">
        <f t="shared" si="3"/>
        <v>0.1369303123</v>
      </c>
      <c r="H215" s="8">
        <v>4916.0</v>
      </c>
      <c r="I215" s="8">
        <v>1906.2222701907158</v>
      </c>
      <c r="J215" s="8">
        <v>12315.0</v>
      </c>
      <c r="K215" s="18">
        <f t="shared" si="4"/>
        <v>0.3991879821</v>
      </c>
      <c r="L215" s="18">
        <f t="shared" si="5"/>
        <v>0.3877588019</v>
      </c>
      <c r="M215" s="18">
        <f t="shared" si="6"/>
        <v>0.1547886537</v>
      </c>
      <c r="N215" s="18">
        <f t="shared" si="16"/>
        <v>1.130419197</v>
      </c>
      <c r="T215" s="18"/>
      <c r="U215" s="18"/>
      <c r="V215" s="18"/>
      <c r="W215" s="18"/>
    </row>
    <row r="216" ht="15.75" customHeight="1">
      <c r="A216" s="8">
        <v>50405.0</v>
      </c>
      <c r="B216" s="8">
        <v>390.0</v>
      </c>
      <c r="C216" s="8">
        <v>148.4444481730461</v>
      </c>
      <c r="D216" s="8">
        <v>1471.0</v>
      </c>
      <c r="E216" s="18">
        <f t="shared" si="1"/>
        <v>0.2651257648</v>
      </c>
      <c r="F216" s="18">
        <f t="shared" si="15"/>
        <v>0.3806267902</v>
      </c>
      <c r="G216" s="18">
        <f t="shared" si="3"/>
        <v>0.1009139688</v>
      </c>
      <c r="H216" s="8">
        <v>6142.0</v>
      </c>
      <c r="I216" s="8">
        <v>2358.444502443075</v>
      </c>
      <c r="J216" s="8">
        <v>18858.0</v>
      </c>
      <c r="K216" s="18">
        <f t="shared" si="4"/>
        <v>0.3256973168</v>
      </c>
      <c r="L216" s="18">
        <f t="shared" si="5"/>
        <v>0.3839864055</v>
      </c>
      <c r="M216" s="18">
        <f t="shared" si="6"/>
        <v>0.1250633419</v>
      </c>
      <c r="N216" s="18">
        <f t="shared" si="16"/>
        <v>1.239306544</v>
      </c>
      <c r="T216" s="18"/>
      <c r="U216" s="18"/>
      <c r="V216" s="18"/>
      <c r="W216" s="18"/>
    </row>
    <row r="217" ht="15.75" customHeight="1">
      <c r="A217" s="8">
        <v>50501.0</v>
      </c>
      <c r="B217" s="8">
        <v>488.0</v>
      </c>
      <c r="C217" s="8">
        <v>192.22222703695297</v>
      </c>
      <c r="D217" s="8">
        <v>1457.0</v>
      </c>
      <c r="E217" s="18">
        <f t="shared" si="1"/>
        <v>0.3349347975</v>
      </c>
      <c r="F217" s="18">
        <f t="shared" si="15"/>
        <v>0.3938980062</v>
      </c>
      <c r="G217" s="18">
        <f t="shared" si="3"/>
        <v>0.131930149</v>
      </c>
      <c r="H217" s="8">
        <v>13660.0</v>
      </c>
      <c r="I217" s="8">
        <v>5736.222369849682</v>
      </c>
      <c r="J217" s="8">
        <v>26405.0</v>
      </c>
      <c r="K217" s="18">
        <f t="shared" si="4"/>
        <v>0.517326264</v>
      </c>
      <c r="L217" s="18">
        <f t="shared" si="5"/>
        <v>0.4199284312</v>
      </c>
      <c r="M217" s="18">
        <f t="shared" si="6"/>
        <v>0.2172400064</v>
      </c>
      <c r="N217" s="18">
        <f t="shared" si="16"/>
        <v>1.646628979</v>
      </c>
      <c r="T217" s="18"/>
      <c r="U217" s="18"/>
      <c r="V217" s="18"/>
      <c r="W217" s="18"/>
    </row>
    <row r="218" ht="15.75" customHeight="1">
      <c r="A218" s="8">
        <v>50502.0</v>
      </c>
      <c r="B218" s="8">
        <v>258.0</v>
      </c>
      <c r="C218" s="8">
        <v>94.6666689813137</v>
      </c>
      <c r="D218" s="8">
        <v>970.0</v>
      </c>
      <c r="E218" s="18">
        <f t="shared" si="1"/>
        <v>0.2659793814</v>
      </c>
      <c r="F218" s="18">
        <f t="shared" si="15"/>
        <v>0.3669250736</v>
      </c>
      <c r="G218" s="18">
        <f t="shared" si="3"/>
        <v>0.0975945041</v>
      </c>
      <c r="H218" s="8">
        <v>4059.0</v>
      </c>
      <c r="I218" s="8">
        <v>1658.2222630679607</v>
      </c>
      <c r="J218" s="8">
        <v>9394.0</v>
      </c>
      <c r="K218" s="18">
        <f t="shared" si="4"/>
        <v>0.4320843091</v>
      </c>
      <c r="L218" s="18">
        <f t="shared" si="5"/>
        <v>0.4085297519</v>
      </c>
      <c r="M218" s="18">
        <f t="shared" si="6"/>
        <v>0.1765192956</v>
      </c>
      <c r="N218" s="18">
        <f t="shared" si="16"/>
        <v>1.808701189</v>
      </c>
      <c r="T218" s="18"/>
      <c r="U218" s="18"/>
      <c r="V218" s="18"/>
      <c r="W218" s="18"/>
    </row>
    <row r="219" ht="15.75" customHeight="1">
      <c r="A219" s="8">
        <v>50601.0</v>
      </c>
      <c r="B219" s="8">
        <v>392.0</v>
      </c>
      <c r="C219" s="8">
        <v>141.33333680033684</v>
      </c>
      <c r="D219" s="8">
        <v>2258.0</v>
      </c>
      <c r="E219" s="18">
        <f t="shared" si="1"/>
        <v>0.1736049601</v>
      </c>
      <c r="F219" s="18">
        <f t="shared" si="15"/>
        <v>0.3605442265</v>
      </c>
      <c r="G219" s="18">
        <f t="shared" si="3"/>
        <v>0.06259226608</v>
      </c>
      <c r="H219" s="8">
        <v>4947.0</v>
      </c>
      <c r="I219" s="8">
        <v>1892.8889368474483</v>
      </c>
      <c r="J219" s="8">
        <v>25837.0</v>
      </c>
      <c r="K219" s="18">
        <f t="shared" si="4"/>
        <v>0.1914695979</v>
      </c>
      <c r="L219" s="18">
        <f t="shared" si="5"/>
        <v>0.3826337046</v>
      </c>
      <c r="M219" s="18">
        <f t="shared" si="6"/>
        <v>0.07326272156</v>
      </c>
      <c r="N219" s="18">
        <f t="shared" si="16"/>
        <v>1.170475622</v>
      </c>
      <c r="T219" s="18"/>
      <c r="U219" s="18"/>
      <c r="V219" s="18"/>
      <c r="W219" s="18"/>
    </row>
    <row r="220" ht="15.75" customHeight="1">
      <c r="A220" s="8">
        <v>50602.0</v>
      </c>
      <c r="B220" s="8">
        <v>135.0</v>
      </c>
      <c r="C220" s="8">
        <v>49.33333441615105</v>
      </c>
      <c r="D220" s="8">
        <v>728.0</v>
      </c>
      <c r="E220" s="18">
        <f t="shared" si="1"/>
        <v>0.1854395604</v>
      </c>
      <c r="F220" s="18">
        <f t="shared" si="15"/>
        <v>0.3654321068</v>
      </c>
      <c r="G220" s="18">
        <f t="shared" si="3"/>
        <v>0.06776556925</v>
      </c>
      <c r="H220" s="8">
        <v>1308.0</v>
      </c>
      <c r="I220" s="8">
        <v>485.3333450257778</v>
      </c>
      <c r="J220" s="8">
        <v>8825.0</v>
      </c>
      <c r="K220" s="18">
        <f t="shared" si="4"/>
        <v>0.1482152975</v>
      </c>
      <c r="L220" s="18">
        <f t="shared" si="5"/>
        <v>0.371049958</v>
      </c>
      <c r="M220" s="18">
        <f t="shared" si="6"/>
        <v>0.05499527989</v>
      </c>
      <c r="N220" s="18">
        <f t="shared" si="16"/>
        <v>0.8115519503</v>
      </c>
      <c r="T220" s="18"/>
      <c r="U220" s="18"/>
      <c r="V220" s="18"/>
      <c r="W220" s="18"/>
    </row>
    <row r="221" ht="15.75" customHeight="1">
      <c r="A221" s="8">
        <v>50701.0</v>
      </c>
      <c r="B221" s="8">
        <v>252.0</v>
      </c>
      <c r="C221" s="8">
        <v>91.3333355486393</v>
      </c>
      <c r="D221" s="8">
        <v>1370.0</v>
      </c>
      <c r="E221" s="18">
        <f t="shared" si="1"/>
        <v>0.1839416058</v>
      </c>
      <c r="F221" s="18">
        <f t="shared" si="15"/>
        <v>0.3624338712</v>
      </c>
      <c r="G221" s="18">
        <f t="shared" si="3"/>
        <v>0.06666666828</v>
      </c>
      <c r="H221" s="8">
        <v>4091.0</v>
      </c>
      <c r="I221" s="8">
        <v>1544.0000401735306</v>
      </c>
      <c r="J221" s="8">
        <v>15498.0</v>
      </c>
      <c r="K221" s="18">
        <f t="shared" si="4"/>
        <v>0.2639695445</v>
      </c>
      <c r="L221" s="18">
        <f t="shared" si="5"/>
        <v>0.3774138451</v>
      </c>
      <c r="M221" s="18">
        <f t="shared" si="6"/>
        <v>0.09962576075</v>
      </c>
      <c r="N221" s="18">
        <f t="shared" si="16"/>
        <v>1.494386375</v>
      </c>
      <c r="T221" s="18"/>
      <c r="U221" s="18"/>
      <c r="V221" s="18"/>
      <c r="W221" s="18"/>
    </row>
    <row r="222" ht="15.75" customHeight="1">
      <c r="A222" s="8">
        <v>50702.0</v>
      </c>
      <c r="B222" s="8">
        <v>150.0</v>
      </c>
      <c r="C222" s="8">
        <v>54.555556774139404</v>
      </c>
      <c r="D222" s="8">
        <v>677.0</v>
      </c>
      <c r="E222" s="18">
        <f t="shared" si="1"/>
        <v>0.2215657312</v>
      </c>
      <c r="F222" s="18">
        <f t="shared" si="15"/>
        <v>0.3637037118</v>
      </c>
      <c r="G222" s="18">
        <f t="shared" si="3"/>
        <v>0.08058427884</v>
      </c>
      <c r="H222" s="8">
        <v>1866.0</v>
      </c>
      <c r="I222" s="8">
        <v>692.0000173449516</v>
      </c>
      <c r="J222" s="8">
        <v>7623.0</v>
      </c>
      <c r="K222" s="18">
        <f t="shared" si="4"/>
        <v>0.2447855175</v>
      </c>
      <c r="L222" s="18">
        <f t="shared" si="5"/>
        <v>0.3708467403</v>
      </c>
      <c r="M222" s="18">
        <f t="shared" si="6"/>
        <v>0.09077791124</v>
      </c>
      <c r="N222" s="18">
        <f t="shared" si="16"/>
        <v>1.126496539</v>
      </c>
      <c r="T222" s="18"/>
      <c r="U222" s="18"/>
      <c r="V222" s="18"/>
      <c r="W222" s="18"/>
    </row>
    <row r="223" ht="15.75" customHeight="1">
      <c r="A223" s="8">
        <v>50801.0</v>
      </c>
      <c r="B223" s="8">
        <v>267.0</v>
      </c>
      <c r="C223" s="8">
        <v>97.55555790662766</v>
      </c>
      <c r="D223" s="8">
        <v>4008.0</v>
      </c>
      <c r="E223" s="18">
        <f t="shared" si="1"/>
        <v>0.06661676647</v>
      </c>
      <c r="F223" s="18">
        <f t="shared" si="15"/>
        <v>0.3653766214</v>
      </c>
      <c r="G223" s="18">
        <f t="shared" si="3"/>
        <v>0.02434020906</v>
      </c>
      <c r="H223" s="8">
        <v>2410.0</v>
      </c>
      <c r="I223" s="8">
        <v>894.555577903986</v>
      </c>
      <c r="J223" s="8">
        <v>39567.0</v>
      </c>
      <c r="K223" s="18">
        <f t="shared" si="4"/>
        <v>0.06090934364</v>
      </c>
      <c r="L223" s="18">
        <f t="shared" si="5"/>
        <v>0.3711848871</v>
      </c>
      <c r="M223" s="18">
        <f t="shared" si="6"/>
        <v>0.02260862784</v>
      </c>
      <c r="N223" s="18">
        <f t="shared" si="16"/>
        <v>0.92885923</v>
      </c>
      <c r="T223" s="18"/>
      <c r="U223" s="18"/>
      <c r="V223" s="18"/>
      <c r="W223" s="18"/>
    </row>
    <row r="224" ht="15.75" customHeight="1">
      <c r="A224" s="8">
        <v>50802.0</v>
      </c>
      <c r="B224" s="8">
        <v>99.0</v>
      </c>
      <c r="C224" s="8">
        <v>35.55555647611618</v>
      </c>
      <c r="D224" s="8">
        <v>1657.0</v>
      </c>
      <c r="E224" s="18">
        <f t="shared" si="1"/>
        <v>0.05974652987</v>
      </c>
      <c r="F224" s="18">
        <f t="shared" si="15"/>
        <v>0.3591470351</v>
      </c>
      <c r="G224" s="18">
        <f t="shared" si="3"/>
        <v>0.02145778906</v>
      </c>
      <c r="H224" s="8">
        <v>345.0</v>
      </c>
      <c r="I224" s="8">
        <v>131.77778115868568</v>
      </c>
      <c r="J224" s="8">
        <v>7710.0</v>
      </c>
      <c r="K224" s="18">
        <f t="shared" si="4"/>
        <v>0.04474708171</v>
      </c>
      <c r="L224" s="18">
        <f t="shared" si="5"/>
        <v>0.3819645831</v>
      </c>
      <c r="M224" s="18">
        <f t="shared" si="6"/>
        <v>0.01709180041</v>
      </c>
      <c r="N224" s="18">
        <f t="shared" si="16"/>
        <v>0.7965312903</v>
      </c>
      <c r="T224" s="18"/>
      <c r="U224" s="18"/>
      <c r="V224" s="18"/>
      <c r="W224" s="18"/>
    </row>
    <row r="225" ht="15.75" customHeight="1">
      <c r="A225" s="8">
        <v>50901.0</v>
      </c>
      <c r="B225" s="8">
        <v>86.0</v>
      </c>
      <c r="C225" s="8">
        <v>31.000000715255737</v>
      </c>
      <c r="D225" s="8">
        <v>1336.0</v>
      </c>
      <c r="E225" s="18">
        <f t="shared" si="1"/>
        <v>0.06437125749</v>
      </c>
      <c r="F225" s="18">
        <f t="shared" si="15"/>
        <v>0.3604651246</v>
      </c>
      <c r="G225" s="18">
        <f t="shared" si="3"/>
        <v>0.02320359335</v>
      </c>
      <c r="H225" s="8">
        <v>676.0</v>
      </c>
      <c r="I225" s="8">
        <v>253.33333945274353</v>
      </c>
      <c r="J225" s="8">
        <v>9450.0</v>
      </c>
      <c r="K225" s="18">
        <f t="shared" si="4"/>
        <v>0.07153439153</v>
      </c>
      <c r="L225" s="18">
        <f t="shared" si="5"/>
        <v>0.3747534607</v>
      </c>
      <c r="M225" s="18">
        <f t="shared" si="6"/>
        <v>0.02680776079</v>
      </c>
      <c r="N225" s="18">
        <f t="shared" si="16"/>
        <v>1.155327987</v>
      </c>
      <c r="T225" s="18"/>
      <c r="U225" s="18"/>
      <c r="V225" s="18"/>
      <c r="W225" s="18"/>
    </row>
    <row r="226" ht="15.75" customHeight="1">
      <c r="A226" s="8">
        <v>50902.0</v>
      </c>
      <c r="B226" s="8">
        <v>16.0</v>
      </c>
      <c r="C226" s="8">
        <v>5.777777910232544</v>
      </c>
      <c r="D226" s="8">
        <v>125.0</v>
      </c>
      <c r="E226" s="18">
        <f t="shared" si="1"/>
        <v>0.128</v>
      </c>
      <c r="F226" s="18">
        <f t="shared" si="15"/>
        <v>0.3611111194</v>
      </c>
      <c r="G226" s="18">
        <f t="shared" si="3"/>
        <v>0.04622222328</v>
      </c>
      <c r="H226" s="8">
        <v>119.0</v>
      </c>
      <c r="I226" s="8">
        <v>43.77777871489525</v>
      </c>
      <c r="J226" s="8">
        <v>1363.0</v>
      </c>
      <c r="K226" s="18">
        <f t="shared" si="4"/>
        <v>0.08730741012</v>
      </c>
      <c r="L226" s="18">
        <f t="shared" si="5"/>
        <v>0.3678804934</v>
      </c>
      <c r="M226" s="18">
        <f t="shared" si="6"/>
        <v>0.03211869311</v>
      </c>
      <c r="N226" s="18">
        <f t="shared" si="16"/>
        <v>0.6948755563</v>
      </c>
      <c r="T226" s="18"/>
      <c r="U226" s="18"/>
      <c r="V226" s="18"/>
      <c r="W226" s="18"/>
    </row>
    <row r="227" ht="15.75" customHeight="1">
      <c r="A227" s="8">
        <v>51001.0</v>
      </c>
      <c r="B227" s="8">
        <v>48.0</v>
      </c>
      <c r="C227" s="8">
        <v>18.000000596046448</v>
      </c>
      <c r="D227" s="8">
        <v>297.0</v>
      </c>
      <c r="E227" s="18">
        <f t="shared" si="1"/>
        <v>0.1616161616</v>
      </c>
      <c r="F227" s="18">
        <f t="shared" si="15"/>
        <v>0.3750000124</v>
      </c>
      <c r="G227" s="18">
        <f t="shared" si="3"/>
        <v>0.06060606261</v>
      </c>
      <c r="H227" s="8">
        <v>522.0</v>
      </c>
      <c r="I227" s="8">
        <v>199.22222712635994</v>
      </c>
      <c r="J227" s="8">
        <v>2562.0</v>
      </c>
      <c r="K227" s="18">
        <f t="shared" si="4"/>
        <v>0.2037470726</v>
      </c>
      <c r="L227" s="18">
        <f t="shared" si="5"/>
        <v>0.3816517761</v>
      </c>
      <c r="M227" s="18">
        <f t="shared" si="6"/>
        <v>0.07776043213</v>
      </c>
      <c r="N227" s="18">
        <f t="shared" si="16"/>
        <v>1.283047088</v>
      </c>
      <c r="T227" s="18"/>
      <c r="U227" s="18"/>
      <c r="V227" s="18"/>
      <c r="W227" s="18"/>
    </row>
    <row r="228" ht="15.75" customHeight="1">
      <c r="A228" s="8">
        <v>51002.0</v>
      </c>
      <c r="B228" s="8">
        <v>0.0</v>
      </c>
      <c r="C228" s="8">
        <v>0.0</v>
      </c>
      <c r="D228" s="8">
        <v>4.0</v>
      </c>
      <c r="E228" s="18">
        <f t="shared" si="1"/>
        <v>0</v>
      </c>
      <c r="F228" s="18">
        <v>0.0</v>
      </c>
      <c r="G228" s="18">
        <f t="shared" si="3"/>
        <v>0</v>
      </c>
      <c r="H228" s="8">
        <v>343.0</v>
      </c>
      <c r="I228" s="8">
        <v>134.33333683013916</v>
      </c>
      <c r="J228" s="8">
        <v>951.0</v>
      </c>
      <c r="K228" s="18">
        <f t="shared" si="4"/>
        <v>0.3606729758</v>
      </c>
      <c r="L228" s="18">
        <f t="shared" si="5"/>
        <v>0.3916423814</v>
      </c>
      <c r="M228" s="18">
        <f t="shared" si="6"/>
        <v>0.1412548232</v>
      </c>
      <c r="N228" s="18">
        <v>0.0</v>
      </c>
      <c r="T228" s="18"/>
      <c r="U228" s="18"/>
      <c r="V228" s="18"/>
      <c r="W228" s="18"/>
    </row>
    <row r="229" ht="15.75" customHeight="1">
      <c r="A229" s="8">
        <v>51003.0</v>
      </c>
      <c r="B229" s="8">
        <v>12.0</v>
      </c>
      <c r="C229" s="8">
        <v>4.0000001192092896</v>
      </c>
      <c r="D229" s="8">
        <v>102.0</v>
      </c>
      <c r="E229" s="18">
        <f t="shared" si="1"/>
        <v>0.1176470588</v>
      </c>
      <c r="F229" s="18">
        <f t="shared" ref="F229:F346" si="17">C229/B229</f>
        <v>0.3333333433</v>
      </c>
      <c r="G229" s="18">
        <f t="shared" si="3"/>
        <v>0.03921568744</v>
      </c>
      <c r="H229" s="8">
        <v>510.0</v>
      </c>
      <c r="I229" s="8">
        <v>198.77778255939484</v>
      </c>
      <c r="J229" s="8">
        <v>1751.0</v>
      </c>
      <c r="K229" s="18">
        <f t="shared" si="4"/>
        <v>0.2912621359</v>
      </c>
      <c r="L229" s="18">
        <f t="shared" si="5"/>
        <v>0.389760358</v>
      </c>
      <c r="M229" s="18">
        <f t="shared" si="6"/>
        <v>0.1135224344</v>
      </c>
      <c r="N229" s="18">
        <f t="shared" ref="N229:N346" si="18">M229/G229</f>
        <v>2.89482199</v>
      </c>
      <c r="T229" s="18"/>
      <c r="U229" s="18"/>
      <c r="V229" s="18"/>
      <c r="W229" s="18"/>
    </row>
    <row r="230" ht="15.75" customHeight="1">
      <c r="A230" s="8">
        <v>51101.0</v>
      </c>
      <c r="B230" s="8">
        <v>142.0</v>
      </c>
      <c r="C230" s="8">
        <v>50.00000128149986</v>
      </c>
      <c r="D230" s="8">
        <v>1006.0</v>
      </c>
      <c r="E230" s="18">
        <f t="shared" si="1"/>
        <v>0.1411530815</v>
      </c>
      <c r="F230" s="18">
        <f t="shared" si="17"/>
        <v>0.3521126851</v>
      </c>
      <c r="G230" s="18">
        <f t="shared" si="3"/>
        <v>0.04970179054</v>
      </c>
      <c r="H230" s="8">
        <v>2114.0</v>
      </c>
      <c r="I230" s="8">
        <v>782.5555745959282</v>
      </c>
      <c r="J230" s="8">
        <v>14647.0</v>
      </c>
      <c r="K230" s="18">
        <f t="shared" si="4"/>
        <v>0.1443298969</v>
      </c>
      <c r="L230" s="18">
        <f t="shared" si="5"/>
        <v>0.3701776606</v>
      </c>
      <c r="M230" s="18">
        <f t="shared" si="6"/>
        <v>0.0534277036</v>
      </c>
      <c r="N230" s="18">
        <f t="shared" si="18"/>
        <v>1.074965369</v>
      </c>
      <c r="T230" s="18"/>
      <c r="U230" s="18"/>
      <c r="V230" s="18"/>
      <c r="W230" s="18"/>
    </row>
    <row r="231" ht="15.75" customHeight="1">
      <c r="A231" s="8">
        <v>51102.0</v>
      </c>
      <c r="B231" s="8">
        <v>252.0</v>
      </c>
      <c r="C231" s="8">
        <v>92.66666877269745</v>
      </c>
      <c r="D231" s="8">
        <v>1477.0</v>
      </c>
      <c r="E231" s="18">
        <f t="shared" si="1"/>
        <v>0.1706161137</v>
      </c>
      <c r="F231" s="18">
        <f t="shared" si="17"/>
        <v>0.3677248761</v>
      </c>
      <c r="G231" s="18">
        <f t="shared" si="3"/>
        <v>0.06273978928</v>
      </c>
      <c r="H231" s="8">
        <v>1693.0</v>
      </c>
      <c r="I231" s="8">
        <v>635.2222384512424</v>
      </c>
      <c r="J231" s="8">
        <v>10778.0</v>
      </c>
      <c r="K231" s="18">
        <f t="shared" si="4"/>
        <v>0.1570792355</v>
      </c>
      <c r="L231" s="18">
        <f t="shared" si="5"/>
        <v>0.3752051025</v>
      </c>
      <c r="M231" s="18">
        <f t="shared" si="6"/>
        <v>0.05893693064</v>
      </c>
      <c r="N231" s="18">
        <f t="shared" si="18"/>
        <v>0.939386812</v>
      </c>
      <c r="T231" s="18"/>
      <c r="U231" s="18"/>
      <c r="V231" s="18"/>
      <c r="W231" s="18"/>
    </row>
    <row r="232" ht="15.75" customHeight="1">
      <c r="A232" s="8">
        <v>51103.0</v>
      </c>
      <c r="B232" s="8">
        <v>294.0</v>
      </c>
      <c r="C232" s="8">
        <v>107.77778032422066</v>
      </c>
      <c r="D232" s="8">
        <v>751.0</v>
      </c>
      <c r="E232" s="18">
        <f t="shared" si="1"/>
        <v>0.3914780293</v>
      </c>
      <c r="F232" s="18">
        <f t="shared" si="17"/>
        <v>0.3665910895</v>
      </c>
      <c r="G232" s="18">
        <f t="shared" si="3"/>
        <v>0.1435123573</v>
      </c>
      <c r="H232" s="8">
        <v>5986.0</v>
      </c>
      <c r="I232" s="8">
        <v>2424.111171245575</v>
      </c>
      <c r="J232" s="8">
        <v>13192.0</v>
      </c>
      <c r="K232" s="18">
        <f t="shared" si="4"/>
        <v>0.4537598545</v>
      </c>
      <c r="L232" s="18">
        <f t="shared" si="5"/>
        <v>0.4049634432</v>
      </c>
      <c r="M232" s="18">
        <f t="shared" si="6"/>
        <v>0.1837561531</v>
      </c>
      <c r="N232" s="18">
        <f t="shared" si="18"/>
        <v>1.280420422</v>
      </c>
      <c r="T232" s="18"/>
      <c r="U232" s="18"/>
      <c r="V232" s="18"/>
      <c r="W232" s="18"/>
    </row>
    <row r="233" ht="15.75" customHeight="1">
      <c r="A233" s="8">
        <v>51201.0</v>
      </c>
      <c r="B233" s="8">
        <v>359.0</v>
      </c>
      <c r="C233" s="8">
        <v>127.33333653211594</v>
      </c>
      <c r="D233" s="8">
        <v>3903.0</v>
      </c>
      <c r="E233" s="18">
        <f t="shared" si="1"/>
        <v>0.0919805278</v>
      </c>
      <c r="F233" s="18">
        <f t="shared" si="17"/>
        <v>0.3546889597</v>
      </c>
      <c r="G233" s="18">
        <f t="shared" si="3"/>
        <v>0.03262447772</v>
      </c>
      <c r="H233" s="8">
        <v>2404.0</v>
      </c>
      <c r="I233" s="8">
        <v>863.555577814579</v>
      </c>
      <c r="J233" s="8">
        <v>29414.0</v>
      </c>
      <c r="K233" s="18">
        <f t="shared" si="4"/>
        <v>0.08172978854</v>
      </c>
      <c r="L233" s="18">
        <f t="shared" si="5"/>
        <v>0.3592161305</v>
      </c>
      <c r="M233" s="18">
        <f t="shared" si="6"/>
        <v>0.02935865839</v>
      </c>
      <c r="N233" s="18">
        <f t="shared" si="18"/>
        <v>0.8998966556</v>
      </c>
      <c r="T233" s="18"/>
      <c r="U233" s="18"/>
      <c r="V233" s="18"/>
      <c r="W233" s="18"/>
    </row>
    <row r="234" ht="15.75" customHeight="1">
      <c r="A234" s="8">
        <v>51202.0</v>
      </c>
      <c r="B234" s="8">
        <v>209.0</v>
      </c>
      <c r="C234" s="8">
        <v>74.00000181794167</v>
      </c>
      <c r="D234" s="8">
        <v>1034.0</v>
      </c>
      <c r="E234" s="18">
        <f t="shared" si="1"/>
        <v>0.2021276596</v>
      </c>
      <c r="F234" s="18">
        <f t="shared" si="17"/>
        <v>0.3540669943</v>
      </c>
      <c r="G234" s="18">
        <f t="shared" si="3"/>
        <v>0.0715667329</v>
      </c>
      <c r="H234" s="8">
        <v>1455.0</v>
      </c>
      <c r="I234" s="8">
        <v>531.8889019191265</v>
      </c>
      <c r="J234" s="8">
        <v>6615.0</v>
      </c>
      <c r="K234" s="18">
        <f t="shared" si="4"/>
        <v>0.2199546485</v>
      </c>
      <c r="L234" s="18">
        <f t="shared" si="5"/>
        <v>0.3655593828</v>
      </c>
      <c r="M234" s="18">
        <f t="shared" si="6"/>
        <v>0.08040648555</v>
      </c>
      <c r="N234" s="18">
        <f t="shared" si="18"/>
        <v>1.123517622</v>
      </c>
      <c r="T234" s="18"/>
      <c r="U234" s="18"/>
      <c r="V234" s="18"/>
      <c r="W234" s="18"/>
    </row>
    <row r="235" ht="15.75" customHeight="1">
      <c r="A235" s="8">
        <v>51203.0</v>
      </c>
      <c r="B235" s="8">
        <v>186.0</v>
      </c>
      <c r="C235" s="8">
        <v>67.11111298203468</v>
      </c>
      <c r="D235" s="8">
        <v>3293.0</v>
      </c>
      <c r="E235" s="18">
        <f t="shared" si="1"/>
        <v>0.05648344974</v>
      </c>
      <c r="F235" s="18">
        <f t="shared" si="17"/>
        <v>0.3608124354</v>
      </c>
      <c r="G235" s="18">
        <f t="shared" si="3"/>
        <v>0.02037993106</v>
      </c>
      <c r="H235" s="8">
        <v>746.0</v>
      </c>
      <c r="I235" s="8">
        <v>277.4444509446621</v>
      </c>
      <c r="J235" s="8">
        <v>10985.0</v>
      </c>
      <c r="K235" s="18">
        <f t="shared" si="4"/>
        <v>0.06791078744</v>
      </c>
      <c r="L235" s="18">
        <f t="shared" si="5"/>
        <v>0.3719094517</v>
      </c>
      <c r="M235" s="18">
        <f t="shared" si="6"/>
        <v>0.02525666372</v>
      </c>
      <c r="N235" s="18">
        <f t="shared" si="18"/>
        <v>1.23929093</v>
      </c>
      <c r="T235" s="18"/>
      <c r="U235" s="18"/>
      <c r="V235" s="18"/>
      <c r="W235" s="18"/>
    </row>
    <row r="236" ht="15.75" customHeight="1">
      <c r="A236" s="8">
        <v>51204.0</v>
      </c>
      <c r="B236" s="8">
        <v>219.0</v>
      </c>
      <c r="C236" s="8">
        <v>81.00000184774399</v>
      </c>
      <c r="D236" s="8">
        <v>896.0</v>
      </c>
      <c r="E236" s="18">
        <f t="shared" si="1"/>
        <v>0.2444196429</v>
      </c>
      <c r="F236" s="18">
        <f t="shared" si="17"/>
        <v>0.3698630221</v>
      </c>
      <c r="G236" s="18">
        <f t="shared" si="3"/>
        <v>0.09040178778</v>
      </c>
      <c r="H236" s="8">
        <v>1119.0</v>
      </c>
      <c r="I236" s="8">
        <v>419.44445472955704</v>
      </c>
      <c r="J236" s="8">
        <v>4747.0</v>
      </c>
      <c r="K236" s="18">
        <f t="shared" si="4"/>
        <v>0.2357278281</v>
      </c>
      <c r="L236" s="18">
        <f t="shared" si="5"/>
        <v>0.3748386548</v>
      </c>
      <c r="M236" s="18">
        <f t="shared" si="6"/>
        <v>0.08835990199</v>
      </c>
      <c r="N236" s="18">
        <f t="shared" si="18"/>
        <v>0.9774132145</v>
      </c>
      <c r="T236" s="18"/>
      <c r="U236" s="18"/>
      <c r="V236" s="18"/>
      <c r="W236" s="18"/>
    </row>
    <row r="237" ht="15.75" customHeight="1">
      <c r="A237" s="8">
        <v>51301.0</v>
      </c>
      <c r="B237" s="8">
        <v>40.0</v>
      </c>
      <c r="C237" s="8">
        <v>14.555555880069733</v>
      </c>
      <c r="D237" s="8">
        <v>267.0</v>
      </c>
      <c r="E237" s="18">
        <f t="shared" si="1"/>
        <v>0.1498127341</v>
      </c>
      <c r="F237" s="18">
        <f t="shared" si="17"/>
        <v>0.363888897</v>
      </c>
      <c r="G237" s="18">
        <f t="shared" si="3"/>
        <v>0.05451519056</v>
      </c>
      <c r="H237" s="8">
        <v>947.0</v>
      </c>
      <c r="I237" s="8">
        <v>360.888897895813</v>
      </c>
      <c r="J237" s="8">
        <v>3358.0</v>
      </c>
      <c r="K237" s="18">
        <f t="shared" si="4"/>
        <v>0.282013103</v>
      </c>
      <c r="L237" s="18">
        <f t="shared" si="5"/>
        <v>0.3810864814</v>
      </c>
      <c r="M237" s="18">
        <f t="shared" si="6"/>
        <v>0.1074713811</v>
      </c>
      <c r="N237" s="18">
        <f t="shared" si="18"/>
        <v>1.971402467</v>
      </c>
      <c r="T237" s="18"/>
      <c r="U237" s="18"/>
      <c r="V237" s="18"/>
      <c r="W237" s="18"/>
    </row>
    <row r="238" ht="15.75" customHeight="1">
      <c r="A238" s="8">
        <v>51302.0</v>
      </c>
      <c r="B238" s="8">
        <v>80.0</v>
      </c>
      <c r="C238" s="8">
        <v>28.666667342185974</v>
      </c>
      <c r="D238" s="8">
        <v>442.0</v>
      </c>
      <c r="E238" s="18">
        <f t="shared" si="1"/>
        <v>0.1809954751</v>
      </c>
      <c r="F238" s="18">
        <f t="shared" si="17"/>
        <v>0.3583333418</v>
      </c>
      <c r="G238" s="18">
        <f t="shared" si="3"/>
        <v>0.06485671344</v>
      </c>
      <c r="H238" s="8">
        <v>1015.0</v>
      </c>
      <c r="I238" s="8">
        <v>391.66667607426643</v>
      </c>
      <c r="J238" s="8">
        <v>3938.0</v>
      </c>
      <c r="K238" s="18">
        <f t="shared" si="4"/>
        <v>0.2577450482</v>
      </c>
      <c r="L238" s="18">
        <f t="shared" si="5"/>
        <v>0.3858784986</v>
      </c>
      <c r="M238" s="18">
        <f t="shared" si="6"/>
        <v>0.09945827224</v>
      </c>
      <c r="N238" s="18">
        <f t="shared" si="18"/>
        <v>1.533507743</v>
      </c>
      <c r="T238" s="18"/>
      <c r="U238" s="18"/>
      <c r="V238" s="18"/>
      <c r="W238" s="18"/>
    </row>
    <row r="239" ht="15.75" customHeight="1">
      <c r="A239" s="8">
        <v>51401.0</v>
      </c>
      <c r="B239" s="8">
        <v>23.0</v>
      </c>
      <c r="C239" s="8">
        <v>7.666666895151138</v>
      </c>
      <c r="D239" s="8">
        <v>585.0</v>
      </c>
      <c r="E239" s="18">
        <f t="shared" si="1"/>
        <v>0.03931623932</v>
      </c>
      <c r="F239" s="18">
        <f t="shared" si="17"/>
        <v>0.3333333433</v>
      </c>
      <c r="G239" s="18">
        <f t="shared" si="3"/>
        <v>0.0131054135</v>
      </c>
      <c r="H239" s="8">
        <v>163.0</v>
      </c>
      <c r="I239" s="8">
        <v>57.555557042360306</v>
      </c>
      <c r="J239" s="8">
        <v>3402.0</v>
      </c>
      <c r="K239" s="18">
        <f t="shared" si="4"/>
        <v>0.04791299236</v>
      </c>
      <c r="L239" s="18">
        <f t="shared" si="5"/>
        <v>0.3531015769</v>
      </c>
      <c r="M239" s="18">
        <f t="shared" si="6"/>
        <v>0.01691815316</v>
      </c>
      <c r="N239" s="18">
        <f t="shared" si="18"/>
        <v>1.290928605</v>
      </c>
      <c r="T239" s="18"/>
      <c r="U239" s="18"/>
      <c r="V239" s="18"/>
      <c r="W239" s="18"/>
    </row>
    <row r="240" ht="15.75" customHeight="1">
      <c r="A240" s="8">
        <v>51402.0</v>
      </c>
      <c r="B240" s="8">
        <v>25.0</v>
      </c>
      <c r="C240" s="8">
        <v>8.888889104127884</v>
      </c>
      <c r="D240" s="8">
        <v>165.0</v>
      </c>
      <c r="E240" s="18">
        <f t="shared" si="1"/>
        <v>0.1515151515</v>
      </c>
      <c r="F240" s="18">
        <f t="shared" si="17"/>
        <v>0.3555555642</v>
      </c>
      <c r="G240" s="18">
        <f t="shared" si="3"/>
        <v>0.05387205518</v>
      </c>
      <c r="H240" s="8">
        <v>221.0</v>
      </c>
      <c r="I240" s="8">
        <v>83.33333504199982</v>
      </c>
      <c r="J240" s="8">
        <v>1327.0</v>
      </c>
      <c r="K240" s="18">
        <f t="shared" si="4"/>
        <v>0.1665410701</v>
      </c>
      <c r="L240" s="18">
        <f t="shared" si="5"/>
        <v>0.3770739142</v>
      </c>
      <c r="M240" s="18">
        <f t="shared" si="6"/>
        <v>0.06279829317</v>
      </c>
      <c r="N240" s="18">
        <f t="shared" si="18"/>
        <v>1.165693289</v>
      </c>
      <c r="T240" s="18"/>
      <c r="U240" s="18"/>
      <c r="V240" s="18"/>
      <c r="W240" s="18"/>
    </row>
    <row r="241" ht="15.75" customHeight="1">
      <c r="A241" s="8">
        <v>51501.0</v>
      </c>
      <c r="B241" s="8">
        <v>194.0</v>
      </c>
      <c r="C241" s="8">
        <v>73.77777975797653</v>
      </c>
      <c r="D241" s="8">
        <v>3584.0</v>
      </c>
      <c r="E241" s="18">
        <f t="shared" si="1"/>
        <v>0.05412946429</v>
      </c>
      <c r="F241" s="18">
        <f t="shared" si="17"/>
        <v>0.3802978338</v>
      </c>
      <c r="G241" s="18">
        <f t="shared" si="3"/>
        <v>0.02058531801</v>
      </c>
      <c r="H241" s="8">
        <v>2372.0</v>
      </c>
      <c r="I241" s="8">
        <v>894.111132979393</v>
      </c>
      <c r="J241" s="8">
        <v>43164.0</v>
      </c>
      <c r="K241" s="18">
        <f t="shared" si="4"/>
        <v>0.05495320174</v>
      </c>
      <c r="L241" s="18">
        <f t="shared" si="5"/>
        <v>0.3769439852</v>
      </c>
      <c r="M241" s="18">
        <f t="shared" si="6"/>
        <v>0.02071427887</v>
      </c>
      <c r="N241" s="18">
        <f t="shared" si="18"/>
        <v>1.006264701</v>
      </c>
      <c r="T241" s="18"/>
      <c r="U241" s="18"/>
      <c r="V241" s="18"/>
      <c r="W241" s="18"/>
    </row>
    <row r="242" ht="15.75" customHeight="1">
      <c r="A242" s="8">
        <v>51601.0</v>
      </c>
      <c r="B242" s="8">
        <v>1.0</v>
      </c>
      <c r="C242" s="8">
        <v>0.3333333432674408</v>
      </c>
      <c r="D242" s="8">
        <v>129.0</v>
      </c>
      <c r="E242" s="18">
        <f t="shared" si="1"/>
        <v>0.007751937984</v>
      </c>
      <c r="F242" s="18">
        <f t="shared" si="17"/>
        <v>0.3333333433</v>
      </c>
      <c r="G242" s="18">
        <f t="shared" si="3"/>
        <v>0.002583979405</v>
      </c>
      <c r="H242" s="8">
        <v>129.0</v>
      </c>
      <c r="I242" s="8">
        <v>46.66666787862778</v>
      </c>
      <c r="J242" s="8">
        <v>1869.0</v>
      </c>
      <c r="K242" s="18">
        <f t="shared" si="4"/>
        <v>0.06902086677</v>
      </c>
      <c r="L242" s="18">
        <f t="shared" si="5"/>
        <v>0.3617571153</v>
      </c>
      <c r="M242" s="18">
        <f t="shared" si="6"/>
        <v>0.02496878966</v>
      </c>
      <c r="N242" s="18">
        <f t="shared" si="18"/>
        <v>9.662921311</v>
      </c>
      <c r="T242" s="18"/>
      <c r="U242" s="18"/>
      <c r="V242" s="18"/>
      <c r="W242" s="18"/>
    </row>
    <row r="243" ht="15.75" customHeight="1">
      <c r="A243" s="8">
        <v>60101.0</v>
      </c>
      <c r="B243" s="8">
        <v>483.0</v>
      </c>
      <c r="C243" s="8">
        <v>170.22222676873207</v>
      </c>
      <c r="D243" s="8">
        <v>14714.0</v>
      </c>
      <c r="E243" s="18">
        <f t="shared" si="1"/>
        <v>0.03282588011</v>
      </c>
      <c r="F243" s="18">
        <f t="shared" si="17"/>
        <v>0.3524269705</v>
      </c>
      <c r="G243" s="18">
        <f t="shared" si="3"/>
        <v>0.01156872548</v>
      </c>
      <c r="H243" s="8">
        <v>5915.0</v>
      </c>
      <c r="I243" s="8">
        <v>2157.4444990456104</v>
      </c>
      <c r="J243" s="8">
        <v>215615.0</v>
      </c>
      <c r="K243" s="18">
        <f t="shared" si="4"/>
        <v>0.02743315632</v>
      </c>
      <c r="L243" s="18">
        <f t="shared" si="5"/>
        <v>0.3647412509</v>
      </c>
      <c r="M243" s="18">
        <f t="shared" si="6"/>
        <v>0.01000600375</v>
      </c>
      <c r="N243" s="18">
        <f t="shared" si="18"/>
        <v>0.8649184187</v>
      </c>
      <c r="T243" s="18"/>
      <c r="U243" s="18"/>
      <c r="V243" s="18"/>
      <c r="W243" s="18"/>
    </row>
    <row r="244" ht="15.75" customHeight="1">
      <c r="A244" s="8">
        <v>60201.0</v>
      </c>
      <c r="B244" s="8">
        <v>42.0</v>
      </c>
      <c r="C244" s="8">
        <v>14.444444835186005</v>
      </c>
      <c r="D244" s="8">
        <v>495.0</v>
      </c>
      <c r="E244" s="18">
        <f t="shared" si="1"/>
        <v>0.08484848485</v>
      </c>
      <c r="F244" s="18">
        <f t="shared" si="17"/>
        <v>0.3439153532</v>
      </c>
      <c r="G244" s="18">
        <f t="shared" si="3"/>
        <v>0.02918069664</v>
      </c>
      <c r="H244" s="8">
        <v>1759.0</v>
      </c>
      <c r="I244" s="8">
        <v>669.555572450161</v>
      </c>
      <c r="J244" s="8">
        <v>16958.0</v>
      </c>
      <c r="K244" s="18">
        <f t="shared" si="4"/>
        <v>0.1037268546</v>
      </c>
      <c r="L244" s="18">
        <f t="shared" si="5"/>
        <v>0.3806455784</v>
      </c>
      <c r="M244" s="18">
        <f t="shared" si="6"/>
        <v>0.03948316856</v>
      </c>
      <c r="N244" s="18">
        <f t="shared" si="18"/>
        <v>1.353057778</v>
      </c>
      <c r="T244" s="18"/>
      <c r="U244" s="18"/>
      <c r="V244" s="18"/>
      <c r="W244" s="18"/>
    </row>
    <row r="245" ht="15.75" customHeight="1">
      <c r="A245" s="8">
        <v>60202.0</v>
      </c>
      <c r="B245" s="8">
        <v>48.0</v>
      </c>
      <c r="C245" s="8">
        <v>20.111111789941788</v>
      </c>
      <c r="D245" s="8">
        <v>1603.0</v>
      </c>
      <c r="E245" s="18">
        <f t="shared" si="1"/>
        <v>0.02994385527</v>
      </c>
      <c r="F245" s="18">
        <f t="shared" si="17"/>
        <v>0.4189814956</v>
      </c>
      <c r="G245" s="18">
        <f t="shared" si="3"/>
        <v>0.01254592127</v>
      </c>
      <c r="H245" s="8">
        <v>996.0</v>
      </c>
      <c r="I245" s="8">
        <v>359.8888981640339</v>
      </c>
      <c r="J245" s="8">
        <v>34044.0</v>
      </c>
      <c r="K245" s="18">
        <f t="shared" si="4"/>
        <v>0.02925625661</v>
      </c>
      <c r="L245" s="18">
        <f t="shared" si="5"/>
        <v>0.3613342351</v>
      </c>
      <c r="M245" s="18">
        <f t="shared" si="6"/>
        <v>0.0105712871</v>
      </c>
      <c r="N245" s="18">
        <f t="shared" si="18"/>
        <v>0.8426074801</v>
      </c>
      <c r="T245" s="18"/>
      <c r="U245" s="18"/>
      <c r="V245" s="18"/>
      <c r="W245" s="18"/>
    </row>
    <row r="246" ht="15.75" customHeight="1">
      <c r="A246" s="8">
        <v>60301.0</v>
      </c>
      <c r="B246" s="8">
        <v>221.0</v>
      </c>
      <c r="C246" s="8">
        <v>80.77777993679047</v>
      </c>
      <c r="D246" s="8">
        <v>5084.0</v>
      </c>
      <c r="E246" s="18">
        <f t="shared" si="1"/>
        <v>0.04346970889</v>
      </c>
      <c r="F246" s="18">
        <f t="shared" si="17"/>
        <v>0.3655103165</v>
      </c>
      <c r="G246" s="18">
        <f t="shared" si="3"/>
        <v>0.01588862705</v>
      </c>
      <c r="H246" s="8">
        <v>4073.0</v>
      </c>
      <c r="I246" s="8">
        <v>1529.0000382065773</v>
      </c>
      <c r="J246" s="8">
        <v>88448.0</v>
      </c>
      <c r="K246" s="18">
        <f t="shared" si="4"/>
        <v>0.0460496563</v>
      </c>
      <c r="L246" s="18">
        <f t="shared" si="5"/>
        <v>0.3753989782</v>
      </c>
      <c r="M246" s="18">
        <f t="shared" si="6"/>
        <v>0.01728699392</v>
      </c>
      <c r="N246" s="18">
        <f t="shared" si="18"/>
        <v>1.088010554</v>
      </c>
      <c r="T246" s="18"/>
      <c r="U246" s="18"/>
      <c r="V246" s="18"/>
      <c r="W246" s="18"/>
    </row>
    <row r="247" ht="15.75" customHeight="1">
      <c r="A247" s="8">
        <v>60302.0</v>
      </c>
      <c r="B247" s="8">
        <v>78.0</v>
      </c>
      <c r="C247" s="8">
        <v>26.66666740179062</v>
      </c>
      <c r="D247" s="8">
        <v>870.0</v>
      </c>
      <c r="E247" s="18">
        <f t="shared" si="1"/>
        <v>0.08965517241</v>
      </c>
      <c r="F247" s="18">
        <f t="shared" si="17"/>
        <v>0.3418803513</v>
      </c>
      <c r="G247" s="18">
        <f t="shared" si="3"/>
        <v>0.03065134184</v>
      </c>
      <c r="H247" s="8">
        <v>664.0</v>
      </c>
      <c r="I247" s="8">
        <v>246.22222885489464</v>
      </c>
      <c r="J247" s="8">
        <v>14220.0</v>
      </c>
      <c r="K247" s="18">
        <f t="shared" si="4"/>
        <v>0.04669479606</v>
      </c>
      <c r="L247" s="18">
        <f t="shared" si="5"/>
        <v>0.3708166097</v>
      </c>
      <c r="M247" s="18">
        <f t="shared" si="6"/>
        <v>0.01731520597</v>
      </c>
      <c r="N247" s="18">
        <f t="shared" si="18"/>
        <v>0.5649085791</v>
      </c>
      <c r="T247" s="18"/>
      <c r="U247" s="18"/>
      <c r="V247" s="18"/>
      <c r="W247" s="18"/>
    </row>
    <row r="248" ht="15.75" customHeight="1">
      <c r="A248" s="8">
        <v>60303.0</v>
      </c>
      <c r="B248" s="8">
        <v>180.0</v>
      </c>
      <c r="C248" s="8">
        <v>63.11111283302307</v>
      </c>
      <c r="D248" s="8">
        <v>3238.0</v>
      </c>
      <c r="E248" s="18">
        <f t="shared" si="1"/>
        <v>0.05558987029</v>
      </c>
      <c r="F248" s="18">
        <f t="shared" si="17"/>
        <v>0.3506172935</v>
      </c>
      <c r="G248" s="18">
        <f t="shared" si="3"/>
        <v>0.01949076987</v>
      </c>
      <c r="H248" s="8">
        <v>2400.0</v>
      </c>
      <c r="I248" s="8">
        <v>903.7778009772301</v>
      </c>
      <c r="J248" s="8">
        <v>40656.0</v>
      </c>
      <c r="K248" s="18">
        <f t="shared" si="4"/>
        <v>0.05903187721</v>
      </c>
      <c r="L248" s="18">
        <f t="shared" si="5"/>
        <v>0.3765740837</v>
      </c>
      <c r="M248" s="18">
        <f t="shared" si="6"/>
        <v>0.02222987507</v>
      </c>
      <c r="N248" s="18">
        <f t="shared" si="18"/>
        <v>1.140533454</v>
      </c>
      <c r="T248" s="18"/>
      <c r="U248" s="18"/>
      <c r="V248" s="18"/>
      <c r="W248" s="18"/>
    </row>
    <row r="249" ht="15.75" customHeight="1">
      <c r="A249" s="8">
        <v>60401.0</v>
      </c>
      <c r="B249" s="8">
        <v>42.0</v>
      </c>
      <c r="C249" s="8">
        <v>14.555555939674377</v>
      </c>
      <c r="D249" s="8">
        <v>632.0</v>
      </c>
      <c r="E249" s="18">
        <f t="shared" si="1"/>
        <v>0.0664556962</v>
      </c>
      <c r="F249" s="18">
        <f t="shared" si="17"/>
        <v>0.3465608557</v>
      </c>
      <c r="G249" s="18">
        <f t="shared" si="3"/>
        <v>0.02303094294</v>
      </c>
      <c r="H249" s="8">
        <v>1173.0</v>
      </c>
      <c r="I249" s="8">
        <v>433.777788490057</v>
      </c>
      <c r="J249" s="8">
        <v>14962.0</v>
      </c>
      <c r="K249" s="18">
        <f t="shared" si="4"/>
        <v>0.07839860981</v>
      </c>
      <c r="L249" s="18">
        <f t="shared" si="5"/>
        <v>0.3698020362</v>
      </c>
      <c r="M249" s="18">
        <f t="shared" si="6"/>
        <v>0.02899196555</v>
      </c>
      <c r="N249" s="18">
        <f t="shared" si="18"/>
        <v>1.258826685</v>
      </c>
      <c r="T249" s="18"/>
      <c r="U249" s="18"/>
      <c r="V249" s="18"/>
      <c r="W249" s="18"/>
    </row>
    <row r="250" ht="15.75" customHeight="1">
      <c r="A250" s="8">
        <v>60402.0</v>
      </c>
      <c r="B250" s="8">
        <v>4.0</v>
      </c>
      <c r="C250" s="8">
        <v>1.444444477558136</v>
      </c>
      <c r="D250" s="8">
        <v>152.0</v>
      </c>
      <c r="E250" s="18">
        <f t="shared" si="1"/>
        <v>0.02631578947</v>
      </c>
      <c r="F250" s="18">
        <f t="shared" si="17"/>
        <v>0.3611111194</v>
      </c>
      <c r="G250" s="18">
        <f t="shared" si="3"/>
        <v>0.009502924194</v>
      </c>
      <c r="H250" s="8">
        <v>513.0</v>
      </c>
      <c r="I250" s="8">
        <v>195.00000435113907</v>
      </c>
      <c r="J250" s="8">
        <v>4496.0</v>
      </c>
      <c r="K250" s="18">
        <f t="shared" si="4"/>
        <v>0.1141014235</v>
      </c>
      <c r="L250" s="18">
        <f t="shared" si="5"/>
        <v>0.3801169675</v>
      </c>
      <c r="M250" s="18">
        <f t="shared" si="6"/>
        <v>0.04337188709</v>
      </c>
      <c r="N250" s="18">
        <f t="shared" si="18"/>
        <v>4.564056937</v>
      </c>
      <c r="T250" s="18"/>
      <c r="U250" s="18"/>
      <c r="V250" s="18"/>
      <c r="W250" s="18"/>
    </row>
    <row r="251" ht="15.75" customHeight="1">
      <c r="A251" s="8">
        <v>60501.0</v>
      </c>
      <c r="B251" s="8">
        <v>389.0</v>
      </c>
      <c r="C251" s="8">
        <v>144.88889229297638</v>
      </c>
      <c r="D251" s="8">
        <v>3248.0</v>
      </c>
      <c r="E251" s="18">
        <f t="shared" si="1"/>
        <v>0.1197660099</v>
      </c>
      <c r="F251" s="18">
        <f t="shared" si="17"/>
        <v>0.3724650187</v>
      </c>
      <c r="G251" s="18">
        <f t="shared" si="3"/>
        <v>0.0446086491</v>
      </c>
      <c r="H251" s="8">
        <v>2373.0</v>
      </c>
      <c r="I251" s="8">
        <v>912.2222453355789</v>
      </c>
      <c r="J251" s="8">
        <v>26448.0</v>
      </c>
      <c r="K251" s="18">
        <f t="shared" si="4"/>
        <v>0.08972323049</v>
      </c>
      <c r="L251" s="18">
        <f t="shared" si="5"/>
        <v>0.3844172968</v>
      </c>
      <c r="M251" s="18">
        <f t="shared" si="6"/>
        <v>0.03449116173</v>
      </c>
      <c r="N251" s="18">
        <f t="shared" si="18"/>
        <v>0.7731944907</v>
      </c>
      <c r="T251" s="18"/>
      <c r="U251" s="18"/>
      <c r="V251" s="18"/>
      <c r="W251" s="18"/>
    </row>
    <row r="252" ht="15.75" customHeight="1">
      <c r="A252" s="8">
        <v>60502.0</v>
      </c>
      <c r="B252" s="8">
        <v>24.0</v>
      </c>
      <c r="C252" s="8">
        <v>9.888889193534851</v>
      </c>
      <c r="D252" s="8">
        <v>409.0</v>
      </c>
      <c r="E252" s="18">
        <f t="shared" si="1"/>
        <v>0.0586797066</v>
      </c>
      <c r="F252" s="18">
        <f t="shared" si="17"/>
        <v>0.4120370497</v>
      </c>
      <c r="G252" s="18">
        <f t="shared" si="3"/>
        <v>0.02417821319</v>
      </c>
      <c r="H252" s="8">
        <v>559.0</v>
      </c>
      <c r="I252" s="8">
        <v>209.888894200325</v>
      </c>
      <c r="J252" s="8">
        <v>8922.0</v>
      </c>
      <c r="K252" s="18">
        <f t="shared" si="4"/>
        <v>0.06265411343</v>
      </c>
      <c r="L252" s="18">
        <f t="shared" si="5"/>
        <v>0.3754720826</v>
      </c>
      <c r="M252" s="18">
        <f t="shared" si="6"/>
        <v>0.02352487046</v>
      </c>
      <c r="N252" s="18">
        <f t="shared" si="18"/>
        <v>0.9729780391</v>
      </c>
      <c r="T252" s="18"/>
      <c r="U252" s="18"/>
      <c r="V252" s="18"/>
      <c r="W252" s="18"/>
    </row>
    <row r="253" ht="15.75" customHeight="1">
      <c r="A253" s="8">
        <v>60601.0</v>
      </c>
      <c r="B253" s="8">
        <v>57.0</v>
      </c>
      <c r="C253" s="8">
        <v>21.000000685453415</v>
      </c>
      <c r="D253" s="8">
        <v>940.0</v>
      </c>
      <c r="E253" s="18">
        <f t="shared" si="1"/>
        <v>0.06063829787</v>
      </c>
      <c r="F253" s="18">
        <f t="shared" si="17"/>
        <v>0.3684210647</v>
      </c>
      <c r="G253" s="18">
        <f t="shared" si="3"/>
        <v>0.02234042626</v>
      </c>
      <c r="H253" s="8">
        <v>2274.0</v>
      </c>
      <c r="I253" s="8">
        <v>872.8889102041721</v>
      </c>
      <c r="J253" s="8">
        <v>19084.0</v>
      </c>
      <c r="K253" s="18">
        <f t="shared" si="4"/>
        <v>0.1191574093</v>
      </c>
      <c r="L253" s="18">
        <f t="shared" si="5"/>
        <v>0.383856161</v>
      </c>
      <c r="M253" s="18">
        <f t="shared" si="6"/>
        <v>0.04573930571</v>
      </c>
      <c r="N253" s="18">
        <f t="shared" si="18"/>
        <v>2.047378379</v>
      </c>
      <c r="T253" s="18"/>
      <c r="U253" s="18"/>
      <c r="V253" s="18"/>
      <c r="W253" s="18"/>
    </row>
    <row r="254" ht="15.75" customHeight="1">
      <c r="A254" s="8">
        <v>70101.0</v>
      </c>
      <c r="B254" s="8">
        <v>2220.0</v>
      </c>
      <c r="C254" s="8">
        <v>789.6666873395443</v>
      </c>
      <c r="D254" s="8">
        <v>97011.0</v>
      </c>
      <c r="E254" s="18">
        <f t="shared" si="1"/>
        <v>0.02288400285</v>
      </c>
      <c r="F254" s="18">
        <f t="shared" si="17"/>
        <v>0.355705715</v>
      </c>
      <c r="G254" s="18">
        <f t="shared" si="3"/>
        <v>0.008139970594</v>
      </c>
      <c r="H254" s="8">
        <v>23620.0</v>
      </c>
      <c r="I254" s="8">
        <v>8374.000221014023</v>
      </c>
      <c r="J254" s="8">
        <v>1449071.0</v>
      </c>
      <c r="K254" s="18">
        <f t="shared" si="4"/>
        <v>0.01630009848</v>
      </c>
      <c r="L254" s="18">
        <f t="shared" si="5"/>
        <v>0.3545300686</v>
      </c>
      <c r="M254" s="18">
        <f t="shared" si="6"/>
        <v>0.005778875032</v>
      </c>
      <c r="N254" s="18">
        <f t="shared" si="18"/>
        <v>0.7099380722</v>
      </c>
      <c r="T254" s="18"/>
      <c r="U254" s="18"/>
      <c r="V254" s="18"/>
      <c r="W254" s="18"/>
    </row>
    <row r="255" ht="15.75" customHeight="1">
      <c r="A255" s="8">
        <v>70102.0</v>
      </c>
      <c r="B255" s="8">
        <v>1415.0</v>
      </c>
      <c r="C255" s="8">
        <v>504.111123919487</v>
      </c>
      <c r="D255" s="8">
        <v>21550.0</v>
      </c>
      <c r="E255" s="18">
        <f t="shared" si="1"/>
        <v>0.0656612529</v>
      </c>
      <c r="F255" s="18">
        <f t="shared" si="17"/>
        <v>0.3562622784</v>
      </c>
      <c r="G255" s="18">
        <f t="shared" si="3"/>
        <v>0.02339262756</v>
      </c>
      <c r="H255" s="8">
        <v>4827.0</v>
      </c>
      <c r="I255" s="8">
        <v>1736.777823716402</v>
      </c>
      <c r="J255" s="8">
        <v>82139.0</v>
      </c>
      <c r="K255" s="18">
        <f t="shared" si="4"/>
        <v>0.05876623772</v>
      </c>
      <c r="L255" s="18">
        <f t="shared" si="5"/>
        <v>0.3598048112</v>
      </c>
      <c r="M255" s="18">
        <f t="shared" si="6"/>
        <v>0.02114437507</v>
      </c>
      <c r="N255" s="18">
        <f t="shared" si="18"/>
        <v>0.9038905533</v>
      </c>
      <c r="T255" s="18"/>
      <c r="U255" s="18"/>
      <c r="V255" s="18"/>
      <c r="W255" s="18"/>
    </row>
    <row r="256" ht="15.75" customHeight="1">
      <c r="A256" s="8">
        <v>70103.0</v>
      </c>
      <c r="B256" s="8">
        <v>148.0</v>
      </c>
      <c r="C256" s="8">
        <v>60.88889056444168</v>
      </c>
      <c r="D256" s="8">
        <v>5653.0</v>
      </c>
      <c r="E256" s="18">
        <f t="shared" si="1"/>
        <v>0.02618078896</v>
      </c>
      <c r="F256" s="18">
        <f t="shared" si="17"/>
        <v>0.4114114227</v>
      </c>
      <c r="G256" s="18">
        <f t="shared" si="3"/>
        <v>0.01077107563</v>
      </c>
      <c r="H256" s="8">
        <v>673.0</v>
      </c>
      <c r="I256" s="8">
        <v>243.0000064074993</v>
      </c>
      <c r="J256" s="8">
        <v>16567.0</v>
      </c>
      <c r="K256" s="18">
        <f t="shared" si="4"/>
        <v>0.04062292509</v>
      </c>
      <c r="L256" s="18">
        <f t="shared" si="5"/>
        <v>0.3610698461</v>
      </c>
      <c r="M256" s="18">
        <f t="shared" si="6"/>
        <v>0.01466771331</v>
      </c>
      <c r="N256" s="18">
        <f t="shared" si="18"/>
        <v>1.361768667</v>
      </c>
      <c r="T256" s="18"/>
      <c r="U256" s="18"/>
      <c r="V256" s="18"/>
      <c r="W256" s="18"/>
    </row>
    <row r="257" ht="15.75" customHeight="1">
      <c r="A257" s="8">
        <v>70104.0</v>
      </c>
      <c r="B257" s="8">
        <v>916.0</v>
      </c>
      <c r="C257" s="8">
        <v>323.777786642313</v>
      </c>
      <c r="D257" s="8">
        <v>25118.0</v>
      </c>
      <c r="E257" s="18">
        <f t="shared" si="1"/>
        <v>0.03646787165</v>
      </c>
      <c r="F257" s="18">
        <f t="shared" si="17"/>
        <v>0.3534691994</v>
      </c>
      <c r="G257" s="18">
        <f t="shared" si="3"/>
        <v>0.01289026939</v>
      </c>
      <c r="H257" s="8">
        <v>3761.0</v>
      </c>
      <c r="I257" s="8">
        <v>1315.8889241218567</v>
      </c>
      <c r="J257" s="8">
        <v>119245.0</v>
      </c>
      <c r="K257" s="18">
        <f t="shared" si="4"/>
        <v>0.0315401065</v>
      </c>
      <c r="L257" s="18">
        <f t="shared" si="5"/>
        <v>0.349877406</v>
      </c>
      <c r="M257" s="18">
        <f t="shared" si="6"/>
        <v>0.01103517065</v>
      </c>
      <c r="N257" s="18">
        <f t="shared" si="18"/>
        <v>0.8560853394</v>
      </c>
      <c r="T257" s="18"/>
      <c r="U257" s="18"/>
      <c r="V257" s="18"/>
      <c r="W257" s="18"/>
    </row>
    <row r="258" ht="15.75" customHeight="1">
      <c r="A258" s="8">
        <v>70105.0</v>
      </c>
      <c r="B258" s="8">
        <v>236.0</v>
      </c>
      <c r="C258" s="8">
        <v>83.77778020501137</v>
      </c>
      <c r="D258" s="8">
        <v>4430.0</v>
      </c>
      <c r="E258" s="18">
        <f t="shared" si="1"/>
        <v>0.0532731377</v>
      </c>
      <c r="F258" s="18">
        <f t="shared" si="17"/>
        <v>0.3549905941</v>
      </c>
      <c r="G258" s="18">
        <f t="shared" si="3"/>
        <v>0.0189114628</v>
      </c>
      <c r="H258" s="8">
        <v>2506.0</v>
      </c>
      <c r="I258" s="8">
        <v>892.8889120519161</v>
      </c>
      <c r="J258" s="8">
        <v>49667.0</v>
      </c>
      <c r="K258" s="18">
        <f t="shared" si="4"/>
        <v>0.05045603721</v>
      </c>
      <c r="L258" s="18">
        <f t="shared" si="5"/>
        <v>0.3563004438</v>
      </c>
      <c r="M258" s="18">
        <f t="shared" si="6"/>
        <v>0.01797750845</v>
      </c>
      <c r="N258" s="18">
        <f t="shared" si="18"/>
        <v>0.950614378</v>
      </c>
      <c r="T258" s="18"/>
      <c r="U258" s="18"/>
      <c r="V258" s="18"/>
      <c r="W258" s="18"/>
    </row>
    <row r="259" ht="15.75" customHeight="1">
      <c r="A259" s="8">
        <v>70201.0</v>
      </c>
      <c r="B259" s="8">
        <v>1181.0</v>
      </c>
      <c r="C259" s="8">
        <v>423.555565983057</v>
      </c>
      <c r="D259" s="8">
        <v>25265.0</v>
      </c>
      <c r="E259" s="18">
        <f t="shared" si="1"/>
        <v>0.04674450821</v>
      </c>
      <c r="F259" s="18">
        <f t="shared" si="17"/>
        <v>0.3586414615</v>
      </c>
      <c r="G259" s="18">
        <f t="shared" si="3"/>
        <v>0.01676451874</v>
      </c>
      <c r="H259" s="8">
        <v>5678.0</v>
      </c>
      <c r="I259" s="8">
        <v>2027.2222738564014</v>
      </c>
      <c r="J259" s="8">
        <v>120769.0</v>
      </c>
      <c r="K259" s="18">
        <f t="shared" si="4"/>
        <v>0.04701537646</v>
      </c>
      <c r="L259" s="18">
        <f t="shared" si="5"/>
        <v>0.3570310451</v>
      </c>
      <c r="M259" s="18">
        <f t="shared" si="6"/>
        <v>0.01678594899</v>
      </c>
      <c r="N259" s="18">
        <f t="shared" si="18"/>
        <v>1.00127831</v>
      </c>
      <c r="T259" s="18"/>
      <c r="U259" s="18"/>
      <c r="V259" s="18"/>
      <c r="W259" s="18"/>
    </row>
    <row r="260" ht="15.75" customHeight="1">
      <c r="A260" s="8">
        <v>70202.0</v>
      </c>
      <c r="B260" s="8">
        <v>26.0</v>
      </c>
      <c r="C260" s="8">
        <v>9.888889074325562</v>
      </c>
      <c r="D260" s="8">
        <v>787.0</v>
      </c>
      <c r="E260" s="18">
        <f t="shared" si="1"/>
        <v>0.03303684879</v>
      </c>
      <c r="F260" s="18">
        <f t="shared" si="17"/>
        <v>0.3803418875</v>
      </c>
      <c r="G260" s="18">
        <f t="shared" si="3"/>
        <v>0.01256529743</v>
      </c>
      <c r="H260" s="8">
        <v>353.0</v>
      </c>
      <c r="I260" s="8">
        <v>122.77778097987175</v>
      </c>
      <c r="J260" s="8">
        <v>9454.0</v>
      </c>
      <c r="K260" s="18">
        <f t="shared" si="4"/>
        <v>0.03733869262</v>
      </c>
      <c r="L260" s="18">
        <f t="shared" si="5"/>
        <v>0.3478124107</v>
      </c>
      <c r="M260" s="18">
        <f t="shared" si="6"/>
        <v>0.01298686069</v>
      </c>
      <c r="N260" s="18">
        <f t="shared" si="18"/>
        <v>1.033549804</v>
      </c>
      <c r="T260" s="18"/>
      <c r="U260" s="18"/>
      <c r="V260" s="18"/>
      <c r="W260" s="18"/>
    </row>
    <row r="261" ht="15.75" customHeight="1">
      <c r="A261" s="8">
        <v>70301.0</v>
      </c>
      <c r="B261" s="8">
        <v>1365.0</v>
      </c>
      <c r="C261" s="8">
        <v>517.4444574713707</v>
      </c>
      <c r="D261" s="8">
        <v>7479.0</v>
      </c>
      <c r="E261" s="18">
        <f t="shared" si="1"/>
        <v>0.1825110309</v>
      </c>
      <c r="F261" s="18">
        <f t="shared" si="17"/>
        <v>0.3790801886</v>
      </c>
      <c r="G261" s="18">
        <f t="shared" si="3"/>
        <v>0.06918631601</v>
      </c>
      <c r="H261" s="8">
        <v>7123.0</v>
      </c>
      <c r="I261" s="8">
        <v>2675.444511026144</v>
      </c>
      <c r="J261" s="8">
        <v>56418.0</v>
      </c>
      <c r="K261" s="18">
        <f t="shared" si="4"/>
        <v>0.1262540324</v>
      </c>
      <c r="L261" s="18">
        <f t="shared" si="5"/>
        <v>0.3756064174</v>
      </c>
      <c r="M261" s="18">
        <f t="shared" si="6"/>
        <v>0.04742182479</v>
      </c>
      <c r="N261" s="18">
        <f t="shared" si="18"/>
        <v>0.6854220245</v>
      </c>
      <c r="T261" s="18"/>
      <c r="U261" s="18"/>
      <c r="V261" s="18"/>
      <c r="W261" s="18"/>
    </row>
    <row r="262" ht="15.75" customHeight="1">
      <c r="A262" s="8">
        <v>70302.0</v>
      </c>
      <c r="B262" s="8">
        <v>512.0</v>
      </c>
      <c r="C262" s="8">
        <v>197.444449365139</v>
      </c>
      <c r="D262" s="8">
        <v>2048.0</v>
      </c>
      <c r="E262" s="18">
        <f t="shared" si="1"/>
        <v>0.25</v>
      </c>
      <c r="F262" s="18">
        <f t="shared" si="17"/>
        <v>0.3856336902</v>
      </c>
      <c r="G262" s="18">
        <f t="shared" si="3"/>
        <v>0.09640842254</v>
      </c>
      <c r="H262" s="8">
        <v>1867.0</v>
      </c>
      <c r="I262" s="8">
        <v>698.666684448719</v>
      </c>
      <c r="J262" s="8">
        <v>12517.0</v>
      </c>
      <c r="K262" s="18">
        <f t="shared" si="4"/>
        <v>0.1491571463</v>
      </c>
      <c r="L262" s="18">
        <f t="shared" si="5"/>
        <v>0.374218899</v>
      </c>
      <c r="M262" s="18">
        <f t="shared" si="6"/>
        <v>0.05581742306</v>
      </c>
      <c r="N262" s="18">
        <f t="shared" si="18"/>
        <v>0.5789683265</v>
      </c>
      <c r="T262" s="18"/>
      <c r="U262" s="18"/>
      <c r="V262" s="18"/>
      <c r="W262" s="18"/>
    </row>
    <row r="263" ht="15.75" customHeight="1">
      <c r="A263" s="8">
        <v>70303.0</v>
      </c>
      <c r="B263" s="8">
        <v>530.0</v>
      </c>
      <c r="C263" s="8">
        <v>192.88889357447624</v>
      </c>
      <c r="D263" s="8">
        <v>1978.0</v>
      </c>
      <c r="E263" s="18">
        <f t="shared" si="1"/>
        <v>0.2679474216</v>
      </c>
      <c r="F263" s="18">
        <f t="shared" si="17"/>
        <v>0.3639413086</v>
      </c>
      <c r="G263" s="18">
        <f t="shared" si="3"/>
        <v>0.09751713528</v>
      </c>
      <c r="H263" s="8">
        <v>948.0</v>
      </c>
      <c r="I263" s="8">
        <v>340.444453984499</v>
      </c>
      <c r="J263" s="8">
        <v>6458.0</v>
      </c>
      <c r="K263" s="18">
        <f t="shared" si="4"/>
        <v>0.1467946733</v>
      </c>
      <c r="L263" s="18">
        <f t="shared" si="5"/>
        <v>0.3591186223</v>
      </c>
      <c r="M263" s="18">
        <f t="shared" si="6"/>
        <v>0.05271670083</v>
      </c>
      <c r="N263" s="18">
        <f t="shared" si="18"/>
        <v>0.5405891045</v>
      </c>
      <c r="T263" s="18"/>
      <c r="U263" s="18"/>
      <c r="V263" s="18"/>
      <c r="W263" s="18"/>
    </row>
    <row r="264" ht="15.75" customHeight="1">
      <c r="A264" s="8">
        <v>70401.0</v>
      </c>
      <c r="B264" s="8">
        <v>51.0</v>
      </c>
      <c r="C264" s="8">
        <v>18.00000050663948</v>
      </c>
      <c r="D264" s="8">
        <v>1264.0</v>
      </c>
      <c r="E264" s="18">
        <f t="shared" si="1"/>
        <v>0.04034810127</v>
      </c>
      <c r="F264" s="18">
        <f t="shared" si="17"/>
        <v>0.3529411864</v>
      </c>
      <c r="G264" s="18">
        <f t="shared" si="3"/>
        <v>0.01424050673</v>
      </c>
      <c r="H264" s="8">
        <v>685.0</v>
      </c>
      <c r="I264" s="8">
        <v>253.0000064074993</v>
      </c>
      <c r="J264" s="8">
        <v>11510.0</v>
      </c>
      <c r="K264" s="18">
        <f t="shared" si="4"/>
        <v>0.05951346655</v>
      </c>
      <c r="L264" s="18">
        <f t="shared" si="5"/>
        <v>0.369343075</v>
      </c>
      <c r="M264" s="18">
        <f t="shared" si="6"/>
        <v>0.02198088674</v>
      </c>
      <c r="N264" s="18">
        <f t="shared" si="18"/>
        <v>1.54354667</v>
      </c>
      <c r="T264" s="18"/>
      <c r="U264" s="18"/>
      <c r="V264" s="18"/>
      <c r="W264" s="18"/>
    </row>
    <row r="265" ht="15.75" customHeight="1">
      <c r="A265" s="8">
        <v>70402.0</v>
      </c>
      <c r="B265" s="8">
        <v>130.0</v>
      </c>
      <c r="C265" s="8">
        <v>46.77777907252312</v>
      </c>
      <c r="D265" s="8">
        <v>1786.0</v>
      </c>
      <c r="E265" s="18">
        <f t="shared" si="1"/>
        <v>0.07278835386</v>
      </c>
      <c r="F265" s="18">
        <f t="shared" si="17"/>
        <v>0.3598290698</v>
      </c>
      <c r="G265" s="18">
        <f t="shared" si="3"/>
        <v>0.02619136566</v>
      </c>
      <c r="H265" s="8">
        <v>1215.0</v>
      </c>
      <c r="I265" s="8">
        <v>451.888899743557</v>
      </c>
      <c r="J265" s="8">
        <v>16602.0</v>
      </c>
      <c r="K265" s="18">
        <f t="shared" si="4"/>
        <v>0.07318395374</v>
      </c>
      <c r="L265" s="18">
        <f t="shared" si="5"/>
        <v>0.3719250204</v>
      </c>
      <c r="M265" s="18">
        <f t="shared" si="6"/>
        <v>0.02721894349</v>
      </c>
      <c r="N265" s="18">
        <f t="shared" si="18"/>
        <v>1.039233457</v>
      </c>
      <c r="T265" s="18"/>
      <c r="U265" s="18"/>
      <c r="V265" s="18"/>
      <c r="W265" s="18"/>
    </row>
    <row r="266" ht="15.75" customHeight="1">
      <c r="A266" s="8">
        <v>70403.0</v>
      </c>
      <c r="B266" s="8">
        <v>1273.0</v>
      </c>
      <c r="C266" s="8">
        <v>469.2222333550453</v>
      </c>
      <c r="D266" s="8">
        <v>6082.0</v>
      </c>
      <c r="E266" s="18">
        <f t="shared" si="1"/>
        <v>0.2093061493</v>
      </c>
      <c r="F266" s="18">
        <f t="shared" si="17"/>
        <v>0.3685956271</v>
      </c>
      <c r="G266" s="18">
        <f t="shared" si="3"/>
        <v>0.07714933136</v>
      </c>
      <c r="H266" s="8">
        <v>6398.0</v>
      </c>
      <c r="I266" s="8">
        <v>2385.777835160494</v>
      </c>
      <c r="J266" s="8">
        <v>49509.0</v>
      </c>
      <c r="K266" s="18">
        <f t="shared" si="4"/>
        <v>0.1292290291</v>
      </c>
      <c r="L266" s="18">
        <f t="shared" si="5"/>
        <v>0.3728943162</v>
      </c>
      <c r="M266" s="18">
        <f t="shared" si="6"/>
        <v>0.04818877043</v>
      </c>
      <c r="N266" s="18">
        <f t="shared" si="18"/>
        <v>0.6246168253</v>
      </c>
      <c r="T266" s="18"/>
      <c r="U266" s="18"/>
      <c r="V266" s="18"/>
      <c r="W266" s="18"/>
    </row>
    <row r="267" ht="15.75" customHeight="1">
      <c r="A267" s="8">
        <v>70404.0</v>
      </c>
      <c r="B267" s="8">
        <v>97.0</v>
      </c>
      <c r="C267" s="8">
        <v>35.777778655290604</v>
      </c>
      <c r="D267" s="8">
        <v>931.0</v>
      </c>
      <c r="E267" s="18">
        <f t="shared" si="1"/>
        <v>0.104189044</v>
      </c>
      <c r="F267" s="18">
        <f t="shared" si="17"/>
        <v>0.3688430789</v>
      </c>
      <c r="G267" s="18">
        <f t="shared" si="3"/>
        <v>0.03842940779</v>
      </c>
      <c r="H267" s="8">
        <v>658.0</v>
      </c>
      <c r="I267" s="8">
        <v>244.44445076584816</v>
      </c>
      <c r="J267" s="8">
        <v>9045.0</v>
      </c>
      <c r="K267" s="18">
        <f t="shared" si="4"/>
        <v>0.07274737424</v>
      </c>
      <c r="L267" s="18">
        <f t="shared" si="5"/>
        <v>0.3714961258</v>
      </c>
      <c r="M267" s="18">
        <f t="shared" si="6"/>
        <v>0.02702536769</v>
      </c>
      <c r="N267" s="18">
        <f t="shared" si="18"/>
        <v>0.7032470507</v>
      </c>
      <c r="T267" s="18"/>
      <c r="U267" s="18"/>
      <c r="V267" s="18"/>
      <c r="W267" s="18"/>
    </row>
    <row r="268" ht="15.75" customHeight="1">
      <c r="A268" s="8">
        <v>70501.0</v>
      </c>
      <c r="B268" s="8">
        <v>953.0</v>
      </c>
      <c r="C268" s="8">
        <v>356.2222309410572</v>
      </c>
      <c r="D268" s="8">
        <v>5310.0</v>
      </c>
      <c r="E268" s="18">
        <f t="shared" si="1"/>
        <v>0.179472693</v>
      </c>
      <c r="F268" s="18">
        <f t="shared" si="17"/>
        <v>0.3737903787</v>
      </c>
      <c r="G268" s="18">
        <f t="shared" si="3"/>
        <v>0.0670851659</v>
      </c>
      <c r="H268" s="8">
        <v>5881.0</v>
      </c>
      <c r="I268" s="8">
        <v>2105.3333869874477</v>
      </c>
      <c r="J268" s="8">
        <v>34126.0</v>
      </c>
      <c r="K268" s="18">
        <f t="shared" si="4"/>
        <v>0.1723319463</v>
      </c>
      <c r="L268" s="18">
        <f t="shared" si="5"/>
        <v>0.3579890133</v>
      </c>
      <c r="M268" s="18">
        <f t="shared" si="6"/>
        <v>0.06169294342</v>
      </c>
      <c r="N268" s="18">
        <f t="shared" si="18"/>
        <v>0.9196212394</v>
      </c>
      <c r="T268" s="18"/>
      <c r="U268" s="18"/>
      <c r="V268" s="18"/>
      <c r="W268" s="18"/>
    </row>
    <row r="269" ht="15.75" customHeight="1">
      <c r="A269" s="8">
        <v>70502.0</v>
      </c>
      <c r="B269" s="8">
        <v>299.0</v>
      </c>
      <c r="C269" s="8">
        <v>108.77778047323227</v>
      </c>
      <c r="D269" s="8">
        <v>4271.0</v>
      </c>
      <c r="E269" s="18">
        <f t="shared" si="1"/>
        <v>0.07000702412</v>
      </c>
      <c r="F269" s="18">
        <f t="shared" si="17"/>
        <v>0.3638052859</v>
      </c>
      <c r="G269" s="18">
        <f t="shared" si="3"/>
        <v>0.02546892542</v>
      </c>
      <c r="H269" s="8">
        <v>5376.0</v>
      </c>
      <c r="I269" s="8">
        <v>1900.111161351204</v>
      </c>
      <c r="J269" s="8">
        <v>47172.0</v>
      </c>
      <c r="K269" s="18">
        <f t="shared" si="4"/>
        <v>0.113965912</v>
      </c>
      <c r="L269" s="18">
        <f t="shared" si="5"/>
        <v>0.3534432964</v>
      </c>
      <c r="M269" s="18">
        <f t="shared" si="6"/>
        <v>0.04028048761</v>
      </c>
      <c r="N269" s="18">
        <f t="shared" si="18"/>
        <v>1.581554264</v>
      </c>
      <c r="T269" s="18"/>
      <c r="U269" s="18"/>
      <c r="V269" s="18"/>
      <c r="W269" s="18"/>
    </row>
    <row r="270" ht="15.75" customHeight="1">
      <c r="A270" s="8">
        <v>70503.0</v>
      </c>
      <c r="B270" s="8">
        <v>138.0</v>
      </c>
      <c r="C270" s="8">
        <v>49.88889014720917</v>
      </c>
      <c r="D270" s="8">
        <v>2195.0</v>
      </c>
      <c r="E270" s="18">
        <f t="shared" si="1"/>
        <v>0.06287015945</v>
      </c>
      <c r="F270" s="18">
        <f t="shared" si="17"/>
        <v>0.3615136967</v>
      </c>
      <c r="G270" s="18">
        <f t="shared" si="3"/>
        <v>0.02272842376</v>
      </c>
      <c r="H270" s="8">
        <v>849.0</v>
      </c>
      <c r="I270" s="8">
        <v>311.55556347966194</v>
      </c>
      <c r="J270" s="8">
        <v>15164.0</v>
      </c>
      <c r="K270" s="18">
        <f t="shared" si="4"/>
        <v>0.055987866</v>
      </c>
      <c r="L270" s="18">
        <f t="shared" si="5"/>
        <v>0.3669676837</v>
      </c>
      <c r="M270" s="18">
        <f t="shared" si="6"/>
        <v>0.0205457375</v>
      </c>
      <c r="N270" s="18">
        <f t="shared" si="18"/>
        <v>0.9039666684</v>
      </c>
      <c r="T270" s="18"/>
      <c r="U270" s="18"/>
      <c r="V270" s="18"/>
      <c r="W270" s="18"/>
    </row>
    <row r="271" ht="15.75" customHeight="1">
      <c r="A271" s="8">
        <v>70601.0</v>
      </c>
      <c r="B271" s="8">
        <v>70.0</v>
      </c>
      <c r="C271" s="8">
        <v>24.66666728258133</v>
      </c>
      <c r="D271" s="8">
        <v>1492.0</v>
      </c>
      <c r="E271" s="18">
        <f t="shared" si="1"/>
        <v>0.04691689008</v>
      </c>
      <c r="F271" s="18">
        <f t="shared" si="17"/>
        <v>0.3523809612</v>
      </c>
      <c r="G271" s="18">
        <f t="shared" si="3"/>
        <v>0.01653261882</v>
      </c>
      <c r="H271" s="8">
        <v>639.0</v>
      </c>
      <c r="I271" s="8">
        <v>236.33333986997604</v>
      </c>
      <c r="J271" s="8">
        <v>18533.0</v>
      </c>
      <c r="K271" s="18">
        <f t="shared" si="4"/>
        <v>0.03447903739</v>
      </c>
      <c r="L271" s="18">
        <f t="shared" si="5"/>
        <v>0.3698487322</v>
      </c>
      <c r="M271" s="18">
        <f t="shared" si="6"/>
        <v>0.01275202827</v>
      </c>
      <c r="N271" s="18">
        <f t="shared" si="18"/>
        <v>0.7713253662</v>
      </c>
      <c r="T271" s="18"/>
      <c r="U271" s="18"/>
      <c r="V271" s="18"/>
      <c r="W271" s="18"/>
    </row>
    <row r="272" ht="15.75" customHeight="1">
      <c r="A272" s="8">
        <v>70602.0</v>
      </c>
      <c r="B272" s="8">
        <v>201.0</v>
      </c>
      <c r="C272" s="8">
        <v>72.55555734038353</v>
      </c>
      <c r="D272" s="8">
        <v>2066.0</v>
      </c>
      <c r="E272" s="18">
        <f t="shared" si="1"/>
        <v>0.09728944821</v>
      </c>
      <c r="F272" s="18">
        <f t="shared" si="17"/>
        <v>0.3609729221</v>
      </c>
      <c r="G272" s="18">
        <f t="shared" si="3"/>
        <v>0.03511885641</v>
      </c>
      <c r="H272" s="8">
        <v>1192.0</v>
      </c>
      <c r="I272" s="8">
        <v>429.7777888774872</v>
      </c>
      <c r="J272" s="8">
        <v>15395.0</v>
      </c>
      <c r="K272" s="18">
        <f t="shared" si="4"/>
        <v>0.07742773628</v>
      </c>
      <c r="L272" s="18">
        <f t="shared" si="5"/>
        <v>0.3605518363</v>
      </c>
      <c r="M272" s="18">
        <f t="shared" si="6"/>
        <v>0.0279167125</v>
      </c>
      <c r="N272" s="18">
        <f t="shared" si="18"/>
        <v>0.7949208873</v>
      </c>
      <c r="T272" s="18"/>
      <c r="U272" s="18"/>
      <c r="V272" s="18"/>
      <c r="W272" s="18"/>
    </row>
    <row r="273" ht="15.75" customHeight="1">
      <c r="A273" s="8">
        <v>70603.0</v>
      </c>
      <c r="B273" s="8">
        <v>50.0</v>
      </c>
      <c r="C273" s="8">
        <v>17.777778208255768</v>
      </c>
      <c r="D273" s="8">
        <v>563.0</v>
      </c>
      <c r="E273" s="18">
        <f t="shared" si="1"/>
        <v>0.08880994671</v>
      </c>
      <c r="F273" s="18">
        <f t="shared" si="17"/>
        <v>0.3555555642</v>
      </c>
      <c r="G273" s="18">
        <f t="shared" si="3"/>
        <v>0.03157687071</v>
      </c>
      <c r="H273" s="8">
        <v>281.0</v>
      </c>
      <c r="I273" s="8">
        <v>98.11111390590668</v>
      </c>
      <c r="J273" s="8">
        <v>5285.0</v>
      </c>
      <c r="K273" s="18">
        <f t="shared" si="4"/>
        <v>0.05316934721</v>
      </c>
      <c r="L273" s="18">
        <f t="shared" si="5"/>
        <v>0.3491498716</v>
      </c>
      <c r="M273" s="18">
        <f t="shared" si="6"/>
        <v>0.01856407075</v>
      </c>
      <c r="N273" s="18">
        <f t="shared" si="18"/>
        <v>0.5879009013</v>
      </c>
      <c r="T273" s="18"/>
      <c r="U273" s="18"/>
      <c r="V273" s="18"/>
      <c r="W273" s="18"/>
    </row>
    <row r="274" ht="15.75" customHeight="1">
      <c r="A274" s="8">
        <v>70701.0</v>
      </c>
      <c r="B274" s="8">
        <v>18.0</v>
      </c>
      <c r="C274" s="8">
        <v>6.111111283302307</v>
      </c>
      <c r="D274" s="8">
        <v>335.0</v>
      </c>
      <c r="E274" s="18">
        <f t="shared" si="1"/>
        <v>0.05373134328</v>
      </c>
      <c r="F274" s="18">
        <f t="shared" si="17"/>
        <v>0.3395061824</v>
      </c>
      <c r="G274" s="18">
        <f t="shared" si="3"/>
        <v>0.01824212323</v>
      </c>
      <c r="H274" s="8">
        <v>333.0</v>
      </c>
      <c r="I274" s="8">
        <v>129.11111468076706</v>
      </c>
      <c r="J274" s="8">
        <v>5289.0</v>
      </c>
      <c r="K274" s="18">
        <f t="shared" si="4"/>
        <v>0.06296086217</v>
      </c>
      <c r="L274" s="18">
        <f t="shared" si="5"/>
        <v>0.3877210651</v>
      </c>
      <c r="M274" s="18">
        <f t="shared" si="6"/>
        <v>0.02441125254</v>
      </c>
      <c r="N274" s="18">
        <f t="shared" si="18"/>
        <v>1.338180442</v>
      </c>
      <c r="T274" s="18"/>
      <c r="U274" s="18"/>
      <c r="V274" s="18"/>
      <c r="W274" s="18"/>
    </row>
    <row r="275" ht="15.75" customHeight="1">
      <c r="A275" s="8">
        <v>70702.0</v>
      </c>
      <c r="B275" s="8">
        <v>232.0</v>
      </c>
      <c r="C275" s="8">
        <v>85.77777993679047</v>
      </c>
      <c r="D275" s="8">
        <v>2399.0</v>
      </c>
      <c r="E275" s="18">
        <f t="shared" si="1"/>
        <v>0.09670696123</v>
      </c>
      <c r="F275" s="18">
        <f t="shared" si="17"/>
        <v>0.3697318101</v>
      </c>
      <c r="G275" s="18">
        <f t="shared" si="3"/>
        <v>0.03575563982</v>
      </c>
      <c r="H275" s="8">
        <v>5276.0</v>
      </c>
      <c r="I275" s="8">
        <v>1942.555603981018</v>
      </c>
      <c r="J275" s="8">
        <v>34159.0</v>
      </c>
      <c r="K275" s="18">
        <f t="shared" si="4"/>
        <v>0.1544541702</v>
      </c>
      <c r="L275" s="18">
        <f t="shared" si="5"/>
        <v>0.368187188</v>
      </c>
      <c r="M275" s="18">
        <f t="shared" si="6"/>
        <v>0.05686804661</v>
      </c>
      <c r="N275" s="18">
        <f t="shared" si="18"/>
        <v>1.590463683</v>
      </c>
      <c r="T275" s="18"/>
      <c r="U275" s="18"/>
      <c r="V275" s="18"/>
      <c r="W275" s="18"/>
    </row>
    <row r="276" ht="15.75" customHeight="1">
      <c r="A276" s="8">
        <v>70703.0</v>
      </c>
      <c r="B276" s="8">
        <v>394.0</v>
      </c>
      <c r="C276" s="8">
        <v>139.1111147403717</v>
      </c>
      <c r="D276" s="8">
        <v>3283.0</v>
      </c>
      <c r="E276" s="18">
        <f t="shared" si="1"/>
        <v>0.120012184</v>
      </c>
      <c r="F276" s="18">
        <f t="shared" si="17"/>
        <v>0.3530738953</v>
      </c>
      <c r="G276" s="18">
        <f t="shared" si="3"/>
        <v>0.04237316928</v>
      </c>
      <c r="H276" s="8">
        <v>3275.0</v>
      </c>
      <c r="I276" s="8">
        <v>1190.111141383648</v>
      </c>
      <c r="J276" s="8">
        <v>27843.0</v>
      </c>
      <c r="K276" s="18">
        <f t="shared" si="4"/>
        <v>0.1176238193</v>
      </c>
      <c r="L276" s="18">
        <f t="shared" si="5"/>
        <v>0.3633927149</v>
      </c>
      <c r="M276" s="18">
        <f t="shared" si="6"/>
        <v>0.04274363903</v>
      </c>
      <c r="N276" s="18">
        <f t="shared" si="18"/>
        <v>1.008743027</v>
      </c>
      <c r="T276" s="18"/>
      <c r="U276" s="18"/>
      <c r="V276" s="18"/>
      <c r="W276" s="18"/>
    </row>
    <row r="277" ht="15.75" customHeight="1">
      <c r="A277" s="8">
        <v>70704.0</v>
      </c>
      <c r="B277" s="8">
        <v>23.0</v>
      </c>
      <c r="C277" s="8">
        <v>8.444444626569748</v>
      </c>
      <c r="D277" s="8">
        <v>425.0</v>
      </c>
      <c r="E277" s="18">
        <f t="shared" si="1"/>
        <v>0.05411764706</v>
      </c>
      <c r="F277" s="18">
        <f t="shared" si="17"/>
        <v>0.3671497664</v>
      </c>
      <c r="G277" s="18">
        <f t="shared" si="3"/>
        <v>0.01986928147</v>
      </c>
      <c r="H277" s="8">
        <v>272.0</v>
      </c>
      <c r="I277" s="8">
        <v>100.3333360850811</v>
      </c>
      <c r="J277" s="8">
        <v>4412.0</v>
      </c>
      <c r="K277" s="18">
        <f t="shared" si="4"/>
        <v>0.06165004533</v>
      </c>
      <c r="L277" s="18">
        <f t="shared" si="5"/>
        <v>0.3688725591</v>
      </c>
      <c r="M277" s="18">
        <f t="shared" si="6"/>
        <v>0.02274100999</v>
      </c>
      <c r="N277" s="18">
        <f t="shared" si="18"/>
        <v>1.14453107</v>
      </c>
      <c r="T277" s="18"/>
      <c r="U277" s="18"/>
      <c r="V277" s="18"/>
      <c r="W277" s="18"/>
    </row>
    <row r="278" ht="15.75" customHeight="1">
      <c r="A278" s="8">
        <v>70705.0</v>
      </c>
      <c r="B278" s="8">
        <v>68.0</v>
      </c>
      <c r="C278" s="8">
        <v>24.66666731238365</v>
      </c>
      <c r="D278" s="8">
        <v>875.0</v>
      </c>
      <c r="E278" s="18">
        <f t="shared" si="1"/>
        <v>0.07771428571</v>
      </c>
      <c r="F278" s="18">
        <f t="shared" si="17"/>
        <v>0.3627451075</v>
      </c>
      <c r="G278" s="18">
        <f t="shared" si="3"/>
        <v>0.02819047693</v>
      </c>
      <c r="H278" s="8">
        <v>1371.0</v>
      </c>
      <c r="I278" s="8">
        <v>525.666679084301</v>
      </c>
      <c r="J278" s="8">
        <v>12972.0</v>
      </c>
      <c r="K278" s="18">
        <f t="shared" si="4"/>
        <v>0.1056891767</v>
      </c>
      <c r="L278" s="18">
        <f t="shared" si="5"/>
        <v>0.3834184384</v>
      </c>
      <c r="M278" s="18">
        <f t="shared" si="6"/>
        <v>0.04052317908</v>
      </c>
      <c r="N278" s="18">
        <f t="shared" si="18"/>
        <v>1.437477599</v>
      </c>
      <c r="T278" s="18"/>
      <c r="U278" s="18"/>
      <c r="V278" s="18"/>
      <c r="W278" s="18"/>
    </row>
    <row r="279" ht="15.75" customHeight="1">
      <c r="A279" s="8">
        <v>70706.0</v>
      </c>
      <c r="B279" s="8">
        <v>93.0</v>
      </c>
      <c r="C279" s="8">
        <v>33.444445461034775</v>
      </c>
      <c r="D279" s="8">
        <v>2135.0</v>
      </c>
      <c r="E279" s="18">
        <f t="shared" si="1"/>
        <v>0.04355971897</v>
      </c>
      <c r="F279" s="18">
        <f t="shared" si="17"/>
        <v>0.3596176931</v>
      </c>
      <c r="G279" s="18">
        <f t="shared" si="3"/>
        <v>0.01566484565</v>
      </c>
      <c r="H279" s="8">
        <v>977.0</v>
      </c>
      <c r="I279" s="8">
        <v>355.8888983130455</v>
      </c>
      <c r="J279" s="8">
        <v>28836.0</v>
      </c>
      <c r="K279" s="18">
        <f t="shared" si="4"/>
        <v>0.03388125954</v>
      </c>
      <c r="L279" s="18">
        <f t="shared" si="5"/>
        <v>0.3642670402</v>
      </c>
      <c r="M279" s="18">
        <f t="shared" si="6"/>
        <v>0.01234182613</v>
      </c>
      <c r="N279" s="18">
        <f t="shared" si="18"/>
        <v>0.7878677139</v>
      </c>
      <c r="T279" s="18"/>
      <c r="U279" s="18"/>
      <c r="V279" s="18"/>
      <c r="W279" s="18"/>
    </row>
    <row r="280" ht="15.75" customHeight="1">
      <c r="A280" s="8">
        <v>70707.0</v>
      </c>
      <c r="B280" s="8">
        <v>349.0</v>
      </c>
      <c r="C280" s="8">
        <v>131.33333653211594</v>
      </c>
      <c r="D280" s="8">
        <v>1074.0</v>
      </c>
      <c r="E280" s="18">
        <f t="shared" si="1"/>
        <v>0.3249534451</v>
      </c>
      <c r="F280" s="18">
        <f t="shared" si="17"/>
        <v>0.3763132852</v>
      </c>
      <c r="G280" s="18">
        <f t="shared" si="3"/>
        <v>0.1222842984</v>
      </c>
      <c r="H280" s="8">
        <v>175.0</v>
      </c>
      <c r="I280" s="8">
        <v>62.66666832566261</v>
      </c>
      <c r="J280" s="8">
        <v>4117.0</v>
      </c>
      <c r="K280" s="18">
        <f t="shared" si="4"/>
        <v>0.04250667962</v>
      </c>
      <c r="L280" s="18">
        <f t="shared" si="5"/>
        <v>0.3580952476</v>
      </c>
      <c r="M280" s="18">
        <f t="shared" si="6"/>
        <v>0.01522143996</v>
      </c>
      <c r="N280" s="18">
        <f t="shared" si="18"/>
        <v>0.1244758334</v>
      </c>
      <c r="T280" s="18"/>
      <c r="U280" s="18"/>
      <c r="V280" s="18"/>
      <c r="W280" s="18"/>
    </row>
    <row r="281" ht="15.75" customHeight="1">
      <c r="A281" s="8">
        <v>70801.0</v>
      </c>
      <c r="B281" s="8">
        <v>19.0</v>
      </c>
      <c r="C281" s="8">
        <v>6.333333522081375</v>
      </c>
      <c r="D281" s="8">
        <v>1270.0</v>
      </c>
      <c r="E281" s="18">
        <f t="shared" si="1"/>
        <v>0.01496062992</v>
      </c>
      <c r="F281" s="18">
        <f t="shared" si="17"/>
        <v>0.3333333433</v>
      </c>
      <c r="G281" s="18">
        <f t="shared" si="3"/>
        <v>0.004986876789</v>
      </c>
      <c r="H281" s="8">
        <v>669.0</v>
      </c>
      <c r="I281" s="8">
        <v>246.2222282886505</v>
      </c>
      <c r="J281" s="8">
        <v>15271.0</v>
      </c>
      <c r="K281" s="18">
        <f t="shared" si="4"/>
        <v>0.04380852596</v>
      </c>
      <c r="L281" s="18">
        <f t="shared" si="5"/>
        <v>0.3680451843</v>
      </c>
      <c r="M281" s="18">
        <f t="shared" si="6"/>
        <v>0.01612351701</v>
      </c>
      <c r="N281" s="18">
        <f t="shared" si="18"/>
        <v>3.233189368</v>
      </c>
      <c r="T281" s="18"/>
      <c r="U281" s="18"/>
      <c r="V281" s="18"/>
      <c r="W281" s="18"/>
    </row>
    <row r="282" ht="15.75" customHeight="1">
      <c r="A282" s="8">
        <v>70802.0</v>
      </c>
      <c r="B282" s="8">
        <v>7.0</v>
      </c>
      <c r="C282" s="8">
        <v>2.777777820825577</v>
      </c>
      <c r="D282" s="8">
        <v>221.0</v>
      </c>
      <c r="E282" s="18">
        <f t="shared" si="1"/>
        <v>0.03167420814</v>
      </c>
      <c r="F282" s="18">
        <f t="shared" si="17"/>
        <v>0.396825403</v>
      </c>
      <c r="G282" s="18">
        <f t="shared" si="3"/>
        <v>0.01256913041</v>
      </c>
      <c r="H282" s="8">
        <v>31.0</v>
      </c>
      <c r="I282" s="8">
        <v>10.55555585026741</v>
      </c>
      <c r="J282" s="8">
        <v>2126.0</v>
      </c>
      <c r="K282" s="18">
        <f t="shared" si="4"/>
        <v>0.01458137347</v>
      </c>
      <c r="L282" s="18">
        <f t="shared" si="5"/>
        <v>0.3405018016</v>
      </c>
      <c r="M282" s="18">
        <f t="shared" si="6"/>
        <v>0.004964983937</v>
      </c>
      <c r="N282" s="18">
        <f t="shared" si="18"/>
        <v>0.3950141159</v>
      </c>
      <c r="T282" s="18"/>
      <c r="U282" s="18"/>
      <c r="V282" s="18"/>
      <c r="W282" s="18"/>
    </row>
    <row r="283" ht="15.75" customHeight="1">
      <c r="A283" s="8">
        <v>70803.0</v>
      </c>
      <c r="B283" s="8">
        <v>17.0</v>
      </c>
      <c r="C283" s="8">
        <v>6.000000149011612</v>
      </c>
      <c r="D283" s="8">
        <v>161.0</v>
      </c>
      <c r="E283" s="18">
        <f t="shared" si="1"/>
        <v>0.1055900621</v>
      </c>
      <c r="F283" s="18">
        <f t="shared" si="17"/>
        <v>0.3529411852</v>
      </c>
      <c r="G283" s="18">
        <f t="shared" si="3"/>
        <v>0.03726708167</v>
      </c>
      <c r="H283" s="8">
        <v>192.0</v>
      </c>
      <c r="I283" s="8">
        <v>68.00000178813934</v>
      </c>
      <c r="J283" s="8">
        <v>2552.0</v>
      </c>
      <c r="K283" s="18">
        <f t="shared" si="4"/>
        <v>0.07523510972</v>
      </c>
      <c r="L283" s="18">
        <f t="shared" si="5"/>
        <v>0.354166676</v>
      </c>
      <c r="M283" s="18">
        <f t="shared" si="6"/>
        <v>0.02664576873</v>
      </c>
      <c r="N283" s="18">
        <f t="shared" si="18"/>
        <v>0.7149947764</v>
      </c>
      <c r="T283" s="18"/>
      <c r="U283" s="18"/>
      <c r="V283" s="18"/>
      <c r="W283" s="18"/>
    </row>
    <row r="284" ht="15.75" customHeight="1">
      <c r="A284" s="8">
        <v>70804.0</v>
      </c>
      <c r="B284" s="8">
        <v>33.0</v>
      </c>
      <c r="C284" s="8">
        <v>13.7777781188488</v>
      </c>
      <c r="D284" s="8">
        <v>176.0</v>
      </c>
      <c r="E284" s="18">
        <f t="shared" si="1"/>
        <v>0.1875</v>
      </c>
      <c r="F284" s="18">
        <f t="shared" si="17"/>
        <v>0.4175084278</v>
      </c>
      <c r="G284" s="18">
        <f t="shared" si="3"/>
        <v>0.07828283022</v>
      </c>
      <c r="H284" s="8">
        <v>247.0</v>
      </c>
      <c r="I284" s="8">
        <v>91.33333542943001</v>
      </c>
      <c r="J284" s="8">
        <v>1518.0</v>
      </c>
      <c r="K284" s="18">
        <f t="shared" si="4"/>
        <v>0.1627140975</v>
      </c>
      <c r="L284" s="18">
        <f t="shared" si="5"/>
        <v>0.3697705888</v>
      </c>
      <c r="M284" s="18">
        <f t="shared" si="6"/>
        <v>0.06016688763</v>
      </c>
      <c r="N284" s="18">
        <f t="shared" si="18"/>
        <v>0.7685834488</v>
      </c>
      <c r="T284" s="18"/>
      <c r="U284" s="18"/>
      <c r="V284" s="18"/>
      <c r="W284" s="18"/>
    </row>
    <row r="285" ht="15.75" customHeight="1">
      <c r="A285" s="8">
        <v>70805.0</v>
      </c>
      <c r="B285" s="8">
        <v>25.0</v>
      </c>
      <c r="C285" s="8">
        <v>8.444444686174393</v>
      </c>
      <c r="D285" s="8">
        <v>153.0</v>
      </c>
      <c r="E285" s="18">
        <f t="shared" si="1"/>
        <v>0.1633986928</v>
      </c>
      <c r="F285" s="18">
        <f t="shared" si="17"/>
        <v>0.3377777874</v>
      </c>
      <c r="G285" s="18">
        <f t="shared" si="3"/>
        <v>0.05519244893</v>
      </c>
      <c r="H285" s="8">
        <v>131.0</v>
      </c>
      <c r="I285" s="8">
        <v>46.44444561004639</v>
      </c>
      <c r="J285" s="8">
        <v>1847.0</v>
      </c>
      <c r="K285" s="18">
        <f t="shared" si="4"/>
        <v>0.07092582566</v>
      </c>
      <c r="L285" s="18">
        <f t="shared" si="5"/>
        <v>0.3545377527</v>
      </c>
      <c r="M285" s="18">
        <f t="shared" si="6"/>
        <v>0.02514588284</v>
      </c>
      <c r="N285" s="18">
        <f t="shared" si="18"/>
        <v>0.45560368</v>
      </c>
      <c r="T285" s="18"/>
      <c r="U285" s="18"/>
      <c r="V285" s="18"/>
      <c r="W285" s="18"/>
    </row>
    <row r="286" ht="15.75" customHeight="1">
      <c r="A286" s="8">
        <v>70901.0</v>
      </c>
      <c r="B286" s="8">
        <v>103.0</v>
      </c>
      <c r="C286" s="8">
        <v>37.44444528222084</v>
      </c>
      <c r="D286" s="8">
        <v>1581.0</v>
      </c>
      <c r="E286" s="18">
        <f t="shared" si="1"/>
        <v>0.0651486401</v>
      </c>
      <c r="F286" s="18">
        <f t="shared" si="17"/>
        <v>0.3635383037</v>
      </c>
      <c r="G286" s="18">
        <f t="shared" si="3"/>
        <v>0.02368402611</v>
      </c>
      <c r="H286" s="8">
        <v>745.0</v>
      </c>
      <c r="I286" s="8">
        <v>276.55556228756905</v>
      </c>
      <c r="J286" s="8">
        <v>9608.0</v>
      </c>
      <c r="K286" s="18">
        <f t="shared" si="4"/>
        <v>0.07753955037</v>
      </c>
      <c r="L286" s="18">
        <f t="shared" si="5"/>
        <v>0.3712155198</v>
      </c>
      <c r="M286" s="18">
        <f t="shared" si="6"/>
        <v>0.0287838845</v>
      </c>
      <c r="N286" s="18">
        <f t="shared" si="18"/>
        <v>1.215329031</v>
      </c>
      <c r="T286" s="18"/>
      <c r="U286" s="18"/>
      <c r="V286" s="18"/>
      <c r="W286" s="18"/>
    </row>
    <row r="287" ht="15.75" customHeight="1">
      <c r="A287" s="8">
        <v>70902.0</v>
      </c>
      <c r="B287" s="8">
        <v>107.0</v>
      </c>
      <c r="C287" s="8">
        <v>38.22222313284874</v>
      </c>
      <c r="D287" s="8">
        <v>1258.0</v>
      </c>
      <c r="E287" s="18">
        <f t="shared" si="1"/>
        <v>0.08505564388</v>
      </c>
      <c r="F287" s="18">
        <f t="shared" si="17"/>
        <v>0.3572170386</v>
      </c>
      <c r="G287" s="18">
        <f t="shared" si="3"/>
        <v>0.03038332522</v>
      </c>
      <c r="H287" s="8">
        <v>588.0</v>
      </c>
      <c r="I287" s="8">
        <v>218.4444504380226</v>
      </c>
      <c r="J287" s="8">
        <v>8242.0</v>
      </c>
      <c r="K287" s="18">
        <f t="shared" si="4"/>
        <v>0.0713419073</v>
      </c>
      <c r="L287" s="18">
        <f t="shared" si="5"/>
        <v>0.3715041674</v>
      </c>
      <c r="M287" s="18">
        <f t="shared" si="6"/>
        <v>0.02650381587</v>
      </c>
      <c r="N287" s="18">
        <f t="shared" si="18"/>
        <v>0.8723145238</v>
      </c>
      <c r="T287" s="18"/>
      <c r="U287" s="18"/>
      <c r="V287" s="18"/>
      <c r="W287" s="18"/>
    </row>
    <row r="288" ht="15.75" customHeight="1">
      <c r="A288" s="8">
        <v>70903.0</v>
      </c>
      <c r="B288" s="8">
        <v>176.0</v>
      </c>
      <c r="C288" s="8">
        <v>69.77777963876724</v>
      </c>
      <c r="D288" s="8">
        <v>1647.0</v>
      </c>
      <c r="E288" s="18">
        <f t="shared" si="1"/>
        <v>0.1068609593</v>
      </c>
      <c r="F288" s="18">
        <f t="shared" si="17"/>
        <v>0.396464657</v>
      </c>
      <c r="G288" s="18">
        <f t="shared" si="3"/>
        <v>0.04236659359</v>
      </c>
      <c r="H288" s="8">
        <v>1207.0</v>
      </c>
      <c r="I288" s="8">
        <v>453.0000110268593</v>
      </c>
      <c r="J288" s="8">
        <v>10874.0</v>
      </c>
      <c r="K288" s="18">
        <f t="shared" si="4"/>
        <v>0.1109987125</v>
      </c>
      <c r="L288" s="18">
        <f t="shared" si="5"/>
        <v>0.3753106968</v>
      </c>
      <c r="M288" s="18">
        <f t="shared" si="6"/>
        <v>0.04165900414</v>
      </c>
      <c r="N288" s="18">
        <f t="shared" si="18"/>
        <v>0.9832984107</v>
      </c>
      <c r="T288" s="18"/>
      <c r="U288" s="18"/>
      <c r="V288" s="18"/>
      <c r="W288" s="18"/>
    </row>
    <row r="289" ht="15.75" customHeight="1">
      <c r="A289" s="8">
        <v>70904.0</v>
      </c>
      <c r="B289" s="8">
        <v>38.0</v>
      </c>
      <c r="C289" s="8">
        <v>15.777778267860413</v>
      </c>
      <c r="D289" s="8">
        <v>401.0</v>
      </c>
      <c r="E289" s="18">
        <f t="shared" si="1"/>
        <v>0.09476309227</v>
      </c>
      <c r="F289" s="18">
        <f t="shared" si="17"/>
        <v>0.4152046913</v>
      </c>
      <c r="G289" s="18">
        <f t="shared" si="3"/>
        <v>0.03934608047</v>
      </c>
      <c r="H289" s="8">
        <v>189.0</v>
      </c>
      <c r="I289" s="8">
        <v>68.0000017285347</v>
      </c>
      <c r="J289" s="8">
        <v>2599.0</v>
      </c>
      <c r="K289" s="18">
        <f t="shared" si="4"/>
        <v>0.07272027703</v>
      </c>
      <c r="L289" s="18">
        <f t="shared" si="5"/>
        <v>0.3597883689</v>
      </c>
      <c r="M289" s="18">
        <f t="shared" si="6"/>
        <v>0.02616390986</v>
      </c>
      <c r="N289" s="18">
        <f t="shared" si="18"/>
        <v>0.6649686462</v>
      </c>
      <c r="T289" s="18"/>
      <c r="U289" s="18"/>
      <c r="V289" s="18"/>
      <c r="W289" s="18"/>
    </row>
    <row r="290" ht="15.75" customHeight="1">
      <c r="A290" s="8">
        <v>71001.0</v>
      </c>
      <c r="B290" s="8">
        <v>434.0</v>
      </c>
      <c r="C290" s="8">
        <v>160.00000390410423</v>
      </c>
      <c r="D290" s="8">
        <v>7735.0</v>
      </c>
      <c r="E290" s="18">
        <f t="shared" si="1"/>
        <v>0.05610859729</v>
      </c>
      <c r="F290" s="18">
        <f t="shared" si="17"/>
        <v>0.3686636035</v>
      </c>
      <c r="G290" s="18">
        <f t="shared" si="3"/>
        <v>0.02068519766</v>
      </c>
      <c r="H290" s="8">
        <v>4763.0</v>
      </c>
      <c r="I290" s="8">
        <v>1688.6667103171349</v>
      </c>
      <c r="J290" s="8">
        <v>112713.0</v>
      </c>
      <c r="K290" s="18">
        <f t="shared" si="4"/>
        <v>0.04225776973</v>
      </c>
      <c r="L290" s="18">
        <f t="shared" si="5"/>
        <v>0.3545384653</v>
      </c>
      <c r="M290" s="18">
        <f t="shared" si="6"/>
        <v>0.01498200483</v>
      </c>
      <c r="N290" s="18">
        <f t="shared" si="18"/>
        <v>0.7242862783</v>
      </c>
      <c r="T290" s="18"/>
      <c r="U290" s="18"/>
      <c r="V290" s="18"/>
      <c r="W290" s="18"/>
    </row>
    <row r="291" ht="15.75" customHeight="1">
      <c r="A291" s="8">
        <v>71002.0</v>
      </c>
      <c r="B291" s="8">
        <v>149.0</v>
      </c>
      <c r="C291" s="8">
        <v>53.88889017701149</v>
      </c>
      <c r="D291" s="8">
        <v>1688.0</v>
      </c>
      <c r="E291" s="18">
        <f t="shared" si="1"/>
        <v>0.08827014218</v>
      </c>
      <c r="F291" s="18">
        <f t="shared" si="17"/>
        <v>0.3616704039</v>
      </c>
      <c r="G291" s="18">
        <f t="shared" si="3"/>
        <v>0.03192469797</v>
      </c>
      <c r="H291" s="8">
        <v>1081.0</v>
      </c>
      <c r="I291" s="8">
        <v>386.666676402092</v>
      </c>
      <c r="J291" s="8">
        <v>14497.0</v>
      </c>
      <c r="K291" s="18">
        <f t="shared" si="4"/>
        <v>0.07456715182</v>
      </c>
      <c r="L291" s="18">
        <f t="shared" si="5"/>
        <v>0.3576935027</v>
      </c>
      <c r="M291" s="18">
        <f t="shared" si="6"/>
        <v>0.02667218572</v>
      </c>
      <c r="N291" s="18">
        <f t="shared" si="18"/>
        <v>0.8354718264</v>
      </c>
      <c r="T291" s="18"/>
      <c r="U291" s="18"/>
      <c r="V291" s="18"/>
      <c r="W291" s="18"/>
    </row>
    <row r="292" ht="15.75" customHeight="1">
      <c r="A292" s="8">
        <v>71003.0</v>
      </c>
      <c r="B292" s="8">
        <v>119.0</v>
      </c>
      <c r="C292" s="8">
        <v>44.22222343087196</v>
      </c>
      <c r="D292" s="8">
        <v>1431.0</v>
      </c>
      <c r="E292" s="18">
        <f t="shared" si="1"/>
        <v>0.08315863033</v>
      </c>
      <c r="F292" s="18">
        <f t="shared" si="17"/>
        <v>0.3716153229</v>
      </c>
      <c r="G292" s="18">
        <f t="shared" si="3"/>
        <v>0.03090302127</v>
      </c>
      <c r="H292" s="8">
        <v>1133.0</v>
      </c>
      <c r="I292" s="8">
        <v>406.5555666089058</v>
      </c>
      <c r="J292" s="8">
        <v>21173.0</v>
      </c>
      <c r="K292" s="18">
        <f t="shared" si="4"/>
        <v>0.05351154773</v>
      </c>
      <c r="L292" s="18">
        <f t="shared" si="5"/>
        <v>0.3588310385</v>
      </c>
      <c r="M292" s="18">
        <f t="shared" si="6"/>
        <v>0.01920160424</v>
      </c>
      <c r="N292" s="18">
        <f t="shared" si="18"/>
        <v>0.6213503876</v>
      </c>
      <c r="T292" s="18"/>
      <c r="U292" s="18"/>
      <c r="V292" s="18"/>
      <c r="W292" s="18"/>
    </row>
    <row r="293" ht="15.75" customHeight="1">
      <c r="A293" s="8">
        <v>71004.0</v>
      </c>
      <c r="B293" s="8">
        <v>156.0</v>
      </c>
      <c r="C293" s="8">
        <v>59.66666829586029</v>
      </c>
      <c r="D293" s="8">
        <v>1166.0</v>
      </c>
      <c r="E293" s="18">
        <f t="shared" si="1"/>
        <v>0.1337907376</v>
      </c>
      <c r="F293" s="18">
        <f t="shared" si="17"/>
        <v>0.3824786429</v>
      </c>
      <c r="G293" s="18">
        <f t="shared" si="3"/>
        <v>0.05117209974</v>
      </c>
      <c r="H293" s="8">
        <v>846.0</v>
      </c>
      <c r="I293" s="8">
        <v>313.00000846385956</v>
      </c>
      <c r="J293" s="8">
        <v>11329.0</v>
      </c>
      <c r="K293" s="18">
        <f t="shared" si="4"/>
        <v>0.07467561126</v>
      </c>
      <c r="L293" s="18">
        <f t="shared" si="5"/>
        <v>0.3699763693</v>
      </c>
      <c r="M293" s="18">
        <f t="shared" si="6"/>
        <v>0.02762821153</v>
      </c>
      <c r="N293" s="18">
        <f t="shared" si="18"/>
        <v>0.5399077168</v>
      </c>
      <c r="T293" s="18"/>
      <c r="U293" s="18"/>
      <c r="V293" s="18"/>
      <c r="W293" s="18"/>
    </row>
    <row r="294" ht="15.75" customHeight="1">
      <c r="A294" s="8">
        <v>71005.0</v>
      </c>
      <c r="B294" s="8">
        <v>101.0</v>
      </c>
      <c r="C294" s="8">
        <v>37.33333417773247</v>
      </c>
      <c r="D294" s="8">
        <v>1136.0</v>
      </c>
      <c r="E294" s="18">
        <f t="shared" si="1"/>
        <v>0.0889084507</v>
      </c>
      <c r="F294" s="18">
        <f t="shared" si="17"/>
        <v>0.3696369721</v>
      </c>
      <c r="G294" s="18">
        <f t="shared" si="3"/>
        <v>0.03286385051</v>
      </c>
      <c r="H294" s="8">
        <v>706.0</v>
      </c>
      <c r="I294" s="8">
        <v>252.11111736297607</v>
      </c>
      <c r="J294" s="8">
        <v>12049.0</v>
      </c>
      <c r="K294" s="18">
        <f t="shared" si="4"/>
        <v>0.0585940742</v>
      </c>
      <c r="L294" s="18">
        <f t="shared" si="5"/>
        <v>0.3570978999</v>
      </c>
      <c r="M294" s="18">
        <f t="shared" si="6"/>
        <v>0.02092382085</v>
      </c>
      <c r="N294" s="18">
        <f t="shared" si="18"/>
        <v>0.6366819627</v>
      </c>
      <c r="T294" s="18"/>
      <c r="U294" s="18"/>
      <c r="V294" s="18"/>
      <c r="W294" s="18"/>
    </row>
    <row r="295" ht="15.75" customHeight="1">
      <c r="A295" s="8">
        <v>71101.0</v>
      </c>
      <c r="B295" s="8">
        <v>677.0</v>
      </c>
      <c r="C295" s="8">
        <v>252.5555618405342</v>
      </c>
      <c r="D295" s="8">
        <v>4631.0</v>
      </c>
      <c r="E295" s="18">
        <f t="shared" si="1"/>
        <v>0.1461887281</v>
      </c>
      <c r="F295" s="18">
        <f t="shared" si="17"/>
        <v>0.3730510515</v>
      </c>
      <c r="G295" s="18">
        <f t="shared" si="3"/>
        <v>0.05453585874</v>
      </c>
      <c r="H295" s="8">
        <v>3919.0</v>
      </c>
      <c r="I295" s="8">
        <v>1454.0000365674496</v>
      </c>
      <c r="J295" s="8">
        <v>24117.0</v>
      </c>
      <c r="K295" s="18">
        <f t="shared" si="4"/>
        <v>0.1624994817</v>
      </c>
      <c r="L295" s="18">
        <f t="shared" si="5"/>
        <v>0.3710130229</v>
      </c>
      <c r="M295" s="18">
        <f t="shared" si="6"/>
        <v>0.06028942392</v>
      </c>
      <c r="N295" s="18">
        <f t="shared" si="18"/>
        <v>1.105500588</v>
      </c>
      <c r="T295" s="18"/>
      <c r="U295" s="18"/>
      <c r="V295" s="18"/>
      <c r="W295" s="18"/>
    </row>
    <row r="296" ht="15.75" customHeight="1">
      <c r="A296" s="8">
        <v>71102.0</v>
      </c>
      <c r="B296" s="8">
        <v>76.0</v>
      </c>
      <c r="C296" s="8">
        <v>26.666667491197586</v>
      </c>
      <c r="D296" s="8">
        <v>1222.0</v>
      </c>
      <c r="E296" s="18">
        <f t="shared" si="1"/>
        <v>0.06219312602</v>
      </c>
      <c r="F296" s="18">
        <f t="shared" si="17"/>
        <v>0.3508772038</v>
      </c>
      <c r="G296" s="18">
        <f t="shared" si="3"/>
        <v>0.02182215016</v>
      </c>
      <c r="H296" s="8">
        <v>1378.0</v>
      </c>
      <c r="I296" s="8">
        <v>520.4444573223591</v>
      </c>
      <c r="J296" s="8">
        <v>12731.0</v>
      </c>
      <c r="K296" s="18">
        <f t="shared" si="4"/>
        <v>0.1082397298</v>
      </c>
      <c r="L296" s="18">
        <f t="shared" si="5"/>
        <v>0.3776810285</v>
      </c>
      <c r="M296" s="18">
        <f t="shared" si="6"/>
        <v>0.04088009248</v>
      </c>
      <c r="N296" s="18">
        <f t="shared" si="18"/>
        <v>1.87333018</v>
      </c>
      <c r="T296" s="18"/>
      <c r="U296" s="18"/>
      <c r="V296" s="18"/>
      <c r="W296" s="18"/>
    </row>
    <row r="297" ht="15.75" customHeight="1">
      <c r="A297" s="8">
        <v>71103.0</v>
      </c>
      <c r="B297" s="8">
        <v>115.0</v>
      </c>
      <c r="C297" s="8">
        <v>40.88888996839523</v>
      </c>
      <c r="D297" s="8">
        <v>989.0</v>
      </c>
      <c r="E297" s="18">
        <f t="shared" si="1"/>
        <v>0.1162790698</v>
      </c>
      <c r="F297" s="18">
        <f t="shared" si="17"/>
        <v>0.3555555649</v>
      </c>
      <c r="G297" s="18">
        <f t="shared" si="3"/>
        <v>0.04134367034</v>
      </c>
      <c r="H297" s="8">
        <v>713.0</v>
      </c>
      <c r="I297" s="8">
        <v>258.55556258559227</v>
      </c>
      <c r="J297" s="8">
        <v>7095.0</v>
      </c>
      <c r="K297" s="18">
        <f t="shared" si="4"/>
        <v>0.1004933051</v>
      </c>
      <c r="L297" s="18">
        <f t="shared" si="5"/>
        <v>0.3626305226</v>
      </c>
      <c r="M297" s="18">
        <f t="shared" si="6"/>
        <v>0.03644193976</v>
      </c>
      <c r="N297" s="18">
        <f t="shared" si="18"/>
        <v>0.8814393946</v>
      </c>
      <c r="T297" s="18"/>
      <c r="U297" s="18"/>
      <c r="V297" s="18"/>
      <c r="W297" s="18"/>
    </row>
    <row r="298" ht="15.75" customHeight="1">
      <c r="A298" s="8">
        <v>71104.0</v>
      </c>
      <c r="B298" s="8">
        <v>266.0</v>
      </c>
      <c r="C298" s="8">
        <v>96.88889145851135</v>
      </c>
      <c r="D298" s="8">
        <v>4545.0</v>
      </c>
      <c r="E298" s="18">
        <f t="shared" si="1"/>
        <v>0.05852585259</v>
      </c>
      <c r="F298" s="18">
        <f t="shared" si="17"/>
        <v>0.3642439529</v>
      </c>
      <c r="G298" s="18">
        <f t="shared" si="3"/>
        <v>0.02131768789</v>
      </c>
      <c r="H298" s="8">
        <v>2202.0</v>
      </c>
      <c r="I298" s="8">
        <v>788.6666867136955</v>
      </c>
      <c r="J298" s="8">
        <v>37597.0</v>
      </c>
      <c r="K298" s="18">
        <f t="shared" si="4"/>
        <v>0.05856850281</v>
      </c>
      <c r="L298" s="18">
        <f t="shared" si="5"/>
        <v>0.3581592583</v>
      </c>
      <c r="M298" s="18">
        <f t="shared" si="6"/>
        <v>0.02097685152</v>
      </c>
      <c r="N298" s="18">
        <f t="shared" si="18"/>
        <v>0.9840115697</v>
      </c>
      <c r="T298" s="18"/>
      <c r="U298" s="18"/>
      <c r="V298" s="18"/>
      <c r="W298" s="18"/>
    </row>
    <row r="299" ht="15.75" customHeight="1">
      <c r="A299" s="8">
        <v>71105.0</v>
      </c>
      <c r="B299" s="8">
        <v>48.0</v>
      </c>
      <c r="C299" s="8">
        <v>16.11111158132553</v>
      </c>
      <c r="D299" s="8">
        <v>428.0</v>
      </c>
      <c r="E299" s="18">
        <f t="shared" si="1"/>
        <v>0.1121495327</v>
      </c>
      <c r="F299" s="18">
        <f t="shared" si="17"/>
        <v>0.3356481579</v>
      </c>
      <c r="G299" s="18">
        <f t="shared" si="3"/>
        <v>0.03764278407</v>
      </c>
      <c r="H299" s="8">
        <v>381.0</v>
      </c>
      <c r="I299" s="8">
        <v>134.777781188488</v>
      </c>
      <c r="J299" s="8">
        <v>5725.0</v>
      </c>
      <c r="K299" s="18">
        <f t="shared" si="4"/>
        <v>0.06655021834</v>
      </c>
      <c r="L299" s="18">
        <f t="shared" si="5"/>
        <v>0.3537474572</v>
      </c>
      <c r="M299" s="18">
        <f t="shared" si="6"/>
        <v>0.02354197051</v>
      </c>
      <c r="N299" s="18">
        <f t="shared" si="18"/>
        <v>0.6254046053</v>
      </c>
      <c r="T299" s="18"/>
      <c r="U299" s="18"/>
      <c r="V299" s="18"/>
      <c r="W299" s="18"/>
    </row>
    <row r="300" ht="15.75" customHeight="1">
      <c r="A300" s="8">
        <v>71106.0</v>
      </c>
      <c r="B300" s="8">
        <v>117.0</v>
      </c>
      <c r="C300" s="8">
        <v>46.00000122189522</v>
      </c>
      <c r="D300" s="8">
        <v>2510.0</v>
      </c>
      <c r="E300" s="18">
        <f t="shared" si="1"/>
        <v>0.04661354582</v>
      </c>
      <c r="F300" s="18">
        <f t="shared" si="17"/>
        <v>0.3931624036</v>
      </c>
      <c r="G300" s="18">
        <f t="shared" si="3"/>
        <v>0.01832669371</v>
      </c>
      <c r="H300" s="8">
        <v>1206.0</v>
      </c>
      <c r="I300" s="8">
        <v>433.55556681752205</v>
      </c>
      <c r="J300" s="8">
        <v>21175.0</v>
      </c>
      <c r="K300" s="18">
        <f t="shared" si="4"/>
        <v>0.05695395514</v>
      </c>
      <c r="L300" s="18">
        <f t="shared" si="5"/>
        <v>0.3594988116</v>
      </c>
      <c r="M300" s="18">
        <f t="shared" si="6"/>
        <v>0.02047487919</v>
      </c>
      <c r="N300" s="18">
        <f t="shared" si="18"/>
        <v>1.117216204</v>
      </c>
      <c r="T300" s="18"/>
      <c r="U300" s="18"/>
      <c r="V300" s="18"/>
      <c r="W300" s="18"/>
    </row>
    <row r="301" ht="15.75" customHeight="1">
      <c r="A301" s="8">
        <v>71201.0</v>
      </c>
      <c r="B301" s="8">
        <v>99.0</v>
      </c>
      <c r="C301" s="8">
        <v>36.00000086426735</v>
      </c>
      <c r="D301" s="8">
        <v>1129.0</v>
      </c>
      <c r="E301" s="18">
        <f t="shared" si="1"/>
        <v>0.08768821966</v>
      </c>
      <c r="F301" s="18">
        <f t="shared" si="17"/>
        <v>0.3636363724</v>
      </c>
      <c r="G301" s="18">
        <f t="shared" si="3"/>
        <v>0.0318866261</v>
      </c>
      <c r="H301" s="8">
        <v>1858.0</v>
      </c>
      <c r="I301" s="8">
        <v>688.3333513736725</v>
      </c>
      <c r="J301" s="8">
        <v>13410.0</v>
      </c>
      <c r="K301" s="18">
        <f t="shared" si="4"/>
        <v>0.1385533184</v>
      </c>
      <c r="L301" s="18">
        <f t="shared" si="5"/>
        <v>0.3704700492</v>
      </c>
      <c r="M301" s="18">
        <f t="shared" si="6"/>
        <v>0.05132985469</v>
      </c>
      <c r="N301" s="18">
        <f t="shared" si="18"/>
        <v>1.609761238</v>
      </c>
      <c r="T301" s="18"/>
      <c r="U301" s="18"/>
      <c r="V301" s="18"/>
      <c r="W301" s="18"/>
    </row>
    <row r="302" ht="15.75" customHeight="1">
      <c r="A302" s="8">
        <v>71301.0</v>
      </c>
      <c r="B302" s="8">
        <v>115.0</v>
      </c>
      <c r="C302" s="8">
        <v>43.111112385988235</v>
      </c>
      <c r="D302" s="8">
        <v>1401.0</v>
      </c>
      <c r="E302" s="18">
        <f t="shared" si="1"/>
        <v>0.08208422555</v>
      </c>
      <c r="F302" s="18">
        <f t="shared" si="17"/>
        <v>0.3748792381</v>
      </c>
      <c r="G302" s="18">
        <f t="shared" si="3"/>
        <v>0.03077167194</v>
      </c>
      <c r="H302" s="8">
        <v>1548.0</v>
      </c>
      <c r="I302" s="8">
        <v>568.6666810512543</v>
      </c>
      <c r="J302" s="8">
        <v>15326.0</v>
      </c>
      <c r="K302" s="18">
        <f t="shared" si="4"/>
        <v>0.1010048284</v>
      </c>
      <c r="L302" s="18">
        <f t="shared" si="5"/>
        <v>0.3673557371</v>
      </c>
      <c r="M302" s="18">
        <f t="shared" si="6"/>
        <v>0.03710470319</v>
      </c>
      <c r="N302" s="18">
        <f t="shared" si="18"/>
        <v>1.205807187</v>
      </c>
      <c r="T302" s="18"/>
      <c r="U302" s="18"/>
      <c r="V302" s="18"/>
      <c r="W302" s="18"/>
    </row>
    <row r="303" ht="15.75" customHeight="1">
      <c r="A303" s="8">
        <v>71302.0</v>
      </c>
      <c r="B303" s="8">
        <v>27.0</v>
      </c>
      <c r="C303" s="8">
        <v>9.777777999639511</v>
      </c>
      <c r="D303" s="8">
        <v>630.0</v>
      </c>
      <c r="E303" s="18">
        <f t="shared" si="1"/>
        <v>0.04285714286</v>
      </c>
      <c r="F303" s="18">
        <f t="shared" si="17"/>
        <v>0.3621399259</v>
      </c>
      <c r="G303" s="18">
        <f t="shared" si="3"/>
        <v>0.01552028254</v>
      </c>
      <c r="H303" s="8">
        <v>383.0</v>
      </c>
      <c r="I303" s="8">
        <v>140.33333659172058</v>
      </c>
      <c r="J303" s="8">
        <v>5255.0</v>
      </c>
      <c r="K303" s="18">
        <f t="shared" si="4"/>
        <v>0.0728829686</v>
      </c>
      <c r="L303" s="18">
        <f t="shared" si="5"/>
        <v>0.3664055786</v>
      </c>
      <c r="M303" s="18">
        <f t="shared" si="6"/>
        <v>0.02670472628</v>
      </c>
      <c r="N303" s="18">
        <f t="shared" si="18"/>
        <v>1.720634029</v>
      </c>
      <c r="T303" s="18"/>
      <c r="U303" s="18"/>
      <c r="V303" s="18"/>
      <c r="W303" s="18"/>
    </row>
    <row r="304" ht="15.75" customHeight="1">
      <c r="A304" s="8">
        <v>71401.0</v>
      </c>
      <c r="B304" s="8">
        <v>92.0</v>
      </c>
      <c r="C304" s="8">
        <v>32.44444525241852</v>
      </c>
      <c r="D304" s="8">
        <v>1432.0</v>
      </c>
      <c r="E304" s="18">
        <f t="shared" si="1"/>
        <v>0.06424581006</v>
      </c>
      <c r="F304" s="18">
        <f t="shared" si="17"/>
        <v>0.3526570136</v>
      </c>
      <c r="G304" s="18">
        <f t="shared" si="3"/>
        <v>0.02265673551</v>
      </c>
      <c r="H304" s="8">
        <v>649.0</v>
      </c>
      <c r="I304" s="8">
        <v>230.88889476656914</v>
      </c>
      <c r="J304" s="8">
        <v>14392.0</v>
      </c>
      <c r="K304" s="18">
        <f t="shared" si="4"/>
        <v>0.04509449694</v>
      </c>
      <c r="L304" s="18">
        <f t="shared" si="5"/>
        <v>0.3557610089</v>
      </c>
      <c r="M304" s="18">
        <f t="shared" si="6"/>
        <v>0.01604286373</v>
      </c>
      <c r="N304" s="18">
        <f t="shared" si="18"/>
        <v>0.7080836389</v>
      </c>
      <c r="T304" s="18"/>
      <c r="U304" s="18"/>
      <c r="V304" s="18"/>
      <c r="W304" s="18"/>
    </row>
    <row r="305" ht="15.75" customHeight="1">
      <c r="A305" s="8">
        <v>71402.0</v>
      </c>
      <c r="B305" s="8">
        <v>81.0</v>
      </c>
      <c r="C305" s="8">
        <v>27.77777859568596</v>
      </c>
      <c r="D305" s="8">
        <v>1731.0</v>
      </c>
      <c r="E305" s="18">
        <f t="shared" si="1"/>
        <v>0.04679376083</v>
      </c>
      <c r="F305" s="18">
        <f t="shared" si="17"/>
        <v>0.3429355382</v>
      </c>
      <c r="G305" s="18">
        <f t="shared" si="3"/>
        <v>0.01604724356</v>
      </c>
      <c r="H305" s="8">
        <v>843.0</v>
      </c>
      <c r="I305" s="8">
        <v>302.33334082365036</v>
      </c>
      <c r="J305" s="8">
        <v>14763.0</v>
      </c>
      <c r="K305" s="18">
        <f t="shared" si="4"/>
        <v>0.057102215</v>
      </c>
      <c r="L305" s="18">
        <f t="shared" si="5"/>
        <v>0.3586397875</v>
      </c>
      <c r="M305" s="18">
        <f t="shared" si="6"/>
        <v>0.02047912625</v>
      </c>
      <c r="N305" s="18">
        <f t="shared" si="18"/>
        <v>1.276177194</v>
      </c>
      <c r="T305" s="18"/>
      <c r="U305" s="18"/>
      <c r="V305" s="18"/>
      <c r="W305" s="18"/>
    </row>
    <row r="306" ht="15.75" customHeight="1">
      <c r="A306" s="8">
        <v>71403.0</v>
      </c>
      <c r="B306" s="8">
        <v>125.0</v>
      </c>
      <c r="C306" s="8">
        <v>45.222223579883575</v>
      </c>
      <c r="D306" s="8">
        <v>1463.0</v>
      </c>
      <c r="E306" s="18">
        <f t="shared" si="1"/>
        <v>0.08544087491</v>
      </c>
      <c r="F306" s="18">
        <f t="shared" si="17"/>
        <v>0.3617777886</v>
      </c>
      <c r="G306" s="18">
        <f t="shared" si="3"/>
        <v>0.03091061079</v>
      </c>
      <c r="H306" s="8">
        <v>771.0</v>
      </c>
      <c r="I306" s="8">
        <v>289.7777854204178</v>
      </c>
      <c r="J306" s="8">
        <v>6766.0</v>
      </c>
      <c r="K306" s="18">
        <f t="shared" si="4"/>
        <v>0.1139521135</v>
      </c>
      <c r="L306" s="18">
        <f t="shared" si="5"/>
        <v>0.3758466737</v>
      </c>
      <c r="M306" s="18">
        <f t="shared" si="6"/>
        <v>0.04282852282</v>
      </c>
      <c r="N306" s="18">
        <f t="shared" si="18"/>
        <v>1.385560548</v>
      </c>
      <c r="T306" s="18"/>
      <c r="U306" s="18"/>
      <c r="V306" s="18"/>
      <c r="W306" s="18"/>
    </row>
    <row r="307" ht="15.75" customHeight="1">
      <c r="A307" s="8">
        <v>71501.0</v>
      </c>
      <c r="B307" s="8">
        <v>1208.0</v>
      </c>
      <c r="C307" s="8">
        <v>465.555566906929</v>
      </c>
      <c r="D307" s="8">
        <v>5982.0</v>
      </c>
      <c r="E307" s="18">
        <f t="shared" si="1"/>
        <v>0.2019391508</v>
      </c>
      <c r="F307" s="18">
        <f t="shared" si="17"/>
        <v>0.3853936812</v>
      </c>
      <c r="G307" s="18">
        <f t="shared" si="3"/>
        <v>0.0778260727</v>
      </c>
      <c r="H307" s="8">
        <v>5443.0</v>
      </c>
      <c r="I307" s="8">
        <v>2072.0000524520874</v>
      </c>
      <c r="J307" s="8">
        <v>26969.0</v>
      </c>
      <c r="K307" s="18">
        <f t="shared" si="4"/>
        <v>0.2018243168</v>
      </c>
      <c r="L307" s="18">
        <f t="shared" si="5"/>
        <v>0.3806724329</v>
      </c>
      <c r="M307" s="18">
        <f t="shared" si="6"/>
        <v>0.0768289537</v>
      </c>
      <c r="N307" s="18">
        <f t="shared" si="18"/>
        <v>0.9871878541</v>
      </c>
      <c r="T307" s="18"/>
      <c r="U307" s="18"/>
      <c r="V307" s="18"/>
      <c r="W307" s="18"/>
    </row>
    <row r="308" ht="15.75" customHeight="1">
      <c r="A308" s="8">
        <v>71502.0</v>
      </c>
      <c r="B308" s="8">
        <v>79.0</v>
      </c>
      <c r="C308" s="8">
        <v>30.22222277522087</v>
      </c>
      <c r="D308" s="8">
        <v>544.0</v>
      </c>
      <c r="E308" s="18">
        <f t="shared" si="1"/>
        <v>0.1452205882</v>
      </c>
      <c r="F308" s="18">
        <f t="shared" si="17"/>
        <v>0.382559782</v>
      </c>
      <c r="G308" s="18">
        <f t="shared" si="3"/>
        <v>0.05555555657</v>
      </c>
      <c r="H308" s="8">
        <v>791.0</v>
      </c>
      <c r="I308" s="8">
        <v>289.66667383909225</v>
      </c>
      <c r="J308" s="8">
        <v>5752.0</v>
      </c>
      <c r="K308" s="18">
        <f t="shared" si="4"/>
        <v>0.1375173853</v>
      </c>
      <c r="L308" s="18">
        <f t="shared" si="5"/>
        <v>0.3662031275</v>
      </c>
      <c r="M308" s="18">
        <f t="shared" si="6"/>
        <v>0.05035929656</v>
      </c>
      <c r="N308" s="18">
        <f t="shared" si="18"/>
        <v>0.9064673216</v>
      </c>
      <c r="T308" s="18"/>
      <c r="U308" s="18"/>
      <c r="V308" s="18"/>
      <c r="W308" s="18"/>
    </row>
    <row r="309" ht="15.75" customHeight="1">
      <c r="A309" s="8">
        <v>71503.0</v>
      </c>
      <c r="B309" s="8">
        <v>305.0</v>
      </c>
      <c r="C309" s="8">
        <v>113.3333360850811</v>
      </c>
      <c r="D309" s="8">
        <v>2225.0</v>
      </c>
      <c r="E309" s="18">
        <f t="shared" si="1"/>
        <v>0.1370786517</v>
      </c>
      <c r="F309" s="18">
        <f t="shared" si="17"/>
        <v>0.3715847085</v>
      </c>
      <c r="G309" s="18">
        <f t="shared" si="3"/>
        <v>0.05093633082</v>
      </c>
      <c r="H309" s="8">
        <v>2061.0</v>
      </c>
      <c r="I309" s="8">
        <v>764.5555745065212</v>
      </c>
      <c r="J309" s="8">
        <v>14335.0</v>
      </c>
      <c r="K309" s="18">
        <f t="shared" si="4"/>
        <v>0.1437739798</v>
      </c>
      <c r="L309" s="18">
        <f t="shared" si="5"/>
        <v>0.3709634034</v>
      </c>
      <c r="M309" s="18">
        <f t="shared" si="6"/>
        <v>0.05333488486</v>
      </c>
      <c r="N309" s="18">
        <f t="shared" si="18"/>
        <v>1.047089258</v>
      </c>
      <c r="T309" s="18"/>
      <c r="U309" s="18"/>
      <c r="V309" s="18"/>
      <c r="W309" s="18"/>
    </row>
    <row r="310" ht="15.75" customHeight="1">
      <c r="A310" s="8">
        <v>80101.0</v>
      </c>
      <c r="B310" s="8">
        <v>1214.0</v>
      </c>
      <c r="C310" s="8">
        <v>437.22223377227783</v>
      </c>
      <c r="D310" s="8">
        <v>10136.0</v>
      </c>
      <c r="E310" s="18">
        <f t="shared" si="1"/>
        <v>0.1197711129</v>
      </c>
      <c r="F310" s="18">
        <f t="shared" si="17"/>
        <v>0.3601501102</v>
      </c>
      <c r="G310" s="18">
        <f t="shared" si="3"/>
        <v>0.0431355795</v>
      </c>
      <c r="H310" s="8">
        <v>10463.0</v>
      </c>
      <c r="I310" s="8">
        <v>3783.2223185896873</v>
      </c>
      <c r="J310" s="8">
        <v>111274.0</v>
      </c>
      <c r="K310" s="18">
        <f t="shared" si="4"/>
        <v>0.09402915326</v>
      </c>
      <c r="L310" s="18">
        <f t="shared" si="5"/>
        <v>0.3615810302</v>
      </c>
      <c r="M310" s="18">
        <f t="shared" si="6"/>
        <v>0.0339991581</v>
      </c>
      <c r="N310" s="18">
        <f t="shared" si="18"/>
        <v>0.788192914</v>
      </c>
      <c r="T310" s="18"/>
      <c r="U310" s="18"/>
      <c r="V310" s="18"/>
      <c r="W310" s="18"/>
    </row>
    <row r="311" ht="15.75" customHeight="1">
      <c r="A311" s="8">
        <v>80102.0</v>
      </c>
      <c r="B311" s="8">
        <v>693.0</v>
      </c>
      <c r="C311" s="8">
        <v>260.33333906531334</v>
      </c>
      <c r="D311" s="8">
        <v>2133.0</v>
      </c>
      <c r="E311" s="18">
        <f t="shared" si="1"/>
        <v>0.3248945148</v>
      </c>
      <c r="F311" s="18">
        <f t="shared" si="17"/>
        <v>0.3756613839</v>
      </c>
      <c r="G311" s="18">
        <f t="shared" si="3"/>
        <v>0.122050323</v>
      </c>
      <c r="H311" s="8">
        <v>847.0</v>
      </c>
      <c r="I311" s="8">
        <v>307.4444521665573</v>
      </c>
      <c r="J311" s="8">
        <v>5452.0</v>
      </c>
      <c r="K311" s="18">
        <f t="shared" si="4"/>
        <v>0.1553558327</v>
      </c>
      <c r="L311" s="18">
        <f t="shared" si="5"/>
        <v>0.362980463</v>
      </c>
      <c r="M311" s="18">
        <f t="shared" si="6"/>
        <v>0.05639113209</v>
      </c>
      <c r="N311" s="18">
        <f t="shared" si="18"/>
        <v>0.4620318135</v>
      </c>
      <c r="T311" s="18"/>
      <c r="U311" s="18"/>
      <c r="V311" s="18"/>
      <c r="W311" s="18"/>
    </row>
    <row r="312" ht="15.75" customHeight="1">
      <c r="A312" s="8">
        <v>80201.0</v>
      </c>
      <c r="B312" s="8">
        <v>1701.0</v>
      </c>
      <c r="C312" s="8">
        <v>644.1111271381378</v>
      </c>
      <c r="D312" s="8">
        <v>7617.0</v>
      </c>
      <c r="E312" s="18">
        <f t="shared" si="1"/>
        <v>0.2233162662</v>
      </c>
      <c r="F312" s="18">
        <f t="shared" si="17"/>
        <v>0.3786661535</v>
      </c>
      <c r="G312" s="18">
        <f t="shared" si="3"/>
        <v>0.08456231156</v>
      </c>
      <c r="H312" s="8">
        <v>24247.0</v>
      </c>
      <c r="I312" s="8">
        <v>8966.77800437808</v>
      </c>
      <c r="J312" s="8">
        <v>97360.0</v>
      </c>
      <c r="K312" s="18">
        <f t="shared" si="4"/>
        <v>0.2490447823</v>
      </c>
      <c r="L312" s="18">
        <f t="shared" si="5"/>
        <v>0.3698097911</v>
      </c>
      <c r="M312" s="18">
        <f t="shared" si="6"/>
        <v>0.09209919889</v>
      </c>
      <c r="N312" s="18">
        <f t="shared" si="18"/>
        <v>1.089128209</v>
      </c>
      <c r="T312" s="18"/>
      <c r="U312" s="18"/>
      <c r="V312" s="18"/>
      <c r="W312" s="18"/>
    </row>
    <row r="313" ht="15.75" customHeight="1">
      <c r="A313" s="8">
        <v>80202.0</v>
      </c>
      <c r="B313" s="8">
        <v>243.0</v>
      </c>
      <c r="C313" s="8">
        <v>86.77778005599976</v>
      </c>
      <c r="D313" s="8">
        <v>2949.0</v>
      </c>
      <c r="E313" s="18">
        <f t="shared" si="1"/>
        <v>0.08240081384</v>
      </c>
      <c r="F313" s="18">
        <f t="shared" si="17"/>
        <v>0.357110206</v>
      </c>
      <c r="G313" s="18">
        <f t="shared" si="3"/>
        <v>0.0294261716</v>
      </c>
      <c r="H313" s="8">
        <v>3799.0</v>
      </c>
      <c r="I313" s="8">
        <v>1378.4444795548916</v>
      </c>
      <c r="J313" s="8">
        <v>35822.0</v>
      </c>
      <c r="K313" s="18">
        <f t="shared" si="4"/>
        <v>0.1060521467</v>
      </c>
      <c r="L313" s="18">
        <f t="shared" si="5"/>
        <v>0.3628440325</v>
      </c>
      <c r="M313" s="18">
        <f t="shared" si="6"/>
        <v>0.03848038858</v>
      </c>
      <c r="N313" s="18">
        <f t="shared" si="18"/>
        <v>1.307692659</v>
      </c>
      <c r="T313" s="18"/>
      <c r="U313" s="18"/>
      <c r="V313" s="18"/>
      <c r="W313" s="18"/>
    </row>
    <row r="314" ht="15.75" customHeight="1">
      <c r="A314" s="8">
        <v>80301.0</v>
      </c>
      <c r="B314" s="8">
        <v>206.0</v>
      </c>
      <c r="C314" s="8">
        <v>77.3333352804184</v>
      </c>
      <c r="D314" s="8">
        <v>1204.0</v>
      </c>
      <c r="E314" s="18">
        <f t="shared" si="1"/>
        <v>0.1710963455</v>
      </c>
      <c r="F314" s="18">
        <f t="shared" si="17"/>
        <v>0.3754045402</v>
      </c>
      <c r="G314" s="18">
        <f t="shared" si="3"/>
        <v>0.06423034492</v>
      </c>
      <c r="H314" s="8">
        <v>2244.0</v>
      </c>
      <c r="I314" s="8">
        <v>830.5555769503117</v>
      </c>
      <c r="J314" s="8">
        <v>9924.0</v>
      </c>
      <c r="K314" s="18">
        <f t="shared" si="4"/>
        <v>0.2261185006</v>
      </c>
      <c r="L314" s="18">
        <f t="shared" si="5"/>
        <v>0.3701228061</v>
      </c>
      <c r="M314" s="18">
        <f t="shared" si="6"/>
        <v>0.08369161396</v>
      </c>
      <c r="N314" s="18">
        <f t="shared" si="18"/>
        <v>1.302991819</v>
      </c>
      <c r="T314" s="18"/>
      <c r="U314" s="18"/>
      <c r="V314" s="18"/>
      <c r="W314" s="18"/>
    </row>
    <row r="315" ht="15.75" customHeight="1">
      <c r="A315" s="8">
        <v>80302.0</v>
      </c>
      <c r="B315" s="8">
        <v>637.0</v>
      </c>
      <c r="C315" s="8">
        <v>251.11111748218536</v>
      </c>
      <c r="D315" s="8">
        <v>3475.0</v>
      </c>
      <c r="E315" s="18">
        <f t="shared" si="1"/>
        <v>0.1833093525</v>
      </c>
      <c r="F315" s="18">
        <f t="shared" si="17"/>
        <v>0.3942089756</v>
      </c>
      <c r="G315" s="18">
        <f t="shared" si="3"/>
        <v>0.07226219208</v>
      </c>
      <c r="H315" s="8">
        <v>14598.0</v>
      </c>
      <c r="I315" s="8">
        <v>6751.222400486469</v>
      </c>
      <c r="J315" s="8">
        <v>40426.0</v>
      </c>
      <c r="K315" s="18">
        <f t="shared" si="4"/>
        <v>0.3611042398</v>
      </c>
      <c r="L315" s="18">
        <f t="shared" si="5"/>
        <v>0.462475846</v>
      </c>
      <c r="M315" s="18">
        <f t="shared" si="6"/>
        <v>0.1670019888</v>
      </c>
      <c r="N315" s="18">
        <f t="shared" si="18"/>
        <v>2.311056225</v>
      </c>
      <c r="T315" s="18"/>
      <c r="U315" s="18"/>
      <c r="V315" s="18"/>
      <c r="W315" s="18"/>
    </row>
    <row r="316" ht="15.75" customHeight="1">
      <c r="A316" s="8">
        <v>80303.0</v>
      </c>
      <c r="B316" s="8">
        <v>109.0</v>
      </c>
      <c r="C316" s="8">
        <v>43.11111223697662</v>
      </c>
      <c r="D316" s="8">
        <v>1150.0</v>
      </c>
      <c r="E316" s="18">
        <f t="shared" si="1"/>
        <v>0.0947826087</v>
      </c>
      <c r="F316" s="18">
        <f t="shared" si="17"/>
        <v>0.3955147912</v>
      </c>
      <c r="G316" s="18">
        <f t="shared" si="3"/>
        <v>0.03748792368</v>
      </c>
      <c r="H316" s="8">
        <v>1069.0</v>
      </c>
      <c r="I316" s="8">
        <v>401.44445472955704</v>
      </c>
      <c r="J316" s="8">
        <v>9473.0</v>
      </c>
      <c r="K316" s="18">
        <f t="shared" si="4"/>
        <v>0.112847039</v>
      </c>
      <c r="L316" s="18">
        <f t="shared" si="5"/>
        <v>0.3755326985</v>
      </c>
      <c r="M316" s="18">
        <f t="shared" si="6"/>
        <v>0.04237775306</v>
      </c>
      <c r="N316" s="18">
        <f t="shared" si="18"/>
        <v>1.130437455</v>
      </c>
      <c r="T316" s="18"/>
      <c r="U316" s="18"/>
      <c r="V316" s="18"/>
      <c r="W316" s="18"/>
    </row>
    <row r="317" ht="15.75" customHeight="1">
      <c r="A317" s="8">
        <v>80304.0</v>
      </c>
      <c r="B317" s="8">
        <v>324.0</v>
      </c>
      <c r="C317" s="8">
        <v>132.33333665132523</v>
      </c>
      <c r="D317" s="8">
        <v>2290.0</v>
      </c>
      <c r="E317" s="18">
        <f t="shared" si="1"/>
        <v>0.1414847162</v>
      </c>
      <c r="F317" s="18">
        <f t="shared" si="17"/>
        <v>0.4084362242</v>
      </c>
      <c r="G317" s="18">
        <f t="shared" si="3"/>
        <v>0.05778748325</v>
      </c>
      <c r="H317" s="8">
        <v>2625.0</v>
      </c>
      <c r="I317" s="8">
        <v>1046.0000267028809</v>
      </c>
      <c r="J317" s="8">
        <v>17784.0</v>
      </c>
      <c r="K317" s="18">
        <f t="shared" si="4"/>
        <v>0.1476045884</v>
      </c>
      <c r="L317" s="18">
        <f t="shared" si="5"/>
        <v>0.3984762006</v>
      </c>
      <c r="M317" s="18">
        <f t="shared" si="6"/>
        <v>0.05881691558</v>
      </c>
      <c r="N317" s="18">
        <f t="shared" si="18"/>
        <v>1.017814106</v>
      </c>
      <c r="T317" s="18"/>
      <c r="U317" s="18"/>
      <c r="V317" s="18"/>
      <c r="W317" s="18"/>
    </row>
    <row r="318" ht="15.75" customHeight="1">
      <c r="A318" s="8">
        <v>80401.0</v>
      </c>
      <c r="B318" s="8">
        <v>318.0</v>
      </c>
      <c r="C318" s="8">
        <v>131.11111399531364</v>
      </c>
      <c r="D318" s="8">
        <v>1622.0</v>
      </c>
      <c r="E318" s="18">
        <f t="shared" si="1"/>
        <v>0.196054254</v>
      </c>
      <c r="F318" s="18">
        <f t="shared" si="17"/>
        <v>0.4122991006</v>
      </c>
      <c r="G318" s="18">
        <f t="shared" si="3"/>
        <v>0.0808329926</v>
      </c>
      <c r="H318" s="8">
        <v>3294.0</v>
      </c>
      <c r="I318" s="8">
        <v>1576.8889278769493</v>
      </c>
      <c r="J318" s="8">
        <v>15888.0</v>
      </c>
      <c r="K318" s="18">
        <f t="shared" si="4"/>
        <v>0.207326284</v>
      </c>
      <c r="L318" s="18">
        <f t="shared" si="5"/>
        <v>0.4787155215</v>
      </c>
      <c r="M318" s="18">
        <f t="shared" si="6"/>
        <v>0.09925031016</v>
      </c>
      <c r="N318" s="18">
        <f t="shared" si="18"/>
        <v>1.227844064</v>
      </c>
      <c r="T318" s="18"/>
      <c r="U318" s="18"/>
      <c r="V318" s="18"/>
      <c r="W318" s="18"/>
    </row>
    <row r="319" ht="15.75" customHeight="1">
      <c r="A319" s="8">
        <v>80402.0</v>
      </c>
      <c r="B319" s="8">
        <v>559.0</v>
      </c>
      <c r="C319" s="8">
        <v>209.44444951415062</v>
      </c>
      <c r="D319" s="8">
        <v>2088.0</v>
      </c>
      <c r="E319" s="18">
        <f t="shared" si="1"/>
        <v>0.2677203065</v>
      </c>
      <c r="F319" s="18">
        <f t="shared" si="17"/>
        <v>0.3746770117</v>
      </c>
      <c r="G319" s="18">
        <f t="shared" si="3"/>
        <v>0.1003086444</v>
      </c>
      <c r="H319" s="8">
        <v>1299.0</v>
      </c>
      <c r="I319" s="8">
        <v>503.5555684566498</v>
      </c>
      <c r="J319" s="8">
        <v>5513.0</v>
      </c>
      <c r="K319" s="18">
        <f t="shared" si="4"/>
        <v>0.2356248866</v>
      </c>
      <c r="L319" s="18">
        <f t="shared" si="5"/>
        <v>0.3876486285</v>
      </c>
      <c r="M319" s="18">
        <f t="shared" si="6"/>
        <v>0.09133966415</v>
      </c>
      <c r="N319" s="18">
        <f t="shared" si="18"/>
        <v>0.9105861683</v>
      </c>
      <c r="T319" s="18"/>
      <c r="U319" s="18"/>
      <c r="V319" s="18"/>
      <c r="W319" s="18"/>
    </row>
    <row r="320" ht="15.75" customHeight="1">
      <c r="A320" s="8">
        <v>80501.0</v>
      </c>
      <c r="B320" s="8">
        <v>292.0</v>
      </c>
      <c r="C320" s="8">
        <v>119.66667011380196</v>
      </c>
      <c r="D320" s="8">
        <v>2037.0</v>
      </c>
      <c r="E320" s="18">
        <f t="shared" si="1"/>
        <v>0.1433480609</v>
      </c>
      <c r="F320" s="18">
        <f t="shared" si="17"/>
        <v>0.4098173634</v>
      </c>
      <c r="G320" s="18">
        <f t="shared" si="3"/>
        <v>0.05874652436</v>
      </c>
      <c r="H320" s="8">
        <v>3747.0</v>
      </c>
      <c r="I320" s="8">
        <v>1624.4444889724255</v>
      </c>
      <c r="J320" s="8">
        <v>18779.0</v>
      </c>
      <c r="K320" s="18">
        <f t="shared" si="4"/>
        <v>0.1995313914</v>
      </c>
      <c r="L320" s="18">
        <f t="shared" si="5"/>
        <v>0.4335320227</v>
      </c>
      <c r="M320" s="18">
        <f t="shared" si="6"/>
        <v>0.08650324772</v>
      </c>
      <c r="N320" s="18">
        <f t="shared" si="18"/>
        <v>1.472482818</v>
      </c>
      <c r="T320" s="18"/>
      <c r="U320" s="18"/>
      <c r="V320" s="18"/>
      <c r="W320" s="18"/>
    </row>
    <row r="321" ht="15.75" customHeight="1">
      <c r="A321" s="8">
        <v>80601.0</v>
      </c>
      <c r="B321" s="8">
        <v>108.0</v>
      </c>
      <c r="C321" s="8">
        <v>44.55555680394173</v>
      </c>
      <c r="D321" s="8">
        <v>603.0</v>
      </c>
      <c r="E321" s="18">
        <f t="shared" si="1"/>
        <v>0.1791044776</v>
      </c>
      <c r="F321" s="18">
        <f t="shared" si="17"/>
        <v>0.4125514519</v>
      </c>
      <c r="G321" s="18">
        <f t="shared" si="3"/>
        <v>0.07388981228</v>
      </c>
      <c r="H321" s="8">
        <v>953.0</v>
      </c>
      <c r="I321" s="8">
        <v>400.5555654466152</v>
      </c>
      <c r="J321" s="8">
        <v>3545.0</v>
      </c>
      <c r="K321" s="18">
        <f t="shared" si="4"/>
        <v>0.2688293371</v>
      </c>
      <c r="L321" s="18">
        <f t="shared" si="5"/>
        <v>0.4203101421</v>
      </c>
      <c r="M321" s="18">
        <f t="shared" si="6"/>
        <v>0.1129916969</v>
      </c>
      <c r="N321" s="18">
        <f t="shared" si="18"/>
        <v>1.529191825</v>
      </c>
      <c r="T321" s="18"/>
      <c r="U321" s="18"/>
      <c r="V321" s="18"/>
      <c r="W321" s="18"/>
    </row>
    <row r="322" ht="15.75" customHeight="1">
      <c r="A322" s="8">
        <v>80602.0</v>
      </c>
      <c r="B322" s="8">
        <v>379.0</v>
      </c>
      <c r="C322" s="8">
        <v>134.33333677053452</v>
      </c>
      <c r="D322" s="8">
        <v>2786.0</v>
      </c>
      <c r="E322" s="18">
        <f t="shared" si="1"/>
        <v>0.1360373295</v>
      </c>
      <c r="F322" s="18">
        <f t="shared" si="17"/>
        <v>0.3544415218</v>
      </c>
      <c r="G322" s="18">
        <f t="shared" si="3"/>
        <v>0.04821727809</v>
      </c>
      <c r="H322" s="8">
        <v>1897.0</v>
      </c>
      <c r="I322" s="8">
        <v>705.5555735528469</v>
      </c>
      <c r="J322" s="8">
        <v>11751.0</v>
      </c>
      <c r="K322" s="18">
        <f t="shared" si="4"/>
        <v>0.1614330695</v>
      </c>
      <c r="L322" s="18">
        <f t="shared" si="5"/>
        <v>0.3719323002</v>
      </c>
      <c r="M322" s="18">
        <f t="shared" si="6"/>
        <v>0.06004217288</v>
      </c>
      <c r="N322" s="18">
        <f t="shared" si="18"/>
        <v>1.245241856</v>
      </c>
      <c r="T322" s="18"/>
      <c r="U322" s="18"/>
      <c r="V322" s="18"/>
      <c r="W322" s="18"/>
    </row>
    <row r="323" ht="15.75" customHeight="1">
      <c r="A323" s="8">
        <v>80701.0</v>
      </c>
      <c r="B323" s="8">
        <v>164.0</v>
      </c>
      <c r="C323" s="8">
        <v>60.88889014720917</v>
      </c>
      <c r="D323" s="8">
        <v>937.0</v>
      </c>
      <c r="E323" s="18">
        <f t="shared" si="1"/>
        <v>0.1750266809</v>
      </c>
      <c r="F323" s="18">
        <f t="shared" si="17"/>
        <v>0.3712737204</v>
      </c>
      <c r="G323" s="18">
        <f t="shared" si="3"/>
        <v>0.06498280699</v>
      </c>
      <c r="H323" s="8">
        <v>697.0</v>
      </c>
      <c r="I323" s="8">
        <v>256.5555619597435</v>
      </c>
      <c r="J323" s="8">
        <v>5232.0</v>
      </c>
      <c r="K323" s="18">
        <f t="shared" si="4"/>
        <v>0.1332186544</v>
      </c>
      <c r="L323" s="18">
        <f t="shared" si="5"/>
        <v>0.3680854547</v>
      </c>
      <c r="M323" s="18">
        <f t="shared" si="6"/>
        <v>0.049035849</v>
      </c>
      <c r="N323" s="18">
        <f t="shared" si="18"/>
        <v>0.7545972738</v>
      </c>
      <c r="T323" s="18"/>
      <c r="U323" s="18"/>
      <c r="V323" s="18"/>
      <c r="W323" s="18"/>
    </row>
    <row r="324" ht="15.75" customHeight="1">
      <c r="A324" s="8">
        <v>80702.0</v>
      </c>
      <c r="B324" s="8">
        <v>187.0</v>
      </c>
      <c r="C324" s="8">
        <v>71.66666829586029</v>
      </c>
      <c r="D324" s="8">
        <v>818.0</v>
      </c>
      <c r="E324" s="18">
        <f t="shared" si="1"/>
        <v>0.228606357</v>
      </c>
      <c r="F324" s="18">
        <f t="shared" si="17"/>
        <v>0.3832442155</v>
      </c>
      <c r="G324" s="18">
        <f t="shared" si="3"/>
        <v>0.08761206393</v>
      </c>
      <c r="H324" s="8">
        <v>525.0</v>
      </c>
      <c r="I324" s="8">
        <v>197.22222703695297</v>
      </c>
      <c r="J324" s="8">
        <v>4312.0</v>
      </c>
      <c r="K324" s="18">
        <f t="shared" si="4"/>
        <v>0.1217532468</v>
      </c>
      <c r="L324" s="18">
        <f t="shared" si="5"/>
        <v>0.3756613848</v>
      </c>
      <c r="M324" s="18">
        <f t="shared" si="6"/>
        <v>0.04573799328</v>
      </c>
      <c r="N324" s="18">
        <f t="shared" si="18"/>
        <v>0.5220513161</v>
      </c>
      <c r="T324" s="18"/>
      <c r="U324" s="18"/>
      <c r="V324" s="18"/>
      <c r="W324" s="18"/>
    </row>
    <row r="325" ht="15.75" customHeight="1">
      <c r="A325" s="8">
        <v>80703.0</v>
      </c>
      <c r="B325" s="8">
        <v>16.0</v>
      </c>
      <c r="C325" s="8">
        <v>5.333333492279053</v>
      </c>
      <c r="D325" s="8">
        <v>254.0</v>
      </c>
      <c r="E325" s="18">
        <f t="shared" si="1"/>
        <v>0.06299212598</v>
      </c>
      <c r="F325" s="18">
        <f t="shared" si="17"/>
        <v>0.3333333433</v>
      </c>
      <c r="G325" s="18">
        <f t="shared" si="3"/>
        <v>0.02099737595</v>
      </c>
      <c r="H325" s="8">
        <v>79.0</v>
      </c>
      <c r="I325" s="8">
        <v>30.77777850627899</v>
      </c>
      <c r="J325" s="8">
        <v>803.0</v>
      </c>
      <c r="K325" s="18">
        <f t="shared" si="4"/>
        <v>0.09838107098</v>
      </c>
      <c r="L325" s="18">
        <f t="shared" si="5"/>
        <v>0.389592133</v>
      </c>
      <c r="M325" s="18">
        <f t="shared" si="6"/>
        <v>0.03832849129</v>
      </c>
      <c r="N325" s="18">
        <f t="shared" si="18"/>
        <v>1.825394343</v>
      </c>
      <c r="T325" s="18"/>
      <c r="U325" s="18"/>
      <c r="V325" s="18"/>
      <c r="W325" s="18"/>
    </row>
    <row r="326" ht="15.75" customHeight="1">
      <c r="A326" s="8">
        <v>80801.0</v>
      </c>
      <c r="B326" s="8">
        <v>114.0</v>
      </c>
      <c r="C326" s="8">
        <v>41.66666758060455</v>
      </c>
      <c r="D326" s="8">
        <v>827.0</v>
      </c>
      <c r="E326" s="18">
        <f t="shared" si="1"/>
        <v>0.1378476421</v>
      </c>
      <c r="F326" s="18">
        <f t="shared" si="17"/>
        <v>0.365497084</v>
      </c>
      <c r="G326" s="18">
        <f t="shared" si="3"/>
        <v>0.05038291122</v>
      </c>
      <c r="H326" s="8">
        <v>1935.0</v>
      </c>
      <c r="I326" s="8">
        <v>706.7777960896492</v>
      </c>
      <c r="J326" s="8">
        <v>11452.0</v>
      </c>
      <c r="K326" s="18">
        <f t="shared" si="4"/>
        <v>0.1689661195</v>
      </c>
      <c r="L326" s="18">
        <f t="shared" si="5"/>
        <v>0.3652598429</v>
      </c>
      <c r="M326" s="18">
        <f t="shared" si="6"/>
        <v>0.06171653825</v>
      </c>
      <c r="N326" s="18">
        <f t="shared" si="18"/>
        <v>1.224949824</v>
      </c>
      <c r="T326" s="18"/>
      <c r="U326" s="18"/>
      <c r="V326" s="18"/>
      <c r="W326" s="18"/>
    </row>
    <row r="327" ht="15.75" customHeight="1">
      <c r="A327" s="8">
        <v>80802.0</v>
      </c>
      <c r="B327" s="8">
        <v>281.0</v>
      </c>
      <c r="C327" s="8">
        <v>101.55555811524391</v>
      </c>
      <c r="D327" s="8">
        <v>1159.0</v>
      </c>
      <c r="E327" s="18">
        <f t="shared" si="1"/>
        <v>0.2424503883</v>
      </c>
      <c r="F327" s="18">
        <f t="shared" si="17"/>
        <v>0.3614076801</v>
      </c>
      <c r="G327" s="18">
        <f t="shared" si="3"/>
        <v>0.08762343237</v>
      </c>
      <c r="H327" s="8">
        <v>916.0</v>
      </c>
      <c r="I327" s="8">
        <v>335.7777863740921</v>
      </c>
      <c r="J327" s="8">
        <v>5834.0</v>
      </c>
      <c r="K327" s="18">
        <f t="shared" si="4"/>
        <v>0.1570106274</v>
      </c>
      <c r="L327" s="18">
        <f t="shared" si="5"/>
        <v>0.3665696358</v>
      </c>
      <c r="M327" s="18">
        <f t="shared" si="6"/>
        <v>0.05755532848</v>
      </c>
      <c r="N327" s="18">
        <f t="shared" si="18"/>
        <v>0.6568485955</v>
      </c>
      <c r="T327" s="18"/>
      <c r="U327" s="18"/>
      <c r="V327" s="18"/>
      <c r="W327" s="18"/>
    </row>
    <row r="328" ht="15.75" customHeight="1">
      <c r="A328" s="8">
        <v>80803.0</v>
      </c>
      <c r="B328" s="8">
        <v>88.0</v>
      </c>
      <c r="C328" s="8">
        <v>32.222223073244095</v>
      </c>
      <c r="D328" s="8">
        <v>427.0</v>
      </c>
      <c r="E328" s="18">
        <f t="shared" si="1"/>
        <v>0.206088993</v>
      </c>
      <c r="F328" s="18">
        <f t="shared" si="17"/>
        <v>0.3661616258</v>
      </c>
      <c r="G328" s="18">
        <f t="shared" si="3"/>
        <v>0.07546188073</v>
      </c>
      <c r="H328" s="8">
        <v>497.0</v>
      </c>
      <c r="I328" s="8">
        <v>187.5555603802204</v>
      </c>
      <c r="J328" s="8">
        <v>4047.0</v>
      </c>
      <c r="K328" s="18">
        <f t="shared" si="4"/>
        <v>0.1228070175</v>
      </c>
      <c r="L328" s="18">
        <f t="shared" si="5"/>
        <v>0.377375373</v>
      </c>
      <c r="M328" s="18">
        <f t="shared" si="6"/>
        <v>0.04634434405</v>
      </c>
      <c r="N328" s="18">
        <f t="shared" si="18"/>
        <v>0.6141424465</v>
      </c>
      <c r="T328" s="18"/>
      <c r="U328" s="18"/>
      <c r="V328" s="18"/>
      <c r="W328" s="18"/>
    </row>
    <row r="329" ht="15.75" customHeight="1">
      <c r="A329" s="8">
        <v>80901.0</v>
      </c>
      <c r="B329" s="8">
        <v>140.0</v>
      </c>
      <c r="C329" s="8">
        <v>68.66666829586029</v>
      </c>
      <c r="D329" s="8">
        <v>497.0</v>
      </c>
      <c r="E329" s="18">
        <f t="shared" si="1"/>
        <v>0.2816901408</v>
      </c>
      <c r="F329" s="18">
        <f t="shared" si="17"/>
        <v>0.4904762021</v>
      </c>
      <c r="G329" s="18">
        <f t="shared" si="3"/>
        <v>0.1381623105</v>
      </c>
      <c r="H329" s="8">
        <v>1117.0</v>
      </c>
      <c r="I329" s="8">
        <v>577.8889048099518</v>
      </c>
      <c r="J329" s="8">
        <v>3317.0</v>
      </c>
      <c r="K329" s="18">
        <f t="shared" si="4"/>
        <v>0.3367500754</v>
      </c>
      <c r="L329" s="18">
        <f t="shared" si="5"/>
        <v>0.5173580168</v>
      </c>
      <c r="M329" s="18">
        <f t="shared" si="6"/>
        <v>0.1742203512</v>
      </c>
      <c r="N329" s="18">
        <f t="shared" si="18"/>
        <v>1.260983191</v>
      </c>
      <c r="T329" s="18"/>
      <c r="U329" s="18"/>
      <c r="V329" s="18"/>
      <c r="W329" s="18"/>
    </row>
    <row r="330" ht="15.75" customHeight="1">
      <c r="A330" s="8">
        <v>90101.0</v>
      </c>
      <c r="B330" s="8">
        <v>264.0</v>
      </c>
      <c r="C330" s="8">
        <v>94.33333560824394</v>
      </c>
      <c r="D330" s="8">
        <v>5103.0</v>
      </c>
      <c r="E330" s="18">
        <f t="shared" si="1"/>
        <v>0.05173427396</v>
      </c>
      <c r="F330" s="18">
        <f t="shared" si="17"/>
        <v>0.3573232409</v>
      </c>
      <c r="G330" s="18">
        <f t="shared" si="3"/>
        <v>0.01848585844</v>
      </c>
      <c r="H330" s="8">
        <v>2429.0</v>
      </c>
      <c r="I330" s="8">
        <v>877.5555779337883</v>
      </c>
      <c r="J330" s="8">
        <v>45998.0</v>
      </c>
      <c r="K330" s="18">
        <f t="shared" si="4"/>
        <v>0.05280664377</v>
      </c>
      <c r="L330" s="18">
        <f t="shared" si="5"/>
        <v>0.3612826587</v>
      </c>
      <c r="M330" s="18">
        <f t="shared" si="6"/>
        <v>0.01907812466</v>
      </c>
      <c r="N330" s="18">
        <f t="shared" si="18"/>
        <v>1.032038881</v>
      </c>
      <c r="T330" s="18"/>
      <c r="U330" s="18"/>
      <c r="V330" s="18"/>
      <c r="W330" s="18"/>
    </row>
    <row r="331" ht="15.75" customHeight="1">
      <c r="A331" s="8">
        <v>90102.0</v>
      </c>
      <c r="B331" s="8">
        <v>129.0</v>
      </c>
      <c r="C331" s="8">
        <v>48.44444561004639</v>
      </c>
      <c r="D331" s="8">
        <v>960.0</v>
      </c>
      <c r="E331" s="18">
        <f t="shared" si="1"/>
        <v>0.134375</v>
      </c>
      <c r="F331" s="18">
        <f t="shared" si="17"/>
        <v>0.3755383381</v>
      </c>
      <c r="G331" s="18">
        <f t="shared" si="3"/>
        <v>0.05046296418</v>
      </c>
      <c r="H331" s="8">
        <v>734.0</v>
      </c>
      <c r="I331" s="8">
        <v>270.3333399295807</v>
      </c>
      <c r="J331" s="8">
        <v>7939.0</v>
      </c>
      <c r="K331" s="18">
        <f t="shared" si="4"/>
        <v>0.09245496914</v>
      </c>
      <c r="L331" s="18">
        <f t="shared" si="5"/>
        <v>0.368301553</v>
      </c>
      <c r="M331" s="18">
        <f t="shared" si="6"/>
        <v>0.03405130872</v>
      </c>
      <c r="N331" s="18">
        <f t="shared" si="18"/>
        <v>0.6747782116</v>
      </c>
      <c r="T331" s="18"/>
      <c r="U331" s="18"/>
      <c r="V331" s="18"/>
      <c r="W331" s="18"/>
    </row>
    <row r="332" ht="15.75" customHeight="1">
      <c r="A332" s="8">
        <v>90103.0</v>
      </c>
      <c r="B332" s="8">
        <v>79.0</v>
      </c>
      <c r="C332" s="8">
        <v>28.111111789941788</v>
      </c>
      <c r="D332" s="8">
        <v>378.0</v>
      </c>
      <c r="E332" s="18">
        <f t="shared" si="1"/>
        <v>0.208994709</v>
      </c>
      <c r="F332" s="18">
        <f t="shared" si="17"/>
        <v>0.3558368581</v>
      </c>
      <c r="G332" s="18">
        <f t="shared" si="3"/>
        <v>0.07436802061</v>
      </c>
      <c r="H332" s="8">
        <v>235.0</v>
      </c>
      <c r="I332" s="8">
        <v>86.33333572745323</v>
      </c>
      <c r="J332" s="8">
        <v>1917.0</v>
      </c>
      <c r="K332" s="18">
        <f t="shared" si="4"/>
        <v>0.1225873761</v>
      </c>
      <c r="L332" s="18">
        <f t="shared" si="5"/>
        <v>0.3673758967</v>
      </c>
      <c r="M332" s="18">
        <f t="shared" si="6"/>
        <v>0.04503564722</v>
      </c>
      <c r="N332" s="18">
        <f t="shared" si="18"/>
        <v>0.605578135</v>
      </c>
      <c r="T332" s="18"/>
      <c r="U332" s="18"/>
      <c r="V332" s="18"/>
      <c r="W332" s="18"/>
    </row>
    <row r="333" ht="15.75" customHeight="1">
      <c r="A333" s="8">
        <v>90104.0</v>
      </c>
      <c r="B333" s="8">
        <v>90.0</v>
      </c>
      <c r="C333" s="8">
        <v>33.333334028720856</v>
      </c>
      <c r="D333" s="8">
        <v>640.0</v>
      </c>
      <c r="E333" s="18">
        <f t="shared" si="1"/>
        <v>0.140625</v>
      </c>
      <c r="F333" s="18">
        <f t="shared" si="17"/>
        <v>0.3703703781</v>
      </c>
      <c r="G333" s="18">
        <f t="shared" si="3"/>
        <v>0.05208333442</v>
      </c>
      <c r="H333" s="8">
        <v>361.0</v>
      </c>
      <c r="I333" s="8">
        <v>142.00000363588333</v>
      </c>
      <c r="J333" s="8">
        <v>2668.0</v>
      </c>
      <c r="K333" s="18">
        <f t="shared" si="4"/>
        <v>0.1353073463</v>
      </c>
      <c r="L333" s="18">
        <f t="shared" si="5"/>
        <v>0.3933518106</v>
      </c>
      <c r="M333" s="18">
        <f t="shared" si="6"/>
        <v>0.05322338967</v>
      </c>
      <c r="N333" s="18">
        <f t="shared" si="18"/>
        <v>1.02188906</v>
      </c>
      <c r="T333" s="18"/>
      <c r="U333" s="18"/>
      <c r="V333" s="18"/>
      <c r="W333" s="18"/>
    </row>
    <row r="334" ht="15.75" customHeight="1">
      <c r="A334" s="8">
        <v>90201.0</v>
      </c>
      <c r="B334" s="8">
        <v>191.0</v>
      </c>
      <c r="C334" s="8">
        <v>68.77777975797653</v>
      </c>
      <c r="D334" s="8">
        <v>1276.0</v>
      </c>
      <c r="E334" s="18">
        <f t="shared" si="1"/>
        <v>0.1496865204</v>
      </c>
      <c r="F334" s="18">
        <f t="shared" si="17"/>
        <v>0.3600930877</v>
      </c>
      <c r="G334" s="18">
        <f t="shared" si="3"/>
        <v>0.05390108132</v>
      </c>
      <c r="H334" s="8">
        <v>781.0</v>
      </c>
      <c r="I334" s="8">
        <v>295.6666737496853</v>
      </c>
      <c r="J334" s="8">
        <v>5501.0</v>
      </c>
      <c r="K334" s="18">
        <f t="shared" si="4"/>
        <v>0.1419741865</v>
      </c>
      <c r="L334" s="18">
        <f t="shared" si="5"/>
        <v>0.3785744862</v>
      </c>
      <c r="M334" s="18">
        <f t="shared" si="6"/>
        <v>0.05374780472</v>
      </c>
      <c r="N334" s="18">
        <f t="shared" si="18"/>
        <v>0.9971563354</v>
      </c>
      <c r="T334" s="18"/>
      <c r="U334" s="18"/>
      <c r="V334" s="18"/>
      <c r="W334" s="18"/>
    </row>
    <row r="335" ht="15.75" customHeight="1">
      <c r="A335" s="8">
        <v>90202.0</v>
      </c>
      <c r="B335" s="8">
        <v>152.0</v>
      </c>
      <c r="C335" s="8">
        <v>60.66666781902313</v>
      </c>
      <c r="D335" s="8">
        <v>377.0</v>
      </c>
      <c r="E335" s="18">
        <f t="shared" si="1"/>
        <v>0.4031830239</v>
      </c>
      <c r="F335" s="18">
        <f t="shared" si="17"/>
        <v>0.3991228146</v>
      </c>
      <c r="G335" s="18">
        <f t="shared" si="3"/>
        <v>0.1609195433</v>
      </c>
      <c r="H335" s="8">
        <v>1280.0</v>
      </c>
      <c r="I335" s="8">
        <v>491.33334535360336</v>
      </c>
      <c r="J335" s="8">
        <v>2702.0</v>
      </c>
      <c r="K335" s="18">
        <f t="shared" si="4"/>
        <v>0.473723168</v>
      </c>
      <c r="L335" s="18">
        <f t="shared" si="5"/>
        <v>0.3838541761</v>
      </c>
      <c r="M335" s="18">
        <f t="shared" si="6"/>
        <v>0.1818406163</v>
      </c>
      <c r="N335" s="18">
        <f t="shared" si="18"/>
        <v>1.130009523</v>
      </c>
      <c r="T335" s="18"/>
      <c r="U335" s="18"/>
      <c r="V335" s="18"/>
      <c r="W335" s="18"/>
    </row>
    <row r="336" ht="15.75" customHeight="1">
      <c r="A336" s="8">
        <v>90203.0</v>
      </c>
      <c r="B336" s="8">
        <v>227.0</v>
      </c>
      <c r="C336" s="8">
        <v>86.66666895151138</v>
      </c>
      <c r="D336" s="8">
        <v>1255.0</v>
      </c>
      <c r="E336" s="18">
        <f t="shared" si="1"/>
        <v>0.180876494</v>
      </c>
      <c r="F336" s="18">
        <f t="shared" si="17"/>
        <v>0.3817914932</v>
      </c>
      <c r="G336" s="18">
        <f t="shared" si="3"/>
        <v>0.06905710673</v>
      </c>
      <c r="H336" s="8">
        <v>758.0</v>
      </c>
      <c r="I336" s="8">
        <v>285.33334070444107</v>
      </c>
      <c r="J336" s="8">
        <v>6579.0</v>
      </c>
      <c r="K336" s="18">
        <f t="shared" si="4"/>
        <v>0.1152150783</v>
      </c>
      <c r="L336" s="18">
        <f t="shared" si="5"/>
        <v>0.3764292094</v>
      </c>
      <c r="M336" s="18">
        <f t="shared" si="6"/>
        <v>0.04337032082</v>
      </c>
      <c r="N336" s="18">
        <f t="shared" si="18"/>
        <v>0.6280355908</v>
      </c>
      <c r="T336" s="18"/>
      <c r="U336" s="18"/>
      <c r="V336" s="18"/>
      <c r="W336" s="18"/>
    </row>
    <row r="337" ht="15.75" customHeight="1">
      <c r="A337" s="8">
        <v>90301.0</v>
      </c>
      <c r="B337" s="8">
        <v>329.0</v>
      </c>
      <c r="C337" s="8">
        <v>121.44444751739502</v>
      </c>
      <c r="D337" s="8">
        <v>1170.0</v>
      </c>
      <c r="E337" s="18">
        <f t="shared" si="1"/>
        <v>0.2811965812</v>
      </c>
      <c r="F337" s="18">
        <f t="shared" si="17"/>
        <v>0.3691320593</v>
      </c>
      <c r="G337" s="18">
        <f t="shared" si="3"/>
        <v>0.1037986731</v>
      </c>
      <c r="H337" s="8">
        <v>1993.0</v>
      </c>
      <c r="I337" s="8">
        <v>754.8889076709747</v>
      </c>
      <c r="J337" s="8">
        <v>10080.0</v>
      </c>
      <c r="K337" s="18">
        <f t="shared" si="4"/>
        <v>0.197718254</v>
      </c>
      <c r="L337" s="18">
        <f t="shared" si="5"/>
        <v>0.3787701494</v>
      </c>
      <c r="M337" s="18">
        <f t="shared" si="6"/>
        <v>0.07488977259</v>
      </c>
      <c r="N337" s="18">
        <f t="shared" si="18"/>
        <v>0.7214906545</v>
      </c>
      <c r="T337" s="18"/>
      <c r="U337" s="18"/>
      <c r="V337" s="18"/>
      <c r="W337" s="18"/>
    </row>
    <row r="338" ht="15.75" customHeight="1">
      <c r="A338" s="8">
        <v>90302.0</v>
      </c>
      <c r="B338" s="8">
        <v>221.0</v>
      </c>
      <c r="C338" s="8">
        <v>83.11111316084862</v>
      </c>
      <c r="D338" s="8">
        <v>1262.0</v>
      </c>
      <c r="E338" s="18">
        <f t="shared" si="1"/>
        <v>0.175118859</v>
      </c>
      <c r="F338" s="18">
        <f t="shared" si="17"/>
        <v>0.3760683853</v>
      </c>
      <c r="G338" s="18">
        <f t="shared" si="3"/>
        <v>0.06585666653</v>
      </c>
      <c r="H338" s="8">
        <v>1308.0</v>
      </c>
      <c r="I338" s="8">
        <v>499.8889009356499</v>
      </c>
      <c r="J338" s="8">
        <v>8236.0</v>
      </c>
      <c r="K338" s="18">
        <f t="shared" si="4"/>
        <v>0.1588149587</v>
      </c>
      <c r="L338" s="18">
        <f t="shared" si="5"/>
        <v>0.3821780588</v>
      </c>
      <c r="M338" s="18">
        <f t="shared" si="6"/>
        <v>0.06069559263</v>
      </c>
      <c r="N338" s="18">
        <f t="shared" si="18"/>
        <v>0.9216317168</v>
      </c>
      <c r="T338" s="18"/>
      <c r="U338" s="18"/>
      <c r="V338" s="18"/>
      <c r="W338" s="18"/>
    </row>
    <row r="339" ht="15.75" customHeight="1">
      <c r="A339" s="8">
        <v>90303.0</v>
      </c>
      <c r="B339" s="8">
        <v>625.0</v>
      </c>
      <c r="C339" s="8">
        <v>237.00000643730164</v>
      </c>
      <c r="D339" s="8">
        <v>2200.0</v>
      </c>
      <c r="E339" s="18">
        <f t="shared" si="1"/>
        <v>0.2840909091</v>
      </c>
      <c r="F339" s="18">
        <f t="shared" si="17"/>
        <v>0.3792000103</v>
      </c>
      <c r="G339" s="18">
        <f t="shared" si="3"/>
        <v>0.1077272757</v>
      </c>
      <c r="H339" s="8">
        <v>2076.0</v>
      </c>
      <c r="I339" s="8">
        <v>792.1111308336258</v>
      </c>
      <c r="J339" s="8">
        <v>7639.0</v>
      </c>
      <c r="K339" s="18">
        <f t="shared" si="4"/>
        <v>0.2717633198</v>
      </c>
      <c r="L339" s="18">
        <f t="shared" si="5"/>
        <v>0.3815564214</v>
      </c>
      <c r="M339" s="18">
        <f t="shared" si="6"/>
        <v>0.1036930398</v>
      </c>
      <c r="N339" s="18">
        <f t="shared" si="18"/>
        <v>0.9625513979</v>
      </c>
      <c r="T339" s="18"/>
      <c r="U339" s="18"/>
      <c r="V339" s="18"/>
      <c r="W339" s="18"/>
    </row>
    <row r="340" ht="15.75" customHeight="1">
      <c r="A340" s="8">
        <v>90401.0</v>
      </c>
      <c r="B340" s="8">
        <v>72.0</v>
      </c>
      <c r="C340" s="8">
        <v>29.66666743159294</v>
      </c>
      <c r="D340" s="8">
        <v>520.0</v>
      </c>
      <c r="E340" s="18">
        <f t="shared" si="1"/>
        <v>0.1384615385</v>
      </c>
      <c r="F340" s="18">
        <f t="shared" si="17"/>
        <v>0.4120370477</v>
      </c>
      <c r="G340" s="18">
        <f t="shared" si="3"/>
        <v>0.05705128352</v>
      </c>
      <c r="H340" s="8">
        <v>230.0</v>
      </c>
      <c r="I340" s="8">
        <v>86.33333560824394</v>
      </c>
      <c r="J340" s="8">
        <v>2239.0</v>
      </c>
      <c r="K340" s="18">
        <f t="shared" si="4"/>
        <v>0.1027244305</v>
      </c>
      <c r="L340" s="18">
        <f t="shared" si="5"/>
        <v>0.3753623287</v>
      </c>
      <c r="M340" s="18">
        <f t="shared" si="6"/>
        <v>0.03855888147</v>
      </c>
      <c r="N340" s="18">
        <f t="shared" si="18"/>
        <v>0.6758635229</v>
      </c>
      <c r="T340" s="18"/>
      <c r="U340" s="18"/>
      <c r="V340" s="18"/>
      <c r="W340" s="18"/>
    </row>
    <row r="341" ht="15.75" customHeight="1">
      <c r="A341" s="8">
        <v>90402.0</v>
      </c>
      <c r="B341" s="8">
        <v>231.0</v>
      </c>
      <c r="C341" s="8">
        <v>86.55555754899979</v>
      </c>
      <c r="D341" s="8">
        <v>759.0</v>
      </c>
      <c r="E341" s="18">
        <f t="shared" si="1"/>
        <v>0.3043478261</v>
      </c>
      <c r="F341" s="18">
        <f t="shared" si="17"/>
        <v>0.3746993833</v>
      </c>
      <c r="G341" s="18">
        <f t="shared" si="3"/>
        <v>0.1140389428</v>
      </c>
      <c r="H341" s="8">
        <v>475.0</v>
      </c>
      <c r="I341" s="8">
        <v>176.11111494898796</v>
      </c>
      <c r="J341" s="8">
        <v>1708.0</v>
      </c>
      <c r="K341" s="18">
        <f t="shared" si="4"/>
        <v>0.2781030445</v>
      </c>
      <c r="L341" s="18">
        <f t="shared" si="5"/>
        <v>0.370760242</v>
      </c>
      <c r="M341" s="18">
        <f t="shared" si="6"/>
        <v>0.1031095521</v>
      </c>
      <c r="N341" s="18">
        <f t="shared" si="18"/>
        <v>0.9041608909</v>
      </c>
      <c r="T341" s="18"/>
      <c r="U341" s="18"/>
      <c r="V341" s="18"/>
      <c r="W341" s="18"/>
    </row>
    <row r="342" ht="15.75" customHeight="1">
      <c r="A342" s="8">
        <v>90501.0</v>
      </c>
      <c r="B342" s="8">
        <v>80.0</v>
      </c>
      <c r="C342" s="8">
        <v>31.44444528222084</v>
      </c>
      <c r="D342" s="8">
        <v>342.0</v>
      </c>
      <c r="E342" s="18">
        <f t="shared" si="1"/>
        <v>0.2339181287</v>
      </c>
      <c r="F342" s="18">
        <f t="shared" si="17"/>
        <v>0.393055566</v>
      </c>
      <c r="G342" s="18">
        <f t="shared" si="3"/>
        <v>0.09194282246</v>
      </c>
      <c r="H342" s="8">
        <v>180.0</v>
      </c>
      <c r="I342" s="8">
        <v>64.88889047503471</v>
      </c>
      <c r="J342" s="8">
        <v>1202.0</v>
      </c>
      <c r="K342" s="18">
        <f t="shared" si="4"/>
        <v>0.149750416</v>
      </c>
      <c r="L342" s="18">
        <f t="shared" si="5"/>
        <v>0.360493836</v>
      </c>
      <c r="M342" s="18">
        <f t="shared" si="6"/>
        <v>0.05398410189</v>
      </c>
      <c r="N342" s="18">
        <f t="shared" si="18"/>
        <v>0.5871486261</v>
      </c>
      <c r="T342" s="18"/>
      <c r="U342" s="18"/>
      <c r="V342" s="18"/>
      <c r="W342" s="18"/>
    </row>
    <row r="343" ht="15.75" customHeight="1">
      <c r="A343" s="8">
        <v>90502.0</v>
      </c>
      <c r="B343" s="8">
        <v>78.0</v>
      </c>
      <c r="C343" s="8">
        <v>27.77777850627899</v>
      </c>
      <c r="D343" s="8">
        <v>573.0</v>
      </c>
      <c r="E343" s="18">
        <f t="shared" si="1"/>
        <v>0.1361256545</v>
      </c>
      <c r="F343" s="18">
        <f t="shared" si="17"/>
        <v>0.3561253655</v>
      </c>
      <c r="G343" s="18">
        <f t="shared" si="3"/>
        <v>0.04847779844</v>
      </c>
      <c r="H343" s="8">
        <v>298.0</v>
      </c>
      <c r="I343" s="8">
        <v>107.6666693687439</v>
      </c>
      <c r="J343" s="8">
        <v>1868.0</v>
      </c>
      <c r="K343" s="18">
        <f t="shared" si="4"/>
        <v>0.1595289079</v>
      </c>
      <c r="L343" s="18">
        <f t="shared" si="5"/>
        <v>0.3612975482</v>
      </c>
      <c r="M343" s="18">
        <f t="shared" si="6"/>
        <v>0.0576374033</v>
      </c>
      <c r="N343" s="18">
        <f t="shared" si="18"/>
        <v>1.188944324</v>
      </c>
      <c r="T343" s="18"/>
      <c r="U343" s="18"/>
      <c r="V343" s="18"/>
      <c r="W343" s="18"/>
    </row>
    <row r="344" ht="15.75" customHeight="1">
      <c r="A344" s="8">
        <v>90503.0</v>
      </c>
      <c r="B344" s="8">
        <v>84.0</v>
      </c>
      <c r="C344" s="8">
        <v>31.111111760139465</v>
      </c>
      <c r="D344" s="8">
        <v>349.0</v>
      </c>
      <c r="E344" s="18">
        <f t="shared" si="1"/>
        <v>0.2406876791</v>
      </c>
      <c r="F344" s="18">
        <f t="shared" si="17"/>
        <v>0.3703703781</v>
      </c>
      <c r="G344" s="18">
        <f t="shared" si="3"/>
        <v>0.08914358671</v>
      </c>
      <c r="H344" s="8">
        <v>362.0</v>
      </c>
      <c r="I344" s="8">
        <v>142.444448441267</v>
      </c>
      <c r="J344" s="8">
        <v>1898.0</v>
      </c>
      <c r="K344" s="18">
        <f t="shared" si="4"/>
        <v>0.1907270811</v>
      </c>
      <c r="L344" s="18">
        <f t="shared" si="5"/>
        <v>0.3934929515</v>
      </c>
      <c r="M344" s="18">
        <f t="shared" si="6"/>
        <v>0.07504976209</v>
      </c>
      <c r="N344" s="18">
        <f t="shared" si="18"/>
        <v>0.8418974921</v>
      </c>
      <c r="T344" s="18"/>
      <c r="U344" s="18"/>
      <c r="V344" s="18"/>
      <c r="W344" s="18"/>
    </row>
    <row r="345" ht="15.75" customHeight="1">
      <c r="A345" s="17">
        <v>10.0</v>
      </c>
      <c r="B345" s="14">
        <f t="shared" ref="B345:D345" si="19">SUM(B246:B248)</f>
        <v>479</v>
      </c>
      <c r="C345" s="14">
        <f t="shared" si="19"/>
        <v>170.5555602</v>
      </c>
      <c r="D345" s="14">
        <f t="shared" si="19"/>
        <v>9192</v>
      </c>
      <c r="E345" s="18">
        <f t="shared" si="1"/>
        <v>0.0521105309</v>
      </c>
      <c r="F345" s="18">
        <f t="shared" si="17"/>
        <v>0.3560658876</v>
      </c>
      <c r="G345" s="18">
        <f t="shared" si="3"/>
        <v>0.01855478244</v>
      </c>
      <c r="H345" s="14">
        <f t="shared" ref="H345:J345" si="20">SUM(H246:H248)</f>
        <v>7137</v>
      </c>
      <c r="I345" s="14">
        <f t="shared" si="20"/>
        <v>2679.000068</v>
      </c>
      <c r="J345" s="14">
        <f t="shared" si="20"/>
        <v>143324</v>
      </c>
      <c r="K345" s="18">
        <f t="shared" si="4"/>
        <v>0.0497962658</v>
      </c>
      <c r="L345" s="18">
        <f t="shared" si="5"/>
        <v>0.3753678111</v>
      </c>
      <c r="M345" s="18">
        <f t="shared" si="6"/>
        <v>0.0186919153</v>
      </c>
      <c r="N345" s="18">
        <f t="shared" si="18"/>
        <v>1.007390702</v>
      </c>
      <c r="T345" s="18"/>
      <c r="U345" s="18"/>
      <c r="V345" s="18"/>
      <c r="W345" s="18"/>
    </row>
    <row r="346" ht="15.75" customHeight="1">
      <c r="A346" s="17">
        <v>11.0</v>
      </c>
      <c r="B346" s="14">
        <f t="shared" ref="B346:D346" si="21">SUM(B2:B344)</f>
        <v>95063</v>
      </c>
      <c r="C346" s="14">
        <f t="shared" si="21"/>
        <v>35140.77866</v>
      </c>
      <c r="D346" s="14">
        <f t="shared" si="21"/>
        <v>972405</v>
      </c>
      <c r="E346" s="18">
        <f t="shared" si="1"/>
        <v>0.0977607067</v>
      </c>
      <c r="F346" s="18">
        <f t="shared" si="17"/>
        <v>0.3696577918</v>
      </c>
      <c r="G346" s="18">
        <f t="shared" si="3"/>
        <v>0.03613800697</v>
      </c>
      <c r="H346" s="14">
        <f t="shared" ref="H346:J346" si="22">SUM(H2:H344)</f>
        <v>862368</v>
      </c>
      <c r="I346" s="14">
        <f t="shared" si="22"/>
        <v>326179.5638</v>
      </c>
      <c r="J346" s="14">
        <f t="shared" si="22"/>
        <v>9959448</v>
      </c>
      <c r="K346" s="18">
        <f t="shared" si="4"/>
        <v>0.08658793138</v>
      </c>
      <c r="L346" s="18">
        <f t="shared" si="5"/>
        <v>0.3782370911</v>
      </c>
      <c r="M346" s="18">
        <f t="shared" si="6"/>
        <v>0.03275076729</v>
      </c>
      <c r="N346" s="18">
        <f t="shared" si="18"/>
        <v>0.9062693281</v>
      </c>
      <c r="T346" s="18"/>
      <c r="U346" s="18"/>
      <c r="V346" s="18"/>
      <c r="W346" s="18"/>
    </row>
    <row r="347" ht="15.75" customHeight="1">
      <c r="E347" s="18"/>
      <c r="F347" s="18"/>
      <c r="G347" s="18"/>
      <c r="K347" s="18"/>
      <c r="L347" s="18"/>
      <c r="M347" s="18"/>
      <c r="N347" s="18"/>
      <c r="T347" s="18"/>
      <c r="U347" s="18"/>
      <c r="V347" s="18"/>
      <c r="W347" s="18"/>
    </row>
    <row r="348" ht="15.75" customHeight="1">
      <c r="E348" s="18"/>
      <c r="F348" s="18"/>
      <c r="G348" s="18"/>
      <c r="K348" s="18"/>
      <c r="L348" s="18"/>
      <c r="M348" s="18"/>
      <c r="N348" s="18"/>
      <c r="T348" s="18"/>
      <c r="U348" s="18"/>
      <c r="V348" s="18"/>
      <c r="W348" s="18"/>
    </row>
    <row r="349" ht="15.75" customHeight="1">
      <c r="E349" s="18"/>
      <c r="F349" s="18"/>
      <c r="G349" s="18"/>
      <c r="K349" s="18"/>
      <c r="L349" s="18"/>
      <c r="M349" s="18"/>
      <c r="N349" s="18"/>
      <c r="T349" s="18"/>
      <c r="U349" s="18"/>
      <c r="V349" s="18"/>
      <c r="W349" s="18"/>
    </row>
    <row r="350" ht="15.75" customHeight="1">
      <c r="E350" s="18"/>
      <c r="F350" s="18"/>
      <c r="G350" s="18"/>
      <c r="K350" s="18"/>
      <c r="L350" s="18"/>
      <c r="M350" s="18"/>
      <c r="N350" s="18"/>
      <c r="T350" s="18"/>
      <c r="U350" s="18"/>
      <c r="V350" s="18"/>
      <c r="W350" s="18"/>
    </row>
    <row r="351" ht="15.75" customHeight="1">
      <c r="E351" s="18"/>
      <c r="F351" s="18"/>
      <c r="G351" s="18"/>
      <c r="K351" s="18"/>
      <c r="L351" s="18"/>
      <c r="M351" s="18"/>
      <c r="N351" s="18"/>
      <c r="T351" s="18"/>
      <c r="U351" s="18"/>
      <c r="V351" s="18"/>
      <c r="W351" s="18"/>
    </row>
    <row r="352" ht="15.75" customHeight="1">
      <c r="E352" s="18"/>
      <c r="F352" s="18"/>
      <c r="G352" s="18"/>
      <c r="K352" s="18"/>
      <c r="L352" s="18"/>
      <c r="M352" s="18"/>
      <c r="N352" s="18"/>
      <c r="T352" s="18"/>
      <c r="U352" s="18"/>
      <c r="V352" s="18"/>
      <c r="W352" s="18"/>
    </row>
    <row r="353" ht="15.75" customHeight="1">
      <c r="E353" s="18"/>
      <c r="F353" s="18"/>
      <c r="G353" s="18"/>
      <c r="K353" s="18"/>
      <c r="L353" s="18"/>
      <c r="M353" s="18"/>
      <c r="N353" s="18"/>
      <c r="T353" s="18"/>
      <c r="U353" s="18"/>
      <c r="V353" s="18"/>
      <c r="W353" s="18"/>
    </row>
    <row r="354" ht="15.75" customHeight="1">
      <c r="E354" s="18"/>
      <c r="F354" s="18"/>
      <c r="G354" s="18"/>
      <c r="K354" s="18"/>
      <c r="L354" s="18"/>
      <c r="M354" s="18"/>
      <c r="N354" s="18"/>
      <c r="T354" s="18"/>
      <c r="U354" s="18"/>
      <c r="V354" s="18"/>
      <c r="W354" s="18"/>
    </row>
    <row r="355" ht="15.75" customHeight="1">
      <c r="E355" s="18"/>
      <c r="F355" s="18"/>
      <c r="G355" s="18"/>
      <c r="K355" s="18"/>
      <c r="L355" s="18"/>
      <c r="M355" s="18"/>
      <c r="N355" s="18"/>
      <c r="T355" s="18"/>
      <c r="U355" s="18"/>
      <c r="V355" s="18"/>
      <c r="W355" s="18"/>
    </row>
    <row r="356" ht="15.75" customHeight="1">
      <c r="E356" s="18"/>
      <c r="F356" s="18"/>
      <c r="G356" s="18"/>
      <c r="K356" s="18"/>
      <c r="L356" s="18"/>
      <c r="M356" s="18"/>
      <c r="N356" s="18"/>
      <c r="T356" s="18"/>
      <c r="U356" s="18"/>
      <c r="V356" s="18"/>
      <c r="W356" s="18"/>
    </row>
    <row r="357" ht="15.75" customHeight="1">
      <c r="E357" s="18"/>
      <c r="F357" s="18"/>
      <c r="G357" s="18"/>
      <c r="K357" s="18"/>
      <c r="L357" s="18"/>
      <c r="M357" s="18"/>
      <c r="N357" s="18"/>
      <c r="T357" s="18"/>
      <c r="U357" s="18"/>
      <c r="V357" s="18"/>
      <c r="W357" s="18"/>
    </row>
    <row r="358" ht="15.75" customHeight="1">
      <c r="E358" s="18"/>
      <c r="F358" s="18"/>
      <c r="G358" s="18"/>
      <c r="K358" s="18"/>
      <c r="L358" s="18"/>
      <c r="M358" s="18"/>
      <c r="N358" s="18"/>
      <c r="T358" s="18"/>
      <c r="U358" s="18"/>
      <c r="V358" s="18"/>
      <c r="W358" s="18"/>
    </row>
    <row r="359" ht="15.75" customHeight="1">
      <c r="E359" s="18"/>
      <c r="F359" s="18"/>
      <c r="G359" s="18"/>
      <c r="K359" s="18"/>
      <c r="L359" s="18"/>
      <c r="M359" s="18"/>
      <c r="N359" s="18"/>
      <c r="T359" s="18"/>
      <c r="U359" s="18"/>
      <c r="V359" s="18"/>
      <c r="W359" s="18"/>
    </row>
    <row r="360" ht="15.75" customHeight="1">
      <c r="E360" s="18"/>
      <c r="F360" s="18"/>
      <c r="G360" s="18"/>
      <c r="K360" s="18"/>
      <c r="L360" s="18"/>
      <c r="M360" s="18"/>
      <c r="N360" s="18"/>
      <c r="T360" s="18"/>
      <c r="U360" s="18"/>
      <c r="V360" s="18"/>
      <c r="W360" s="18"/>
    </row>
    <row r="361" ht="15.75" customHeight="1">
      <c r="E361" s="18"/>
      <c r="F361" s="18"/>
      <c r="G361" s="18"/>
      <c r="K361" s="18"/>
      <c r="L361" s="18"/>
      <c r="M361" s="18"/>
      <c r="N361" s="18"/>
      <c r="T361" s="18"/>
      <c r="U361" s="18"/>
      <c r="V361" s="18"/>
      <c r="W361" s="18"/>
    </row>
    <row r="362" ht="15.75" customHeight="1">
      <c r="E362" s="18"/>
      <c r="F362" s="18"/>
      <c r="G362" s="18"/>
      <c r="K362" s="18"/>
      <c r="L362" s="18"/>
      <c r="M362" s="18"/>
      <c r="N362" s="18"/>
      <c r="T362" s="18"/>
      <c r="U362" s="18"/>
      <c r="V362" s="18"/>
      <c r="W362" s="18"/>
    </row>
    <row r="363" ht="15.75" customHeight="1">
      <c r="E363" s="18"/>
      <c r="F363" s="18"/>
      <c r="G363" s="18"/>
      <c r="K363" s="18"/>
      <c r="L363" s="18"/>
      <c r="M363" s="18"/>
      <c r="N363" s="18"/>
      <c r="T363" s="18"/>
      <c r="U363" s="18"/>
      <c r="V363" s="18"/>
      <c r="W363" s="18"/>
    </row>
    <row r="364" ht="15.75" customHeight="1">
      <c r="E364" s="18"/>
      <c r="F364" s="18"/>
      <c r="G364" s="18"/>
      <c r="K364" s="18"/>
      <c r="L364" s="18"/>
      <c r="M364" s="18"/>
      <c r="N364" s="18"/>
      <c r="T364" s="18"/>
      <c r="U364" s="18"/>
      <c r="V364" s="18"/>
      <c r="W364" s="18"/>
    </row>
    <row r="365" ht="15.75" customHeight="1">
      <c r="E365" s="18"/>
      <c r="F365" s="18"/>
      <c r="G365" s="18"/>
      <c r="K365" s="18"/>
      <c r="L365" s="18"/>
      <c r="M365" s="18"/>
      <c r="N365" s="18"/>
      <c r="T365" s="18"/>
      <c r="U365" s="18"/>
      <c r="V365" s="18"/>
      <c r="W365" s="18"/>
    </row>
    <row r="366" ht="15.75" customHeight="1">
      <c r="E366" s="18"/>
      <c r="F366" s="18"/>
      <c r="G366" s="18"/>
      <c r="K366" s="18"/>
      <c r="L366" s="18"/>
      <c r="M366" s="18"/>
      <c r="N366" s="18"/>
      <c r="T366" s="18"/>
      <c r="U366" s="18"/>
      <c r="V366" s="18"/>
      <c r="W366" s="18"/>
    </row>
    <row r="367" ht="15.75" customHeight="1">
      <c r="E367" s="18"/>
      <c r="F367" s="18"/>
      <c r="G367" s="18"/>
      <c r="K367" s="18"/>
      <c r="L367" s="18"/>
      <c r="M367" s="18"/>
      <c r="N367" s="18"/>
      <c r="T367" s="18"/>
      <c r="U367" s="18"/>
      <c r="V367" s="18"/>
      <c r="W367" s="18"/>
    </row>
    <row r="368" ht="15.75" customHeight="1">
      <c r="E368" s="18"/>
      <c r="F368" s="18"/>
      <c r="G368" s="18"/>
      <c r="K368" s="18"/>
      <c r="L368" s="18"/>
      <c r="M368" s="18"/>
      <c r="N368" s="18"/>
      <c r="T368" s="18"/>
      <c r="U368" s="18"/>
      <c r="V368" s="18"/>
      <c r="W368" s="18"/>
    </row>
    <row r="369" ht="15.75" customHeight="1">
      <c r="E369" s="18"/>
      <c r="F369" s="18"/>
      <c r="G369" s="18"/>
      <c r="K369" s="18"/>
      <c r="L369" s="18"/>
      <c r="M369" s="18"/>
      <c r="N369" s="18"/>
      <c r="T369" s="18"/>
      <c r="U369" s="18"/>
      <c r="V369" s="18"/>
      <c r="W369" s="18"/>
    </row>
    <row r="370" ht="15.75" customHeight="1">
      <c r="E370" s="18"/>
      <c r="F370" s="18"/>
      <c r="G370" s="18"/>
      <c r="K370" s="18"/>
      <c r="L370" s="18"/>
      <c r="M370" s="18"/>
      <c r="N370" s="18"/>
      <c r="T370" s="18"/>
      <c r="U370" s="18"/>
      <c r="V370" s="18"/>
      <c r="W370" s="18"/>
    </row>
    <row r="371" ht="15.75" customHeight="1">
      <c r="E371" s="18"/>
      <c r="F371" s="18"/>
      <c r="G371" s="18"/>
      <c r="K371" s="18"/>
      <c r="L371" s="18"/>
      <c r="M371" s="18"/>
      <c r="N371" s="18"/>
      <c r="T371" s="18"/>
      <c r="U371" s="18"/>
      <c r="V371" s="18"/>
      <c r="W371" s="18"/>
    </row>
    <row r="372" ht="15.75" customHeight="1">
      <c r="E372" s="18"/>
      <c r="F372" s="18"/>
      <c r="G372" s="18"/>
      <c r="K372" s="18"/>
      <c r="L372" s="18"/>
      <c r="M372" s="18"/>
      <c r="N372" s="18"/>
      <c r="T372" s="18"/>
      <c r="U372" s="18"/>
      <c r="V372" s="18"/>
      <c r="W372" s="18"/>
    </row>
    <row r="373" ht="15.75" customHeight="1">
      <c r="E373" s="18"/>
      <c r="F373" s="18"/>
      <c r="G373" s="18"/>
      <c r="K373" s="18"/>
      <c r="L373" s="18"/>
      <c r="M373" s="18"/>
      <c r="N373" s="18"/>
      <c r="T373" s="18"/>
      <c r="U373" s="18"/>
      <c r="V373" s="18"/>
      <c r="W373" s="18"/>
    </row>
    <row r="374" ht="15.75" customHeight="1">
      <c r="E374" s="18"/>
      <c r="F374" s="18"/>
      <c r="G374" s="18"/>
      <c r="K374" s="18"/>
      <c r="L374" s="18"/>
      <c r="M374" s="18"/>
      <c r="N374" s="18"/>
      <c r="T374" s="18"/>
      <c r="U374" s="18"/>
      <c r="V374" s="18"/>
      <c r="W374" s="18"/>
    </row>
    <row r="375" ht="15.75" customHeight="1">
      <c r="E375" s="18"/>
      <c r="F375" s="18"/>
      <c r="G375" s="18"/>
      <c r="K375" s="18"/>
      <c r="L375" s="18"/>
      <c r="M375" s="18"/>
      <c r="N375" s="18"/>
      <c r="T375" s="18"/>
      <c r="U375" s="18"/>
      <c r="V375" s="18"/>
      <c r="W375" s="18"/>
    </row>
    <row r="376" ht="15.75" customHeight="1">
      <c r="E376" s="18"/>
      <c r="F376" s="18"/>
      <c r="G376" s="18"/>
      <c r="K376" s="18"/>
      <c r="L376" s="18"/>
      <c r="M376" s="18"/>
      <c r="N376" s="18"/>
      <c r="T376" s="18"/>
      <c r="U376" s="18"/>
      <c r="V376" s="18"/>
      <c r="W376" s="18"/>
    </row>
    <row r="377" ht="15.75" customHeight="1">
      <c r="E377" s="18"/>
      <c r="F377" s="18"/>
      <c r="G377" s="18"/>
      <c r="K377" s="18"/>
      <c r="L377" s="18"/>
      <c r="M377" s="18"/>
      <c r="N377" s="18"/>
      <c r="T377" s="18"/>
      <c r="U377" s="18"/>
      <c r="V377" s="18"/>
      <c r="W377" s="18"/>
    </row>
    <row r="378" ht="15.75" customHeight="1">
      <c r="E378" s="18"/>
      <c r="F378" s="18"/>
      <c r="G378" s="18"/>
      <c r="K378" s="18"/>
      <c r="L378" s="18"/>
      <c r="M378" s="18"/>
      <c r="N378" s="18"/>
      <c r="T378" s="18"/>
      <c r="U378" s="18"/>
      <c r="V378" s="18"/>
      <c r="W378" s="18"/>
    </row>
    <row r="379" ht="15.75" customHeight="1">
      <c r="E379" s="18"/>
      <c r="F379" s="18"/>
      <c r="G379" s="18"/>
      <c r="K379" s="18"/>
      <c r="L379" s="18"/>
      <c r="M379" s="18"/>
      <c r="N379" s="18"/>
      <c r="T379" s="18"/>
      <c r="U379" s="18"/>
      <c r="V379" s="18"/>
      <c r="W379" s="18"/>
    </row>
    <row r="380" ht="15.75" customHeight="1">
      <c r="E380" s="18"/>
      <c r="F380" s="18"/>
      <c r="G380" s="18"/>
      <c r="K380" s="18"/>
      <c r="L380" s="18"/>
      <c r="M380" s="18"/>
      <c r="N380" s="18"/>
      <c r="T380" s="18"/>
      <c r="U380" s="18"/>
      <c r="V380" s="18"/>
      <c r="W380" s="18"/>
    </row>
    <row r="381" ht="15.75" customHeight="1">
      <c r="E381" s="18"/>
      <c r="F381" s="18"/>
      <c r="G381" s="18"/>
      <c r="K381" s="18"/>
      <c r="L381" s="18"/>
      <c r="M381" s="18"/>
      <c r="N381" s="18"/>
      <c r="T381" s="18"/>
      <c r="U381" s="18"/>
      <c r="V381" s="18"/>
      <c r="W381" s="18"/>
    </row>
    <row r="382" ht="15.75" customHeight="1">
      <c r="E382" s="18"/>
      <c r="F382" s="18"/>
      <c r="G382" s="18"/>
      <c r="K382" s="18"/>
      <c r="L382" s="18"/>
      <c r="M382" s="18"/>
      <c r="N382" s="18"/>
      <c r="T382" s="18"/>
      <c r="U382" s="18"/>
      <c r="V382" s="18"/>
      <c r="W382" s="18"/>
    </row>
    <row r="383" ht="15.75" customHeight="1">
      <c r="E383" s="18"/>
      <c r="F383" s="18"/>
      <c r="G383" s="18"/>
      <c r="K383" s="18"/>
      <c r="L383" s="18"/>
      <c r="M383" s="18"/>
      <c r="N383" s="18"/>
      <c r="T383" s="18"/>
      <c r="U383" s="18"/>
      <c r="V383" s="18"/>
      <c r="W383" s="18"/>
    </row>
    <row r="384" ht="15.75" customHeight="1">
      <c r="E384" s="18"/>
      <c r="F384" s="18"/>
      <c r="G384" s="18"/>
      <c r="K384" s="18"/>
      <c r="L384" s="18"/>
      <c r="M384" s="18"/>
      <c r="N384" s="18"/>
      <c r="T384" s="18"/>
      <c r="U384" s="18"/>
      <c r="V384" s="18"/>
      <c r="W384" s="18"/>
    </row>
    <row r="385" ht="15.75" customHeight="1">
      <c r="E385" s="18"/>
      <c r="F385" s="18"/>
      <c r="G385" s="18"/>
      <c r="K385" s="18"/>
      <c r="L385" s="18"/>
      <c r="M385" s="18"/>
      <c r="N385" s="18"/>
      <c r="T385" s="18"/>
      <c r="U385" s="18"/>
      <c r="V385" s="18"/>
      <c r="W385" s="18"/>
    </row>
    <row r="386" ht="15.75" customHeight="1">
      <c r="E386" s="18"/>
      <c r="F386" s="18"/>
      <c r="G386" s="18"/>
      <c r="K386" s="18"/>
      <c r="L386" s="18"/>
      <c r="M386" s="18"/>
      <c r="N386" s="18"/>
      <c r="T386" s="18"/>
      <c r="U386" s="18"/>
      <c r="V386" s="18"/>
      <c r="W386" s="18"/>
    </row>
    <row r="387" ht="15.75" customHeight="1">
      <c r="E387" s="18"/>
      <c r="F387" s="18"/>
      <c r="G387" s="18"/>
      <c r="K387" s="18"/>
      <c r="L387" s="18"/>
      <c r="M387" s="18"/>
      <c r="N387" s="18"/>
      <c r="T387" s="18"/>
      <c r="U387" s="18"/>
      <c r="V387" s="18"/>
      <c r="W387" s="18"/>
    </row>
    <row r="388" ht="15.75" customHeight="1">
      <c r="E388" s="18"/>
      <c r="F388" s="18"/>
      <c r="G388" s="18"/>
      <c r="K388" s="18"/>
      <c r="L388" s="18"/>
      <c r="M388" s="18"/>
      <c r="N388" s="18"/>
      <c r="T388" s="18"/>
      <c r="U388" s="18"/>
      <c r="V388" s="18"/>
      <c r="W388" s="18"/>
    </row>
    <row r="389" ht="15.75" customHeight="1">
      <c r="E389" s="18"/>
      <c r="F389" s="18"/>
      <c r="G389" s="18"/>
      <c r="K389" s="18"/>
      <c r="L389" s="18"/>
      <c r="M389" s="18"/>
      <c r="N389" s="18"/>
      <c r="T389" s="18"/>
      <c r="U389" s="18"/>
      <c r="V389" s="18"/>
      <c r="W389" s="18"/>
    </row>
    <row r="390" ht="15.75" customHeight="1">
      <c r="E390" s="18"/>
      <c r="F390" s="18"/>
      <c r="G390" s="18"/>
      <c r="K390" s="18"/>
      <c r="L390" s="18"/>
      <c r="M390" s="18"/>
      <c r="N390" s="18"/>
      <c r="T390" s="18"/>
      <c r="U390" s="18"/>
      <c r="V390" s="18"/>
      <c r="W390" s="18"/>
    </row>
    <row r="391" ht="15.75" customHeight="1">
      <c r="E391" s="18"/>
      <c r="F391" s="18"/>
      <c r="G391" s="18"/>
      <c r="K391" s="18"/>
      <c r="L391" s="18"/>
      <c r="M391" s="18"/>
      <c r="N391" s="18"/>
      <c r="T391" s="18"/>
      <c r="U391" s="18"/>
      <c r="V391" s="18"/>
      <c r="W391" s="18"/>
    </row>
    <row r="392" ht="15.75" customHeight="1">
      <c r="E392" s="18"/>
      <c r="F392" s="18"/>
      <c r="G392" s="18"/>
      <c r="K392" s="18"/>
      <c r="L392" s="18"/>
      <c r="M392" s="18"/>
      <c r="N392" s="18"/>
      <c r="T392" s="18"/>
      <c r="U392" s="18"/>
      <c r="V392" s="18"/>
      <c r="W392" s="18"/>
    </row>
    <row r="393" ht="15.75" customHeight="1">
      <c r="E393" s="18"/>
      <c r="F393" s="18"/>
      <c r="G393" s="18"/>
      <c r="K393" s="18"/>
      <c r="L393" s="18"/>
      <c r="M393" s="18"/>
      <c r="N393" s="18"/>
      <c r="T393" s="18"/>
      <c r="U393" s="18"/>
      <c r="V393" s="18"/>
      <c r="W393" s="18"/>
    </row>
    <row r="394" ht="15.75" customHeight="1">
      <c r="E394" s="18"/>
      <c r="F394" s="18"/>
      <c r="G394" s="18"/>
      <c r="K394" s="18"/>
      <c r="L394" s="18"/>
      <c r="M394" s="18"/>
      <c r="N394" s="18"/>
      <c r="T394" s="18"/>
      <c r="U394" s="18"/>
      <c r="V394" s="18"/>
      <c r="W394" s="18"/>
    </row>
    <row r="395" ht="15.75" customHeight="1">
      <c r="E395" s="18"/>
      <c r="F395" s="18"/>
      <c r="G395" s="18"/>
      <c r="K395" s="18"/>
      <c r="L395" s="18"/>
      <c r="M395" s="18"/>
      <c r="N395" s="18"/>
      <c r="T395" s="18"/>
      <c r="U395" s="18"/>
      <c r="V395" s="18"/>
      <c r="W395" s="18"/>
    </row>
    <row r="396" ht="15.75" customHeight="1">
      <c r="E396" s="18"/>
      <c r="F396" s="18"/>
      <c r="G396" s="18"/>
      <c r="K396" s="18"/>
      <c r="L396" s="18"/>
      <c r="M396" s="18"/>
      <c r="N396" s="18"/>
      <c r="T396" s="18"/>
      <c r="U396" s="18"/>
      <c r="V396" s="18"/>
      <c r="W396" s="18"/>
    </row>
    <row r="397" ht="15.75" customHeight="1">
      <c r="E397" s="18"/>
      <c r="F397" s="18"/>
      <c r="G397" s="18"/>
      <c r="K397" s="18"/>
      <c r="L397" s="18"/>
      <c r="M397" s="18"/>
      <c r="N397" s="18"/>
      <c r="T397" s="18"/>
      <c r="U397" s="18"/>
      <c r="V397" s="18"/>
      <c r="W397" s="18"/>
    </row>
    <row r="398" ht="15.75" customHeight="1">
      <c r="E398" s="18"/>
      <c r="F398" s="18"/>
      <c r="G398" s="18"/>
      <c r="K398" s="18"/>
      <c r="L398" s="18"/>
      <c r="M398" s="18"/>
      <c r="N398" s="18"/>
      <c r="T398" s="18"/>
      <c r="U398" s="18"/>
      <c r="V398" s="18"/>
      <c r="W398" s="18"/>
    </row>
    <row r="399" ht="15.75" customHeight="1">
      <c r="E399" s="18"/>
      <c r="F399" s="18"/>
      <c r="G399" s="18"/>
      <c r="K399" s="18"/>
      <c r="L399" s="18"/>
      <c r="M399" s="18"/>
      <c r="N399" s="18"/>
      <c r="T399" s="18"/>
      <c r="U399" s="18"/>
      <c r="V399" s="18"/>
      <c r="W399" s="18"/>
    </row>
    <row r="400" ht="15.75" customHeight="1">
      <c r="E400" s="18"/>
      <c r="F400" s="18"/>
      <c r="G400" s="18"/>
      <c r="K400" s="18"/>
      <c r="L400" s="18"/>
      <c r="M400" s="18"/>
      <c r="N400" s="18"/>
      <c r="T400" s="18"/>
      <c r="U400" s="18"/>
      <c r="V400" s="18"/>
      <c r="W400" s="18"/>
    </row>
    <row r="401" ht="15.75" customHeight="1">
      <c r="E401" s="18"/>
      <c r="F401" s="18"/>
      <c r="G401" s="18"/>
      <c r="K401" s="18"/>
      <c r="L401" s="18"/>
      <c r="M401" s="18"/>
      <c r="N401" s="18"/>
      <c r="T401" s="18"/>
      <c r="U401" s="18"/>
      <c r="V401" s="18"/>
      <c r="W401" s="18"/>
    </row>
    <row r="402" ht="15.75" customHeight="1">
      <c r="E402" s="18"/>
      <c r="F402" s="18"/>
      <c r="G402" s="18"/>
      <c r="K402" s="18"/>
      <c r="L402" s="18"/>
      <c r="M402" s="18"/>
      <c r="N402" s="18"/>
      <c r="T402" s="18"/>
      <c r="U402" s="18"/>
      <c r="V402" s="18"/>
      <c r="W402" s="18"/>
    </row>
    <row r="403" ht="15.75" customHeight="1">
      <c r="E403" s="18"/>
      <c r="F403" s="18"/>
      <c r="G403" s="18"/>
      <c r="K403" s="18"/>
      <c r="L403" s="18"/>
      <c r="M403" s="18"/>
      <c r="N403" s="18"/>
      <c r="T403" s="18"/>
      <c r="U403" s="18"/>
      <c r="V403" s="18"/>
      <c r="W403" s="18"/>
    </row>
    <row r="404" ht="15.75" customHeight="1">
      <c r="E404" s="18"/>
      <c r="F404" s="18"/>
      <c r="G404" s="18"/>
      <c r="K404" s="18"/>
      <c r="L404" s="18"/>
      <c r="M404" s="18"/>
      <c r="N404" s="18"/>
      <c r="T404" s="18"/>
      <c r="U404" s="18"/>
      <c r="V404" s="18"/>
      <c r="W404" s="18"/>
    </row>
    <row r="405" ht="15.75" customHeight="1">
      <c r="E405" s="18"/>
      <c r="F405" s="18"/>
      <c r="G405" s="18"/>
      <c r="K405" s="18"/>
      <c r="L405" s="18"/>
      <c r="M405" s="18"/>
      <c r="N405" s="18"/>
      <c r="T405" s="18"/>
      <c r="U405" s="18"/>
      <c r="V405" s="18"/>
      <c r="W405" s="18"/>
    </row>
    <row r="406" ht="15.75" customHeight="1">
      <c r="E406" s="18"/>
      <c r="F406" s="18"/>
      <c r="G406" s="18"/>
      <c r="K406" s="18"/>
      <c r="L406" s="18"/>
      <c r="M406" s="18"/>
      <c r="N406" s="18"/>
      <c r="T406" s="18"/>
      <c r="U406" s="18"/>
      <c r="V406" s="18"/>
      <c r="W406" s="18"/>
    </row>
    <row r="407" ht="15.75" customHeight="1">
      <c r="E407" s="18"/>
      <c r="F407" s="18"/>
      <c r="G407" s="18"/>
      <c r="K407" s="18"/>
      <c r="L407" s="18"/>
      <c r="M407" s="18"/>
      <c r="N407" s="18"/>
      <c r="T407" s="18"/>
      <c r="U407" s="18"/>
      <c r="V407" s="18"/>
      <c r="W407" s="18"/>
    </row>
    <row r="408" ht="15.75" customHeight="1">
      <c r="E408" s="18"/>
      <c r="F408" s="18"/>
      <c r="G408" s="18"/>
      <c r="K408" s="18"/>
      <c r="L408" s="18"/>
      <c r="M408" s="18"/>
      <c r="N408" s="18"/>
      <c r="T408" s="18"/>
      <c r="U408" s="18"/>
      <c r="V408" s="18"/>
      <c r="W408" s="18"/>
    </row>
    <row r="409" ht="15.75" customHeight="1">
      <c r="E409" s="18"/>
      <c r="F409" s="18"/>
      <c r="G409" s="18"/>
      <c r="K409" s="18"/>
      <c r="L409" s="18"/>
      <c r="M409" s="18"/>
      <c r="N409" s="18"/>
      <c r="T409" s="18"/>
      <c r="U409" s="18"/>
      <c r="V409" s="18"/>
      <c r="W409" s="18"/>
    </row>
    <row r="410" ht="15.75" customHeight="1">
      <c r="E410" s="18"/>
      <c r="F410" s="18"/>
      <c r="G410" s="18"/>
      <c r="K410" s="18"/>
      <c r="L410" s="18"/>
      <c r="M410" s="18"/>
      <c r="N410" s="18"/>
      <c r="T410" s="18"/>
      <c r="U410" s="18"/>
      <c r="V410" s="18"/>
      <c r="W410" s="18"/>
    </row>
    <row r="411" ht="15.75" customHeight="1">
      <c r="E411" s="18"/>
      <c r="F411" s="18"/>
      <c r="G411" s="18"/>
      <c r="K411" s="18"/>
      <c r="L411" s="18"/>
      <c r="M411" s="18"/>
      <c r="N411" s="18"/>
      <c r="T411" s="18"/>
      <c r="U411" s="18"/>
      <c r="V411" s="18"/>
      <c r="W411" s="18"/>
    </row>
    <row r="412" ht="15.75" customHeight="1">
      <c r="E412" s="18"/>
      <c r="F412" s="18"/>
      <c r="G412" s="18"/>
      <c r="K412" s="18"/>
      <c r="L412" s="18"/>
      <c r="M412" s="18"/>
      <c r="N412" s="18"/>
      <c r="T412" s="18"/>
      <c r="U412" s="18"/>
      <c r="V412" s="18"/>
      <c r="W412" s="18"/>
    </row>
    <row r="413" ht="15.75" customHeight="1">
      <c r="E413" s="18"/>
      <c r="F413" s="18"/>
      <c r="G413" s="18"/>
      <c r="K413" s="18"/>
      <c r="L413" s="18"/>
      <c r="M413" s="18"/>
      <c r="N413" s="18"/>
      <c r="T413" s="18"/>
      <c r="U413" s="18"/>
      <c r="V413" s="18"/>
      <c r="W413" s="18"/>
    </row>
    <row r="414" ht="15.75" customHeight="1">
      <c r="E414" s="18"/>
      <c r="F414" s="18"/>
      <c r="G414" s="18"/>
      <c r="K414" s="18"/>
      <c r="L414" s="18"/>
      <c r="M414" s="18"/>
      <c r="N414" s="18"/>
      <c r="T414" s="18"/>
      <c r="U414" s="18"/>
      <c r="V414" s="18"/>
      <c r="W414" s="18"/>
    </row>
    <row r="415" ht="15.75" customHeight="1">
      <c r="E415" s="18"/>
      <c r="F415" s="18"/>
      <c r="G415" s="18"/>
      <c r="K415" s="18"/>
      <c r="L415" s="18"/>
      <c r="M415" s="18"/>
      <c r="N415" s="18"/>
      <c r="T415" s="18"/>
      <c r="U415" s="18"/>
      <c r="V415" s="18"/>
      <c r="W415" s="18"/>
    </row>
    <row r="416" ht="15.75" customHeight="1">
      <c r="E416" s="18"/>
      <c r="F416" s="18"/>
      <c r="G416" s="18"/>
      <c r="K416" s="18"/>
      <c r="L416" s="18"/>
      <c r="M416" s="18"/>
      <c r="N416" s="18"/>
      <c r="T416" s="18"/>
      <c r="U416" s="18"/>
      <c r="V416" s="18"/>
      <c r="W416" s="18"/>
    </row>
    <row r="417" ht="15.75" customHeight="1">
      <c r="E417" s="18"/>
      <c r="F417" s="18"/>
      <c r="G417" s="18"/>
      <c r="K417" s="18"/>
      <c r="L417" s="18"/>
      <c r="M417" s="18"/>
      <c r="N417" s="18"/>
      <c r="T417" s="18"/>
      <c r="U417" s="18"/>
      <c r="V417" s="18"/>
      <c r="W417" s="18"/>
    </row>
    <row r="418" ht="15.75" customHeight="1">
      <c r="E418" s="18"/>
      <c r="F418" s="18"/>
      <c r="G418" s="18"/>
      <c r="K418" s="18"/>
      <c r="L418" s="18"/>
      <c r="M418" s="18"/>
      <c r="N418" s="18"/>
      <c r="T418" s="18"/>
      <c r="U418" s="18"/>
      <c r="V418" s="18"/>
      <c r="W418" s="18"/>
    </row>
    <row r="419" ht="15.75" customHeight="1">
      <c r="E419" s="18"/>
      <c r="F419" s="18"/>
      <c r="G419" s="18"/>
      <c r="K419" s="18"/>
      <c r="L419" s="18"/>
      <c r="M419" s="18"/>
      <c r="N419" s="18"/>
      <c r="T419" s="18"/>
      <c r="U419" s="18"/>
      <c r="V419" s="18"/>
      <c r="W419" s="18"/>
    </row>
    <row r="420" ht="15.75" customHeight="1">
      <c r="E420" s="18"/>
      <c r="F420" s="18"/>
      <c r="G420" s="18"/>
      <c r="K420" s="18"/>
      <c r="L420" s="18"/>
      <c r="M420" s="18"/>
      <c r="N420" s="18"/>
      <c r="T420" s="18"/>
      <c r="U420" s="18"/>
      <c r="V420" s="18"/>
      <c r="W420" s="18"/>
    </row>
    <row r="421" ht="15.75" customHeight="1">
      <c r="E421" s="18"/>
      <c r="F421" s="18"/>
      <c r="G421" s="18"/>
      <c r="K421" s="18"/>
      <c r="L421" s="18"/>
      <c r="M421" s="18"/>
      <c r="N421" s="18"/>
      <c r="T421" s="18"/>
      <c r="U421" s="18"/>
      <c r="V421" s="18"/>
      <c r="W421" s="18"/>
    </row>
    <row r="422" ht="15.75" customHeight="1">
      <c r="E422" s="18"/>
      <c r="F422" s="18"/>
      <c r="G422" s="18"/>
      <c r="K422" s="18"/>
      <c r="L422" s="18"/>
      <c r="M422" s="18"/>
      <c r="N422" s="18"/>
      <c r="T422" s="18"/>
      <c r="U422" s="18"/>
      <c r="V422" s="18"/>
      <c r="W422" s="18"/>
    </row>
    <row r="423" ht="15.75" customHeight="1">
      <c r="E423" s="18"/>
      <c r="F423" s="18"/>
      <c r="G423" s="18"/>
      <c r="K423" s="18"/>
      <c r="L423" s="18"/>
      <c r="M423" s="18"/>
      <c r="N423" s="18"/>
      <c r="T423" s="18"/>
      <c r="U423" s="18"/>
      <c r="V423" s="18"/>
      <c r="W423" s="18"/>
    </row>
    <row r="424" ht="15.75" customHeight="1">
      <c r="E424" s="18"/>
      <c r="F424" s="18"/>
      <c r="G424" s="18"/>
      <c r="K424" s="18"/>
      <c r="L424" s="18"/>
      <c r="M424" s="18"/>
      <c r="N424" s="18"/>
      <c r="T424" s="18"/>
      <c r="U424" s="18"/>
      <c r="V424" s="18"/>
      <c r="W424" s="18"/>
    </row>
    <row r="425" ht="15.75" customHeight="1">
      <c r="E425" s="18"/>
      <c r="F425" s="18"/>
      <c r="G425" s="18"/>
      <c r="K425" s="18"/>
      <c r="L425" s="18"/>
      <c r="M425" s="18"/>
      <c r="N425" s="18"/>
      <c r="T425" s="18"/>
      <c r="U425" s="18"/>
      <c r="V425" s="18"/>
      <c r="W425" s="18"/>
    </row>
    <row r="426" ht="15.75" customHeight="1">
      <c r="E426" s="18"/>
      <c r="F426" s="18"/>
      <c r="G426" s="18"/>
      <c r="K426" s="18"/>
      <c r="L426" s="18"/>
      <c r="M426" s="18"/>
      <c r="N426" s="18"/>
      <c r="T426" s="18"/>
      <c r="U426" s="18"/>
      <c r="V426" s="18"/>
      <c r="W426" s="18"/>
    </row>
    <row r="427" ht="15.75" customHeight="1">
      <c r="E427" s="18"/>
      <c r="F427" s="18"/>
      <c r="G427" s="18"/>
      <c r="K427" s="18"/>
      <c r="L427" s="18"/>
      <c r="M427" s="18"/>
      <c r="N427" s="18"/>
      <c r="T427" s="18"/>
      <c r="U427" s="18"/>
      <c r="V427" s="18"/>
      <c r="W427" s="18"/>
    </row>
    <row r="428" ht="15.75" customHeight="1">
      <c r="E428" s="18"/>
      <c r="F428" s="18"/>
      <c r="G428" s="18"/>
      <c r="K428" s="18"/>
      <c r="L428" s="18"/>
      <c r="M428" s="18"/>
      <c r="N428" s="18"/>
      <c r="T428" s="18"/>
      <c r="U428" s="18"/>
      <c r="V428" s="18"/>
      <c r="W428" s="18"/>
    </row>
    <row r="429" ht="15.75" customHeight="1">
      <c r="E429" s="18"/>
      <c r="F429" s="18"/>
      <c r="G429" s="18"/>
      <c r="K429" s="18"/>
      <c r="L429" s="18"/>
      <c r="M429" s="18"/>
      <c r="N429" s="18"/>
      <c r="T429" s="18"/>
      <c r="U429" s="18"/>
      <c r="V429" s="18"/>
      <c r="W429" s="18"/>
    </row>
    <row r="430" ht="15.75" customHeight="1">
      <c r="E430" s="18"/>
      <c r="F430" s="18"/>
      <c r="G430" s="18"/>
      <c r="K430" s="18"/>
      <c r="L430" s="18"/>
      <c r="M430" s="18"/>
      <c r="N430" s="18"/>
      <c r="T430" s="18"/>
      <c r="U430" s="18"/>
      <c r="V430" s="18"/>
      <c r="W430" s="18"/>
    </row>
    <row r="431" ht="15.75" customHeight="1">
      <c r="E431" s="18"/>
      <c r="F431" s="18"/>
      <c r="G431" s="18"/>
      <c r="K431" s="18"/>
      <c r="L431" s="18"/>
      <c r="M431" s="18"/>
      <c r="N431" s="18"/>
      <c r="T431" s="18"/>
      <c r="U431" s="18"/>
      <c r="V431" s="18"/>
      <c r="W431" s="18"/>
    </row>
    <row r="432" ht="15.75" customHeight="1">
      <c r="E432" s="18"/>
      <c r="F432" s="18"/>
      <c r="G432" s="18"/>
      <c r="K432" s="18"/>
      <c r="L432" s="18"/>
      <c r="M432" s="18"/>
      <c r="N432" s="18"/>
      <c r="T432" s="18"/>
      <c r="U432" s="18"/>
      <c r="V432" s="18"/>
      <c r="W432" s="18"/>
    </row>
    <row r="433" ht="15.75" customHeight="1">
      <c r="E433" s="18"/>
      <c r="F433" s="18"/>
      <c r="G433" s="18"/>
      <c r="K433" s="18"/>
      <c r="L433" s="18"/>
      <c r="M433" s="18"/>
      <c r="N433" s="18"/>
      <c r="T433" s="18"/>
      <c r="U433" s="18"/>
      <c r="V433" s="18"/>
      <c r="W433" s="18"/>
    </row>
    <row r="434" ht="15.75" customHeight="1">
      <c r="E434" s="18"/>
      <c r="F434" s="18"/>
      <c r="G434" s="18"/>
      <c r="K434" s="18"/>
      <c r="L434" s="18"/>
      <c r="M434" s="18"/>
      <c r="N434" s="18"/>
      <c r="T434" s="18"/>
      <c r="U434" s="18"/>
      <c r="V434" s="18"/>
      <c r="W434" s="18"/>
    </row>
    <row r="435" ht="15.75" customHeight="1">
      <c r="E435" s="18"/>
      <c r="F435" s="18"/>
      <c r="G435" s="18"/>
      <c r="K435" s="18"/>
      <c r="L435" s="18"/>
      <c r="M435" s="18"/>
      <c r="N435" s="18"/>
      <c r="T435" s="18"/>
      <c r="U435" s="18"/>
      <c r="V435" s="18"/>
      <c r="W435" s="18"/>
    </row>
    <row r="436" ht="15.75" customHeight="1">
      <c r="E436" s="18"/>
      <c r="F436" s="18"/>
      <c r="G436" s="18"/>
      <c r="K436" s="18"/>
      <c r="L436" s="18"/>
      <c r="M436" s="18"/>
      <c r="N436" s="18"/>
      <c r="T436" s="18"/>
      <c r="U436" s="18"/>
      <c r="V436" s="18"/>
      <c r="W436" s="18"/>
    </row>
    <row r="437" ht="15.75" customHeight="1">
      <c r="E437" s="18"/>
      <c r="F437" s="18"/>
      <c r="G437" s="18"/>
      <c r="K437" s="18"/>
      <c r="L437" s="18"/>
      <c r="M437" s="18"/>
      <c r="N437" s="18"/>
      <c r="T437" s="18"/>
      <c r="U437" s="18"/>
      <c r="V437" s="18"/>
      <c r="W437" s="18"/>
    </row>
    <row r="438" ht="15.75" customHeight="1">
      <c r="E438" s="18"/>
      <c r="F438" s="18"/>
      <c r="G438" s="18"/>
      <c r="K438" s="18"/>
      <c r="L438" s="18"/>
      <c r="M438" s="18"/>
      <c r="N438" s="18"/>
      <c r="T438" s="18"/>
      <c r="U438" s="18"/>
      <c r="V438" s="18"/>
      <c r="W438" s="18"/>
    </row>
    <row r="439" ht="15.75" customHeight="1">
      <c r="E439" s="18"/>
      <c r="F439" s="18"/>
      <c r="G439" s="18"/>
      <c r="K439" s="18"/>
      <c r="L439" s="18"/>
      <c r="M439" s="18"/>
      <c r="N439" s="18"/>
      <c r="T439" s="18"/>
      <c r="U439" s="18"/>
      <c r="V439" s="18"/>
      <c r="W439" s="18"/>
    </row>
    <row r="440" ht="15.75" customHeight="1">
      <c r="E440" s="18"/>
      <c r="F440" s="18"/>
      <c r="G440" s="18"/>
      <c r="K440" s="18"/>
      <c r="L440" s="18"/>
      <c r="M440" s="18"/>
      <c r="N440" s="18"/>
      <c r="T440" s="18"/>
      <c r="U440" s="18"/>
      <c r="V440" s="18"/>
      <c r="W440" s="18"/>
    </row>
    <row r="441" ht="15.75" customHeight="1">
      <c r="E441" s="18"/>
      <c r="F441" s="18"/>
      <c r="G441" s="18"/>
      <c r="K441" s="18"/>
      <c r="L441" s="18"/>
      <c r="M441" s="18"/>
      <c r="N441" s="18"/>
      <c r="T441" s="18"/>
      <c r="U441" s="18"/>
      <c r="V441" s="18"/>
      <c r="W441" s="18"/>
    </row>
    <row r="442" ht="15.75" customHeight="1">
      <c r="E442" s="18"/>
      <c r="F442" s="18"/>
      <c r="G442" s="18"/>
      <c r="K442" s="18"/>
      <c r="L442" s="18"/>
      <c r="M442" s="18"/>
      <c r="N442" s="18"/>
      <c r="T442" s="18"/>
      <c r="U442" s="18"/>
      <c r="V442" s="18"/>
      <c r="W442" s="18"/>
    </row>
    <row r="443" ht="15.75" customHeight="1">
      <c r="E443" s="18"/>
      <c r="F443" s="18"/>
      <c r="G443" s="18"/>
      <c r="K443" s="18"/>
      <c r="L443" s="18"/>
      <c r="M443" s="18"/>
      <c r="N443" s="18"/>
      <c r="T443" s="18"/>
      <c r="U443" s="18"/>
      <c r="V443" s="18"/>
      <c r="W443" s="18"/>
    </row>
    <row r="444" ht="15.75" customHeight="1">
      <c r="E444" s="18"/>
      <c r="F444" s="18"/>
      <c r="G444" s="18"/>
      <c r="K444" s="18"/>
      <c r="L444" s="18"/>
      <c r="M444" s="18"/>
      <c r="N444" s="18"/>
      <c r="T444" s="18"/>
      <c r="U444" s="18"/>
      <c r="V444" s="18"/>
      <c r="W444" s="18"/>
    </row>
    <row r="445" ht="15.75" customHeight="1">
      <c r="E445" s="18"/>
      <c r="F445" s="18"/>
      <c r="G445" s="18"/>
      <c r="K445" s="18"/>
      <c r="L445" s="18"/>
      <c r="M445" s="18"/>
      <c r="N445" s="18"/>
      <c r="T445" s="18"/>
      <c r="U445" s="18"/>
      <c r="V445" s="18"/>
      <c r="W445" s="18"/>
    </row>
    <row r="446" ht="15.75" customHeight="1">
      <c r="E446" s="18"/>
      <c r="F446" s="18"/>
      <c r="G446" s="18"/>
      <c r="K446" s="18"/>
      <c r="L446" s="18"/>
      <c r="M446" s="18"/>
      <c r="N446" s="18"/>
      <c r="T446" s="18"/>
      <c r="U446" s="18"/>
      <c r="V446" s="18"/>
      <c r="W446" s="18"/>
    </row>
    <row r="447" ht="15.75" customHeight="1">
      <c r="E447" s="18"/>
      <c r="F447" s="18"/>
      <c r="G447" s="18"/>
      <c r="K447" s="18"/>
      <c r="L447" s="18"/>
      <c r="M447" s="18"/>
      <c r="N447" s="18"/>
      <c r="T447" s="18"/>
      <c r="U447" s="18"/>
      <c r="V447" s="18"/>
      <c r="W447" s="18"/>
    </row>
    <row r="448" ht="15.75" customHeight="1">
      <c r="E448" s="18"/>
      <c r="F448" s="18"/>
      <c r="G448" s="18"/>
      <c r="K448" s="18"/>
      <c r="L448" s="18"/>
      <c r="M448" s="18"/>
      <c r="N448" s="18"/>
      <c r="T448" s="18"/>
      <c r="U448" s="18"/>
      <c r="V448" s="18"/>
      <c r="W448" s="18"/>
    </row>
    <row r="449" ht="15.75" customHeight="1">
      <c r="E449" s="18"/>
      <c r="F449" s="18"/>
      <c r="G449" s="18"/>
      <c r="K449" s="18"/>
      <c r="L449" s="18"/>
      <c r="M449" s="18"/>
      <c r="N449" s="18"/>
      <c r="T449" s="18"/>
      <c r="U449" s="18"/>
      <c r="V449" s="18"/>
      <c r="W449" s="18"/>
    </row>
    <row r="450" ht="15.75" customHeight="1">
      <c r="E450" s="18"/>
      <c r="F450" s="18"/>
      <c r="G450" s="18"/>
      <c r="K450" s="18"/>
      <c r="L450" s="18"/>
      <c r="M450" s="18"/>
      <c r="N450" s="18"/>
      <c r="T450" s="18"/>
      <c r="U450" s="18"/>
      <c r="V450" s="18"/>
      <c r="W450" s="18"/>
    </row>
    <row r="451" ht="15.75" customHeight="1">
      <c r="E451" s="18"/>
      <c r="F451" s="18"/>
      <c r="G451" s="18"/>
      <c r="K451" s="18"/>
      <c r="L451" s="18"/>
      <c r="M451" s="18"/>
      <c r="N451" s="18"/>
      <c r="T451" s="18"/>
      <c r="U451" s="18"/>
      <c r="V451" s="18"/>
      <c r="W451" s="18"/>
    </row>
    <row r="452" ht="15.75" customHeight="1">
      <c r="E452" s="18"/>
      <c r="F452" s="18"/>
      <c r="G452" s="18"/>
      <c r="K452" s="18"/>
      <c r="L452" s="18"/>
      <c r="M452" s="18"/>
      <c r="N452" s="18"/>
      <c r="T452" s="18"/>
      <c r="U452" s="18"/>
      <c r="V452" s="18"/>
      <c r="W452" s="18"/>
    </row>
    <row r="453" ht="15.75" customHeight="1">
      <c r="E453" s="18"/>
      <c r="F453" s="18"/>
      <c r="G453" s="18"/>
      <c r="K453" s="18"/>
      <c r="L453" s="18"/>
      <c r="M453" s="18"/>
      <c r="N453" s="18"/>
      <c r="T453" s="18"/>
      <c r="U453" s="18"/>
      <c r="V453" s="18"/>
      <c r="W453" s="18"/>
    </row>
    <row r="454" ht="15.75" customHeight="1">
      <c r="E454" s="18"/>
      <c r="F454" s="18"/>
      <c r="G454" s="18"/>
      <c r="K454" s="18"/>
      <c r="L454" s="18"/>
      <c r="M454" s="18"/>
      <c r="N454" s="18"/>
      <c r="T454" s="18"/>
      <c r="U454" s="18"/>
      <c r="V454" s="18"/>
      <c r="W454" s="18"/>
    </row>
    <row r="455" ht="15.75" customHeight="1">
      <c r="E455" s="18"/>
      <c r="F455" s="18"/>
      <c r="G455" s="18"/>
      <c r="K455" s="18"/>
      <c r="L455" s="18"/>
      <c r="M455" s="18"/>
      <c r="N455" s="18"/>
      <c r="T455" s="18"/>
      <c r="U455" s="18"/>
      <c r="V455" s="18"/>
      <c r="W455" s="18"/>
    </row>
    <row r="456" ht="15.75" customHeight="1">
      <c r="E456" s="18"/>
      <c r="F456" s="18"/>
      <c r="G456" s="18"/>
      <c r="K456" s="18"/>
      <c r="L456" s="18"/>
      <c r="M456" s="18"/>
      <c r="N456" s="18"/>
      <c r="T456" s="18"/>
      <c r="U456" s="18"/>
      <c r="V456" s="18"/>
      <c r="W456" s="18"/>
    </row>
    <row r="457" ht="15.75" customHeight="1">
      <c r="E457" s="18"/>
      <c r="F457" s="18"/>
      <c r="G457" s="18"/>
      <c r="K457" s="18"/>
      <c r="L457" s="18"/>
      <c r="M457" s="18"/>
      <c r="N457" s="18"/>
      <c r="T457" s="18"/>
      <c r="U457" s="18"/>
      <c r="V457" s="18"/>
      <c r="W457" s="18"/>
    </row>
    <row r="458" ht="15.75" customHeight="1">
      <c r="E458" s="18"/>
      <c r="F458" s="18"/>
      <c r="G458" s="18"/>
      <c r="K458" s="18"/>
      <c r="L458" s="18"/>
      <c r="M458" s="18"/>
      <c r="N458" s="18"/>
      <c r="T458" s="18"/>
      <c r="U458" s="18"/>
      <c r="V458" s="18"/>
      <c r="W458" s="18"/>
    </row>
    <row r="459" ht="15.75" customHeight="1">
      <c r="E459" s="18"/>
      <c r="F459" s="18"/>
      <c r="G459" s="18"/>
      <c r="K459" s="18"/>
      <c r="L459" s="18"/>
      <c r="M459" s="18"/>
      <c r="N459" s="18"/>
      <c r="T459" s="18"/>
      <c r="U459" s="18"/>
      <c r="V459" s="18"/>
      <c r="W459" s="18"/>
    </row>
    <row r="460" ht="15.75" customHeight="1">
      <c r="E460" s="18"/>
      <c r="F460" s="18"/>
      <c r="G460" s="18"/>
      <c r="K460" s="18"/>
      <c r="L460" s="18"/>
      <c r="M460" s="18"/>
      <c r="N460" s="18"/>
      <c r="T460" s="18"/>
      <c r="U460" s="18"/>
      <c r="V460" s="18"/>
      <c r="W460" s="18"/>
    </row>
    <row r="461" ht="15.75" customHeight="1">
      <c r="E461" s="18"/>
      <c r="F461" s="18"/>
      <c r="G461" s="18"/>
      <c r="K461" s="18"/>
      <c r="L461" s="18"/>
      <c r="M461" s="18"/>
      <c r="N461" s="18"/>
      <c r="T461" s="18"/>
      <c r="U461" s="18"/>
      <c r="V461" s="18"/>
      <c r="W461" s="18"/>
    </row>
    <row r="462" ht="15.75" customHeight="1">
      <c r="E462" s="18"/>
      <c r="F462" s="18"/>
      <c r="G462" s="18"/>
      <c r="K462" s="18"/>
      <c r="L462" s="18"/>
      <c r="M462" s="18"/>
      <c r="N462" s="18"/>
      <c r="T462" s="18"/>
      <c r="U462" s="18"/>
      <c r="V462" s="18"/>
      <c r="W462" s="18"/>
    </row>
    <row r="463" ht="15.75" customHeight="1">
      <c r="E463" s="18"/>
      <c r="F463" s="18"/>
      <c r="G463" s="18"/>
      <c r="K463" s="18"/>
      <c r="L463" s="18"/>
      <c r="M463" s="18"/>
      <c r="N463" s="18"/>
      <c r="T463" s="18"/>
      <c r="U463" s="18"/>
      <c r="V463" s="18"/>
      <c r="W463" s="18"/>
    </row>
    <row r="464" ht="15.75" customHeight="1">
      <c r="E464" s="18"/>
      <c r="F464" s="18"/>
      <c r="G464" s="18"/>
      <c r="K464" s="18"/>
      <c r="L464" s="18"/>
      <c r="M464" s="18"/>
      <c r="N464" s="18"/>
      <c r="T464" s="18"/>
      <c r="U464" s="18"/>
      <c r="V464" s="18"/>
      <c r="W464" s="18"/>
    </row>
    <row r="465" ht="15.75" customHeight="1">
      <c r="E465" s="18"/>
      <c r="F465" s="18"/>
      <c r="G465" s="18"/>
      <c r="K465" s="18"/>
      <c r="L465" s="18"/>
      <c r="M465" s="18"/>
      <c r="N465" s="18"/>
      <c r="T465" s="18"/>
      <c r="U465" s="18"/>
      <c r="V465" s="18"/>
      <c r="W465" s="18"/>
    </row>
    <row r="466" ht="15.75" customHeight="1">
      <c r="E466" s="18"/>
      <c r="F466" s="18"/>
      <c r="G466" s="18"/>
      <c r="K466" s="18"/>
      <c r="L466" s="18"/>
      <c r="M466" s="18"/>
      <c r="N466" s="18"/>
      <c r="T466" s="18"/>
      <c r="U466" s="18"/>
      <c r="V466" s="18"/>
      <c r="W466" s="18"/>
    </row>
    <row r="467" ht="15.75" customHeight="1">
      <c r="E467" s="18"/>
      <c r="F467" s="18"/>
      <c r="G467" s="18"/>
      <c r="K467" s="18"/>
      <c r="L467" s="18"/>
      <c r="M467" s="18"/>
      <c r="N467" s="18"/>
      <c r="T467" s="18"/>
      <c r="U467" s="18"/>
      <c r="V467" s="18"/>
      <c r="W467" s="18"/>
    </row>
    <row r="468" ht="15.75" customHeight="1">
      <c r="E468" s="18"/>
      <c r="F468" s="18"/>
      <c r="G468" s="18"/>
      <c r="K468" s="18"/>
      <c r="L468" s="18"/>
      <c r="M468" s="18"/>
      <c r="N468" s="18"/>
      <c r="T468" s="18"/>
      <c r="U468" s="18"/>
      <c r="V468" s="18"/>
      <c r="W468" s="18"/>
    </row>
    <row r="469" ht="15.75" customHeight="1">
      <c r="E469" s="18"/>
      <c r="F469" s="18"/>
      <c r="G469" s="18"/>
      <c r="K469" s="18"/>
      <c r="L469" s="18"/>
      <c r="M469" s="18"/>
      <c r="N469" s="18"/>
      <c r="T469" s="18"/>
      <c r="U469" s="18"/>
      <c r="V469" s="18"/>
      <c r="W469" s="18"/>
    </row>
    <row r="470" ht="15.75" customHeight="1">
      <c r="E470" s="18"/>
      <c r="F470" s="18"/>
      <c r="G470" s="18"/>
      <c r="K470" s="18"/>
      <c r="L470" s="18"/>
      <c r="M470" s="18"/>
      <c r="N470" s="18"/>
      <c r="T470" s="18"/>
      <c r="U470" s="18"/>
      <c r="V470" s="18"/>
      <c r="W470" s="18"/>
    </row>
    <row r="471" ht="15.75" customHeight="1">
      <c r="E471" s="18"/>
      <c r="F471" s="18"/>
      <c r="G471" s="18"/>
      <c r="K471" s="18"/>
      <c r="L471" s="18"/>
      <c r="M471" s="18"/>
      <c r="N471" s="18"/>
      <c r="T471" s="18"/>
      <c r="U471" s="18"/>
      <c r="V471" s="18"/>
      <c r="W471" s="18"/>
    </row>
    <row r="472" ht="15.75" customHeight="1">
      <c r="E472" s="18"/>
      <c r="F472" s="18"/>
      <c r="G472" s="18"/>
      <c r="K472" s="18"/>
      <c r="L472" s="18"/>
      <c r="M472" s="18"/>
      <c r="N472" s="18"/>
      <c r="T472" s="18"/>
      <c r="U472" s="18"/>
      <c r="V472" s="18"/>
      <c r="W472" s="18"/>
    </row>
    <row r="473" ht="15.75" customHeight="1">
      <c r="E473" s="18"/>
      <c r="F473" s="18"/>
      <c r="G473" s="18"/>
      <c r="K473" s="18"/>
      <c r="L473" s="18"/>
      <c r="M473" s="18"/>
      <c r="N473" s="18"/>
      <c r="T473" s="18"/>
      <c r="U473" s="18"/>
      <c r="V473" s="18"/>
      <c r="W473" s="18"/>
    </row>
    <row r="474" ht="15.75" customHeight="1">
      <c r="E474" s="18"/>
      <c r="F474" s="18"/>
      <c r="G474" s="18"/>
      <c r="K474" s="18"/>
      <c r="L474" s="18"/>
      <c r="M474" s="18"/>
      <c r="N474" s="18"/>
      <c r="T474" s="18"/>
      <c r="U474" s="18"/>
      <c r="V474" s="18"/>
      <c r="W474" s="18"/>
    </row>
    <row r="475" ht="15.75" customHeight="1">
      <c r="E475" s="18"/>
      <c r="F475" s="18"/>
      <c r="G475" s="18"/>
      <c r="K475" s="18"/>
      <c r="L475" s="18"/>
      <c r="M475" s="18"/>
      <c r="N475" s="18"/>
      <c r="T475" s="18"/>
      <c r="U475" s="18"/>
      <c r="V475" s="18"/>
      <c r="W475" s="18"/>
    </row>
    <row r="476" ht="15.75" customHeight="1">
      <c r="E476" s="18"/>
      <c r="F476" s="18"/>
      <c r="G476" s="18"/>
      <c r="K476" s="18"/>
      <c r="L476" s="18"/>
      <c r="M476" s="18"/>
      <c r="N476" s="18"/>
      <c r="T476" s="18"/>
      <c r="U476" s="18"/>
      <c r="V476" s="18"/>
      <c r="W476" s="18"/>
    </row>
    <row r="477" ht="15.75" customHeight="1">
      <c r="E477" s="18"/>
      <c r="F477" s="18"/>
      <c r="G477" s="18"/>
      <c r="K477" s="18"/>
      <c r="L477" s="18"/>
      <c r="M477" s="18"/>
      <c r="N477" s="18"/>
      <c r="T477" s="18"/>
      <c r="U477" s="18"/>
      <c r="V477" s="18"/>
      <c r="W477" s="18"/>
    </row>
    <row r="478" ht="15.75" customHeight="1">
      <c r="E478" s="18"/>
      <c r="F478" s="18"/>
      <c r="G478" s="18"/>
      <c r="K478" s="18"/>
      <c r="L478" s="18"/>
      <c r="M478" s="18"/>
      <c r="N478" s="18"/>
      <c r="T478" s="18"/>
      <c r="U478" s="18"/>
      <c r="V478" s="18"/>
      <c r="W478" s="18"/>
    </row>
    <row r="479" ht="15.75" customHeight="1">
      <c r="E479" s="18"/>
      <c r="F479" s="18"/>
      <c r="G479" s="18"/>
      <c r="K479" s="18"/>
      <c r="L479" s="18"/>
      <c r="M479" s="18"/>
      <c r="N479" s="18"/>
      <c r="T479" s="18"/>
      <c r="U479" s="18"/>
      <c r="V479" s="18"/>
      <c r="W479" s="18"/>
    </row>
    <row r="480" ht="15.75" customHeight="1">
      <c r="E480" s="18"/>
      <c r="F480" s="18"/>
      <c r="G480" s="18"/>
      <c r="K480" s="18"/>
      <c r="L480" s="18"/>
      <c r="M480" s="18"/>
      <c r="N480" s="18"/>
      <c r="T480" s="18"/>
      <c r="U480" s="18"/>
      <c r="V480" s="18"/>
      <c r="W480" s="18"/>
    </row>
    <row r="481" ht="15.75" customHeight="1">
      <c r="E481" s="18"/>
      <c r="F481" s="18"/>
      <c r="G481" s="18"/>
      <c r="K481" s="18"/>
      <c r="L481" s="18"/>
      <c r="M481" s="18"/>
      <c r="N481" s="18"/>
      <c r="T481" s="18"/>
      <c r="U481" s="18"/>
      <c r="V481" s="18"/>
      <c r="W481" s="18"/>
    </row>
    <row r="482" ht="15.75" customHeight="1">
      <c r="E482" s="18"/>
      <c r="F482" s="18"/>
      <c r="G482" s="18"/>
      <c r="K482" s="18"/>
      <c r="L482" s="18"/>
      <c r="M482" s="18"/>
      <c r="N482" s="18"/>
      <c r="T482" s="18"/>
      <c r="U482" s="18"/>
      <c r="V482" s="18"/>
      <c r="W482" s="18"/>
    </row>
    <row r="483" ht="15.75" customHeight="1">
      <c r="E483" s="18"/>
      <c r="F483" s="18"/>
      <c r="G483" s="18"/>
      <c r="K483" s="18"/>
      <c r="L483" s="18"/>
      <c r="M483" s="18"/>
      <c r="N483" s="18"/>
      <c r="T483" s="18"/>
      <c r="U483" s="18"/>
      <c r="V483" s="18"/>
      <c r="W483" s="18"/>
    </row>
    <row r="484" ht="15.75" customHeight="1">
      <c r="E484" s="18"/>
      <c r="F484" s="18"/>
      <c r="G484" s="18"/>
      <c r="K484" s="18"/>
      <c r="L484" s="18"/>
      <c r="M484" s="18"/>
      <c r="N484" s="18"/>
      <c r="T484" s="18"/>
      <c r="U484" s="18"/>
      <c r="V484" s="18"/>
      <c r="W484" s="18"/>
    </row>
    <row r="485" ht="15.75" customHeight="1">
      <c r="E485" s="18"/>
      <c r="F485" s="18"/>
      <c r="G485" s="18"/>
      <c r="K485" s="18"/>
      <c r="L485" s="18"/>
      <c r="M485" s="18"/>
      <c r="N485" s="18"/>
      <c r="T485" s="18"/>
      <c r="U485" s="18"/>
      <c r="V485" s="18"/>
      <c r="W485" s="18"/>
    </row>
    <row r="486" ht="15.75" customHeight="1">
      <c r="E486" s="18"/>
      <c r="F486" s="18"/>
      <c r="G486" s="18"/>
      <c r="K486" s="18"/>
      <c r="L486" s="18"/>
      <c r="M486" s="18"/>
      <c r="N486" s="18"/>
      <c r="T486" s="18"/>
      <c r="U486" s="18"/>
      <c r="V486" s="18"/>
      <c r="W486" s="18"/>
    </row>
    <row r="487" ht="15.75" customHeight="1">
      <c r="E487" s="18"/>
      <c r="F487" s="18"/>
      <c r="G487" s="18"/>
      <c r="K487" s="18"/>
      <c r="L487" s="18"/>
      <c r="M487" s="18"/>
      <c r="N487" s="18"/>
      <c r="T487" s="18"/>
      <c r="U487" s="18"/>
      <c r="V487" s="18"/>
      <c r="W487" s="18"/>
    </row>
    <row r="488" ht="15.75" customHeight="1">
      <c r="E488" s="18"/>
      <c r="F488" s="18"/>
      <c r="G488" s="18"/>
      <c r="K488" s="18"/>
      <c r="L488" s="18"/>
      <c r="M488" s="18"/>
      <c r="N488" s="18"/>
      <c r="T488" s="18"/>
      <c r="U488" s="18"/>
      <c r="V488" s="18"/>
      <c r="W488" s="18"/>
    </row>
    <row r="489" ht="15.75" customHeight="1">
      <c r="E489" s="18"/>
      <c r="F489" s="18"/>
      <c r="G489" s="18"/>
      <c r="K489" s="18"/>
      <c r="L489" s="18"/>
      <c r="M489" s="18"/>
      <c r="N489" s="18"/>
      <c r="T489" s="18"/>
      <c r="U489" s="18"/>
      <c r="V489" s="18"/>
      <c r="W489" s="18"/>
    </row>
    <row r="490" ht="15.75" customHeight="1">
      <c r="E490" s="18"/>
      <c r="F490" s="18"/>
      <c r="G490" s="18"/>
      <c r="K490" s="18"/>
      <c r="L490" s="18"/>
      <c r="M490" s="18"/>
      <c r="N490" s="18"/>
      <c r="T490" s="18"/>
      <c r="U490" s="18"/>
      <c r="V490" s="18"/>
      <c r="W490" s="18"/>
    </row>
    <row r="491" ht="15.75" customHeight="1">
      <c r="E491" s="18"/>
      <c r="F491" s="18"/>
      <c r="G491" s="18"/>
      <c r="K491" s="18"/>
      <c r="L491" s="18"/>
      <c r="M491" s="18"/>
      <c r="N491" s="18"/>
      <c r="T491" s="18"/>
      <c r="U491" s="18"/>
      <c r="V491" s="18"/>
      <c r="W491" s="18"/>
    </row>
    <row r="492" ht="15.75" customHeight="1">
      <c r="E492" s="18"/>
      <c r="F492" s="18"/>
      <c r="G492" s="18"/>
      <c r="K492" s="18"/>
      <c r="L492" s="18"/>
      <c r="M492" s="18"/>
      <c r="N492" s="18"/>
      <c r="T492" s="18"/>
      <c r="U492" s="18"/>
      <c r="V492" s="18"/>
      <c r="W492" s="18"/>
    </row>
    <row r="493" ht="15.75" customHeight="1">
      <c r="E493" s="18"/>
      <c r="F493" s="18"/>
      <c r="G493" s="18"/>
      <c r="K493" s="18"/>
      <c r="L493" s="18"/>
      <c r="M493" s="18"/>
      <c r="N493" s="18"/>
      <c r="T493" s="18"/>
      <c r="U493" s="18"/>
      <c r="V493" s="18"/>
      <c r="W493" s="18"/>
    </row>
    <row r="494" ht="15.75" customHeight="1">
      <c r="E494" s="18"/>
      <c r="F494" s="18"/>
      <c r="G494" s="18"/>
      <c r="K494" s="18"/>
      <c r="L494" s="18"/>
      <c r="M494" s="18"/>
      <c r="N494" s="18"/>
      <c r="T494" s="18"/>
      <c r="U494" s="18"/>
      <c r="V494" s="18"/>
      <c r="W494" s="18"/>
    </row>
    <row r="495" ht="15.75" customHeight="1">
      <c r="E495" s="18"/>
      <c r="F495" s="18"/>
      <c r="G495" s="18"/>
      <c r="K495" s="18"/>
      <c r="L495" s="18"/>
      <c r="M495" s="18"/>
      <c r="N495" s="18"/>
      <c r="T495" s="18"/>
      <c r="U495" s="18"/>
      <c r="V495" s="18"/>
      <c r="W495" s="18"/>
    </row>
    <row r="496" ht="15.75" customHeight="1">
      <c r="E496" s="18"/>
      <c r="F496" s="18"/>
      <c r="G496" s="18"/>
      <c r="K496" s="18"/>
      <c r="L496" s="18"/>
      <c r="M496" s="18"/>
      <c r="N496" s="18"/>
      <c r="T496" s="18"/>
      <c r="U496" s="18"/>
      <c r="V496" s="18"/>
      <c r="W496" s="18"/>
    </row>
    <row r="497" ht="15.75" customHeight="1">
      <c r="E497" s="18"/>
      <c r="F497" s="18"/>
      <c r="G497" s="18"/>
      <c r="K497" s="18"/>
      <c r="L497" s="18"/>
      <c r="M497" s="18"/>
      <c r="N497" s="18"/>
      <c r="T497" s="18"/>
      <c r="U497" s="18"/>
      <c r="V497" s="18"/>
      <c r="W497" s="18"/>
    </row>
    <row r="498" ht="15.75" customHeight="1">
      <c r="E498" s="18"/>
      <c r="F498" s="18"/>
      <c r="G498" s="18"/>
      <c r="K498" s="18"/>
      <c r="L498" s="18"/>
      <c r="M498" s="18"/>
      <c r="N498" s="18"/>
      <c r="T498" s="18"/>
      <c r="U498" s="18"/>
      <c r="V498" s="18"/>
      <c r="W498" s="18"/>
    </row>
    <row r="499" ht="15.75" customHeight="1">
      <c r="E499" s="18"/>
      <c r="F499" s="18"/>
      <c r="G499" s="18"/>
      <c r="K499" s="18"/>
      <c r="L499" s="18"/>
      <c r="M499" s="18"/>
      <c r="N499" s="18"/>
      <c r="T499" s="18"/>
      <c r="U499" s="18"/>
      <c r="V499" s="18"/>
      <c r="W499" s="18"/>
    </row>
    <row r="500" ht="15.75" customHeight="1">
      <c r="E500" s="18"/>
      <c r="F500" s="18"/>
      <c r="G500" s="18"/>
      <c r="K500" s="18"/>
      <c r="L500" s="18"/>
      <c r="M500" s="18"/>
      <c r="N500" s="18"/>
      <c r="T500" s="18"/>
      <c r="U500" s="18"/>
      <c r="V500" s="18"/>
      <c r="W500" s="18"/>
    </row>
    <row r="501" ht="15.75" customHeight="1">
      <c r="E501" s="18"/>
      <c r="F501" s="18"/>
      <c r="G501" s="18"/>
      <c r="K501" s="18"/>
      <c r="L501" s="18"/>
      <c r="M501" s="18"/>
      <c r="N501" s="18"/>
      <c r="T501" s="18"/>
      <c r="U501" s="18"/>
      <c r="V501" s="18"/>
      <c r="W501" s="18"/>
    </row>
    <row r="502" ht="15.75" customHeight="1">
      <c r="E502" s="18"/>
      <c r="F502" s="18"/>
      <c r="G502" s="18"/>
      <c r="K502" s="18"/>
      <c r="L502" s="18"/>
      <c r="M502" s="18"/>
      <c r="N502" s="18"/>
      <c r="T502" s="18"/>
      <c r="U502" s="18"/>
      <c r="V502" s="18"/>
      <c r="W502" s="18"/>
    </row>
    <row r="503" ht="15.75" customHeight="1">
      <c r="E503" s="18"/>
      <c r="F503" s="18"/>
      <c r="G503" s="18"/>
      <c r="K503" s="18"/>
      <c r="L503" s="18"/>
      <c r="M503" s="18"/>
      <c r="N503" s="18"/>
      <c r="T503" s="18"/>
      <c r="U503" s="18"/>
      <c r="V503" s="18"/>
      <c r="W503" s="18"/>
    </row>
    <row r="504" ht="15.75" customHeight="1">
      <c r="E504" s="18"/>
      <c r="F504" s="18"/>
      <c r="G504" s="18"/>
      <c r="K504" s="18"/>
      <c r="L504" s="18"/>
      <c r="M504" s="18"/>
      <c r="N504" s="18"/>
      <c r="T504" s="18"/>
      <c r="U504" s="18"/>
      <c r="V504" s="18"/>
      <c r="W504" s="18"/>
    </row>
    <row r="505" ht="15.75" customHeight="1">
      <c r="E505" s="18"/>
      <c r="F505" s="18"/>
      <c r="G505" s="18"/>
      <c r="K505" s="18"/>
      <c r="L505" s="18"/>
      <c r="M505" s="18"/>
      <c r="N505" s="18"/>
      <c r="T505" s="18"/>
      <c r="U505" s="18"/>
      <c r="V505" s="18"/>
      <c r="W505" s="18"/>
    </row>
    <row r="506" ht="15.75" customHeight="1">
      <c r="E506" s="18"/>
      <c r="F506" s="18"/>
      <c r="G506" s="18"/>
      <c r="K506" s="18"/>
      <c r="L506" s="18"/>
      <c r="M506" s="18"/>
      <c r="N506" s="18"/>
      <c r="T506" s="18"/>
      <c r="U506" s="18"/>
      <c r="V506" s="18"/>
      <c r="W506" s="18"/>
    </row>
    <row r="507" ht="15.75" customHeight="1">
      <c r="E507" s="18"/>
      <c r="F507" s="18"/>
      <c r="G507" s="18"/>
      <c r="K507" s="18"/>
      <c r="L507" s="18"/>
      <c r="M507" s="18"/>
      <c r="N507" s="18"/>
      <c r="T507" s="18"/>
      <c r="U507" s="18"/>
      <c r="V507" s="18"/>
      <c r="W507" s="18"/>
    </row>
    <row r="508" ht="15.75" customHeight="1">
      <c r="E508" s="18"/>
      <c r="F508" s="18"/>
      <c r="G508" s="18"/>
      <c r="K508" s="18"/>
      <c r="L508" s="18"/>
      <c r="M508" s="18"/>
      <c r="N508" s="18"/>
      <c r="T508" s="18"/>
      <c r="U508" s="18"/>
      <c r="V508" s="18"/>
      <c r="W508" s="18"/>
    </row>
    <row r="509" ht="15.75" customHeight="1">
      <c r="E509" s="18"/>
      <c r="F509" s="18"/>
      <c r="G509" s="18"/>
      <c r="K509" s="18"/>
      <c r="L509" s="18"/>
      <c r="M509" s="18"/>
      <c r="N509" s="18"/>
      <c r="T509" s="18"/>
      <c r="U509" s="18"/>
      <c r="V509" s="18"/>
      <c r="W509" s="18"/>
    </row>
    <row r="510" ht="15.75" customHeight="1">
      <c r="E510" s="18"/>
      <c r="F510" s="18"/>
      <c r="G510" s="18"/>
      <c r="K510" s="18"/>
      <c r="L510" s="18"/>
      <c r="M510" s="18"/>
      <c r="N510" s="18"/>
      <c r="T510" s="18"/>
      <c r="U510" s="18"/>
      <c r="V510" s="18"/>
      <c r="W510" s="18"/>
    </row>
    <row r="511" ht="15.75" customHeight="1">
      <c r="E511" s="18"/>
      <c r="F511" s="18"/>
      <c r="G511" s="18"/>
      <c r="K511" s="18"/>
      <c r="L511" s="18"/>
      <c r="M511" s="18"/>
      <c r="N511" s="18"/>
      <c r="T511" s="18"/>
      <c r="U511" s="18"/>
      <c r="V511" s="18"/>
      <c r="W511" s="18"/>
    </row>
    <row r="512" ht="15.75" customHeight="1">
      <c r="E512" s="18"/>
      <c r="F512" s="18"/>
      <c r="G512" s="18"/>
      <c r="K512" s="18"/>
      <c r="L512" s="18"/>
      <c r="M512" s="18"/>
      <c r="N512" s="18"/>
      <c r="T512" s="18"/>
      <c r="U512" s="18"/>
      <c r="V512" s="18"/>
      <c r="W512" s="18"/>
    </row>
    <row r="513" ht="15.75" customHeight="1">
      <c r="E513" s="18"/>
      <c r="F513" s="18"/>
      <c r="G513" s="18"/>
      <c r="K513" s="18"/>
      <c r="L513" s="18"/>
      <c r="M513" s="18"/>
      <c r="N513" s="18"/>
      <c r="T513" s="18"/>
      <c r="U513" s="18"/>
      <c r="V513" s="18"/>
      <c r="W513" s="18"/>
    </row>
    <row r="514" ht="15.75" customHeight="1">
      <c r="E514" s="18"/>
      <c r="F514" s="18"/>
      <c r="G514" s="18"/>
      <c r="K514" s="18"/>
      <c r="L514" s="18"/>
      <c r="M514" s="18"/>
      <c r="N514" s="18"/>
      <c r="T514" s="18"/>
      <c r="U514" s="18"/>
      <c r="V514" s="18"/>
      <c r="W514" s="18"/>
    </row>
    <row r="515" ht="15.75" customHeight="1">
      <c r="E515" s="18"/>
      <c r="F515" s="18"/>
      <c r="G515" s="18"/>
      <c r="K515" s="18"/>
      <c r="L515" s="18"/>
      <c r="M515" s="18"/>
      <c r="N515" s="18"/>
      <c r="T515" s="18"/>
      <c r="U515" s="18"/>
      <c r="V515" s="18"/>
      <c r="W515" s="18"/>
    </row>
    <row r="516" ht="15.75" customHeight="1">
      <c r="E516" s="18"/>
      <c r="F516" s="18"/>
      <c r="G516" s="18"/>
      <c r="K516" s="18"/>
      <c r="L516" s="18"/>
      <c r="M516" s="18"/>
      <c r="N516" s="18"/>
      <c r="T516" s="18"/>
      <c r="U516" s="18"/>
      <c r="V516" s="18"/>
      <c r="W516" s="18"/>
    </row>
    <row r="517" ht="15.75" customHeight="1">
      <c r="E517" s="18"/>
      <c r="F517" s="18"/>
      <c r="G517" s="18"/>
      <c r="K517" s="18"/>
      <c r="L517" s="18"/>
      <c r="M517" s="18"/>
      <c r="N517" s="18"/>
      <c r="T517" s="18"/>
      <c r="U517" s="18"/>
      <c r="V517" s="18"/>
      <c r="W517" s="18"/>
    </row>
    <row r="518" ht="15.75" customHeight="1">
      <c r="E518" s="18"/>
      <c r="F518" s="18"/>
      <c r="G518" s="18"/>
      <c r="K518" s="18"/>
      <c r="L518" s="18"/>
      <c r="M518" s="18"/>
      <c r="N518" s="18"/>
      <c r="T518" s="18"/>
      <c r="U518" s="18"/>
      <c r="V518" s="18"/>
      <c r="W518" s="18"/>
    </row>
    <row r="519" ht="15.75" customHeight="1">
      <c r="E519" s="18"/>
      <c r="F519" s="18"/>
      <c r="G519" s="18"/>
      <c r="K519" s="18"/>
      <c r="L519" s="18"/>
      <c r="M519" s="18"/>
      <c r="N519" s="18"/>
      <c r="T519" s="18"/>
      <c r="U519" s="18"/>
      <c r="V519" s="18"/>
      <c r="W519" s="18"/>
    </row>
    <row r="520" ht="15.75" customHeight="1">
      <c r="E520" s="18"/>
      <c r="F520" s="18"/>
      <c r="G520" s="18"/>
      <c r="K520" s="18"/>
      <c r="L520" s="18"/>
      <c r="M520" s="18"/>
      <c r="N520" s="18"/>
      <c r="T520" s="18"/>
      <c r="U520" s="18"/>
      <c r="V520" s="18"/>
      <c r="W520" s="18"/>
    </row>
    <row r="521" ht="15.75" customHeight="1">
      <c r="E521" s="18"/>
      <c r="F521" s="18"/>
      <c r="G521" s="18"/>
      <c r="K521" s="18"/>
      <c r="L521" s="18"/>
      <c r="M521" s="18"/>
      <c r="N521" s="18"/>
      <c r="T521" s="18"/>
      <c r="U521" s="18"/>
      <c r="V521" s="18"/>
      <c r="W521" s="18"/>
    </row>
    <row r="522" ht="15.75" customHeight="1">
      <c r="E522" s="18"/>
      <c r="F522" s="18"/>
      <c r="G522" s="18"/>
      <c r="K522" s="18"/>
      <c r="L522" s="18"/>
      <c r="M522" s="18"/>
      <c r="N522" s="18"/>
      <c r="T522" s="18"/>
      <c r="U522" s="18"/>
      <c r="V522" s="18"/>
      <c r="W522" s="18"/>
    </row>
    <row r="523" ht="15.75" customHeight="1">
      <c r="E523" s="18"/>
      <c r="F523" s="18"/>
      <c r="G523" s="18"/>
      <c r="K523" s="18"/>
      <c r="L523" s="18"/>
      <c r="M523" s="18"/>
      <c r="N523" s="18"/>
      <c r="T523" s="18"/>
      <c r="U523" s="18"/>
      <c r="V523" s="18"/>
      <c r="W523" s="18"/>
    </row>
    <row r="524" ht="15.75" customHeight="1">
      <c r="E524" s="18"/>
      <c r="F524" s="18"/>
      <c r="G524" s="18"/>
      <c r="K524" s="18"/>
      <c r="L524" s="18"/>
      <c r="M524" s="18"/>
      <c r="N524" s="18"/>
      <c r="T524" s="18"/>
      <c r="U524" s="18"/>
      <c r="V524" s="18"/>
      <c r="W524" s="18"/>
    </row>
    <row r="525" ht="15.75" customHeight="1">
      <c r="E525" s="18"/>
      <c r="F525" s="18"/>
      <c r="G525" s="18"/>
      <c r="K525" s="18"/>
      <c r="L525" s="18"/>
      <c r="M525" s="18"/>
      <c r="N525" s="18"/>
      <c r="T525" s="18"/>
      <c r="U525" s="18"/>
      <c r="V525" s="18"/>
      <c r="W525" s="18"/>
    </row>
    <row r="526" ht="15.75" customHeight="1">
      <c r="E526" s="18"/>
      <c r="F526" s="18"/>
      <c r="G526" s="18"/>
      <c r="K526" s="18"/>
      <c r="L526" s="18"/>
      <c r="M526" s="18"/>
      <c r="N526" s="18"/>
      <c r="T526" s="18"/>
      <c r="U526" s="18"/>
      <c r="V526" s="18"/>
      <c r="W526" s="18"/>
    </row>
    <row r="527" ht="15.75" customHeight="1">
      <c r="E527" s="18"/>
      <c r="F527" s="18"/>
      <c r="G527" s="18"/>
      <c r="K527" s="18"/>
      <c r="L527" s="18"/>
      <c r="M527" s="18"/>
      <c r="N527" s="18"/>
      <c r="T527" s="18"/>
      <c r="U527" s="18"/>
      <c r="V527" s="18"/>
      <c r="W527" s="18"/>
    </row>
    <row r="528" ht="15.75" customHeight="1">
      <c r="E528" s="18"/>
      <c r="F528" s="18"/>
      <c r="G528" s="18"/>
      <c r="K528" s="18"/>
      <c r="L528" s="18"/>
      <c r="M528" s="18"/>
      <c r="N528" s="18"/>
      <c r="T528" s="18"/>
      <c r="U528" s="18"/>
      <c r="V528" s="18"/>
      <c r="W528" s="18"/>
    </row>
    <row r="529" ht="15.75" customHeight="1">
      <c r="E529" s="18"/>
      <c r="F529" s="18"/>
      <c r="G529" s="18"/>
      <c r="K529" s="18"/>
      <c r="L529" s="18"/>
      <c r="M529" s="18"/>
      <c r="N529" s="18"/>
      <c r="T529" s="18"/>
      <c r="U529" s="18"/>
      <c r="V529" s="18"/>
      <c r="W529" s="18"/>
    </row>
    <row r="530" ht="15.75" customHeight="1">
      <c r="E530" s="18"/>
      <c r="F530" s="18"/>
      <c r="G530" s="18"/>
      <c r="K530" s="18"/>
      <c r="L530" s="18"/>
      <c r="M530" s="18"/>
      <c r="N530" s="18"/>
      <c r="T530" s="18"/>
      <c r="U530" s="18"/>
      <c r="V530" s="18"/>
      <c r="W530" s="18"/>
    </row>
    <row r="531" ht="15.75" customHeight="1">
      <c r="E531" s="18"/>
      <c r="F531" s="18"/>
      <c r="G531" s="18"/>
      <c r="K531" s="18"/>
      <c r="L531" s="18"/>
      <c r="M531" s="18"/>
      <c r="N531" s="18"/>
      <c r="T531" s="18"/>
      <c r="U531" s="18"/>
      <c r="V531" s="18"/>
      <c r="W531" s="18"/>
    </row>
    <row r="532" ht="15.75" customHeight="1">
      <c r="E532" s="18"/>
      <c r="F532" s="18"/>
      <c r="G532" s="18"/>
      <c r="K532" s="18"/>
      <c r="L532" s="18"/>
      <c r="M532" s="18"/>
      <c r="N532" s="18"/>
      <c r="T532" s="18"/>
      <c r="U532" s="18"/>
      <c r="V532" s="18"/>
      <c r="W532" s="18"/>
    </row>
    <row r="533" ht="15.75" customHeight="1">
      <c r="E533" s="18"/>
      <c r="F533" s="18"/>
      <c r="G533" s="18"/>
      <c r="K533" s="18"/>
      <c r="L533" s="18"/>
      <c r="M533" s="18"/>
      <c r="N533" s="18"/>
      <c r="T533" s="18"/>
      <c r="U533" s="18"/>
      <c r="V533" s="18"/>
      <c r="W533" s="18"/>
    </row>
    <row r="534" ht="15.75" customHeight="1">
      <c r="E534" s="18"/>
      <c r="F534" s="18"/>
      <c r="G534" s="18"/>
      <c r="K534" s="18"/>
      <c r="L534" s="18"/>
      <c r="M534" s="18"/>
      <c r="N534" s="18"/>
      <c r="T534" s="18"/>
      <c r="U534" s="18"/>
      <c r="V534" s="18"/>
      <c r="W534" s="18"/>
    </row>
    <row r="535" ht="15.75" customHeight="1">
      <c r="E535" s="18"/>
      <c r="F535" s="18"/>
      <c r="G535" s="18"/>
      <c r="K535" s="18"/>
      <c r="L535" s="18"/>
      <c r="M535" s="18"/>
      <c r="N535" s="18"/>
      <c r="T535" s="18"/>
      <c r="U535" s="18"/>
      <c r="V535" s="18"/>
      <c r="W535" s="18"/>
    </row>
    <row r="536" ht="15.75" customHeight="1">
      <c r="E536" s="18"/>
      <c r="F536" s="18"/>
      <c r="G536" s="18"/>
      <c r="K536" s="18"/>
      <c r="L536" s="18"/>
      <c r="M536" s="18"/>
      <c r="N536" s="18"/>
      <c r="T536" s="18"/>
      <c r="U536" s="18"/>
      <c r="V536" s="18"/>
      <c r="W536" s="18"/>
    </row>
    <row r="537" ht="15.75" customHeight="1">
      <c r="E537" s="18"/>
      <c r="F537" s="18"/>
      <c r="G537" s="18"/>
      <c r="K537" s="18"/>
      <c r="L537" s="18"/>
      <c r="M537" s="18"/>
      <c r="N537" s="18"/>
      <c r="T537" s="18"/>
      <c r="U537" s="18"/>
      <c r="V537" s="18"/>
      <c r="W537" s="18"/>
    </row>
    <row r="538" ht="15.75" customHeight="1">
      <c r="E538" s="18"/>
      <c r="F538" s="18"/>
      <c r="G538" s="18"/>
      <c r="K538" s="18"/>
      <c r="L538" s="18"/>
      <c r="M538" s="18"/>
      <c r="N538" s="18"/>
      <c r="T538" s="18"/>
      <c r="U538" s="18"/>
      <c r="V538" s="18"/>
      <c r="W538" s="18"/>
    </row>
    <row r="539" ht="15.75" customHeight="1">
      <c r="E539" s="18"/>
      <c r="F539" s="18"/>
      <c r="G539" s="18"/>
      <c r="K539" s="18"/>
      <c r="L539" s="18"/>
      <c r="M539" s="18"/>
      <c r="N539" s="18"/>
      <c r="T539" s="18"/>
      <c r="U539" s="18"/>
      <c r="V539" s="18"/>
      <c r="W539" s="18"/>
    </row>
    <row r="540" ht="15.75" customHeight="1">
      <c r="E540" s="18"/>
      <c r="F540" s="18"/>
      <c r="G540" s="18"/>
      <c r="K540" s="18"/>
      <c r="L540" s="18"/>
      <c r="M540" s="18"/>
      <c r="N540" s="18"/>
      <c r="T540" s="18"/>
      <c r="U540" s="18"/>
      <c r="V540" s="18"/>
      <c r="W540" s="18"/>
    </row>
    <row r="541" ht="15.75" customHeight="1">
      <c r="E541" s="18"/>
      <c r="F541" s="18"/>
      <c r="G541" s="18"/>
      <c r="K541" s="18"/>
      <c r="L541" s="18"/>
      <c r="M541" s="18"/>
      <c r="N541" s="18"/>
      <c r="T541" s="18"/>
      <c r="U541" s="18"/>
      <c r="V541" s="18"/>
      <c r="W541" s="18"/>
    </row>
    <row r="542" ht="15.75" customHeight="1">
      <c r="E542" s="18"/>
      <c r="F542" s="18"/>
      <c r="G542" s="18"/>
      <c r="K542" s="18"/>
      <c r="L542" s="18"/>
      <c r="M542" s="18"/>
      <c r="N542" s="18"/>
      <c r="T542" s="18"/>
      <c r="U542" s="18"/>
      <c r="V542" s="18"/>
      <c r="W542" s="18"/>
    </row>
    <row r="543" ht="15.75" customHeight="1">
      <c r="E543" s="18"/>
      <c r="F543" s="18"/>
      <c r="G543" s="18"/>
      <c r="K543" s="18"/>
      <c r="L543" s="18"/>
      <c r="M543" s="18"/>
      <c r="N543" s="18"/>
      <c r="T543" s="18"/>
      <c r="U543" s="18"/>
      <c r="V543" s="18"/>
      <c r="W543" s="18"/>
    </row>
    <row r="544" ht="15.75" customHeight="1">
      <c r="E544" s="18"/>
      <c r="F544" s="18"/>
      <c r="G544" s="18"/>
      <c r="K544" s="18"/>
      <c r="L544" s="18"/>
      <c r="M544" s="18"/>
      <c r="N544" s="18"/>
      <c r="T544" s="18"/>
      <c r="U544" s="18"/>
      <c r="V544" s="18"/>
      <c r="W544" s="18"/>
    </row>
    <row r="545" ht="15.75" customHeight="1">
      <c r="E545" s="18"/>
      <c r="F545" s="18"/>
      <c r="G545" s="18"/>
      <c r="K545" s="18"/>
      <c r="L545" s="18"/>
      <c r="M545" s="18"/>
      <c r="N545" s="18"/>
      <c r="T545" s="18"/>
      <c r="U545" s="18"/>
      <c r="V545" s="18"/>
      <c r="W545" s="18"/>
    </row>
    <row r="546" ht="15.75" customHeight="1">
      <c r="E546" s="18"/>
      <c r="F546" s="18"/>
      <c r="G546" s="18"/>
      <c r="K546" s="18"/>
      <c r="L546" s="18"/>
      <c r="M546" s="18"/>
      <c r="N546" s="18"/>
      <c r="T546" s="18"/>
      <c r="U546" s="18"/>
      <c r="V546" s="18"/>
      <c r="W546" s="18"/>
    </row>
    <row r="547" ht="15.75" customHeight="1">
      <c r="E547" s="18"/>
      <c r="F547" s="18"/>
      <c r="G547" s="18"/>
      <c r="K547" s="18"/>
      <c r="L547" s="18"/>
      <c r="M547" s="18"/>
    </row>
    <row r="548" ht="15.75" customHeight="1">
      <c r="E548" s="18"/>
      <c r="F548" s="18"/>
      <c r="G548" s="18"/>
      <c r="K548" s="18"/>
      <c r="L548" s="18"/>
      <c r="M548" s="18"/>
    </row>
    <row r="549" ht="15.75" customHeight="1">
      <c r="E549" s="18"/>
      <c r="F549" s="18"/>
      <c r="G549" s="18"/>
      <c r="K549" s="18"/>
      <c r="L549" s="18"/>
      <c r="M549" s="18"/>
    </row>
    <row r="550" ht="15.75" customHeight="1">
      <c r="E550" s="18"/>
      <c r="F550" s="18"/>
      <c r="G550" s="18"/>
      <c r="K550" s="18"/>
      <c r="L550" s="18"/>
      <c r="M550" s="18"/>
    </row>
    <row r="551" ht="15.75" customHeight="1">
      <c r="E551" s="18"/>
      <c r="F551" s="18"/>
      <c r="G551" s="18"/>
      <c r="K551" s="18"/>
      <c r="L551" s="18"/>
      <c r="M551" s="18"/>
    </row>
    <row r="552" ht="15.75" customHeight="1">
      <c r="E552" s="18"/>
      <c r="F552" s="18"/>
      <c r="G552" s="18"/>
      <c r="K552" s="18"/>
      <c r="L552" s="18"/>
      <c r="M552" s="18"/>
    </row>
    <row r="553" ht="15.75" customHeight="1">
      <c r="E553" s="18"/>
      <c r="F553" s="18"/>
      <c r="G553" s="18"/>
      <c r="K553" s="18"/>
      <c r="L553" s="18"/>
      <c r="M553" s="18"/>
    </row>
    <row r="554" ht="15.75" customHeight="1">
      <c r="E554" s="18"/>
      <c r="F554" s="18"/>
      <c r="G554" s="18"/>
      <c r="K554" s="18"/>
      <c r="L554" s="18"/>
      <c r="M554" s="18"/>
    </row>
    <row r="555" ht="15.75" customHeight="1">
      <c r="E555" s="18"/>
      <c r="F555" s="18"/>
      <c r="G555" s="18"/>
      <c r="K555" s="18"/>
      <c r="L555" s="18"/>
      <c r="M555" s="18"/>
    </row>
    <row r="556" ht="15.75" customHeight="1">
      <c r="E556" s="18"/>
      <c r="F556" s="18"/>
      <c r="G556" s="18"/>
      <c r="K556" s="18"/>
      <c r="L556" s="18"/>
      <c r="M556" s="18"/>
    </row>
    <row r="557" ht="15.75" customHeight="1">
      <c r="E557" s="18"/>
      <c r="F557" s="18"/>
      <c r="G557" s="18"/>
      <c r="K557" s="18"/>
      <c r="L557" s="18"/>
      <c r="M557" s="18"/>
    </row>
    <row r="558" ht="15.75" customHeight="1">
      <c r="E558" s="18"/>
      <c r="F558" s="18"/>
      <c r="G558" s="18"/>
      <c r="K558" s="18"/>
      <c r="L558" s="18"/>
      <c r="M558" s="18"/>
    </row>
    <row r="559" ht="15.75" customHeight="1">
      <c r="E559" s="18"/>
      <c r="F559" s="18"/>
      <c r="G559" s="18"/>
      <c r="K559" s="18"/>
      <c r="L559" s="18"/>
      <c r="M559" s="18"/>
    </row>
    <row r="560" ht="15.75" customHeight="1">
      <c r="E560" s="18"/>
      <c r="F560" s="18"/>
      <c r="G560" s="18"/>
      <c r="K560" s="18"/>
      <c r="L560" s="18"/>
      <c r="M560" s="18"/>
    </row>
    <row r="561" ht="15.75" customHeight="1">
      <c r="E561" s="18"/>
      <c r="F561" s="18"/>
      <c r="G561" s="18"/>
      <c r="K561" s="18"/>
      <c r="L561" s="18"/>
      <c r="M561" s="18"/>
    </row>
    <row r="562" ht="15.75" customHeight="1">
      <c r="E562" s="18"/>
      <c r="F562" s="18"/>
      <c r="G562" s="18"/>
      <c r="K562" s="18"/>
      <c r="L562" s="18"/>
      <c r="M562" s="18"/>
    </row>
    <row r="563" ht="15.75" customHeight="1">
      <c r="E563" s="18"/>
      <c r="F563" s="18"/>
      <c r="G563" s="18"/>
      <c r="K563" s="18"/>
      <c r="L563" s="18"/>
      <c r="M563" s="18"/>
    </row>
    <row r="564" ht="15.75" customHeight="1">
      <c r="E564" s="18"/>
      <c r="F564" s="18"/>
      <c r="G564" s="18"/>
      <c r="K564" s="18"/>
      <c r="L564" s="18"/>
      <c r="M564" s="18"/>
    </row>
    <row r="565" ht="15.75" customHeight="1">
      <c r="E565" s="18"/>
      <c r="F565" s="18"/>
      <c r="G565" s="18"/>
      <c r="K565" s="18"/>
      <c r="L565" s="18"/>
      <c r="M565" s="18"/>
    </row>
    <row r="566" ht="15.75" customHeight="1">
      <c r="E566" s="18"/>
      <c r="F566" s="18"/>
      <c r="G566" s="18"/>
      <c r="K566" s="18"/>
      <c r="L566" s="18"/>
      <c r="M566" s="18"/>
    </row>
    <row r="567" ht="15.75" customHeight="1">
      <c r="E567" s="18"/>
      <c r="F567" s="18"/>
      <c r="G567" s="18"/>
      <c r="K567" s="18"/>
      <c r="L567" s="18"/>
      <c r="M567" s="18"/>
    </row>
    <row r="568" ht="15.75" customHeight="1">
      <c r="E568" s="18"/>
      <c r="F568" s="18"/>
      <c r="G568" s="18"/>
      <c r="K568" s="18"/>
      <c r="L568" s="18"/>
      <c r="M568" s="18"/>
    </row>
    <row r="569" ht="15.75" customHeight="1">
      <c r="E569" s="18"/>
      <c r="F569" s="18"/>
      <c r="G569" s="18"/>
      <c r="K569" s="18"/>
      <c r="L569" s="18"/>
      <c r="M569" s="18"/>
    </row>
    <row r="570" ht="15.75" customHeight="1">
      <c r="E570" s="18"/>
      <c r="F570" s="18"/>
      <c r="G570" s="18"/>
      <c r="K570" s="18"/>
      <c r="L570" s="18"/>
      <c r="M570" s="18"/>
    </row>
    <row r="571" ht="15.75" customHeight="1">
      <c r="E571" s="18"/>
      <c r="F571" s="18"/>
      <c r="G571" s="18"/>
      <c r="K571" s="18"/>
      <c r="L571" s="18"/>
      <c r="M571" s="18"/>
    </row>
    <row r="572" ht="15.75" customHeight="1">
      <c r="E572" s="18"/>
      <c r="F572" s="18"/>
      <c r="G572" s="18"/>
      <c r="K572" s="18"/>
      <c r="L572" s="18"/>
      <c r="M572" s="18"/>
    </row>
    <row r="573" ht="15.75" customHeight="1">
      <c r="E573" s="18"/>
      <c r="F573" s="18"/>
      <c r="G573" s="18"/>
      <c r="K573" s="18"/>
      <c r="L573" s="18"/>
      <c r="M573" s="18"/>
    </row>
    <row r="574" ht="15.75" customHeight="1">
      <c r="E574" s="18"/>
      <c r="F574" s="18"/>
      <c r="G574" s="18"/>
      <c r="K574" s="18"/>
      <c r="L574" s="18"/>
      <c r="M574" s="18"/>
    </row>
    <row r="575" ht="15.75" customHeight="1">
      <c r="E575" s="18"/>
      <c r="F575" s="18"/>
      <c r="G575" s="18"/>
      <c r="K575" s="18"/>
      <c r="L575" s="18"/>
      <c r="M575" s="18"/>
    </row>
    <row r="576" ht="15.75" customHeight="1">
      <c r="E576" s="18"/>
      <c r="F576" s="18"/>
      <c r="G576" s="18"/>
      <c r="K576" s="18"/>
      <c r="L576" s="18"/>
      <c r="M576" s="18"/>
    </row>
    <row r="577" ht="15.75" customHeight="1">
      <c r="E577" s="18"/>
      <c r="F577" s="18"/>
      <c r="G577" s="18"/>
      <c r="K577" s="18"/>
      <c r="L577" s="18"/>
      <c r="M577" s="18"/>
    </row>
    <row r="578" ht="15.75" customHeight="1">
      <c r="E578" s="18"/>
      <c r="F578" s="18"/>
      <c r="G578" s="18"/>
      <c r="K578" s="18"/>
      <c r="L578" s="18"/>
      <c r="M578" s="18"/>
    </row>
    <row r="579" ht="15.75" customHeight="1">
      <c r="E579" s="18"/>
      <c r="F579" s="18"/>
      <c r="G579" s="18"/>
      <c r="K579" s="18"/>
      <c r="L579" s="18"/>
      <c r="M579" s="18"/>
    </row>
    <row r="580" ht="15.75" customHeight="1">
      <c r="E580" s="18"/>
      <c r="F580" s="18"/>
      <c r="G580" s="18"/>
      <c r="K580" s="18"/>
      <c r="L580" s="18"/>
      <c r="M580" s="18"/>
    </row>
    <row r="581" ht="15.75" customHeight="1">
      <c r="E581" s="18"/>
      <c r="F581" s="18"/>
      <c r="G581" s="18"/>
      <c r="K581" s="18"/>
      <c r="L581" s="18"/>
      <c r="M581" s="18"/>
    </row>
    <row r="582" ht="15.75" customHeight="1">
      <c r="E582" s="18"/>
      <c r="F582" s="18"/>
      <c r="G582" s="18"/>
      <c r="K582" s="18"/>
      <c r="L582" s="18"/>
      <c r="M582" s="18"/>
    </row>
    <row r="583" ht="15.75" customHeight="1">
      <c r="E583" s="18"/>
      <c r="F583" s="18"/>
      <c r="G583" s="18"/>
      <c r="K583" s="18"/>
      <c r="L583" s="18"/>
      <c r="M583" s="18"/>
    </row>
    <row r="584" ht="15.75" customHeight="1">
      <c r="E584" s="18"/>
      <c r="F584" s="18"/>
      <c r="G584" s="18"/>
      <c r="K584" s="18"/>
      <c r="L584" s="18"/>
      <c r="M584" s="18"/>
    </row>
    <row r="585" ht="15.75" customHeight="1">
      <c r="E585" s="18"/>
      <c r="F585" s="18"/>
      <c r="G585" s="18"/>
      <c r="K585" s="18"/>
      <c r="L585" s="18"/>
      <c r="M585" s="18"/>
    </row>
    <row r="586" ht="15.75" customHeight="1">
      <c r="E586" s="18"/>
      <c r="F586" s="18"/>
      <c r="G586" s="18"/>
      <c r="K586" s="18"/>
      <c r="L586" s="18"/>
      <c r="M586" s="18"/>
    </row>
    <row r="587" ht="15.75" customHeight="1">
      <c r="E587" s="18"/>
      <c r="F587" s="18"/>
      <c r="G587" s="18"/>
      <c r="K587" s="18"/>
      <c r="L587" s="18"/>
      <c r="M587" s="18"/>
    </row>
    <row r="588" ht="15.75" customHeight="1">
      <c r="E588" s="18"/>
      <c r="F588" s="18"/>
      <c r="G588" s="18"/>
      <c r="K588" s="18"/>
      <c r="L588" s="18"/>
      <c r="M588" s="18"/>
    </row>
    <row r="589" ht="15.75" customHeight="1">
      <c r="E589" s="18"/>
      <c r="F589" s="18"/>
      <c r="G589" s="18"/>
      <c r="K589" s="18"/>
      <c r="L589" s="18"/>
      <c r="M589" s="18"/>
    </row>
    <row r="590" ht="15.75" customHeight="1">
      <c r="E590" s="18"/>
      <c r="F590" s="18"/>
      <c r="G590" s="18"/>
      <c r="K590" s="18"/>
      <c r="L590" s="18"/>
      <c r="M590" s="18"/>
    </row>
    <row r="591" ht="15.75" customHeight="1">
      <c r="E591" s="18"/>
      <c r="F591" s="18"/>
      <c r="G591" s="18"/>
      <c r="K591" s="18"/>
      <c r="L591" s="18"/>
      <c r="M591" s="18"/>
    </row>
    <row r="592" ht="15.75" customHeight="1">
      <c r="E592" s="18"/>
      <c r="F592" s="18"/>
      <c r="G592" s="18"/>
      <c r="K592" s="18"/>
      <c r="L592" s="18"/>
      <c r="M592" s="18"/>
    </row>
    <row r="593" ht="15.75" customHeight="1">
      <c r="E593" s="18"/>
      <c r="F593" s="18"/>
      <c r="G593" s="18"/>
      <c r="K593" s="18"/>
      <c r="L593" s="18"/>
      <c r="M593" s="18"/>
    </row>
    <row r="594" ht="15.75" customHeight="1">
      <c r="E594" s="18"/>
      <c r="F594" s="18"/>
      <c r="G594" s="18"/>
      <c r="K594" s="18"/>
      <c r="L594" s="18"/>
      <c r="M594" s="18"/>
    </row>
    <row r="595" ht="15.75" customHeight="1">
      <c r="E595" s="18"/>
      <c r="F595" s="18"/>
      <c r="G595" s="18"/>
      <c r="K595" s="18"/>
      <c r="L595" s="18"/>
      <c r="M595" s="18"/>
    </row>
    <row r="596" ht="15.75" customHeight="1">
      <c r="E596" s="18"/>
      <c r="F596" s="18"/>
      <c r="G596" s="18"/>
      <c r="K596" s="18"/>
      <c r="L596" s="18"/>
      <c r="M596" s="18"/>
    </row>
    <row r="597" ht="15.75" customHeight="1">
      <c r="E597" s="18"/>
      <c r="F597" s="18"/>
      <c r="G597" s="18"/>
      <c r="K597" s="18"/>
      <c r="L597" s="18"/>
      <c r="M597" s="18"/>
    </row>
    <row r="598" ht="15.75" customHeight="1">
      <c r="E598" s="18"/>
      <c r="F598" s="18"/>
      <c r="G598" s="18"/>
      <c r="K598" s="18"/>
      <c r="L598" s="18"/>
      <c r="M598" s="18"/>
    </row>
    <row r="599" ht="15.75" customHeight="1">
      <c r="E599" s="18"/>
      <c r="F599" s="18"/>
      <c r="G599" s="18"/>
      <c r="K599" s="18"/>
      <c r="L599" s="18"/>
      <c r="M599" s="18"/>
    </row>
    <row r="600" ht="15.75" customHeight="1">
      <c r="E600" s="18"/>
      <c r="F600" s="18"/>
      <c r="G600" s="18"/>
      <c r="K600" s="18"/>
      <c r="L600" s="18"/>
      <c r="M600" s="18"/>
    </row>
    <row r="601" ht="15.75" customHeight="1">
      <c r="E601" s="18"/>
      <c r="F601" s="18"/>
      <c r="G601" s="18"/>
      <c r="K601" s="18"/>
      <c r="L601" s="18"/>
      <c r="M601" s="18"/>
    </row>
    <row r="602" ht="15.75" customHeight="1">
      <c r="E602" s="18"/>
      <c r="F602" s="18"/>
      <c r="G602" s="18"/>
      <c r="K602" s="18"/>
      <c r="L602" s="18"/>
      <c r="M602" s="18"/>
    </row>
    <row r="603" ht="15.75" customHeight="1">
      <c r="E603" s="18"/>
      <c r="F603" s="18"/>
      <c r="G603" s="18"/>
      <c r="K603" s="18"/>
      <c r="L603" s="18"/>
      <c r="M603" s="18"/>
    </row>
    <row r="604" ht="15.75" customHeight="1">
      <c r="E604" s="18"/>
      <c r="F604" s="18"/>
      <c r="G604" s="18"/>
      <c r="K604" s="18"/>
      <c r="L604" s="18"/>
      <c r="M604" s="18"/>
    </row>
    <row r="605" ht="15.75" customHeight="1">
      <c r="E605" s="18"/>
      <c r="F605" s="18"/>
      <c r="G605" s="18"/>
      <c r="K605" s="18"/>
      <c r="L605" s="18"/>
      <c r="M605" s="18"/>
    </row>
    <row r="606" ht="15.75" customHeight="1">
      <c r="E606" s="18"/>
      <c r="F606" s="18"/>
      <c r="G606" s="18"/>
      <c r="K606" s="18"/>
      <c r="L606" s="18"/>
      <c r="M606" s="18"/>
    </row>
    <row r="607" ht="15.75" customHeight="1">
      <c r="E607" s="18"/>
      <c r="F607" s="18"/>
      <c r="G607" s="18"/>
      <c r="K607" s="18"/>
      <c r="L607" s="18"/>
      <c r="M607" s="18"/>
    </row>
    <row r="608" ht="15.75" customHeight="1">
      <c r="E608" s="18"/>
      <c r="F608" s="18"/>
      <c r="G608" s="18"/>
      <c r="K608" s="18"/>
      <c r="L608" s="18"/>
      <c r="M608" s="18"/>
    </row>
    <row r="609" ht="15.75" customHeight="1">
      <c r="E609" s="18"/>
      <c r="F609" s="18"/>
      <c r="G609" s="18"/>
      <c r="K609" s="18"/>
      <c r="L609" s="18"/>
      <c r="M609" s="18"/>
    </row>
    <row r="610" ht="15.75" customHeight="1">
      <c r="E610" s="18"/>
      <c r="F610" s="18"/>
      <c r="G610" s="18"/>
      <c r="K610" s="18"/>
      <c r="L610" s="18"/>
      <c r="M610" s="18"/>
    </row>
    <row r="611" ht="15.75" customHeight="1">
      <c r="E611" s="18"/>
      <c r="F611" s="18"/>
      <c r="G611" s="18"/>
      <c r="K611" s="18"/>
      <c r="L611" s="18"/>
      <c r="M611" s="18"/>
    </row>
    <row r="612" ht="15.75" customHeight="1">
      <c r="E612" s="18"/>
      <c r="F612" s="18"/>
      <c r="G612" s="18"/>
      <c r="K612" s="18"/>
      <c r="L612" s="18"/>
      <c r="M612" s="18"/>
    </row>
    <row r="613" ht="15.75" customHeight="1">
      <c r="E613" s="18"/>
      <c r="F613" s="18"/>
      <c r="G613" s="18"/>
      <c r="K613" s="18"/>
      <c r="L613" s="18"/>
      <c r="M613" s="18"/>
    </row>
    <row r="614" ht="15.75" customHeight="1">
      <c r="E614" s="18"/>
      <c r="F614" s="18"/>
      <c r="G614" s="18"/>
      <c r="K614" s="18"/>
      <c r="L614" s="18"/>
      <c r="M614" s="18"/>
    </row>
    <row r="615" ht="15.75" customHeight="1">
      <c r="E615" s="18"/>
      <c r="F615" s="18"/>
      <c r="G615" s="18"/>
      <c r="K615" s="18"/>
      <c r="L615" s="18"/>
      <c r="M615" s="18"/>
    </row>
    <row r="616" ht="15.75" customHeight="1">
      <c r="E616" s="18"/>
      <c r="F616" s="18"/>
      <c r="G616" s="18"/>
      <c r="K616" s="18"/>
      <c r="L616" s="18"/>
      <c r="M616" s="18"/>
    </row>
    <row r="617" ht="15.75" customHeight="1">
      <c r="E617" s="18"/>
      <c r="F617" s="18"/>
      <c r="G617" s="18"/>
      <c r="K617" s="18"/>
      <c r="L617" s="18"/>
      <c r="M617" s="18"/>
    </row>
    <row r="618" ht="15.75" customHeight="1">
      <c r="E618" s="18"/>
      <c r="F618" s="18"/>
      <c r="G618" s="18"/>
      <c r="K618" s="18"/>
      <c r="L618" s="18"/>
      <c r="M618" s="18"/>
    </row>
    <row r="619" ht="15.75" customHeight="1">
      <c r="E619" s="18"/>
      <c r="F619" s="18"/>
      <c r="G619" s="18"/>
      <c r="K619" s="18"/>
      <c r="L619" s="18"/>
      <c r="M619" s="18"/>
    </row>
    <row r="620" ht="15.75" customHeight="1">
      <c r="E620" s="18"/>
      <c r="F620" s="18"/>
      <c r="G620" s="18"/>
      <c r="K620" s="18"/>
      <c r="L620" s="18"/>
      <c r="M620" s="18"/>
    </row>
    <row r="621" ht="15.75" customHeight="1">
      <c r="E621" s="18"/>
      <c r="F621" s="18"/>
      <c r="G621" s="18"/>
      <c r="K621" s="18"/>
      <c r="L621" s="18"/>
      <c r="M621" s="18"/>
    </row>
    <row r="622" ht="15.75" customHeight="1">
      <c r="E622" s="18"/>
      <c r="F622" s="18"/>
      <c r="G622" s="18"/>
      <c r="K622" s="18"/>
      <c r="L622" s="18"/>
      <c r="M622" s="18"/>
    </row>
    <row r="623" ht="15.75" customHeight="1">
      <c r="E623" s="18"/>
      <c r="F623" s="18"/>
      <c r="G623" s="18"/>
      <c r="K623" s="18"/>
      <c r="L623" s="18"/>
      <c r="M623" s="18"/>
    </row>
    <row r="624" ht="15.75" customHeight="1">
      <c r="E624" s="18"/>
      <c r="F624" s="18"/>
      <c r="G624" s="18"/>
      <c r="K624" s="18"/>
      <c r="L624" s="18"/>
      <c r="M624" s="18"/>
    </row>
    <row r="625" ht="15.75" customHeight="1">
      <c r="E625" s="18"/>
      <c r="F625" s="18"/>
      <c r="G625" s="18"/>
      <c r="K625" s="18"/>
      <c r="L625" s="18"/>
      <c r="M625" s="18"/>
    </row>
    <row r="626" ht="15.75" customHeight="1">
      <c r="E626" s="18"/>
      <c r="F626" s="18"/>
      <c r="G626" s="18"/>
      <c r="K626" s="18"/>
      <c r="L626" s="18"/>
      <c r="M626" s="18"/>
    </row>
    <row r="627" ht="15.75" customHeight="1">
      <c r="E627" s="18"/>
      <c r="F627" s="18"/>
      <c r="G627" s="18"/>
      <c r="K627" s="18"/>
      <c r="L627" s="18"/>
      <c r="M627" s="18"/>
    </row>
    <row r="628" ht="15.75" customHeight="1">
      <c r="E628" s="18"/>
      <c r="F628" s="18"/>
      <c r="G628" s="18"/>
      <c r="K628" s="18"/>
      <c r="L628" s="18"/>
      <c r="M628" s="18"/>
    </row>
    <row r="629" ht="15.75" customHeight="1">
      <c r="E629" s="18"/>
      <c r="F629" s="18"/>
      <c r="G629" s="18"/>
      <c r="K629" s="18"/>
      <c r="L629" s="18"/>
      <c r="M629" s="18"/>
    </row>
    <row r="630" ht="15.75" customHeight="1">
      <c r="E630" s="18"/>
      <c r="F630" s="18"/>
      <c r="G630" s="18"/>
      <c r="K630" s="18"/>
      <c r="L630" s="18"/>
      <c r="M630" s="18"/>
    </row>
    <row r="631" ht="15.75" customHeight="1">
      <c r="E631" s="18"/>
      <c r="F631" s="18"/>
      <c r="G631" s="18"/>
      <c r="K631" s="18"/>
      <c r="L631" s="18"/>
      <c r="M631" s="18"/>
    </row>
    <row r="632" ht="15.75" customHeight="1">
      <c r="E632" s="18"/>
      <c r="F632" s="18"/>
      <c r="G632" s="18"/>
      <c r="K632" s="18"/>
      <c r="L632" s="18"/>
      <c r="M632" s="18"/>
    </row>
    <row r="633" ht="15.75" customHeight="1">
      <c r="E633" s="18"/>
      <c r="F633" s="18"/>
      <c r="G633" s="18"/>
      <c r="K633" s="18"/>
      <c r="L633" s="18"/>
      <c r="M633" s="18"/>
    </row>
    <row r="634" ht="15.75" customHeight="1">
      <c r="E634" s="18"/>
      <c r="F634" s="18"/>
      <c r="G634" s="18"/>
      <c r="K634" s="18"/>
      <c r="L634" s="18"/>
      <c r="M634" s="18"/>
    </row>
    <row r="635" ht="15.75" customHeight="1">
      <c r="E635" s="18"/>
      <c r="F635" s="18"/>
      <c r="G635" s="18"/>
      <c r="K635" s="18"/>
      <c r="L635" s="18"/>
      <c r="M635" s="18"/>
    </row>
    <row r="636" ht="15.75" customHeight="1">
      <c r="E636" s="18"/>
      <c r="F636" s="18"/>
      <c r="G636" s="18"/>
      <c r="K636" s="18"/>
      <c r="L636" s="18"/>
      <c r="M636" s="18"/>
    </row>
    <row r="637" ht="15.75" customHeight="1">
      <c r="E637" s="18"/>
      <c r="F637" s="18"/>
      <c r="G637" s="18"/>
      <c r="K637" s="18"/>
      <c r="L637" s="18"/>
      <c r="M637" s="18"/>
    </row>
    <row r="638" ht="15.75" customHeight="1">
      <c r="E638" s="18"/>
      <c r="F638" s="18"/>
      <c r="G638" s="18"/>
      <c r="K638" s="18"/>
      <c r="L638" s="18"/>
      <c r="M638" s="18"/>
    </row>
    <row r="639" ht="15.75" customHeight="1">
      <c r="E639" s="18"/>
      <c r="F639" s="18"/>
      <c r="G639" s="18"/>
      <c r="K639" s="18"/>
      <c r="L639" s="18"/>
      <c r="M639" s="18"/>
    </row>
    <row r="640" ht="15.75" customHeight="1">
      <c r="E640" s="18"/>
      <c r="F640" s="18"/>
      <c r="G640" s="18"/>
      <c r="K640" s="18"/>
      <c r="L640" s="18"/>
      <c r="M640" s="18"/>
    </row>
    <row r="641" ht="15.75" customHeight="1">
      <c r="E641" s="18"/>
      <c r="F641" s="18"/>
      <c r="G641" s="18"/>
      <c r="K641" s="18"/>
      <c r="L641" s="18"/>
      <c r="M641" s="18"/>
    </row>
    <row r="642" ht="15.75" customHeight="1">
      <c r="E642" s="18"/>
      <c r="F642" s="18"/>
      <c r="G642" s="18"/>
      <c r="K642" s="18"/>
      <c r="L642" s="18"/>
      <c r="M642" s="18"/>
    </row>
    <row r="643" ht="15.75" customHeight="1">
      <c r="E643" s="18"/>
      <c r="F643" s="18"/>
      <c r="G643" s="18"/>
      <c r="K643" s="18"/>
      <c r="L643" s="18"/>
      <c r="M643" s="18"/>
    </row>
    <row r="644" ht="15.75" customHeight="1">
      <c r="E644" s="18"/>
      <c r="F644" s="18"/>
      <c r="G644" s="18"/>
      <c r="K644" s="18"/>
      <c r="L644" s="18"/>
      <c r="M644" s="18"/>
    </row>
    <row r="645" ht="15.75" customHeight="1">
      <c r="E645" s="18"/>
      <c r="F645" s="18"/>
      <c r="G645" s="18"/>
      <c r="K645" s="18"/>
      <c r="L645" s="18"/>
      <c r="M645" s="18"/>
    </row>
    <row r="646" ht="15.75" customHeight="1">
      <c r="E646" s="18"/>
      <c r="F646" s="18"/>
      <c r="G646" s="18"/>
      <c r="K646" s="18"/>
      <c r="L646" s="18"/>
      <c r="M646" s="18"/>
    </row>
    <row r="647" ht="15.75" customHeight="1">
      <c r="E647" s="18"/>
      <c r="F647" s="18"/>
      <c r="G647" s="18"/>
      <c r="K647" s="18"/>
      <c r="L647" s="18"/>
      <c r="M647" s="18"/>
    </row>
    <row r="648" ht="15.75" customHeight="1">
      <c r="E648" s="18"/>
      <c r="F648" s="18"/>
      <c r="G648" s="18"/>
      <c r="K648" s="18"/>
      <c r="L648" s="18"/>
      <c r="M648" s="18"/>
    </row>
    <row r="649" ht="15.75" customHeight="1">
      <c r="E649" s="18"/>
      <c r="F649" s="18"/>
      <c r="G649" s="18"/>
      <c r="K649" s="18"/>
      <c r="L649" s="18"/>
      <c r="M649" s="18"/>
    </row>
    <row r="650" ht="15.75" customHeight="1">
      <c r="E650" s="18"/>
      <c r="F650" s="18"/>
      <c r="G650" s="18"/>
      <c r="K650" s="18"/>
      <c r="L650" s="18"/>
      <c r="M650" s="18"/>
    </row>
    <row r="651" ht="15.75" customHeight="1">
      <c r="E651" s="18"/>
      <c r="F651" s="18"/>
      <c r="G651" s="18"/>
      <c r="K651" s="18"/>
      <c r="L651" s="18"/>
      <c r="M651" s="18"/>
    </row>
    <row r="652" ht="15.75" customHeight="1">
      <c r="E652" s="18"/>
      <c r="F652" s="18"/>
      <c r="G652" s="18"/>
      <c r="K652" s="18"/>
      <c r="L652" s="18"/>
      <c r="M652" s="18"/>
    </row>
    <row r="653" ht="15.75" customHeight="1">
      <c r="E653" s="18"/>
      <c r="F653" s="18"/>
      <c r="G653" s="18"/>
      <c r="K653" s="18"/>
      <c r="L653" s="18"/>
      <c r="M653" s="18"/>
    </row>
    <row r="654" ht="15.75" customHeight="1">
      <c r="E654" s="18"/>
      <c r="F654" s="18"/>
      <c r="G654" s="18"/>
      <c r="K654" s="18"/>
      <c r="L654" s="18"/>
      <c r="M654" s="18"/>
    </row>
    <row r="655" ht="15.75" customHeight="1">
      <c r="E655" s="18"/>
      <c r="F655" s="18"/>
      <c r="G655" s="18"/>
      <c r="K655" s="18"/>
      <c r="L655" s="18"/>
      <c r="M655" s="18"/>
    </row>
    <row r="656" ht="15.75" customHeight="1">
      <c r="E656" s="18"/>
      <c r="F656" s="18"/>
      <c r="G656" s="18"/>
      <c r="K656" s="18"/>
      <c r="L656" s="18"/>
      <c r="M656" s="18"/>
    </row>
    <row r="657" ht="15.75" customHeight="1">
      <c r="E657" s="18"/>
      <c r="F657" s="18"/>
      <c r="G657" s="18"/>
      <c r="K657" s="18"/>
      <c r="L657" s="18"/>
      <c r="M657" s="18"/>
    </row>
    <row r="658" ht="15.75" customHeight="1">
      <c r="E658" s="18"/>
      <c r="F658" s="18"/>
      <c r="G658" s="18"/>
      <c r="K658" s="18"/>
      <c r="L658" s="18"/>
      <c r="M658" s="18"/>
    </row>
    <row r="659" ht="15.75" customHeight="1">
      <c r="E659" s="18"/>
      <c r="F659" s="18"/>
      <c r="G659" s="18"/>
      <c r="K659" s="18"/>
      <c r="L659" s="18"/>
      <c r="M659" s="18"/>
    </row>
    <row r="660" ht="15.75" customHeight="1">
      <c r="E660" s="18"/>
      <c r="F660" s="18"/>
      <c r="G660" s="18"/>
      <c r="K660" s="18"/>
      <c r="L660" s="18"/>
      <c r="M660" s="18"/>
    </row>
    <row r="661" ht="15.75" customHeight="1">
      <c r="E661" s="18"/>
      <c r="F661" s="18"/>
      <c r="G661" s="18"/>
      <c r="K661" s="18"/>
      <c r="L661" s="18"/>
      <c r="M661" s="18"/>
    </row>
    <row r="662" ht="15.75" customHeight="1">
      <c r="E662" s="18"/>
      <c r="F662" s="18"/>
      <c r="G662" s="18"/>
      <c r="K662" s="18"/>
      <c r="L662" s="18"/>
      <c r="M662" s="18"/>
    </row>
    <row r="663" ht="15.75" customHeight="1">
      <c r="E663" s="18"/>
      <c r="F663" s="18"/>
      <c r="G663" s="18"/>
      <c r="K663" s="18"/>
      <c r="L663" s="18"/>
      <c r="M663" s="18"/>
    </row>
    <row r="664" ht="15.75" customHeight="1">
      <c r="E664" s="18"/>
      <c r="F664" s="18"/>
      <c r="G664" s="18"/>
      <c r="K664" s="18"/>
      <c r="L664" s="18"/>
      <c r="M664" s="18"/>
    </row>
    <row r="665" ht="15.75" customHeight="1">
      <c r="E665" s="18"/>
      <c r="F665" s="18"/>
      <c r="G665" s="18"/>
      <c r="K665" s="18"/>
      <c r="L665" s="18"/>
      <c r="M665" s="18"/>
    </row>
    <row r="666" ht="15.75" customHeight="1">
      <c r="E666" s="18"/>
      <c r="F666" s="18"/>
      <c r="G666" s="18"/>
      <c r="K666" s="18"/>
      <c r="L666" s="18"/>
      <c r="M666" s="18"/>
    </row>
    <row r="667" ht="15.75" customHeight="1">
      <c r="E667" s="18"/>
      <c r="F667" s="18"/>
      <c r="G667" s="18"/>
      <c r="K667" s="18"/>
      <c r="L667" s="18"/>
      <c r="M667" s="18"/>
    </row>
    <row r="668" ht="15.75" customHeight="1">
      <c r="E668" s="18"/>
      <c r="F668" s="18"/>
      <c r="G668" s="18"/>
      <c r="K668" s="18"/>
      <c r="L668" s="18"/>
      <c r="M668" s="18"/>
    </row>
    <row r="669" ht="15.75" customHeight="1">
      <c r="E669" s="18"/>
      <c r="F669" s="18"/>
      <c r="G669" s="18"/>
      <c r="K669" s="18"/>
      <c r="L669" s="18"/>
      <c r="M669" s="18"/>
    </row>
    <row r="670" ht="15.75" customHeight="1">
      <c r="E670" s="18"/>
      <c r="F670" s="18"/>
      <c r="G670" s="18"/>
      <c r="K670" s="18"/>
      <c r="L670" s="18"/>
      <c r="M670" s="18"/>
    </row>
    <row r="671" ht="15.75" customHeight="1">
      <c r="E671" s="18"/>
      <c r="F671" s="18"/>
      <c r="G671" s="18"/>
      <c r="K671" s="18"/>
      <c r="L671" s="18"/>
      <c r="M671" s="18"/>
    </row>
    <row r="672" ht="15.75" customHeight="1">
      <c r="E672" s="18"/>
      <c r="F672" s="18"/>
      <c r="G672" s="18"/>
      <c r="K672" s="18"/>
      <c r="L672" s="18"/>
      <c r="M672" s="18"/>
    </row>
    <row r="673" ht="15.75" customHeight="1">
      <c r="E673" s="18"/>
      <c r="F673" s="18"/>
      <c r="G673" s="18"/>
      <c r="K673" s="18"/>
      <c r="L673" s="18"/>
      <c r="M673" s="18"/>
    </row>
    <row r="674" ht="15.75" customHeight="1">
      <c r="E674" s="18"/>
      <c r="F674" s="18"/>
      <c r="G674" s="18"/>
      <c r="K674" s="18"/>
      <c r="L674" s="18"/>
      <c r="M674" s="18"/>
    </row>
    <row r="675" ht="15.75" customHeight="1">
      <c r="E675" s="18"/>
      <c r="F675" s="18"/>
      <c r="G675" s="18"/>
      <c r="K675" s="18"/>
      <c r="L675" s="18"/>
      <c r="M675" s="18"/>
    </row>
    <row r="676" ht="15.75" customHeight="1">
      <c r="E676" s="18"/>
      <c r="F676" s="18"/>
      <c r="G676" s="18"/>
      <c r="K676" s="18"/>
      <c r="L676" s="18"/>
      <c r="M676" s="18"/>
    </row>
    <row r="677" ht="15.75" customHeight="1">
      <c r="E677" s="18"/>
      <c r="F677" s="18"/>
      <c r="G677" s="18"/>
      <c r="K677" s="18"/>
      <c r="L677" s="18"/>
      <c r="M677" s="18"/>
    </row>
    <row r="678" ht="15.75" customHeight="1">
      <c r="E678" s="18"/>
      <c r="F678" s="18"/>
      <c r="G678" s="18"/>
      <c r="K678" s="18"/>
      <c r="L678" s="18"/>
      <c r="M678" s="18"/>
    </row>
    <row r="679" ht="15.75" customHeight="1">
      <c r="E679" s="18"/>
      <c r="F679" s="18"/>
      <c r="G679" s="18"/>
      <c r="K679" s="18"/>
      <c r="L679" s="18"/>
      <c r="M679" s="18"/>
    </row>
    <row r="680" ht="15.75" customHeight="1">
      <c r="E680" s="18"/>
      <c r="F680" s="18"/>
      <c r="G680" s="18"/>
      <c r="K680" s="18"/>
      <c r="L680" s="18"/>
      <c r="M680" s="18"/>
    </row>
    <row r="681" ht="15.75" customHeight="1">
      <c r="E681" s="18"/>
      <c r="F681" s="18"/>
      <c r="G681" s="18"/>
      <c r="K681" s="18"/>
      <c r="L681" s="18"/>
      <c r="M681" s="18"/>
    </row>
    <row r="682" ht="15.75" customHeight="1">
      <c r="E682" s="18"/>
      <c r="F682" s="18"/>
      <c r="G682" s="18"/>
      <c r="K682" s="18"/>
      <c r="L682" s="18"/>
      <c r="M682" s="18"/>
    </row>
    <row r="683" ht="15.75" customHeight="1">
      <c r="E683" s="18"/>
      <c r="F683" s="18"/>
      <c r="G683" s="18"/>
      <c r="K683" s="18"/>
      <c r="L683" s="18"/>
      <c r="M683" s="18"/>
    </row>
    <row r="684" ht="15.75" customHeight="1">
      <c r="E684" s="18"/>
      <c r="F684" s="18"/>
      <c r="G684" s="18"/>
      <c r="K684" s="18"/>
      <c r="L684" s="18"/>
      <c r="M684" s="18"/>
    </row>
    <row r="685" ht="15.75" customHeight="1">
      <c r="E685" s="18"/>
      <c r="F685" s="18"/>
      <c r="G685" s="18"/>
      <c r="K685" s="18"/>
      <c r="L685" s="18"/>
      <c r="M685" s="18"/>
    </row>
    <row r="686" ht="15.75" customHeight="1">
      <c r="E686" s="18"/>
      <c r="F686" s="18"/>
      <c r="G686" s="18"/>
      <c r="K686" s="18"/>
      <c r="L686" s="18"/>
      <c r="M686" s="18"/>
    </row>
    <row r="687" ht="15.75" customHeight="1">
      <c r="E687" s="18"/>
      <c r="F687" s="18"/>
      <c r="G687" s="18"/>
      <c r="K687" s="18"/>
      <c r="L687" s="18"/>
      <c r="M687" s="18"/>
    </row>
    <row r="688" ht="15.75" customHeight="1">
      <c r="E688" s="18"/>
      <c r="F688" s="18"/>
      <c r="G688" s="18"/>
      <c r="K688" s="18"/>
      <c r="L688" s="18"/>
      <c r="M688" s="18"/>
    </row>
    <row r="689" ht="15.75" customHeight="1">
      <c r="E689" s="18"/>
      <c r="F689" s="18"/>
      <c r="G689" s="18"/>
      <c r="K689" s="18"/>
      <c r="L689" s="18"/>
      <c r="M689" s="18"/>
    </row>
    <row r="690" ht="15.75" customHeight="1">
      <c r="E690" s="18"/>
      <c r="F690" s="18"/>
      <c r="G690" s="18"/>
      <c r="K690" s="18"/>
      <c r="L690" s="18"/>
      <c r="M690" s="18"/>
    </row>
    <row r="691" ht="15.75" customHeight="1">
      <c r="E691" s="18"/>
      <c r="F691" s="18"/>
      <c r="G691" s="18"/>
      <c r="K691" s="18"/>
      <c r="L691" s="18"/>
      <c r="M691" s="18"/>
    </row>
    <row r="692" ht="15.75" customHeight="1">
      <c r="E692" s="18"/>
      <c r="F692" s="18"/>
      <c r="G692" s="18"/>
      <c r="K692" s="18"/>
      <c r="L692" s="18"/>
      <c r="M692" s="18"/>
    </row>
    <row r="693" ht="15.75" customHeight="1">
      <c r="E693" s="18"/>
      <c r="F693" s="18"/>
      <c r="G693" s="18"/>
      <c r="K693" s="18"/>
      <c r="L693" s="18"/>
      <c r="M693" s="18"/>
    </row>
    <row r="694" ht="15.75" customHeight="1">
      <c r="E694" s="18"/>
      <c r="F694" s="18"/>
      <c r="G694" s="18"/>
      <c r="K694" s="18"/>
      <c r="L694" s="18"/>
      <c r="M694" s="18"/>
    </row>
    <row r="695" ht="15.75" customHeight="1">
      <c r="E695" s="18"/>
      <c r="F695" s="18"/>
      <c r="G695" s="18"/>
      <c r="K695" s="18"/>
      <c r="L695" s="18"/>
      <c r="M695" s="18"/>
    </row>
    <row r="696" ht="15.75" customHeight="1">
      <c r="E696" s="18"/>
      <c r="F696" s="18"/>
      <c r="G696" s="18"/>
      <c r="K696" s="18"/>
      <c r="L696" s="18"/>
      <c r="M696" s="18"/>
    </row>
    <row r="697" ht="15.75" customHeight="1">
      <c r="E697" s="18"/>
      <c r="F697" s="18"/>
      <c r="G697" s="18"/>
      <c r="K697" s="18"/>
      <c r="L697" s="18"/>
      <c r="M697" s="18"/>
    </row>
    <row r="698" ht="15.75" customHeight="1">
      <c r="E698" s="18"/>
      <c r="F698" s="18"/>
      <c r="G698" s="18"/>
      <c r="K698" s="18"/>
      <c r="L698" s="18"/>
      <c r="M698" s="18"/>
    </row>
    <row r="699" ht="15.75" customHeight="1">
      <c r="E699" s="18"/>
      <c r="F699" s="18"/>
      <c r="G699" s="18"/>
      <c r="K699" s="18"/>
      <c r="L699" s="18"/>
      <c r="M699" s="18"/>
    </row>
    <row r="700" ht="15.75" customHeight="1">
      <c r="E700" s="18"/>
      <c r="F700" s="18"/>
      <c r="G700" s="18"/>
      <c r="K700" s="18"/>
      <c r="L700" s="18"/>
      <c r="M700" s="18"/>
    </row>
    <row r="701" ht="15.75" customHeight="1">
      <c r="E701" s="18"/>
      <c r="F701" s="18"/>
      <c r="G701" s="18"/>
      <c r="K701" s="18"/>
      <c r="L701" s="18"/>
      <c r="M701" s="18"/>
    </row>
    <row r="702" ht="15.75" customHeight="1">
      <c r="E702" s="18"/>
      <c r="F702" s="18"/>
      <c r="G702" s="18"/>
      <c r="K702" s="18"/>
      <c r="L702" s="18"/>
      <c r="M702" s="18"/>
    </row>
    <row r="703" ht="15.75" customHeight="1">
      <c r="E703" s="18"/>
      <c r="F703" s="18"/>
      <c r="G703" s="18"/>
      <c r="K703" s="18"/>
      <c r="L703" s="18"/>
      <c r="M703" s="18"/>
    </row>
    <row r="704" ht="15.75" customHeight="1">
      <c r="E704" s="18"/>
      <c r="F704" s="18"/>
      <c r="G704" s="18"/>
      <c r="K704" s="18"/>
      <c r="L704" s="18"/>
      <c r="M704" s="18"/>
    </row>
    <row r="705" ht="15.75" customHeight="1">
      <c r="E705" s="18"/>
      <c r="F705" s="18"/>
      <c r="G705" s="18"/>
      <c r="K705" s="18"/>
      <c r="L705" s="18"/>
      <c r="M705" s="18"/>
    </row>
    <row r="706" ht="15.75" customHeight="1">
      <c r="E706" s="18"/>
      <c r="F706" s="18"/>
      <c r="G706" s="18"/>
      <c r="K706" s="18"/>
      <c r="L706" s="18"/>
      <c r="M706" s="18"/>
    </row>
    <row r="707" ht="15.75" customHeight="1">
      <c r="E707" s="18"/>
      <c r="F707" s="18"/>
      <c r="G707" s="18"/>
      <c r="K707" s="18"/>
      <c r="L707" s="18"/>
      <c r="M707" s="18"/>
    </row>
    <row r="708" ht="15.75" customHeight="1">
      <c r="E708" s="18"/>
      <c r="F708" s="18"/>
      <c r="G708" s="18"/>
      <c r="K708" s="18"/>
      <c r="L708" s="18"/>
      <c r="M708" s="18"/>
    </row>
    <row r="709" ht="15.75" customHeight="1">
      <c r="E709" s="18"/>
      <c r="F709" s="18"/>
      <c r="G709" s="18"/>
      <c r="K709" s="18"/>
      <c r="L709" s="18"/>
      <c r="M709" s="18"/>
    </row>
    <row r="710" ht="15.75" customHeight="1">
      <c r="E710" s="18"/>
      <c r="F710" s="18"/>
      <c r="G710" s="18"/>
      <c r="K710" s="18"/>
      <c r="L710" s="18"/>
      <c r="M710" s="18"/>
    </row>
    <row r="711" ht="15.75" customHeight="1">
      <c r="E711" s="18"/>
      <c r="F711" s="18"/>
      <c r="G711" s="18"/>
      <c r="K711" s="18"/>
      <c r="L711" s="18"/>
      <c r="M711" s="18"/>
    </row>
    <row r="712" ht="15.75" customHeight="1">
      <c r="E712" s="18"/>
      <c r="F712" s="18"/>
      <c r="G712" s="18"/>
      <c r="K712" s="18"/>
      <c r="L712" s="18"/>
      <c r="M712" s="18"/>
    </row>
    <row r="713" ht="15.75" customHeight="1">
      <c r="E713" s="18"/>
      <c r="F713" s="18"/>
      <c r="G713" s="18"/>
      <c r="K713" s="18"/>
      <c r="L713" s="18"/>
      <c r="M713" s="18"/>
    </row>
    <row r="714" ht="15.75" customHeight="1">
      <c r="E714" s="18"/>
      <c r="F714" s="18"/>
      <c r="G714" s="18"/>
      <c r="K714" s="18"/>
      <c r="L714" s="18"/>
      <c r="M714" s="18"/>
    </row>
    <row r="715" ht="15.75" customHeight="1">
      <c r="E715" s="18"/>
      <c r="F715" s="18"/>
      <c r="G715" s="18"/>
      <c r="K715" s="18"/>
      <c r="L715" s="18"/>
      <c r="M715" s="18"/>
    </row>
    <row r="716" ht="15.75" customHeight="1">
      <c r="E716" s="18"/>
      <c r="F716" s="18"/>
      <c r="G716" s="18"/>
      <c r="K716" s="18"/>
      <c r="L716" s="18"/>
      <c r="M716" s="18"/>
    </row>
    <row r="717" ht="15.75" customHeight="1">
      <c r="E717" s="18"/>
      <c r="F717" s="18"/>
      <c r="G717" s="18"/>
      <c r="K717" s="18"/>
      <c r="L717" s="18"/>
      <c r="M717" s="18"/>
    </row>
    <row r="718" ht="15.75" customHeight="1">
      <c r="E718" s="18"/>
      <c r="F718" s="18"/>
      <c r="G718" s="18"/>
      <c r="K718" s="18"/>
      <c r="L718" s="18"/>
      <c r="M718" s="18"/>
    </row>
    <row r="719" ht="15.75" customHeight="1">
      <c r="E719" s="18"/>
      <c r="F719" s="18"/>
      <c r="G719" s="18"/>
      <c r="K719" s="18"/>
      <c r="L719" s="18"/>
      <c r="M719" s="18"/>
    </row>
    <row r="720" ht="15.75" customHeight="1">
      <c r="E720" s="18"/>
      <c r="F720" s="18"/>
      <c r="G720" s="18"/>
      <c r="K720" s="18"/>
      <c r="L720" s="18"/>
      <c r="M720" s="18"/>
    </row>
    <row r="721" ht="15.75" customHeight="1">
      <c r="E721" s="18"/>
      <c r="F721" s="18"/>
      <c r="G721" s="18"/>
      <c r="K721" s="18"/>
      <c r="L721" s="18"/>
      <c r="M721" s="18"/>
    </row>
    <row r="722" ht="15.75" customHeight="1">
      <c r="E722" s="18"/>
      <c r="F722" s="18"/>
      <c r="G722" s="18"/>
      <c r="K722" s="18"/>
      <c r="L722" s="18"/>
      <c r="M722" s="18"/>
    </row>
    <row r="723" ht="15.75" customHeight="1">
      <c r="E723" s="18"/>
      <c r="F723" s="18"/>
      <c r="G723" s="18"/>
      <c r="K723" s="18"/>
      <c r="L723" s="18"/>
      <c r="M723" s="18"/>
    </row>
    <row r="724" ht="15.75" customHeight="1">
      <c r="E724" s="18"/>
      <c r="F724" s="18"/>
      <c r="G724" s="18"/>
      <c r="K724" s="18"/>
      <c r="L724" s="18"/>
      <c r="M724" s="18"/>
    </row>
    <row r="725" ht="15.75" customHeight="1">
      <c r="E725" s="18"/>
      <c r="F725" s="18"/>
      <c r="G725" s="18"/>
      <c r="K725" s="18"/>
      <c r="L725" s="18"/>
      <c r="M725" s="18"/>
    </row>
    <row r="726" ht="15.75" customHeight="1">
      <c r="E726" s="18"/>
      <c r="F726" s="18"/>
      <c r="G726" s="18"/>
      <c r="K726" s="18"/>
      <c r="L726" s="18"/>
      <c r="M726" s="18"/>
    </row>
    <row r="727" ht="15.75" customHeight="1">
      <c r="E727" s="18"/>
      <c r="F727" s="18"/>
      <c r="G727" s="18"/>
      <c r="K727" s="18"/>
      <c r="L727" s="18"/>
      <c r="M727" s="18"/>
    </row>
    <row r="728" ht="15.75" customHeight="1">
      <c r="E728" s="18"/>
      <c r="F728" s="18"/>
      <c r="G728" s="18"/>
      <c r="K728" s="18"/>
      <c r="L728" s="18"/>
      <c r="M728" s="18"/>
    </row>
    <row r="729" ht="15.75" customHeight="1">
      <c r="E729" s="18"/>
      <c r="F729" s="18"/>
      <c r="G729" s="18"/>
      <c r="K729" s="18"/>
      <c r="L729" s="18"/>
      <c r="M729" s="18"/>
    </row>
    <row r="730" ht="15.75" customHeight="1">
      <c r="E730" s="18"/>
      <c r="F730" s="18"/>
      <c r="G730" s="18"/>
      <c r="K730" s="18"/>
      <c r="L730" s="18"/>
      <c r="M730" s="18"/>
    </row>
    <row r="731" ht="15.75" customHeight="1">
      <c r="E731" s="18"/>
      <c r="F731" s="18"/>
      <c r="G731" s="18"/>
      <c r="K731" s="18"/>
      <c r="L731" s="18"/>
      <c r="M731" s="18"/>
    </row>
    <row r="732" ht="15.75" customHeight="1">
      <c r="E732" s="18"/>
      <c r="F732" s="18"/>
      <c r="G732" s="18"/>
      <c r="K732" s="18"/>
      <c r="L732" s="18"/>
      <c r="M732" s="18"/>
    </row>
    <row r="733" ht="15.75" customHeight="1">
      <c r="E733" s="18"/>
      <c r="F733" s="18"/>
      <c r="G733" s="18"/>
      <c r="K733" s="18"/>
      <c r="L733" s="18"/>
      <c r="M733" s="18"/>
    </row>
    <row r="734" ht="15.75" customHeight="1">
      <c r="E734" s="18"/>
      <c r="F734" s="18"/>
      <c r="G734" s="18"/>
      <c r="K734" s="18"/>
      <c r="L734" s="18"/>
      <c r="M734" s="18"/>
    </row>
    <row r="735" ht="15.75" customHeight="1">
      <c r="E735" s="18"/>
      <c r="F735" s="18"/>
      <c r="G735" s="18"/>
      <c r="K735" s="18"/>
      <c r="L735" s="18"/>
      <c r="M735" s="18"/>
    </row>
    <row r="736" ht="15.75" customHeight="1">
      <c r="E736" s="18"/>
      <c r="F736" s="18"/>
      <c r="G736" s="18"/>
      <c r="K736" s="18"/>
      <c r="L736" s="18"/>
      <c r="M736" s="18"/>
    </row>
    <row r="737" ht="15.75" customHeight="1">
      <c r="E737" s="18"/>
      <c r="F737" s="18"/>
      <c r="G737" s="18"/>
      <c r="K737" s="18"/>
      <c r="L737" s="18"/>
      <c r="M737" s="18"/>
    </row>
    <row r="738" ht="15.75" customHeight="1">
      <c r="E738" s="18"/>
      <c r="F738" s="18"/>
      <c r="G738" s="18"/>
      <c r="K738" s="18"/>
      <c r="L738" s="18"/>
      <c r="M738" s="18"/>
    </row>
    <row r="739" ht="15.75" customHeight="1">
      <c r="E739" s="18"/>
      <c r="F739" s="18"/>
      <c r="G739" s="18"/>
      <c r="K739" s="18"/>
      <c r="L739" s="18"/>
      <c r="M739" s="18"/>
    </row>
    <row r="740" ht="15.75" customHeight="1">
      <c r="E740" s="18"/>
      <c r="F740" s="18"/>
      <c r="G740" s="18"/>
      <c r="K740" s="18"/>
      <c r="L740" s="18"/>
      <c r="M740" s="18"/>
    </row>
    <row r="741" ht="15.75" customHeight="1">
      <c r="E741" s="18"/>
      <c r="F741" s="18"/>
      <c r="G741" s="18"/>
      <c r="K741" s="18"/>
      <c r="L741" s="18"/>
      <c r="M741" s="18"/>
    </row>
    <row r="742" ht="15.75" customHeight="1">
      <c r="E742" s="18"/>
      <c r="F742" s="18"/>
      <c r="G742" s="18"/>
      <c r="K742" s="18"/>
      <c r="L742" s="18"/>
      <c r="M742" s="18"/>
    </row>
    <row r="743" ht="15.75" customHeight="1">
      <c r="E743" s="18"/>
      <c r="F743" s="18"/>
      <c r="G743" s="18"/>
      <c r="K743" s="18"/>
      <c r="L743" s="18"/>
      <c r="M743" s="18"/>
    </row>
    <row r="744" ht="15.75" customHeight="1">
      <c r="E744" s="18"/>
      <c r="F744" s="18"/>
      <c r="G744" s="18"/>
      <c r="K744" s="18"/>
      <c r="L744" s="18"/>
      <c r="M744" s="18"/>
    </row>
    <row r="745" ht="15.75" customHeight="1">
      <c r="E745" s="18"/>
      <c r="F745" s="18"/>
      <c r="G745" s="18"/>
      <c r="K745" s="18"/>
      <c r="L745" s="18"/>
      <c r="M745" s="18"/>
    </row>
    <row r="746" ht="15.75" customHeight="1">
      <c r="E746" s="18"/>
      <c r="F746" s="18"/>
      <c r="G746" s="18"/>
      <c r="K746" s="18"/>
      <c r="L746" s="18"/>
      <c r="M746" s="18"/>
    </row>
    <row r="747" ht="15.75" customHeight="1">
      <c r="E747" s="18"/>
      <c r="F747" s="18"/>
      <c r="G747" s="18"/>
      <c r="K747" s="18"/>
      <c r="L747" s="18"/>
      <c r="M747" s="18"/>
    </row>
    <row r="748" ht="15.75" customHeight="1">
      <c r="E748" s="18"/>
      <c r="F748" s="18"/>
      <c r="G748" s="18"/>
      <c r="K748" s="18"/>
      <c r="L748" s="18"/>
      <c r="M748" s="18"/>
    </row>
    <row r="749" ht="15.75" customHeight="1">
      <c r="E749" s="18"/>
      <c r="F749" s="18"/>
      <c r="G749" s="18"/>
      <c r="K749" s="18"/>
      <c r="L749" s="18"/>
      <c r="M749" s="18"/>
    </row>
    <row r="750" ht="15.75" customHeight="1">
      <c r="E750" s="18"/>
      <c r="F750" s="18"/>
      <c r="G750" s="18"/>
      <c r="K750" s="18"/>
      <c r="L750" s="18"/>
      <c r="M750" s="18"/>
    </row>
    <row r="751" ht="15.75" customHeight="1">
      <c r="E751" s="18"/>
      <c r="F751" s="18"/>
      <c r="G751" s="18"/>
      <c r="K751" s="18"/>
      <c r="L751" s="18"/>
      <c r="M751" s="18"/>
    </row>
    <row r="752" ht="15.75" customHeight="1">
      <c r="E752" s="18"/>
      <c r="F752" s="18"/>
      <c r="G752" s="18"/>
      <c r="K752" s="18"/>
      <c r="L752" s="18"/>
      <c r="M752" s="18"/>
    </row>
    <row r="753" ht="15.75" customHeight="1">
      <c r="E753" s="18"/>
      <c r="F753" s="18"/>
      <c r="G753" s="18"/>
      <c r="K753" s="18"/>
      <c r="L753" s="18"/>
      <c r="M753" s="18"/>
    </row>
    <row r="754" ht="15.75" customHeight="1">
      <c r="E754" s="18"/>
      <c r="F754" s="18"/>
      <c r="G754" s="18"/>
      <c r="K754" s="18"/>
      <c r="L754" s="18"/>
      <c r="M754" s="18"/>
    </row>
    <row r="755" ht="15.75" customHeight="1">
      <c r="E755" s="18"/>
      <c r="F755" s="18"/>
      <c r="G755" s="18"/>
      <c r="K755" s="18"/>
      <c r="L755" s="18"/>
      <c r="M755" s="18"/>
    </row>
    <row r="756" ht="15.75" customHeight="1">
      <c r="E756" s="18"/>
      <c r="F756" s="18"/>
      <c r="G756" s="18"/>
      <c r="K756" s="18"/>
      <c r="L756" s="18"/>
      <c r="M756" s="18"/>
    </row>
    <row r="757" ht="15.75" customHeight="1">
      <c r="E757" s="18"/>
      <c r="F757" s="18"/>
      <c r="G757" s="18"/>
      <c r="K757" s="18"/>
      <c r="L757" s="18"/>
      <c r="M757" s="18"/>
    </row>
    <row r="758" ht="15.75" customHeight="1">
      <c r="E758" s="18"/>
      <c r="F758" s="18"/>
      <c r="G758" s="18"/>
      <c r="K758" s="18"/>
      <c r="L758" s="18"/>
      <c r="M758" s="18"/>
    </row>
    <row r="759" ht="15.75" customHeight="1">
      <c r="E759" s="18"/>
      <c r="F759" s="18"/>
      <c r="G759" s="18"/>
      <c r="K759" s="18"/>
      <c r="L759" s="18"/>
      <c r="M759" s="18"/>
    </row>
    <row r="760" ht="15.75" customHeight="1">
      <c r="E760" s="18"/>
      <c r="F760" s="18"/>
      <c r="G760" s="18"/>
      <c r="K760" s="18"/>
      <c r="L760" s="18"/>
      <c r="M760" s="18"/>
    </row>
    <row r="761" ht="15.75" customHeight="1">
      <c r="E761" s="18"/>
      <c r="F761" s="18"/>
      <c r="G761" s="18"/>
      <c r="K761" s="18"/>
      <c r="L761" s="18"/>
      <c r="M761" s="18"/>
    </row>
    <row r="762" ht="15.75" customHeight="1">
      <c r="E762" s="18"/>
      <c r="F762" s="18"/>
      <c r="G762" s="18"/>
      <c r="K762" s="18"/>
      <c r="L762" s="18"/>
      <c r="M762" s="18"/>
    </row>
    <row r="763" ht="15.75" customHeight="1">
      <c r="E763" s="18"/>
      <c r="F763" s="18"/>
      <c r="G763" s="18"/>
      <c r="K763" s="18"/>
      <c r="L763" s="18"/>
      <c r="M763" s="18"/>
    </row>
    <row r="764" ht="15.75" customHeight="1">
      <c r="E764" s="18"/>
      <c r="F764" s="18"/>
      <c r="G764" s="18"/>
      <c r="K764" s="18"/>
      <c r="L764" s="18"/>
      <c r="M764" s="18"/>
    </row>
    <row r="765" ht="15.75" customHeight="1">
      <c r="E765" s="18"/>
      <c r="F765" s="18"/>
      <c r="G765" s="18"/>
      <c r="K765" s="18"/>
      <c r="L765" s="18"/>
      <c r="M765" s="18"/>
    </row>
    <row r="766" ht="15.75" customHeight="1">
      <c r="E766" s="18"/>
      <c r="F766" s="18"/>
      <c r="G766" s="18"/>
      <c r="K766" s="18"/>
      <c r="L766" s="18"/>
      <c r="M766" s="18"/>
    </row>
    <row r="767" ht="15.75" customHeight="1">
      <c r="E767" s="18"/>
      <c r="F767" s="18"/>
      <c r="G767" s="18"/>
      <c r="K767" s="18"/>
      <c r="L767" s="18"/>
      <c r="M767" s="18"/>
    </row>
    <row r="768" ht="15.75" customHeight="1">
      <c r="E768" s="18"/>
      <c r="F768" s="18"/>
      <c r="G768" s="18"/>
      <c r="K768" s="18"/>
      <c r="L768" s="18"/>
      <c r="M768" s="18"/>
    </row>
    <row r="769" ht="15.75" customHeight="1">
      <c r="E769" s="18"/>
      <c r="F769" s="18"/>
      <c r="G769" s="18"/>
      <c r="K769" s="18"/>
      <c r="L769" s="18"/>
      <c r="M769" s="18"/>
    </row>
    <row r="770" ht="15.75" customHeight="1">
      <c r="E770" s="18"/>
      <c r="F770" s="18"/>
      <c r="G770" s="18"/>
      <c r="K770" s="18"/>
      <c r="L770" s="18"/>
      <c r="M770" s="18"/>
    </row>
    <row r="771" ht="15.75" customHeight="1">
      <c r="E771" s="18"/>
      <c r="F771" s="18"/>
      <c r="G771" s="18"/>
      <c r="K771" s="18"/>
      <c r="L771" s="18"/>
      <c r="M771" s="18"/>
    </row>
    <row r="772" ht="15.75" customHeight="1">
      <c r="E772" s="18"/>
      <c r="F772" s="18"/>
      <c r="G772" s="18"/>
      <c r="K772" s="18"/>
      <c r="L772" s="18"/>
      <c r="M772" s="18"/>
    </row>
    <row r="773" ht="15.75" customHeight="1">
      <c r="E773" s="18"/>
      <c r="F773" s="18"/>
      <c r="G773" s="18"/>
      <c r="K773" s="18"/>
      <c r="L773" s="18"/>
      <c r="M773" s="18"/>
    </row>
    <row r="774" ht="15.75" customHeight="1">
      <c r="E774" s="18"/>
      <c r="F774" s="18"/>
      <c r="G774" s="18"/>
      <c r="K774" s="18"/>
      <c r="L774" s="18"/>
      <c r="M774" s="18"/>
    </row>
    <row r="775" ht="15.75" customHeight="1">
      <c r="E775" s="18"/>
      <c r="F775" s="18"/>
      <c r="G775" s="18"/>
      <c r="K775" s="18"/>
      <c r="L775" s="18"/>
      <c r="M775" s="18"/>
    </row>
    <row r="776" ht="15.75" customHeight="1">
      <c r="E776" s="18"/>
      <c r="F776" s="18"/>
      <c r="G776" s="18"/>
      <c r="K776" s="18"/>
      <c r="L776" s="18"/>
      <c r="M776" s="18"/>
    </row>
    <row r="777" ht="15.75" customHeight="1">
      <c r="E777" s="18"/>
      <c r="F777" s="18"/>
      <c r="G777" s="18"/>
      <c r="K777" s="18"/>
      <c r="L777" s="18"/>
      <c r="M777" s="18"/>
    </row>
    <row r="778" ht="15.75" customHeight="1">
      <c r="E778" s="18"/>
      <c r="F778" s="18"/>
      <c r="G778" s="18"/>
      <c r="K778" s="18"/>
      <c r="L778" s="18"/>
      <c r="M778" s="18"/>
    </row>
    <row r="779" ht="15.75" customHeight="1">
      <c r="E779" s="18"/>
      <c r="F779" s="18"/>
      <c r="G779" s="18"/>
      <c r="K779" s="18"/>
      <c r="L779" s="18"/>
      <c r="M779" s="18"/>
    </row>
    <row r="780" ht="15.75" customHeight="1">
      <c r="E780" s="18"/>
      <c r="F780" s="18"/>
      <c r="G780" s="18"/>
      <c r="K780" s="18"/>
      <c r="L780" s="18"/>
      <c r="M780" s="18"/>
    </row>
    <row r="781" ht="15.75" customHeight="1">
      <c r="E781" s="18"/>
      <c r="F781" s="18"/>
      <c r="G781" s="18"/>
      <c r="K781" s="18"/>
      <c r="L781" s="18"/>
      <c r="M781" s="18"/>
    </row>
    <row r="782" ht="15.75" customHeight="1">
      <c r="E782" s="18"/>
      <c r="F782" s="18"/>
      <c r="G782" s="18"/>
      <c r="K782" s="18"/>
      <c r="L782" s="18"/>
      <c r="M782" s="18"/>
    </row>
    <row r="783" ht="15.75" customHeight="1">
      <c r="E783" s="18"/>
      <c r="F783" s="18"/>
      <c r="G783" s="18"/>
      <c r="K783" s="18"/>
      <c r="L783" s="18"/>
      <c r="M783" s="18"/>
    </row>
    <row r="784" ht="15.75" customHeight="1">
      <c r="E784" s="18"/>
      <c r="F784" s="18"/>
      <c r="G784" s="18"/>
      <c r="K784" s="18"/>
      <c r="L784" s="18"/>
      <c r="M784" s="18"/>
    </row>
    <row r="785" ht="15.75" customHeight="1">
      <c r="E785" s="18"/>
      <c r="F785" s="18"/>
      <c r="G785" s="18"/>
      <c r="K785" s="18"/>
      <c r="L785" s="18"/>
      <c r="M785" s="18"/>
    </row>
    <row r="786" ht="15.75" customHeight="1">
      <c r="E786" s="18"/>
      <c r="F786" s="18"/>
      <c r="G786" s="18"/>
      <c r="K786" s="18"/>
      <c r="L786" s="18"/>
      <c r="M786" s="18"/>
    </row>
    <row r="787" ht="15.75" customHeight="1">
      <c r="E787" s="18"/>
      <c r="F787" s="18"/>
      <c r="G787" s="18"/>
      <c r="K787" s="18"/>
      <c r="L787" s="18"/>
      <c r="M787" s="18"/>
    </row>
    <row r="788" ht="15.75" customHeight="1">
      <c r="E788" s="18"/>
      <c r="F788" s="18"/>
      <c r="G788" s="18"/>
      <c r="K788" s="18"/>
      <c r="L788" s="18"/>
      <c r="M788" s="18"/>
    </row>
    <row r="789" ht="15.75" customHeight="1">
      <c r="E789" s="18"/>
      <c r="F789" s="18"/>
      <c r="G789" s="18"/>
      <c r="K789" s="18"/>
      <c r="L789" s="18"/>
      <c r="M789" s="18"/>
    </row>
    <row r="790" ht="15.75" customHeight="1">
      <c r="E790" s="18"/>
      <c r="F790" s="18"/>
      <c r="G790" s="18"/>
      <c r="K790" s="18"/>
      <c r="L790" s="18"/>
      <c r="M790" s="18"/>
    </row>
    <row r="791" ht="15.75" customHeight="1">
      <c r="E791" s="18"/>
      <c r="F791" s="18"/>
      <c r="G791" s="18"/>
      <c r="K791" s="18"/>
      <c r="L791" s="18"/>
      <c r="M791" s="18"/>
    </row>
    <row r="792" ht="15.75" customHeight="1">
      <c r="E792" s="18"/>
      <c r="F792" s="18"/>
      <c r="G792" s="18"/>
      <c r="K792" s="18"/>
      <c r="L792" s="18"/>
      <c r="M792" s="18"/>
    </row>
    <row r="793" ht="15.75" customHeight="1">
      <c r="E793" s="18"/>
      <c r="F793" s="18"/>
      <c r="G793" s="18"/>
      <c r="K793" s="18"/>
      <c r="L793" s="18"/>
      <c r="M793" s="18"/>
    </row>
    <row r="794" ht="15.75" customHeight="1">
      <c r="E794" s="18"/>
      <c r="F794" s="18"/>
      <c r="G794" s="18"/>
      <c r="K794" s="18"/>
      <c r="L794" s="18"/>
      <c r="M794" s="18"/>
    </row>
    <row r="795" ht="15.75" customHeight="1">
      <c r="E795" s="18"/>
      <c r="F795" s="18"/>
      <c r="G795" s="18"/>
      <c r="K795" s="18"/>
      <c r="L795" s="18"/>
      <c r="M795" s="18"/>
    </row>
    <row r="796" ht="15.75" customHeight="1">
      <c r="E796" s="18"/>
      <c r="F796" s="18"/>
      <c r="G796" s="18"/>
      <c r="K796" s="18"/>
      <c r="L796" s="18"/>
      <c r="M796" s="18"/>
    </row>
    <row r="797" ht="15.75" customHeight="1">
      <c r="E797" s="18"/>
      <c r="F797" s="18"/>
      <c r="G797" s="18"/>
      <c r="K797" s="18"/>
      <c r="L797" s="18"/>
      <c r="M797" s="18"/>
    </row>
    <row r="798" ht="15.75" customHeight="1">
      <c r="E798" s="18"/>
      <c r="F798" s="18"/>
      <c r="G798" s="18"/>
      <c r="K798" s="18"/>
      <c r="L798" s="18"/>
      <c r="M798" s="18"/>
    </row>
    <row r="799" ht="15.75" customHeight="1">
      <c r="E799" s="18"/>
      <c r="F799" s="18"/>
      <c r="G799" s="18"/>
      <c r="K799" s="18"/>
      <c r="L799" s="18"/>
      <c r="M799" s="18"/>
    </row>
    <row r="800" ht="15.75" customHeight="1">
      <c r="E800" s="18"/>
      <c r="F800" s="18"/>
      <c r="G800" s="18"/>
      <c r="K800" s="18"/>
      <c r="L800" s="18"/>
      <c r="M800" s="18"/>
    </row>
    <row r="801" ht="15.75" customHeight="1">
      <c r="E801" s="18"/>
      <c r="F801" s="18"/>
      <c r="G801" s="18"/>
      <c r="K801" s="18"/>
      <c r="L801" s="18"/>
      <c r="M801" s="18"/>
    </row>
    <row r="802" ht="15.75" customHeight="1">
      <c r="E802" s="18"/>
      <c r="F802" s="18"/>
      <c r="G802" s="18"/>
      <c r="K802" s="18"/>
      <c r="L802" s="18"/>
      <c r="M802" s="18"/>
    </row>
    <row r="803" ht="15.75" customHeight="1">
      <c r="E803" s="18"/>
      <c r="F803" s="18"/>
      <c r="G803" s="18"/>
      <c r="K803" s="18"/>
      <c r="L803" s="18"/>
      <c r="M803" s="18"/>
    </row>
    <row r="804" ht="15.75" customHeight="1">
      <c r="E804" s="18"/>
      <c r="F804" s="18"/>
      <c r="G804" s="18"/>
      <c r="K804" s="18"/>
      <c r="L804" s="18"/>
      <c r="M804" s="18"/>
    </row>
    <row r="805" ht="15.75" customHeight="1">
      <c r="E805" s="18"/>
      <c r="F805" s="18"/>
      <c r="G805" s="18"/>
      <c r="K805" s="18"/>
      <c r="L805" s="18"/>
      <c r="M805" s="18"/>
    </row>
    <row r="806" ht="15.75" customHeight="1">
      <c r="E806" s="18"/>
      <c r="F806" s="18"/>
      <c r="G806" s="18"/>
      <c r="K806" s="18"/>
      <c r="L806" s="18"/>
      <c r="M806" s="18"/>
    </row>
    <row r="807" ht="15.75" customHeight="1">
      <c r="E807" s="18"/>
      <c r="F807" s="18"/>
      <c r="G807" s="18"/>
      <c r="K807" s="18"/>
      <c r="L807" s="18"/>
      <c r="M807" s="18"/>
    </row>
    <row r="808" ht="15.75" customHeight="1">
      <c r="E808" s="18"/>
      <c r="F808" s="18"/>
      <c r="G808" s="18"/>
      <c r="K808" s="18"/>
      <c r="L808" s="18"/>
      <c r="M808" s="18"/>
    </row>
    <row r="809" ht="15.75" customHeight="1">
      <c r="E809" s="18"/>
      <c r="F809" s="18"/>
      <c r="G809" s="18"/>
      <c r="K809" s="18"/>
      <c r="L809" s="18"/>
      <c r="M809" s="18"/>
    </row>
    <row r="810" ht="15.75" customHeight="1">
      <c r="E810" s="18"/>
      <c r="F810" s="18"/>
      <c r="G810" s="18"/>
      <c r="K810" s="18"/>
      <c r="L810" s="18"/>
      <c r="M810" s="18"/>
    </row>
    <row r="811" ht="15.75" customHeight="1">
      <c r="E811" s="18"/>
      <c r="F811" s="18"/>
      <c r="G811" s="18"/>
      <c r="K811" s="18"/>
      <c r="L811" s="18"/>
      <c r="M811" s="18"/>
    </row>
    <row r="812" ht="15.75" customHeight="1">
      <c r="E812" s="18"/>
      <c r="F812" s="18"/>
      <c r="G812" s="18"/>
      <c r="K812" s="18"/>
      <c r="L812" s="18"/>
      <c r="M812" s="18"/>
    </row>
    <row r="813" ht="15.75" customHeight="1">
      <c r="E813" s="18"/>
      <c r="F813" s="18"/>
      <c r="G813" s="18"/>
      <c r="K813" s="18"/>
      <c r="L813" s="18"/>
      <c r="M813" s="18"/>
    </row>
    <row r="814" ht="15.75" customHeight="1">
      <c r="E814" s="18"/>
      <c r="F814" s="18"/>
      <c r="G814" s="18"/>
      <c r="K814" s="18"/>
      <c r="L814" s="18"/>
      <c r="M814" s="18"/>
    </row>
    <row r="815" ht="15.75" customHeight="1">
      <c r="E815" s="18"/>
      <c r="F815" s="18"/>
      <c r="G815" s="18"/>
      <c r="K815" s="18"/>
      <c r="L815" s="18"/>
      <c r="M815" s="18"/>
    </row>
    <row r="816" ht="15.75" customHeight="1">
      <c r="E816" s="18"/>
      <c r="F816" s="18"/>
      <c r="G816" s="18"/>
      <c r="K816" s="18"/>
      <c r="L816" s="18"/>
      <c r="M816" s="18"/>
    </row>
    <row r="817" ht="15.75" customHeight="1">
      <c r="E817" s="18"/>
      <c r="F817" s="18"/>
      <c r="G817" s="18"/>
      <c r="K817" s="18"/>
      <c r="L817" s="18"/>
      <c r="M817" s="18"/>
    </row>
    <row r="818" ht="15.75" customHeight="1">
      <c r="E818" s="18"/>
      <c r="F818" s="18"/>
      <c r="G818" s="18"/>
      <c r="K818" s="18"/>
      <c r="L818" s="18"/>
      <c r="M818" s="18"/>
    </row>
    <row r="819" ht="15.75" customHeight="1">
      <c r="E819" s="18"/>
      <c r="F819" s="18"/>
      <c r="G819" s="18"/>
      <c r="K819" s="18"/>
      <c r="L819" s="18"/>
      <c r="M819" s="18"/>
    </row>
    <row r="820" ht="15.75" customHeight="1">
      <c r="E820" s="18"/>
      <c r="F820" s="18"/>
      <c r="G820" s="18"/>
      <c r="K820" s="18"/>
      <c r="L820" s="18"/>
      <c r="M820" s="18"/>
    </row>
    <row r="821" ht="15.75" customHeight="1">
      <c r="E821" s="18"/>
      <c r="F821" s="18"/>
      <c r="G821" s="18"/>
      <c r="K821" s="18"/>
      <c r="L821" s="18"/>
      <c r="M821" s="18"/>
    </row>
    <row r="822" ht="15.75" customHeight="1">
      <c r="E822" s="18"/>
      <c r="F822" s="18"/>
      <c r="G822" s="18"/>
      <c r="K822" s="18"/>
      <c r="L822" s="18"/>
      <c r="M822" s="18"/>
    </row>
    <row r="823" ht="15.75" customHeight="1">
      <c r="E823" s="18"/>
      <c r="F823" s="18"/>
      <c r="G823" s="18"/>
      <c r="K823" s="18"/>
      <c r="L823" s="18"/>
      <c r="M823" s="18"/>
    </row>
    <row r="824" ht="15.75" customHeight="1">
      <c r="E824" s="18"/>
      <c r="F824" s="18"/>
      <c r="G824" s="18"/>
      <c r="K824" s="18"/>
      <c r="L824" s="18"/>
      <c r="M824" s="18"/>
    </row>
    <row r="825" ht="15.75" customHeight="1">
      <c r="E825" s="18"/>
      <c r="F825" s="18"/>
      <c r="G825" s="18"/>
      <c r="K825" s="18"/>
      <c r="L825" s="18"/>
      <c r="M825" s="18"/>
    </row>
    <row r="826" ht="15.75" customHeight="1">
      <c r="E826" s="18"/>
      <c r="F826" s="18"/>
      <c r="G826" s="18"/>
      <c r="K826" s="18"/>
      <c r="L826" s="18"/>
      <c r="M826" s="18"/>
    </row>
    <row r="827" ht="15.75" customHeight="1">
      <c r="E827" s="18"/>
      <c r="F827" s="18"/>
      <c r="G827" s="18"/>
      <c r="K827" s="18"/>
      <c r="L827" s="18"/>
      <c r="M827" s="18"/>
    </row>
    <row r="828" ht="15.75" customHeight="1">
      <c r="E828" s="18"/>
      <c r="F828" s="18"/>
      <c r="G828" s="18"/>
      <c r="K828" s="18"/>
      <c r="L828" s="18"/>
      <c r="M828" s="18"/>
    </row>
    <row r="829" ht="15.75" customHeight="1">
      <c r="E829" s="18"/>
      <c r="F829" s="18"/>
      <c r="G829" s="18"/>
      <c r="K829" s="18"/>
      <c r="L829" s="18"/>
      <c r="M829" s="18"/>
    </row>
    <row r="830" ht="15.75" customHeight="1">
      <c r="E830" s="18"/>
      <c r="F830" s="18"/>
      <c r="G830" s="18"/>
      <c r="K830" s="18"/>
      <c r="L830" s="18"/>
      <c r="M830" s="18"/>
    </row>
    <row r="831" ht="15.75" customHeight="1">
      <c r="E831" s="18"/>
      <c r="F831" s="18"/>
      <c r="G831" s="18"/>
      <c r="K831" s="18"/>
      <c r="L831" s="18"/>
      <c r="M831" s="18"/>
    </row>
    <row r="832" ht="15.75" customHeight="1">
      <c r="E832" s="18"/>
      <c r="F832" s="18"/>
      <c r="G832" s="18"/>
      <c r="K832" s="18"/>
      <c r="L832" s="18"/>
      <c r="M832" s="18"/>
    </row>
    <row r="833" ht="15.75" customHeight="1">
      <c r="E833" s="18"/>
      <c r="F833" s="18"/>
      <c r="G833" s="18"/>
      <c r="K833" s="18"/>
      <c r="L833" s="18"/>
      <c r="M833" s="18"/>
    </row>
    <row r="834" ht="15.75" customHeight="1">
      <c r="E834" s="18"/>
      <c r="F834" s="18"/>
      <c r="G834" s="18"/>
      <c r="K834" s="18"/>
      <c r="L834" s="18"/>
      <c r="M834" s="18"/>
    </row>
    <row r="835" ht="15.75" customHeight="1">
      <c r="E835" s="18"/>
      <c r="F835" s="18"/>
      <c r="G835" s="18"/>
      <c r="K835" s="18"/>
      <c r="L835" s="18"/>
      <c r="M835" s="18"/>
    </row>
    <row r="836" ht="15.75" customHeight="1">
      <c r="E836" s="18"/>
      <c r="F836" s="18"/>
      <c r="G836" s="18"/>
      <c r="K836" s="18"/>
      <c r="L836" s="18"/>
      <c r="M836" s="18"/>
    </row>
    <row r="837" ht="15.75" customHeight="1">
      <c r="E837" s="18"/>
      <c r="F837" s="18"/>
      <c r="G837" s="18"/>
      <c r="K837" s="18"/>
      <c r="L837" s="18"/>
      <c r="M837" s="18"/>
    </row>
    <row r="838" ht="15.75" customHeight="1">
      <c r="E838" s="18"/>
      <c r="F838" s="18"/>
      <c r="G838" s="18"/>
      <c r="K838" s="18"/>
      <c r="L838" s="18"/>
      <c r="M838" s="18"/>
    </row>
    <row r="839" ht="15.75" customHeight="1">
      <c r="E839" s="18"/>
      <c r="F839" s="18"/>
      <c r="G839" s="18"/>
      <c r="K839" s="18"/>
      <c r="L839" s="18"/>
      <c r="M839" s="18"/>
    </row>
    <row r="840" ht="15.75" customHeight="1">
      <c r="E840" s="18"/>
      <c r="F840" s="18"/>
      <c r="G840" s="18"/>
      <c r="K840" s="18"/>
      <c r="L840" s="18"/>
      <c r="M840" s="18"/>
    </row>
    <row r="841" ht="15.75" customHeight="1">
      <c r="E841" s="18"/>
      <c r="F841" s="18"/>
      <c r="G841" s="18"/>
      <c r="K841" s="18"/>
      <c r="L841" s="18"/>
      <c r="M841" s="18"/>
    </row>
    <row r="842" ht="15.75" customHeight="1">
      <c r="E842" s="18"/>
      <c r="F842" s="18"/>
      <c r="G842" s="18"/>
      <c r="K842" s="18"/>
      <c r="L842" s="18"/>
      <c r="M842" s="18"/>
    </row>
    <row r="843" ht="15.75" customHeight="1">
      <c r="E843" s="18"/>
      <c r="F843" s="18"/>
      <c r="G843" s="18"/>
      <c r="K843" s="18"/>
      <c r="L843" s="18"/>
      <c r="M843" s="18"/>
    </row>
    <row r="844" ht="15.75" customHeight="1">
      <c r="E844" s="18"/>
      <c r="F844" s="18"/>
      <c r="G844" s="18"/>
      <c r="K844" s="18"/>
      <c r="L844" s="18"/>
      <c r="M844" s="18"/>
    </row>
    <row r="845" ht="15.75" customHeight="1">
      <c r="E845" s="18"/>
      <c r="F845" s="18"/>
      <c r="G845" s="18"/>
      <c r="K845" s="18"/>
      <c r="L845" s="18"/>
      <c r="M845" s="18"/>
    </row>
    <row r="846" ht="15.75" customHeight="1">
      <c r="E846" s="18"/>
      <c r="F846" s="18"/>
      <c r="G846" s="18"/>
      <c r="K846" s="18"/>
      <c r="L846" s="18"/>
      <c r="M846" s="18"/>
    </row>
    <row r="847" ht="15.75" customHeight="1">
      <c r="E847" s="18"/>
      <c r="F847" s="18"/>
      <c r="G847" s="18"/>
      <c r="K847" s="18"/>
      <c r="L847" s="18"/>
      <c r="M847" s="18"/>
    </row>
    <row r="848" ht="15.75" customHeight="1">
      <c r="E848" s="18"/>
      <c r="F848" s="18"/>
      <c r="G848" s="18"/>
      <c r="K848" s="18"/>
      <c r="L848" s="18"/>
      <c r="M848" s="18"/>
    </row>
    <row r="849" ht="15.75" customHeight="1">
      <c r="E849" s="18"/>
      <c r="F849" s="18"/>
      <c r="G849" s="18"/>
      <c r="K849" s="18"/>
      <c r="L849" s="18"/>
      <c r="M849" s="18"/>
    </row>
    <row r="850" ht="15.75" customHeight="1">
      <c r="E850" s="18"/>
      <c r="F850" s="18"/>
      <c r="G850" s="18"/>
      <c r="K850" s="18"/>
      <c r="L850" s="18"/>
      <c r="M850" s="18"/>
    </row>
    <row r="851" ht="15.75" customHeight="1">
      <c r="E851" s="18"/>
      <c r="F851" s="18"/>
      <c r="G851" s="18"/>
      <c r="K851" s="18"/>
      <c r="L851" s="18"/>
      <c r="M851" s="18"/>
    </row>
    <row r="852" ht="15.75" customHeight="1">
      <c r="E852" s="18"/>
      <c r="F852" s="18"/>
      <c r="G852" s="18"/>
      <c r="K852" s="18"/>
      <c r="L852" s="18"/>
      <c r="M852" s="18"/>
    </row>
    <row r="853" ht="15.75" customHeight="1">
      <c r="E853" s="18"/>
      <c r="F853" s="18"/>
      <c r="G853" s="18"/>
      <c r="K853" s="18"/>
      <c r="L853" s="18"/>
      <c r="M853" s="18"/>
    </row>
    <row r="854" ht="15.75" customHeight="1">
      <c r="E854" s="18"/>
      <c r="F854" s="18"/>
      <c r="G854" s="18"/>
      <c r="K854" s="18"/>
      <c r="L854" s="18"/>
      <c r="M854" s="18"/>
    </row>
    <row r="855" ht="15.75" customHeight="1">
      <c r="E855" s="18"/>
      <c r="F855" s="18"/>
      <c r="G855" s="18"/>
      <c r="K855" s="18"/>
      <c r="L855" s="18"/>
      <c r="M855" s="18"/>
    </row>
    <row r="856" ht="15.75" customHeight="1">
      <c r="E856" s="18"/>
      <c r="F856" s="18"/>
      <c r="G856" s="18"/>
      <c r="K856" s="18"/>
      <c r="L856" s="18"/>
      <c r="M856" s="18"/>
    </row>
    <row r="857" ht="15.75" customHeight="1">
      <c r="E857" s="18"/>
      <c r="F857" s="18"/>
      <c r="G857" s="18"/>
      <c r="K857" s="18"/>
      <c r="L857" s="18"/>
      <c r="M857" s="18"/>
    </row>
    <row r="858" ht="15.75" customHeight="1">
      <c r="E858" s="18"/>
      <c r="F858" s="18"/>
      <c r="G858" s="18"/>
      <c r="K858" s="18"/>
      <c r="L858" s="18"/>
      <c r="M858" s="18"/>
    </row>
    <row r="859" ht="15.75" customHeight="1">
      <c r="E859" s="18"/>
      <c r="F859" s="18"/>
      <c r="G859" s="18"/>
      <c r="K859" s="18"/>
      <c r="L859" s="18"/>
      <c r="M859" s="18"/>
    </row>
    <row r="860" ht="15.75" customHeight="1">
      <c r="E860" s="18"/>
      <c r="F860" s="18"/>
      <c r="G860" s="18"/>
      <c r="K860" s="18"/>
      <c r="L860" s="18"/>
      <c r="M860" s="18"/>
    </row>
    <row r="861" ht="15.75" customHeight="1">
      <c r="E861" s="18"/>
      <c r="F861" s="18"/>
      <c r="G861" s="18"/>
      <c r="K861" s="18"/>
      <c r="L861" s="18"/>
      <c r="M861" s="18"/>
    </row>
    <row r="862" ht="15.75" customHeight="1">
      <c r="E862" s="18"/>
      <c r="F862" s="18"/>
      <c r="G862" s="18"/>
      <c r="K862" s="18"/>
      <c r="L862" s="18"/>
      <c r="M862" s="18"/>
    </row>
    <row r="863" ht="15.75" customHeight="1">
      <c r="E863" s="18"/>
      <c r="F863" s="18"/>
      <c r="G863" s="18"/>
      <c r="K863" s="18"/>
      <c r="L863" s="18"/>
      <c r="M863" s="18"/>
    </row>
    <row r="864" ht="15.75" customHeight="1">
      <c r="E864" s="18"/>
      <c r="F864" s="18"/>
      <c r="G864" s="18"/>
      <c r="K864" s="18"/>
      <c r="L864" s="18"/>
      <c r="M864" s="18"/>
    </row>
    <row r="865" ht="15.75" customHeight="1">
      <c r="E865" s="18"/>
      <c r="F865" s="18"/>
      <c r="G865" s="18"/>
      <c r="K865" s="18"/>
      <c r="L865" s="18"/>
      <c r="M865" s="18"/>
    </row>
    <row r="866" ht="15.75" customHeight="1">
      <c r="E866" s="18"/>
      <c r="F866" s="18"/>
      <c r="G866" s="18"/>
      <c r="K866" s="18"/>
      <c r="L866" s="18"/>
      <c r="M866" s="18"/>
    </row>
    <row r="867" ht="15.75" customHeight="1">
      <c r="E867" s="18"/>
      <c r="F867" s="18"/>
      <c r="G867" s="18"/>
      <c r="K867" s="18"/>
      <c r="L867" s="18"/>
      <c r="M867" s="18"/>
    </row>
    <row r="868" ht="15.75" customHeight="1">
      <c r="E868" s="18"/>
      <c r="F868" s="18"/>
      <c r="G868" s="18"/>
      <c r="K868" s="18"/>
      <c r="L868" s="18"/>
      <c r="M868" s="18"/>
    </row>
    <row r="869" ht="15.75" customHeight="1">
      <c r="E869" s="18"/>
      <c r="F869" s="18"/>
      <c r="G869" s="18"/>
      <c r="K869" s="18"/>
      <c r="L869" s="18"/>
      <c r="M869" s="18"/>
    </row>
    <row r="870" ht="15.75" customHeight="1">
      <c r="E870" s="18"/>
      <c r="F870" s="18"/>
      <c r="G870" s="18"/>
      <c r="K870" s="18"/>
      <c r="L870" s="18"/>
      <c r="M870" s="18"/>
    </row>
    <row r="871" ht="15.75" customHeight="1">
      <c r="E871" s="18"/>
      <c r="F871" s="18"/>
      <c r="G871" s="18"/>
      <c r="K871" s="18"/>
      <c r="L871" s="18"/>
      <c r="M871" s="18"/>
    </row>
    <row r="872" ht="15.75" customHeight="1">
      <c r="E872" s="18"/>
      <c r="F872" s="18"/>
      <c r="G872" s="18"/>
      <c r="K872" s="18"/>
      <c r="L872" s="18"/>
      <c r="M872" s="18"/>
    </row>
    <row r="873" ht="15.75" customHeight="1">
      <c r="E873" s="18"/>
      <c r="F873" s="18"/>
      <c r="G873" s="18"/>
      <c r="K873" s="18"/>
      <c r="L873" s="18"/>
      <c r="M873" s="18"/>
    </row>
    <row r="874" ht="15.75" customHeight="1">
      <c r="E874" s="18"/>
      <c r="F874" s="18"/>
      <c r="G874" s="18"/>
      <c r="K874" s="18"/>
      <c r="L874" s="18"/>
      <c r="M874" s="18"/>
    </row>
    <row r="875" ht="15.75" customHeight="1">
      <c r="E875" s="18"/>
      <c r="F875" s="18"/>
      <c r="G875" s="18"/>
      <c r="K875" s="18"/>
      <c r="L875" s="18"/>
      <c r="M875" s="18"/>
    </row>
    <row r="876" ht="15.75" customHeight="1">
      <c r="E876" s="18"/>
      <c r="F876" s="18"/>
      <c r="G876" s="18"/>
      <c r="K876" s="18"/>
      <c r="L876" s="18"/>
      <c r="M876" s="18"/>
    </row>
    <row r="877" ht="15.75" customHeight="1">
      <c r="E877" s="18"/>
      <c r="F877" s="18"/>
      <c r="G877" s="18"/>
      <c r="K877" s="18"/>
      <c r="L877" s="18"/>
      <c r="M877" s="18"/>
    </row>
    <row r="878" ht="15.75" customHeight="1">
      <c r="E878" s="18"/>
      <c r="F878" s="18"/>
      <c r="G878" s="18"/>
      <c r="K878" s="18"/>
      <c r="L878" s="18"/>
      <c r="M878" s="18"/>
    </row>
    <row r="879" ht="15.75" customHeight="1">
      <c r="E879" s="18"/>
      <c r="F879" s="18"/>
      <c r="G879" s="18"/>
      <c r="K879" s="18"/>
      <c r="L879" s="18"/>
      <c r="M879" s="18"/>
    </row>
    <row r="880" ht="15.75" customHeight="1">
      <c r="E880" s="18"/>
      <c r="F880" s="18"/>
      <c r="G880" s="18"/>
      <c r="K880" s="18"/>
      <c r="L880" s="18"/>
      <c r="M880" s="18"/>
    </row>
    <row r="881" ht="15.75" customHeight="1">
      <c r="E881" s="18"/>
      <c r="F881" s="18"/>
      <c r="G881" s="18"/>
      <c r="K881" s="18"/>
      <c r="L881" s="18"/>
      <c r="M881" s="18"/>
    </row>
    <row r="882" ht="15.75" customHeight="1">
      <c r="E882" s="18"/>
      <c r="F882" s="18"/>
      <c r="G882" s="18"/>
      <c r="K882" s="18"/>
      <c r="L882" s="18"/>
      <c r="M882" s="18"/>
    </row>
    <row r="883" ht="15.75" customHeight="1">
      <c r="E883" s="18"/>
      <c r="F883" s="18"/>
      <c r="G883" s="18"/>
      <c r="K883" s="18"/>
      <c r="L883" s="18"/>
      <c r="M883" s="18"/>
    </row>
    <row r="884" ht="15.75" customHeight="1">
      <c r="E884" s="18"/>
      <c r="F884" s="18"/>
      <c r="G884" s="18"/>
      <c r="K884" s="18"/>
      <c r="L884" s="18"/>
      <c r="M884" s="18"/>
    </row>
    <row r="885" ht="15.75" customHeight="1">
      <c r="E885" s="18"/>
      <c r="F885" s="18"/>
      <c r="G885" s="18"/>
      <c r="K885" s="18"/>
      <c r="L885" s="18"/>
      <c r="M885" s="18"/>
    </row>
    <row r="886" ht="15.75" customHeight="1">
      <c r="E886" s="18"/>
      <c r="F886" s="18"/>
      <c r="G886" s="18"/>
      <c r="K886" s="18"/>
      <c r="L886" s="18"/>
      <c r="M886" s="18"/>
    </row>
    <row r="887" ht="15.75" customHeight="1">
      <c r="E887" s="18"/>
      <c r="F887" s="18"/>
      <c r="G887" s="18"/>
      <c r="K887" s="18"/>
      <c r="L887" s="18"/>
      <c r="M887" s="18"/>
    </row>
    <row r="888" ht="15.75" customHeight="1">
      <c r="E888" s="18"/>
      <c r="F888" s="18"/>
      <c r="G888" s="18"/>
      <c r="K888" s="18"/>
      <c r="L888" s="18"/>
      <c r="M888" s="18"/>
    </row>
    <row r="889" ht="15.75" customHeight="1">
      <c r="E889" s="18"/>
      <c r="F889" s="18"/>
      <c r="G889" s="18"/>
      <c r="K889" s="18"/>
      <c r="L889" s="18"/>
      <c r="M889" s="18"/>
    </row>
    <row r="890" ht="15.75" customHeight="1">
      <c r="E890" s="18"/>
      <c r="F890" s="18"/>
      <c r="G890" s="18"/>
      <c r="K890" s="18"/>
      <c r="L890" s="18"/>
      <c r="M890" s="18"/>
    </row>
    <row r="891" ht="15.75" customHeight="1">
      <c r="E891" s="18"/>
      <c r="F891" s="18"/>
      <c r="G891" s="18"/>
      <c r="K891" s="18"/>
      <c r="L891" s="18"/>
      <c r="M891" s="18"/>
    </row>
    <row r="892" ht="15.75" customHeight="1">
      <c r="E892" s="18"/>
      <c r="F892" s="18"/>
      <c r="G892" s="18"/>
      <c r="K892" s="18"/>
      <c r="L892" s="18"/>
      <c r="M892" s="18"/>
    </row>
    <row r="893" ht="15.75" customHeight="1">
      <c r="E893" s="18"/>
      <c r="F893" s="18"/>
      <c r="G893" s="18"/>
      <c r="K893" s="18"/>
      <c r="L893" s="18"/>
      <c r="M893" s="18"/>
    </row>
    <row r="894" ht="15.75" customHeight="1">
      <c r="E894" s="18"/>
      <c r="F894" s="18"/>
      <c r="G894" s="18"/>
      <c r="K894" s="18"/>
      <c r="L894" s="18"/>
      <c r="M894" s="18"/>
    </row>
    <row r="895" ht="15.75" customHeight="1">
      <c r="E895" s="18"/>
      <c r="F895" s="18"/>
      <c r="G895" s="18"/>
      <c r="K895" s="18"/>
      <c r="L895" s="18"/>
      <c r="M895" s="18"/>
    </row>
    <row r="896" ht="15.75" customHeight="1">
      <c r="E896" s="18"/>
      <c r="F896" s="18"/>
      <c r="G896" s="18"/>
      <c r="K896" s="18"/>
      <c r="L896" s="18"/>
      <c r="M896" s="18"/>
    </row>
    <row r="897" ht="15.75" customHeight="1">
      <c r="E897" s="18"/>
      <c r="F897" s="18"/>
      <c r="G897" s="18"/>
      <c r="K897" s="18"/>
      <c r="L897" s="18"/>
      <c r="M897" s="18"/>
    </row>
    <row r="898" ht="15.75" customHeight="1">
      <c r="E898" s="18"/>
      <c r="F898" s="18"/>
      <c r="G898" s="18"/>
      <c r="K898" s="18"/>
      <c r="L898" s="18"/>
      <c r="M898" s="18"/>
    </row>
    <row r="899" ht="15.75" customHeight="1">
      <c r="E899" s="18"/>
      <c r="F899" s="18"/>
      <c r="G899" s="18"/>
      <c r="K899" s="18"/>
      <c r="L899" s="18"/>
      <c r="M899" s="18"/>
    </row>
    <row r="900" ht="15.75" customHeight="1">
      <c r="E900" s="18"/>
      <c r="F900" s="18"/>
      <c r="G900" s="18"/>
      <c r="K900" s="18"/>
      <c r="L900" s="18"/>
      <c r="M900" s="18"/>
    </row>
    <row r="901" ht="15.75" customHeight="1">
      <c r="E901" s="18"/>
      <c r="F901" s="18"/>
      <c r="G901" s="18"/>
      <c r="K901" s="18"/>
      <c r="L901" s="18"/>
      <c r="M901" s="18"/>
    </row>
    <row r="902" ht="15.75" customHeight="1">
      <c r="E902" s="18"/>
      <c r="F902" s="18"/>
      <c r="G902" s="18"/>
      <c r="K902" s="18"/>
      <c r="L902" s="18"/>
      <c r="M902" s="18"/>
    </row>
    <row r="903" ht="15.75" customHeight="1">
      <c r="E903" s="18"/>
      <c r="F903" s="18"/>
      <c r="G903" s="18"/>
      <c r="K903" s="18"/>
      <c r="L903" s="18"/>
      <c r="M903" s="18"/>
    </row>
    <row r="904" ht="15.75" customHeight="1">
      <c r="E904" s="18"/>
      <c r="F904" s="18"/>
      <c r="G904" s="18"/>
      <c r="K904" s="18"/>
      <c r="L904" s="18"/>
      <c r="M904" s="18"/>
    </row>
    <row r="905" ht="15.75" customHeight="1">
      <c r="E905" s="18"/>
      <c r="F905" s="18"/>
      <c r="G905" s="18"/>
      <c r="K905" s="18"/>
      <c r="L905" s="18"/>
      <c r="M905" s="18"/>
    </row>
    <row r="906" ht="15.75" customHeight="1">
      <c r="E906" s="18"/>
      <c r="F906" s="18"/>
      <c r="G906" s="18"/>
      <c r="K906" s="18"/>
      <c r="L906" s="18"/>
      <c r="M906" s="18"/>
    </row>
    <row r="907" ht="15.75" customHeight="1">
      <c r="E907" s="18"/>
      <c r="F907" s="18"/>
      <c r="G907" s="18"/>
      <c r="K907" s="18"/>
      <c r="L907" s="18"/>
      <c r="M907" s="18"/>
    </row>
    <row r="908" ht="15.75" customHeight="1">
      <c r="E908" s="18"/>
      <c r="F908" s="18"/>
      <c r="G908" s="18"/>
      <c r="K908" s="18"/>
      <c r="L908" s="18"/>
      <c r="M908" s="18"/>
    </row>
    <row r="909" ht="15.75" customHeight="1">
      <c r="E909" s="18"/>
      <c r="F909" s="18"/>
      <c r="G909" s="18"/>
      <c r="K909" s="18"/>
      <c r="L909" s="18"/>
      <c r="M909" s="18"/>
    </row>
    <row r="910" ht="15.75" customHeight="1">
      <c r="E910" s="18"/>
      <c r="F910" s="18"/>
      <c r="G910" s="18"/>
      <c r="K910" s="18"/>
      <c r="L910" s="18"/>
      <c r="M910" s="18"/>
    </row>
    <row r="911" ht="15.75" customHeight="1">
      <c r="E911" s="18"/>
      <c r="F911" s="18"/>
      <c r="G911" s="18"/>
      <c r="K911" s="18"/>
      <c r="L911" s="18"/>
      <c r="M911" s="18"/>
    </row>
    <row r="912" ht="15.75" customHeight="1">
      <c r="E912" s="18"/>
      <c r="F912" s="18"/>
      <c r="G912" s="18"/>
      <c r="K912" s="18"/>
      <c r="L912" s="18"/>
      <c r="M912" s="18"/>
    </row>
    <row r="913" ht="15.75" customHeight="1">
      <c r="E913" s="18"/>
      <c r="F913" s="18"/>
      <c r="G913" s="18"/>
      <c r="K913" s="18"/>
      <c r="L913" s="18"/>
      <c r="M913" s="18"/>
    </row>
    <row r="914" ht="15.75" customHeight="1">
      <c r="E914" s="18"/>
      <c r="F914" s="18"/>
      <c r="G914" s="18"/>
      <c r="K914" s="18"/>
      <c r="L914" s="18"/>
      <c r="M914" s="18"/>
    </row>
    <row r="915" ht="15.75" customHeight="1">
      <c r="E915" s="18"/>
      <c r="F915" s="18"/>
      <c r="G915" s="18"/>
      <c r="K915" s="18"/>
      <c r="L915" s="18"/>
      <c r="M915" s="18"/>
    </row>
    <row r="916" ht="15.75" customHeight="1">
      <c r="E916" s="18"/>
      <c r="F916" s="18"/>
      <c r="G916" s="18"/>
      <c r="K916" s="18"/>
      <c r="L916" s="18"/>
      <c r="M916" s="18"/>
    </row>
    <row r="917" ht="15.75" customHeight="1">
      <c r="E917" s="18"/>
      <c r="F917" s="18"/>
      <c r="G917" s="18"/>
      <c r="K917" s="18"/>
      <c r="L917" s="18"/>
      <c r="M917" s="18"/>
    </row>
    <row r="918" ht="15.75" customHeight="1">
      <c r="E918" s="18"/>
      <c r="F918" s="18"/>
      <c r="G918" s="18"/>
      <c r="K918" s="18"/>
      <c r="L918" s="18"/>
      <c r="M918" s="18"/>
    </row>
    <row r="919" ht="15.75" customHeight="1">
      <c r="E919" s="18"/>
      <c r="F919" s="18"/>
      <c r="G919" s="18"/>
      <c r="K919" s="18"/>
      <c r="L919" s="18"/>
      <c r="M919" s="18"/>
    </row>
    <row r="920" ht="15.75" customHeight="1">
      <c r="E920" s="18"/>
      <c r="F920" s="18"/>
      <c r="G920" s="18"/>
      <c r="K920" s="18"/>
      <c r="L920" s="18"/>
      <c r="M920" s="18"/>
    </row>
    <row r="921" ht="15.75" customHeight="1">
      <c r="E921" s="18"/>
      <c r="F921" s="18"/>
      <c r="G921" s="18"/>
      <c r="K921" s="18"/>
      <c r="L921" s="18"/>
      <c r="M921" s="18"/>
    </row>
    <row r="922" ht="15.75" customHeight="1">
      <c r="E922" s="18"/>
      <c r="F922" s="18"/>
      <c r="G922" s="18"/>
      <c r="K922" s="18"/>
      <c r="L922" s="18"/>
      <c r="M922" s="18"/>
    </row>
    <row r="923" ht="15.75" customHeight="1">
      <c r="E923" s="18"/>
      <c r="F923" s="18"/>
      <c r="G923" s="18"/>
      <c r="K923" s="18"/>
      <c r="L923" s="18"/>
      <c r="M923" s="18"/>
    </row>
    <row r="924" ht="15.75" customHeight="1">
      <c r="E924" s="18"/>
      <c r="F924" s="18"/>
      <c r="G924" s="18"/>
      <c r="K924" s="18"/>
      <c r="L924" s="18"/>
      <c r="M924" s="18"/>
    </row>
    <row r="925" ht="15.75" customHeight="1">
      <c r="E925" s="18"/>
      <c r="F925" s="18"/>
      <c r="G925" s="18"/>
      <c r="K925" s="18"/>
      <c r="L925" s="18"/>
      <c r="M925" s="18"/>
    </row>
    <row r="926" ht="15.75" customHeight="1">
      <c r="E926" s="18"/>
      <c r="F926" s="18"/>
      <c r="G926" s="18"/>
      <c r="K926" s="18"/>
      <c r="L926" s="18"/>
      <c r="M926" s="18"/>
    </row>
    <row r="927" ht="15.75" customHeight="1">
      <c r="E927" s="18"/>
      <c r="F927" s="18"/>
      <c r="G927" s="18"/>
      <c r="K927" s="18"/>
      <c r="L927" s="18"/>
      <c r="M927" s="18"/>
    </row>
    <row r="928" ht="15.75" customHeight="1">
      <c r="E928" s="18"/>
      <c r="F928" s="18"/>
      <c r="G928" s="18"/>
      <c r="K928" s="18"/>
      <c r="L928" s="18"/>
      <c r="M928" s="18"/>
    </row>
    <row r="929" ht="15.75" customHeight="1">
      <c r="E929" s="18"/>
      <c r="F929" s="18"/>
      <c r="G929" s="18"/>
      <c r="K929" s="18"/>
      <c r="L929" s="18"/>
      <c r="M929" s="18"/>
    </row>
    <row r="930" ht="15.75" customHeight="1">
      <c r="E930" s="18"/>
      <c r="F930" s="18"/>
      <c r="G930" s="18"/>
      <c r="K930" s="18"/>
      <c r="L930" s="18"/>
      <c r="M930" s="18"/>
    </row>
    <row r="931" ht="15.75" customHeight="1">
      <c r="E931" s="18"/>
      <c r="F931" s="18"/>
      <c r="G931" s="18"/>
      <c r="K931" s="18"/>
      <c r="L931" s="18"/>
      <c r="M931" s="18"/>
    </row>
    <row r="932" ht="15.75" customHeight="1">
      <c r="E932" s="18"/>
      <c r="F932" s="18"/>
      <c r="G932" s="18"/>
      <c r="K932" s="18"/>
      <c r="L932" s="18"/>
      <c r="M932" s="18"/>
    </row>
    <row r="933" ht="15.75" customHeight="1">
      <c r="E933" s="18"/>
      <c r="F933" s="18"/>
      <c r="G933" s="18"/>
      <c r="K933" s="18"/>
      <c r="L933" s="18"/>
      <c r="M933" s="18"/>
    </row>
    <row r="934" ht="15.75" customHeight="1">
      <c r="E934" s="18"/>
      <c r="F934" s="18"/>
      <c r="G934" s="18"/>
      <c r="K934" s="18"/>
      <c r="L934" s="18"/>
      <c r="M934" s="18"/>
    </row>
    <row r="935" ht="15.75" customHeight="1">
      <c r="E935" s="18"/>
      <c r="F935" s="18"/>
      <c r="G935" s="18"/>
      <c r="K935" s="18"/>
      <c r="L935" s="18"/>
      <c r="M935" s="18"/>
    </row>
    <row r="936" ht="15.75" customHeight="1">
      <c r="E936" s="18"/>
      <c r="F936" s="18"/>
      <c r="G936" s="18"/>
      <c r="K936" s="18"/>
      <c r="L936" s="18"/>
      <c r="M936" s="18"/>
    </row>
    <row r="937" ht="15.75" customHeight="1">
      <c r="E937" s="18"/>
      <c r="F937" s="18"/>
      <c r="G937" s="18"/>
      <c r="K937" s="18"/>
      <c r="L937" s="18"/>
      <c r="M937" s="18"/>
    </row>
    <row r="938" ht="15.75" customHeight="1">
      <c r="E938" s="18"/>
      <c r="F938" s="18"/>
      <c r="G938" s="18"/>
      <c r="K938" s="18"/>
      <c r="L938" s="18"/>
      <c r="M938" s="18"/>
    </row>
    <row r="939" ht="15.75" customHeight="1">
      <c r="E939" s="18"/>
      <c r="F939" s="18"/>
      <c r="G939" s="18"/>
      <c r="K939" s="18"/>
      <c r="L939" s="18"/>
      <c r="M939" s="18"/>
    </row>
    <row r="940" ht="15.75" customHeight="1">
      <c r="E940" s="18"/>
      <c r="F940" s="18"/>
      <c r="G940" s="18"/>
      <c r="K940" s="18"/>
      <c r="L940" s="18"/>
      <c r="M940" s="18"/>
    </row>
    <row r="941" ht="15.75" customHeight="1">
      <c r="E941" s="18"/>
      <c r="F941" s="18"/>
      <c r="G941" s="18"/>
      <c r="K941" s="18"/>
      <c r="L941" s="18"/>
      <c r="M941" s="18"/>
    </row>
    <row r="942" ht="15.75" customHeight="1">
      <c r="E942" s="18"/>
      <c r="F942" s="18"/>
      <c r="G942" s="18"/>
      <c r="K942" s="18"/>
      <c r="L942" s="18"/>
      <c r="M942" s="18"/>
    </row>
    <row r="943" ht="15.75" customHeight="1">
      <c r="E943" s="18"/>
      <c r="F943" s="18"/>
      <c r="G943" s="18"/>
      <c r="K943" s="18"/>
      <c r="L943" s="18"/>
      <c r="M943" s="18"/>
    </row>
    <row r="944" ht="15.75" customHeight="1">
      <c r="E944" s="18"/>
      <c r="F944" s="18"/>
      <c r="G944" s="18"/>
      <c r="K944" s="18"/>
      <c r="L944" s="18"/>
      <c r="M944" s="18"/>
    </row>
    <row r="945" ht="15.75" customHeight="1">
      <c r="E945" s="18"/>
      <c r="F945" s="18"/>
      <c r="G945" s="18"/>
      <c r="K945" s="18"/>
      <c r="L945" s="18"/>
      <c r="M945" s="18"/>
    </row>
    <row r="946" ht="15.75" customHeight="1">
      <c r="E946" s="18"/>
      <c r="F946" s="18"/>
      <c r="G946" s="18"/>
      <c r="K946" s="18"/>
      <c r="L946" s="18"/>
      <c r="M946" s="18"/>
    </row>
    <row r="947" ht="15.75" customHeight="1">
      <c r="E947" s="18"/>
      <c r="F947" s="18"/>
      <c r="G947" s="18"/>
      <c r="K947" s="18"/>
      <c r="L947" s="18"/>
      <c r="M947" s="18"/>
    </row>
    <row r="948" ht="15.75" customHeight="1">
      <c r="E948" s="18"/>
      <c r="F948" s="18"/>
      <c r="G948" s="18"/>
      <c r="K948" s="18"/>
      <c r="L948" s="18"/>
      <c r="M948" s="18"/>
    </row>
    <row r="949" ht="15.75" customHeight="1">
      <c r="E949" s="18"/>
      <c r="F949" s="18"/>
      <c r="G949" s="18"/>
      <c r="K949" s="18"/>
      <c r="L949" s="18"/>
      <c r="M949" s="18"/>
    </row>
    <row r="950" ht="15.75" customHeight="1">
      <c r="E950" s="18"/>
      <c r="F950" s="18"/>
      <c r="G950" s="18"/>
      <c r="K950" s="18"/>
      <c r="L950" s="18"/>
      <c r="M950" s="18"/>
    </row>
    <row r="951" ht="15.75" customHeight="1">
      <c r="E951" s="18"/>
      <c r="F951" s="18"/>
      <c r="G951" s="18"/>
      <c r="K951" s="18"/>
      <c r="L951" s="18"/>
      <c r="M951" s="18"/>
    </row>
    <row r="952" ht="15.75" customHeight="1">
      <c r="E952" s="18"/>
      <c r="F952" s="18"/>
      <c r="G952" s="18"/>
      <c r="K952" s="18"/>
      <c r="L952" s="18"/>
      <c r="M952" s="18"/>
    </row>
    <row r="953" ht="15.75" customHeight="1">
      <c r="E953" s="18"/>
      <c r="F953" s="18"/>
      <c r="G953" s="18"/>
      <c r="K953" s="18"/>
      <c r="L953" s="18"/>
      <c r="M953" s="18"/>
    </row>
    <row r="954" ht="15.75" customHeight="1">
      <c r="E954" s="18"/>
      <c r="F954" s="18"/>
      <c r="G954" s="18"/>
      <c r="K954" s="18"/>
      <c r="L954" s="18"/>
      <c r="M954" s="18"/>
    </row>
    <row r="955" ht="15.75" customHeight="1">
      <c r="E955" s="18"/>
      <c r="F955" s="18"/>
      <c r="G955" s="18"/>
      <c r="K955" s="18"/>
      <c r="L955" s="18"/>
      <c r="M955" s="18"/>
    </row>
    <row r="956" ht="15.75" customHeight="1">
      <c r="E956" s="18"/>
      <c r="F956" s="18"/>
      <c r="G956" s="18"/>
      <c r="K956" s="18"/>
      <c r="L956" s="18"/>
      <c r="M956" s="18"/>
    </row>
    <row r="957" ht="15.75" customHeight="1">
      <c r="E957" s="18"/>
      <c r="F957" s="18"/>
      <c r="G957" s="18"/>
      <c r="K957" s="18"/>
      <c r="L957" s="18"/>
      <c r="M957" s="18"/>
    </row>
    <row r="958" ht="15.75" customHeight="1">
      <c r="E958" s="18"/>
      <c r="F958" s="18"/>
      <c r="G958" s="18"/>
      <c r="K958" s="18"/>
      <c r="L958" s="18"/>
      <c r="M958" s="18"/>
    </row>
    <row r="959" ht="15.75" customHeight="1">
      <c r="E959" s="18"/>
      <c r="F959" s="18"/>
      <c r="G959" s="18"/>
      <c r="K959" s="18"/>
      <c r="L959" s="18"/>
      <c r="M959" s="18"/>
    </row>
    <row r="960" ht="15.75" customHeight="1">
      <c r="E960" s="18"/>
      <c r="F960" s="18"/>
      <c r="G960" s="18"/>
      <c r="K960" s="18"/>
      <c r="L960" s="18"/>
      <c r="M960" s="18"/>
    </row>
    <row r="961" ht="15.75" customHeight="1">
      <c r="E961" s="18"/>
      <c r="F961" s="18"/>
      <c r="G961" s="18"/>
      <c r="K961" s="18"/>
      <c r="L961" s="18"/>
      <c r="M961" s="18"/>
    </row>
    <row r="962" ht="15.75" customHeight="1">
      <c r="E962" s="18"/>
      <c r="F962" s="18"/>
      <c r="G962" s="18"/>
      <c r="K962" s="18"/>
      <c r="L962" s="18"/>
      <c r="M962" s="18"/>
    </row>
    <row r="963" ht="15.75" customHeight="1">
      <c r="E963" s="18"/>
      <c r="F963" s="18"/>
      <c r="G963" s="18"/>
      <c r="K963" s="18"/>
      <c r="L963" s="18"/>
      <c r="M963" s="18"/>
    </row>
    <row r="964" ht="15.75" customHeight="1">
      <c r="E964" s="18"/>
      <c r="F964" s="18"/>
      <c r="G964" s="18"/>
      <c r="K964" s="18"/>
      <c r="L964" s="18"/>
      <c r="M964" s="18"/>
    </row>
    <row r="965" ht="15.75" customHeight="1">
      <c r="E965" s="18"/>
      <c r="F965" s="18"/>
      <c r="G965" s="18"/>
      <c r="K965" s="18"/>
      <c r="L965" s="18"/>
      <c r="M965" s="18"/>
    </row>
    <row r="966" ht="15.75" customHeight="1">
      <c r="E966" s="18"/>
      <c r="F966" s="18"/>
      <c r="G966" s="18"/>
      <c r="K966" s="18"/>
      <c r="L966" s="18"/>
      <c r="M966" s="18"/>
    </row>
    <row r="967" ht="15.75" customHeight="1">
      <c r="E967" s="18"/>
      <c r="F967" s="18"/>
      <c r="G967" s="18"/>
      <c r="K967" s="18"/>
      <c r="L967" s="18"/>
      <c r="M967" s="18"/>
    </row>
    <row r="968" ht="15.75" customHeight="1">
      <c r="E968" s="18"/>
      <c r="F968" s="18"/>
      <c r="G968" s="18"/>
      <c r="K968" s="18"/>
      <c r="L968" s="18"/>
      <c r="M968" s="18"/>
    </row>
    <row r="969" ht="15.75" customHeight="1">
      <c r="E969" s="18"/>
      <c r="F969" s="18"/>
      <c r="G969" s="18"/>
      <c r="K969" s="18"/>
      <c r="L969" s="18"/>
      <c r="M969" s="18"/>
    </row>
    <row r="970" ht="15.75" customHeight="1">
      <c r="E970" s="18"/>
      <c r="F970" s="18"/>
      <c r="G970" s="18"/>
      <c r="K970" s="18"/>
      <c r="L970" s="18"/>
      <c r="M970" s="18"/>
    </row>
    <row r="971" ht="15.75" customHeight="1">
      <c r="E971" s="18"/>
      <c r="F971" s="18"/>
      <c r="G971" s="18"/>
      <c r="K971" s="18"/>
      <c r="L971" s="18"/>
      <c r="M971" s="18"/>
    </row>
    <row r="972" ht="15.75" customHeight="1">
      <c r="E972" s="18"/>
      <c r="F972" s="18"/>
      <c r="G972" s="18"/>
      <c r="K972" s="18"/>
      <c r="L972" s="18"/>
      <c r="M972" s="18"/>
    </row>
    <row r="973" ht="15.75" customHeight="1">
      <c r="E973" s="18"/>
      <c r="F973" s="18"/>
      <c r="G973" s="18"/>
      <c r="K973" s="18"/>
      <c r="L973" s="18"/>
      <c r="M973" s="18"/>
    </row>
    <row r="974" ht="15.75" customHeight="1">
      <c r="E974" s="18"/>
      <c r="F974" s="18"/>
      <c r="G974" s="18"/>
      <c r="K974" s="18"/>
      <c r="L974" s="18"/>
      <c r="M974" s="18"/>
    </row>
    <row r="975" ht="15.75" customHeight="1">
      <c r="E975" s="18"/>
      <c r="F975" s="18"/>
      <c r="G975" s="18"/>
      <c r="K975" s="18"/>
      <c r="L975" s="18"/>
      <c r="M975" s="18"/>
    </row>
    <row r="976" ht="15.75" customHeight="1">
      <c r="E976" s="18"/>
      <c r="F976" s="18"/>
      <c r="G976" s="18"/>
      <c r="K976" s="18"/>
      <c r="L976" s="18"/>
      <c r="M976" s="18"/>
    </row>
    <row r="977" ht="15.75" customHeight="1">
      <c r="E977" s="18"/>
      <c r="F977" s="18"/>
      <c r="G977" s="18"/>
      <c r="K977" s="18"/>
      <c r="L977" s="18"/>
      <c r="M977" s="18"/>
    </row>
    <row r="978" ht="15.75" customHeight="1">
      <c r="E978" s="18"/>
      <c r="F978" s="18"/>
      <c r="G978" s="18"/>
      <c r="K978" s="18"/>
      <c r="L978" s="18"/>
      <c r="M978" s="18"/>
    </row>
    <row r="979" ht="15.75" customHeight="1">
      <c r="E979" s="18"/>
      <c r="F979" s="18"/>
      <c r="G979" s="18"/>
      <c r="K979" s="18"/>
      <c r="L979" s="18"/>
      <c r="M979" s="18"/>
    </row>
    <row r="980" ht="15.75" customHeight="1">
      <c r="E980" s="18"/>
      <c r="F980" s="18"/>
      <c r="G980" s="18"/>
      <c r="K980" s="18"/>
      <c r="L980" s="18"/>
      <c r="M980" s="18"/>
    </row>
    <row r="981" ht="15.75" customHeight="1">
      <c r="E981" s="18"/>
      <c r="F981" s="18"/>
      <c r="G981" s="18"/>
      <c r="K981" s="18"/>
      <c r="L981" s="18"/>
      <c r="M981" s="18"/>
    </row>
    <row r="982" ht="15.75" customHeight="1">
      <c r="E982" s="18"/>
      <c r="F982" s="18"/>
      <c r="G982" s="18"/>
      <c r="K982" s="18"/>
      <c r="L982" s="18"/>
      <c r="M982" s="18"/>
    </row>
    <row r="983" ht="15.75" customHeight="1">
      <c r="E983" s="18"/>
      <c r="F983" s="18"/>
      <c r="G983" s="18"/>
      <c r="K983" s="18"/>
      <c r="L983" s="18"/>
      <c r="M983" s="18"/>
    </row>
    <row r="984" ht="15.75" customHeight="1">
      <c r="E984" s="18"/>
      <c r="F984" s="18"/>
      <c r="G984" s="18"/>
      <c r="K984" s="18"/>
      <c r="L984" s="18"/>
      <c r="M984" s="18"/>
    </row>
    <row r="985" ht="15.75" customHeight="1">
      <c r="E985" s="18"/>
      <c r="F985" s="18"/>
      <c r="G985" s="18"/>
      <c r="K985" s="18"/>
      <c r="L985" s="18"/>
      <c r="M985" s="18"/>
    </row>
    <row r="986" ht="15.75" customHeight="1">
      <c r="E986" s="18"/>
      <c r="F986" s="18"/>
      <c r="G986" s="18"/>
      <c r="K986" s="18"/>
      <c r="L986" s="18"/>
      <c r="M986" s="18"/>
    </row>
    <row r="987" ht="15.75" customHeight="1">
      <c r="E987" s="18"/>
      <c r="F987" s="18"/>
      <c r="G987" s="18"/>
      <c r="K987" s="18"/>
      <c r="L987" s="18"/>
      <c r="M987" s="18"/>
    </row>
    <row r="988" ht="15.75" customHeight="1">
      <c r="E988" s="18"/>
      <c r="F988" s="18"/>
      <c r="G988" s="18"/>
      <c r="K988" s="18"/>
      <c r="L988" s="18"/>
      <c r="M988" s="18"/>
    </row>
    <row r="989" ht="15.75" customHeight="1">
      <c r="E989" s="18"/>
      <c r="F989" s="18"/>
      <c r="G989" s="18"/>
      <c r="K989" s="18"/>
      <c r="L989" s="18"/>
      <c r="M989" s="18"/>
    </row>
    <row r="990" ht="15.75" customHeight="1">
      <c r="E990" s="18"/>
      <c r="F990" s="18"/>
      <c r="G990" s="18"/>
      <c r="K990" s="18"/>
      <c r="L990" s="18"/>
      <c r="M990" s="18"/>
    </row>
    <row r="991" ht="15.75" customHeight="1">
      <c r="E991" s="18"/>
      <c r="F991" s="18"/>
      <c r="G991" s="18"/>
      <c r="K991" s="18"/>
      <c r="L991" s="18"/>
      <c r="M991" s="18"/>
    </row>
    <row r="992" ht="15.75" customHeight="1">
      <c r="E992" s="18"/>
      <c r="F992" s="18"/>
      <c r="G992" s="18"/>
      <c r="K992" s="18"/>
      <c r="L992" s="18"/>
      <c r="M992" s="18"/>
    </row>
    <row r="993" ht="15.75" customHeight="1">
      <c r="E993" s="18"/>
      <c r="F993" s="18"/>
      <c r="G993" s="18"/>
      <c r="K993" s="18"/>
      <c r="L993" s="18"/>
      <c r="M993" s="18"/>
    </row>
    <row r="994" ht="15.75" customHeight="1">
      <c r="E994" s="18"/>
      <c r="F994" s="18"/>
      <c r="G994" s="18"/>
      <c r="K994" s="18"/>
      <c r="L994" s="18"/>
      <c r="M994" s="18"/>
    </row>
    <row r="995" ht="15.75" customHeight="1">
      <c r="E995" s="18"/>
      <c r="F995" s="18"/>
      <c r="G995" s="18"/>
      <c r="K995" s="18"/>
      <c r="L995" s="18"/>
      <c r="M995" s="18"/>
    </row>
    <row r="996" ht="15.75" customHeight="1">
      <c r="E996" s="18"/>
      <c r="F996" s="18"/>
      <c r="G996" s="18"/>
      <c r="K996" s="18"/>
      <c r="L996" s="18"/>
      <c r="M996" s="18"/>
    </row>
    <row r="997" ht="15.75" customHeight="1">
      <c r="E997" s="18"/>
      <c r="F997" s="18"/>
      <c r="G997" s="18"/>
      <c r="K997" s="18"/>
      <c r="L997" s="18"/>
      <c r="M997" s="18"/>
    </row>
    <row r="998" ht="15.75" customHeight="1">
      <c r="E998" s="18"/>
      <c r="F998" s="18"/>
      <c r="G998" s="18"/>
      <c r="K998" s="18"/>
      <c r="L998" s="18"/>
      <c r="M998" s="18"/>
    </row>
    <row r="999" ht="15.75" customHeight="1">
      <c r="E999" s="18"/>
      <c r="F999" s="18"/>
      <c r="G999" s="18"/>
      <c r="K999" s="18"/>
      <c r="L999" s="18"/>
      <c r="M999" s="18"/>
    </row>
    <row r="1000" ht="15.75" customHeight="1">
      <c r="E1000" s="18"/>
      <c r="F1000" s="18"/>
      <c r="G1000" s="18"/>
      <c r="K1000" s="18"/>
      <c r="L1000" s="18"/>
      <c r="M1000" s="1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57.0" customHeight="1">
      <c r="A1" s="21" t="s">
        <v>20</v>
      </c>
      <c r="B1" s="22" t="s">
        <v>21</v>
      </c>
      <c r="C1" s="23" t="s">
        <v>22</v>
      </c>
      <c r="D1" s="23" t="s">
        <v>23</v>
      </c>
      <c r="E1" s="17"/>
      <c r="F1" s="3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15.75" customHeight="1">
      <c r="A2" s="8">
        <v>10101.0</v>
      </c>
      <c r="B2" s="24" t="s">
        <v>24</v>
      </c>
      <c r="C2" s="9">
        <v>0.9122871694504342</v>
      </c>
      <c r="D2" s="18">
        <v>1.1026431821173879</v>
      </c>
      <c r="E2" s="17"/>
      <c r="F2" s="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15.75" customHeight="1">
      <c r="A3" s="8">
        <v>10102.0</v>
      </c>
      <c r="B3" s="24" t="s">
        <v>25</v>
      </c>
      <c r="C3" s="9">
        <v>1.4771482446191735</v>
      </c>
      <c r="D3" s="18">
        <v>0.6487163190114398</v>
      </c>
      <c r="E3" s="17"/>
      <c r="F3" s="9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15.75" customHeight="1">
      <c r="A4" s="8">
        <v>10103.0</v>
      </c>
      <c r="B4" s="24" t="s">
        <v>26</v>
      </c>
      <c r="C4" s="9">
        <v>1.529102294012035</v>
      </c>
      <c r="D4" s="18">
        <v>1.6019737633928324</v>
      </c>
      <c r="E4" s="17"/>
      <c r="F4" s="9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15.75" customHeight="1">
      <c r="A5" s="8">
        <v>10201.0</v>
      </c>
      <c r="B5" s="24" t="s">
        <v>27</v>
      </c>
      <c r="C5" s="9">
        <v>2.0531737209138403</v>
      </c>
      <c r="D5" s="18">
        <v>1.4723721840447144</v>
      </c>
      <c r="E5" s="17"/>
      <c r="F5" s="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15.75" customHeight="1">
      <c r="A6" s="8">
        <v>10202.0</v>
      </c>
      <c r="B6" s="24" t="s">
        <v>28</v>
      </c>
      <c r="C6" s="9">
        <v>1.9779824408377393</v>
      </c>
      <c r="D6" s="18">
        <v>2.4918957936978994</v>
      </c>
      <c r="E6" s="17"/>
      <c r="F6" s="9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15.75" customHeight="1">
      <c r="A7" s="8">
        <v>10301.0</v>
      </c>
      <c r="B7" s="24" t="s">
        <v>29</v>
      </c>
      <c r="C7" s="9">
        <v>1.9610139994250355</v>
      </c>
      <c r="D7" s="18">
        <v>2.631932097212312</v>
      </c>
      <c r="E7" s="17"/>
      <c r="F7" s="9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15.75" customHeight="1">
      <c r="A8" s="8">
        <v>10302.0</v>
      </c>
      <c r="B8" s="24" t="s">
        <v>30</v>
      </c>
      <c r="C8" s="9">
        <v>1.9669417776842746</v>
      </c>
      <c r="D8" s="18">
        <v>3.0129045215807984</v>
      </c>
      <c r="E8" s="17"/>
      <c r="F8" s="9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5.75" customHeight="1">
      <c r="A9" s="8">
        <v>10303.0</v>
      </c>
      <c r="B9" s="24" t="s">
        <v>31</v>
      </c>
      <c r="C9" s="9">
        <v>1.645821494131003</v>
      </c>
      <c r="D9" s="18">
        <v>8.784982185520713</v>
      </c>
      <c r="E9" s="17"/>
      <c r="F9" s="9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15.75" customHeight="1">
      <c r="A10" s="8">
        <v>10304.0</v>
      </c>
      <c r="B10" s="24" t="s">
        <v>32</v>
      </c>
      <c r="C10" s="9">
        <v>2.7127091793827387</v>
      </c>
      <c r="D10" s="18">
        <v>2.3166340394810456</v>
      </c>
      <c r="E10" s="17"/>
      <c r="F10" s="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15.75" customHeight="1">
      <c r="A11" s="8">
        <v>10401.0</v>
      </c>
      <c r="B11" s="24" t="s">
        <v>33</v>
      </c>
      <c r="C11" s="9">
        <v>1.6534302317247929</v>
      </c>
      <c r="D11" s="18">
        <v>2.366862866095018</v>
      </c>
      <c r="E11" s="17"/>
      <c r="F11" s="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15.75" customHeight="1">
      <c r="A12" s="8">
        <v>10402.0</v>
      </c>
      <c r="B12" s="24" t="s">
        <v>34</v>
      </c>
      <c r="C12" s="9">
        <v>2.4921907648424355</v>
      </c>
      <c r="D12" s="18">
        <v>3.238976756151419</v>
      </c>
      <c r="E12" s="17"/>
      <c r="F12" s="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15.75" customHeight="1">
      <c r="A13" s="8">
        <v>10403.0</v>
      </c>
      <c r="B13" s="24" t="s">
        <v>35</v>
      </c>
      <c r="C13" s="9">
        <v>2.5264978867964327</v>
      </c>
      <c r="D13" s="18">
        <v>3.1603010084916208</v>
      </c>
      <c r="E13" s="17"/>
      <c r="F13" s="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15.75" customHeight="1">
      <c r="A14" s="8">
        <v>10404.0</v>
      </c>
      <c r="B14" s="24" t="s">
        <v>36</v>
      </c>
      <c r="C14" s="9">
        <v>1.540593137487763</v>
      </c>
      <c r="D14" s="18">
        <v>2.0825122847318784</v>
      </c>
      <c r="E14" s="17"/>
      <c r="F14" s="9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15.75" customHeight="1">
      <c r="A15" s="8">
        <v>10405.0</v>
      </c>
      <c r="B15" s="24" t="s">
        <v>37</v>
      </c>
      <c r="C15" s="9">
        <v>1.9914075972447243</v>
      </c>
      <c r="D15" s="18">
        <v>3.8764776028941283</v>
      </c>
      <c r="E15" s="17"/>
      <c r="F15" s="9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15.75" customHeight="1">
      <c r="A16" s="8">
        <v>10501.0</v>
      </c>
      <c r="B16" s="24" t="s">
        <v>38</v>
      </c>
      <c r="C16" s="9">
        <v>1.4625053311048544</v>
      </c>
      <c r="D16" s="18">
        <v>1.8428469633865783</v>
      </c>
      <c r="E16" s="17"/>
      <c r="F16" s="9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5.75" customHeight="1">
      <c r="A17" s="8">
        <v>10502.0</v>
      </c>
      <c r="B17" s="24" t="s">
        <v>39</v>
      </c>
      <c r="C17" s="9">
        <v>1.1844948414821503</v>
      </c>
      <c r="D17" s="18">
        <v>2.616628967322107</v>
      </c>
      <c r="E17" s="17"/>
      <c r="F17" s="9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5.75" customHeight="1">
      <c r="A18" s="8">
        <v>10601.0</v>
      </c>
      <c r="B18" s="24" t="s">
        <v>40</v>
      </c>
      <c r="C18" s="9">
        <v>1.8210071210390781</v>
      </c>
      <c r="D18" s="18">
        <v>1.2743770741906306</v>
      </c>
      <c r="E18" s="17"/>
      <c r="F18" s="9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15.75" customHeight="1">
      <c r="A19" s="8">
        <v>10602.0</v>
      </c>
      <c r="B19" s="24" t="s">
        <v>41</v>
      </c>
      <c r="C19" s="9">
        <v>1.209977947142395</v>
      </c>
      <c r="D19" s="18">
        <v>1.5081606481163317</v>
      </c>
      <c r="E19" s="17"/>
      <c r="F19" s="9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15.75" customHeight="1">
      <c r="A20" s="8">
        <v>10701.0</v>
      </c>
      <c r="B20" s="24" t="s">
        <v>42</v>
      </c>
      <c r="C20" s="9">
        <v>1.9039523560176241</v>
      </c>
      <c r="D20" s="18">
        <v>1.4956091884052356</v>
      </c>
      <c r="E20" s="17"/>
      <c r="F20" s="9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5.75" customHeight="1">
      <c r="A21" s="8">
        <v>10702.0</v>
      </c>
      <c r="B21" s="24" t="s">
        <v>43</v>
      </c>
      <c r="C21" s="9">
        <v>2.025697278588657</v>
      </c>
      <c r="D21" s="18">
        <v>1.865752899532821</v>
      </c>
      <c r="E21" s="17"/>
      <c r="F21" s="9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5.75" customHeight="1">
      <c r="A22" s="8">
        <v>10703.0</v>
      </c>
      <c r="B22" s="24" t="s">
        <v>44</v>
      </c>
      <c r="C22" s="9">
        <v>1.9829406085380745</v>
      </c>
      <c r="D22" s="18">
        <v>2.792317691740341</v>
      </c>
      <c r="E22" s="17"/>
      <c r="F22" s="9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5.75" customHeight="1">
      <c r="A23" s="8">
        <v>10704.0</v>
      </c>
      <c r="B23" s="24" t="s">
        <v>45</v>
      </c>
      <c r="C23" s="9">
        <v>1.5288486666142806</v>
      </c>
      <c r="D23" s="18">
        <v>1.4661602631812571</v>
      </c>
      <c r="E23" s="17"/>
      <c r="F23" s="9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5.75" customHeight="1">
      <c r="A24" s="8">
        <v>10801.0</v>
      </c>
      <c r="B24" s="24" t="s">
        <v>46</v>
      </c>
      <c r="C24" s="9">
        <v>2.9456176892858275</v>
      </c>
      <c r="D24" s="18">
        <v>2.082706194091136</v>
      </c>
      <c r="E24" s="17"/>
      <c r="F24" s="9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15.75" customHeight="1">
      <c r="A25" s="8">
        <v>10901.0</v>
      </c>
      <c r="B25" s="24" t="s">
        <v>47</v>
      </c>
      <c r="C25" s="9">
        <v>1.4884010360105941</v>
      </c>
      <c r="D25" s="18">
        <v>0.8349358018944748</v>
      </c>
      <c r="E25" s="17"/>
      <c r="F25" s="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15.75" customHeight="1">
      <c r="A26" s="8">
        <v>10902.0</v>
      </c>
      <c r="B26" s="24" t="s">
        <v>48</v>
      </c>
      <c r="C26" s="9">
        <v>1.5781420744429233</v>
      </c>
      <c r="D26" s="18">
        <v>1.866312298092395</v>
      </c>
      <c r="E26" s="17"/>
      <c r="F26" s="9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15.75" customHeight="1">
      <c r="A27" s="8">
        <v>10903.0</v>
      </c>
      <c r="B27" s="24" t="s">
        <v>49</v>
      </c>
      <c r="C27" s="9">
        <v>1.0926007967335505</v>
      </c>
      <c r="D27" s="18">
        <v>1.7842131345263148</v>
      </c>
      <c r="E27" s="17"/>
      <c r="F27" s="9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15.75" customHeight="1">
      <c r="A28" s="8">
        <v>11001.0</v>
      </c>
      <c r="B28" s="24" t="s">
        <v>50</v>
      </c>
      <c r="C28" s="9">
        <v>1.8826979989448125</v>
      </c>
      <c r="D28" s="18">
        <v>2.202769279883427</v>
      </c>
      <c r="E28" s="17"/>
      <c r="F28" s="9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15.75" customHeight="1">
      <c r="A29" s="8">
        <v>11002.0</v>
      </c>
      <c r="B29" s="24" t="s">
        <v>51</v>
      </c>
      <c r="C29" s="9">
        <v>0.9986491606234282</v>
      </c>
      <c r="D29" s="18">
        <v>3.310521808009152</v>
      </c>
      <c r="E29" s="17"/>
      <c r="F29" s="9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15.75" customHeight="1">
      <c r="A30" s="8">
        <v>11003.0</v>
      </c>
      <c r="B30" s="24" t="s">
        <v>52</v>
      </c>
      <c r="C30" s="9">
        <v>1.2624741605978895</v>
      </c>
      <c r="D30" s="18">
        <v>0.5054144723535644</v>
      </c>
      <c r="E30" s="17"/>
      <c r="F30" s="9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15.75" customHeight="1">
      <c r="A31" s="8">
        <v>20101.0</v>
      </c>
      <c r="B31" s="24" t="s">
        <v>53</v>
      </c>
      <c r="C31" s="9">
        <v>0.7486611479010948</v>
      </c>
      <c r="D31" s="18">
        <v>0.3856426155748406</v>
      </c>
      <c r="E31" s="17"/>
      <c r="F31" s="9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15.75" customHeight="1">
      <c r="A32" s="8">
        <v>20102.0</v>
      </c>
      <c r="B32" s="24" t="s">
        <v>54</v>
      </c>
      <c r="C32" s="9">
        <v>1.0553285242682706</v>
      </c>
      <c r="D32" s="18">
        <v>1.2651726186389112</v>
      </c>
      <c r="E32" s="17"/>
      <c r="F32" s="9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15.75" customHeight="1">
      <c r="A33" s="8">
        <v>20103.0</v>
      </c>
      <c r="B33" s="24" t="s">
        <v>55</v>
      </c>
      <c r="C33" s="9">
        <v>2.507966721828001</v>
      </c>
      <c r="D33" s="18">
        <v>2.4945107918197604</v>
      </c>
      <c r="E33" s="17"/>
      <c r="F33" s="9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15.75" customHeight="1">
      <c r="A34" s="8">
        <v>20104.0</v>
      </c>
      <c r="B34" s="24" t="s">
        <v>56</v>
      </c>
      <c r="C34" s="9">
        <v>0.7880850922278781</v>
      </c>
      <c r="D34" s="18">
        <v>0.7943177155827785</v>
      </c>
      <c r="E34" s="17"/>
      <c r="F34" s="9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15.75" customHeight="1">
      <c r="A35" s="8">
        <v>20105.0</v>
      </c>
      <c r="B35" s="24" t="s">
        <v>57</v>
      </c>
      <c r="C35" s="9">
        <v>0.6128171473607879</v>
      </c>
      <c r="D35" s="18">
        <v>0.45244049774409556</v>
      </c>
      <c r="E35" s="17"/>
      <c r="F35" s="9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15.75" customHeight="1">
      <c r="A36" s="8">
        <v>20201.0</v>
      </c>
      <c r="B36" s="24" t="s">
        <v>58</v>
      </c>
      <c r="C36" s="9">
        <v>1.1140337822212087</v>
      </c>
      <c r="D36" s="18">
        <v>0.9073579257269702</v>
      </c>
      <c r="E36" s="17"/>
      <c r="F36" s="9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15.75" customHeight="1">
      <c r="A37" s="8">
        <v>20202.0</v>
      </c>
      <c r="B37" s="24" t="s">
        <v>59</v>
      </c>
      <c r="C37" s="9">
        <v>0.905899105251457</v>
      </c>
      <c r="D37" s="18">
        <v>0.8893478158116845</v>
      </c>
      <c r="E37" s="17"/>
      <c r="F37" s="9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15.75" customHeight="1">
      <c r="A38" s="8">
        <v>20203.0</v>
      </c>
      <c r="B38" s="24" t="s">
        <v>60</v>
      </c>
      <c r="C38" s="9">
        <v>0.9848234218140693</v>
      </c>
      <c r="D38" s="18">
        <v>0.7046886448270226</v>
      </c>
      <c r="E38" s="17"/>
      <c r="F38" s="9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15.75" customHeight="1">
      <c r="A39" s="8">
        <v>20204.0</v>
      </c>
      <c r="B39" s="24" t="s">
        <v>61</v>
      </c>
      <c r="C39" s="9">
        <v>0.976181774513252</v>
      </c>
      <c r="D39" s="18">
        <v>0.9812599114182847</v>
      </c>
      <c r="E39" s="17"/>
      <c r="F39" s="9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5.75" customHeight="1">
      <c r="A40" s="8">
        <v>20205.0</v>
      </c>
      <c r="B40" s="24" t="s">
        <v>62</v>
      </c>
      <c r="C40" s="9">
        <v>0.5837104090319816</v>
      </c>
      <c r="D40" s="18">
        <v>0.7810881811034865</v>
      </c>
      <c r="E40" s="17"/>
      <c r="F40" s="9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15.75" customHeight="1">
      <c r="A41" s="8">
        <v>20206.0</v>
      </c>
      <c r="B41" s="24" t="s">
        <v>63</v>
      </c>
      <c r="C41" s="9">
        <v>1.4879052428762396</v>
      </c>
      <c r="D41" s="18">
        <v>0.9154852399651415</v>
      </c>
      <c r="E41" s="17"/>
      <c r="F41" s="9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5.75" customHeight="1">
      <c r="A42" s="8">
        <v>20301.0</v>
      </c>
      <c r="B42" s="24" t="s">
        <v>64</v>
      </c>
      <c r="C42" s="9">
        <v>1.6528714513374574</v>
      </c>
      <c r="D42" s="18">
        <v>1.5595852764417129</v>
      </c>
      <c r="E42" s="17"/>
      <c r="F42" s="9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15.75" customHeight="1">
      <c r="A43" s="8">
        <v>20302.0</v>
      </c>
      <c r="B43" s="24" t="s">
        <v>65</v>
      </c>
      <c r="C43" s="9">
        <v>1.3988731937866161</v>
      </c>
      <c r="D43" s="18">
        <v>0.9895407678234183</v>
      </c>
      <c r="E43" s="17"/>
      <c r="F43" s="9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15.75" customHeight="1">
      <c r="A44" s="8">
        <v>20303.0</v>
      </c>
      <c r="B44" s="24" t="s">
        <v>66</v>
      </c>
      <c r="C44" s="9">
        <v>1.1137497489705106</v>
      </c>
      <c r="D44" s="18">
        <v>1.2750581648871704</v>
      </c>
      <c r="E44" s="17"/>
      <c r="F44" s="9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15.75" customHeight="1">
      <c r="A45" s="8">
        <v>20304.0</v>
      </c>
      <c r="B45" s="24" t="s">
        <v>67</v>
      </c>
      <c r="C45" s="9">
        <v>0.9225455137294001</v>
      </c>
      <c r="D45" s="18">
        <v>0.8528023885158785</v>
      </c>
      <c r="E45" s="17"/>
      <c r="F45" s="9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5.75" customHeight="1">
      <c r="A46" s="8">
        <v>20305.0</v>
      </c>
      <c r="B46" s="24" t="s">
        <v>68</v>
      </c>
      <c r="C46" s="9">
        <v>1.540174527961463</v>
      </c>
      <c r="D46" s="18">
        <v>1.7026350666473298</v>
      </c>
      <c r="E46" s="17"/>
      <c r="F46" s="9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5.75" customHeight="1">
      <c r="A47" s="8">
        <v>20306.0</v>
      </c>
      <c r="B47" s="24" t="s">
        <v>69</v>
      </c>
      <c r="C47" s="9">
        <v>1.042466730350388</v>
      </c>
      <c r="D47" s="18">
        <v>1.3166457322563296</v>
      </c>
      <c r="E47" s="17"/>
      <c r="F47" s="9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5.75" customHeight="1">
      <c r="A48" s="8">
        <v>20307.0</v>
      </c>
      <c r="B48" s="24" t="s">
        <v>70</v>
      </c>
      <c r="C48" s="9">
        <v>0.6892504031979112</v>
      </c>
      <c r="D48" s="18">
        <v>1.0286985437639964</v>
      </c>
      <c r="E48" s="17"/>
      <c r="F48" s="9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15.75" customHeight="1">
      <c r="A49" s="8">
        <v>20308.0</v>
      </c>
      <c r="B49" s="24" t="s">
        <v>71</v>
      </c>
      <c r="C49" s="9">
        <v>1.1580874448628145</v>
      </c>
      <c r="D49" s="18">
        <v>0.9132589187332706</v>
      </c>
      <c r="E49" s="17"/>
      <c r="F49" s="9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15.75" customHeight="1">
      <c r="A50" s="8">
        <v>20401.0</v>
      </c>
      <c r="B50" s="24" t="s">
        <v>72</v>
      </c>
      <c r="C50" s="9">
        <v>1.1762421255276312</v>
      </c>
      <c r="D50" s="18">
        <v>0.9143281929629392</v>
      </c>
      <c r="E50" s="17"/>
      <c r="F50" s="9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5.75" customHeight="1">
      <c r="A51" s="8">
        <v>20402.0</v>
      </c>
      <c r="B51" s="24" t="s">
        <v>73</v>
      </c>
      <c r="C51" s="9">
        <v>1.0785976621156463</v>
      </c>
      <c r="D51" s="18">
        <v>1.2701471302370753</v>
      </c>
      <c r="E51" s="17"/>
      <c r="F51" s="9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15.75" customHeight="1">
      <c r="A52" s="8">
        <v>20403.0</v>
      </c>
      <c r="B52" s="24" t="s">
        <v>74</v>
      </c>
      <c r="C52" s="9">
        <v>1.8153115079475535</v>
      </c>
      <c r="D52" s="18">
        <v>1.121955124116517</v>
      </c>
      <c r="E52" s="17"/>
      <c r="F52" s="9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5.75" customHeight="1">
      <c r="A53" s="8">
        <v>20404.0</v>
      </c>
      <c r="B53" s="24" t="s">
        <v>75</v>
      </c>
      <c r="C53" s="9">
        <v>1.1381034133740249</v>
      </c>
      <c r="D53" s="18">
        <v>0.8258162580128822</v>
      </c>
      <c r="E53" s="17"/>
      <c r="F53" s="9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15.75" customHeight="1">
      <c r="A54" s="8">
        <v>20405.0</v>
      </c>
      <c r="B54" s="24" t="s">
        <v>76</v>
      </c>
      <c r="C54" s="9">
        <v>1.1065208025938684</v>
      </c>
      <c r="D54" s="18">
        <v>1.0850495840948895</v>
      </c>
      <c r="E54" s="17"/>
      <c r="F54" s="9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75" customHeight="1">
      <c r="A55" s="8">
        <v>20501.0</v>
      </c>
      <c r="B55" s="24" t="s">
        <v>77</v>
      </c>
      <c r="C55" s="9">
        <v>1.1709563070201248</v>
      </c>
      <c r="D55" s="18">
        <v>0.9993141980517024</v>
      </c>
      <c r="E55" s="17"/>
      <c r="F55" s="9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5.75" customHeight="1">
      <c r="A56" s="8">
        <v>20502.0</v>
      </c>
      <c r="B56" s="24" t="s">
        <v>78</v>
      </c>
      <c r="C56" s="9">
        <v>1.0116251620646235</v>
      </c>
      <c r="D56" s="18">
        <v>1.4594907273399431</v>
      </c>
      <c r="E56" s="17"/>
      <c r="F56" s="9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15.75" customHeight="1">
      <c r="A57" s="8">
        <v>20503.0</v>
      </c>
      <c r="B57" s="24" t="s">
        <v>79</v>
      </c>
      <c r="C57" s="9">
        <v>1.1399453164696594</v>
      </c>
      <c r="D57" s="18">
        <v>1.4613199138102144</v>
      </c>
      <c r="E57" s="17"/>
      <c r="F57" s="9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75" customHeight="1">
      <c r="A58" s="8">
        <v>20601.0</v>
      </c>
      <c r="B58" s="24" t="s">
        <v>80</v>
      </c>
      <c r="C58" s="9">
        <v>1.2661866507119364</v>
      </c>
      <c r="D58" s="18">
        <v>1.0617306968818236</v>
      </c>
      <c r="E58" s="17"/>
      <c r="F58" s="9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75" customHeight="1">
      <c r="A59" s="8">
        <v>20602.0</v>
      </c>
      <c r="B59" s="24" t="s">
        <v>81</v>
      </c>
      <c r="C59" s="9">
        <v>1.0914861158903224</v>
      </c>
      <c r="D59" s="18">
        <v>1.1726968087860912</v>
      </c>
      <c r="E59" s="17"/>
      <c r="F59" s="9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75" customHeight="1">
      <c r="A60" s="8">
        <v>20603.0</v>
      </c>
      <c r="B60" s="24" t="s">
        <v>82</v>
      </c>
      <c r="C60" s="9">
        <v>0.9346419167359743</v>
      </c>
      <c r="D60" s="18">
        <v>0.8399686923016964</v>
      </c>
      <c r="E60" s="17"/>
      <c r="F60" s="9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75" customHeight="1">
      <c r="A61" s="8">
        <v>20604.0</v>
      </c>
      <c r="B61" s="24" t="s">
        <v>83</v>
      </c>
      <c r="C61" s="9">
        <v>1.1529831363444027</v>
      </c>
      <c r="D61" s="18">
        <v>1.230713744038235</v>
      </c>
      <c r="E61" s="17"/>
      <c r="F61" s="9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5.75" customHeight="1">
      <c r="A62" s="8">
        <v>20605.0</v>
      </c>
      <c r="B62" s="24" t="s">
        <v>84</v>
      </c>
      <c r="C62" s="9">
        <v>0.9047899444706796</v>
      </c>
      <c r="D62" s="18">
        <v>2.1066052815023406</v>
      </c>
      <c r="E62" s="17"/>
      <c r="F62" s="9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75" customHeight="1">
      <c r="A63" s="8">
        <v>20606.0</v>
      </c>
      <c r="B63" s="24" t="s">
        <v>85</v>
      </c>
      <c r="C63" s="9">
        <v>0.8699185785408595</v>
      </c>
      <c r="D63" s="18">
        <v>1.0351535693138074</v>
      </c>
      <c r="E63" s="17"/>
      <c r="F63" s="9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75" customHeight="1">
      <c r="A64" s="8">
        <v>20607.0</v>
      </c>
      <c r="B64" s="24" t="s">
        <v>86</v>
      </c>
      <c r="C64" s="9">
        <v>0.9285689890377238</v>
      </c>
      <c r="D64" s="18">
        <v>0.8505095377179934</v>
      </c>
      <c r="E64" s="17"/>
      <c r="F64" s="9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75" customHeight="1">
      <c r="A65" s="8">
        <v>20608.0</v>
      </c>
      <c r="B65" s="24" t="s">
        <v>87</v>
      </c>
      <c r="C65" s="9">
        <v>1.1251958625323952</v>
      </c>
      <c r="D65" s="18">
        <v>0.8292367536753195</v>
      </c>
      <c r="E65" s="17"/>
      <c r="F65" s="9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75" customHeight="1">
      <c r="A66" s="8">
        <v>20701.0</v>
      </c>
      <c r="B66" s="24" t="s">
        <v>88</v>
      </c>
      <c r="C66" s="9">
        <v>1.3698374831913012</v>
      </c>
      <c r="D66" s="18">
        <v>1.1561390738910184</v>
      </c>
      <c r="E66" s="17"/>
      <c r="F66" s="9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75" customHeight="1">
      <c r="A67" s="8">
        <v>20702.0</v>
      </c>
      <c r="B67" s="24" t="s">
        <v>89</v>
      </c>
      <c r="C67" s="9">
        <v>1.433928993630907</v>
      </c>
      <c r="D67" s="18">
        <v>0.9309644214648203</v>
      </c>
      <c r="E67" s="17"/>
      <c r="F67" s="9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75" customHeight="1">
      <c r="A68" s="8">
        <v>20801.0</v>
      </c>
      <c r="B68" s="24" t="s">
        <v>90</v>
      </c>
      <c r="C68" s="9">
        <v>0.7474923952059161</v>
      </c>
      <c r="D68" s="18">
        <v>0.6154580512140191</v>
      </c>
      <c r="E68" s="17"/>
      <c r="F68" s="9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5.75" customHeight="1">
      <c r="A69" s="8">
        <v>20802.0</v>
      </c>
      <c r="B69" s="24" t="s">
        <v>91</v>
      </c>
      <c r="C69" s="9">
        <v>1.2989108816625572</v>
      </c>
      <c r="D69" s="18">
        <v>1.5047295646478966</v>
      </c>
      <c r="E69" s="17"/>
      <c r="F69" s="9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75" customHeight="1">
      <c r="A70" s="8">
        <v>20803.0</v>
      </c>
      <c r="B70" s="24" t="s">
        <v>92</v>
      </c>
      <c r="C70" s="9">
        <v>1.4369647183325678</v>
      </c>
      <c r="D70" s="18">
        <v>1.7650500759177385</v>
      </c>
      <c r="E70" s="17"/>
      <c r="F70" s="9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5.75" customHeight="1">
      <c r="A71" s="8">
        <v>20804.0</v>
      </c>
      <c r="B71" s="24" t="s">
        <v>93</v>
      </c>
      <c r="C71" s="9">
        <v>1.2002769042777288</v>
      </c>
      <c r="D71" s="18">
        <v>0.795342943943647</v>
      </c>
      <c r="E71" s="17"/>
      <c r="F71" s="9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15.75" customHeight="1">
      <c r="A72" s="8">
        <v>20805.0</v>
      </c>
      <c r="B72" s="24" t="s">
        <v>94</v>
      </c>
      <c r="C72" s="9">
        <v>0.9689214388571954</v>
      </c>
      <c r="D72" s="18">
        <v>1.3762376233197675</v>
      </c>
      <c r="E72" s="17"/>
      <c r="F72" s="9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75" customHeight="1">
      <c r="A73" s="8">
        <v>20806.0</v>
      </c>
      <c r="B73" s="24" t="s">
        <v>95</v>
      </c>
      <c r="C73" s="9">
        <v>0.9545346133797484</v>
      </c>
      <c r="D73" s="18">
        <v>0.9550547211576854</v>
      </c>
      <c r="E73" s="17"/>
      <c r="F73" s="9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5.75" customHeight="1">
      <c r="A74" s="8">
        <v>20807.0</v>
      </c>
      <c r="B74" s="24" t="s">
        <v>96</v>
      </c>
      <c r="C74" s="9">
        <v>0.7929258382135606</v>
      </c>
      <c r="D74" s="18">
        <v>0.8819655891213651</v>
      </c>
      <c r="E74" s="17"/>
      <c r="F74" s="9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75" customHeight="1">
      <c r="A75" s="8">
        <v>20901.0</v>
      </c>
      <c r="B75" s="24" t="s">
        <v>97</v>
      </c>
      <c r="C75" s="9">
        <v>1.4908034564663455</v>
      </c>
      <c r="D75" s="18">
        <v>1.3538116104534488</v>
      </c>
      <c r="E75" s="17"/>
      <c r="F75" s="9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75" customHeight="1">
      <c r="A76" s="8">
        <v>20902.0</v>
      </c>
      <c r="B76" s="24" t="s">
        <v>98</v>
      </c>
      <c r="C76" s="9">
        <v>0.990262716344183</v>
      </c>
      <c r="D76" s="18">
        <v>1.1612523109201194</v>
      </c>
      <c r="E76" s="17"/>
      <c r="F76" s="9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15.75" customHeight="1">
      <c r="A77" s="8">
        <v>20903.0</v>
      </c>
      <c r="B77" s="24" t="s">
        <v>99</v>
      </c>
      <c r="C77" s="9">
        <v>1.3011235996631327</v>
      </c>
      <c r="D77" s="18">
        <v>1.698932209469497</v>
      </c>
      <c r="E77" s="17"/>
      <c r="F77" s="9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75" customHeight="1">
      <c r="A78" s="8">
        <v>20904.0</v>
      </c>
      <c r="B78" s="24" t="s">
        <v>100</v>
      </c>
      <c r="C78" s="9">
        <v>0.9874920794508929</v>
      </c>
      <c r="D78" s="18">
        <v>0.7060805393283478</v>
      </c>
      <c r="E78" s="17"/>
      <c r="F78" s="9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75" customHeight="1">
      <c r="A79" s="8">
        <v>20905.0</v>
      </c>
      <c r="B79" s="24" t="s">
        <v>101</v>
      </c>
      <c r="C79" s="9">
        <v>1.0624756251146694</v>
      </c>
      <c r="D79" s="18">
        <v>1.764901869515598</v>
      </c>
      <c r="E79" s="17"/>
      <c r="F79" s="9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75" customHeight="1">
      <c r="A80" s="8">
        <v>21001.0</v>
      </c>
      <c r="B80" s="24" t="s">
        <v>102</v>
      </c>
      <c r="C80" s="9">
        <v>1.2528302562726814</v>
      </c>
      <c r="D80" s="18">
        <v>1.0426075786138502</v>
      </c>
      <c r="E80" s="17"/>
      <c r="F80" s="9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75" customHeight="1">
      <c r="A81" s="8">
        <v>21002.0</v>
      </c>
      <c r="B81" s="24" t="s">
        <v>103</v>
      </c>
      <c r="C81" s="9">
        <v>1.721028505326955</v>
      </c>
      <c r="D81" s="18">
        <v>1.869890043112994</v>
      </c>
      <c r="E81" s="17"/>
      <c r="F81" s="9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75" customHeight="1">
      <c r="A82" s="8">
        <v>21003.0</v>
      </c>
      <c r="B82" s="24" t="s">
        <v>104</v>
      </c>
      <c r="C82" s="9">
        <v>0.9515788735071999</v>
      </c>
      <c r="D82" s="18">
        <v>0.6432223788001079</v>
      </c>
      <c r="E82" s="17"/>
      <c r="F82" s="9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75" customHeight="1">
      <c r="A83" s="8">
        <v>21004.0</v>
      </c>
      <c r="B83" s="24" t="s">
        <v>105</v>
      </c>
      <c r="C83" s="9">
        <v>1.4958066403259576</v>
      </c>
      <c r="D83" s="18">
        <v>1.1287968881282746</v>
      </c>
      <c r="E83" s="17"/>
      <c r="F83" s="9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75" customHeight="1">
      <c r="A84" s="8">
        <v>21005.0</v>
      </c>
      <c r="B84" s="24" t="s">
        <v>106</v>
      </c>
      <c r="C84" s="9">
        <v>1.600560468301821</v>
      </c>
      <c r="D84" s="18">
        <v>1.8434361771706598</v>
      </c>
      <c r="E84" s="17"/>
      <c r="F84" s="9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75" customHeight="1">
      <c r="A85" s="8">
        <v>21006.0</v>
      </c>
      <c r="B85" s="24" t="s">
        <v>107</v>
      </c>
      <c r="C85" s="9">
        <v>1.814972144006704</v>
      </c>
      <c r="D85" s="18">
        <v>3.4581149486751066</v>
      </c>
      <c r="E85" s="17"/>
      <c r="F85" s="9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75" customHeight="1">
      <c r="A86" s="8">
        <v>21101.0</v>
      </c>
      <c r="B86" s="24" t="s">
        <v>108</v>
      </c>
      <c r="C86" s="9">
        <v>1.1044616194789796</v>
      </c>
      <c r="D86" s="18">
        <v>1.3884405686835937</v>
      </c>
      <c r="E86" s="17"/>
      <c r="F86" s="9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75" customHeight="1">
      <c r="A87" s="8">
        <v>21102.0</v>
      </c>
      <c r="B87" s="24" t="s">
        <v>109</v>
      </c>
      <c r="C87" s="9">
        <v>1.2123018984481448</v>
      </c>
      <c r="D87" s="18">
        <v>1.7988773381904395</v>
      </c>
      <c r="E87" s="17"/>
      <c r="F87" s="9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75" customHeight="1">
      <c r="A88" s="8">
        <v>21103.0</v>
      </c>
      <c r="B88" s="24" t="s">
        <v>110</v>
      </c>
      <c r="C88" s="9">
        <v>1.1522567986570138</v>
      </c>
      <c r="D88" s="18">
        <v>0.9098151776777232</v>
      </c>
      <c r="E88" s="17"/>
      <c r="F88" s="9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75" customHeight="1">
      <c r="A89" s="8">
        <v>21104.0</v>
      </c>
      <c r="B89" s="24" t="s">
        <v>111</v>
      </c>
      <c r="C89" s="9">
        <v>0.8726627028557749</v>
      </c>
      <c r="D89" s="18">
        <v>0.8527776867152088</v>
      </c>
      <c r="E89" s="17"/>
      <c r="F89" s="9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75" customHeight="1">
      <c r="A90" s="8">
        <v>21105.0</v>
      </c>
      <c r="B90" s="24" t="s">
        <v>112</v>
      </c>
      <c r="C90" s="9">
        <v>0.9976801310098938</v>
      </c>
      <c r="D90" s="18">
        <v>0.8488989667300381</v>
      </c>
      <c r="E90" s="17"/>
      <c r="F90" s="9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75" customHeight="1">
      <c r="A91" s="8">
        <v>21201.0</v>
      </c>
      <c r="B91" s="24" t="s">
        <v>113</v>
      </c>
      <c r="C91" s="9">
        <v>1.021801241515818</v>
      </c>
      <c r="D91" s="18">
        <v>0.8427804987502294</v>
      </c>
      <c r="E91" s="17"/>
      <c r="F91" s="9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75" customHeight="1">
      <c r="A92" s="8">
        <v>21202.0</v>
      </c>
      <c r="B92" s="24" t="s">
        <v>114</v>
      </c>
      <c r="C92" s="9">
        <v>0.8733735568694815</v>
      </c>
      <c r="D92" s="18">
        <v>1.2353817911772986</v>
      </c>
      <c r="E92" s="17"/>
      <c r="F92" s="9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75" customHeight="1">
      <c r="A93" s="8">
        <v>21203.0</v>
      </c>
      <c r="B93" s="24" t="s">
        <v>115</v>
      </c>
      <c r="C93" s="9">
        <v>1.3095160582395406</v>
      </c>
      <c r="D93" s="18">
        <v>1.469171032788853</v>
      </c>
      <c r="E93" s="17"/>
      <c r="F93" s="9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75" customHeight="1">
      <c r="A94" s="8">
        <v>21204.0</v>
      </c>
      <c r="B94" s="24" t="s">
        <v>116</v>
      </c>
      <c r="C94" s="9">
        <v>0.87039025962984</v>
      </c>
      <c r="D94" s="18">
        <v>0.883406275232262</v>
      </c>
      <c r="E94" s="17"/>
      <c r="F94" s="9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75" customHeight="1">
      <c r="A95" s="8">
        <v>21301.0</v>
      </c>
      <c r="B95" s="24" t="s">
        <v>117</v>
      </c>
      <c r="C95" s="9">
        <v>1.174295458087585</v>
      </c>
      <c r="D95" s="18">
        <v>1.3685393310544702</v>
      </c>
      <c r="E95" s="17"/>
      <c r="F95" s="9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75" customHeight="1">
      <c r="A96" s="8">
        <v>21302.0</v>
      </c>
      <c r="B96" s="24" t="s">
        <v>118</v>
      </c>
      <c r="C96" s="9">
        <v>1.1107078073970067</v>
      </c>
      <c r="D96" s="18">
        <v>1.1597994783093821</v>
      </c>
      <c r="E96" s="17"/>
      <c r="F96" s="9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75" customHeight="1">
      <c r="A97" s="8">
        <v>21303.0</v>
      </c>
      <c r="B97" s="24" t="s">
        <v>119</v>
      </c>
      <c r="C97" s="9">
        <v>1.1450487050042029</v>
      </c>
      <c r="D97" s="18">
        <v>1.0807689884320608</v>
      </c>
      <c r="E97" s="17"/>
      <c r="F97" s="9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75" customHeight="1">
      <c r="A98" s="8">
        <v>21304.0</v>
      </c>
      <c r="B98" s="24" t="s">
        <v>120</v>
      </c>
      <c r="C98" s="9">
        <v>1.1481584563050624</v>
      </c>
      <c r="D98" s="18">
        <v>0.9164529978162624</v>
      </c>
      <c r="E98" s="17"/>
      <c r="F98" s="9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75" customHeight="1">
      <c r="A99" s="8">
        <v>21305.0</v>
      </c>
      <c r="B99" s="24" t="s">
        <v>121</v>
      </c>
      <c r="C99" s="9">
        <v>1.1132157857944152</v>
      </c>
      <c r="D99" s="18">
        <v>1.0122457973120436</v>
      </c>
      <c r="E99" s="17"/>
      <c r="F99" s="9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75" customHeight="1">
      <c r="A100" s="8">
        <v>21306.0</v>
      </c>
      <c r="B100" s="24" t="s">
        <v>122</v>
      </c>
      <c r="C100" s="9">
        <v>1.6027124361701666</v>
      </c>
      <c r="D100" s="18">
        <v>1.1986016992808621</v>
      </c>
      <c r="E100" s="17"/>
      <c r="F100" s="9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75" customHeight="1">
      <c r="A101" s="8">
        <v>21307.0</v>
      </c>
      <c r="B101" s="24" t="s">
        <v>123</v>
      </c>
      <c r="C101" s="9">
        <v>1.2952843213670409</v>
      </c>
      <c r="D101" s="18">
        <v>1.2070015958496465</v>
      </c>
      <c r="E101" s="17"/>
      <c r="F101" s="9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75" customHeight="1">
      <c r="A102" s="8">
        <v>21401.0</v>
      </c>
      <c r="B102" s="24" t="s">
        <v>124</v>
      </c>
      <c r="C102" s="9">
        <v>1.3705627689793292</v>
      </c>
      <c r="D102" s="18">
        <v>1.0270771705881163</v>
      </c>
      <c r="E102" s="17"/>
      <c r="F102" s="9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75" customHeight="1">
      <c r="A103" s="8">
        <v>21402.0</v>
      </c>
      <c r="B103" s="24" t="s">
        <v>125</v>
      </c>
      <c r="C103" s="9">
        <v>0.77603749711042</v>
      </c>
      <c r="D103" s="18">
        <v>0.7230334066372105</v>
      </c>
      <c r="E103" s="17"/>
      <c r="F103" s="9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75" customHeight="1">
      <c r="A104" s="8">
        <v>21501.0</v>
      </c>
      <c r="B104" s="24" t="s">
        <v>126</v>
      </c>
      <c r="C104" s="9">
        <v>1.1085799603063171</v>
      </c>
      <c r="D104" s="18">
        <v>0.8583441329472443</v>
      </c>
      <c r="E104" s="17"/>
      <c r="F104" s="9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75" customHeight="1">
      <c r="A105" s="8">
        <v>21502.0</v>
      </c>
      <c r="B105" s="24" t="s">
        <v>127</v>
      </c>
      <c r="C105" s="9">
        <v>1.1805594596079916</v>
      </c>
      <c r="D105" s="18">
        <v>0.7278474374061721</v>
      </c>
      <c r="E105" s="17"/>
      <c r="F105" s="9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75" customHeight="1">
      <c r="A106" s="8">
        <v>21601.0</v>
      </c>
      <c r="B106" s="24" t="s">
        <v>128</v>
      </c>
      <c r="C106" s="9">
        <v>0.9983666728161663</v>
      </c>
      <c r="D106" s="18">
        <v>0.9136541975651702</v>
      </c>
      <c r="E106" s="17"/>
      <c r="F106" s="9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75" customHeight="1">
      <c r="A107" s="8">
        <v>21602.0</v>
      </c>
      <c r="B107" s="24" t="s">
        <v>129</v>
      </c>
      <c r="C107" s="9">
        <v>1.1448329993103676</v>
      </c>
      <c r="D107" s="18">
        <v>1.1006805456234154</v>
      </c>
      <c r="E107" s="17"/>
      <c r="F107" s="9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75" customHeight="1">
      <c r="A108" s="8">
        <v>21701.0</v>
      </c>
      <c r="B108" s="24" t="s">
        <v>130</v>
      </c>
      <c r="C108" s="9">
        <v>0.9489405932057287</v>
      </c>
      <c r="D108" s="18">
        <v>0.8030671164747724</v>
      </c>
      <c r="E108" s="17"/>
      <c r="F108" s="9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5.75" customHeight="1">
      <c r="A109" s="8">
        <v>21702.0</v>
      </c>
      <c r="B109" s="24" t="s">
        <v>131</v>
      </c>
      <c r="C109" s="9">
        <v>0.9422154400887236</v>
      </c>
      <c r="D109" s="18">
        <v>0.8506815663781014</v>
      </c>
      <c r="E109" s="17"/>
      <c r="F109" s="9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75" customHeight="1">
      <c r="A110" s="8">
        <v>21703.0</v>
      </c>
      <c r="B110" s="24" t="s">
        <v>132</v>
      </c>
      <c r="C110" s="9">
        <v>1.3400056061759622</v>
      </c>
      <c r="D110" s="18">
        <v>0.807104642051489</v>
      </c>
      <c r="E110" s="17"/>
      <c r="F110" s="9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75" customHeight="1">
      <c r="A111" s="8">
        <v>21801.0</v>
      </c>
      <c r="B111" s="24" t="s">
        <v>133</v>
      </c>
      <c r="C111" s="9">
        <v>0.9366817031323904</v>
      </c>
      <c r="D111" s="18">
        <v>0.9288963279098872</v>
      </c>
      <c r="E111" s="17"/>
      <c r="F111" s="9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5.75" customHeight="1">
      <c r="A112" s="8">
        <v>21802.0</v>
      </c>
      <c r="B112" s="24" t="s">
        <v>134</v>
      </c>
      <c r="C112" s="9">
        <v>0.9633111273071718</v>
      </c>
      <c r="D112" s="18">
        <v>0.6160412254483604</v>
      </c>
      <c r="E112" s="17"/>
      <c r="F112" s="9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75" customHeight="1">
      <c r="A113" s="8">
        <v>21803.0</v>
      </c>
      <c r="B113" s="24" t="s">
        <v>135</v>
      </c>
      <c r="C113" s="9">
        <v>1.4155901382333773</v>
      </c>
      <c r="D113" s="18">
        <v>1.21812531268893</v>
      </c>
      <c r="E113" s="17"/>
      <c r="F113" s="9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75" customHeight="1">
      <c r="A114" s="8">
        <v>21901.0</v>
      </c>
      <c r="B114" s="24" t="s">
        <v>136</v>
      </c>
      <c r="C114" s="9">
        <v>1.0372639023024928</v>
      </c>
      <c r="D114" s="18">
        <v>2.976319696882063</v>
      </c>
      <c r="E114" s="17"/>
      <c r="F114" s="9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75" customHeight="1">
      <c r="A115" s="8">
        <v>21902.0</v>
      </c>
      <c r="B115" s="24" t="s">
        <v>137</v>
      </c>
      <c r="C115" s="9">
        <v>1.074796287190972</v>
      </c>
      <c r="D115" s="18">
        <v>0.9695757727849305</v>
      </c>
      <c r="E115" s="17"/>
      <c r="F115" s="9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75" customHeight="1">
      <c r="A116" s="8">
        <v>22001.0</v>
      </c>
      <c r="B116" s="24" t="s">
        <v>138</v>
      </c>
      <c r="C116" s="9">
        <v>1.219446973565564</v>
      </c>
      <c r="D116" s="18">
        <v>0.857436552777702</v>
      </c>
      <c r="E116" s="17"/>
      <c r="F116" s="9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75" customHeight="1">
      <c r="A117" s="8">
        <v>22002.0</v>
      </c>
      <c r="B117" s="24" t="s">
        <v>139</v>
      </c>
      <c r="C117" s="9">
        <v>1.0219465411794766</v>
      </c>
      <c r="D117" s="18">
        <v>0.8115532964881865</v>
      </c>
      <c r="E117" s="17"/>
      <c r="F117" s="9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75" customHeight="1">
      <c r="A118" s="8">
        <v>30101.0</v>
      </c>
      <c r="B118" s="24" t="s">
        <v>140</v>
      </c>
      <c r="C118" s="9">
        <v>0.6482807674084958</v>
      </c>
      <c r="D118" s="18">
        <v>0.6223785134349826</v>
      </c>
      <c r="E118" s="17"/>
      <c r="F118" s="9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5.75" customHeight="1">
      <c r="A119" s="8">
        <v>30201.0</v>
      </c>
      <c r="B119" s="24" t="s">
        <v>141</v>
      </c>
      <c r="C119" s="9">
        <v>2.6659425480957313</v>
      </c>
      <c r="D119" s="18">
        <v>1.5722372273771041</v>
      </c>
      <c r="E119" s="17"/>
      <c r="F119" s="9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75" customHeight="1">
      <c r="A120" s="8">
        <v>30202.0</v>
      </c>
      <c r="B120" s="24" t="s">
        <v>142</v>
      </c>
      <c r="C120" s="9">
        <v>0.7570964288528149</v>
      </c>
      <c r="D120" s="18">
        <v>1.144966599527637</v>
      </c>
      <c r="E120" s="17"/>
      <c r="F120" s="9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75" customHeight="1">
      <c r="A121" s="8">
        <v>30203.0</v>
      </c>
      <c r="B121" s="24" t="s">
        <v>143</v>
      </c>
      <c r="C121" s="9">
        <v>1.0768425178251897</v>
      </c>
      <c r="D121" s="18">
        <v>1.8618829676396058</v>
      </c>
      <c r="E121" s="17"/>
      <c r="F121" s="9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5.75" customHeight="1">
      <c r="A122" s="8">
        <v>30301.0</v>
      </c>
      <c r="B122" s="24" t="s">
        <v>144</v>
      </c>
      <c r="C122" s="9">
        <v>1.959782985952488</v>
      </c>
      <c r="D122" s="18">
        <v>1.8054023640375503</v>
      </c>
      <c r="E122" s="17"/>
      <c r="F122" s="9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75" customHeight="1">
      <c r="A123" s="8">
        <v>30302.0</v>
      </c>
      <c r="B123" s="24" t="s">
        <v>145</v>
      </c>
      <c r="C123" s="9">
        <v>1.223817474099463</v>
      </c>
      <c r="D123" s="18">
        <v>1.1075064440401352</v>
      </c>
      <c r="E123" s="17"/>
      <c r="F123" s="9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75" customHeight="1">
      <c r="A124" s="8">
        <v>30303.0</v>
      </c>
      <c r="B124" s="24" t="s">
        <v>146</v>
      </c>
      <c r="C124" s="9">
        <v>1.0485404193890018</v>
      </c>
      <c r="D124" s="18">
        <v>0.9499597705543323</v>
      </c>
      <c r="E124" s="17"/>
      <c r="F124" s="9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75" customHeight="1">
      <c r="A125" s="8">
        <v>30401.0</v>
      </c>
      <c r="B125" s="24" t="s">
        <v>147</v>
      </c>
      <c r="C125" s="9">
        <v>1.5012677634765048</v>
      </c>
      <c r="D125" s="18">
        <v>0.35008624670322447</v>
      </c>
      <c r="E125" s="17"/>
      <c r="F125" s="9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75" customHeight="1">
      <c r="A126" s="8">
        <v>30402.0</v>
      </c>
      <c r="B126" s="24" t="s">
        <v>148</v>
      </c>
      <c r="C126" s="9">
        <v>1.3015232016993878</v>
      </c>
      <c r="D126" s="18">
        <v>1.278767127372707</v>
      </c>
      <c r="E126" s="17"/>
      <c r="F126" s="9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5.75" customHeight="1">
      <c r="A127" s="8">
        <v>30403.0</v>
      </c>
      <c r="B127" s="24" t="s">
        <v>149</v>
      </c>
      <c r="C127" s="9">
        <v>0.5582147306081285</v>
      </c>
      <c r="D127" s="18">
        <v>0.44640942612661194</v>
      </c>
      <c r="E127" s="17"/>
      <c r="F127" s="9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75" customHeight="1">
      <c r="A128" s="8">
        <v>30404.0</v>
      </c>
      <c r="B128" s="24" t="s">
        <v>150</v>
      </c>
      <c r="C128" s="9">
        <v>1.43478420200096</v>
      </c>
      <c r="D128" s="18">
        <v>1.064395585196782</v>
      </c>
      <c r="E128" s="17"/>
      <c r="F128" s="9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75" customHeight="1">
      <c r="A129" s="8">
        <v>30501.0</v>
      </c>
      <c r="B129" s="24" t="s">
        <v>151</v>
      </c>
      <c r="C129" s="9">
        <v>0.5859583449209663</v>
      </c>
      <c r="D129" s="18">
        <v>0.7518076912859296</v>
      </c>
      <c r="E129" s="17"/>
      <c r="F129" s="9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75" customHeight="1">
      <c r="A130" s="8">
        <v>30502.0</v>
      </c>
      <c r="B130" s="24" t="s">
        <v>152</v>
      </c>
      <c r="C130" s="9">
        <v>0.8865983179502165</v>
      </c>
      <c r="D130" s="18">
        <v>1.1411495693568359</v>
      </c>
      <c r="E130" s="17"/>
      <c r="F130" s="9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75" customHeight="1">
      <c r="A131" s="8">
        <v>30601.0</v>
      </c>
      <c r="B131" s="24" t="s">
        <v>153</v>
      </c>
      <c r="C131" s="9">
        <v>1.9566816042592217</v>
      </c>
      <c r="D131" s="18">
        <v>1.5244276572949276</v>
      </c>
      <c r="E131" s="17"/>
      <c r="F131" s="9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75" customHeight="1">
      <c r="A132" s="8">
        <v>30602.0</v>
      </c>
      <c r="B132" s="24" t="s">
        <v>154</v>
      </c>
      <c r="C132" s="9">
        <v>1.2305029599338435</v>
      </c>
      <c r="D132" s="18">
        <v>1.281010485103321</v>
      </c>
      <c r="E132" s="17"/>
      <c r="F132" s="9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75" customHeight="1">
      <c r="A133" s="8">
        <v>30701.0</v>
      </c>
      <c r="B133" s="24" t="s">
        <v>155</v>
      </c>
      <c r="C133" s="9">
        <v>0.9921410814589765</v>
      </c>
      <c r="D133" s="18">
        <v>0.8592358878180677</v>
      </c>
      <c r="E133" s="17"/>
      <c r="F133" s="9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75" customHeight="1">
      <c r="A134" s="8">
        <v>30702.0</v>
      </c>
      <c r="B134" s="24" t="s">
        <v>156</v>
      </c>
      <c r="C134" s="9">
        <v>0.7820017938152167</v>
      </c>
      <c r="D134" s="18">
        <v>0.4495720452362174</v>
      </c>
      <c r="E134" s="17"/>
      <c r="F134" s="9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75" customHeight="1">
      <c r="A135" s="8">
        <v>30703.0</v>
      </c>
      <c r="B135" s="24" t="s">
        <v>157</v>
      </c>
      <c r="C135" s="9">
        <v>1.045043983352048</v>
      </c>
      <c r="D135" s="18">
        <v>1.0077403814379469</v>
      </c>
      <c r="E135" s="17"/>
      <c r="F135" s="9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5.75" customHeight="1">
      <c r="A136" s="8">
        <v>30801.0</v>
      </c>
      <c r="B136" s="24" t="s">
        <v>158</v>
      </c>
      <c r="C136" s="9">
        <v>0.6230831077632036</v>
      </c>
      <c r="D136" s="18">
        <v>0.20643443778957307</v>
      </c>
      <c r="E136" s="17"/>
      <c r="F136" s="9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5.75" customHeight="1">
      <c r="A137" s="8">
        <v>30802.0</v>
      </c>
      <c r="B137" s="24" t="s">
        <v>159</v>
      </c>
      <c r="C137" s="9">
        <v>0.6634509965264744</v>
      </c>
      <c r="D137" s="18">
        <v>0.8919125848395859</v>
      </c>
      <c r="E137" s="17"/>
      <c r="F137" s="9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5.75" customHeight="1">
      <c r="A138" s="8">
        <v>30803.0</v>
      </c>
      <c r="B138" s="24" t="s">
        <v>160</v>
      </c>
      <c r="C138" s="9">
        <v>0.777307817291055</v>
      </c>
      <c r="D138" s="18">
        <v>0.13701804233576725</v>
      </c>
      <c r="E138" s="17"/>
      <c r="F138" s="9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75" customHeight="1">
      <c r="A139" s="8">
        <v>30901.0</v>
      </c>
      <c r="B139" s="24" t="s">
        <v>161</v>
      </c>
      <c r="C139" s="9">
        <v>0.7820704024617777</v>
      </c>
      <c r="D139" s="18">
        <v>0.7066518674825217</v>
      </c>
      <c r="E139" s="17"/>
      <c r="F139" s="9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5.75" customHeight="1">
      <c r="A140" s="8">
        <v>30902.0</v>
      </c>
      <c r="B140" s="24" t="s">
        <v>162</v>
      </c>
      <c r="C140" s="9">
        <v>0.9494825932090211</v>
      </c>
      <c r="D140" s="18">
        <v>0.8330577946920419</v>
      </c>
      <c r="E140" s="17"/>
      <c r="F140" s="9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75" customHeight="1">
      <c r="A141" s="8">
        <v>30903.0</v>
      </c>
      <c r="B141" s="24" t="s">
        <v>163</v>
      </c>
      <c r="C141" s="9">
        <v>1.0154046985165994</v>
      </c>
      <c r="D141" s="18">
        <v>2.0264788960251403</v>
      </c>
      <c r="E141" s="17"/>
      <c r="F141" s="9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5.75" customHeight="1">
      <c r="A142" s="8">
        <v>30904.0</v>
      </c>
      <c r="B142" s="24" t="s">
        <v>164</v>
      </c>
      <c r="C142" s="9">
        <v>0.8386632011039478</v>
      </c>
      <c r="D142" s="18">
        <v>0.9857806845374782</v>
      </c>
      <c r="E142" s="17"/>
      <c r="F142" s="9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75" customHeight="1">
      <c r="A143" s="8">
        <v>30905.0</v>
      </c>
      <c r="B143" s="24" t="s">
        <v>165</v>
      </c>
      <c r="C143" s="9">
        <v>0.8765827845302434</v>
      </c>
      <c r="D143" s="18">
        <v>1.0922274183532188</v>
      </c>
      <c r="E143" s="17"/>
      <c r="F143" s="9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75" customHeight="1">
      <c r="A144" s="8">
        <v>31001.0</v>
      </c>
      <c r="B144" s="24" t="s">
        <v>166</v>
      </c>
      <c r="C144" s="9">
        <v>0.734809615774883</v>
      </c>
      <c r="D144" s="18">
        <v>0.661905028242624</v>
      </c>
      <c r="E144" s="17"/>
      <c r="F144" s="9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75" customHeight="1">
      <c r="A145" s="8">
        <v>31002.0</v>
      </c>
      <c r="B145" s="24" t="s">
        <v>167</v>
      </c>
      <c r="C145" s="9">
        <v>0.7105321969267402</v>
      </c>
      <c r="D145" s="18">
        <v>0.8817185366523871</v>
      </c>
      <c r="E145" s="17"/>
      <c r="F145" s="9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75" customHeight="1">
      <c r="A146" s="8">
        <v>31003.0</v>
      </c>
      <c r="B146" s="24" t="s">
        <v>168</v>
      </c>
      <c r="C146" s="9">
        <v>0.9604223144906223</v>
      </c>
      <c r="D146" s="18">
        <v>1.0695006129338294</v>
      </c>
      <c r="E146" s="17"/>
      <c r="F146" s="9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75" customHeight="1">
      <c r="A147" s="8">
        <v>31101.0</v>
      </c>
      <c r="B147" s="24" t="s">
        <v>169</v>
      </c>
      <c r="C147" s="9">
        <v>1.446752576812007</v>
      </c>
      <c r="D147" s="18">
        <v>1.3325169987443755</v>
      </c>
      <c r="E147" s="17"/>
      <c r="F147" s="9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75" customHeight="1">
      <c r="A148" s="8">
        <v>31201.0</v>
      </c>
      <c r="B148" s="24" t="s">
        <v>170</v>
      </c>
      <c r="C148" s="9">
        <v>2.160872564081008</v>
      </c>
      <c r="D148" s="18">
        <v>0.8986152757510343</v>
      </c>
      <c r="E148" s="17"/>
      <c r="F148" s="9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75" customHeight="1">
      <c r="A149" s="8">
        <v>31202.0</v>
      </c>
      <c r="B149" s="24" t="s">
        <v>171</v>
      </c>
      <c r="C149" s="9">
        <v>1.0668354415475356</v>
      </c>
      <c r="D149" s="18">
        <v>1.6206132397041013</v>
      </c>
      <c r="E149" s="17"/>
      <c r="F149" s="9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75" customHeight="1">
      <c r="A150" s="8">
        <v>31203.0</v>
      </c>
      <c r="B150" s="24" t="s">
        <v>172</v>
      </c>
      <c r="C150" s="9">
        <v>1.2392399041337927</v>
      </c>
      <c r="D150" s="18">
        <v>1.052310162604537</v>
      </c>
      <c r="E150" s="17"/>
      <c r="F150" s="9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75" customHeight="1">
      <c r="A151" s="8">
        <v>31204.0</v>
      </c>
      <c r="B151" s="24" t="s">
        <v>173</v>
      </c>
      <c r="C151" s="9">
        <v>1.2953476768933436</v>
      </c>
      <c r="D151" s="18">
        <v>1.127744349358661</v>
      </c>
      <c r="E151" s="17"/>
      <c r="F151" s="9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75" customHeight="1">
      <c r="A152" s="8">
        <v>31205.0</v>
      </c>
      <c r="B152" s="24" t="s">
        <v>174</v>
      </c>
      <c r="C152" s="9">
        <v>1.0277386101346275</v>
      </c>
      <c r="D152" s="18">
        <v>1.0571825225276585</v>
      </c>
      <c r="E152" s="17"/>
      <c r="F152" s="9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75" customHeight="1">
      <c r="A153" s="8">
        <v>31206.0</v>
      </c>
      <c r="B153" s="24" t="s">
        <v>175</v>
      </c>
      <c r="C153" s="9">
        <v>1.2061066144785744</v>
      </c>
      <c r="D153" s="18">
        <v>1.1074781898247354</v>
      </c>
      <c r="E153" s="17"/>
      <c r="F153" s="9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5.75" customHeight="1">
      <c r="A154" s="8">
        <v>31301.0</v>
      </c>
      <c r="B154" s="24" t="s">
        <v>176</v>
      </c>
      <c r="C154" s="9">
        <v>1.3603365146184114</v>
      </c>
      <c r="D154" s="18">
        <v>1.5045628365998653</v>
      </c>
      <c r="E154" s="17"/>
      <c r="F154" s="9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75" customHeight="1">
      <c r="A155" s="8">
        <v>31302.0</v>
      </c>
      <c r="B155" s="24" t="s">
        <v>177</v>
      </c>
      <c r="C155" s="9">
        <v>1.5324573000243473</v>
      </c>
      <c r="D155" s="18">
        <v>2.020114618442188</v>
      </c>
      <c r="E155" s="17"/>
      <c r="F155" s="9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75" customHeight="1">
      <c r="A156" s="8">
        <v>31303.0</v>
      </c>
      <c r="B156" s="24" t="s">
        <v>178</v>
      </c>
      <c r="C156" s="9">
        <v>1.2801190145828936</v>
      </c>
      <c r="D156" s="18">
        <v>0.8258399884047697</v>
      </c>
      <c r="E156" s="17"/>
      <c r="F156" s="9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5.75" customHeight="1">
      <c r="A157" s="20">
        <v>31304.0</v>
      </c>
      <c r="B157" s="24" t="s">
        <v>179</v>
      </c>
      <c r="C157" s="9">
        <v>1.4782010409326183</v>
      </c>
      <c r="D157" s="18">
        <v>1.7510575531705883</v>
      </c>
      <c r="E157" s="17"/>
      <c r="F157" s="9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75" customHeight="1">
      <c r="A158" s="8">
        <v>31401.0</v>
      </c>
      <c r="B158" s="24" t="s">
        <v>180</v>
      </c>
      <c r="C158" s="9">
        <v>0.6910030521240051</v>
      </c>
      <c r="D158" s="18">
        <v>0.39781941780183705</v>
      </c>
      <c r="E158" s="17"/>
      <c r="F158" s="9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75" customHeight="1">
      <c r="A159" s="8">
        <v>31402.0</v>
      </c>
      <c r="B159" s="24" t="s">
        <v>181</v>
      </c>
      <c r="C159" s="9">
        <v>0.7757011151246972</v>
      </c>
      <c r="D159" s="18">
        <v>0.6907317656801489</v>
      </c>
      <c r="E159" s="17"/>
      <c r="F159" s="9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5.75" customHeight="1">
      <c r="A160" s="8">
        <v>31403.0</v>
      </c>
      <c r="B160" s="24" t="s">
        <v>182</v>
      </c>
      <c r="C160" s="9">
        <v>0.6623481609633634</v>
      </c>
      <c r="D160" s="18">
        <v>0.7086014989225549</v>
      </c>
      <c r="E160" s="17"/>
      <c r="F160" s="9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75" customHeight="1">
      <c r="A161" s="8">
        <v>31404.0</v>
      </c>
      <c r="B161" s="24" t="s">
        <v>183</v>
      </c>
      <c r="C161" s="9">
        <v>0.49551784925374953</v>
      </c>
      <c r="D161" s="18">
        <v>0.9352791630589267</v>
      </c>
      <c r="E161" s="17"/>
      <c r="F161" s="9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75" customHeight="1">
      <c r="A162" s="8">
        <v>31405.0</v>
      </c>
      <c r="B162" s="24" t="s">
        <v>184</v>
      </c>
      <c r="C162" s="9">
        <v>0.8467551581950725</v>
      </c>
      <c r="D162" s="18">
        <v>0.8824468060903427</v>
      </c>
      <c r="E162" s="17"/>
      <c r="F162" s="9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75" customHeight="1">
      <c r="A163" s="8">
        <v>31501.0</v>
      </c>
      <c r="B163" s="24" t="s">
        <v>185</v>
      </c>
      <c r="C163" s="9">
        <v>1.6453566394906778</v>
      </c>
      <c r="D163" s="18">
        <v>1.3247509940392597</v>
      </c>
      <c r="E163" s="17"/>
      <c r="F163" s="9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75" customHeight="1">
      <c r="A164" s="8">
        <v>31601.0</v>
      </c>
      <c r="B164" s="24" t="s">
        <v>186</v>
      </c>
      <c r="C164" s="9">
        <v>1.1193890619236648</v>
      </c>
      <c r="D164" s="18">
        <v>0.3540530096838752</v>
      </c>
      <c r="E164" s="17"/>
      <c r="F164" s="9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75" customHeight="1">
      <c r="A165" s="8">
        <v>31602.0</v>
      </c>
      <c r="B165" s="24" t="s">
        <v>187</v>
      </c>
      <c r="C165" s="9">
        <v>1.131451005794119</v>
      </c>
      <c r="D165" s="18">
        <v>0.9726597939727832</v>
      </c>
      <c r="E165" s="17"/>
      <c r="F165" s="9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75" customHeight="1">
      <c r="A166" s="8">
        <v>40101.0</v>
      </c>
      <c r="B166" s="24" t="s">
        <v>188</v>
      </c>
      <c r="C166" s="9">
        <v>0.381436124629189</v>
      </c>
      <c r="D166" s="18">
        <v>0.2594236456877767</v>
      </c>
      <c r="E166" s="17"/>
      <c r="F166" s="9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75" customHeight="1">
      <c r="A167" s="8">
        <v>40102.0</v>
      </c>
      <c r="B167" s="24" t="s">
        <v>189</v>
      </c>
      <c r="C167" s="9">
        <v>1.0987366786370591</v>
      </c>
      <c r="D167" s="18">
        <v>1.5784831550516945</v>
      </c>
      <c r="E167" s="17"/>
      <c r="F167" s="9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75" customHeight="1">
      <c r="A168" s="8">
        <v>40103.0</v>
      </c>
      <c r="B168" s="24" t="s">
        <v>190</v>
      </c>
      <c r="C168" s="9">
        <v>1.1124484427660706</v>
      </c>
      <c r="D168" s="18">
        <v>0.9679503378241355</v>
      </c>
      <c r="E168" s="17"/>
      <c r="F168" s="9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75" customHeight="1">
      <c r="A169" s="8">
        <v>40104.0</v>
      </c>
      <c r="B169" s="24" t="s">
        <v>191</v>
      </c>
      <c r="C169" s="9">
        <v>1.09221856614185</v>
      </c>
      <c r="D169" s="18">
        <v>0.6563658764294646</v>
      </c>
      <c r="E169" s="17"/>
      <c r="F169" s="9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75" customHeight="1">
      <c r="A170" s="8">
        <v>40201.0</v>
      </c>
      <c r="B170" s="24" t="s">
        <v>192</v>
      </c>
      <c r="C170" s="9">
        <v>1.295126105625428</v>
      </c>
      <c r="D170" s="18">
        <v>1.7913052190024714</v>
      </c>
      <c r="E170" s="17"/>
      <c r="F170" s="9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75" customHeight="1">
      <c r="A171" s="8">
        <v>40202.0</v>
      </c>
      <c r="B171" s="24" t="s">
        <v>193</v>
      </c>
      <c r="C171" s="9">
        <v>1.4051274596707226</v>
      </c>
      <c r="D171" s="18">
        <v>0.719999293611981</v>
      </c>
      <c r="E171" s="17"/>
      <c r="F171" s="9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75" customHeight="1">
      <c r="A172" s="8">
        <v>40301.0</v>
      </c>
      <c r="B172" s="24" t="s">
        <v>194</v>
      </c>
      <c r="C172" s="9">
        <v>1.777611635759818</v>
      </c>
      <c r="D172" s="18">
        <v>1.4158316964520758</v>
      </c>
      <c r="E172" s="17"/>
      <c r="F172" s="9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75" customHeight="1">
      <c r="A173" s="8">
        <v>40302.0</v>
      </c>
      <c r="B173" s="24" t="s">
        <v>195</v>
      </c>
      <c r="C173" s="9">
        <v>2.332457951655093</v>
      </c>
      <c r="D173" s="18">
        <v>1.7775858287762825</v>
      </c>
      <c r="E173" s="17"/>
      <c r="F173" s="9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75" customHeight="1">
      <c r="A174" s="8">
        <v>40401.0</v>
      </c>
      <c r="B174" s="24" t="s">
        <v>196</v>
      </c>
      <c r="C174" s="9">
        <v>1.9371960291791102</v>
      </c>
      <c r="D174" s="18">
        <v>1.71039960214073</v>
      </c>
      <c r="E174" s="17"/>
      <c r="F174" s="9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75" customHeight="1">
      <c r="A175" s="8">
        <v>40402.0</v>
      </c>
      <c r="B175" s="24" t="s">
        <v>197</v>
      </c>
      <c r="C175" s="9">
        <v>1.719901519334357</v>
      </c>
      <c r="D175" s="18">
        <v>2.111240438306829</v>
      </c>
      <c r="E175" s="17"/>
      <c r="F175" s="9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75" customHeight="1">
      <c r="A176" s="8">
        <v>40501.0</v>
      </c>
      <c r="B176" s="24" t="s">
        <v>198</v>
      </c>
      <c r="C176" s="9">
        <v>0.6791786628353066</v>
      </c>
      <c r="D176" s="18">
        <v>1.9673952149837455</v>
      </c>
      <c r="E176" s="17"/>
      <c r="F176" s="9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5.75" customHeight="1">
      <c r="A177" s="8">
        <v>40502.0</v>
      </c>
      <c r="B177" s="24" t="s">
        <v>199</v>
      </c>
      <c r="C177" s="9">
        <v>0.8881701502741273</v>
      </c>
      <c r="D177" s="18">
        <v>2.2178211541764945</v>
      </c>
      <c r="E177" s="17"/>
      <c r="F177" s="9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5.75" customHeight="1">
      <c r="A178" s="8">
        <v>40503.0</v>
      </c>
      <c r="B178" s="24" t="s">
        <v>200</v>
      </c>
      <c r="C178" s="9">
        <v>1.2581238223540032</v>
      </c>
      <c r="D178" s="18">
        <v>0.47911469649370353</v>
      </c>
      <c r="E178" s="17"/>
      <c r="F178" s="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5.75" customHeight="1">
      <c r="A179" s="8">
        <v>40504.0</v>
      </c>
      <c r="B179" s="24" t="s">
        <v>201</v>
      </c>
      <c r="C179" s="9">
        <v>1.5405046675468026</v>
      </c>
      <c r="D179" s="18">
        <v>2.017241379310345</v>
      </c>
      <c r="E179" s="17"/>
      <c r="F179" s="9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5.75" customHeight="1">
      <c r="A180" s="8">
        <v>40505.0</v>
      </c>
      <c r="B180" s="24" t="s">
        <v>202</v>
      </c>
      <c r="C180" s="9">
        <v>1.4746760292445866</v>
      </c>
      <c r="D180" s="18">
        <v>0.8579812288729672</v>
      </c>
      <c r="E180" s="17"/>
      <c r="F180" s="9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5.75" customHeight="1">
      <c r="A181" s="8">
        <v>40601.0</v>
      </c>
      <c r="B181" s="24" t="s">
        <v>203</v>
      </c>
      <c r="C181" s="9">
        <v>0.8652582792160896</v>
      </c>
      <c r="D181" s="18">
        <v>1.0218407924666248</v>
      </c>
      <c r="E181" s="17"/>
      <c r="F181" s="9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5.75" customHeight="1">
      <c r="A182" s="8">
        <v>40602.0</v>
      </c>
      <c r="B182" s="24" t="s">
        <v>204</v>
      </c>
      <c r="C182" s="9">
        <v>1.1417445466672134</v>
      </c>
      <c r="D182" s="18">
        <v>1.4150314302019618</v>
      </c>
      <c r="E182" s="17"/>
      <c r="F182" s="9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5.75" customHeight="1">
      <c r="A183" s="8">
        <v>40603.0</v>
      </c>
      <c r="B183" s="24" t="s">
        <v>205</v>
      </c>
      <c r="C183" s="9">
        <v>1.5515341040038095</v>
      </c>
      <c r="D183" s="18">
        <v>0.7922301611614577</v>
      </c>
      <c r="E183" s="17"/>
      <c r="F183" s="9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5.75" customHeight="1">
      <c r="A184" s="8">
        <v>40701.0</v>
      </c>
      <c r="B184" s="24" t="s">
        <v>206</v>
      </c>
      <c r="C184" s="9">
        <v>0.8208848744705233</v>
      </c>
      <c r="D184" s="18">
        <v>0.6854613721863877</v>
      </c>
      <c r="E184" s="17"/>
      <c r="F184" s="9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5.75" customHeight="1">
      <c r="A185" s="8">
        <v>40702.0</v>
      </c>
      <c r="B185" s="24" t="s">
        <v>207</v>
      </c>
      <c r="C185" s="9">
        <v>0.8392356004434559</v>
      </c>
      <c r="D185" s="18">
        <v>0.5442099600873839</v>
      </c>
      <c r="E185" s="17"/>
      <c r="F185" s="9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5.75" customHeight="1">
      <c r="A186" s="8">
        <v>40801.0</v>
      </c>
      <c r="B186" s="24" t="s">
        <v>208</v>
      </c>
      <c r="C186" s="9">
        <v>1.0389521363691</v>
      </c>
      <c r="D186" s="18">
        <v>1.204408946892749</v>
      </c>
      <c r="E186" s="17"/>
      <c r="F186" s="9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5.75" customHeight="1">
      <c r="A187" s="8">
        <v>40802.0</v>
      </c>
      <c r="B187" s="24" t="s">
        <v>209</v>
      </c>
      <c r="C187" s="9">
        <v>1.2866605477529511</v>
      </c>
      <c r="D187" s="18">
        <v>0.6549871859584822</v>
      </c>
      <c r="E187" s="17"/>
      <c r="F187" s="9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15.75" customHeight="1">
      <c r="A188" s="8">
        <v>40901.0</v>
      </c>
      <c r="B188" s="24" t="s">
        <v>210</v>
      </c>
      <c r="C188" s="9">
        <v>1.0988134330857005</v>
      </c>
      <c r="D188" s="18">
        <v>0.9414777977071774</v>
      </c>
      <c r="E188" s="17"/>
      <c r="F188" s="9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5.75" customHeight="1">
      <c r="A189" s="8">
        <v>40902.0</v>
      </c>
      <c r="B189" s="24" t="s">
        <v>211</v>
      </c>
      <c r="C189" s="9">
        <v>2.0268359902717634</v>
      </c>
      <c r="D189" s="18">
        <v>0.0</v>
      </c>
      <c r="E189" s="17"/>
      <c r="F189" s="9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5.75" customHeight="1">
      <c r="A190" s="8">
        <v>40903.0</v>
      </c>
      <c r="B190" s="24" t="s">
        <v>212</v>
      </c>
      <c r="C190" s="9">
        <v>2.6270375617896033</v>
      </c>
      <c r="D190" s="18">
        <v>1.1488911437684968</v>
      </c>
      <c r="E190" s="17"/>
      <c r="F190" s="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15.75" customHeight="1">
      <c r="A191" s="8">
        <v>41001.0</v>
      </c>
      <c r="B191" s="24" t="s">
        <v>213</v>
      </c>
      <c r="C191" s="9">
        <v>1.1748149926602314</v>
      </c>
      <c r="D191" s="18">
        <v>1.2478347961667633</v>
      </c>
      <c r="E191" s="17"/>
      <c r="F191" s="9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5.75" customHeight="1">
      <c r="A192" s="8">
        <v>41101.0</v>
      </c>
      <c r="B192" s="24" t="s">
        <v>214</v>
      </c>
      <c r="C192" s="9">
        <v>1.3484070149477705</v>
      </c>
      <c r="D192" s="18">
        <v>1.230152254247759</v>
      </c>
      <c r="E192" s="17"/>
      <c r="F192" s="9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15.75" customHeight="1">
      <c r="A193" s="8">
        <v>41201.0</v>
      </c>
      <c r="B193" s="24" t="s">
        <v>215</v>
      </c>
      <c r="C193" s="9">
        <v>1.2704634707815181</v>
      </c>
      <c r="D193" s="18">
        <v>1.2360034409607896</v>
      </c>
      <c r="E193" s="17"/>
      <c r="F193" s="9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5.75" customHeight="1">
      <c r="A194" s="8">
        <v>41202.0</v>
      </c>
      <c r="B194" s="24" t="s">
        <v>216</v>
      </c>
      <c r="C194" s="9">
        <v>1.4197665270482358</v>
      </c>
      <c r="D194" s="18">
        <v>2.5304331842025927</v>
      </c>
      <c r="E194" s="17"/>
      <c r="F194" s="9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5.75" customHeight="1">
      <c r="A195" s="8">
        <v>41301.0</v>
      </c>
      <c r="B195" s="24" t="s">
        <v>217</v>
      </c>
      <c r="C195" s="9">
        <v>1.2065197012367594</v>
      </c>
      <c r="D195" s="18">
        <v>1.098907448566612</v>
      </c>
      <c r="E195" s="17"/>
      <c r="F195" s="9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5.75" customHeight="1">
      <c r="A196" s="8">
        <v>41401.0</v>
      </c>
      <c r="B196" s="24" t="s">
        <v>218</v>
      </c>
      <c r="C196" s="9">
        <v>2.008921356405453</v>
      </c>
      <c r="D196" s="18">
        <v>1.0404259120630774</v>
      </c>
      <c r="E196" s="17"/>
      <c r="F196" s="9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15.75" customHeight="1">
      <c r="A197" s="8">
        <v>41501.0</v>
      </c>
      <c r="B197" s="24" t="s">
        <v>219</v>
      </c>
      <c r="C197" s="9">
        <v>2.0340267221024755</v>
      </c>
      <c r="D197" s="18">
        <v>3.430876613534673</v>
      </c>
      <c r="E197" s="17"/>
      <c r="F197" s="9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15.75" customHeight="1">
      <c r="A198" s="8">
        <v>41502.0</v>
      </c>
      <c r="B198" s="24" t="s">
        <v>220</v>
      </c>
      <c r="C198" s="9">
        <v>1.837440022556305</v>
      </c>
      <c r="D198" s="18">
        <v>1.5751518087182572</v>
      </c>
      <c r="E198" s="17"/>
      <c r="F198" s="9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5.75" customHeight="1">
      <c r="A199" s="8">
        <v>41503.0</v>
      </c>
      <c r="B199" s="24" t="s">
        <v>221</v>
      </c>
      <c r="C199" s="9">
        <v>0.7602869607171534</v>
      </c>
      <c r="D199" s="18">
        <v>1.6153987585774012</v>
      </c>
      <c r="E199" s="17"/>
      <c r="F199" s="9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5.75" customHeight="1">
      <c r="A200" s="8">
        <v>41601.0</v>
      </c>
      <c r="B200" s="24" t="s">
        <v>222</v>
      </c>
      <c r="C200" s="9">
        <v>1.1651080388456407</v>
      </c>
      <c r="D200" s="18">
        <v>1.7625968324162535</v>
      </c>
      <c r="E200" s="17"/>
      <c r="F200" s="9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15.75" customHeight="1">
      <c r="A201" s="8">
        <v>50101.0</v>
      </c>
      <c r="B201" s="24" t="s">
        <v>223</v>
      </c>
      <c r="C201" s="9">
        <v>0.6638004816213696</v>
      </c>
      <c r="D201" s="18">
        <v>0.5378923150052906</v>
      </c>
      <c r="E201" s="17"/>
      <c r="F201" s="9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15.75" customHeight="1">
      <c r="A202" s="8">
        <v>50102.0</v>
      </c>
      <c r="B202" s="24" t="s">
        <v>224</v>
      </c>
      <c r="C202" s="9">
        <v>1.8352285281368201</v>
      </c>
      <c r="D202" s="18">
        <v>1.378095223119643</v>
      </c>
      <c r="E202" s="17"/>
      <c r="F202" s="9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15.75" customHeight="1">
      <c r="A203" s="8">
        <v>50103.0</v>
      </c>
      <c r="B203" s="24" t="s">
        <v>225</v>
      </c>
      <c r="C203" s="9">
        <v>1.3414844328813706</v>
      </c>
      <c r="D203" s="18">
        <v>1.1501879521749934</v>
      </c>
      <c r="E203" s="17"/>
      <c r="F203" s="9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15.75" customHeight="1">
      <c r="A204" s="8">
        <v>50104.0</v>
      </c>
      <c r="B204" s="24" t="s">
        <v>226</v>
      </c>
      <c r="C204" s="9">
        <v>1.8576705765472101</v>
      </c>
      <c r="D204" s="18">
        <v>1.5895225027847593</v>
      </c>
      <c r="E204" s="17"/>
      <c r="F204" s="9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15.75" customHeight="1">
      <c r="A205" s="8">
        <v>50201.0</v>
      </c>
      <c r="B205" s="24" t="s">
        <v>227</v>
      </c>
      <c r="C205" s="9">
        <v>1.3849160768607067</v>
      </c>
      <c r="D205" s="18">
        <v>1.0271716957037407</v>
      </c>
      <c r="E205" s="17"/>
      <c r="F205" s="9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15.75" customHeight="1">
      <c r="A206" s="8">
        <v>50202.0</v>
      </c>
      <c r="B206" s="24" t="s">
        <v>228</v>
      </c>
      <c r="C206" s="9">
        <v>1.5351740883062335</v>
      </c>
      <c r="D206" s="18">
        <v>1.583773727579613</v>
      </c>
      <c r="E206" s="17"/>
      <c r="F206" s="9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15.75" customHeight="1">
      <c r="A207" s="8">
        <v>50203.0</v>
      </c>
      <c r="B207" s="24" t="s">
        <v>229</v>
      </c>
      <c r="C207" s="9">
        <v>0.9115661918746355</v>
      </c>
      <c r="D207" s="18">
        <v>1.025281630352003</v>
      </c>
      <c r="E207" s="17"/>
      <c r="F207" s="9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15.75" customHeight="1">
      <c r="A208" s="8">
        <v>50204.0</v>
      </c>
      <c r="B208" s="24" t="s">
        <v>230</v>
      </c>
      <c r="C208" s="9">
        <v>2.0606467056145785</v>
      </c>
      <c r="D208" s="18">
        <v>1.6895848162939158</v>
      </c>
      <c r="E208" s="17"/>
      <c r="F208" s="9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15.75" customHeight="1">
      <c r="A209" s="8">
        <v>50301.0</v>
      </c>
      <c r="B209" s="24" t="s">
        <v>231</v>
      </c>
      <c r="C209" s="9">
        <v>1.481120813591311</v>
      </c>
      <c r="D209" s="18">
        <v>1.0949225872144894</v>
      </c>
      <c r="E209" s="17"/>
      <c r="F209" s="9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15.75" customHeight="1">
      <c r="A210" s="8">
        <v>50302.0</v>
      </c>
      <c r="B210" s="24" t="s">
        <v>232</v>
      </c>
      <c r="C210" s="9">
        <v>1.044094218080844</v>
      </c>
      <c r="D210" s="18">
        <v>0.8453090129842241</v>
      </c>
      <c r="E210" s="17"/>
      <c r="F210" s="9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15.75" customHeight="1">
      <c r="A211" s="8">
        <v>50303.0</v>
      </c>
      <c r="B211" s="24" t="s">
        <v>233</v>
      </c>
      <c r="C211" s="9">
        <v>1.4511779124564335</v>
      </c>
      <c r="D211" s="18">
        <v>1.349301129686569</v>
      </c>
      <c r="E211" s="17"/>
      <c r="F211" s="9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15.75" customHeight="1">
      <c r="A212" s="8">
        <v>50401.0</v>
      </c>
      <c r="B212" s="24" t="s">
        <v>234</v>
      </c>
      <c r="C212" s="9">
        <v>1.8576995719778677</v>
      </c>
      <c r="D212" s="18">
        <v>1.6929284885281135</v>
      </c>
      <c r="E212" s="17"/>
      <c r="F212" s="9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15.75" customHeight="1">
      <c r="A213" s="8">
        <v>50402.0</v>
      </c>
      <c r="B213" s="24" t="s">
        <v>235</v>
      </c>
      <c r="C213" s="9">
        <v>1.6060823392827654</v>
      </c>
      <c r="D213" s="18">
        <v>1.4441161531749582</v>
      </c>
      <c r="E213" s="17"/>
      <c r="F213" s="9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15.75" customHeight="1">
      <c r="A214" s="8">
        <v>50403.0</v>
      </c>
      <c r="B214" s="24" t="s">
        <v>236</v>
      </c>
      <c r="C214" s="9">
        <v>1.1629977803899376</v>
      </c>
      <c r="D214" s="18">
        <v>1.1858941575323412</v>
      </c>
      <c r="E214" s="17"/>
      <c r="F214" s="9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15.75" customHeight="1">
      <c r="A215" s="8">
        <v>50404.0</v>
      </c>
      <c r="B215" s="24" t="s">
        <v>237</v>
      </c>
      <c r="C215" s="9">
        <v>1.6415629475267757</v>
      </c>
      <c r="D215" s="18">
        <v>1.1304191973990465</v>
      </c>
      <c r="E215" s="17"/>
      <c r="F215" s="9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15.75" customHeight="1">
      <c r="A216" s="20">
        <v>50405.0</v>
      </c>
      <c r="B216" s="24" t="s">
        <v>238</v>
      </c>
      <c r="C216" s="9">
        <v>1.295742802808251</v>
      </c>
      <c r="D216" s="18">
        <v>1.2393065437522506</v>
      </c>
      <c r="E216" s="17"/>
      <c r="F216" s="9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15.75" customHeight="1">
      <c r="A217" s="8">
        <v>50501.0</v>
      </c>
      <c r="B217" s="24" t="s">
        <v>239</v>
      </c>
      <c r="C217" s="9">
        <v>1.6115108022210038</v>
      </c>
      <c r="D217" s="18">
        <v>1.6466289786106691</v>
      </c>
      <c r="E217" s="17"/>
      <c r="F217" s="9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15.75" customHeight="1">
      <c r="A218" s="8">
        <v>50502.0</v>
      </c>
      <c r="B218" s="24" t="s">
        <v>240</v>
      </c>
      <c r="C218" s="9">
        <v>1.744789211622471</v>
      </c>
      <c r="D218" s="18">
        <v>1.808701189080716</v>
      </c>
      <c r="E218" s="17"/>
      <c r="F218" s="9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15.75" customHeight="1">
      <c r="A219" s="8">
        <v>50601.0</v>
      </c>
      <c r="B219" s="24" t="s">
        <v>241</v>
      </c>
      <c r="C219" s="9">
        <v>1.480385311453574</v>
      </c>
      <c r="D219" s="18">
        <v>1.1704756218102494</v>
      </c>
      <c r="E219" s="17"/>
      <c r="F219" s="9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15.75" customHeight="1">
      <c r="A220" s="8">
        <v>50602.0</v>
      </c>
      <c r="B220" s="24" t="s">
        <v>242</v>
      </c>
      <c r="C220" s="9">
        <v>1.466442162396356</v>
      </c>
      <c r="D220" s="18">
        <v>0.8115519502879204</v>
      </c>
      <c r="E220" s="17"/>
      <c r="F220" s="9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15.75" customHeight="1">
      <c r="A221" s="8">
        <v>50701.0</v>
      </c>
      <c r="B221" s="24" t="s">
        <v>243</v>
      </c>
      <c r="C221" s="9">
        <v>1.890875516204533</v>
      </c>
      <c r="D221" s="18">
        <v>1.4943863750711774</v>
      </c>
      <c r="E221" s="17"/>
      <c r="F221" s="9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15.75" customHeight="1">
      <c r="A222" s="8">
        <v>50702.0</v>
      </c>
      <c r="B222" s="24" t="s">
        <v>244</v>
      </c>
      <c r="C222" s="9">
        <v>1.346175092801994</v>
      </c>
      <c r="D222" s="18">
        <v>1.126496539308997</v>
      </c>
      <c r="E222" s="17"/>
      <c r="F222" s="9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15.75" customHeight="1">
      <c r="A223" s="8">
        <v>50801.0</v>
      </c>
      <c r="B223" s="24" t="s">
        <v>245</v>
      </c>
      <c r="C223" s="9">
        <v>1.4754505782561442</v>
      </c>
      <c r="D223" s="18">
        <v>0.928859229994114</v>
      </c>
      <c r="E223" s="17"/>
      <c r="F223" s="9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15.75" customHeight="1">
      <c r="A224" s="8">
        <v>50802.0</v>
      </c>
      <c r="B224" s="24" t="s">
        <v>246</v>
      </c>
      <c r="C224" s="9">
        <v>1.1258915724308576</v>
      </c>
      <c r="D224" s="18">
        <v>0.7965312903448813</v>
      </c>
      <c r="E224" s="17"/>
      <c r="F224" s="9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15.75" customHeight="1">
      <c r="A225" s="8">
        <v>50901.0</v>
      </c>
      <c r="B225" s="24" t="s">
        <v>247</v>
      </c>
      <c r="C225" s="9">
        <v>1.7964629295018237</v>
      </c>
      <c r="D225" s="18">
        <v>1.1553279866865025</v>
      </c>
      <c r="E225" s="17"/>
      <c r="F225" s="9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15.75" customHeight="1">
      <c r="A226" s="8">
        <v>50902.0</v>
      </c>
      <c r="B226" s="24" t="s">
        <v>248</v>
      </c>
      <c r="C226" s="9">
        <v>1.2265357598739812</v>
      </c>
      <c r="D226" s="18">
        <v>0.6948755562561041</v>
      </c>
      <c r="E226" s="17"/>
      <c r="F226" s="9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15.75" customHeight="1">
      <c r="A227" s="8">
        <v>51001.0</v>
      </c>
      <c r="B227" s="24" t="s">
        <v>249</v>
      </c>
      <c r="C227" s="9">
        <v>1.2187248453065855</v>
      </c>
      <c r="D227" s="18">
        <v>1.2830470877184688</v>
      </c>
      <c r="E227" s="17"/>
      <c r="F227" s="9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15.75" customHeight="1">
      <c r="A228" s="8">
        <v>51002.0</v>
      </c>
      <c r="B228" s="24" t="s">
        <v>250</v>
      </c>
      <c r="C228" s="9">
        <v>1.2196573921305083</v>
      </c>
      <c r="D228" s="18">
        <v>0.0</v>
      </c>
      <c r="E228" s="17"/>
      <c r="F228" s="9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5.75" customHeight="1">
      <c r="A229" s="8">
        <v>51003.0</v>
      </c>
      <c r="B229" s="24" t="s">
        <v>251</v>
      </c>
      <c r="C229" s="9">
        <v>1.4874712419902065</v>
      </c>
      <c r="D229" s="18">
        <v>2.8948219898352736</v>
      </c>
      <c r="E229" s="17"/>
      <c r="F229" s="9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5.75" customHeight="1">
      <c r="A230" s="8">
        <v>51101.0</v>
      </c>
      <c r="B230" s="24" t="s">
        <v>252</v>
      </c>
      <c r="C230" s="9">
        <v>1.0170785358767016</v>
      </c>
      <c r="D230" s="18">
        <v>1.0749653688349363</v>
      </c>
      <c r="E230" s="17"/>
      <c r="F230" s="9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15.75" customHeight="1">
      <c r="A231" s="8">
        <v>51102.0</v>
      </c>
      <c r="B231" s="24" t="s">
        <v>253</v>
      </c>
      <c r="C231" s="9">
        <v>1.0266234125800269</v>
      </c>
      <c r="D231" s="18">
        <v>0.9393868120006633</v>
      </c>
      <c r="E231" s="17"/>
      <c r="F231" s="9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5.75" customHeight="1">
      <c r="A232" s="8">
        <v>51103.0</v>
      </c>
      <c r="B232" s="24" t="s">
        <v>254</v>
      </c>
      <c r="C232" s="9">
        <v>1.5086714845318725</v>
      </c>
      <c r="D232" s="18">
        <v>1.2804204218844069</v>
      </c>
      <c r="E232" s="17"/>
      <c r="F232" s="9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15.75" customHeight="1">
      <c r="A233" s="8">
        <v>51201.0</v>
      </c>
      <c r="B233" s="24" t="s">
        <v>255</v>
      </c>
      <c r="C233" s="9">
        <v>1.2701566596418343</v>
      </c>
      <c r="D233" s="18">
        <v>0.8998966555637927</v>
      </c>
      <c r="E233" s="17"/>
      <c r="F233" s="9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5.75" customHeight="1">
      <c r="A234" s="8">
        <v>51202.0</v>
      </c>
      <c r="B234" s="24" t="s">
        <v>256</v>
      </c>
      <c r="C234" s="9">
        <v>1.0259877047984804</v>
      </c>
      <c r="D234" s="18">
        <v>1.1235176218530956</v>
      </c>
      <c r="E234" s="17"/>
      <c r="F234" s="9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5.75" customHeight="1">
      <c r="A235" s="8">
        <v>51203.0</v>
      </c>
      <c r="B235" s="24" t="s">
        <v>257</v>
      </c>
      <c r="C235" s="9">
        <v>1.248431456549742</v>
      </c>
      <c r="D235" s="18">
        <v>1.2392909300486095</v>
      </c>
      <c r="E235" s="17"/>
      <c r="F235" s="9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15.75" customHeight="1">
      <c r="A236" s="20">
        <v>51204.0</v>
      </c>
      <c r="B236" s="24" t="s">
        <v>258</v>
      </c>
      <c r="C236" s="9">
        <v>1.2574973548403958</v>
      </c>
      <c r="D236" s="18">
        <v>0.9774132144916907</v>
      </c>
      <c r="E236" s="17"/>
      <c r="F236" s="9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5.75" customHeight="1">
      <c r="A237" s="8">
        <v>51301.0</v>
      </c>
      <c r="B237" s="24" t="s">
        <v>259</v>
      </c>
      <c r="C237" s="9">
        <v>1.5450905321224542</v>
      </c>
      <c r="D237" s="18">
        <v>1.9714024667290442</v>
      </c>
      <c r="E237" s="17"/>
      <c r="F237" s="9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15.75" customHeight="1">
      <c r="A238" s="8">
        <v>51302.0</v>
      </c>
      <c r="B238" s="24" t="s">
        <v>260</v>
      </c>
      <c r="C238" s="9">
        <v>2.2506621537715406</v>
      </c>
      <c r="D238" s="18">
        <v>1.5335077427929074</v>
      </c>
      <c r="E238" s="17"/>
      <c r="F238" s="9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5.75" customHeight="1">
      <c r="A239" s="8">
        <v>51401.0</v>
      </c>
      <c r="B239" s="24" t="s">
        <v>261</v>
      </c>
      <c r="C239" s="9">
        <v>1.2049911471942716</v>
      </c>
      <c r="D239" s="18">
        <v>1.2909286046444517</v>
      </c>
      <c r="E239" s="17"/>
      <c r="F239" s="9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5.75" customHeight="1">
      <c r="A240" s="8">
        <v>51402.0</v>
      </c>
      <c r="B240" s="24" t="s">
        <v>262</v>
      </c>
      <c r="C240" s="9">
        <v>1.3939588726594208</v>
      </c>
      <c r="D240" s="18">
        <v>1.1656932888172507</v>
      </c>
      <c r="E240" s="17"/>
      <c r="F240" s="9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15.75" customHeight="1">
      <c r="A241" s="8">
        <v>51501.0</v>
      </c>
      <c r="B241" s="24" t="s">
        <v>263</v>
      </c>
      <c r="C241" s="9">
        <v>1.1720009788263115</v>
      </c>
      <c r="D241" s="18">
        <v>1.0062647005629002</v>
      </c>
      <c r="E241" s="17"/>
      <c r="F241" s="9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5.75" customHeight="1">
      <c r="A242" s="8">
        <v>51601.0</v>
      </c>
      <c r="B242" s="24" t="s">
        <v>264</v>
      </c>
      <c r="C242" s="9">
        <v>1.1119679833766793</v>
      </c>
      <c r="D242" s="18">
        <v>9.66292131128893</v>
      </c>
      <c r="E242" s="17"/>
      <c r="F242" s="9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15.75" customHeight="1">
      <c r="A243" s="8">
        <v>60101.0</v>
      </c>
      <c r="B243" s="24" t="s">
        <v>265</v>
      </c>
      <c r="C243" s="9">
        <v>0.8455280871730185</v>
      </c>
      <c r="D243" s="18">
        <v>0.8649184187381287</v>
      </c>
      <c r="E243" s="17"/>
      <c r="F243" s="9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5.75" customHeight="1">
      <c r="A244" s="8">
        <v>60201.0</v>
      </c>
      <c r="B244" s="24" t="s">
        <v>266</v>
      </c>
      <c r="C244" s="9">
        <v>1.135865813086635</v>
      </c>
      <c r="D244" s="18">
        <v>1.3530577783006161</v>
      </c>
      <c r="E244" s="17"/>
      <c r="F244" s="9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5.75" customHeight="1">
      <c r="A245" s="8">
        <v>60202.0</v>
      </c>
      <c r="B245" s="24" t="s">
        <v>267</v>
      </c>
      <c r="C245" s="9">
        <v>0.8008214417359335</v>
      </c>
      <c r="D245" s="18">
        <v>0.8426074801082482</v>
      </c>
      <c r="E245" s="17"/>
      <c r="F245" s="9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15.75" customHeight="1">
      <c r="A246" s="8">
        <v>60301.0</v>
      </c>
      <c r="B246" s="24" t="s">
        <v>268</v>
      </c>
      <c r="C246" s="9">
        <v>0.6399400834285196</v>
      </c>
      <c r="D246" s="18">
        <v>1.088010553847261</v>
      </c>
      <c r="E246" s="17"/>
      <c r="F246" s="9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5.75" customHeight="1">
      <c r="A247" s="8">
        <v>60302.0</v>
      </c>
      <c r="B247" s="24" t="s">
        <v>269</v>
      </c>
      <c r="C247" s="9">
        <v>1.0179326943499873</v>
      </c>
      <c r="D247" s="18">
        <v>0.5649085791099885</v>
      </c>
      <c r="E247" s="17"/>
      <c r="F247" s="9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15.75" customHeight="1">
      <c r="A248" s="8">
        <v>60303.0</v>
      </c>
      <c r="B248" s="24" t="s">
        <v>270</v>
      </c>
      <c r="C248" s="9">
        <v>0.9259690862344919</v>
      </c>
      <c r="D248" s="18">
        <v>1.1405334537129905</v>
      </c>
      <c r="E248" s="17"/>
      <c r="F248" s="9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5.75" customHeight="1">
      <c r="A249" s="8">
        <v>60401.0</v>
      </c>
      <c r="B249" s="24" t="s">
        <v>271</v>
      </c>
      <c r="C249" s="9">
        <v>0.8428899296652014</v>
      </c>
      <c r="D249" s="18">
        <v>1.2588266845061162</v>
      </c>
      <c r="E249" s="17"/>
      <c r="F249" s="9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5.75" customHeight="1">
      <c r="A250" s="8">
        <v>60402.0</v>
      </c>
      <c r="B250" s="24" t="s">
        <v>272</v>
      </c>
      <c r="C250" s="9">
        <v>0.9583533387947294</v>
      </c>
      <c r="D250" s="18">
        <v>4.564056936711636</v>
      </c>
      <c r="E250" s="17"/>
      <c r="F250" s="9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15.75" customHeight="1">
      <c r="A251" s="8">
        <v>60501.0</v>
      </c>
      <c r="B251" s="24" t="s">
        <v>273</v>
      </c>
      <c r="C251" s="9">
        <v>1.3876866249026854</v>
      </c>
      <c r="D251" s="18">
        <v>0.7731944907156704</v>
      </c>
      <c r="E251" s="17"/>
      <c r="F251" s="9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5.75" customHeight="1">
      <c r="A252" s="8">
        <v>60502.0</v>
      </c>
      <c r="B252" s="24" t="s">
        <v>274</v>
      </c>
      <c r="C252" s="9">
        <v>1.386236785961298</v>
      </c>
      <c r="D252" s="18">
        <v>0.9729780390726606</v>
      </c>
      <c r="E252" s="17"/>
      <c r="F252" s="9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15.75" customHeight="1">
      <c r="A253" s="8">
        <v>60601.0</v>
      </c>
      <c r="B253" s="24" t="s">
        <v>175</v>
      </c>
      <c r="C253" s="9">
        <v>1.4595478420406216</v>
      </c>
      <c r="D253" s="18">
        <v>2.0473783793199245</v>
      </c>
      <c r="E253" s="17"/>
      <c r="F253" s="9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5.75" customHeight="1">
      <c r="A254" s="8">
        <v>70101.0</v>
      </c>
      <c r="B254" s="24" t="s">
        <v>275</v>
      </c>
      <c r="C254" s="9">
        <v>0.7957704323409452</v>
      </c>
      <c r="D254" s="18">
        <v>0.7099380722085323</v>
      </c>
      <c r="E254" s="17"/>
      <c r="F254" s="9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5.75" customHeight="1">
      <c r="A255" s="8">
        <v>70102.0</v>
      </c>
      <c r="B255" s="24" t="s">
        <v>276</v>
      </c>
      <c r="C255" s="9">
        <v>0.819774066131361</v>
      </c>
      <c r="D255" s="18">
        <v>0.9038905532855015</v>
      </c>
      <c r="E255" s="17"/>
      <c r="F255" s="9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15.75" customHeight="1">
      <c r="A256" s="8">
        <v>70103.0</v>
      </c>
      <c r="B256" s="24" t="s">
        <v>277</v>
      </c>
      <c r="C256" s="9">
        <v>0.9958291818721191</v>
      </c>
      <c r="D256" s="18">
        <v>1.3617686670431972</v>
      </c>
      <c r="E256" s="17"/>
      <c r="F256" s="9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15.75" customHeight="1">
      <c r="A257" s="8">
        <v>70104.0</v>
      </c>
      <c r="B257" s="24" t="s">
        <v>278</v>
      </c>
      <c r="C257" s="9">
        <v>0.851558473380782</v>
      </c>
      <c r="D257" s="18">
        <v>0.8560853394338446</v>
      </c>
      <c r="E257" s="17"/>
      <c r="F257" s="9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15.75" customHeight="1">
      <c r="A258" s="8">
        <v>70105.0</v>
      </c>
      <c r="B258" s="24" t="s">
        <v>279</v>
      </c>
      <c r="C258" s="9">
        <v>0.7766888788571797</v>
      </c>
      <c r="D258" s="18">
        <v>0.9506143780205251</v>
      </c>
      <c r="E258" s="17"/>
      <c r="F258" s="9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5.75" customHeight="1">
      <c r="A259" s="8">
        <v>70201.0</v>
      </c>
      <c r="B259" s="24" t="s">
        <v>280</v>
      </c>
      <c r="C259" s="9">
        <v>0.8463550168262832</v>
      </c>
      <c r="D259" s="18">
        <v>1.0012783099833888</v>
      </c>
      <c r="E259" s="17"/>
      <c r="F259" s="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5.75" customHeight="1">
      <c r="A260" s="8">
        <v>70202.0</v>
      </c>
      <c r="B260" s="24" t="s">
        <v>281</v>
      </c>
      <c r="C260" s="9">
        <v>1.0731116455183054</v>
      </c>
      <c r="D260" s="18">
        <v>1.0335498039864415</v>
      </c>
      <c r="E260" s="17"/>
      <c r="F260" s="9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15.75" customHeight="1">
      <c r="A261" s="8">
        <v>70301.0</v>
      </c>
      <c r="B261" s="24" t="s">
        <v>282</v>
      </c>
      <c r="C261" s="9">
        <v>1.0077606317132166</v>
      </c>
      <c r="D261" s="18">
        <v>0.6854220245024165</v>
      </c>
      <c r="E261" s="17"/>
      <c r="F261" s="9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5.75" customHeight="1">
      <c r="A262" s="8">
        <v>70302.0</v>
      </c>
      <c r="B262" s="24" t="s">
        <v>283</v>
      </c>
      <c r="C262" s="9">
        <v>0.9888722010356027</v>
      </c>
      <c r="D262" s="18">
        <v>0.5789683265117884</v>
      </c>
      <c r="E262" s="17"/>
      <c r="F262" s="9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15.75" customHeight="1">
      <c r="A263" s="8">
        <v>70303.0</v>
      </c>
      <c r="B263" s="24" t="s">
        <v>284</v>
      </c>
      <c r="C263" s="9">
        <v>1.3377616588500176</v>
      </c>
      <c r="D263" s="18">
        <v>0.5405891045195912</v>
      </c>
      <c r="E263" s="17"/>
      <c r="F263" s="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5.75" customHeight="1">
      <c r="A264" s="8">
        <v>70401.0</v>
      </c>
      <c r="B264" s="24" t="s">
        <v>285</v>
      </c>
      <c r="C264" s="9">
        <v>0.9558958527984495</v>
      </c>
      <c r="D264" s="18">
        <v>1.543546670035764</v>
      </c>
      <c r="E264" s="17"/>
      <c r="F264" s="9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5.75" customHeight="1">
      <c r="A265" s="8">
        <v>70402.0</v>
      </c>
      <c r="B265" s="24" t="s">
        <v>286</v>
      </c>
      <c r="C265" s="9">
        <v>0.962168410546877</v>
      </c>
      <c r="D265" s="18">
        <v>1.039233457181509</v>
      </c>
      <c r="E265" s="17"/>
      <c r="F265" s="9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15.75" customHeight="1">
      <c r="A266" s="8">
        <v>70403.0</v>
      </c>
      <c r="B266" s="24" t="s">
        <v>287</v>
      </c>
      <c r="C266" s="9">
        <v>0.9929457204597701</v>
      </c>
      <c r="D266" s="18">
        <v>0.6246168252780158</v>
      </c>
      <c r="E266" s="17"/>
      <c r="F266" s="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5.75" customHeight="1">
      <c r="A267" s="8">
        <v>70404.0</v>
      </c>
      <c r="B267" s="24" t="s">
        <v>288</v>
      </c>
      <c r="C267" s="9">
        <v>0.9111757243991766</v>
      </c>
      <c r="D267" s="18">
        <v>0.7032470507130805</v>
      </c>
      <c r="E267" s="17"/>
      <c r="F267" s="9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15.75" customHeight="1">
      <c r="A268" s="8">
        <v>70501.0</v>
      </c>
      <c r="B268" s="24" t="s">
        <v>289</v>
      </c>
      <c r="C268" s="9">
        <v>0.9471380311491598</v>
      </c>
      <c r="D268" s="18">
        <v>0.9196212394418719</v>
      </c>
      <c r="E268" s="17"/>
      <c r="F268" s="9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5.75" customHeight="1">
      <c r="A269" s="8">
        <v>70502.0</v>
      </c>
      <c r="B269" s="24" t="s">
        <v>290</v>
      </c>
      <c r="C269" s="9">
        <v>0.8892598995110599</v>
      </c>
      <c r="D269" s="18">
        <v>1.5815542642704374</v>
      </c>
      <c r="E269" s="17"/>
      <c r="F269" s="9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5.75" customHeight="1">
      <c r="A270" s="8">
        <v>70503.0</v>
      </c>
      <c r="B270" s="24" t="s">
        <v>291</v>
      </c>
      <c r="C270" s="9">
        <v>0.9555654515993445</v>
      </c>
      <c r="D270" s="18">
        <v>0.9039666684049579</v>
      </c>
      <c r="E270" s="17"/>
      <c r="F270" s="9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15.75" customHeight="1">
      <c r="A271" s="8">
        <v>70601.0</v>
      </c>
      <c r="B271" s="24" t="s">
        <v>292</v>
      </c>
      <c r="C271" s="9">
        <v>0.7250393596509587</v>
      </c>
      <c r="D271" s="18">
        <v>0.7713253661799495</v>
      </c>
      <c r="E271" s="17"/>
      <c r="F271" s="9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15.75" customHeight="1">
      <c r="A272" s="8">
        <v>70602.0</v>
      </c>
      <c r="B272" s="24" t="s">
        <v>293</v>
      </c>
      <c r="C272" s="9">
        <v>0.8817739204357037</v>
      </c>
      <c r="D272" s="18">
        <v>0.7949208872639256</v>
      </c>
      <c r="E272" s="17"/>
      <c r="F272" s="9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15.75" customHeight="1">
      <c r="A273" s="8">
        <v>70603.0</v>
      </c>
      <c r="B273" s="24" t="s">
        <v>294</v>
      </c>
      <c r="C273" s="9">
        <v>1.1152694742335847</v>
      </c>
      <c r="D273" s="18">
        <v>0.5879009012814037</v>
      </c>
      <c r="E273" s="17"/>
      <c r="F273" s="9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5.75" customHeight="1">
      <c r="A274" s="8">
        <v>70701.0</v>
      </c>
      <c r="B274" s="24" t="s">
        <v>295</v>
      </c>
      <c r="C274" s="9">
        <v>1.597646811048237</v>
      </c>
      <c r="D274" s="18">
        <v>1.338180442407579</v>
      </c>
      <c r="E274" s="17"/>
      <c r="F274" s="9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5.75" customHeight="1">
      <c r="A275" s="8">
        <v>70702.0</v>
      </c>
      <c r="B275" s="24" t="s">
        <v>296</v>
      </c>
      <c r="C275" s="9">
        <v>1.2569933535871003</v>
      </c>
      <c r="D275" s="18">
        <v>1.590463683088852</v>
      </c>
      <c r="E275" s="17"/>
      <c r="F275" s="9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15.75" customHeight="1">
      <c r="A276" s="8">
        <v>70703.0</v>
      </c>
      <c r="B276" s="24" t="s">
        <v>297</v>
      </c>
      <c r="C276" s="9">
        <v>0.7785041551110077</v>
      </c>
      <c r="D276" s="18">
        <v>1.0087430266245792</v>
      </c>
      <c r="E276" s="17"/>
      <c r="F276" s="9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5.75" customHeight="1">
      <c r="A277" s="8">
        <v>70704.0</v>
      </c>
      <c r="B277" s="24" t="s">
        <v>298</v>
      </c>
      <c r="C277" s="9">
        <v>1.4457727160025466</v>
      </c>
      <c r="D277" s="18">
        <v>1.1445310703117673</v>
      </c>
      <c r="E277" s="17"/>
      <c r="F277" s="9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15.75" customHeight="1">
      <c r="A278" s="8">
        <v>70705.0</v>
      </c>
      <c r="B278" s="24" t="s">
        <v>299</v>
      </c>
      <c r="C278" s="9">
        <v>1.2718139061013816</v>
      </c>
      <c r="D278" s="18">
        <v>1.4374775988139894</v>
      </c>
      <c r="E278" s="17"/>
      <c r="F278" s="9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5.75" customHeight="1">
      <c r="A279" s="8">
        <v>70706.0</v>
      </c>
      <c r="B279" s="24" t="s">
        <v>300</v>
      </c>
      <c r="C279" s="9">
        <v>1.281744244002317</v>
      </c>
      <c r="D279" s="18">
        <v>0.7878677139481834</v>
      </c>
      <c r="E279" s="17"/>
      <c r="F279" s="9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5.75" customHeight="1">
      <c r="A280" s="8">
        <v>70707.0</v>
      </c>
      <c r="B280" s="24" t="s">
        <v>301</v>
      </c>
      <c r="C280" s="9">
        <v>1.3055686268417885</v>
      </c>
      <c r="D280" s="18">
        <v>0.12447583341294627</v>
      </c>
      <c r="E280" s="17"/>
      <c r="F280" s="9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15.75" customHeight="1">
      <c r="A281" s="8">
        <v>70801.0</v>
      </c>
      <c r="B281" s="24" t="s">
        <v>302</v>
      </c>
      <c r="C281" s="9">
        <v>1.2471051268597684</v>
      </c>
      <c r="D281" s="18">
        <v>3.2331893676076815</v>
      </c>
      <c r="E281" s="17"/>
      <c r="F281" s="9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5.75" customHeight="1">
      <c r="A282" s="8">
        <v>70802.0</v>
      </c>
      <c r="B282" s="24" t="s">
        <v>303</v>
      </c>
      <c r="C282" s="9">
        <v>0.6919445750606168</v>
      </c>
      <c r="D282" s="18">
        <v>0.3950141159137912</v>
      </c>
      <c r="E282" s="17"/>
      <c r="F282" s="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15.75" customHeight="1">
      <c r="A283" s="8">
        <v>70803.0</v>
      </c>
      <c r="B283" s="24" t="s">
        <v>304</v>
      </c>
      <c r="C283" s="9">
        <v>0.8598581068442537</v>
      </c>
      <c r="D283" s="18">
        <v>0.7149947763841374</v>
      </c>
      <c r="E283" s="17"/>
      <c r="F283" s="9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5.75" customHeight="1">
      <c r="A284" s="8">
        <v>70804.0</v>
      </c>
      <c r="B284" s="24" t="s">
        <v>305</v>
      </c>
      <c r="C284" s="9">
        <v>0.9762776859269788</v>
      </c>
      <c r="D284" s="18">
        <v>0.7685834488229386</v>
      </c>
      <c r="E284" s="17"/>
      <c r="F284" s="9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5.75" customHeight="1">
      <c r="A285" s="8">
        <v>70805.0</v>
      </c>
      <c r="B285" s="24" t="s">
        <v>306</v>
      </c>
      <c r="C285" s="9">
        <v>0.7590573419710686</v>
      </c>
      <c r="D285" s="18">
        <v>0.45560368003798557</v>
      </c>
      <c r="E285" s="17"/>
      <c r="F285" s="9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15.75" customHeight="1">
      <c r="A286" s="8">
        <v>70901.0</v>
      </c>
      <c r="B286" s="24" t="s">
        <v>307</v>
      </c>
      <c r="C286" s="9">
        <v>1.0753558585759138</v>
      </c>
      <c r="D286" s="18">
        <v>1.2153290308726037</v>
      </c>
      <c r="E286" s="17"/>
      <c r="F286" s="9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5.75" customHeight="1">
      <c r="A287" s="8">
        <v>70902.0</v>
      </c>
      <c r="B287" s="24" t="s">
        <v>308</v>
      </c>
      <c r="C287" s="9">
        <v>0.634994499204316</v>
      </c>
      <c r="D287" s="18">
        <v>0.8723145237862067</v>
      </c>
      <c r="E287" s="17"/>
      <c r="F287" s="9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15.75" customHeight="1">
      <c r="A288" s="8">
        <v>70903.0</v>
      </c>
      <c r="B288" s="24" t="s">
        <v>309</v>
      </c>
      <c r="C288" s="9">
        <v>0.6885308493836808</v>
      </c>
      <c r="D288" s="18">
        <v>0.9832984106841306</v>
      </c>
      <c r="E288" s="17"/>
      <c r="F288" s="9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5.75" customHeight="1">
      <c r="A289" s="8">
        <v>70904.0</v>
      </c>
      <c r="B289" s="24" t="s">
        <v>310</v>
      </c>
      <c r="C289" s="9">
        <v>1.6124988911092868</v>
      </c>
      <c r="D289" s="18">
        <v>0.6649686461623876</v>
      </c>
      <c r="E289" s="17"/>
      <c r="F289" s="9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5.75" customHeight="1">
      <c r="A290" s="8">
        <v>71001.0</v>
      </c>
      <c r="B290" s="24" t="s">
        <v>311</v>
      </c>
      <c r="C290" s="9">
        <v>0.6165905276009069</v>
      </c>
      <c r="D290" s="18">
        <v>0.7242862782900883</v>
      </c>
      <c r="E290" s="17"/>
      <c r="F290" s="9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5.75" customHeight="1">
      <c r="A291" s="8">
        <v>71002.0</v>
      </c>
      <c r="B291" s="24" t="s">
        <v>312</v>
      </c>
      <c r="C291" s="9">
        <v>0.6451801624959413</v>
      </c>
      <c r="D291" s="18">
        <v>0.8354718263767086</v>
      </c>
      <c r="E291" s="17"/>
      <c r="F291" s="9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5.75" customHeight="1">
      <c r="A292" s="8">
        <v>71003.0</v>
      </c>
      <c r="B292" s="24" t="s">
        <v>313</v>
      </c>
      <c r="C292" s="9">
        <v>1.0009412688155284</v>
      </c>
      <c r="D292" s="18">
        <v>0.621350387611883</v>
      </c>
      <c r="E292" s="17"/>
      <c r="F292" s="9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15.75" customHeight="1">
      <c r="A293" s="8">
        <v>71004.0</v>
      </c>
      <c r="B293" s="24" t="s">
        <v>314</v>
      </c>
      <c r="C293" s="9">
        <v>0.7163794383388564</v>
      </c>
      <c r="D293" s="18">
        <v>0.5399077167910565</v>
      </c>
      <c r="E293" s="17"/>
      <c r="F293" s="9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5.75" customHeight="1">
      <c r="A294" s="8">
        <v>71005.0</v>
      </c>
      <c r="B294" s="24" t="s">
        <v>315</v>
      </c>
      <c r="C294" s="9">
        <v>0.9495013348298226</v>
      </c>
      <c r="D294" s="18">
        <v>0.636681962744315</v>
      </c>
      <c r="E294" s="17"/>
      <c r="F294" s="9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5.75" customHeight="1">
      <c r="A295" s="8">
        <v>71101.0</v>
      </c>
      <c r="B295" s="24" t="s">
        <v>316</v>
      </c>
      <c r="C295" s="9">
        <v>0.8589212883020826</v>
      </c>
      <c r="D295" s="18">
        <v>1.1055005881377442</v>
      </c>
      <c r="E295" s="17"/>
      <c r="F295" s="9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15.75" customHeight="1">
      <c r="A296" s="8">
        <v>71102.0</v>
      </c>
      <c r="B296" s="24" t="s">
        <v>317</v>
      </c>
      <c r="C296" s="9">
        <v>0.9469084660160276</v>
      </c>
      <c r="D296" s="18">
        <v>1.8733301798269462</v>
      </c>
      <c r="E296" s="17"/>
      <c r="F296" s="9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5.75" customHeight="1">
      <c r="A297" s="8">
        <v>71103.0</v>
      </c>
      <c r="B297" s="24" t="s">
        <v>318</v>
      </c>
      <c r="C297" s="9">
        <v>1.0821733727082599</v>
      </c>
      <c r="D297" s="18">
        <v>0.8814393946345729</v>
      </c>
      <c r="E297" s="17"/>
      <c r="F297" s="9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15.75" customHeight="1">
      <c r="A298" s="8">
        <v>71104.0</v>
      </c>
      <c r="B298" s="24" t="s">
        <v>319</v>
      </c>
      <c r="C298" s="9">
        <v>0.7333710781683079</v>
      </c>
      <c r="D298" s="18">
        <v>0.9840115697193121</v>
      </c>
      <c r="E298" s="17"/>
      <c r="F298" s="9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5.75" customHeight="1">
      <c r="A299" s="8">
        <v>71105.0</v>
      </c>
      <c r="B299" s="24" t="s">
        <v>320</v>
      </c>
      <c r="C299" s="9">
        <v>0.7695614886151512</v>
      </c>
      <c r="D299" s="18">
        <v>0.6254046053135123</v>
      </c>
      <c r="E299" s="17"/>
      <c r="F299" s="9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5.75" customHeight="1">
      <c r="A300" s="8">
        <v>71106.0</v>
      </c>
      <c r="B300" s="24" t="s">
        <v>321</v>
      </c>
      <c r="C300" s="9">
        <v>0.900863033362923</v>
      </c>
      <c r="D300" s="18">
        <v>1.1172162043073153</v>
      </c>
      <c r="E300" s="17"/>
      <c r="F300" s="9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15.75" customHeight="1">
      <c r="A301" s="8">
        <v>71201.0</v>
      </c>
      <c r="B301" s="24" t="s">
        <v>322</v>
      </c>
      <c r="C301" s="9">
        <v>1.1973163349460816</v>
      </c>
      <c r="D301" s="18">
        <v>1.6097612375590877</v>
      </c>
      <c r="E301" s="17"/>
      <c r="F301" s="9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5.75" customHeight="1">
      <c r="A302" s="8">
        <v>71301.0</v>
      </c>
      <c r="B302" s="24" t="s">
        <v>323</v>
      </c>
      <c r="C302" s="9">
        <v>1.0545231663902204</v>
      </c>
      <c r="D302" s="18">
        <v>1.2058071872566456</v>
      </c>
      <c r="E302" s="17"/>
      <c r="F302" s="9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5.75" customHeight="1">
      <c r="A303" s="8">
        <v>71302.0</v>
      </c>
      <c r="B303" s="24" t="s">
        <v>324</v>
      </c>
      <c r="C303" s="9">
        <v>0.8908037823269487</v>
      </c>
      <c r="D303" s="18">
        <v>1.7206340291076196</v>
      </c>
      <c r="E303" s="17"/>
      <c r="F303" s="9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5.75" customHeight="1">
      <c r="A304" s="8">
        <v>71401.0</v>
      </c>
      <c r="B304" s="24" t="s">
        <v>325</v>
      </c>
      <c r="C304" s="9">
        <v>0.7170347943708794</v>
      </c>
      <c r="D304" s="18">
        <v>0.7080836389429777</v>
      </c>
      <c r="E304" s="17"/>
      <c r="F304" s="9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5.75" customHeight="1">
      <c r="A305" s="8">
        <v>71402.0</v>
      </c>
      <c r="B305" s="24" t="s">
        <v>326</v>
      </c>
      <c r="C305" s="9">
        <v>1.022747797739693</v>
      </c>
      <c r="D305" s="18">
        <v>1.2761771937968263</v>
      </c>
      <c r="E305" s="17"/>
      <c r="F305" s="9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5.75" customHeight="1">
      <c r="A306" s="8">
        <v>71403.0</v>
      </c>
      <c r="B306" s="24" t="s">
        <v>327</v>
      </c>
      <c r="C306" s="9">
        <v>0.9239658267029043</v>
      </c>
      <c r="D306" s="18">
        <v>1.38556054810895</v>
      </c>
      <c r="E306" s="17"/>
      <c r="F306" s="9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5.75" customHeight="1">
      <c r="A307" s="8">
        <v>71501.0</v>
      </c>
      <c r="B307" s="24" t="s">
        <v>328</v>
      </c>
      <c r="C307" s="9">
        <v>1.0271521725358062</v>
      </c>
      <c r="D307" s="18">
        <v>0.9871878541003102</v>
      </c>
      <c r="E307" s="17"/>
      <c r="F307" s="9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5.75" customHeight="1">
      <c r="A308" s="8">
        <v>71502.0</v>
      </c>
      <c r="B308" s="24" t="s">
        <v>329</v>
      </c>
      <c r="C308" s="9">
        <v>1.5038750479326224</v>
      </c>
      <c r="D308" s="18">
        <v>0.9064673215749641</v>
      </c>
      <c r="E308" s="17"/>
      <c r="F308" s="9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5.75" customHeight="1">
      <c r="A309" s="8">
        <v>71503.0</v>
      </c>
      <c r="B309" s="24" t="s">
        <v>274</v>
      </c>
      <c r="C309" s="9">
        <v>0.8638913881363012</v>
      </c>
      <c r="D309" s="18">
        <v>1.047089258277688</v>
      </c>
      <c r="E309" s="17"/>
      <c r="F309" s="9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5.75" customHeight="1">
      <c r="A310" s="8">
        <v>80101.0</v>
      </c>
      <c r="B310" s="24" t="s">
        <v>330</v>
      </c>
      <c r="C310" s="9">
        <v>0.9483648820019777</v>
      </c>
      <c r="D310" s="18">
        <v>0.7881929140332798</v>
      </c>
      <c r="E310" s="17"/>
      <c r="F310" s="9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5.75" customHeight="1">
      <c r="A311" s="8">
        <v>80102.0</v>
      </c>
      <c r="B311" s="24" t="s">
        <v>317</v>
      </c>
      <c r="C311" s="9">
        <v>0.8415900443046073</v>
      </c>
      <c r="D311" s="18">
        <v>0.4620318134606646</v>
      </c>
      <c r="E311" s="17"/>
      <c r="F311" s="9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5.75" customHeight="1">
      <c r="A312" s="8">
        <v>80201.0</v>
      </c>
      <c r="B312" s="24" t="s">
        <v>331</v>
      </c>
      <c r="C312" s="9">
        <v>0.9862506424597597</v>
      </c>
      <c r="D312" s="18">
        <v>1.0891282085081953</v>
      </c>
      <c r="E312" s="17"/>
      <c r="F312" s="9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5.75" customHeight="1">
      <c r="A313" s="8">
        <v>80202.0</v>
      </c>
      <c r="B313" s="24" t="s">
        <v>332</v>
      </c>
      <c r="C313" s="9">
        <v>0.8513347255901865</v>
      </c>
      <c r="D313" s="18">
        <v>1.3076926586067679</v>
      </c>
      <c r="E313" s="17"/>
      <c r="F313" s="9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5.75" customHeight="1">
      <c r="A314" s="8">
        <v>80301.0</v>
      </c>
      <c r="B314" s="24" t="s">
        <v>333</v>
      </c>
      <c r="C314" s="9">
        <v>0.9435997617930478</v>
      </c>
      <c r="D314" s="18">
        <v>1.3029918190367016</v>
      </c>
      <c r="E314" s="17"/>
      <c r="F314" s="9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5.75" customHeight="1">
      <c r="A315" s="8">
        <v>80302.0</v>
      </c>
      <c r="B315" s="24" t="s">
        <v>334</v>
      </c>
      <c r="C315" s="9">
        <v>1.2629245531878928</v>
      </c>
      <c r="D315" s="18">
        <v>2.311056224857425</v>
      </c>
      <c r="E315" s="17"/>
      <c r="F315" s="9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5.75" customHeight="1">
      <c r="A316" s="8">
        <v>80303.0</v>
      </c>
      <c r="B316" s="24" t="s">
        <v>335</v>
      </c>
      <c r="C316" s="9">
        <v>0.7316574462566042</v>
      </c>
      <c r="D316" s="18">
        <v>1.1304374554329066</v>
      </c>
      <c r="E316" s="17"/>
      <c r="F316" s="9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5.75" customHeight="1">
      <c r="A317" s="8">
        <v>80304.0</v>
      </c>
      <c r="B317" s="24" t="s">
        <v>336</v>
      </c>
      <c r="C317" s="9">
        <v>1.0913522632997081</v>
      </c>
      <c r="D317" s="18">
        <v>1.017814105577284</v>
      </c>
      <c r="E317" s="17"/>
      <c r="F317" s="9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5.75" customHeight="1">
      <c r="A318" s="8">
        <v>80401.0</v>
      </c>
      <c r="B318" s="24" t="s">
        <v>337</v>
      </c>
      <c r="C318" s="9">
        <v>0.8376391666664338</v>
      </c>
      <c r="D318" s="18">
        <v>1.2278440643168944</v>
      </c>
      <c r="E318" s="17"/>
      <c r="F318" s="9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5.75" customHeight="1">
      <c r="A319" s="8">
        <v>80402.0</v>
      </c>
      <c r="B319" s="24" t="s">
        <v>338</v>
      </c>
      <c r="C319" s="9">
        <v>1.120150299584002</v>
      </c>
      <c r="D319" s="18">
        <v>0.9105861682500375</v>
      </c>
      <c r="E319" s="17"/>
      <c r="F319" s="9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5.75" customHeight="1">
      <c r="A320" s="8">
        <v>80501.0</v>
      </c>
      <c r="B320" s="24" t="s">
        <v>339</v>
      </c>
      <c r="C320" s="9">
        <v>1.070308555539886</v>
      </c>
      <c r="D320" s="18">
        <v>1.472482817832649</v>
      </c>
      <c r="E320" s="17"/>
      <c r="F320" s="9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5.75" customHeight="1">
      <c r="A321" s="8">
        <v>80601.0</v>
      </c>
      <c r="B321" s="24" t="s">
        <v>340</v>
      </c>
      <c r="C321" s="9">
        <v>1.067717295805708</v>
      </c>
      <c r="D321" s="18">
        <v>1.5291918249309284</v>
      </c>
      <c r="E321" s="17"/>
      <c r="F321" s="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5.75" customHeight="1">
      <c r="A322" s="8">
        <v>80602.0</v>
      </c>
      <c r="B322" s="24" t="s">
        <v>341</v>
      </c>
      <c r="C322" s="9">
        <v>0.8913209355920627</v>
      </c>
      <c r="D322" s="18">
        <v>1.2452418563747554</v>
      </c>
      <c r="E322" s="17"/>
      <c r="F322" s="9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5.75" customHeight="1">
      <c r="A323" s="8">
        <v>80701.0</v>
      </c>
      <c r="B323" s="24" t="s">
        <v>342</v>
      </c>
      <c r="C323" s="9">
        <v>0.845335570320418</v>
      </c>
      <c r="D323" s="18">
        <v>0.7545972738284062</v>
      </c>
      <c r="E323" s="17"/>
      <c r="F323" s="9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5.75" customHeight="1">
      <c r="A324" s="8">
        <v>80702.0</v>
      </c>
      <c r="B324" s="24" t="s">
        <v>318</v>
      </c>
      <c r="C324" s="9">
        <v>0.9504977408789725</v>
      </c>
      <c r="D324" s="18">
        <v>0.522051316117618</v>
      </c>
      <c r="E324" s="17"/>
      <c r="F324" s="9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5.75" customHeight="1">
      <c r="A325" s="8">
        <v>80703.0</v>
      </c>
      <c r="B325" s="24" t="s">
        <v>343</v>
      </c>
      <c r="C325" s="9">
        <v>0.8657395274743809</v>
      </c>
      <c r="D325" s="18">
        <v>1.825394343309516</v>
      </c>
      <c r="E325" s="17"/>
      <c r="F325" s="9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5.75" customHeight="1">
      <c r="A326" s="8">
        <v>80801.0</v>
      </c>
      <c r="B326" s="24" t="s">
        <v>344</v>
      </c>
      <c r="C326" s="9">
        <v>0.9567330149991152</v>
      </c>
      <c r="D326" s="18">
        <v>1.224949824405109</v>
      </c>
      <c r="E326" s="17"/>
      <c r="F326" s="9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5.75" customHeight="1">
      <c r="A327" s="8">
        <v>80802.0</v>
      </c>
      <c r="B327" s="24" t="s">
        <v>345</v>
      </c>
      <c r="C327" s="9">
        <v>0.6949840438753907</v>
      </c>
      <c r="D327" s="18">
        <v>0.6568485954943746</v>
      </c>
      <c r="E327" s="17"/>
      <c r="F327" s="9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5.75" customHeight="1">
      <c r="A328" s="8">
        <v>80803.0</v>
      </c>
      <c r="B328" s="24" t="s">
        <v>346</v>
      </c>
      <c r="C328" s="9">
        <v>0.8866271552867899</v>
      </c>
      <c r="D328" s="18">
        <v>0.614142446516155</v>
      </c>
      <c r="E328" s="17"/>
      <c r="F328" s="9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5.75" customHeight="1">
      <c r="A329" s="20">
        <v>80901.0</v>
      </c>
      <c r="B329" s="24" t="s">
        <v>347</v>
      </c>
      <c r="C329" s="9">
        <v>1.0561235561932498</v>
      </c>
      <c r="D329" s="18">
        <v>1.260983191368451</v>
      </c>
      <c r="E329" s="17"/>
      <c r="F329" s="9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5.75" customHeight="1">
      <c r="A330" s="8">
        <v>90101.0</v>
      </c>
      <c r="B330" s="24" t="s">
        <v>348</v>
      </c>
      <c r="C330" s="9">
        <v>1.0560101553847747</v>
      </c>
      <c r="D330" s="18">
        <v>1.032038880981196</v>
      </c>
      <c r="E330" s="17"/>
      <c r="F330" s="9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5.75" customHeight="1">
      <c r="A331" s="8">
        <v>90102.0</v>
      </c>
      <c r="B331" s="24" t="s">
        <v>349</v>
      </c>
      <c r="C331" s="9">
        <v>1.0114470844134373</v>
      </c>
      <c r="D331" s="18">
        <v>0.6747782116140553</v>
      </c>
      <c r="E331" s="17"/>
      <c r="F331" s="9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5.75" customHeight="1">
      <c r="A332" s="8">
        <v>90103.0</v>
      </c>
      <c r="B332" s="24" t="s">
        <v>350</v>
      </c>
      <c r="C332" s="9">
        <v>0.9001388941741684</v>
      </c>
      <c r="D332" s="18">
        <v>0.6055781349983734</v>
      </c>
      <c r="E332" s="17"/>
      <c r="F332" s="9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5.75" customHeight="1">
      <c r="A333" s="8">
        <v>90104.0</v>
      </c>
      <c r="B333" s="24" t="s">
        <v>351</v>
      </c>
      <c r="C333" s="9">
        <v>1.4634914668681003</v>
      </c>
      <c r="D333" s="18">
        <v>1.021889060319274</v>
      </c>
      <c r="E333" s="17"/>
      <c r="F333" s="9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5.75" customHeight="1">
      <c r="A334" s="8">
        <v>90201.0</v>
      </c>
      <c r="B334" s="24" t="s">
        <v>352</v>
      </c>
      <c r="C334" s="9">
        <v>0.8656616515194652</v>
      </c>
      <c r="D334" s="18">
        <v>0.9971563353828492</v>
      </c>
      <c r="E334" s="17"/>
      <c r="F334" s="9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5.75" customHeight="1">
      <c r="A335" s="8">
        <v>90202.0</v>
      </c>
      <c r="B335" s="24" t="s">
        <v>315</v>
      </c>
      <c r="C335" s="9">
        <v>1.0460080269246916</v>
      </c>
      <c r="D335" s="18">
        <v>1.1300095229408915</v>
      </c>
      <c r="E335" s="17"/>
      <c r="F335" s="9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5.75" customHeight="1">
      <c r="A336" s="8">
        <v>90203.0</v>
      </c>
      <c r="B336" s="24" t="s">
        <v>353</v>
      </c>
      <c r="C336" s="9">
        <v>0.9468679378587932</v>
      </c>
      <c r="D336" s="18">
        <v>0.6280355907668573</v>
      </c>
      <c r="E336" s="17"/>
      <c r="F336" s="9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5.75" customHeight="1">
      <c r="A337" s="8">
        <v>90301.0</v>
      </c>
      <c r="B337" s="24" t="s">
        <v>354</v>
      </c>
      <c r="C337" s="9">
        <v>1.2785535201928133</v>
      </c>
      <c r="D337" s="18">
        <v>0.7214906545113554</v>
      </c>
      <c r="E337" s="17"/>
      <c r="F337" s="9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5.75" customHeight="1">
      <c r="A338" s="8">
        <v>90302.0</v>
      </c>
      <c r="B338" s="24" t="s">
        <v>355</v>
      </c>
      <c r="C338" s="9">
        <v>0.930590409370698</v>
      </c>
      <c r="D338" s="18">
        <v>0.9216317167618155</v>
      </c>
      <c r="E338" s="17"/>
      <c r="F338" s="9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5.75" customHeight="1">
      <c r="A339" s="8">
        <v>90303.0</v>
      </c>
      <c r="B339" s="24" t="s">
        <v>356</v>
      </c>
      <c r="C339" s="9">
        <v>0.9971146093306785</v>
      </c>
      <c r="D339" s="18">
        <v>0.9625513979180494</v>
      </c>
      <c r="E339" s="17"/>
      <c r="F339" s="9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5.75" customHeight="1">
      <c r="A340" s="8">
        <v>90401.0</v>
      </c>
      <c r="B340" s="24" t="s">
        <v>357</v>
      </c>
      <c r="C340" s="9">
        <v>1.0395565846320118</v>
      </c>
      <c r="D340" s="18">
        <v>0.6758635229223878</v>
      </c>
      <c r="E340" s="17"/>
      <c r="F340" s="9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5.75" customHeight="1">
      <c r="A341" s="8">
        <v>90402.0</v>
      </c>
      <c r="B341" s="24" t="s">
        <v>358</v>
      </c>
      <c r="C341" s="9">
        <v>0.7894993395481309</v>
      </c>
      <c r="D341" s="18">
        <v>0.9041608909144095</v>
      </c>
      <c r="E341" s="17"/>
      <c r="F341" s="9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5.75" customHeight="1">
      <c r="A342" s="8">
        <v>90501.0</v>
      </c>
      <c r="B342" s="24" t="s">
        <v>359</v>
      </c>
      <c r="C342" s="9">
        <v>0.9584266700315516</v>
      </c>
      <c r="D342" s="18">
        <v>0.5871486261436789</v>
      </c>
      <c r="E342" s="17"/>
      <c r="F342" s="9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5.75" customHeight="1">
      <c r="A343" s="8">
        <v>90502.0</v>
      </c>
      <c r="B343" s="24" t="s">
        <v>360</v>
      </c>
      <c r="C343" s="9">
        <v>0.9223764036897926</v>
      </c>
      <c r="D343" s="18">
        <v>1.1889443241390634</v>
      </c>
      <c r="E343" s="17"/>
      <c r="F343" s="9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5.75" customHeight="1">
      <c r="A344" s="8">
        <v>90503.0</v>
      </c>
      <c r="B344" s="24" t="s">
        <v>361</v>
      </c>
      <c r="C344" s="9">
        <v>1.0240290789029443</v>
      </c>
      <c r="D344" s="18">
        <v>0.8418974921348653</v>
      </c>
      <c r="E344" s="17"/>
      <c r="F344" s="9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5.75" customHeight="1">
      <c r="A345" s="14"/>
      <c r="B345" s="25"/>
      <c r="C345" s="9"/>
      <c r="D345" s="18"/>
      <c r="F345" s="9"/>
    </row>
    <row r="346" ht="15.75" customHeight="1">
      <c r="A346" s="14"/>
      <c r="B346" s="25"/>
      <c r="C346" s="9"/>
      <c r="D346" s="18"/>
      <c r="F346" s="9"/>
    </row>
    <row r="347" ht="15.75" customHeight="1">
      <c r="A347" s="14"/>
      <c r="B347" s="25"/>
      <c r="C347" s="26"/>
      <c r="D347" s="26"/>
      <c r="F347" s="18"/>
    </row>
    <row r="348" ht="15.75" customHeight="1">
      <c r="A348" s="14"/>
      <c r="B348" s="25"/>
      <c r="C348" s="26"/>
      <c r="D348" s="26"/>
      <c r="F348" s="18"/>
    </row>
    <row r="349" ht="15.75" customHeight="1">
      <c r="A349" s="14"/>
      <c r="B349" s="25"/>
      <c r="C349" s="26"/>
      <c r="D349" s="26"/>
      <c r="F349" s="18"/>
    </row>
    <row r="350" ht="15.75" customHeight="1">
      <c r="A350" s="14"/>
      <c r="B350" s="25"/>
      <c r="C350" s="26"/>
      <c r="D350" s="26"/>
      <c r="F350" s="18"/>
    </row>
    <row r="351" ht="15.75" customHeight="1">
      <c r="A351" s="14"/>
      <c r="B351" s="25"/>
      <c r="C351" s="26"/>
      <c r="D351" s="26"/>
      <c r="F351" s="18"/>
    </row>
    <row r="352" ht="15.75" customHeight="1">
      <c r="A352" s="14"/>
      <c r="B352" s="25"/>
      <c r="C352" s="26"/>
      <c r="D352" s="26"/>
      <c r="F352" s="18"/>
    </row>
    <row r="353" ht="15.75" customHeight="1">
      <c r="A353" s="14"/>
      <c r="B353" s="25"/>
      <c r="C353" s="26"/>
      <c r="D353" s="26"/>
      <c r="F353" s="18"/>
    </row>
    <row r="354" ht="15.75" customHeight="1">
      <c r="A354" s="14"/>
      <c r="B354" s="25"/>
      <c r="C354" s="26"/>
      <c r="D354" s="26"/>
      <c r="F354" s="18"/>
    </row>
    <row r="355" ht="15.75" customHeight="1">
      <c r="A355" s="14"/>
      <c r="B355" s="25"/>
      <c r="C355" s="26"/>
      <c r="D355" s="26"/>
      <c r="F355" s="18"/>
    </row>
    <row r="356" ht="15.75" customHeight="1">
      <c r="A356" s="14"/>
      <c r="B356" s="25"/>
      <c r="C356" s="26"/>
      <c r="D356" s="26"/>
      <c r="F356" s="18"/>
    </row>
    <row r="357" ht="15.75" customHeight="1">
      <c r="A357" s="14"/>
      <c r="B357" s="25"/>
      <c r="C357" s="26"/>
      <c r="D357" s="26"/>
      <c r="F357" s="18"/>
    </row>
    <row r="358" ht="15.75" customHeight="1">
      <c r="A358" s="14"/>
      <c r="B358" s="25"/>
      <c r="C358" s="26"/>
      <c r="D358" s="26"/>
      <c r="F358" s="18"/>
    </row>
    <row r="359" ht="15.75" customHeight="1">
      <c r="A359" s="14"/>
      <c r="B359" s="25"/>
      <c r="C359" s="26"/>
      <c r="D359" s="26"/>
      <c r="F359" s="18"/>
    </row>
    <row r="360" ht="15.75" customHeight="1">
      <c r="A360" s="14"/>
      <c r="B360" s="25"/>
      <c r="C360" s="26"/>
      <c r="D360" s="26"/>
      <c r="F360" s="18"/>
    </row>
    <row r="361" ht="15.75" customHeight="1">
      <c r="A361" s="14"/>
      <c r="B361" s="25"/>
      <c r="C361" s="26"/>
      <c r="D361" s="26"/>
      <c r="F361" s="18"/>
    </row>
    <row r="362" ht="15.75" customHeight="1">
      <c r="A362" s="14"/>
      <c r="B362" s="25"/>
      <c r="C362" s="26"/>
      <c r="D362" s="26"/>
      <c r="F362" s="18"/>
    </row>
    <row r="363" ht="15.75" customHeight="1">
      <c r="A363" s="14"/>
      <c r="B363" s="25"/>
      <c r="C363" s="26"/>
      <c r="D363" s="26"/>
      <c r="F363" s="18"/>
    </row>
    <row r="364" ht="15.75" customHeight="1">
      <c r="A364" s="14"/>
      <c r="B364" s="25"/>
      <c r="C364" s="26"/>
      <c r="D364" s="26"/>
      <c r="F364" s="18"/>
    </row>
    <row r="365" ht="15.75" customHeight="1">
      <c r="A365" s="14"/>
      <c r="B365" s="25"/>
      <c r="C365" s="26"/>
      <c r="D365" s="26"/>
      <c r="F365" s="18"/>
    </row>
    <row r="366" ht="15.75" customHeight="1">
      <c r="A366" s="14"/>
      <c r="B366" s="25"/>
      <c r="C366" s="26"/>
      <c r="D366" s="26"/>
      <c r="F366" s="18"/>
    </row>
    <row r="367" ht="15.75" customHeight="1">
      <c r="A367" s="14"/>
      <c r="B367" s="25"/>
      <c r="C367" s="26"/>
      <c r="D367" s="26"/>
      <c r="F367" s="18"/>
    </row>
    <row r="368" ht="15.75" customHeight="1">
      <c r="A368" s="14"/>
      <c r="B368" s="25"/>
      <c r="C368" s="26"/>
      <c r="D368" s="26"/>
      <c r="F368" s="18"/>
    </row>
    <row r="369" ht="15.75" customHeight="1">
      <c r="A369" s="14"/>
      <c r="B369" s="25"/>
      <c r="C369" s="26"/>
      <c r="D369" s="26"/>
      <c r="F369" s="18"/>
    </row>
    <row r="370" ht="15.75" customHeight="1">
      <c r="A370" s="14"/>
      <c r="B370" s="25"/>
      <c r="C370" s="26"/>
      <c r="D370" s="26"/>
      <c r="F370" s="18"/>
    </row>
    <row r="371" ht="15.75" customHeight="1">
      <c r="A371" s="14"/>
      <c r="B371" s="25"/>
      <c r="C371" s="26"/>
      <c r="D371" s="26"/>
      <c r="F371" s="18"/>
    </row>
    <row r="372" ht="15.75" customHeight="1">
      <c r="A372" s="14"/>
      <c r="B372" s="25"/>
      <c r="C372" s="26"/>
      <c r="D372" s="26"/>
      <c r="F372" s="18"/>
    </row>
    <row r="373" ht="15.75" customHeight="1">
      <c r="A373" s="14"/>
      <c r="B373" s="25"/>
      <c r="C373" s="26"/>
      <c r="D373" s="26"/>
      <c r="F373" s="18"/>
    </row>
    <row r="374" ht="15.75" customHeight="1">
      <c r="A374" s="14"/>
      <c r="B374" s="25"/>
      <c r="C374" s="26"/>
      <c r="D374" s="26"/>
      <c r="F374" s="18"/>
    </row>
    <row r="375" ht="15.75" customHeight="1">
      <c r="A375" s="14"/>
      <c r="B375" s="25"/>
      <c r="C375" s="26"/>
      <c r="D375" s="26"/>
      <c r="F375" s="18"/>
    </row>
    <row r="376" ht="15.75" customHeight="1">
      <c r="A376" s="14"/>
      <c r="B376" s="25"/>
      <c r="C376" s="26"/>
      <c r="D376" s="26"/>
      <c r="F376" s="18"/>
    </row>
    <row r="377" ht="15.75" customHeight="1">
      <c r="A377" s="14"/>
      <c r="B377" s="25"/>
      <c r="C377" s="26"/>
      <c r="D377" s="26"/>
      <c r="F377" s="18"/>
    </row>
    <row r="378" ht="15.75" customHeight="1">
      <c r="A378" s="14"/>
      <c r="B378" s="25"/>
      <c r="C378" s="26"/>
      <c r="D378" s="26"/>
      <c r="F378" s="18"/>
    </row>
    <row r="379" ht="15.75" customHeight="1">
      <c r="A379" s="14"/>
      <c r="B379" s="25"/>
      <c r="C379" s="26"/>
      <c r="D379" s="26"/>
      <c r="F379" s="18"/>
    </row>
    <row r="380" ht="15.75" customHeight="1">
      <c r="A380" s="14"/>
      <c r="B380" s="25"/>
      <c r="C380" s="26"/>
      <c r="D380" s="26"/>
      <c r="F380" s="18"/>
    </row>
    <row r="381" ht="15.75" customHeight="1">
      <c r="A381" s="14"/>
      <c r="B381" s="25"/>
      <c r="C381" s="26"/>
      <c r="D381" s="26"/>
      <c r="F381" s="18"/>
    </row>
    <row r="382" ht="15.75" customHeight="1">
      <c r="A382" s="14"/>
      <c r="B382" s="25"/>
      <c r="C382" s="26"/>
      <c r="D382" s="26"/>
      <c r="F382" s="18"/>
    </row>
    <row r="383" ht="15.75" customHeight="1">
      <c r="A383" s="14"/>
      <c r="B383" s="25"/>
      <c r="C383" s="26"/>
      <c r="D383" s="26"/>
      <c r="F383" s="18"/>
    </row>
    <row r="384" ht="15.75" customHeight="1">
      <c r="A384" s="14"/>
      <c r="B384" s="25"/>
      <c r="C384" s="26"/>
      <c r="D384" s="26"/>
      <c r="F384" s="18"/>
    </row>
    <row r="385" ht="15.75" customHeight="1">
      <c r="A385" s="14"/>
      <c r="B385" s="25"/>
      <c r="C385" s="26"/>
      <c r="D385" s="26"/>
      <c r="F385" s="18"/>
    </row>
    <row r="386" ht="15.75" customHeight="1">
      <c r="A386" s="14"/>
      <c r="B386" s="25"/>
      <c r="C386" s="26"/>
      <c r="D386" s="26"/>
      <c r="F386" s="18"/>
    </row>
    <row r="387" ht="15.75" customHeight="1">
      <c r="A387" s="14"/>
      <c r="B387" s="25"/>
      <c r="C387" s="26"/>
      <c r="D387" s="26"/>
      <c r="F387" s="18"/>
    </row>
    <row r="388" ht="15.75" customHeight="1">
      <c r="A388" s="14"/>
      <c r="B388" s="25"/>
      <c r="C388" s="26"/>
      <c r="D388" s="26"/>
      <c r="F388" s="18"/>
    </row>
    <row r="389" ht="15.75" customHeight="1">
      <c r="A389" s="14"/>
      <c r="B389" s="25"/>
      <c r="C389" s="26"/>
      <c r="D389" s="26"/>
      <c r="F389" s="18"/>
    </row>
    <row r="390" ht="15.75" customHeight="1">
      <c r="A390" s="14"/>
      <c r="B390" s="25"/>
      <c r="C390" s="26"/>
      <c r="D390" s="26"/>
      <c r="F390" s="18"/>
    </row>
    <row r="391" ht="15.75" customHeight="1">
      <c r="A391" s="14"/>
      <c r="B391" s="25"/>
      <c r="C391" s="26"/>
      <c r="D391" s="26"/>
      <c r="F391" s="18"/>
    </row>
    <row r="392" ht="15.75" customHeight="1">
      <c r="A392" s="14"/>
      <c r="B392" s="25"/>
      <c r="C392" s="26"/>
      <c r="D392" s="26"/>
      <c r="F392" s="18"/>
    </row>
    <row r="393" ht="15.75" customHeight="1">
      <c r="A393" s="14"/>
      <c r="B393" s="25"/>
      <c r="C393" s="26"/>
      <c r="D393" s="26"/>
      <c r="F393" s="18"/>
    </row>
    <row r="394" ht="15.75" customHeight="1">
      <c r="A394" s="14"/>
      <c r="B394" s="25"/>
      <c r="C394" s="26"/>
      <c r="D394" s="26"/>
      <c r="F394" s="18"/>
    </row>
    <row r="395" ht="15.75" customHeight="1">
      <c r="A395" s="14"/>
      <c r="B395" s="25"/>
      <c r="C395" s="26"/>
      <c r="D395" s="26"/>
      <c r="F395" s="18"/>
    </row>
    <row r="396" ht="15.75" customHeight="1">
      <c r="A396" s="14"/>
      <c r="B396" s="25"/>
      <c r="C396" s="26"/>
      <c r="D396" s="26"/>
      <c r="F396" s="18"/>
    </row>
    <row r="397" ht="15.75" customHeight="1">
      <c r="A397" s="14"/>
      <c r="B397" s="25"/>
      <c r="C397" s="26"/>
      <c r="D397" s="26"/>
      <c r="F397" s="18"/>
    </row>
    <row r="398" ht="15.75" customHeight="1">
      <c r="A398" s="14"/>
      <c r="B398" s="25"/>
      <c r="C398" s="26"/>
      <c r="D398" s="26"/>
      <c r="F398" s="18"/>
    </row>
    <row r="399" ht="15.75" customHeight="1">
      <c r="A399" s="14"/>
      <c r="B399" s="25"/>
      <c r="C399" s="26"/>
      <c r="D399" s="26"/>
      <c r="F399" s="18"/>
    </row>
    <row r="400" ht="15.75" customHeight="1">
      <c r="A400" s="14"/>
      <c r="B400" s="25"/>
      <c r="C400" s="26"/>
      <c r="D400" s="26"/>
      <c r="F400" s="18"/>
    </row>
    <row r="401" ht="15.75" customHeight="1">
      <c r="A401" s="14"/>
      <c r="B401" s="25"/>
      <c r="C401" s="26"/>
      <c r="D401" s="26"/>
      <c r="F401" s="18"/>
    </row>
    <row r="402" ht="15.75" customHeight="1">
      <c r="A402" s="14"/>
      <c r="B402" s="25"/>
      <c r="C402" s="26"/>
      <c r="D402" s="26"/>
      <c r="F402" s="18"/>
    </row>
    <row r="403" ht="15.75" customHeight="1">
      <c r="A403" s="14"/>
      <c r="B403" s="25"/>
      <c r="C403" s="26"/>
      <c r="D403" s="26"/>
      <c r="F403" s="18"/>
    </row>
    <row r="404" ht="15.75" customHeight="1">
      <c r="A404" s="14"/>
      <c r="B404" s="25"/>
      <c r="C404" s="26"/>
      <c r="D404" s="26"/>
      <c r="F404" s="18"/>
    </row>
    <row r="405" ht="15.75" customHeight="1">
      <c r="A405" s="14"/>
      <c r="B405" s="25"/>
      <c r="C405" s="26"/>
      <c r="D405" s="26"/>
      <c r="F405" s="18"/>
    </row>
    <row r="406" ht="15.75" customHeight="1">
      <c r="A406" s="14"/>
      <c r="B406" s="25"/>
      <c r="C406" s="26"/>
      <c r="D406" s="26"/>
      <c r="F406" s="18"/>
    </row>
    <row r="407" ht="15.75" customHeight="1">
      <c r="A407" s="14"/>
      <c r="B407" s="25"/>
      <c r="C407" s="26"/>
      <c r="D407" s="26"/>
      <c r="F407" s="18"/>
    </row>
    <row r="408" ht="15.75" customHeight="1">
      <c r="A408" s="14"/>
      <c r="B408" s="25"/>
      <c r="C408" s="26"/>
      <c r="D408" s="26"/>
      <c r="F408" s="18"/>
    </row>
    <row r="409" ht="15.75" customHeight="1">
      <c r="A409" s="14"/>
      <c r="B409" s="25"/>
      <c r="C409" s="26"/>
      <c r="D409" s="26"/>
      <c r="F409" s="18"/>
    </row>
    <row r="410" ht="15.75" customHeight="1">
      <c r="A410" s="14"/>
      <c r="B410" s="25"/>
      <c r="C410" s="26"/>
      <c r="D410" s="26"/>
      <c r="F410" s="18"/>
    </row>
    <row r="411" ht="15.75" customHeight="1">
      <c r="A411" s="14"/>
      <c r="B411" s="25"/>
      <c r="C411" s="26"/>
      <c r="D411" s="26"/>
      <c r="F411" s="18"/>
    </row>
    <row r="412" ht="15.75" customHeight="1">
      <c r="A412" s="14"/>
      <c r="B412" s="25"/>
      <c r="C412" s="26"/>
      <c r="D412" s="26"/>
      <c r="F412" s="18"/>
    </row>
    <row r="413" ht="15.75" customHeight="1">
      <c r="A413" s="14"/>
      <c r="B413" s="25"/>
      <c r="C413" s="26"/>
      <c r="D413" s="26"/>
      <c r="F413" s="18"/>
    </row>
    <row r="414" ht="15.75" customHeight="1">
      <c r="A414" s="14"/>
      <c r="B414" s="25"/>
      <c r="C414" s="26"/>
      <c r="D414" s="26"/>
      <c r="F414" s="18"/>
    </row>
    <row r="415" ht="15.75" customHeight="1">
      <c r="A415" s="14"/>
      <c r="B415" s="25"/>
      <c r="C415" s="26"/>
      <c r="D415" s="26"/>
      <c r="F415" s="18"/>
    </row>
    <row r="416" ht="15.75" customHeight="1">
      <c r="A416" s="14"/>
      <c r="B416" s="25"/>
      <c r="C416" s="26"/>
      <c r="D416" s="26"/>
      <c r="F416" s="18"/>
    </row>
    <row r="417" ht="15.75" customHeight="1">
      <c r="A417" s="14"/>
      <c r="B417" s="25"/>
      <c r="C417" s="26"/>
      <c r="D417" s="26"/>
      <c r="F417" s="18"/>
    </row>
    <row r="418" ht="15.75" customHeight="1">
      <c r="A418" s="14"/>
      <c r="B418" s="25"/>
      <c r="C418" s="26"/>
      <c r="D418" s="26"/>
      <c r="F418" s="18"/>
    </row>
    <row r="419" ht="15.75" customHeight="1">
      <c r="A419" s="14"/>
      <c r="B419" s="25"/>
      <c r="C419" s="26"/>
      <c r="D419" s="26"/>
      <c r="F419" s="18"/>
    </row>
    <row r="420" ht="15.75" customHeight="1">
      <c r="A420" s="14"/>
      <c r="B420" s="25"/>
      <c r="C420" s="26"/>
      <c r="D420" s="26"/>
      <c r="F420" s="18"/>
    </row>
    <row r="421" ht="15.75" customHeight="1">
      <c r="A421" s="14"/>
      <c r="B421" s="25"/>
      <c r="C421" s="26"/>
      <c r="D421" s="26"/>
      <c r="F421" s="18"/>
    </row>
    <row r="422" ht="15.75" customHeight="1">
      <c r="A422" s="14"/>
      <c r="B422" s="25"/>
      <c r="C422" s="26"/>
      <c r="D422" s="26"/>
      <c r="F422" s="18"/>
    </row>
    <row r="423" ht="15.75" customHeight="1">
      <c r="A423" s="14"/>
      <c r="B423" s="25"/>
      <c r="C423" s="26"/>
      <c r="D423" s="26"/>
      <c r="F423" s="18"/>
    </row>
    <row r="424" ht="15.75" customHeight="1">
      <c r="A424" s="14"/>
      <c r="B424" s="25"/>
      <c r="C424" s="26"/>
      <c r="D424" s="26"/>
      <c r="F424" s="18"/>
    </row>
    <row r="425" ht="15.75" customHeight="1">
      <c r="A425" s="14"/>
      <c r="B425" s="25"/>
      <c r="C425" s="26"/>
      <c r="D425" s="26"/>
      <c r="F425" s="18"/>
    </row>
    <row r="426" ht="15.75" customHeight="1">
      <c r="A426" s="14"/>
      <c r="B426" s="25"/>
      <c r="C426" s="26"/>
      <c r="D426" s="26"/>
      <c r="F426" s="18"/>
    </row>
    <row r="427" ht="15.75" customHeight="1">
      <c r="A427" s="14"/>
      <c r="B427" s="25"/>
      <c r="C427" s="26"/>
      <c r="D427" s="26"/>
      <c r="F427" s="18"/>
    </row>
    <row r="428" ht="15.75" customHeight="1">
      <c r="A428" s="14"/>
      <c r="B428" s="25"/>
      <c r="C428" s="26"/>
      <c r="D428" s="26"/>
      <c r="F428" s="18"/>
    </row>
    <row r="429" ht="15.75" customHeight="1">
      <c r="A429" s="14"/>
      <c r="B429" s="25"/>
      <c r="C429" s="26"/>
      <c r="D429" s="26"/>
      <c r="F429" s="18"/>
    </row>
    <row r="430" ht="15.75" customHeight="1">
      <c r="A430" s="14"/>
      <c r="B430" s="25"/>
      <c r="C430" s="26"/>
      <c r="D430" s="26"/>
      <c r="F430" s="18"/>
    </row>
    <row r="431" ht="15.75" customHeight="1">
      <c r="A431" s="14"/>
      <c r="B431" s="25"/>
      <c r="C431" s="26"/>
      <c r="D431" s="26"/>
      <c r="F431" s="18"/>
    </row>
    <row r="432" ht="15.75" customHeight="1">
      <c r="A432" s="14"/>
      <c r="B432" s="25"/>
      <c r="C432" s="26"/>
      <c r="D432" s="26"/>
      <c r="F432" s="18"/>
    </row>
    <row r="433" ht="15.75" customHeight="1">
      <c r="A433" s="14"/>
      <c r="B433" s="25"/>
      <c r="C433" s="26"/>
      <c r="D433" s="26"/>
      <c r="F433" s="18"/>
    </row>
    <row r="434" ht="15.75" customHeight="1">
      <c r="A434" s="14"/>
      <c r="B434" s="25"/>
      <c r="C434" s="26"/>
      <c r="D434" s="26"/>
      <c r="F434" s="18"/>
    </row>
    <row r="435" ht="15.75" customHeight="1">
      <c r="A435" s="14"/>
      <c r="B435" s="25"/>
      <c r="C435" s="26"/>
      <c r="D435" s="26"/>
      <c r="F435" s="18"/>
    </row>
    <row r="436" ht="15.75" customHeight="1">
      <c r="A436" s="14"/>
      <c r="B436" s="25"/>
      <c r="C436" s="26"/>
      <c r="D436" s="26"/>
      <c r="F436" s="18"/>
    </row>
    <row r="437" ht="15.75" customHeight="1">
      <c r="A437" s="14"/>
      <c r="B437" s="25"/>
      <c r="C437" s="26"/>
      <c r="D437" s="26"/>
      <c r="F437" s="18"/>
    </row>
    <row r="438" ht="15.75" customHeight="1">
      <c r="A438" s="14"/>
      <c r="B438" s="25"/>
      <c r="C438" s="26"/>
      <c r="D438" s="26"/>
      <c r="F438" s="18"/>
    </row>
    <row r="439" ht="15.75" customHeight="1">
      <c r="A439" s="14"/>
      <c r="B439" s="25"/>
      <c r="C439" s="26"/>
      <c r="D439" s="26"/>
      <c r="F439" s="18"/>
    </row>
    <row r="440" ht="15.75" customHeight="1">
      <c r="A440" s="14"/>
      <c r="B440" s="25"/>
      <c r="C440" s="26"/>
      <c r="D440" s="26"/>
      <c r="F440" s="18"/>
    </row>
    <row r="441" ht="15.75" customHeight="1">
      <c r="A441" s="14"/>
      <c r="B441" s="25"/>
      <c r="C441" s="26"/>
      <c r="D441" s="26"/>
      <c r="F441" s="18"/>
    </row>
    <row r="442" ht="15.75" customHeight="1">
      <c r="A442" s="14"/>
      <c r="B442" s="25"/>
      <c r="C442" s="26"/>
      <c r="D442" s="26"/>
      <c r="F442" s="18"/>
    </row>
    <row r="443" ht="15.75" customHeight="1">
      <c r="A443" s="14"/>
      <c r="B443" s="25"/>
      <c r="C443" s="26"/>
      <c r="D443" s="26"/>
      <c r="F443" s="18"/>
    </row>
    <row r="444" ht="15.75" customHeight="1">
      <c r="A444" s="14"/>
      <c r="B444" s="25"/>
      <c r="C444" s="26"/>
      <c r="D444" s="26"/>
      <c r="F444" s="18"/>
    </row>
    <row r="445" ht="15.75" customHeight="1">
      <c r="A445" s="14"/>
      <c r="B445" s="25"/>
      <c r="C445" s="26"/>
      <c r="D445" s="26"/>
      <c r="F445" s="18"/>
    </row>
    <row r="446" ht="15.75" customHeight="1">
      <c r="A446" s="14"/>
      <c r="B446" s="25"/>
      <c r="C446" s="26"/>
      <c r="D446" s="26"/>
      <c r="F446" s="18"/>
    </row>
    <row r="447" ht="15.75" customHeight="1">
      <c r="A447" s="14"/>
      <c r="B447" s="25"/>
      <c r="C447" s="26"/>
      <c r="D447" s="26"/>
      <c r="F447" s="18"/>
    </row>
    <row r="448" ht="15.75" customHeight="1">
      <c r="A448" s="14"/>
      <c r="B448" s="25"/>
      <c r="C448" s="26"/>
      <c r="D448" s="26"/>
      <c r="F448" s="18"/>
    </row>
    <row r="449" ht="15.75" customHeight="1">
      <c r="A449" s="14"/>
      <c r="B449" s="25"/>
      <c r="C449" s="26"/>
      <c r="D449" s="26"/>
      <c r="F449" s="18"/>
    </row>
    <row r="450" ht="15.75" customHeight="1">
      <c r="A450" s="14"/>
      <c r="B450" s="25"/>
      <c r="C450" s="26"/>
      <c r="D450" s="26"/>
      <c r="F450" s="18"/>
    </row>
    <row r="451" ht="15.75" customHeight="1">
      <c r="A451" s="14"/>
      <c r="B451" s="25"/>
      <c r="C451" s="26"/>
      <c r="D451" s="26"/>
      <c r="F451" s="18"/>
    </row>
    <row r="452" ht="15.75" customHeight="1">
      <c r="A452" s="14"/>
      <c r="B452" s="25"/>
      <c r="C452" s="26"/>
      <c r="D452" s="26"/>
      <c r="F452" s="18"/>
    </row>
    <row r="453" ht="15.75" customHeight="1">
      <c r="A453" s="14"/>
      <c r="B453" s="25"/>
      <c r="C453" s="26"/>
      <c r="D453" s="26"/>
      <c r="F453" s="18"/>
    </row>
    <row r="454" ht="15.75" customHeight="1">
      <c r="A454" s="14"/>
      <c r="B454" s="25"/>
      <c r="C454" s="26"/>
      <c r="D454" s="26"/>
      <c r="F454" s="18"/>
    </row>
    <row r="455" ht="15.75" customHeight="1">
      <c r="A455" s="14"/>
      <c r="B455" s="25"/>
      <c r="C455" s="26"/>
      <c r="D455" s="26"/>
      <c r="F455" s="18"/>
    </row>
    <row r="456" ht="15.75" customHeight="1">
      <c r="A456" s="14"/>
      <c r="B456" s="25"/>
      <c r="C456" s="26"/>
      <c r="D456" s="26"/>
      <c r="F456" s="18"/>
    </row>
    <row r="457" ht="15.75" customHeight="1">
      <c r="A457" s="14"/>
      <c r="B457" s="25"/>
      <c r="C457" s="26"/>
      <c r="D457" s="26"/>
      <c r="F457" s="18"/>
    </row>
    <row r="458" ht="15.75" customHeight="1">
      <c r="A458" s="14"/>
      <c r="B458" s="25"/>
      <c r="C458" s="26"/>
      <c r="D458" s="26"/>
      <c r="F458" s="18"/>
    </row>
    <row r="459" ht="15.75" customHeight="1">
      <c r="A459" s="14"/>
      <c r="B459" s="25"/>
      <c r="C459" s="26"/>
      <c r="D459" s="26"/>
      <c r="F459" s="18"/>
    </row>
    <row r="460" ht="15.75" customHeight="1">
      <c r="A460" s="14"/>
      <c r="B460" s="25"/>
      <c r="C460" s="26"/>
      <c r="D460" s="26"/>
      <c r="F460" s="18"/>
    </row>
    <row r="461" ht="15.75" customHeight="1">
      <c r="A461" s="14"/>
      <c r="B461" s="25"/>
      <c r="C461" s="26"/>
      <c r="D461" s="26"/>
      <c r="F461" s="18"/>
    </row>
    <row r="462" ht="15.75" customHeight="1">
      <c r="A462" s="14"/>
      <c r="B462" s="25"/>
      <c r="C462" s="26"/>
      <c r="D462" s="26"/>
      <c r="F462" s="18"/>
    </row>
    <row r="463" ht="15.75" customHeight="1">
      <c r="A463" s="14"/>
      <c r="B463" s="25"/>
      <c r="C463" s="26"/>
      <c r="D463" s="26"/>
      <c r="F463" s="18"/>
    </row>
    <row r="464" ht="15.75" customHeight="1">
      <c r="A464" s="14"/>
      <c r="B464" s="25"/>
      <c r="C464" s="26"/>
      <c r="D464" s="26"/>
      <c r="F464" s="18"/>
    </row>
    <row r="465" ht="15.75" customHeight="1">
      <c r="A465" s="14"/>
      <c r="B465" s="25"/>
      <c r="C465" s="26"/>
      <c r="D465" s="26"/>
      <c r="F465" s="18"/>
    </row>
    <row r="466" ht="15.75" customHeight="1">
      <c r="A466" s="14"/>
      <c r="B466" s="25"/>
      <c r="C466" s="26"/>
      <c r="D466" s="26"/>
      <c r="F466" s="18"/>
    </row>
    <row r="467" ht="15.75" customHeight="1">
      <c r="A467" s="14"/>
      <c r="B467" s="25"/>
      <c r="C467" s="26"/>
      <c r="D467" s="26"/>
      <c r="F467" s="18"/>
    </row>
    <row r="468" ht="15.75" customHeight="1">
      <c r="A468" s="14"/>
      <c r="B468" s="25"/>
      <c r="C468" s="26"/>
      <c r="D468" s="26"/>
      <c r="F468" s="18"/>
    </row>
    <row r="469" ht="15.75" customHeight="1">
      <c r="A469" s="14"/>
      <c r="B469" s="25"/>
      <c r="C469" s="26"/>
      <c r="D469" s="26"/>
      <c r="F469" s="18"/>
    </row>
    <row r="470" ht="15.75" customHeight="1">
      <c r="A470" s="14"/>
      <c r="B470" s="25"/>
      <c r="C470" s="26"/>
      <c r="D470" s="26"/>
      <c r="F470" s="18"/>
    </row>
    <row r="471" ht="15.75" customHeight="1">
      <c r="A471" s="14"/>
      <c r="B471" s="25"/>
      <c r="C471" s="26"/>
      <c r="D471" s="26"/>
      <c r="F471" s="18"/>
    </row>
    <row r="472" ht="15.75" customHeight="1">
      <c r="A472" s="14"/>
      <c r="B472" s="25"/>
      <c r="C472" s="26"/>
      <c r="D472" s="26"/>
      <c r="F472" s="18"/>
    </row>
    <row r="473" ht="15.75" customHeight="1">
      <c r="A473" s="14"/>
      <c r="B473" s="25"/>
      <c r="C473" s="26"/>
      <c r="D473" s="26"/>
      <c r="F473" s="18"/>
    </row>
    <row r="474" ht="15.75" customHeight="1">
      <c r="A474" s="14"/>
      <c r="B474" s="25"/>
      <c r="C474" s="26"/>
      <c r="D474" s="26"/>
      <c r="F474" s="18"/>
    </row>
    <row r="475" ht="15.75" customHeight="1">
      <c r="A475" s="14"/>
      <c r="B475" s="25"/>
      <c r="C475" s="26"/>
      <c r="D475" s="26"/>
      <c r="F475" s="18"/>
    </row>
    <row r="476" ht="15.75" customHeight="1">
      <c r="A476" s="14"/>
      <c r="B476" s="25"/>
      <c r="C476" s="26"/>
      <c r="D476" s="26"/>
      <c r="F476" s="18"/>
    </row>
    <row r="477" ht="15.75" customHeight="1">
      <c r="A477" s="14"/>
      <c r="B477" s="25"/>
      <c r="C477" s="26"/>
      <c r="D477" s="26"/>
      <c r="F477" s="18"/>
    </row>
    <row r="478" ht="15.75" customHeight="1">
      <c r="A478" s="14"/>
      <c r="B478" s="25"/>
      <c r="C478" s="26"/>
      <c r="D478" s="26"/>
      <c r="F478" s="18"/>
    </row>
    <row r="479" ht="15.75" customHeight="1">
      <c r="A479" s="14"/>
      <c r="B479" s="25"/>
      <c r="C479" s="26"/>
      <c r="D479" s="26"/>
      <c r="F479" s="18"/>
    </row>
    <row r="480" ht="15.75" customHeight="1">
      <c r="A480" s="14"/>
      <c r="B480" s="25"/>
      <c r="C480" s="26"/>
      <c r="D480" s="26"/>
      <c r="F480" s="18"/>
    </row>
    <row r="481" ht="15.75" customHeight="1">
      <c r="A481" s="14"/>
      <c r="B481" s="25"/>
      <c r="C481" s="26"/>
      <c r="D481" s="26"/>
      <c r="F481" s="18"/>
    </row>
    <row r="482" ht="15.75" customHeight="1">
      <c r="A482" s="14"/>
      <c r="B482" s="25"/>
      <c r="C482" s="26"/>
      <c r="D482" s="26"/>
      <c r="F482" s="18"/>
    </row>
    <row r="483" ht="15.75" customHeight="1">
      <c r="A483" s="14"/>
      <c r="B483" s="25"/>
      <c r="C483" s="26"/>
      <c r="D483" s="26"/>
      <c r="F483" s="18"/>
    </row>
    <row r="484" ht="15.75" customHeight="1">
      <c r="A484" s="14"/>
      <c r="B484" s="25"/>
      <c r="C484" s="26"/>
      <c r="D484" s="26"/>
      <c r="F484" s="18"/>
    </row>
    <row r="485" ht="15.75" customHeight="1">
      <c r="A485" s="14"/>
      <c r="B485" s="25"/>
      <c r="C485" s="26"/>
      <c r="D485" s="26"/>
      <c r="F485" s="18"/>
    </row>
    <row r="486" ht="15.75" customHeight="1">
      <c r="A486" s="14"/>
      <c r="B486" s="25"/>
      <c r="C486" s="26"/>
      <c r="D486" s="26"/>
      <c r="F486" s="18"/>
    </row>
    <row r="487" ht="15.75" customHeight="1">
      <c r="A487" s="14"/>
      <c r="B487" s="25"/>
      <c r="C487" s="26"/>
      <c r="D487" s="26"/>
      <c r="F487" s="18"/>
    </row>
    <row r="488" ht="15.75" customHeight="1">
      <c r="A488" s="14"/>
      <c r="B488" s="25"/>
      <c r="C488" s="26"/>
      <c r="D488" s="26"/>
      <c r="F488" s="18"/>
    </row>
    <row r="489" ht="15.75" customHeight="1">
      <c r="A489" s="14"/>
      <c r="B489" s="25"/>
      <c r="C489" s="26"/>
      <c r="D489" s="26"/>
      <c r="F489" s="18"/>
    </row>
    <row r="490" ht="15.75" customHeight="1">
      <c r="A490" s="14"/>
      <c r="B490" s="25"/>
      <c r="C490" s="26"/>
      <c r="D490" s="26"/>
      <c r="F490" s="18"/>
    </row>
    <row r="491" ht="15.75" customHeight="1">
      <c r="A491" s="14"/>
      <c r="B491" s="25"/>
      <c r="C491" s="26"/>
      <c r="D491" s="26"/>
      <c r="F491" s="18"/>
    </row>
    <row r="492" ht="15.75" customHeight="1">
      <c r="A492" s="14"/>
      <c r="B492" s="25"/>
      <c r="C492" s="26"/>
      <c r="D492" s="26"/>
      <c r="F492" s="18"/>
    </row>
    <row r="493" ht="15.75" customHeight="1">
      <c r="A493" s="14"/>
      <c r="B493" s="25"/>
      <c r="C493" s="26"/>
      <c r="D493" s="26"/>
      <c r="F493" s="18"/>
    </row>
    <row r="494" ht="15.75" customHeight="1">
      <c r="A494" s="14"/>
      <c r="B494" s="25"/>
      <c r="C494" s="26"/>
      <c r="D494" s="26"/>
      <c r="F494" s="18"/>
    </row>
    <row r="495" ht="15.75" customHeight="1">
      <c r="A495" s="14"/>
      <c r="B495" s="25"/>
      <c r="C495" s="26"/>
      <c r="D495" s="26"/>
      <c r="F495" s="18"/>
    </row>
    <row r="496" ht="15.75" customHeight="1">
      <c r="A496" s="14"/>
      <c r="B496" s="25"/>
      <c r="C496" s="26"/>
      <c r="D496" s="26"/>
      <c r="F496" s="18"/>
    </row>
    <row r="497" ht="15.75" customHeight="1">
      <c r="A497" s="14"/>
      <c r="B497" s="25"/>
      <c r="C497" s="26"/>
      <c r="D497" s="26"/>
      <c r="F497" s="18"/>
    </row>
    <row r="498" ht="15.75" customHeight="1">
      <c r="A498" s="14"/>
      <c r="B498" s="25"/>
      <c r="C498" s="26"/>
      <c r="D498" s="26"/>
      <c r="F498" s="18"/>
    </row>
    <row r="499" ht="15.75" customHeight="1">
      <c r="A499" s="14"/>
      <c r="B499" s="25"/>
      <c r="C499" s="26"/>
      <c r="D499" s="26"/>
      <c r="F499" s="18"/>
    </row>
    <row r="500" ht="15.75" customHeight="1">
      <c r="A500" s="14"/>
      <c r="B500" s="25"/>
      <c r="C500" s="26"/>
      <c r="D500" s="26"/>
      <c r="F500" s="18"/>
    </row>
    <row r="501" ht="15.75" customHeight="1">
      <c r="A501" s="14"/>
      <c r="B501" s="25"/>
      <c r="C501" s="26"/>
      <c r="D501" s="26"/>
      <c r="F501" s="18"/>
    </row>
    <row r="502" ht="15.75" customHeight="1">
      <c r="A502" s="14"/>
      <c r="B502" s="25"/>
      <c r="C502" s="26"/>
      <c r="D502" s="26"/>
      <c r="F502" s="18"/>
    </row>
    <row r="503" ht="15.75" customHeight="1">
      <c r="A503" s="14"/>
      <c r="B503" s="25"/>
      <c r="C503" s="26"/>
      <c r="D503" s="26"/>
      <c r="F503" s="18"/>
    </row>
    <row r="504" ht="15.75" customHeight="1">
      <c r="A504" s="14"/>
      <c r="B504" s="25"/>
      <c r="C504" s="26"/>
      <c r="D504" s="26"/>
      <c r="F504" s="18"/>
    </row>
    <row r="505" ht="15.75" customHeight="1">
      <c r="A505" s="14"/>
      <c r="B505" s="25"/>
      <c r="C505" s="26"/>
      <c r="D505" s="26"/>
      <c r="F505" s="18"/>
    </row>
    <row r="506" ht="15.75" customHeight="1">
      <c r="A506" s="14"/>
      <c r="B506" s="25"/>
      <c r="C506" s="26"/>
      <c r="D506" s="26"/>
      <c r="F506" s="18"/>
    </row>
    <row r="507" ht="15.75" customHeight="1">
      <c r="A507" s="14"/>
      <c r="B507" s="25"/>
      <c r="C507" s="26"/>
      <c r="D507" s="26"/>
      <c r="F507" s="18"/>
    </row>
    <row r="508" ht="15.75" customHeight="1">
      <c r="A508" s="14"/>
      <c r="B508" s="25"/>
      <c r="C508" s="26"/>
      <c r="D508" s="26"/>
      <c r="F508" s="18"/>
    </row>
    <row r="509" ht="15.75" customHeight="1">
      <c r="A509" s="14"/>
      <c r="B509" s="25"/>
      <c r="C509" s="26"/>
      <c r="D509" s="26"/>
      <c r="F509" s="18"/>
    </row>
    <row r="510" ht="15.75" customHeight="1">
      <c r="A510" s="14"/>
      <c r="B510" s="25"/>
      <c r="C510" s="26"/>
      <c r="D510" s="26"/>
      <c r="F510" s="18"/>
    </row>
    <row r="511" ht="15.75" customHeight="1">
      <c r="A511" s="14"/>
      <c r="B511" s="25"/>
      <c r="C511" s="26"/>
      <c r="D511" s="26"/>
      <c r="F511" s="18"/>
    </row>
    <row r="512" ht="15.75" customHeight="1">
      <c r="A512" s="14"/>
      <c r="B512" s="25"/>
      <c r="C512" s="26"/>
      <c r="D512" s="26"/>
      <c r="F512" s="18"/>
    </row>
    <row r="513" ht="15.75" customHeight="1">
      <c r="A513" s="14"/>
      <c r="B513" s="25"/>
      <c r="C513" s="26"/>
      <c r="D513" s="26"/>
      <c r="F513" s="18"/>
    </row>
    <row r="514" ht="15.75" customHeight="1">
      <c r="A514" s="14"/>
      <c r="B514" s="25"/>
      <c r="C514" s="26"/>
      <c r="D514" s="26"/>
      <c r="F514" s="18"/>
    </row>
    <row r="515" ht="15.75" customHeight="1">
      <c r="A515" s="14"/>
      <c r="B515" s="25"/>
      <c r="C515" s="26"/>
      <c r="D515" s="26"/>
      <c r="F515" s="18"/>
    </row>
    <row r="516" ht="15.75" customHeight="1">
      <c r="A516" s="14"/>
      <c r="B516" s="25"/>
      <c r="C516" s="26"/>
      <c r="D516" s="26"/>
      <c r="F516" s="18"/>
    </row>
    <row r="517" ht="15.75" customHeight="1">
      <c r="A517" s="14"/>
      <c r="B517" s="25"/>
      <c r="C517" s="26"/>
      <c r="D517" s="26"/>
      <c r="F517" s="18"/>
    </row>
    <row r="518" ht="15.75" customHeight="1">
      <c r="A518" s="14"/>
      <c r="B518" s="25"/>
      <c r="C518" s="26"/>
      <c r="D518" s="26"/>
      <c r="F518" s="18"/>
    </row>
    <row r="519" ht="15.75" customHeight="1">
      <c r="A519" s="14"/>
      <c r="B519" s="25"/>
      <c r="C519" s="26"/>
      <c r="D519" s="26"/>
      <c r="F519" s="18"/>
    </row>
    <row r="520" ht="15.75" customHeight="1">
      <c r="A520" s="14"/>
      <c r="B520" s="25"/>
      <c r="C520" s="26"/>
      <c r="D520" s="26"/>
      <c r="F520" s="18"/>
    </row>
    <row r="521" ht="15.75" customHeight="1">
      <c r="A521" s="14"/>
      <c r="B521" s="25"/>
      <c r="C521" s="26"/>
      <c r="D521" s="26"/>
      <c r="F521" s="18"/>
    </row>
    <row r="522" ht="15.75" customHeight="1">
      <c r="A522" s="14"/>
      <c r="B522" s="25"/>
      <c r="C522" s="26"/>
      <c r="D522" s="26"/>
      <c r="F522" s="18"/>
    </row>
    <row r="523" ht="15.75" customHeight="1">
      <c r="A523" s="14"/>
      <c r="B523" s="25"/>
      <c r="C523" s="26"/>
      <c r="D523" s="26"/>
      <c r="F523" s="18"/>
    </row>
    <row r="524" ht="15.75" customHeight="1">
      <c r="A524" s="14"/>
      <c r="B524" s="25"/>
      <c r="C524" s="26"/>
      <c r="D524" s="26"/>
      <c r="F524" s="18"/>
    </row>
    <row r="525" ht="15.75" customHeight="1">
      <c r="A525" s="14"/>
      <c r="B525" s="25"/>
      <c r="C525" s="26"/>
      <c r="D525" s="26"/>
      <c r="F525" s="18"/>
    </row>
    <row r="526" ht="15.75" customHeight="1">
      <c r="A526" s="14"/>
      <c r="B526" s="25"/>
      <c r="C526" s="26"/>
      <c r="D526" s="26"/>
      <c r="F526" s="18"/>
    </row>
    <row r="527" ht="15.75" customHeight="1">
      <c r="A527" s="14"/>
      <c r="B527" s="25"/>
      <c r="C527" s="26"/>
      <c r="D527" s="26"/>
      <c r="F527" s="18"/>
    </row>
    <row r="528" ht="15.75" customHeight="1">
      <c r="A528" s="14"/>
      <c r="B528" s="25"/>
      <c r="C528" s="26"/>
      <c r="D528" s="26"/>
      <c r="F528" s="18"/>
    </row>
    <row r="529" ht="15.75" customHeight="1">
      <c r="A529" s="14"/>
      <c r="B529" s="25"/>
      <c r="C529" s="26"/>
      <c r="D529" s="26"/>
      <c r="F529" s="18"/>
    </row>
    <row r="530" ht="15.75" customHeight="1">
      <c r="A530" s="14"/>
      <c r="B530" s="25"/>
      <c r="C530" s="26"/>
      <c r="D530" s="26"/>
      <c r="F530" s="18"/>
    </row>
    <row r="531" ht="15.75" customHeight="1">
      <c r="A531" s="14"/>
      <c r="B531" s="25"/>
      <c r="C531" s="26"/>
      <c r="D531" s="26"/>
      <c r="F531" s="18"/>
    </row>
    <row r="532" ht="15.75" customHeight="1">
      <c r="A532" s="14"/>
      <c r="B532" s="25"/>
      <c r="C532" s="26"/>
      <c r="D532" s="26"/>
      <c r="F532" s="18"/>
    </row>
    <row r="533" ht="15.75" customHeight="1">
      <c r="A533" s="14"/>
      <c r="B533" s="25"/>
      <c r="C533" s="26"/>
      <c r="D533" s="26"/>
      <c r="F533" s="18"/>
    </row>
    <row r="534" ht="15.75" customHeight="1">
      <c r="A534" s="14"/>
      <c r="B534" s="25"/>
      <c r="C534" s="26"/>
      <c r="D534" s="26"/>
      <c r="F534" s="18"/>
    </row>
    <row r="535" ht="15.75" customHeight="1">
      <c r="A535" s="14"/>
      <c r="B535" s="25"/>
      <c r="C535" s="26"/>
      <c r="D535" s="26"/>
      <c r="F535" s="18"/>
    </row>
    <row r="536" ht="15.75" customHeight="1">
      <c r="A536" s="14"/>
      <c r="B536" s="25"/>
      <c r="C536" s="26"/>
      <c r="D536" s="26"/>
      <c r="F536" s="18"/>
    </row>
    <row r="537" ht="15.75" customHeight="1">
      <c r="A537" s="14"/>
      <c r="B537" s="25"/>
      <c r="C537" s="26"/>
      <c r="D537" s="26"/>
      <c r="F537" s="18"/>
    </row>
    <row r="538" ht="15.75" customHeight="1">
      <c r="A538" s="14"/>
      <c r="B538" s="25"/>
      <c r="C538" s="26"/>
      <c r="D538" s="26"/>
      <c r="F538" s="18"/>
    </row>
    <row r="539" ht="15.75" customHeight="1">
      <c r="A539" s="14"/>
      <c r="B539" s="25"/>
      <c r="C539" s="26"/>
      <c r="D539" s="26"/>
      <c r="F539" s="18"/>
    </row>
    <row r="540" ht="15.75" customHeight="1">
      <c r="A540" s="14"/>
      <c r="B540" s="25"/>
      <c r="C540" s="26"/>
      <c r="D540" s="26"/>
    </row>
    <row r="541" ht="15.75" customHeight="1">
      <c r="A541" s="14"/>
      <c r="B541" s="25"/>
      <c r="C541" s="26"/>
      <c r="D541" s="26"/>
    </row>
    <row r="542" ht="15.75" customHeight="1">
      <c r="A542" s="14"/>
      <c r="B542" s="25"/>
      <c r="C542" s="26"/>
      <c r="D542" s="26"/>
    </row>
    <row r="543" ht="15.75" customHeight="1">
      <c r="A543" s="14"/>
      <c r="B543" s="25"/>
      <c r="C543" s="26"/>
      <c r="D543" s="26"/>
    </row>
    <row r="544" ht="15.75" customHeight="1">
      <c r="A544" s="14"/>
      <c r="B544" s="25"/>
      <c r="C544" s="26"/>
      <c r="D544" s="26"/>
    </row>
    <row r="545" ht="15.75" customHeight="1">
      <c r="A545" s="14"/>
      <c r="B545" s="25"/>
      <c r="C545" s="26"/>
      <c r="D545" s="26"/>
    </row>
    <row r="546" ht="15.75" customHeight="1">
      <c r="A546" s="14"/>
      <c r="B546" s="25"/>
      <c r="C546" s="26"/>
      <c r="D546" s="26"/>
    </row>
    <row r="547" ht="15.75" customHeight="1">
      <c r="A547" s="14"/>
      <c r="B547" s="25"/>
      <c r="C547" s="26"/>
      <c r="D547" s="26"/>
    </row>
    <row r="548" ht="15.75" customHeight="1">
      <c r="A548" s="14"/>
      <c r="B548" s="25"/>
      <c r="C548" s="26"/>
      <c r="D548" s="26"/>
    </row>
    <row r="549" ht="15.75" customHeight="1">
      <c r="A549" s="14"/>
      <c r="B549" s="25"/>
      <c r="C549" s="26"/>
      <c r="D549" s="26"/>
    </row>
    <row r="550" ht="15.75" customHeight="1">
      <c r="A550" s="14"/>
      <c r="B550" s="25"/>
      <c r="C550" s="26"/>
      <c r="D550" s="26"/>
    </row>
    <row r="551" ht="15.75" customHeight="1">
      <c r="A551" s="14"/>
      <c r="B551" s="25"/>
      <c r="C551" s="26"/>
      <c r="D551" s="26"/>
    </row>
    <row r="552" ht="15.75" customHeight="1">
      <c r="A552" s="14"/>
      <c r="B552" s="25"/>
      <c r="C552" s="26"/>
      <c r="D552" s="26"/>
    </row>
    <row r="553" ht="15.75" customHeight="1">
      <c r="A553" s="14"/>
      <c r="B553" s="25"/>
      <c r="C553" s="26"/>
      <c r="D553" s="26"/>
    </row>
    <row r="554" ht="15.75" customHeight="1">
      <c r="A554" s="14"/>
      <c r="B554" s="25"/>
      <c r="C554" s="26"/>
      <c r="D554" s="26"/>
    </row>
    <row r="555" ht="15.75" customHeight="1">
      <c r="A555" s="14"/>
      <c r="B555" s="25"/>
      <c r="C555" s="26"/>
      <c r="D555" s="26"/>
    </row>
    <row r="556" ht="15.75" customHeight="1">
      <c r="A556" s="14"/>
      <c r="B556" s="25"/>
      <c r="C556" s="26"/>
      <c r="D556" s="26"/>
    </row>
    <row r="557" ht="15.75" customHeight="1">
      <c r="A557" s="14"/>
      <c r="B557" s="25"/>
      <c r="C557" s="26"/>
      <c r="D557" s="26"/>
    </row>
    <row r="558" ht="15.75" customHeight="1">
      <c r="A558" s="14"/>
      <c r="B558" s="25"/>
      <c r="C558" s="26"/>
      <c r="D558" s="26"/>
    </row>
    <row r="559" ht="15.75" customHeight="1">
      <c r="A559" s="14"/>
      <c r="B559" s="25"/>
      <c r="C559" s="26"/>
      <c r="D559" s="26"/>
    </row>
    <row r="560" ht="15.75" customHeight="1">
      <c r="A560" s="14"/>
      <c r="B560" s="25"/>
      <c r="C560" s="26"/>
      <c r="D560" s="26"/>
    </row>
    <row r="561" ht="15.75" customHeight="1">
      <c r="A561" s="14"/>
      <c r="B561" s="25"/>
      <c r="C561" s="26"/>
      <c r="D561" s="26"/>
    </row>
    <row r="562" ht="15.75" customHeight="1">
      <c r="A562" s="14"/>
      <c r="B562" s="25"/>
      <c r="C562" s="26"/>
      <c r="D562" s="26"/>
    </row>
    <row r="563" ht="15.75" customHeight="1">
      <c r="A563" s="14"/>
      <c r="B563" s="25"/>
      <c r="C563" s="26"/>
      <c r="D563" s="26"/>
    </row>
    <row r="564" ht="15.75" customHeight="1">
      <c r="A564" s="14"/>
      <c r="B564" s="25"/>
      <c r="C564" s="26"/>
      <c r="D564" s="26"/>
    </row>
    <row r="565" ht="15.75" customHeight="1">
      <c r="A565" s="14"/>
      <c r="B565" s="25"/>
      <c r="C565" s="26"/>
      <c r="D565" s="26"/>
    </row>
    <row r="566" ht="15.75" customHeight="1">
      <c r="A566" s="14"/>
      <c r="B566" s="25"/>
      <c r="C566" s="26"/>
      <c r="D566" s="26"/>
    </row>
    <row r="567" ht="15.75" customHeight="1">
      <c r="A567" s="14"/>
      <c r="B567" s="25"/>
      <c r="C567" s="26"/>
      <c r="D567" s="26"/>
    </row>
    <row r="568" ht="15.75" customHeight="1">
      <c r="A568" s="14"/>
      <c r="B568" s="25"/>
      <c r="C568" s="26"/>
      <c r="D568" s="26"/>
    </row>
    <row r="569" ht="15.75" customHeight="1">
      <c r="A569" s="14"/>
      <c r="B569" s="25"/>
      <c r="C569" s="26"/>
      <c r="D569" s="26"/>
    </row>
    <row r="570" ht="15.75" customHeight="1">
      <c r="A570" s="14"/>
      <c r="B570" s="25"/>
      <c r="C570" s="26"/>
      <c r="D570" s="26"/>
    </row>
    <row r="571" ht="15.75" customHeight="1">
      <c r="A571" s="14"/>
      <c r="B571" s="25"/>
      <c r="C571" s="26"/>
      <c r="D571" s="26"/>
    </row>
    <row r="572" ht="15.75" customHeight="1">
      <c r="A572" s="14"/>
      <c r="B572" s="25"/>
      <c r="C572" s="26"/>
      <c r="D572" s="26"/>
    </row>
    <row r="573" ht="15.75" customHeight="1">
      <c r="A573" s="14"/>
      <c r="B573" s="25"/>
      <c r="C573" s="26"/>
      <c r="D573" s="26"/>
    </row>
    <row r="574" ht="15.75" customHeight="1">
      <c r="A574" s="14"/>
      <c r="B574" s="25"/>
      <c r="C574" s="26"/>
      <c r="D574" s="26"/>
    </row>
    <row r="575" ht="15.75" customHeight="1">
      <c r="A575" s="14"/>
      <c r="B575" s="25"/>
      <c r="C575" s="26"/>
      <c r="D575" s="26"/>
    </row>
    <row r="576" ht="15.75" customHeight="1">
      <c r="A576" s="14"/>
      <c r="B576" s="25"/>
      <c r="C576" s="26"/>
      <c r="D576" s="26"/>
    </row>
    <row r="577" ht="15.75" customHeight="1">
      <c r="A577" s="14"/>
      <c r="B577" s="25"/>
      <c r="C577" s="26"/>
      <c r="D577" s="26"/>
    </row>
    <row r="578" ht="15.75" customHeight="1">
      <c r="A578" s="14"/>
      <c r="B578" s="25"/>
      <c r="C578" s="26"/>
      <c r="D578" s="26"/>
    </row>
    <row r="579" ht="15.75" customHeight="1">
      <c r="A579" s="14"/>
      <c r="B579" s="25"/>
      <c r="C579" s="26"/>
      <c r="D579" s="26"/>
    </row>
    <row r="580" ht="15.75" customHeight="1">
      <c r="A580" s="14"/>
      <c r="B580" s="25"/>
      <c r="C580" s="26"/>
      <c r="D580" s="26"/>
    </row>
    <row r="581" ht="15.75" customHeight="1">
      <c r="A581" s="14"/>
      <c r="B581" s="25"/>
      <c r="C581" s="26"/>
      <c r="D581" s="26"/>
    </row>
    <row r="582" ht="15.75" customHeight="1">
      <c r="A582" s="14"/>
      <c r="B582" s="25"/>
      <c r="C582" s="26"/>
      <c r="D582" s="26"/>
    </row>
    <row r="583" ht="15.75" customHeight="1">
      <c r="A583" s="14"/>
      <c r="B583" s="25"/>
      <c r="C583" s="26"/>
      <c r="D583" s="26"/>
    </row>
    <row r="584" ht="15.75" customHeight="1">
      <c r="A584" s="14"/>
      <c r="B584" s="25"/>
      <c r="C584" s="26"/>
      <c r="D584" s="26"/>
    </row>
    <row r="585" ht="15.75" customHeight="1">
      <c r="A585" s="14"/>
      <c r="B585" s="25"/>
      <c r="C585" s="26"/>
      <c r="D585" s="26"/>
    </row>
    <row r="586" ht="15.75" customHeight="1">
      <c r="A586" s="14"/>
      <c r="B586" s="25"/>
      <c r="C586" s="26"/>
      <c r="D586" s="26"/>
    </row>
    <row r="587" ht="15.75" customHeight="1">
      <c r="A587" s="14"/>
      <c r="B587" s="25"/>
      <c r="C587" s="26"/>
      <c r="D587" s="26"/>
    </row>
    <row r="588" ht="15.75" customHeight="1">
      <c r="A588" s="14"/>
      <c r="B588" s="25"/>
      <c r="C588" s="26"/>
      <c r="D588" s="26"/>
    </row>
    <row r="589" ht="15.75" customHeight="1">
      <c r="A589" s="14"/>
      <c r="B589" s="25"/>
      <c r="C589" s="26"/>
      <c r="D589" s="26"/>
    </row>
    <row r="590" ht="15.75" customHeight="1">
      <c r="A590" s="14"/>
      <c r="B590" s="25"/>
      <c r="C590" s="26"/>
      <c r="D590" s="26"/>
    </row>
    <row r="591" ht="15.75" customHeight="1">
      <c r="A591" s="14"/>
      <c r="B591" s="25"/>
      <c r="C591" s="26"/>
      <c r="D591" s="26"/>
    </row>
    <row r="592" ht="15.75" customHeight="1">
      <c r="A592" s="14"/>
      <c r="B592" s="25"/>
      <c r="C592" s="26"/>
      <c r="D592" s="26"/>
    </row>
    <row r="593" ht="15.75" customHeight="1">
      <c r="A593" s="14"/>
      <c r="B593" s="25"/>
      <c r="C593" s="26"/>
      <c r="D593" s="26"/>
    </row>
    <row r="594" ht="15.75" customHeight="1">
      <c r="A594" s="14"/>
      <c r="B594" s="25"/>
      <c r="C594" s="26"/>
      <c r="D594" s="26"/>
    </row>
    <row r="595" ht="15.75" customHeight="1">
      <c r="A595" s="14"/>
      <c r="B595" s="25"/>
      <c r="C595" s="26"/>
      <c r="D595" s="26"/>
    </row>
    <row r="596" ht="15.75" customHeight="1">
      <c r="A596" s="14"/>
      <c r="B596" s="25"/>
      <c r="C596" s="26"/>
      <c r="D596" s="26"/>
    </row>
    <row r="597" ht="15.75" customHeight="1">
      <c r="A597" s="14"/>
      <c r="B597" s="25"/>
      <c r="C597" s="26"/>
      <c r="D597" s="26"/>
    </row>
    <row r="598" ht="15.75" customHeight="1">
      <c r="A598" s="14"/>
      <c r="B598" s="25"/>
      <c r="C598" s="26"/>
      <c r="D598" s="26"/>
    </row>
    <row r="599" ht="15.75" customHeight="1">
      <c r="A599" s="14"/>
      <c r="B599" s="25"/>
      <c r="C599" s="26"/>
      <c r="D599" s="26"/>
    </row>
    <row r="600" ht="15.75" customHeight="1">
      <c r="A600" s="14"/>
      <c r="B600" s="25"/>
      <c r="C600" s="26"/>
      <c r="D600" s="26"/>
    </row>
    <row r="601" ht="15.75" customHeight="1">
      <c r="A601" s="14"/>
      <c r="B601" s="25"/>
      <c r="C601" s="26"/>
      <c r="D601" s="26"/>
    </row>
    <row r="602" ht="15.75" customHeight="1">
      <c r="A602" s="14"/>
      <c r="B602" s="25"/>
      <c r="C602" s="26"/>
      <c r="D602" s="26"/>
    </row>
    <row r="603" ht="15.75" customHeight="1">
      <c r="A603" s="14"/>
      <c r="B603" s="25"/>
      <c r="C603" s="26"/>
      <c r="D603" s="26"/>
    </row>
    <row r="604" ht="15.75" customHeight="1">
      <c r="A604" s="14"/>
      <c r="B604" s="25"/>
      <c r="C604" s="26"/>
      <c r="D604" s="26"/>
    </row>
    <row r="605" ht="15.75" customHeight="1">
      <c r="A605" s="14"/>
      <c r="B605" s="25"/>
      <c r="C605" s="26"/>
      <c r="D605" s="26"/>
    </row>
    <row r="606" ht="15.75" customHeight="1">
      <c r="A606" s="14"/>
      <c r="B606" s="25"/>
      <c r="C606" s="26"/>
      <c r="D606" s="26"/>
    </row>
    <row r="607" ht="15.75" customHeight="1">
      <c r="A607" s="14"/>
      <c r="B607" s="25"/>
      <c r="C607" s="26"/>
      <c r="D607" s="26"/>
    </row>
    <row r="608" ht="15.75" customHeight="1">
      <c r="A608" s="14"/>
      <c r="B608" s="25"/>
      <c r="C608" s="26"/>
      <c r="D608" s="26"/>
    </row>
    <row r="609" ht="15.75" customHeight="1">
      <c r="A609" s="14"/>
      <c r="B609" s="25"/>
      <c r="C609" s="26"/>
      <c r="D609" s="26"/>
    </row>
    <row r="610" ht="15.75" customHeight="1">
      <c r="A610" s="14"/>
      <c r="B610" s="25"/>
      <c r="C610" s="26"/>
      <c r="D610" s="26"/>
    </row>
    <row r="611" ht="15.75" customHeight="1">
      <c r="A611" s="14"/>
      <c r="B611" s="25"/>
      <c r="C611" s="26"/>
      <c r="D611" s="26"/>
    </row>
    <row r="612" ht="15.75" customHeight="1">
      <c r="A612" s="14"/>
      <c r="B612" s="25"/>
      <c r="C612" s="26"/>
      <c r="D612" s="26"/>
    </row>
    <row r="613" ht="15.75" customHeight="1">
      <c r="A613" s="14"/>
      <c r="B613" s="25"/>
      <c r="C613" s="26"/>
      <c r="D613" s="26"/>
    </row>
    <row r="614" ht="15.75" customHeight="1">
      <c r="A614" s="14"/>
      <c r="B614" s="25"/>
      <c r="C614" s="26"/>
      <c r="D614" s="26"/>
    </row>
    <row r="615" ht="15.75" customHeight="1">
      <c r="A615" s="14"/>
      <c r="B615" s="25"/>
      <c r="C615" s="26"/>
      <c r="D615" s="26"/>
    </row>
    <row r="616" ht="15.75" customHeight="1">
      <c r="A616" s="14"/>
      <c r="B616" s="25"/>
      <c r="C616" s="26"/>
      <c r="D616" s="26"/>
    </row>
    <row r="617" ht="15.75" customHeight="1">
      <c r="A617" s="14"/>
      <c r="B617" s="25"/>
      <c r="C617" s="26"/>
      <c r="D617" s="26"/>
    </row>
    <row r="618" ht="15.75" customHeight="1">
      <c r="A618" s="14"/>
      <c r="B618" s="25"/>
      <c r="C618" s="26"/>
      <c r="D618" s="26"/>
    </row>
    <row r="619" ht="15.75" customHeight="1">
      <c r="A619" s="14"/>
      <c r="B619" s="25"/>
      <c r="C619" s="26"/>
      <c r="D619" s="26"/>
    </row>
    <row r="620" ht="15.75" customHeight="1">
      <c r="A620" s="14"/>
      <c r="B620" s="25"/>
      <c r="C620" s="26"/>
      <c r="D620" s="26"/>
    </row>
    <row r="621" ht="15.75" customHeight="1">
      <c r="A621" s="14"/>
      <c r="B621" s="25"/>
      <c r="C621" s="26"/>
      <c r="D621" s="26"/>
    </row>
    <row r="622" ht="15.75" customHeight="1">
      <c r="A622" s="14"/>
      <c r="B622" s="25"/>
      <c r="C622" s="26"/>
      <c r="D622" s="26"/>
    </row>
    <row r="623" ht="15.75" customHeight="1">
      <c r="A623" s="14"/>
      <c r="B623" s="25"/>
      <c r="C623" s="26"/>
      <c r="D623" s="26"/>
    </row>
    <row r="624" ht="15.75" customHeight="1">
      <c r="A624" s="14"/>
      <c r="B624" s="25"/>
      <c r="C624" s="26"/>
      <c r="D624" s="26"/>
    </row>
    <row r="625" ht="15.75" customHeight="1">
      <c r="A625" s="14"/>
      <c r="B625" s="25"/>
      <c r="C625" s="26"/>
      <c r="D625" s="26"/>
    </row>
    <row r="626" ht="15.75" customHeight="1">
      <c r="A626" s="14"/>
      <c r="B626" s="25"/>
      <c r="C626" s="26"/>
      <c r="D626" s="26"/>
    </row>
    <row r="627" ht="15.75" customHeight="1">
      <c r="A627" s="14"/>
      <c r="B627" s="25"/>
      <c r="C627" s="26"/>
      <c r="D627" s="26"/>
    </row>
    <row r="628" ht="15.75" customHeight="1">
      <c r="A628" s="14"/>
      <c r="B628" s="25"/>
      <c r="C628" s="26"/>
      <c r="D628" s="26"/>
    </row>
    <row r="629" ht="15.75" customHeight="1">
      <c r="A629" s="14"/>
      <c r="B629" s="25"/>
      <c r="C629" s="26"/>
      <c r="D629" s="26"/>
    </row>
    <row r="630" ht="15.75" customHeight="1">
      <c r="A630" s="14"/>
      <c r="B630" s="25"/>
      <c r="C630" s="26"/>
      <c r="D630" s="26"/>
    </row>
    <row r="631" ht="15.75" customHeight="1">
      <c r="A631" s="14"/>
      <c r="B631" s="25"/>
      <c r="C631" s="26"/>
      <c r="D631" s="26"/>
    </row>
    <row r="632" ht="15.75" customHeight="1">
      <c r="A632" s="14"/>
      <c r="B632" s="25"/>
      <c r="C632" s="26"/>
      <c r="D632" s="26"/>
    </row>
    <row r="633" ht="15.75" customHeight="1">
      <c r="A633" s="14"/>
      <c r="B633" s="25"/>
      <c r="C633" s="26"/>
      <c r="D633" s="26"/>
    </row>
    <row r="634" ht="15.75" customHeight="1">
      <c r="A634" s="14"/>
      <c r="B634" s="25"/>
      <c r="C634" s="26"/>
      <c r="D634" s="26"/>
    </row>
    <row r="635" ht="15.75" customHeight="1">
      <c r="A635" s="14"/>
      <c r="B635" s="25"/>
      <c r="C635" s="26"/>
      <c r="D635" s="26"/>
    </row>
    <row r="636" ht="15.75" customHeight="1">
      <c r="A636" s="14"/>
      <c r="B636" s="25"/>
      <c r="C636" s="26"/>
      <c r="D636" s="26"/>
    </row>
    <row r="637" ht="15.75" customHeight="1">
      <c r="A637" s="14"/>
      <c r="B637" s="25"/>
      <c r="C637" s="26"/>
      <c r="D637" s="26"/>
    </row>
    <row r="638" ht="15.75" customHeight="1">
      <c r="A638" s="14"/>
      <c r="B638" s="25"/>
      <c r="C638" s="26"/>
      <c r="D638" s="26"/>
    </row>
    <row r="639" ht="15.75" customHeight="1">
      <c r="A639" s="14"/>
      <c r="B639" s="25"/>
      <c r="C639" s="26"/>
      <c r="D639" s="26"/>
    </row>
    <row r="640" ht="15.75" customHeight="1">
      <c r="A640" s="14"/>
      <c r="B640" s="25"/>
      <c r="C640" s="26"/>
      <c r="D640" s="26"/>
    </row>
    <row r="641" ht="15.75" customHeight="1">
      <c r="A641" s="14"/>
      <c r="B641" s="25"/>
      <c r="C641" s="26"/>
      <c r="D641" s="26"/>
    </row>
    <row r="642" ht="15.75" customHeight="1">
      <c r="A642" s="14"/>
      <c r="B642" s="25"/>
      <c r="C642" s="26"/>
      <c r="D642" s="26"/>
    </row>
    <row r="643" ht="15.75" customHeight="1">
      <c r="A643" s="14"/>
      <c r="B643" s="25"/>
      <c r="C643" s="26"/>
      <c r="D643" s="26"/>
    </row>
    <row r="644" ht="15.75" customHeight="1">
      <c r="A644" s="14"/>
      <c r="B644" s="25"/>
      <c r="C644" s="26"/>
      <c r="D644" s="26"/>
    </row>
    <row r="645" ht="15.75" customHeight="1">
      <c r="A645" s="14"/>
      <c r="B645" s="25"/>
      <c r="C645" s="26"/>
      <c r="D645" s="26"/>
    </row>
    <row r="646" ht="15.75" customHeight="1">
      <c r="A646" s="14"/>
      <c r="B646" s="25"/>
      <c r="C646" s="26"/>
      <c r="D646" s="26"/>
    </row>
    <row r="647" ht="15.75" customHeight="1">
      <c r="A647" s="14"/>
      <c r="B647" s="25"/>
      <c r="C647" s="26"/>
      <c r="D647" s="26"/>
    </row>
    <row r="648" ht="15.75" customHeight="1">
      <c r="A648" s="14"/>
      <c r="B648" s="25"/>
      <c r="C648" s="26"/>
      <c r="D648" s="26"/>
    </row>
    <row r="649" ht="15.75" customHeight="1">
      <c r="A649" s="14"/>
      <c r="B649" s="25"/>
      <c r="C649" s="26"/>
      <c r="D649" s="26"/>
    </row>
    <row r="650" ht="15.75" customHeight="1">
      <c r="A650" s="14"/>
      <c r="B650" s="25"/>
      <c r="C650" s="26"/>
      <c r="D650" s="26"/>
    </row>
    <row r="651" ht="15.75" customHeight="1">
      <c r="A651" s="14"/>
      <c r="B651" s="25"/>
      <c r="C651" s="26"/>
      <c r="D651" s="26"/>
    </row>
    <row r="652" ht="15.75" customHeight="1">
      <c r="A652" s="14"/>
      <c r="B652" s="25"/>
      <c r="C652" s="26"/>
      <c r="D652" s="26"/>
    </row>
    <row r="653" ht="15.75" customHeight="1">
      <c r="A653" s="14"/>
      <c r="B653" s="25"/>
      <c r="C653" s="26"/>
      <c r="D653" s="26"/>
    </row>
    <row r="654" ht="15.75" customHeight="1">
      <c r="A654" s="14"/>
      <c r="B654" s="25"/>
      <c r="C654" s="26"/>
      <c r="D654" s="26"/>
    </row>
    <row r="655" ht="15.75" customHeight="1">
      <c r="A655" s="14"/>
      <c r="B655" s="25"/>
      <c r="C655" s="26"/>
      <c r="D655" s="26"/>
    </row>
    <row r="656" ht="15.75" customHeight="1">
      <c r="A656" s="14"/>
      <c r="B656" s="25"/>
      <c r="C656" s="26"/>
      <c r="D656" s="26"/>
    </row>
    <row r="657" ht="15.75" customHeight="1">
      <c r="A657" s="14"/>
      <c r="B657" s="25"/>
      <c r="C657" s="26"/>
      <c r="D657" s="26"/>
    </row>
    <row r="658" ht="15.75" customHeight="1">
      <c r="A658" s="14"/>
      <c r="B658" s="25"/>
      <c r="C658" s="26"/>
      <c r="D658" s="26"/>
    </row>
    <row r="659" ht="15.75" customHeight="1">
      <c r="A659" s="14"/>
      <c r="B659" s="25"/>
      <c r="C659" s="26"/>
      <c r="D659" s="26"/>
    </row>
    <row r="660" ht="15.75" customHeight="1">
      <c r="A660" s="14"/>
      <c r="B660" s="25"/>
      <c r="C660" s="26"/>
      <c r="D660" s="26"/>
    </row>
    <row r="661" ht="15.75" customHeight="1">
      <c r="A661" s="14"/>
      <c r="B661" s="25"/>
      <c r="C661" s="26"/>
      <c r="D661" s="26"/>
    </row>
    <row r="662" ht="15.75" customHeight="1">
      <c r="A662" s="14"/>
      <c r="B662" s="25"/>
      <c r="C662" s="26"/>
      <c r="D662" s="26"/>
    </row>
    <row r="663" ht="15.75" customHeight="1">
      <c r="A663" s="14"/>
      <c r="B663" s="25"/>
      <c r="C663" s="26"/>
      <c r="D663" s="26"/>
    </row>
    <row r="664" ht="15.75" customHeight="1">
      <c r="A664" s="14"/>
      <c r="B664" s="25"/>
      <c r="C664" s="26"/>
      <c r="D664" s="26"/>
    </row>
    <row r="665" ht="15.75" customHeight="1">
      <c r="A665" s="14"/>
      <c r="B665" s="25"/>
      <c r="C665" s="26"/>
      <c r="D665" s="26"/>
    </row>
    <row r="666" ht="15.75" customHeight="1">
      <c r="A666" s="14"/>
      <c r="B666" s="25"/>
      <c r="C666" s="26"/>
      <c r="D666" s="26"/>
    </row>
    <row r="667" ht="15.75" customHeight="1">
      <c r="A667" s="14"/>
      <c r="B667" s="25"/>
      <c r="C667" s="26"/>
      <c r="D667" s="26"/>
    </row>
    <row r="668" ht="15.75" customHeight="1">
      <c r="A668" s="14"/>
      <c r="B668" s="25"/>
      <c r="C668" s="26"/>
      <c r="D668" s="26"/>
    </row>
    <row r="669" ht="15.75" customHeight="1">
      <c r="A669" s="14"/>
      <c r="B669" s="25"/>
      <c r="C669" s="26"/>
      <c r="D669" s="26"/>
    </row>
    <row r="670" ht="15.75" customHeight="1">
      <c r="A670" s="14"/>
      <c r="B670" s="25"/>
      <c r="C670" s="26"/>
      <c r="D670" s="26"/>
    </row>
    <row r="671" ht="15.75" customHeight="1">
      <c r="A671" s="14"/>
      <c r="B671" s="25"/>
      <c r="C671" s="26"/>
      <c r="D671" s="26"/>
    </row>
    <row r="672" ht="15.75" customHeight="1">
      <c r="A672" s="14"/>
      <c r="B672" s="25"/>
      <c r="C672" s="26"/>
      <c r="D672" s="26"/>
    </row>
    <row r="673" ht="15.75" customHeight="1">
      <c r="A673" s="14"/>
      <c r="B673" s="25"/>
      <c r="C673" s="26"/>
      <c r="D673" s="26"/>
    </row>
    <row r="674" ht="15.75" customHeight="1">
      <c r="A674" s="14"/>
      <c r="B674" s="25"/>
      <c r="C674" s="26"/>
      <c r="D674" s="26"/>
    </row>
    <row r="675" ht="15.75" customHeight="1">
      <c r="A675" s="14"/>
      <c r="B675" s="25"/>
      <c r="C675" s="26"/>
      <c r="D675" s="26"/>
    </row>
    <row r="676" ht="15.75" customHeight="1">
      <c r="A676" s="14"/>
      <c r="B676" s="25"/>
      <c r="C676" s="26"/>
      <c r="D676" s="26"/>
    </row>
    <row r="677" ht="15.75" customHeight="1">
      <c r="A677" s="14"/>
      <c r="B677" s="25"/>
      <c r="C677" s="26"/>
      <c r="D677" s="26"/>
    </row>
    <row r="678" ht="15.75" customHeight="1">
      <c r="A678" s="14"/>
      <c r="B678" s="25"/>
      <c r="C678" s="26"/>
      <c r="D678" s="26"/>
    </row>
    <row r="679" ht="15.75" customHeight="1">
      <c r="A679" s="14"/>
      <c r="B679" s="25"/>
      <c r="C679" s="26"/>
      <c r="D679" s="26"/>
    </row>
    <row r="680" ht="15.75" customHeight="1">
      <c r="A680" s="14"/>
      <c r="B680" s="25"/>
      <c r="C680" s="26"/>
      <c r="D680" s="26"/>
    </row>
    <row r="681" ht="15.75" customHeight="1">
      <c r="A681" s="14"/>
      <c r="B681" s="25"/>
      <c r="C681" s="26"/>
      <c r="D681" s="26"/>
    </row>
    <row r="682" ht="15.75" customHeight="1">
      <c r="A682" s="14"/>
      <c r="B682" s="25"/>
      <c r="C682" s="26"/>
      <c r="D682" s="26"/>
    </row>
    <row r="683" ht="15.75" customHeight="1">
      <c r="A683" s="14"/>
      <c r="B683" s="25"/>
      <c r="C683" s="26"/>
      <c r="D683" s="26"/>
    </row>
    <row r="684" ht="15.75" customHeight="1">
      <c r="A684" s="14"/>
      <c r="B684" s="25"/>
      <c r="C684" s="26"/>
      <c r="D684" s="26"/>
    </row>
    <row r="685" ht="15.75" customHeight="1">
      <c r="A685" s="14"/>
      <c r="B685" s="25"/>
      <c r="C685" s="26"/>
      <c r="D685" s="26"/>
    </row>
    <row r="686" ht="15.75" customHeight="1">
      <c r="A686" s="14"/>
      <c r="B686" s="25"/>
      <c r="C686" s="26"/>
      <c r="D686" s="26"/>
    </row>
    <row r="687" ht="15.75" customHeight="1">
      <c r="A687" s="14"/>
      <c r="B687" s="25"/>
      <c r="C687" s="26"/>
      <c r="D687" s="26"/>
    </row>
    <row r="688" ht="15.75" customHeight="1">
      <c r="A688" s="14"/>
      <c r="B688" s="25"/>
      <c r="C688" s="26"/>
      <c r="D688" s="26"/>
    </row>
    <row r="689" ht="15.75" customHeight="1">
      <c r="A689" s="14"/>
      <c r="B689" s="25"/>
      <c r="C689" s="26"/>
      <c r="D689" s="26"/>
    </row>
    <row r="690" ht="15.75" customHeight="1">
      <c r="A690" s="14"/>
      <c r="B690" s="25"/>
      <c r="C690" s="26"/>
      <c r="D690" s="26"/>
    </row>
    <row r="691" ht="15.75" customHeight="1">
      <c r="A691" s="14"/>
      <c r="B691" s="25"/>
      <c r="C691" s="26"/>
      <c r="D691" s="26"/>
    </row>
    <row r="692" ht="15.75" customHeight="1">
      <c r="A692" s="14"/>
      <c r="B692" s="25"/>
      <c r="C692" s="26"/>
      <c r="D692" s="26"/>
    </row>
    <row r="693" ht="15.75" customHeight="1">
      <c r="A693" s="14"/>
      <c r="B693" s="25"/>
      <c r="C693" s="26"/>
      <c r="D693" s="26"/>
    </row>
    <row r="694" ht="15.75" customHeight="1">
      <c r="A694" s="14"/>
      <c r="B694" s="25"/>
      <c r="C694" s="26"/>
      <c r="D694" s="26"/>
    </row>
    <row r="695" ht="15.75" customHeight="1">
      <c r="A695" s="14"/>
      <c r="B695" s="25"/>
      <c r="C695" s="26"/>
      <c r="D695" s="26"/>
    </row>
    <row r="696" ht="15.75" customHeight="1">
      <c r="A696" s="14"/>
      <c r="B696" s="25"/>
      <c r="C696" s="26"/>
      <c r="D696" s="26"/>
    </row>
    <row r="697" ht="15.75" customHeight="1">
      <c r="A697" s="14"/>
      <c r="B697" s="25"/>
      <c r="C697" s="26"/>
      <c r="D697" s="26"/>
    </row>
    <row r="698" ht="15.75" customHeight="1">
      <c r="A698" s="14"/>
      <c r="B698" s="25"/>
      <c r="C698" s="26"/>
      <c r="D698" s="26"/>
    </row>
    <row r="699" ht="15.75" customHeight="1">
      <c r="A699" s="14"/>
      <c r="B699" s="25"/>
      <c r="C699" s="26"/>
      <c r="D699" s="26"/>
    </row>
    <row r="700" ht="15.75" customHeight="1">
      <c r="A700" s="14"/>
      <c r="B700" s="25"/>
      <c r="C700" s="26"/>
      <c r="D700" s="26"/>
    </row>
    <row r="701" ht="15.75" customHeight="1">
      <c r="A701" s="14"/>
      <c r="B701" s="25"/>
      <c r="C701" s="26"/>
      <c r="D701" s="26"/>
    </row>
    <row r="702" ht="15.75" customHeight="1">
      <c r="A702" s="14"/>
      <c r="B702" s="25"/>
      <c r="C702" s="26"/>
      <c r="D702" s="26"/>
    </row>
    <row r="703" ht="15.75" customHeight="1">
      <c r="A703" s="14"/>
      <c r="B703" s="25"/>
      <c r="C703" s="26"/>
      <c r="D703" s="26"/>
    </row>
    <row r="704" ht="15.75" customHeight="1">
      <c r="A704" s="14"/>
      <c r="B704" s="25"/>
      <c r="C704" s="26"/>
      <c r="D704" s="26"/>
    </row>
    <row r="705" ht="15.75" customHeight="1">
      <c r="A705" s="14"/>
      <c r="B705" s="25"/>
      <c r="C705" s="26"/>
      <c r="D705" s="26"/>
    </row>
    <row r="706" ht="15.75" customHeight="1">
      <c r="A706" s="14"/>
      <c r="B706" s="25"/>
      <c r="C706" s="26"/>
      <c r="D706" s="26"/>
    </row>
    <row r="707" ht="15.75" customHeight="1">
      <c r="A707" s="14"/>
      <c r="B707" s="25"/>
      <c r="C707" s="26"/>
      <c r="D707" s="26"/>
    </row>
    <row r="708" ht="15.75" customHeight="1">
      <c r="A708" s="14"/>
      <c r="B708" s="25"/>
      <c r="C708" s="26"/>
      <c r="D708" s="26"/>
    </row>
    <row r="709" ht="15.75" customHeight="1">
      <c r="A709" s="14"/>
      <c r="B709" s="25"/>
      <c r="C709" s="26"/>
      <c r="D709" s="26"/>
    </row>
    <row r="710" ht="15.75" customHeight="1">
      <c r="A710" s="14"/>
      <c r="B710" s="25"/>
      <c r="C710" s="26"/>
      <c r="D710" s="26"/>
    </row>
    <row r="711" ht="15.75" customHeight="1">
      <c r="A711" s="14"/>
      <c r="B711" s="25"/>
      <c r="C711" s="26"/>
      <c r="D711" s="26"/>
    </row>
    <row r="712" ht="15.75" customHeight="1">
      <c r="A712" s="14"/>
      <c r="B712" s="25"/>
      <c r="C712" s="26"/>
      <c r="D712" s="26"/>
    </row>
    <row r="713" ht="15.75" customHeight="1">
      <c r="A713" s="14"/>
      <c r="B713" s="25"/>
      <c r="C713" s="26"/>
      <c r="D713" s="26"/>
    </row>
    <row r="714" ht="15.75" customHeight="1">
      <c r="A714" s="14"/>
      <c r="B714" s="25"/>
      <c r="C714" s="26"/>
      <c r="D714" s="26"/>
    </row>
    <row r="715" ht="15.75" customHeight="1">
      <c r="A715" s="14"/>
      <c r="B715" s="25"/>
      <c r="C715" s="26"/>
      <c r="D715" s="26"/>
    </row>
    <row r="716" ht="15.75" customHeight="1">
      <c r="A716" s="14"/>
      <c r="B716" s="25"/>
      <c r="C716" s="26"/>
      <c r="D716" s="26"/>
    </row>
    <row r="717" ht="15.75" customHeight="1">
      <c r="A717" s="14"/>
      <c r="B717" s="25"/>
      <c r="C717" s="26"/>
      <c r="D717" s="26"/>
    </row>
    <row r="718" ht="15.75" customHeight="1">
      <c r="A718" s="14"/>
      <c r="B718" s="25"/>
      <c r="C718" s="26"/>
      <c r="D718" s="26"/>
    </row>
    <row r="719" ht="15.75" customHeight="1">
      <c r="A719" s="14"/>
      <c r="B719" s="25"/>
      <c r="C719" s="26"/>
      <c r="D719" s="26"/>
    </row>
    <row r="720" ht="15.75" customHeight="1">
      <c r="A720" s="14"/>
      <c r="B720" s="25"/>
      <c r="C720" s="26"/>
      <c r="D720" s="26"/>
    </row>
    <row r="721" ht="15.75" customHeight="1">
      <c r="A721" s="14"/>
      <c r="B721" s="25"/>
      <c r="C721" s="26"/>
      <c r="D721" s="26"/>
    </row>
    <row r="722" ht="15.75" customHeight="1">
      <c r="A722" s="14"/>
      <c r="B722" s="25"/>
      <c r="C722" s="26"/>
      <c r="D722" s="26"/>
    </row>
    <row r="723" ht="15.75" customHeight="1">
      <c r="A723" s="14"/>
      <c r="B723" s="25"/>
      <c r="C723" s="26"/>
      <c r="D723" s="26"/>
    </row>
    <row r="724" ht="15.75" customHeight="1">
      <c r="A724" s="14"/>
      <c r="B724" s="25"/>
      <c r="C724" s="26"/>
      <c r="D724" s="26"/>
    </row>
    <row r="725" ht="15.75" customHeight="1">
      <c r="A725" s="14"/>
      <c r="B725" s="25"/>
      <c r="C725" s="26"/>
      <c r="D725" s="26"/>
    </row>
    <row r="726" ht="15.75" customHeight="1">
      <c r="A726" s="14"/>
      <c r="B726" s="25"/>
      <c r="C726" s="26"/>
      <c r="D726" s="26"/>
    </row>
    <row r="727" ht="15.75" customHeight="1">
      <c r="A727" s="14"/>
      <c r="B727" s="25"/>
      <c r="C727" s="26"/>
      <c r="D727" s="26"/>
    </row>
    <row r="728" ht="15.75" customHeight="1">
      <c r="A728" s="14"/>
      <c r="B728" s="25"/>
      <c r="C728" s="26"/>
      <c r="D728" s="26"/>
    </row>
    <row r="729" ht="15.75" customHeight="1">
      <c r="A729" s="14"/>
      <c r="B729" s="25"/>
      <c r="C729" s="26"/>
      <c r="D729" s="26"/>
    </row>
    <row r="730" ht="15.75" customHeight="1">
      <c r="A730" s="14"/>
      <c r="B730" s="25"/>
      <c r="C730" s="26"/>
      <c r="D730" s="26"/>
    </row>
    <row r="731" ht="15.75" customHeight="1">
      <c r="A731" s="14"/>
      <c r="B731" s="25"/>
      <c r="C731" s="26"/>
      <c r="D731" s="26"/>
    </row>
    <row r="732" ht="15.75" customHeight="1">
      <c r="A732" s="14"/>
      <c r="B732" s="25"/>
      <c r="C732" s="26"/>
      <c r="D732" s="26"/>
    </row>
    <row r="733" ht="15.75" customHeight="1">
      <c r="A733" s="14"/>
      <c r="B733" s="25"/>
      <c r="C733" s="26"/>
      <c r="D733" s="26"/>
    </row>
    <row r="734" ht="15.75" customHeight="1">
      <c r="A734" s="14"/>
      <c r="B734" s="25"/>
      <c r="C734" s="26"/>
      <c r="D734" s="26"/>
    </row>
    <row r="735" ht="15.75" customHeight="1">
      <c r="A735" s="14"/>
      <c r="B735" s="25"/>
      <c r="C735" s="26"/>
      <c r="D735" s="26"/>
    </row>
    <row r="736" ht="15.75" customHeight="1">
      <c r="A736" s="14"/>
      <c r="B736" s="25"/>
      <c r="C736" s="26"/>
      <c r="D736" s="26"/>
    </row>
    <row r="737" ht="15.75" customHeight="1">
      <c r="A737" s="14"/>
      <c r="B737" s="25"/>
      <c r="C737" s="26"/>
      <c r="D737" s="26"/>
    </row>
    <row r="738" ht="15.75" customHeight="1">
      <c r="A738" s="14"/>
      <c r="B738" s="25"/>
      <c r="C738" s="26"/>
      <c r="D738" s="26"/>
    </row>
    <row r="739" ht="15.75" customHeight="1">
      <c r="A739" s="14"/>
      <c r="B739" s="25"/>
      <c r="C739" s="26"/>
      <c r="D739" s="26"/>
    </row>
    <row r="740" ht="15.75" customHeight="1">
      <c r="A740" s="14"/>
      <c r="B740" s="25"/>
      <c r="C740" s="26"/>
      <c r="D740" s="26"/>
    </row>
    <row r="741" ht="15.75" customHeight="1">
      <c r="A741" s="14"/>
      <c r="B741" s="25"/>
      <c r="C741" s="26"/>
      <c r="D741" s="26"/>
    </row>
    <row r="742" ht="15.75" customHeight="1">
      <c r="A742" s="14"/>
      <c r="B742" s="25"/>
      <c r="C742" s="26"/>
      <c r="D742" s="26"/>
    </row>
    <row r="743" ht="15.75" customHeight="1">
      <c r="A743" s="14"/>
      <c r="B743" s="25"/>
      <c r="C743" s="26"/>
      <c r="D743" s="26"/>
    </row>
    <row r="744" ht="15.75" customHeight="1">
      <c r="A744" s="14"/>
      <c r="B744" s="25"/>
      <c r="C744" s="26"/>
      <c r="D744" s="26"/>
    </row>
    <row r="745" ht="15.75" customHeight="1">
      <c r="A745" s="14"/>
      <c r="B745" s="25"/>
      <c r="C745" s="26"/>
      <c r="D745" s="26"/>
    </row>
    <row r="746" ht="15.75" customHeight="1">
      <c r="A746" s="14"/>
      <c r="B746" s="25"/>
      <c r="C746" s="26"/>
      <c r="D746" s="26"/>
    </row>
    <row r="747" ht="15.75" customHeight="1">
      <c r="A747" s="14"/>
      <c r="B747" s="25"/>
      <c r="C747" s="26"/>
      <c r="D747" s="26"/>
    </row>
    <row r="748" ht="15.75" customHeight="1">
      <c r="A748" s="14"/>
      <c r="B748" s="25"/>
      <c r="C748" s="26"/>
      <c r="D748" s="26"/>
    </row>
    <row r="749" ht="15.75" customHeight="1">
      <c r="A749" s="14"/>
      <c r="B749" s="25"/>
      <c r="C749" s="26"/>
      <c r="D749" s="26"/>
    </row>
    <row r="750" ht="15.75" customHeight="1">
      <c r="A750" s="14"/>
      <c r="B750" s="25"/>
      <c r="C750" s="26"/>
      <c r="D750" s="26"/>
    </row>
    <row r="751" ht="15.75" customHeight="1">
      <c r="A751" s="14"/>
      <c r="B751" s="25"/>
      <c r="C751" s="26"/>
      <c r="D751" s="26"/>
    </row>
    <row r="752" ht="15.75" customHeight="1">
      <c r="A752" s="14"/>
      <c r="B752" s="25"/>
      <c r="C752" s="26"/>
      <c r="D752" s="26"/>
    </row>
    <row r="753" ht="15.75" customHeight="1">
      <c r="A753" s="14"/>
      <c r="B753" s="25"/>
      <c r="C753" s="26"/>
      <c r="D753" s="26"/>
    </row>
    <row r="754" ht="15.75" customHeight="1">
      <c r="A754" s="14"/>
      <c r="B754" s="25"/>
      <c r="C754" s="26"/>
      <c r="D754" s="26"/>
    </row>
    <row r="755" ht="15.75" customHeight="1">
      <c r="A755" s="14"/>
      <c r="B755" s="25"/>
      <c r="C755" s="26"/>
      <c r="D755" s="26"/>
    </row>
    <row r="756" ht="15.75" customHeight="1">
      <c r="A756" s="14"/>
      <c r="B756" s="25"/>
      <c r="C756" s="26"/>
      <c r="D756" s="26"/>
    </row>
    <row r="757" ht="15.75" customHeight="1">
      <c r="A757" s="14"/>
      <c r="B757" s="25"/>
      <c r="C757" s="26"/>
      <c r="D757" s="26"/>
    </row>
    <row r="758" ht="15.75" customHeight="1">
      <c r="A758" s="14"/>
      <c r="B758" s="25"/>
      <c r="C758" s="26"/>
      <c r="D758" s="26"/>
    </row>
    <row r="759" ht="15.75" customHeight="1">
      <c r="A759" s="14"/>
      <c r="B759" s="25"/>
      <c r="C759" s="26"/>
      <c r="D759" s="26"/>
    </row>
    <row r="760" ht="15.75" customHeight="1">
      <c r="A760" s="14"/>
      <c r="B760" s="25"/>
      <c r="C760" s="26"/>
      <c r="D760" s="26"/>
    </row>
    <row r="761" ht="15.75" customHeight="1">
      <c r="A761" s="14"/>
      <c r="B761" s="25"/>
      <c r="C761" s="26"/>
      <c r="D761" s="26"/>
    </row>
    <row r="762" ht="15.75" customHeight="1">
      <c r="A762" s="14"/>
      <c r="B762" s="25"/>
      <c r="C762" s="26"/>
      <c r="D762" s="26"/>
    </row>
    <row r="763" ht="15.75" customHeight="1">
      <c r="A763" s="14"/>
      <c r="B763" s="25"/>
      <c r="C763" s="26"/>
      <c r="D763" s="26"/>
    </row>
    <row r="764" ht="15.75" customHeight="1">
      <c r="A764" s="14"/>
      <c r="B764" s="25"/>
      <c r="C764" s="26"/>
      <c r="D764" s="26"/>
    </row>
    <row r="765" ht="15.75" customHeight="1">
      <c r="A765" s="14"/>
      <c r="B765" s="25"/>
      <c r="C765" s="26"/>
      <c r="D765" s="26"/>
    </row>
    <row r="766" ht="15.75" customHeight="1">
      <c r="A766" s="14"/>
      <c r="B766" s="25"/>
      <c r="C766" s="26"/>
      <c r="D766" s="26"/>
    </row>
    <row r="767" ht="15.75" customHeight="1">
      <c r="A767" s="14"/>
      <c r="B767" s="25"/>
      <c r="C767" s="26"/>
      <c r="D767" s="26"/>
    </row>
    <row r="768" ht="15.75" customHeight="1">
      <c r="A768" s="14"/>
      <c r="B768" s="25"/>
      <c r="C768" s="26"/>
      <c r="D768" s="26"/>
    </row>
    <row r="769" ht="15.75" customHeight="1">
      <c r="A769" s="14"/>
      <c r="B769" s="25"/>
      <c r="C769" s="26"/>
      <c r="D769" s="26"/>
    </row>
    <row r="770" ht="15.75" customHeight="1">
      <c r="A770" s="14"/>
      <c r="B770" s="25"/>
      <c r="C770" s="26"/>
      <c r="D770" s="26"/>
    </row>
    <row r="771" ht="15.75" customHeight="1">
      <c r="A771" s="14"/>
      <c r="B771" s="25"/>
      <c r="C771" s="26"/>
      <c r="D771" s="26"/>
    </row>
    <row r="772" ht="15.75" customHeight="1">
      <c r="A772" s="14"/>
      <c r="B772" s="25"/>
      <c r="C772" s="26"/>
      <c r="D772" s="26"/>
    </row>
    <row r="773" ht="15.75" customHeight="1">
      <c r="A773" s="14"/>
      <c r="B773" s="25"/>
      <c r="C773" s="26"/>
      <c r="D773" s="26"/>
    </row>
    <row r="774" ht="15.75" customHeight="1">
      <c r="A774" s="14"/>
      <c r="B774" s="25"/>
      <c r="C774" s="26"/>
      <c r="D774" s="26"/>
    </row>
    <row r="775" ht="15.75" customHeight="1">
      <c r="A775" s="14"/>
      <c r="B775" s="25"/>
      <c r="C775" s="26"/>
      <c r="D775" s="26"/>
    </row>
    <row r="776" ht="15.75" customHeight="1">
      <c r="A776" s="14"/>
      <c r="B776" s="25"/>
      <c r="C776" s="26"/>
      <c r="D776" s="26"/>
    </row>
    <row r="777" ht="15.75" customHeight="1">
      <c r="A777" s="14"/>
      <c r="B777" s="25"/>
      <c r="C777" s="26"/>
      <c r="D777" s="26"/>
    </row>
    <row r="778" ht="15.75" customHeight="1">
      <c r="A778" s="14"/>
      <c r="B778" s="25"/>
      <c r="C778" s="26"/>
      <c r="D778" s="26"/>
    </row>
    <row r="779" ht="15.75" customHeight="1">
      <c r="A779" s="14"/>
      <c r="B779" s="25"/>
      <c r="C779" s="26"/>
      <c r="D779" s="26"/>
    </row>
    <row r="780" ht="15.75" customHeight="1">
      <c r="A780" s="14"/>
      <c r="B780" s="25"/>
      <c r="C780" s="26"/>
      <c r="D780" s="26"/>
    </row>
    <row r="781" ht="15.75" customHeight="1">
      <c r="A781" s="14"/>
      <c r="B781" s="25"/>
      <c r="C781" s="26"/>
      <c r="D781" s="26"/>
    </row>
    <row r="782" ht="15.75" customHeight="1">
      <c r="A782" s="14"/>
      <c r="B782" s="25"/>
      <c r="C782" s="26"/>
      <c r="D782" s="26"/>
    </row>
    <row r="783" ht="15.75" customHeight="1">
      <c r="A783" s="14"/>
      <c r="B783" s="25"/>
      <c r="C783" s="26"/>
      <c r="D783" s="26"/>
    </row>
    <row r="784" ht="15.75" customHeight="1">
      <c r="A784" s="14"/>
      <c r="B784" s="25"/>
      <c r="C784" s="26"/>
      <c r="D784" s="26"/>
    </row>
    <row r="785" ht="15.75" customHeight="1">
      <c r="A785" s="14"/>
      <c r="B785" s="25"/>
      <c r="C785" s="26"/>
      <c r="D785" s="26"/>
    </row>
    <row r="786" ht="15.75" customHeight="1">
      <c r="A786" s="14"/>
      <c r="B786" s="25"/>
      <c r="C786" s="26"/>
      <c r="D786" s="26"/>
    </row>
    <row r="787" ht="15.75" customHeight="1">
      <c r="A787" s="14"/>
      <c r="B787" s="25"/>
      <c r="C787" s="26"/>
      <c r="D787" s="26"/>
    </row>
    <row r="788" ht="15.75" customHeight="1">
      <c r="A788" s="14"/>
      <c r="B788" s="25"/>
      <c r="C788" s="26"/>
      <c r="D788" s="26"/>
    </row>
    <row r="789" ht="15.75" customHeight="1">
      <c r="A789" s="14"/>
      <c r="B789" s="25"/>
      <c r="C789" s="26"/>
      <c r="D789" s="26"/>
    </row>
    <row r="790" ht="15.75" customHeight="1">
      <c r="A790" s="14"/>
      <c r="B790" s="25"/>
      <c r="C790" s="26"/>
      <c r="D790" s="26"/>
    </row>
    <row r="791" ht="15.75" customHeight="1">
      <c r="A791" s="14"/>
      <c r="B791" s="25"/>
      <c r="C791" s="26"/>
      <c r="D791" s="26"/>
    </row>
    <row r="792" ht="15.75" customHeight="1">
      <c r="A792" s="14"/>
      <c r="B792" s="25"/>
      <c r="C792" s="26"/>
      <c r="D792" s="26"/>
    </row>
    <row r="793" ht="15.75" customHeight="1">
      <c r="A793" s="14"/>
      <c r="B793" s="25"/>
      <c r="C793" s="26"/>
      <c r="D793" s="26"/>
    </row>
    <row r="794" ht="15.75" customHeight="1">
      <c r="A794" s="14"/>
      <c r="B794" s="25"/>
      <c r="C794" s="26"/>
      <c r="D794" s="26"/>
    </row>
    <row r="795" ht="15.75" customHeight="1">
      <c r="A795" s="14"/>
      <c r="B795" s="25"/>
      <c r="C795" s="26"/>
      <c r="D795" s="26"/>
    </row>
    <row r="796" ht="15.75" customHeight="1">
      <c r="A796" s="14"/>
      <c r="B796" s="25"/>
      <c r="C796" s="26"/>
      <c r="D796" s="26"/>
    </row>
    <row r="797" ht="15.75" customHeight="1">
      <c r="A797" s="14"/>
      <c r="B797" s="25"/>
      <c r="C797" s="26"/>
      <c r="D797" s="26"/>
    </row>
    <row r="798" ht="15.75" customHeight="1">
      <c r="A798" s="14"/>
      <c r="B798" s="25"/>
      <c r="C798" s="26"/>
      <c r="D798" s="26"/>
    </row>
    <row r="799" ht="15.75" customHeight="1">
      <c r="A799" s="14"/>
      <c r="B799" s="25"/>
      <c r="C799" s="26"/>
      <c r="D799" s="26"/>
    </row>
    <row r="800" ht="15.75" customHeight="1">
      <c r="A800" s="14"/>
      <c r="B800" s="25"/>
      <c r="C800" s="26"/>
      <c r="D800" s="26"/>
    </row>
    <row r="801" ht="15.75" customHeight="1">
      <c r="A801" s="14"/>
      <c r="B801" s="25"/>
      <c r="C801" s="26"/>
      <c r="D801" s="26"/>
    </row>
    <row r="802" ht="15.75" customHeight="1">
      <c r="A802" s="14"/>
      <c r="B802" s="25"/>
      <c r="C802" s="26"/>
      <c r="D802" s="26"/>
    </row>
    <row r="803" ht="15.75" customHeight="1">
      <c r="A803" s="14"/>
      <c r="B803" s="25"/>
      <c r="C803" s="26"/>
      <c r="D803" s="26"/>
    </row>
    <row r="804" ht="15.75" customHeight="1">
      <c r="A804" s="14"/>
      <c r="B804" s="25"/>
      <c r="C804" s="26"/>
      <c r="D804" s="26"/>
    </row>
    <row r="805" ht="15.75" customHeight="1">
      <c r="A805" s="14"/>
      <c r="B805" s="25"/>
      <c r="C805" s="26"/>
      <c r="D805" s="26"/>
    </row>
    <row r="806" ht="15.75" customHeight="1">
      <c r="A806" s="14"/>
      <c r="B806" s="25"/>
      <c r="C806" s="26"/>
      <c r="D806" s="26"/>
    </row>
    <row r="807" ht="15.75" customHeight="1">
      <c r="A807" s="14"/>
      <c r="B807" s="25"/>
      <c r="C807" s="26"/>
      <c r="D807" s="26"/>
    </row>
    <row r="808" ht="15.75" customHeight="1">
      <c r="A808" s="14"/>
      <c r="B808" s="25"/>
      <c r="C808" s="26"/>
      <c r="D808" s="26"/>
    </row>
    <row r="809" ht="15.75" customHeight="1">
      <c r="A809" s="14"/>
      <c r="B809" s="25"/>
      <c r="C809" s="26"/>
      <c r="D809" s="26"/>
    </row>
    <row r="810" ht="15.75" customHeight="1">
      <c r="A810" s="14"/>
      <c r="B810" s="25"/>
      <c r="C810" s="26"/>
      <c r="D810" s="26"/>
    </row>
    <row r="811" ht="15.75" customHeight="1">
      <c r="A811" s="14"/>
      <c r="B811" s="25"/>
      <c r="C811" s="26"/>
      <c r="D811" s="26"/>
    </row>
    <row r="812" ht="15.75" customHeight="1">
      <c r="A812" s="14"/>
      <c r="B812" s="25"/>
      <c r="C812" s="26"/>
      <c r="D812" s="26"/>
    </row>
    <row r="813" ht="15.75" customHeight="1">
      <c r="A813" s="14"/>
      <c r="B813" s="25"/>
      <c r="C813" s="26"/>
      <c r="D813" s="26"/>
    </row>
    <row r="814" ht="15.75" customHeight="1">
      <c r="A814" s="14"/>
      <c r="B814" s="25"/>
      <c r="C814" s="26"/>
      <c r="D814" s="26"/>
    </row>
    <row r="815" ht="15.75" customHeight="1">
      <c r="A815" s="14"/>
      <c r="B815" s="25"/>
      <c r="C815" s="26"/>
      <c r="D815" s="26"/>
    </row>
    <row r="816" ht="15.75" customHeight="1">
      <c r="A816" s="14"/>
      <c r="B816" s="25"/>
      <c r="C816" s="26"/>
      <c r="D816" s="26"/>
    </row>
    <row r="817" ht="15.75" customHeight="1">
      <c r="A817" s="14"/>
      <c r="B817" s="25"/>
      <c r="C817" s="26"/>
      <c r="D817" s="26"/>
    </row>
    <row r="818" ht="15.75" customHeight="1">
      <c r="A818" s="14"/>
      <c r="B818" s="25"/>
      <c r="C818" s="26"/>
      <c r="D818" s="26"/>
    </row>
    <row r="819" ht="15.75" customHeight="1">
      <c r="A819" s="14"/>
      <c r="B819" s="25"/>
      <c r="C819" s="26"/>
      <c r="D819" s="26"/>
    </row>
    <row r="820" ht="15.75" customHeight="1">
      <c r="A820" s="14"/>
      <c r="B820" s="25"/>
      <c r="C820" s="26"/>
      <c r="D820" s="26"/>
    </row>
    <row r="821" ht="15.75" customHeight="1">
      <c r="A821" s="14"/>
      <c r="B821" s="25"/>
      <c r="C821" s="26"/>
      <c r="D821" s="26"/>
    </row>
    <row r="822" ht="15.75" customHeight="1">
      <c r="A822" s="14"/>
      <c r="B822" s="25"/>
      <c r="C822" s="26"/>
      <c r="D822" s="26"/>
    </row>
    <row r="823" ht="15.75" customHeight="1">
      <c r="A823" s="14"/>
      <c r="B823" s="25"/>
      <c r="C823" s="26"/>
      <c r="D823" s="26"/>
    </row>
    <row r="824" ht="15.75" customHeight="1">
      <c r="A824" s="14"/>
      <c r="B824" s="25"/>
      <c r="C824" s="26"/>
      <c r="D824" s="26"/>
    </row>
    <row r="825" ht="15.75" customHeight="1">
      <c r="A825" s="14"/>
      <c r="B825" s="25"/>
      <c r="C825" s="26"/>
      <c r="D825" s="26"/>
    </row>
    <row r="826" ht="15.75" customHeight="1">
      <c r="A826" s="14"/>
      <c r="B826" s="25"/>
      <c r="C826" s="26"/>
      <c r="D826" s="26"/>
    </row>
    <row r="827" ht="15.75" customHeight="1">
      <c r="A827" s="14"/>
      <c r="B827" s="25"/>
      <c r="C827" s="26"/>
      <c r="D827" s="26"/>
    </row>
    <row r="828" ht="15.75" customHeight="1">
      <c r="A828" s="14"/>
      <c r="B828" s="25"/>
      <c r="C828" s="26"/>
      <c r="D828" s="26"/>
    </row>
    <row r="829" ht="15.75" customHeight="1">
      <c r="A829" s="14"/>
      <c r="B829" s="25"/>
      <c r="C829" s="26"/>
      <c r="D829" s="26"/>
    </row>
    <row r="830" ht="15.75" customHeight="1">
      <c r="A830" s="14"/>
      <c r="B830" s="25"/>
      <c r="C830" s="26"/>
      <c r="D830" s="26"/>
    </row>
    <row r="831" ht="15.75" customHeight="1">
      <c r="A831" s="14"/>
      <c r="B831" s="25"/>
      <c r="C831" s="26"/>
      <c r="D831" s="26"/>
    </row>
    <row r="832" ht="15.75" customHeight="1">
      <c r="A832" s="14"/>
      <c r="B832" s="25"/>
      <c r="C832" s="26"/>
      <c r="D832" s="26"/>
    </row>
    <row r="833" ht="15.75" customHeight="1">
      <c r="A833" s="14"/>
      <c r="B833" s="25"/>
      <c r="C833" s="26"/>
      <c r="D833" s="26"/>
    </row>
    <row r="834" ht="15.75" customHeight="1">
      <c r="A834" s="14"/>
      <c r="B834" s="25"/>
      <c r="C834" s="26"/>
      <c r="D834" s="26"/>
    </row>
    <row r="835" ht="15.75" customHeight="1">
      <c r="A835" s="14"/>
      <c r="B835" s="25"/>
      <c r="C835" s="26"/>
      <c r="D835" s="26"/>
    </row>
    <row r="836" ht="15.75" customHeight="1">
      <c r="A836" s="14"/>
      <c r="B836" s="25"/>
      <c r="C836" s="26"/>
      <c r="D836" s="26"/>
    </row>
    <row r="837" ht="15.75" customHeight="1">
      <c r="A837" s="14"/>
      <c r="B837" s="25"/>
      <c r="C837" s="26"/>
      <c r="D837" s="26"/>
    </row>
    <row r="838" ht="15.75" customHeight="1">
      <c r="A838" s="14"/>
      <c r="B838" s="25"/>
      <c r="C838" s="26"/>
      <c r="D838" s="26"/>
    </row>
    <row r="839" ht="15.75" customHeight="1">
      <c r="A839" s="14"/>
      <c r="B839" s="25"/>
      <c r="C839" s="26"/>
      <c r="D839" s="26"/>
    </row>
    <row r="840" ht="15.75" customHeight="1">
      <c r="A840" s="14"/>
      <c r="B840" s="25"/>
      <c r="C840" s="26"/>
      <c r="D840" s="26"/>
    </row>
    <row r="841" ht="15.75" customHeight="1">
      <c r="A841" s="14"/>
      <c r="B841" s="25"/>
      <c r="C841" s="26"/>
      <c r="D841" s="26"/>
    </row>
    <row r="842" ht="15.75" customHeight="1">
      <c r="A842" s="14"/>
      <c r="B842" s="25"/>
      <c r="C842" s="26"/>
      <c r="D842" s="26"/>
    </row>
    <row r="843" ht="15.75" customHeight="1">
      <c r="A843" s="14"/>
      <c r="B843" s="25"/>
      <c r="C843" s="26"/>
      <c r="D843" s="26"/>
    </row>
    <row r="844" ht="15.75" customHeight="1">
      <c r="A844" s="14"/>
      <c r="B844" s="25"/>
      <c r="C844" s="26"/>
      <c r="D844" s="26"/>
    </row>
    <row r="845" ht="15.75" customHeight="1">
      <c r="A845" s="14"/>
      <c r="B845" s="25"/>
      <c r="C845" s="26"/>
      <c r="D845" s="26"/>
    </row>
    <row r="846" ht="15.75" customHeight="1">
      <c r="A846" s="14"/>
      <c r="B846" s="25"/>
      <c r="C846" s="26"/>
      <c r="D846" s="26"/>
    </row>
    <row r="847" ht="15.75" customHeight="1">
      <c r="A847" s="14"/>
      <c r="B847" s="25"/>
      <c r="C847" s="26"/>
      <c r="D847" s="26"/>
    </row>
    <row r="848" ht="15.75" customHeight="1">
      <c r="A848" s="14"/>
      <c r="B848" s="25"/>
      <c r="C848" s="26"/>
      <c r="D848" s="26"/>
    </row>
    <row r="849" ht="15.75" customHeight="1">
      <c r="A849" s="14"/>
      <c r="B849" s="25"/>
      <c r="C849" s="26"/>
      <c r="D849" s="26"/>
    </row>
    <row r="850" ht="15.75" customHeight="1">
      <c r="A850" s="14"/>
      <c r="B850" s="25"/>
      <c r="C850" s="26"/>
      <c r="D850" s="26"/>
    </row>
    <row r="851" ht="15.75" customHeight="1">
      <c r="A851" s="14"/>
      <c r="B851" s="25"/>
      <c r="C851" s="26"/>
      <c r="D851" s="26"/>
    </row>
    <row r="852" ht="15.75" customHeight="1">
      <c r="A852" s="14"/>
      <c r="B852" s="25"/>
      <c r="C852" s="26"/>
      <c r="D852" s="26"/>
    </row>
    <row r="853" ht="15.75" customHeight="1">
      <c r="A853" s="14"/>
      <c r="B853" s="25"/>
      <c r="C853" s="26"/>
      <c r="D853" s="26"/>
    </row>
    <row r="854" ht="15.75" customHeight="1">
      <c r="A854" s="14"/>
      <c r="B854" s="25"/>
      <c r="C854" s="26"/>
      <c r="D854" s="26"/>
    </row>
    <row r="855" ht="15.75" customHeight="1">
      <c r="A855" s="14"/>
      <c r="B855" s="25"/>
      <c r="C855" s="26"/>
      <c r="D855" s="26"/>
    </row>
    <row r="856" ht="15.75" customHeight="1">
      <c r="A856" s="14"/>
      <c r="B856" s="25"/>
      <c r="C856" s="26"/>
      <c r="D856" s="26"/>
    </row>
    <row r="857" ht="15.75" customHeight="1">
      <c r="A857" s="14"/>
      <c r="B857" s="25"/>
      <c r="C857" s="26"/>
      <c r="D857" s="26"/>
    </row>
    <row r="858" ht="15.75" customHeight="1">
      <c r="A858" s="14"/>
      <c r="B858" s="25"/>
      <c r="C858" s="26"/>
      <c r="D858" s="26"/>
    </row>
    <row r="859" ht="15.75" customHeight="1">
      <c r="A859" s="14"/>
      <c r="B859" s="25"/>
      <c r="C859" s="26"/>
      <c r="D859" s="26"/>
    </row>
    <row r="860" ht="15.75" customHeight="1">
      <c r="A860" s="14"/>
      <c r="B860" s="25"/>
      <c r="C860" s="26"/>
      <c r="D860" s="26"/>
    </row>
    <row r="861" ht="15.75" customHeight="1">
      <c r="A861" s="14"/>
      <c r="B861" s="25"/>
      <c r="C861" s="26"/>
      <c r="D861" s="26"/>
    </row>
    <row r="862" ht="15.75" customHeight="1">
      <c r="A862" s="14"/>
      <c r="B862" s="25"/>
      <c r="C862" s="26"/>
      <c r="D862" s="26"/>
    </row>
    <row r="863" ht="15.75" customHeight="1">
      <c r="A863" s="14"/>
      <c r="B863" s="25"/>
      <c r="C863" s="26"/>
      <c r="D863" s="26"/>
    </row>
    <row r="864" ht="15.75" customHeight="1">
      <c r="A864" s="14"/>
      <c r="B864" s="25"/>
      <c r="C864" s="26"/>
      <c r="D864" s="26"/>
    </row>
    <row r="865" ht="15.75" customHeight="1">
      <c r="A865" s="14"/>
      <c r="B865" s="25"/>
      <c r="C865" s="26"/>
      <c r="D865" s="26"/>
    </row>
    <row r="866" ht="15.75" customHeight="1">
      <c r="A866" s="14"/>
      <c r="B866" s="25"/>
      <c r="C866" s="26"/>
      <c r="D866" s="26"/>
    </row>
    <row r="867" ht="15.75" customHeight="1">
      <c r="A867" s="14"/>
      <c r="B867" s="25"/>
      <c r="C867" s="26"/>
      <c r="D867" s="26"/>
    </row>
    <row r="868" ht="15.75" customHeight="1">
      <c r="A868" s="14"/>
      <c r="B868" s="25"/>
      <c r="C868" s="26"/>
      <c r="D868" s="26"/>
    </row>
    <row r="869" ht="15.75" customHeight="1">
      <c r="A869" s="14"/>
      <c r="B869" s="25"/>
      <c r="C869" s="26"/>
      <c r="D869" s="26"/>
    </row>
    <row r="870" ht="15.75" customHeight="1">
      <c r="A870" s="14"/>
      <c r="B870" s="25"/>
      <c r="C870" s="26"/>
      <c r="D870" s="26"/>
    </row>
    <row r="871" ht="15.75" customHeight="1">
      <c r="A871" s="14"/>
      <c r="B871" s="25"/>
      <c r="C871" s="26"/>
      <c r="D871" s="26"/>
    </row>
    <row r="872" ht="15.75" customHeight="1">
      <c r="A872" s="14"/>
      <c r="B872" s="25"/>
      <c r="C872" s="26"/>
      <c r="D872" s="26"/>
    </row>
    <row r="873" ht="15.75" customHeight="1">
      <c r="A873" s="14"/>
      <c r="B873" s="25"/>
      <c r="C873" s="26"/>
      <c r="D873" s="26"/>
    </row>
    <row r="874" ht="15.75" customHeight="1">
      <c r="A874" s="14"/>
      <c r="B874" s="25"/>
      <c r="C874" s="26"/>
      <c r="D874" s="26"/>
    </row>
    <row r="875" ht="15.75" customHeight="1">
      <c r="A875" s="14"/>
      <c r="B875" s="25"/>
      <c r="C875" s="26"/>
      <c r="D875" s="26"/>
    </row>
    <row r="876" ht="15.75" customHeight="1">
      <c r="A876" s="14"/>
      <c r="B876" s="25"/>
      <c r="C876" s="26"/>
      <c r="D876" s="26"/>
    </row>
    <row r="877" ht="15.75" customHeight="1">
      <c r="A877" s="14"/>
      <c r="B877" s="25"/>
      <c r="C877" s="26"/>
      <c r="D877" s="26"/>
    </row>
    <row r="878" ht="15.75" customHeight="1">
      <c r="A878" s="14"/>
      <c r="B878" s="25"/>
      <c r="C878" s="26"/>
      <c r="D878" s="26"/>
    </row>
    <row r="879" ht="15.75" customHeight="1">
      <c r="A879" s="14"/>
      <c r="B879" s="25"/>
      <c r="C879" s="26"/>
      <c r="D879" s="26"/>
    </row>
    <row r="880" ht="15.75" customHeight="1">
      <c r="A880" s="14"/>
      <c r="B880" s="25"/>
      <c r="C880" s="26"/>
      <c r="D880" s="26"/>
    </row>
    <row r="881" ht="15.75" customHeight="1">
      <c r="A881" s="14"/>
      <c r="B881" s="25"/>
      <c r="C881" s="26"/>
      <c r="D881" s="26"/>
    </row>
    <row r="882" ht="15.75" customHeight="1">
      <c r="A882" s="14"/>
      <c r="B882" s="25"/>
      <c r="C882" s="26"/>
      <c r="D882" s="26"/>
    </row>
    <row r="883" ht="15.75" customHeight="1">
      <c r="A883" s="14"/>
      <c r="B883" s="25"/>
      <c r="C883" s="26"/>
      <c r="D883" s="26"/>
    </row>
    <row r="884" ht="15.75" customHeight="1">
      <c r="A884" s="14"/>
      <c r="B884" s="25"/>
      <c r="C884" s="26"/>
      <c r="D884" s="26"/>
    </row>
    <row r="885" ht="15.75" customHeight="1">
      <c r="A885" s="14"/>
      <c r="B885" s="25"/>
      <c r="C885" s="26"/>
      <c r="D885" s="26"/>
    </row>
    <row r="886" ht="15.75" customHeight="1">
      <c r="A886" s="14"/>
      <c r="B886" s="25"/>
      <c r="C886" s="26"/>
      <c r="D886" s="26"/>
    </row>
    <row r="887" ht="15.75" customHeight="1">
      <c r="A887" s="14"/>
      <c r="B887" s="25"/>
      <c r="C887" s="26"/>
      <c r="D887" s="26"/>
    </row>
    <row r="888" ht="15.75" customHeight="1">
      <c r="A888" s="14"/>
      <c r="B888" s="25"/>
      <c r="C888" s="26"/>
      <c r="D888" s="26"/>
    </row>
    <row r="889" ht="15.75" customHeight="1">
      <c r="A889" s="14"/>
      <c r="B889" s="25"/>
      <c r="C889" s="26"/>
      <c r="D889" s="26"/>
    </row>
    <row r="890" ht="15.75" customHeight="1">
      <c r="A890" s="14"/>
      <c r="B890" s="25"/>
      <c r="C890" s="26"/>
      <c r="D890" s="26"/>
    </row>
    <row r="891" ht="15.75" customHeight="1">
      <c r="A891" s="14"/>
      <c r="B891" s="25"/>
      <c r="C891" s="26"/>
      <c r="D891" s="26"/>
    </row>
    <row r="892" ht="15.75" customHeight="1">
      <c r="A892" s="14"/>
      <c r="B892" s="25"/>
      <c r="C892" s="26"/>
      <c r="D892" s="26"/>
    </row>
    <row r="893" ht="15.75" customHeight="1">
      <c r="A893" s="14"/>
      <c r="B893" s="25"/>
      <c r="C893" s="26"/>
      <c r="D893" s="26"/>
    </row>
    <row r="894" ht="15.75" customHeight="1">
      <c r="A894" s="14"/>
      <c r="B894" s="25"/>
      <c r="C894" s="26"/>
      <c r="D894" s="26"/>
    </row>
    <row r="895" ht="15.75" customHeight="1">
      <c r="A895" s="14"/>
      <c r="B895" s="25"/>
      <c r="C895" s="26"/>
      <c r="D895" s="26"/>
    </row>
    <row r="896" ht="15.75" customHeight="1">
      <c r="A896" s="14"/>
      <c r="B896" s="25"/>
      <c r="C896" s="26"/>
      <c r="D896" s="26"/>
    </row>
    <row r="897" ht="15.75" customHeight="1">
      <c r="A897" s="14"/>
      <c r="B897" s="25"/>
      <c r="C897" s="26"/>
      <c r="D897" s="26"/>
    </row>
    <row r="898" ht="15.75" customHeight="1">
      <c r="A898" s="14"/>
      <c r="B898" s="25"/>
      <c r="C898" s="26"/>
      <c r="D898" s="26"/>
    </row>
    <row r="899" ht="15.75" customHeight="1">
      <c r="A899" s="14"/>
      <c r="B899" s="25"/>
      <c r="C899" s="26"/>
      <c r="D899" s="26"/>
    </row>
    <row r="900" ht="15.75" customHeight="1">
      <c r="A900" s="14"/>
      <c r="B900" s="25"/>
      <c r="C900" s="26"/>
      <c r="D900" s="26"/>
    </row>
    <row r="901" ht="15.75" customHeight="1">
      <c r="A901" s="14"/>
      <c r="B901" s="25"/>
      <c r="C901" s="26"/>
      <c r="D901" s="26"/>
    </row>
    <row r="902" ht="15.75" customHeight="1">
      <c r="A902" s="14"/>
      <c r="B902" s="25"/>
      <c r="C902" s="26"/>
      <c r="D902" s="26"/>
    </row>
    <row r="903" ht="15.75" customHeight="1">
      <c r="A903" s="14"/>
      <c r="B903" s="25"/>
      <c r="C903" s="26"/>
      <c r="D903" s="26"/>
    </row>
    <row r="904" ht="15.75" customHeight="1">
      <c r="A904" s="14"/>
      <c r="B904" s="25"/>
      <c r="C904" s="26"/>
      <c r="D904" s="26"/>
    </row>
    <row r="905" ht="15.75" customHeight="1">
      <c r="A905" s="14"/>
      <c r="B905" s="25"/>
      <c r="C905" s="26"/>
      <c r="D905" s="26"/>
    </row>
    <row r="906" ht="15.75" customHeight="1">
      <c r="A906" s="14"/>
      <c r="B906" s="25"/>
      <c r="C906" s="26"/>
      <c r="D906" s="26"/>
    </row>
    <row r="907" ht="15.75" customHeight="1">
      <c r="A907" s="14"/>
      <c r="B907" s="25"/>
      <c r="C907" s="26"/>
      <c r="D907" s="26"/>
    </row>
    <row r="908" ht="15.75" customHeight="1">
      <c r="A908" s="14"/>
      <c r="B908" s="25"/>
      <c r="C908" s="26"/>
      <c r="D908" s="26"/>
    </row>
    <row r="909" ht="15.75" customHeight="1">
      <c r="A909" s="14"/>
      <c r="B909" s="25"/>
      <c r="C909" s="26"/>
      <c r="D909" s="26"/>
    </row>
    <row r="910" ht="15.75" customHeight="1">
      <c r="A910" s="14"/>
      <c r="B910" s="25"/>
      <c r="C910" s="26"/>
      <c r="D910" s="26"/>
    </row>
    <row r="911" ht="15.75" customHeight="1">
      <c r="A911" s="14"/>
      <c r="B911" s="25"/>
      <c r="C911" s="26"/>
      <c r="D911" s="26"/>
    </row>
    <row r="912" ht="15.75" customHeight="1">
      <c r="A912" s="14"/>
      <c r="B912" s="25"/>
      <c r="C912" s="26"/>
      <c r="D912" s="26"/>
    </row>
    <row r="913" ht="15.75" customHeight="1">
      <c r="A913" s="14"/>
      <c r="B913" s="25"/>
      <c r="C913" s="26"/>
      <c r="D913" s="26"/>
    </row>
    <row r="914" ht="15.75" customHeight="1">
      <c r="A914" s="14"/>
      <c r="B914" s="25"/>
      <c r="C914" s="26"/>
      <c r="D914" s="26"/>
    </row>
    <row r="915" ht="15.75" customHeight="1">
      <c r="A915" s="14"/>
      <c r="B915" s="25"/>
      <c r="C915" s="26"/>
      <c r="D915" s="26"/>
    </row>
    <row r="916" ht="15.75" customHeight="1">
      <c r="A916" s="14"/>
      <c r="B916" s="25"/>
      <c r="C916" s="26"/>
      <c r="D916" s="26"/>
    </row>
    <row r="917" ht="15.75" customHeight="1">
      <c r="A917" s="14"/>
      <c r="B917" s="25"/>
      <c r="C917" s="26"/>
      <c r="D917" s="26"/>
    </row>
    <row r="918" ht="15.75" customHeight="1">
      <c r="A918" s="14"/>
      <c r="B918" s="25"/>
      <c r="C918" s="26"/>
      <c r="D918" s="26"/>
    </row>
    <row r="919" ht="15.75" customHeight="1">
      <c r="A919" s="14"/>
      <c r="B919" s="25"/>
      <c r="C919" s="26"/>
      <c r="D919" s="26"/>
    </row>
    <row r="920" ht="15.75" customHeight="1">
      <c r="A920" s="14"/>
      <c r="B920" s="25"/>
      <c r="C920" s="26"/>
      <c r="D920" s="26"/>
    </row>
    <row r="921" ht="15.75" customHeight="1">
      <c r="A921" s="14"/>
      <c r="B921" s="25"/>
      <c r="C921" s="26"/>
      <c r="D921" s="26"/>
    </row>
    <row r="922" ht="15.75" customHeight="1">
      <c r="A922" s="14"/>
      <c r="B922" s="25"/>
      <c r="C922" s="26"/>
      <c r="D922" s="26"/>
    </row>
    <row r="923" ht="15.75" customHeight="1">
      <c r="A923" s="14"/>
      <c r="B923" s="25"/>
      <c r="C923" s="26"/>
      <c r="D923" s="26"/>
    </row>
    <row r="924" ht="15.75" customHeight="1">
      <c r="A924" s="14"/>
      <c r="B924" s="25"/>
      <c r="C924" s="26"/>
      <c r="D924" s="26"/>
    </row>
    <row r="925" ht="15.75" customHeight="1">
      <c r="A925" s="14"/>
      <c r="B925" s="25"/>
      <c r="C925" s="26"/>
      <c r="D925" s="26"/>
    </row>
    <row r="926" ht="15.75" customHeight="1">
      <c r="A926" s="14"/>
      <c r="B926" s="25"/>
      <c r="C926" s="26"/>
      <c r="D926" s="26"/>
    </row>
    <row r="927" ht="15.75" customHeight="1">
      <c r="A927" s="14"/>
      <c r="B927" s="25"/>
      <c r="C927" s="26"/>
      <c r="D927" s="26"/>
    </row>
    <row r="928" ht="15.75" customHeight="1">
      <c r="A928" s="14"/>
      <c r="B928" s="25"/>
      <c r="C928" s="26"/>
      <c r="D928" s="26"/>
    </row>
    <row r="929" ht="15.75" customHeight="1">
      <c r="A929" s="14"/>
      <c r="B929" s="25"/>
      <c r="C929" s="26"/>
      <c r="D929" s="26"/>
    </row>
    <row r="930" ht="15.75" customHeight="1">
      <c r="A930" s="14"/>
      <c r="B930" s="25"/>
      <c r="C930" s="26"/>
      <c r="D930" s="26"/>
    </row>
    <row r="931" ht="15.75" customHeight="1">
      <c r="A931" s="14"/>
      <c r="B931" s="25"/>
      <c r="C931" s="26"/>
      <c r="D931" s="26"/>
    </row>
    <row r="932" ht="15.75" customHeight="1">
      <c r="A932" s="14"/>
      <c r="B932" s="25"/>
      <c r="C932" s="26"/>
      <c r="D932" s="26"/>
    </row>
    <row r="933" ht="15.75" customHeight="1">
      <c r="A933" s="14"/>
      <c r="B933" s="25"/>
      <c r="C933" s="26"/>
      <c r="D933" s="26"/>
    </row>
    <row r="934" ht="15.75" customHeight="1">
      <c r="A934" s="14"/>
      <c r="B934" s="25"/>
      <c r="C934" s="26"/>
      <c r="D934" s="26"/>
    </row>
    <row r="935" ht="15.75" customHeight="1">
      <c r="A935" s="14"/>
      <c r="B935" s="25"/>
      <c r="C935" s="26"/>
      <c r="D935" s="26"/>
    </row>
    <row r="936" ht="15.75" customHeight="1">
      <c r="A936" s="14"/>
      <c r="B936" s="25"/>
      <c r="C936" s="26"/>
      <c r="D936" s="26"/>
    </row>
    <row r="937" ht="15.75" customHeight="1">
      <c r="A937" s="14"/>
      <c r="B937" s="25"/>
      <c r="C937" s="26"/>
      <c r="D937" s="26"/>
    </row>
    <row r="938" ht="15.75" customHeight="1">
      <c r="A938" s="14"/>
      <c r="B938" s="25"/>
      <c r="C938" s="26"/>
      <c r="D938" s="26"/>
    </row>
    <row r="939" ht="15.75" customHeight="1">
      <c r="A939" s="14"/>
      <c r="B939" s="25"/>
      <c r="C939" s="26"/>
      <c r="D939" s="26"/>
    </row>
    <row r="940" ht="15.75" customHeight="1">
      <c r="A940" s="14"/>
      <c r="B940" s="25"/>
      <c r="C940" s="26"/>
      <c r="D940" s="26"/>
    </row>
    <row r="941" ht="15.75" customHeight="1">
      <c r="A941" s="14"/>
      <c r="B941" s="25"/>
      <c r="C941" s="26"/>
      <c r="D941" s="26"/>
    </row>
    <row r="942" ht="15.75" customHeight="1">
      <c r="A942" s="14"/>
      <c r="B942" s="25"/>
      <c r="C942" s="26"/>
      <c r="D942" s="26"/>
    </row>
    <row r="943" ht="15.75" customHeight="1">
      <c r="A943" s="14"/>
      <c r="B943" s="25"/>
      <c r="C943" s="26"/>
      <c r="D943" s="26"/>
    </row>
    <row r="944" ht="15.75" customHeight="1">
      <c r="A944" s="14"/>
      <c r="B944" s="25"/>
      <c r="C944" s="26"/>
      <c r="D944" s="26"/>
    </row>
    <row r="945" ht="15.75" customHeight="1">
      <c r="A945" s="14"/>
      <c r="B945" s="25"/>
      <c r="C945" s="26"/>
      <c r="D945" s="26"/>
    </row>
    <row r="946" ht="15.75" customHeight="1">
      <c r="A946" s="14"/>
      <c r="B946" s="25"/>
      <c r="C946" s="26"/>
      <c r="D946" s="26"/>
    </row>
    <row r="947" ht="15.75" customHeight="1">
      <c r="A947" s="14"/>
      <c r="B947" s="25"/>
      <c r="C947" s="26"/>
      <c r="D947" s="26"/>
    </row>
    <row r="948" ht="15.75" customHeight="1">
      <c r="A948" s="14"/>
      <c r="B948" s="25"/>
      <c r="C948" s="26"/>
      <c r="D948" s="26"/>
    </row>
    <row r="949" ht="15.75" customHeight="1">
      <c r="A949" s="14"/>
      <c r="B949" s="25"/>
      <c r="C949" s="26"/>
      <c r="D949" s="26"/>
    </row>
    <row r="950" ht="15.75" customHeight="1">
      <c r="A950" s="14"/>
      <c r="B950" s="25"/>
      <c r="C950" s="26"/>
      <c r="D950" s="26"/>
    </row>
    <row r="951" ht="15.75" customHeight="1">
      <c r="A951" s="14"/>
      <c r="B951" s="25"/>
      <c r="C951" s="26"/>
      <c r="D951" s="26"/>
    </row>
    <row r="952" ht="15.75" customHeight="1">
      <c r="A952" s="14"/>
      <c r="B952" s="25"/>
      <c r="C952" s="26"/>
      <c r="D952" s="26"/>
    </row>
    <row r="953" ht="15.75" customHeight="1">
      <c r="A953" s="14"/>
      <c r="B953" s="25"/>
      <c r="C953" s="26"/>
      <c r="D953" s="26"/>
    </row>
    <row r="954" ht="15.75" customHeight="1">
      <c r="A954" s="14"/>
      <c r="B954" s="25"/>
      <c r="C954" s="26"/>
      <c r="D954" s="26"/>
    </row>
    <row r="955" ht="15.75" customHeight="1">
      <c r="A955" s="14"/>
      <c r="B955" s="25"/>
      <c r="C955" s="26"/>
      <c r="D955" s="26"/>
    </row>
    <row r="956" ht="15.75" customHeight="1">
      <c r="A956" s="14"/>
      <c r="B956" s="25"/>
      <c r="C956" s="26"/>
      <c r="D956" s="26"/>
    </row>
    <row r="957" ht="15.75" customHeight="1">
      <c r="A957" s="14"/>
      <c r="B957" s="25"/>
      <c r="C957" s="26"/>
      <c r="D957" s="26"/>
    </row>
    <row r="958" ht="15.75" customHeight="1">
      <c r="A958" s="14"/>
      <c r="B958" s="25"/>
      <c r="C958" s="26"/>
      <c r="D958" s="26"/>
    </row>
    <row r="959" ht="15.75" customHeight="1">
      <c r="A959" s="14"/>
      <c r="B959" s="25"/>
      <c r="C959" s="26"/>
      <c r="D959" s="26"/>
    </row>
    <row r="960" ht="15.75" customHeight="1">
      <c r="A960" s="14"/>
      <c r="B960" s="25"/>
      <c r="C960" s="26"/>
      <c r="D960" s="26"/>
    </row>
    <row r="961" ht="15.75" customHeight="1">
      <c r="A961" s="14"/>
      <c r="B961" s="25"/>
      <c r="C961" s="26"/>
      <c r="D961" s="26"/>
    </row>
    <row r="962" ht="15.75" customHeight="1">
      <c r="A962" s="14"/>
      <c r="B962" s="25"/>
      <c r="C962" s="26"/>
      <c r="D962" s="26"/>
    </row>
    <row r="963" ht="15.75" customHeight="1">
      <c r="A963" s="14"/>
      <c r="B963" s="25"/>
      <c r="C963" s="26"/>
      <c r="D963" s="26"/>
    </row>
    <row r="964" ht="15.75" customHeight="1">
      <c r="A964" s="14"/>
      <c r="B964" s="25"/>
      <c r="C964" s="26"/>
      <c r="D964" s="26"/>
    </row>
    <row r="965" ht="15.75" customHeight="1">
      <c r="A965" s="14"/>
      <c r="B965" s="25"/>
      <c r="C965" s="26"/>
      <c r="D965" s="26"/>
    </row>
    <row r="966" ht="15.75" customHeight="1">
      <c r="A966" s="14"/>
      <c r="B966" s="25"/>
      <c r="C966" s="26"/>
      <c r="D966" s="26"/>
    </row>
    <row r="967" ht="15.75" customHeight="1">
      <c r="A967" s="14"/>
      <c r="B967" s="25"/>
      <c r="C967" s="26"/>
      <c r="D967" s="26"/>
    </row>
    <row r="968" ht="15.75" customHeight="1">
      <c r="A968" s="14"/>
      <c r="B968" s="25"/>
      <c r="C968" s="26"/>
      <c r="D968" s="26"/>
    </row>
    <row r="969" ht="15.75" customHeight="1">
      <c r="A969" s="14"/>
      <c r="B969" s="25"/>
      <c r="C969" s="26"/>
      <c r="D969" s="26"/>
    </row>
    <row r="970" ht="15.75" customHeight="1">
      <c r="A970" s="14"/>
      <c r="B970" s="25"/>
      <c r="C970" s="26"/>
      <c r="D970" s="26"/>
    </row>
    <row r="971" ht="15.75" customHeight="1">
      <c r="A971" s="14"/>
      <c r="B971" s="25"/>
      <c r="C971" s="26"/>
      <c r="D971" s="26"/>
    </row>
    <row r="972" ht="15.75" customHeight="1">
      <c r="A972" s="14"/>
      <c r="B972" s="25"/>
      <c r="C972" s="26"/>
      <c r="D972" s="26"/>
    </row>
    <row r="973" ht="15.75" customHeight="1">
      <c r="A973" s="14"/>
      <c r="B973" s="25"/>
      <c r="C973" s="26"/>
      <c r="D973" s="26"/>
    </row>
    <row r="974" ht="15.75" customHeight="1">
      <c r="A974" s="14"/>
      <c r="B974" s="25"/>
      <c r="C974" s="26"/>
      <c r="D974" s="26"/>
    </row>
    <row r="975" ht="15.75" customHeight="1">
      <c r="A975" s="14"/>
      <c r="B975" s="25"/>
      <c r="C975" s="26"/>
      <c r="D975" s="26"/>
    </row>
    <row r="976" ht="15.75" customHeight="1">
      <c r="A976" s="14"/>
      <c r="B976" s="25"/>
      <c r="C976" s="26"/>
      <c r="D976" s="26"/>
    </row>
    <row r="977" ht="15.75" customHeight="1">
      <c r="A977" s="14"/>
      <c r="B977" s="25"/>
      <c r="C977" s="26"/>
      <c r="D977" s="26"/>
    </row>
    <row r="978" ht="15.75" customHeight="1">
      <c r="A978" s="14"/>
      <c r="B978" s="25"/>
      <c r="C978" s="26"/>
      <c r="D978" s="26"/>
    </row>
    <row r="979" ht="15.75" customHeight="1">
      <c r="A979" s="14"/>
      <c r="B979" s="25"/>
      <c r="C979" s="26"/>
      <c r="D979" s="26"/>
    </row>
    <row r="980" ht="15.75" customHeight="1">
      <c r="A980" s="14"/>
      <c r="B980" s="25"/>
      <c r="C980" s="26"/>
      <c r="D980" s="26"/>
    </row>
    <row r="981" ht="15.75" customHeight="1">
      <c r="A981" s="14"/>
      <c r="B981" s="25"/>
      <c r="C981" s="26"/>
      <c r="D981" s="26"/>
    </row>
    <row r="982" ht="15.75" customHeight="1">
      <c r="A982" s="14"/>
      <c r="B982" s="25"/>
      <c r="C982" s="26"/>
      <c r="D982" s="26"/>
    </row>
    <row r="983" ht="15.75" customHeight="1">
      <c r="A983" s="14"/>
      <c r="B983" s="25"/>
      <c r="C983" s="26"/>
      <c r="D983" s="26"/>
    </row>
    <row r="984" ht="15.75" customHeight="1">
      <c r="A984" s="14"/>
      <c r="B984" s="25"/>
      <c r="C984" s="26"/>
      <c r="D984" s="26"/>
    </row>
    <row r="985" ht="15.75" customHeight="1">
      <c r="A985" s="14"/>
      <c r="B985" s="25"/>
      <c r="C985" s="26"/>
      <c r="D985" s="26"/>
    </row>
    <row r="986" ht="15.75" customHeight="1">
      <c r="A986" s="14"/>
      <c r="B986" s="25"/>
      <c r="C986" s="26"/>
      <c r="D986" s="26"/>
    </row>
    <row r="987" ht="15.75" customHeight="1">
      <c r="A987" s="14"/>
      <c r="B987" s="25"/>
      <c r="C987" s="26"/>
      <c r="D987" s="26"/>
    </row>
    <row r="988" ht="15.75" customHeight="1">
      <c r="A988" s="14"/>
      <c r="B988" s="25"/>
      <c r="C988" s="26"/>
      <c r="D988" s="26"/>
    </row>
    <row r="989" ht="15.75" customHeight="1">
      <c r="A989" s="14"/>
      <c r="B989" s="25"/>
      <c r="C989" s="26"/>
      <c r="D989" s="26"/>
    </row>
    <row r="990" ht="15.75" customHeight="1">
      <c r="A990" s="14"/>
      <c r="B990" s="25"/>
      <c r="C990" s="26"/>
      <c r="D990" s="26"/>
    </row>
    <row r="991" ht="15.75" customHeight="1">
      <c r="A991" s="14"/>
      <c r="B991" s="25"/>
      <c r="C991" s="26"/>
      <c r="D991" s="26"/>
    </row>
    <row r="992" ht="15.75" customHeight="1">
      <c r="A992" s="14"/>
      <c r="B992" s="25"/>
      <c r="C992" s="26"/>
      <c r="D992" s="26"/>
    </row>
    <row r="993" ht="15.75" customHeight="1">
      <c r="A993" s="14"/>
      <c r="B993" s="25"/>
      <c r="C993" s="26"/>
      <c r="D993" s="26"/>
    </row>
    <row r="994" ht="15.75" customHeight="1">
      <c r="A994" s="14"/>
      <c r="B994" s="25"/>
      <c r="C994" s="26"/>
      <c r="D994" s="26"/>
    </row>
    <row r="995" ht="15.75" customHeight="1">
      <c r="A995" s="14"/>
      <c r="B995" s="25"/>
      <c r="C995" s="26"/>
      <c r="D995" s="26"/>
    </row>
    <row r="996" ht="15.75" customHeight="1">
      <c r="A996" s="14"/>
      <c r="B996" s="25"/>
      <c r="C996" s="26"/>
      <c r="D996" s="26"/>
    </row>
    <row r="997" ht="15.75" customHeight="1">
      <c r="A997" s="14"/>
      <c r="B997" s="25"/>
      <c r="C997" s="26"/>
      <c r="D997" s="26"/>
    </row>
    <row r="998" ht="15.75" customHeight="1">
      <c r="A998" s="14"/>
      <c r="B998" s="25"/>
      <c r="C998" s="26"/>
      <c r="D998" s="26"/>
    </row>
    <row r="999" ht="15.75" customHeight="1">
      <c r="A999" s="14"/>
      <c r="B999" s="25"/>
      <c r="C999" s="26"/>
      <c r="D999" s="26"/>
    </row>
    <row r="1000" ht="15.75" customHeight="1">
      <c r="A1000" s="14"/>
      <c r="B1000" s="25"/>
      <c r="C1000" s="26"/>
      <c r="D1000" s="2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21" t="s">
        <v>20</v>
      </c>
      <c r="B1" s="22" t="s">
        <v>21</v>
      </c>
      <c r="C1" s="23" t="s">
        <v>22</v>
      </c>
      <c r="D1" s="23" t="s">
        <v>23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8">
        <v>10101.0</v>
      </c>
      <c r="B2" s="24" t="s">
        <v>24</v>
      </c>
      <c r="C2" s="26"/>
      <c r="D2" s="2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8">
        <v>10102.0</v>
      </c>
      <c r="B3" s="24" t="s">
        <v>25</v>
      </c>
      <c r="C3" s="26"/>
      <c r="D3" s="2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8">
        <v>10103.0</v>
      </c>
      <c r="B4" s="24" t="s">
        <v>26</v>
      </c>
      <c r="C4" s="26"/>
      <c r="D4" s="2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8">
        <v>10201.0</v>
      </c>
      <c r="B5" s="24" t="s">
        <v>27</v>
      </c>
      <c r="C5" s="26"/>
      <c r="D5" s="2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8">
        <v>10202.0</v>
      </c>
      <c r="B6" s="24" t="s">
        <v>28</v>
      </c>
      <c r="C6" s="26"/>
      <c r="D6" s="2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8">
        <v>10301.0</v>
      </c>
      <c r="B7" s="24" t="s">
        <v>29</v>
      </c>
      <c r="C7" s="26"/>
      <c r="D7" s="2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8">
        <v>10302.0</v>
      </c>
      <c r="B8" s="24" t="s">
        <v>30</v>
      </c>
      <c r="C8" s="26"/>
      <c r="D8" s="2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8">
        <v>10303.0</v>
      </c>
      <c r="B9" s="24" t="s">
        <v>31</v>
      </c>
      <c r="C9" s="26"/>
      <c r="D9" s="2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8">
        <v>10304.0</v>
      </c>
      <c r="B10" s="24" t="s">
        <v>32</v>
      </c>
      <c r="C10" s="26"/>
      <c r="D10" s="2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8">
        <v>10401.0</v>
      </c>
      <c r="B11" s="24" t="s">
        <v>33</v>
      </c>
      <c r="C11" s="26"/>
      <c r="D11" s="2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8">
        <v>10402.0</v>
      </c>
      <c r="B12" s="24" t="s">
        <v>34</v>
      </c>
      <c r="C12" s="26"/>
      <c r="D12" s="2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8">
        <v>10403.0</v>
      </c>
      <c r="B13" s="24" t="s">
        <v>35</v>
      </c>
      <c r="C13" s="26"/>
      <c r="D13" s="2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8">
        <v>10404.0</v>
      </c>
      <c r="B14" s="24" t="s">
        <v>362</v>
      </c>
      <c r="C14" s="26"/>
      <c r="D14" s="2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8">
        <v>10405.0</v>
      </c>
      <c r="B15" s="24" t="s">
        <v>37</v>
      </c>
      <c r="C15" s="26"/>
      <c r="D15" s="2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8">
        <v>10501.0</v>
      </c>
      <c r="B16" s="24" t="s">
        <v>38</v>
      </c>
      <c r="C16" s="26"/>
      <c r="D16" s="2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8">
        <v>10502.0</v>
      </c>
      <c r="B17" s="24" t="s">
        <v>39</v>
      </c>
      <c r="C17" s="26"/>
      <c r="D17" s="2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8">
        <v>10601.0</v>
      </c>
      <c r="B18" s="24" t="s">
        <v>40</v>
      </c>
      <c r="C18" s="26"/>
      <c r="D18" s="2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8">
        <v>10602.0</v>
      </c>
      <c r="B19" s="24" t="s">
        <v>41</v>
      </c>
      <c r="C19" s="26"/>
      <c r="D19" s="2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8">
        <v>10701.0</v>
      </c>
      <c r="B20" s="24" t="s">
        <v>42</v>
      </c>
      <c r="C20" s="26"/>
      <c r="D20" s="2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8">
        <v>10702.0</v>
      </c>
      <c r="B21" s="24" t="s">
        <v>43</v>
      </c>
      <c r="C21" s="26"/>
      <c r="D21" s="2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8">
        <v>10703.0</v>
      </c>
      <c r="B22" s="24" t="s">
        <v>44</v>
      </c>
      <c r="C22" s="26"/>
      <c r="D22" s="2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8">
        <v>10704.0</v>
      </c>
      <c r="B23" s="24" t="s">
        <v>45</v>
      </c>
      <c r="C23" s="26"/>
      <c r="D23" s="2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8">
        <v>10801.0</v>
      </c>
      <c r="B24" s="24" t="s">
        <v>46</v>
      </c>
      <c r="C24" s="26"/>
      <c r="D24" s="2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8">
        <v>10901.0</v>
      </c>
      <c r="B25" s="24" t="s">
        <v>363</v>
      </c>
      <c r="C25" s="26"/>
      <c r="D25" s="2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8">
        <v>10902.0</v>
      </c>
      <c r="B26" s="24" t="s">
        <v>48</v>
      </c>
      <c r="C26" s="26"/>
      <c r="D26" s="2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8">
        <v>10903.0</v>
      </c>
      <c r="B27" s="24" t="s">
        <v>49</v>
      </c>
      <c r="C27" s="26"/>
      <c r="D27" s="2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8">
        <v>11001.0</v>
      </c>
      <c r="B28" s="24" t="s">
        <v>364</v>
      </c>
      <c r="C28" s="26"/>
      <c r="D28" s="2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8">
        <v>11002.0</v>
      </c>
      <c r="B29" s="24" t="s">
        <v>365</v>
      </c>
      <c r="C29" s="26"/>
      <c r="D29" s="2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8">
        <v>11003.0</v>
      </c>
      <c r="B30" s="24" t="s">
        <v>366</v>
      </c>
      <c r="C30" s="26"/>
      <c r="D30" s="2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8">
        <v>20101.0</v>
      </c>
      <c r="B31" s="24" t="s">
        <v>367</v>
      </c>
      <c r="C31" s="26"/>
      <c r="D31" s="2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8">
        <v>20102.0</v>
      </c>
      <c r="B32" s="24" t="s">
        <v>54</v>
      </c>
      <c r="C32" s="26"/>
      <c r="D32" s="2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8">
        <v>20103.0</v>
      </c>
      <c r="B33" s="24" t="s">
        <v>55</v>
      </c>
      <c r="C33" s="26"/>
      <c r="D33" s="2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8">
        <v>20104.0</v>
      </c>
      <c r="B34" s="24" t="s">
        <v>56</v>
      </c>
      <c r="C34" s="26"/>
      <c r="D34" s="2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8">
        <v>20105.0</v>
      </c>
      <c r="B35" s="24" t="s">
        <v>57</v>
      </c>
      <c r="C35" s="26"/>
      <c r="D35" s="2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8">
        <v>20201.0</v>
      </c>
      <c r="B36" s="24" t="s">
        <v>58</v>
      </c>
      <c r="C36" s="26"/>
      <c r="D36" s="2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8">
        <v>20202.0</v>
      </c>
      <c r="B37" s="24" t="s">
        <v>368</v>
      </c>
      <c r="C37" s="26"/>
      <c r="D37" s="2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8">
        <v>20203.0</v>
      </c>
      <c r="B38" s="24" t="s">
        <v>60</v>
      </c>
      <c r="C38" s="26"/>
      <c r="D38" s="2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8">
        <v>20204.0</v>
      </c>
      <c r="B39" s="24" t="s">
        <v>61</v>
      </c>
      <c r="C39" s="26"/>
      <c r="D39" s="2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8">
        <v>20205.0</v>
      </c>
      <c r="B40" s="24" t="s">
        <v>62</v>
      </c>
      <c r="C40" s="26"/>
      <c r="D40" s="26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8">
        <v>20206.0</v>
      </c>
      <c r="B41" s="24" t="s">
        <v>63</v>
      </c>
      <c r="C41" s="26"/>
      <c r="D41" s="26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8">
        <v>20301.0</v>
      </c>
      <c r="B42" s="24" t="s">
        <v>64</v>
      </c>
      <c r="C42" s="26"/>
      <c r="D42" s="26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8">
        <v>20302.0</v>
      </c>
      <c r="B43" s="24" t="s">
        <v>65</v>
      </c>
      <c r="C43" s="26"/>
      <c r="D43" s="26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8">
        <v>20303.0</v>
      </c>
      <c r="B44" s="24" t="s">
        <v>66</v>
      </c>
      <c r="C44" s="26"/>
      <c r="D44" s="26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8">
        <v>20304.0</v>
      </c>
      <c r="B45" s="24" t="s">
        <v>67</v>
      </c>
      <c r="C45" s="26"/>
      <c r="D45" s="26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8">
        <v>20305.0</v>
      </c>
      <c r="B46" s="24" t="s">
        <v>68</v>
      </c>
      <c r="C46" s="26"/>
      <c r="D46" s="26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8">
        <v>20306.0</v>
      </c>
      <c r="B47" s="24" t="s">
        <v>69</v>
      </c>
      <c r="C47" s="26"/>
      <c r="D47" s="26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8">
        <v>20307.0</v>
      </c>
      <c r="B48" s="24" t="s">
        <v>70</v>
      </c>
      <c r="C48" s="26"/>
      <c r="D48" s="2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8">
        <v>20308.0</v>
      </c>
      <c r="B49" s="24" t="s">
        <v>369</v>
      </c>
      <c r="C49" s="26"/>
      <c r="D49" s="26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8">
        <v>20401.0</v>
      </c>
      <c r="B50" s="24" t="s">
        <v>72</v>
      </c>
      <c r="C50" s="26"/>
      <c r="D50" s="26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8">
        <v>20402.0</v>
      </c>
      <c r="B51" s="24" t="s">
        <v>73</v>
      </c>
      <c r="C51" s="26"/>
      <c r="D51" s="26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8">
        <v>20403.0</v>
      </c>
      <c r="B52" s="24" t="s">
        <v>370</v>
      </c>
      <c r="C52" s="26"/>
      <c r="D52" s="26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8">
        <v>20404.0</v>
      </c>
      <c r="B53" s="24" t="s">
        <v>75</v>
      </c>
      <c r="C53" s="26"/>
      <c r="D53" s="26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8">
        <v>20405.0</v>
      </c>
      <c r="B54" s="24" t="s">
        <v>76</v>
      </c>
      <c r="C54" s="26"/>
      <c r="D54" s="26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8">
        <v>20501.0</v>
      </c>
      <c r="B55" s="24" t="s">
        <v>77</v>
      </c>
      <c r="C55" s="26"/>
      <c r="D55" s="26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8">
        <v>20502.0</v>
      </c>
      <c r="B56" s="24" t="s">
        <v>78</v>
      </c>
      <c r="C56" s="26"/>
      <c r="D56" s="26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8">
        <v>20503.0</v>
      </c>
      <c r="B57" s="24" t="s">
        <v>79</v>
      </c>
      <c r="C57" s="26"/>
      <c r="D57" s="26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8">
        <v>20601.0</v>
      </c>
      <c r="B58" s="24" t="s">
        <v>80</v>
      </c>
      <c r="C58" s="26"/>
      <c r="D58" s="2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8">
        <v>20602.0</v>
      </c>
      <c r="B59" s="24" t="s">
        <v>81</v>
      </c>
      <c r="C59" s="26"/>
      <c r="D59" s="2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8">
        <v>20603.0</v>
      </c>
      <c r="B60" s="24" t="s">
        <v>82</v>
      </c>
      <c r="C60" s="26"/>
      <c r="D60" s="26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8">
        <v>20604.0</v>
      </c>
      <c r="B61" s="24" t="s">
        <v>83</v>
      </c>
      <c r="C61" s="26"/>
      <c r="D61" s="26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8">
        <v>20605.0</v>
      </c>
      <c r="B62" s="24" t="s">
        <v>84</v>
      </c>
      <c r="C62" s="26"/>
      <c r="D62" s="26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8">
        <v>20606.0</v>
      </c>
      <c r="B63" s="24" t="s">
        <v>85</v>
      </c>
      <c r="C63" s="26"/>
      <c r="D63" s="26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8">
        <v>20607.0</v>
      </c>
      <c r="B64" s="24" t="s">
        <v>86</v>
      </c>
      <c r="C64" s="26"/>
      <c r="D64" s="26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8">
        <v>20608.0</v>
      </c>
      <c r="B65" s="24" t="s">
        <v>87</v>
      </c>
      <c r="C65" s="26"/>
      <c r="D65" s="26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8">
        <v>20701.0</v>
      </c>
      <c r="B66" s="24" t="s">
        <v>88</v>
      </c>
      <c r="C66" s="26"/>
      <c r="D66" s="26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8">
        <v>20702.0</v>
      </c>
      <c r="B67" s="24" t="s">
        <v>89</v>
      </c>
      <c r="C67" s="26"/>
      <c r="D67" s="2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8">
        <v>20801.0</v>
      </c>
      <c r="B68" s="24" t="s">
        <v>90</v>
      </c>
      <c r="C68" s="26"/>
      <c r="D68" s="2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8">
        <v>20802.0</v>
      </c>
      <c r="B69" s="24" t="s">
        <v>371</v>
      </c>
      <c r="C69" s="26"/>
      <c r="D69" s="26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8">
        <v>20803.0</v>
      </c>
      <c r="B70" s="24" t="s">
        <v>372</v>
      </c>
      <c r="C70" s="26"/>
      <c r="D70" s="26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8">
        <v>20804.0</v>
      </c>
      <c r="B71" s="24" t="s">
        <v>93</v>
      </c>
      <c r="C71" s="26"/>
      <c r="D71" s="26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8">
        <v>20805.0</v>
      </c>
      <c r="B72" s="24" t="s">
        <v>373</v>
      </c>
      <c r="C72" s="26"/>
      <c r="D72" s="2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8">
        <v>20806.0</v>
      </c>
      <c r="B73" s="24" t="s">
        <v>374</v>
      </c>
      <c r="C73" s="26"/>
      <c r="D73" s="26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8">
        <v>20807.0</v>
      </c>
      <c r="B74" s="24" t="s">
        <v>96</v>
      </c>
      <c r="C74" s="26"/>
      <c r="D74" s="26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8">
        <v>20901.0</v>
      </c>
      <c r="B75" s="24" t="s">
        <v>97</v>
      </c>
      <c r="C75" s="26"/>
      <c r="D75" s="26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8">
        <v>20902.0</v>
      </c>
      <c r="B76" s="24" t="s">
        <v>98</v>
      </c>
      <c r="C76" s="26"/>
      <c r="D76" s="26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8">
        <v>20903.0</v>
      </c>
      <c r="B77" s="24" t="s">
        <v>99</v>
      </c>
      <c r="C77" s="26"/>
      <c r="D77" s="26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8">
        <v>20904.0</v>
      </c>
      <c r="B78" s="24" t="s">
        <v>100</v>
      </c>
      <c r="C78" s="26"/>
      <c r="D78" s="2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8">
        <v>20905.0</v>
      </c>
      <c r="B79" s="24" t="s">
        <v>101</v>
      </c>
      <c r="C79" s="26"/>
      <c r="D79" s="2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8">
        <v>21001.0</v>
      </c>
      <c r="B80" s="24" t="s">
        <v>102</v>
      </c>
      <c r="C80" s="26"/>
      <c r="D80" s="2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8">
        <v>21002.0</v>
      </c>
      <c r="B81" s="24" t="s">
        <v>103</v>
      </c>
      <c r="C81" s="26"/>
      <c r="D81" s="2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8">
        <v>21003.0</v>
      </c>
      <c r="B82" s="24" t="s">
        <v>104</v>
      </c>
      <c r="C82" s="26"/>
      <c r="D82" s="26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8">
        <v>21004.0</v>
      </c>
      <c r="B83" s="24" t="s">
        <v>105</v>
      </c>
      <c r="C83" s="26"/>
      <c r="D83" s="26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8">
        <v>21005.0</v>
      </c>
      <c r="B84" s="24" t="s">
        <v>106</v>
      </c>
      <c r="C84" s="26"/>
      <c r="D84" s="2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8">
        <v>21006.0</v>
      </c>
      <c r="B85" s="24" t="s">
        <v>107</v>
      </c>
      <c r="C85" s="26"/>
      <c r="D85" s="26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8">
        <v>21101.0</v>
      </c>
      <c r="B86" s="24" t="s">
        <v>108</v>
      </c>
      <c r="C86" s="26"/>
      <c r="D86" s="2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8">
        <v>21102.0</v>
      </c>
      <c r="B87" s="24" t="s">
        <v>109</v>
      </c>
      <c r="C87" s="26"/>
      <c r="D87" s="26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8">
        <v>21103.0</v>
      </c>
      <c r="B88" s="24" t="s">
        <v>110</v>
      </c>
      <c r="C88" s="26"/>
      <c r="D88" s="26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8">
        <v>21104.0</v>
      </c>
      <c r="B89" s="24" t="s">
        <v>111</v>
      </c>
      <c r="C89" s="26"/>
      <c r="D89" s="26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8">
        <v>21105.0</v>
      </c>
      <c r="B90" s="24" t="s">
        <v>112</v>
      </c>
      <c r="C90" s="26"/>
      <c r="D90" s="26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8">
        <v>21201.0</v>
      </c>
      <c r="B91" s="24" t="s">
        <v>113</v>
      </c>
      <c r="C91" s="26"/>
      <c r="D91" s="26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8">
        <v>21202.0</v>
      </c>
      <c r="B92" s="24" t="s">
        <v>114</v>
      </c>
      <c r="C92" s="26"/>
      <c r="D92" s="26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8">
        <v>21203.0</v>
      </c>
      <c r="B93" s="24" t="s">
        <v>115</v>
      </c>
      <c r="C93" s="26"/>
      <c r="D93" s="26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8">
        <v>21204.0</v>
      </c>
      <c r="B94" s="24" t="s">
        <v>116</v>
      </c>
      <c r="C94" s="26"/>
      <c r="D94" s="26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8">
        <v>21301.0</v>
      </c>
      <c r="B95" s="24" t="s">
        <v>375</v>
      </c>
      <c r="C95" s="26"/>
      <c r="D95" s="26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8">
        <v>21302.0</v>
      </c>
      <c r="B96" s="24" t="s">
        <v>118</v>
      </c>
      <c r="C96" s="26"/>
      <c r="D96" s="26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8">
        <v>21303.0</v>
      </c>
      <c r="B97" s="24" t="s">
        <v>119</v>
      </c>
      <c r="C97" s="26"/>
      <c r="D97" s="26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8">
        <v>21304.0</v>
      </c>
      <c r="B98" s="24" t="s">
        <v>120</v>
      </c>
      <c r="C98" s="26"/>
      <c r="D98" s="26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8">
        <v>21305.0</v>
      </c>
      <c r="B99" s="24" t="s">
        <v>121</v>
      </c>
      <c r="C99" s="26"/>
      <c r="D99" s="26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8">
        <v>21306.0</v>
      </c>
      <c r="B100" s="24" t="s">
        <v>122</v>
      </c>
      <c r="C100" s="26"/>
      <c r="D100" s="2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8">
        <v>21307.0</v>
      </c>
      <c r="B101" s="24" t="s">
        <v>123</v>
      </c>
      <c r="C101" s="26"/>
      <c r="D101" s="26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8">
        <v>21401.0</v>
      </c>
      <c r="B102" s="24" t="s">
        <v>124</v>
      </c>
      <c r="C102" s="26"/>
      <c r="D102" s="26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8">
        <v>21402.0</v>
      </c>
      <c r="B103" s="24" t="s">
        <v>125</v>
      </c>
      <c r="C103" s="26"/>
      <c r="D103" s="26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8">
        <v>21501.0</v>
      </c>
      <c r="B104" s="24" t="s">
        <v>376</v>
      </c>
      <c r="C104" s="26"/>
      <c r="D104" s="2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8">
        <v>21502.0</v>
      </c>
      <c r="B105" s="24" t="s">
        <v>127</v>
      </c>
      <c r="C105" s="26"/>
      <c r="D105" s="26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8">
        <v>21601.0</v>
      </c>
      <c r="B106" s="24" t="s">
        <v>128</v>
      </c>
      <c r="C106" s="26"/>
      <c r="D106" s="26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8">
        <v>21602.0</v>
      </c>
      <c r="B107" s="24" t="s">
        <v>129</v>
      </c>
      <c r="C107" s="26"/>
      <c r="D107" s="26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8">
        <v>21701.0</v>
      </c>
      <c r="B108" s="24" t="s">
        <v>130</v>
      </c>
      <c r="C108" s="26"/>
      <c r="D108" s="26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8">
        <v>21702.0</v>
      </c>
      <c r="B109" s="24" t="s">
        <v>131</v>
      </c>
      <c r="C109" s="26"/>
      <c r="D109" s="26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8">
        <v>21703.0</v>
      </c>
      <c r="B110" s="24" t="s">
        <v>132</v>
      </c>
      <c r="C110" s="26"/>
      <c r="D110" s="26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8">
        <v>21801.0</v>
      </c>
      <c r="B111" s="24" t="s">
        <v>133</v>
      </c>
      <c r="C111" s="26"/>
      <c r="D111" s="26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8">
        <v>21802.0</v>
      </c>
      <c r="B112" s="24" t="s">
        <v>134</v>
      </c>
      <c r="C112" s="26"/>
      <c r="D112" s="26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8">
        <v>21803.0</v>
      </c>
      <c r="B113" s="24" t="s">
        <v>135</v>
      </c>
      <c r="C113" s="26"/>
      <c r="D113" s="26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8">
        <v>21901.0</v>
      </c>
      <c r="B114" s="24" t="s">
        <v>136</v>
      </c>
      <c r="C114" s="26"/>
      <c r="D114" s="26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8">
        <v>21902.0</v>
      </c>
      <c r="B115" s="24" t="s">
        <v>137</v>
      </c>
      <c r="C115" s="26"/>
      <c r="D115" s="26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8">
        <v>22001.0</v>
      </c>
      <c r="B116" s="24" t="s">
        <v>138</v>
      </c>
      <c r="C116" s="26"/>
      <c r="D116" s="26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8">
        <v>22002.0</v>
      </c>
      <c r="B117" s="24" t="s">
        <v>139</v>
      </c>
      <c r="C117" s="26"/>
      <c r="D117" s="26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8">
        <v>30101.0</v>
      </c>
      <c r="B118" s="24" t="s">
        <v>377</v>
      </c>
      <c r="C118" s="26"/>
      <c r="D118" s="26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8">
        <v>30201.0</v>
      </c>
      <c r="B119" s="24" t="s">
        <v>141</v>
      </c>
      <c r="C119" s="26"/>
      <c r="D119" s="26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8">
        <v>30202.0</v>
      </c>
      <c r="B120" s="24" t="s">
        <v>142</v>
      </c>
      <c r="C120" s="26"/>
      <c r="D120" s="26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8">
        <v>30203.0</v>
      </c>
      <c r="B121" s="24" t="s">
        <v>143</v>
      </c>
      <c r="C121" s="26"/>
      <c r="D121" s="26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8">
        <v>30301.0</v>
      </c>
      <c r="B122" s="24" t="s">
        <v>378</v>
      </c>
      <c r="C122" s="26"/>
      <c r="D122" s="26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8">
        <v>30302.0</v>
      </c>
      <c r="B123" s="24" t="s">
        <v>145</v>
      </c>
      <c r="C123" s="26"/>
      <c r="D123" s="26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8">
        <v>30303.0</v>
      </c>
      <c r="B124" s="24" t="s">
        <v>146</v>
      </c>
      <c r="C124" s="26"/>
      <c r="D124" s="26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8">
        <v>30401.0</v>
      </c>
      <c r="B125" s="24" t="s">
        <v>379</v>
      </c>
      <c r="C125" s="26"/>
      <c r="D125" s="26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8">
        <v>30402.0</v>
      </c>
      <c r="B126" s="24" t="s">
        <v>148</v>
      </c>
      <c r="C126" s="26"/>
      <c r="D126" s="26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8">
        <v>30403.0</v>
      </c>
      <c r="B127" s="24" t="s">
        <v>149</v>
      </c>
      <c r="C127" s="26"/>
      <c r="D127" s="26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8">
        <v>30404.0</v>
      </c>
      <c r="B128" s="24" t="s">
        <v>150</v>
      </c>
      <c r="C128" s="26"/>
      <c r="D128" s="26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8">
        <v>30501.0</v>
      </c>
      <c r="B129" s="24" t="s">
        <v>151</v>
      </c>
      <c r="C129" s="26"/>
      <c r="D129" s="26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8">
        <v>30502.0</v>
      </c>
      <c r="B130" s="24" t="s">
        <v>152</v>
      </c>
      <c r="C130" s="26"/>
      <c r="D130" s="26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8">
        <v>30601.0</v>
      </c>
      <c r="B131" s="24" t="s">
        <v>380</v>
      </c>
      <c r="C131" s="26"/>
      <c r="D131" s="26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8">
        <v>30602.0</v>
      </c>
      <c r="B132" s="24" t="s">
        <v>154</v>
      </c>
      <c r="C132" s="26"/>
      <c r="D132" s="26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8">
        <v>30701.0</v>
      </c>
      <c r="B133" s="24" t="s">
        <v>155</v>
      </c>
      <c r="C133" s="26"/>
      <c r="D133" s="26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8">
        <v>30702.0</v>
      </c>
      <c r="B134" s="24" t="s">
        <v>381</v>
      </c>
      <c r="C134" s="26"/>
      <c r="D134" s="26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8">
        <v>30703.0</v>
      </c>
      <c r="B135" s="24" t="s">
        <v>157</v>
      </c>
      <c r="C135" s="26"/>
      <c r="D135" s="26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8">
        <v>30801.0</v>
      </c>
      <c r="B136" s="24" t="s">
        <v>158</v>
      </c>
      <c r="C136" s="26"/>
      <c r="D136" s="26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8">
        <v>30802.0</v>
      </c>
      <c r="B137" s="24" t="s">
        <v>382</v>
      </c>
      <c r="C137" s="26"/>
      <c r="D137" s="26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8">
        <v>30803.0</v>
      </c>
      <c r="B138" s="24" t="s">
        <v>160</v>
      </c>
      <c r="C138" s="26"/>
      <c r="D138" s="26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8">
        <v>30901.0</v>
      </c>
      <c r="B139" s="24" t="s">
        <v>161</v>
      </c>
      <c r="C139" s="26"/>
      <c r="D139" s="26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8">
        <v>30902.0</v>
      </c>
      <c r="B140" s="24" t="s">
        <v>162</v>
      </c>
      <c r="C140" s="26"/>
      <c r="D140" s="26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8">
        <v>30903.0</v>
      </c>
      <c r="B141" s="24" t="s">
        <v>163</v>
      </c>
      <c r="C141" s="26"/>
      <c r="D141" s="26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8">
        <v>30904.0</v>
      </c>
      <c r="B142" s="24" t="s">
        <v>383</v>
      </c>
      <c r="C142" s="26"/>
      <c r="D142" s="26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8">
        <v>30905.0</v>
      </c>
      <c r="B143" s="24" t="s">
        <v>165</v>
      </c>
      <c r="C143" s="26"/>
      <c r="D143" s="2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8">
        <v>31001.0</v>
      </c>
      <c r="B144" s="24" t="s">
        <v>166</v>
      </c>
      <c r="C144" s="26"/>
      <c r="D144" s="2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8">
        <v>31002.0</v>
      </c>
      <c r="B145" s="24" t="s">
        <v>167</v>
      </c>
      <c r="C145" s="26"/>
      <c r="D145" s="26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8">
        <v>31003.0</v>
      </c>
      <c r="B146" s="24" t="s">
        <v>168</v>
      </c>
      <c r="C146" s="26"/>
      <c r="D146" s="2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8">
        <v>31101.0</v>
      </c>
      <c r="B147" s="24" t="s">
        <v>169</v>
      </c>
      <c r="C147" s="26"/>
      <c r="D147" s="26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8">
        <v>31201.0</v>
      </c>
      <c r="B148" s="24" t="s">
        <v>384</v>
      </c>
      <c r="C148" s="26"/>
      <c r="D148" s="2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8">
        <v>31202.0</v>
      </c>
      <c r="B149" s="24" t="s">
        <v>171</v>
      </c>
      <c r="C149" s="26"/>
      <c r="D149" s="26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8">
        <v>31203.0</v>
      </c>
      <c r="B150" s="24" t="s">
        <v>172</v>
      </c>
      <c r="C150" s="26"/>
      <c r="D150" s="2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8">
        <v>31204.0</v>
      </c>
      <c r="B151" s="24" t="s">
        <v>173</v>
      </c>
      <c r="C151" s="26"/>
      <c r="D151" s="26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8">
        <v>31205.0</v>
      </c>
      <c r="B152" s="24" t="s">
        <v>174</v>
      </c>
      <c r="C152" s="26"/>
      <c r="D152" s="26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8">
        <v>31206.0</v>
      </c>
      <c r="B153" s="24" t="s">
        <v>175</v>
      </c>
      <c r="C153" s="26"/>
      <c r="D153" s="26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8">
        <v>31301.0</v>
      </c>
      <c r="B154" s="24" t="s">
        <v>176</v>
      </c>
      <c r="C154" s="26"/>
      <c r="D154" s="26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8">
        <v>31302.0</v>
      </c>
      <c r="B155" s="24" t="s">
        <v>177</v>
      </c>
      <c r="C155" s="26"/>
      <c r="D155" s="26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8">
        <v>31303.0</v>
      </c>
      <c r="B156" s="24" t="s">
        <v>178</v>
      </c>
      <c r="C156" s="26"/>
      <c r="D156" s="2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20">
        <v>31304.0</v>
      </c>
      <c r="B157" s="24" t="s">
        <v>179</v>
      </c>
      <c r="C157" s="26"/>
      <c r="D157" s="26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8">
        <v>31401.0</v>
      </c>
      <c r="B158" s="24" t="s">
        <v>180</v>
      </c>
      <c r="C158" s="26"/>
      <c r="D158" s="2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8">
        <v>31402.0</v>
      </c>
      <c r="B159" s="24" t="s">
        <v>181</v>
      </c>
      <c r="C159" s="26"/>
      <c r="D159" s="26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8">
        <v>31403.0</v>
      </c>
      <c r="B160" s="24" t="s">
        <v>182</v>
      </c>
      <c r="C160" s="26"/>
      <c r="D160" s="26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8">
        <v>31404.0</v>
      </c>
      <c r="B161" s="24" t="s">
        <v>183</v>
      </c>
      <c r="C161" s="26"/>
      <c r="D161" s="26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8">
        <v>31405.0</v>
      </c>
      <c r="B162" s="24" t="s">
        <v>385</v>
      </c>
      <c r="C162" s="26"/>
      <c r="D162" s="2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8">
        <v>31501.0</v>
      </c>
      <c r="B163" s="24" t="s">
        <v>386</v>
      </c>
      <c r="C163" s="26"/>
      <c r="D163" s="26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8">
        <v>31601.0</v>
      </c>
      <c r="B164" s="24" t="s">
        <v>186</v>
      </c>
      <c r="C164" s="26"/>
      <c r="D164" s="26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8">
        <v>31602.0</v>
      </c>
      <c r="B165" s="24" t="s">
        <v>187</v>
      </c>
      <c r="C165" s="26"/>
      <c r="D165" s="26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8">
        <v>40101.0</v>
      </c>
      <c r="B166" s="24" t="s">
        <v>188</v>
      </c>
      <c r="C166" s="26"/>
      <c r="D166" s="2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8">
        <v>40102.0</v>
      </c>
      <c r="B167" s="24" t="s">
        <v>189</v>
      </c>
      <c r="C167" s="26"/>
      <c r="D167" s="26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8">
        <v>40103.0</v>
      </c>
      <c r="B168" s="24" t="s">
        <v>190</v>
      </c>
      <c r="C168" s="26"/>
      <c r="D168" s="2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8">
        <v>40104.0</v>
      </c>
      <c r="B169" s="24" t="s">
        <v>387</v>
      </c>
      <c r="C169" s="26"/>
      <c r="D169" s="26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8">
        <v>40201.0</v>
      </c>
      <c r="B170" s="24" t="s">
        <v>192</v>
      </c>
      <c r="C170" s="26"/>
      <c r="D170" s="2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8">
        <v>40202.0</v>
      </c>
      <c r="B171" s="24" t="s">
        <v>388</v>
      </c>
      <c r="C171" s="26"/>
      <c r="D171" s="26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8">
        <v>40301.0</v>
      </c>
      <c r="B172" s="24" t="s">
        <v>194</v>
      </c>
      <c r="C172" s="26"/>
      <c r="D172" s="2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8">
        <v>40302.0</v>
      </c>
      <c r="B173" s="24" t="s">
        <v>389</v>
      </c>
      <c r="C173" s="26"/>
      <c r="D173" s="26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8">
        <v>40401.0</v>
      </c>
      <c r="B174" s="24" t="s">
        <v>196</v>
      </c>
      <c r="C174" s="26"/>
      <c r="D174" s="2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8">
        <v>40402.0</v>
      </c>
      <c r="B175" s="24" t="s">
        <v>197</v>
      </c>
      <c r="C175" s="26"/>
      <c r="D175" s="26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8">
        <v>40501.0</v>
      </c>
      <c r="B176" s="24" t="s">
        <v>198</v>
      </c>
      <c r="C176" s="26"/>
      <c r="D176" s="2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8">
        <v>40502.0</v>
      </c>
      <c r="B177" s="24" t="s">
        <v>199</v>
      </c>
      <c r="C177" s="26"/>
      <c r="D177" s="26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8">
        <v>40503.0</v>
      </c>
      <c r="B178" s="24" t="s">
        <v>200</v>
      </c>
      <c r="C178" s="26"/>
      <c r="D178" s="2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8">
        <v>40504.0</v>
      </c>
      <c r="B179" s="24" t="s">
        <v>390</v>
      </c>
      <c r="C179" s="26"/>
      <c r="D179" s="26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8">
        <v>40505.0</v>
      </c>
      <c r="B180" s="24" t="s">
        <v>202</v>
      </c>
      <c r="C180" s="26"/>
      <c r="D180" s="2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8">
        <v>40601.0</v>
      </c>
      <c r="B181" s="24" t="s">
        <v>203</v>
      </c>
      <c r="C181" s="26"/>
      <c r="D181" s="26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8">
        <v>40602.0</v>
      </c>
      <c r="B182" s="24" t="s">
        <v>204</v>
      </c>
      <c r="C182" s="26"/>
      <c r="D182" s="2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8">
        <v>40603.0</v>
      </c>
      <c r="B183" s="24" t="s">
        <v>205</v>
      </c>
      <c r="C183" s="26"/>
      <c r="D183" s="26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8">
        <v>40701.0</v>
      </c>
      <c r="B184" s="24" t="s">
        <v>206</v>
      </c>
      <c r="C184" s="26"/>
      <c r="D184" s="26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8">
        <v>40702.0</v>
      </c>
      <c r="B185" s="24" t="s">
        <v>207</v>
      </c>
      <c r="C185" s="26"/>
      <c r="D185" s="26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8">
        <v>40801.0</v>
      </c>
      <c r="B186" s="24" t="s">
        <v>391</v>
      </c>
      <c r="C186" s="26"/>
      <c r="D186" s="2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8">
        <v>40802.0</v>
      </c>
      <c r="B187" s="24" t="s">
        <v>209</v>
      </c>
      <c r="C187" s="26"/>
      <c r="D187" s="2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8">
        <v>40901.0</v>
      </c>
      <c r="B188" s="24" t="s">
        <v>210</v>
      </c>
      <c r="C188" s="26"/>
      <c r="D188" s="2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8">
        <v>40902.0</v>
      </c>
      <c r="B189" s="24" t="s">
        <v>211</v>
      </c>
      <c r="C189" s="26"/>
      <c r="D189" s="26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8">
        <v>40903.0</v>
      </c>
      <c r="B190" s="24" t="s">
        <v>392</v>
      </c>
      <c r="C190" s="26"/>
      <c r="D190" s="26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8">
        <v>41001.0</v>
      </c>
      <c r="B191" s="24" t="s">
        <v>213</v>
      </c>
      <c r="C191" s="26"/>
      <c r="D191" s="26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8">
        <v>41101.0</v>
      </c>
      <c r="B192" s="24" t="s">
        <v>214</v>
      </c>
      <c r="C192" s="26"/>
      <c r="D192" s="2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8">
        <v>41201.0</v>
      </c>
      <c r="B193" s="24" t="s">
        <v>393</v>
      </c>
      <c r="C193" s="26"/>
      <c r="D193" s="26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8">
        <v>41202.0</v>
      </c>
      <c r="B194" s="24" t="s">
        <v>216</v>
      </c>
      <c r="C194" s="26"/>
      <c r="D194" s="2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8">
        <v>41301.0</v>
      </c>
      <c r="B195" s="24" t="s">
        <v>384</v>
      </c>
      <c r="C195" s="26"/>
      <c r="D195" s="26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8">
        <v>41401.0</v>
      </c>
      <c r="B196" s="24" t="s">
        <v>394</v>
      </c>
      <c r="C196" s="26"/>
      <c r="D196" s="2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8">
        <v>41501.0</v>
      </c>
      <c r="B197" s="24" t="s">
        <v>219</v>
      </c>
      <c r="C197" s="26"/>
      <c r="D197" s="26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8">
        <v>41502.0</v>
      </c>
      <c r="B198" s="24" t="s">
        <v>220</v>
      </c>
      <c r="C198" s="26"/>
      <c r="D198" s="2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8">
        <v>41503.0</v>
      </c>
      <c r="B199" s="24" t="s">
        <v>221</v>
      </c>
      <c r="C199" s="26"/>
      <c r="D199" s="26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8">
        <v>41601.0</v>
      </c>
      <c r="B200" s="24" t="s">
        <v>395</v>
      </c>
      <c r="C200" s="26"/>
      <c r="D200" s="2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8">
        <v>50101.0</v>
      </c>
      <c r="B201" s="24" t="s">
        <v>223</v>
      </c>
      <c r="C201" s="26"/>
      <c r="D201" s="26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8">
        <v>50102.0</v>
      </c>
      <c r="B202" s="24" t="s">
        <v>224</v>
      </c>
      <c r="C202" s="26"/>
      <c r="D202" s="2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8">
        <v>50103.0</v>
      </c>
      <c r="B203" s="24" t="s">
        <v>225</v>
      </c>
      <c r="C203" s="26"/>
      <c r="D203" s="26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8">
        <v>50104.0</v>
      </c>
      <c r="B204" s="24" t="s">
        <v>226</v>
      </c>
      <c r="C204" s="26"/>
      <c r="D204" s="2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8">
        <v>50201.0</v>
      </c>
      <c r="B205" s="24" t="s">
        <v>396</v>
      </c>
      <c r="C205" s="26"/>
      <c r="D205" s="26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8">
        <v>50202.0</v>
      </c>
      <c r="B206" s="24" t="s">
        <v>228</v>
      </c>
      <c r="C206" s="26"/>
      <c r="D206" s="2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8">
        <v>50203.0</v>
      </c>
      <c r="B207" s="24" t="s">
        <v>229</v>
      </c>
      <c r="C207" s="26"/>
      <c r="D207" s="26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8">
        <v>50204.0</v>
      </c>
      <c r="B208" s="24" t="s">
        <v>397</v>
      </c>
      <c r="C208" s="26"/>
      <c r="D208" s="2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8">
        <v>50301.0</v>
      </c>
      <c r="B209" s="24" t="s">
        <v>231</v>
      </c>
      <c r="C209" s="26"/>
      <c r="D209" s="26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8">
        <v>50302.0</v>
      </c>
      <c r="B210" s="24" t="s">
        <v>232</v>
      </c>
      <c r="C210" s="26"/>
      <c r="D210" s="2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8">
        <v>50303.0</v>
      </c>
      <c r="B211" s="24" t="s">
        <v>233</v>
      </c>
      <c r="C211" s="26"/>
      <c r="D211" s="26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8">
        <v>50401.0</v>
      </c>
      <c r="B212" s="24" t="s">
        <v>234</v>
      </c>
      <c r="C212" s="26"/>
      <c r="D212" s="2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8">
        <v>50402.0</v>
      </c>
      <c r="B213" s="24" t="s">
        <v>235</v>
      </c>
      <c r="C213" s="26"/>
      <c r="D213" s="26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8">
        <v>50403.0</v>
      </c>
      <c r="B214" s="24" t="s">
        <v>236</v>
      </c>
      <c r="C214" s="26"/>
      <c r="D214" s="2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8">
        <v>50404.0</v>
      </c>
      <c r="B215" s="24" t="s">
        <v>237</v>
      </c>
      <c r="C215" s="26"/>
      <c r="D215" s="26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20">
        <v>50405.0</v>
      </c>
      <c r="B216" s="24" t="s">
        <v>238</v>
      </c>
      <c r="C216" s="26"/>
      <c r="D216" s="2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8">
        <v>50501.0</v>
      </c>
      <c r="B217" s="24" t="s">
        <v>315</v>
      </c>
      <c r="C217" s="26"/>
      <c r="D217" s="26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8">
        <v>50502.0</v>
      </c>
      <c r="B218" s="24" t="s">
        <v>240</v>
      </c>
      <c r="C218" s="26"/>
      <c r="D218" s="2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8">
        <v>50601.0</v>
      </c>
      <c r="B219" s="24" t="s">
        <v>241</v>
      </c>
      <c r="C219" s="26"/>
      <c r="D219" s="26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8">
        <v>50602.0</v>
      </c>
      <c r="B220" s="24" t="s">
        <v>242</v>
      </c>
      <c r="C220" s="26"/>
      <c r="D220" s="2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8">
        <v>50701.0</v>
      </c>
      <c r="B221" s="24" t="s">
        <v>398</v>
      </c>
      <c r="C221" s="26"/>
      <c r="D221" s="26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8">
        <v>50702.0</v>
      </c>
      <c r="B222" s="24" t="s">
        <v>244</v>
      </c>
      <c r="C222" s="26"/>
      <c r="D222" s="2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8">
        <v>50801.0</v>
      </c>
      <c r="B223" s="24" t="s">
        <v>245</v>
      </c>
      <c r="C223" s="26"/>
      <c r="D223" s="26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8">
        <v>50802.0</v>
      </c>
      <c r="B224" s="24" t="s">
        <v>246</v>
      </c>
      <c r="C224" s="26"/>
      <c r="D224" s="2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8">
        <v>50901.0</v>
      </c>
      <c r="B225" s="24" t="s">
        <v>247</v>
      </c>
      <c r="C225" s="26"/>
      <c r="D225" s="26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8">
        <v>50902.0</v>
      </c>
      <c r="B226" s="24" t="s">
        <v>248</v>
      </c>
      <c r="C226" s="26"/>
      <c r="D226" s="2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8">
        <v>51001.0</v>
      </c>
      <c r="B227" s="24" t="s">
        <v>399</v>
      </c>
      <c r="C227" s="26"/>
      <c r="D227" s="26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8">
        <v>51002.0</v>
      </c>
      <c r="B228" s="24" t="s">
        <v>250</v>
      </c>
      <c r="C228" s="26"/>
      <c r="D228" s="2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8">
        <v>51003.0</v>
      </c>
      <c r="B229" s="24" t="s">
        <v>251</v>
      </c>
      <c r="C229" s="26"/>
      <c r="D229" s="26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8">
        <v>51101.0</v>
      </c>
      <c r="B230" s="24" t="s">
        <v>252</v>
      </c>
      <c r="C230" s="26"/>
      <c r="D230" s="2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8">
        <v>51102.0</v>
      </c>
      <c r="B231" s="24" t="s">
        <v>253</v>
      </c>
      <c r="C231" s="26"/>
      <c r="D231" s="26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8">
        <v>51103.0</v>
      </c>
      <c r="B232" s="24" t="s">
        <v>254</v>
      </c>
      <c r="C232" s="26"/>
      <c r="D232" s="2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8">
        <v>51201.0</v>
      </c>
      <c r="B233" s="24" t="s">
        <v>255</v>
      </c>
      <c r="C233" s="26"/>
      <c r="D233" s="26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8">
        <v>51202.0</v>
      </c>
      <c r="B234" s="24" t="s">
        <v>256</v>
      </c>
      <c r="C234" s="26"/>
      <c r="D234" s="2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8">
        <v>51203.0</v>
      </c>
      <c r="B235" s="24" t="s">
        <v>257</v>
      </c>
      <c r="C235" s="26"/>
      <c r="D235" s="26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20">
        <v>51204.0</v>
      </c>
      <c r="B236" s="24" t="s">
        <v>258</v>
      </c>
      <c r="C236" s="26"/>
      <c r="D236" s="2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8">
        <v>51301.0</v>
      </c>
      <c r="B237" s="24" t="s">
        <v>259</v>
      </c>
      <c r="C237" s="26"/>
      <c r="D237" s="26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8">
        <v>51302.0</v>
      </c>
      <c r="B238" s="24" t="s">
        <v>260</v>
      </c>
      <c r="C238" s="26"/>
      <c r="D238" s="2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8">
        <v>51401.0</v>
      </c>
      <c r="B239" s="24" t="s">
        <v>261</v>
      </c>
      <c r="C239" s="26"/>
      <c r="D239" s="26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8">
        <v>51402.0</v>
      </c>
      <c r="B240" s="24" t="s">
        <v>262</v>
      </c>
      <c r="C240" s="26"/>
      <c r="D240" s="2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8">
        <v>51501.0</v>
      </c>
      <c r="B241" s="24" t="s">
        <v>263</v>
      </c>
      <c r="C241" s="26"/>
      <c r="D241" s="26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8">
        <v>51601.0</v>
      </c>
      <c r="B242" s="24" t="s">
        <v>264</v>
      </c>
      <c r="C242" s="26"/>
      <c r="D242" s="2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8">
        <v>60101.0</v>
      </c>
      <c r="B243" s="24" t="s">
        <v>265</v>
      </c>
      <c r="C243" s="26"/>
      <c r="D243" s="26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8">
        <v>60201.0</v>
      </c>
      <c r="B244" s="24" t="s">
        <v>266</v>
      </c>
      <c r="C244" s="26"/>
      <c r="D244" s="26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8">
        <v>60202.0</v>
      </c>
      <c r="B245" s="24" t="s">
        <v>267</v>
      </c>
      <c r="C245" s="26"/>
      <c r="D245" s="26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8">
        <v>60301.0</v>
      </c>
      <c r="B246" s="24" t="s">
        <v>268</v>
      </c>
      <c r="C246" s="26"/>
      <c r="D246" s="26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8">
        <v>60302.0</v>
      </c>
      <c r="B247" s="24" t="s">
        <v>269</v>
      </c>
      <c r="C247" s="26"/>
      <c r="D247" s="26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8">
        <v>60303.0</v>
      </c>
      <c r="B248" s="24" t="s">
        <v>400</v>
      </c>
      <c r="C248" s="26"/>
      <c r="D248" s="2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8">
        <v>60401.0</v>
      </c>
      <c r="B249" s="24" t="s">
        <v>271</v>
      </c>
      <c r="C249" s="26"/>
      <c r="D249" s="26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8">
        <v>60402.0</v>
      </c>
      <c r="B250" s="24" t="s">
        <v>272</v>
      </c>
      <c r="C250" s="26"/>
      <c r="D250" s="2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8">
        <v>60501.0</v>
      </c>
      <c r="B251" s="24" t="s">
        <v>355</v>
      </c>
      <c r="C251" s="26"/>
      <c r="D251" s="26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8">
        <v>60502.0</v>
      </c>
      <c r="B252" s="24" t="s">
        <v>274</v>
      </c>
      <c r="C252" s="26"/>
      <c r="D252" s="2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8">
        <v>60601.0</v>
      </c>
      <c r="B253" s="24" t="s">
        <v>175</v>
      </c>
      <c r="C253" s="26"/>
      <c r="D253" s="26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8">
        <v>70101.0</v>
      </c>
      <c r="B254" s="24" t="s">
        <v>275</v>
      </c>
      <c r="C254" s="26"/>
      <c r="D254" s="2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8">
        <v>70102.0</v>
      </c>
      <c r="B255" s="24" t="s">
        <v>276</v>
      </c>
      <c r="C255" s="26"/>
      <c r="D255" s="26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8">
        <v>70103.0</v>
      </c>
      <c r="B256" s="24" t="s">
        <v>277</v>
      </c>
      <c r="C256" s="26"/>
      <c r="D256" s="26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8">
        <v>70104.0</v>
      </c>
      <c r="B257" s="24" t="s">
        <v>278</v>
      </c>
      <c r="C257" s="26"/>
      <c r="D257" s="26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8">
        <v>70105.0</v>
      </c>
      <c r="B258" s="24" t="s">
        <v>279</v>
      </c>
      <c r="C258" s="26"/>
      <c r="D258" s="26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8">
        <v>70201.0</v>
      </c>
      <c r="B259" s="24" t="s">
        <v>280</v>
      </c>
      <c r="C259" s="26"/>
      <c r="D259" s="26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8">
        <v>70202.0</v>
      </c>
      <c r="B260" s="24" t="s">
        <v>281</v>
      </c>
      <c r="C260" s="26"/>
      <c r="D260" s="26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8">
        <v>70301.0</v>
      </c>
      <c r="B261" s="24" t="s">
        <v>339</v>
      </c>
      <c r="C261" s="26"/>
      <c r="D261" s="26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8">
        <v>70302.0</v>
      </c>
      <c r="B262" s="24" t="s">
        <v>401</v>
      </c>
      <c r="C262" s="26"/>
      <c r="D262" s="26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8">
        <v>70303.0</v>
      </c>
      <c r="B263" s="24" t="s">
        <v>284</v>
      </c>
      <c r="C263" s="26"/>
      <c r="D263" s="26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8">
        <v>70401.0</v>
      </c>
      <c r="B264" s="24" t="s">
        <v>285</v>
      </c>
      <c r="C264" s="26"/>
      <c r="D264" s="2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8">
        <v>70402.0</v>
      </c>
      <c r="B265" s="24" t="s">
        <v>286</v>
      </c>
      <c r="C265" s="26"/>
      <c r="D265" s="26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8">
        <v>70403.0</v>
      </c>
      <c r="B266" s="24" t="s">
        <v>287</v>
      </c>
      <c r="C266" s="26"/>
      <c r="D266" s="26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8">
        <v>70404.0</v>
      </c>
      <c r="B267" s="24" t="s">
        <v>402</v>
      </c>
      <c r="C267" s="26"/>
      <c r="D267" s="26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8">
        <v>70501.0</v>
      </c>
      <c r="B268" s="24" t="s">
        <v>403</v>
      </c>
      <c r="C268" s="26"/>
      <c r="D268" s="26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8">
        <v>70502.0</v>
      </c>
      <c r="B269" s="24" t="s">
        <v>290</v>
      </c>
      <c r="C269" s="26"/>
      <c r="D269" s="26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8">
        <v>70503.0</v>
      </c>
      <c r="B270" s="24" t="s">
        <v>291</v>
      </c>
      <c r="C270" s="26"/>
      <c r="D270" s="26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8">
        <v>70601.0</v>
      </c>
      <c r="B271" s="24" t="s">
        <v>292</v>
      </c>
      <c r="C271" s="26"/>
      <c r="D271" s="26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8">
        <v>70602.0</v>
      </c>
      <c r="B272" s="24" t="s">
        <v>335</v>
      </c>
      <c r="C272" s="26"/>
      <c r="D272" s="26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8">
        <v>70603.0</v>
      </c>
      <c r="B273" s="24" t="s">
        <v>404</v>
      </c>
      <c r="C273" s="26"/>
      <c r="D273" s="26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8">
        <v>70701.0</v>
      </c>
      <c r="B274" s="24" t="s">
        <v>295</v>
      </c>
      <c r="C274" s="26"/>
      <c r="D274" s="26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8">
        <v>70702.0</v>
      </c>
      <c r="B275" s="24" t="s">
        <v>405</v>
      </c>
      <c r="C275" s="26"/>
      <c r="D275" s="26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8">
        <v>70703.0</v>
      </c>
      <c r="B276" s="24" t="s">
        <v>297</v>
      </c>
      <c r="C276" s="26"/>
      <c r="D276" s="26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8">
        <v>70704.0</v>
      </c>
      <c r="B277" s="24" t="s">
        <v>406</v>
      </c>
      <c r="C277" s="26"/>
      <c r="D277" s="26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8">
        <v>70705.0</v>
      </c>
      <c r="B278" s="24" t="s">
        <v>407</v>
      </c>
      <c r="C278" s="26"/>
      <c r="D278" s="2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8">
        <v>70706.0</v>
      </c>
      <c r="B279" s="24" t="s">
        <v>300</v>
      </c>
      <c r="C279" s="26"/>
      <c r="D279" s="26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8">
        <v>70707.0</v>
      </c>
      <c r="B280" s="24" t="s">
        <v>301</v>
      </c>
      <c r="C280" s="26"/>
      <c r="D280" s="26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8">
        <v>70801.0</v>
      </c>
      <c r="B281" s="24" t="s">
        <v>302</v>
      </c>
      <c r="C281" s="26"/>
      <c r="D281" s="26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8">
        <v>70802.0</v>
      </c>
      <c r="B282" s="24" t="s">
        <v>408</v>
      </c>
      <c r="C282" s="26"/>
      <c r="D282" s="2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8">
        <v>70803.0</v>
      </c>
      <c r="B283" s="24" t="s">
        <v>409</v>
      </c>
      <c r="C283" s="26"/>
      <c r="D283" s="26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8">
        <v>70804.0</v>
      </c>
      <c r="B284" s="24" t="s">
        <v>410</v>
      </c>
      <c r="C284" s="26"/>
      <c r="D284" s="26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8">
        <v>70805.0</v>
      </c>
      <c r="B285" s="24" t="s">
        <v>306</v>
      </c>
      <c r="C285" s="26"/>
      <c r="D285" s="26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8">
        <v>70901.0</v>
      </c>
      <c r="B286" s="24" t="s">
        <v>307</v>
      </c>
      <c r="C286" s="26"/>
      <c r="D286" s="2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8">
        <v>70902.0</v>
      </c>
      <c r="B287" s="24" t="s">
        <v>411</v>
      </c>
      <c r="C287" s="26"/>
      <c r="D287" s="26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8">
        <v>70903.0</v>
      </c>
      <c r="B288" s="24" t="s">
        <v>309</v>
      </c>
      <c r="C288" s="26"/>
      <c r="D288" s="26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8">
        <v>70904.0</v>
      </c>
      <c r="B289" s="24" t="s">
        <v>310</v>
      </c>
      <c r="C289" s="26"/>
      <c r="D289" s="26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8">
        <v>71001.0</v>
      </c>
      <c r="B290" s="24" t="s">
        <v>311</v>
      </c>
      <c r="C290" s="26"/>
      <c r="D290" s="26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8">
        <v>71002.0</v>
      </c>
      <c r="B291" s="24" t="s">
        <v>412</v>
      </c>
      <c r="C291" s="26"/>
      <c r="D291" s="26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8">
        <v>71003.0</v>
      </c>
      <c r="B292" s="24" t="s">
        <v>313</v>
      </c>
      <c r="C292" s="26"/>
      <c r="D292" s="26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8">
        <v>71004.0</v>
      </c>
      <c r="B293" s="24" t="s">
        <v>413</v>
      </c>
      <c r="C293" s="26"/>
      <c r="D293" s="26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8">
        <v>71005.0</v>
      </c>
      <c r="B294" s="24" t="s">
        <v>315</v>
      </c>
      <c r="C294" s="26"/>
      <c r="D294" s="26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8">
        <v>71101.0</v>
      </c>
      <c r="B295" s="24" t="s">
        <v>316</v>
      </c>
      <c r="C295" s="26"/>
      <c r="D295" s="26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8">
        <v>71102.0</v>
      </c>
      <c r="B296" s="24" t="s">
        <v>317</v>
      </c>
      <c r="C296" s="26"/>
      <c r="D296" s="2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8">
        <v>71103.0</v>
      </c>
      <c r="B297" s="24" t="s">
        <v>318</v>
      </c>
      <c r="C297" s="26"/>
      <c r="D297" s="26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8">
        <v>71104.0</v>
      </c>
      <c r="B298" s="24" t="s">
        <v>319</v>
      </c>
      <c r="C298" s="26"/>
      <c r="D298" s="26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8">
        <v>71105.0</v>
      </c>
      <c r="B299" s="24" t="s">
        <v>414</v>
      </c>
      <c r="C299" s="26"/>
      <c r="D299" s="26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8">
        <v>71106.0</v>
      </c>
      <c r="B300" s="24" t="s">
        <v>321</v>
      </c>
      <c r="C300" s="26"/>
      <c r="D300" s="26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8">
        <v>71201.0</v>
      </c>
      <c r="B301" s="24" t="s">
        <v>322</v>
      </c>
      <c r="C301" s="26"/>
      <c r="D301" s="26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8">
        <v>71301.0</v>
      </c>
      <c r="B302" s="24" t="s">
        <v>323</v>
      </c>
      <c r="C302" s="26"/>
      <c r="D302" s="26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8">
        <v>71302.0</v>
      </c>
      <c r="B303" s="24" t="s">
        <v>324</v>
      </c>
      <c r="C303" s="26"/>
      <c r="D303" s="26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8">
        <v>71401.0</v>
      </c>
      <c r="B304" s="24" t="s">
        <v>325</v>
      </c>
      <c r="C304" s="26"/>
      <c r="D304" s="26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8">
        <v>71402.0</v>
      </c>
      <c r="B305" s="24" t="s">
        <v>326</v>
      </c>
      <c r="C305" s="26"/>
      <c r="D305" s="26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8">
        <v>71403.0</v>
      </c>
      <c r="B306" s="24" t="s">
        <v>415</v>
      </c>
      <c r="C306" s="26"/>
      <c r="D306" s="2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8">
        <v>71501.0</v>
      </c>
      <c r="B307" s="24" t="s">
        <v>416</v>
      </c>
      <c r="C307" s="26"/>
      <c r="D307" s="26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8">
        <v>71502.0</v>
      </c>
      <c r="B308" s="24" t="s">
        <v>329</v>
      </c>
      <c r="C308" s="26"/>
      <c r="D308" s="26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8">
        <v>71503.0</v>
      </c>
      <c r="B309" s="24" t="s">
        <v>274</v>
      </c>
      <c r="C309" s="26"/>
      <c r="D309" s="26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8">
        <v>80101.0</v>
      </c>
      <c r="B310" s="24" t="s">
        <v>330</v>
      </c>
      <c r="C310" s="26"/>
      <c r="D310" s="26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8">
        <v>80102.0</v>
      </c>
      <c r="B311" s="24" t="s">
        <v>317</v>
      </c>
      <c r="C311" s="26"/>
      <c r="D311" s="26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8">
        <v>80201.0</v>
      </c>
      <c r="B312" s="24" t="s">
        <v>331</v>
      </c>
      <c r="C312" s="26"/>
      <c r="D312" s="2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8">
        <v>80202.0</v>
      </c>
      <c r="B313" s="24" t="s">
        <v>332</v>
      </c>
      <c r="C313" s="26"/>
      <c r="D313" s="26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8">
        <v>80301.0</v>
      </c>
      <c r="B314" s="24" t="s">
        <v>333</v>
      </c>
      <c r="C314" s="26"/>
      <c r="D314" s="2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8">
        <v>80302.0</v>
      </c>
      <c r="B315" s="24" t="s">
        <v>334</v>
      </c>
      <c r="C315" s="26"/>
      <c r="D315" s="26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8">
        <v>80303.0</v>
      </c>
      <c r="B316" s="24" t="s">
        <v>335</v>
      </c>
      <c r="C316" s="26"/>
      <c r="D316" s="26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8">
        <v>80304.0</v>
      </c>
      <c r="B317" s="24" t="s">
        <v>417</v>
      </c>
      <c r="C317" s="26"/>
      <c r="D317" s="26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8">
        <v>80401.0</v>
      </c>
      <c r="B318" s="24" t="s">
        <v>418</v>
      </c>
      <c r="C318" s="26"/>
      <c r="D318" s="26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8">
        <v>80402.0</v>
      </c>
      <c r="B319" s="24" t="s">
        <v>338</v>
      </c>
      <c r="C319" s="26"/>
      <c r="D319" s="26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8">
        <v>80501.0</v>
      </c>
      <c r="B320" s="24" t="s">
        <v>339</v>
      </c>
      <c r="C320" s="26"/>
      <c r="D320" s="26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8">
        <v>80601.0</v>
      </c>
      <c r="B321" s="24" t="s">
        <v>340</v>
      </c>
      <c r="C321" s="26"/>
      <c r="D321" s="26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8">
        <v>80602.0</v>
      </c>
      <c r="B322" s="24" t="s">
        <v>341</v>
      </c>
      <c r="C322" s="26"/>
      <c r="D322" s="26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8">
        <v>80701.0</v>
      </c>
      <c r="B323" s="24" t="s">
        <v>342</v>
      </c>
      <c r="C323" s="26"/>
      <c r="D323" s="26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8">
        <v>80702.0</v>
      </c>
      <c r="B324" s="24" t="s">
        <v>318</v>
      </c>
      <c r="C324" s="26"/>
      <c r="D324" s="2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8">
        <v>80703.0</v>
      </c>
      <c r="B325" s="24" t="s">
        <v>343</v>
      </c>
      <c r="C325" s="26"/>
      <c r="D325" s="26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8">
        <v>80801.0</v>
      </c>
      <c r="B326" s="24" t="s">
        <v>344</v>
      </c>
      <c r="C326" s="26"/>
      <c r="D326" s="26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8">
        <v>80802.0</v>
      </c>
      <c r="B327" s="24" t="s">
        <v>345</v>
      </c>
      <c r="C327" s="26"/>
      <c r="D327" s="26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8">
        <v>80803.0</v>
      </c>
      <c r="B328" s="24" t="s">
        <v>346</v>
      </c>
      <c r="C328" s="26"/>
      <c r="D328" s="26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20">
        <v>80901.0</v>
      </c>
      <c r="B329" s="24" t="s">
        <v>347</v>
      </c>
      <c r="C329" s="26"/>
      <c r="D329" s="26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8">
        <v>90101.0</v>
      </c>
      <c r="B330" s="24" t="s">
        <v>419</v>
      </c>
      <c r="C330" s="26"/>
      <c r="D330" s="2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8">
        <v>90102.0</v>
      </c>
      <c r="B331" s="24" t="s">
        <v>349</v>
      </c>
      <c r="C331" s="26"/>
      <c r="D331" s="26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8">
        <v>90103.0</v>
      </c>
      <c r="B332" s="24" t="s">
        <v>350</v>
      </c>
      <c r="C332" s="26"/>
      <c r="D332" s="2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8">
        <v>90104.0</v>
      </c>
      <c r="B333" s="24" t="s">
        <v>351</v>
      </c>
      <c r="C333" s="26"/>
      <c r="D333" s="26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8">
        <v>90201.0</v>
      </c>
      <c r="B334" s="24" t="s">
        <v>420</v>
      </c>
      <c r="C334" s="26"/>
      <c r="D334" s="2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8">
        <v>90202.0</v>
      </c>
      <c r="B335" s="24" t="s">
        <v>315</v>
      </c>
      <c r="C335" s="26"/>
      <c r="D335" s="26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8">
        <v>90203.0</v>
      </c>
      <c r="B336" s="24" t="s">
        <v>353</v>
      </c>
      <c r="C336" s="26"/>
      <c r="D336" s="26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8">
        <v>90301.0</v>
      </c>
      <c r="B337" s="24" t="s">
        <v>421</v>
      </c>
      <c r="C337" s="26"/>
      <c r="D337" s="26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8">
        <v>90302.0</v>
      </c>
      <c r="B338" s="24" t="s">
        <v>355</v>
      </c>
      <c r="C338" s="26"/>
      <c r="D338" s="26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8">
        <v>90303.0</v>
      </c>
      <c r="B339" s="24" t="s">
        <v>356</v>
      </c>
      <c r="C339" s="26"/>
      <c r="D339" s="26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8">
        <v>90401.0</v>
      </c>
      <c r="B340" s="24" t="s">
        <v>335</v>
      </c>
      <c r="C340" s="26"/>
      <c r="D340" s="26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8">
        <v>90402.0</v>
      </c>
      <c r="B341" s="24" t="s">
        <v>358</v>
      </c>
      <c r="C341" s="26"/>
      <c r="D341" s="26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8">
        <v>90501.0</v>
      </c>
      <c r="B342" s="24" t="s">
        <v>359</v>
      </c>
      <c r="C342" s="26"/>
      <c r="D342" s="26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8">
        <v>90502.0</v>
      </c>
      <c r="B343" s="24" t="s">
        <v>422</v>
      </c>
      <c r="C343" s="26"/>
      <c r="D343" s="26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8">
        <v>90503.0</v>
      </c>
      <c r="B344" s="24" t="s">
        <v>361</v>
      </c>
      <c r="C344" s="26"/>
      <c r="D344" s="26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4"/>
      <c r="B345" s="25"/>
      <c r="C345" s="26"/>
      <c r="D345" s="26"/>
    </row>
    <row r="346" ht="15.75" customHeight="1">
      <c r="A346" s="14"/>
      <c r="B346" s="25"/>
      <c r="C346" s="26"/>
      <c r="D346" s="26"/>
    </row>
    <row r="347" ht="15.75" customHeight="1">
      <c r="A347" s="14"/>
      <c r="B347" s="25"/>
      <c r="C347" s="26"/>
      <c r="D347" s="26"/>
    </row>
    <row r="348" ht="15.75" customHeight="1">
      <c r="A348" s="14"/>
      <c r="B348" s="25"/>
      <c r="C348" s="26"/>
      <c r="D348" s="26"/>
    </row>
    <row r="349" ht="15.75" customHeight="1">
      <c r="A349" s="14"/>
      <c r="B349" s="25"/>
      <c r="C349" s="26"/>
      <c r="D349" s="26"/>
    </row>
    <row r="350" ht="15.75" customHeight="1">
      <c r="A350" s="14"/>
      <c r="B350" s="25"/>
      <c r="C350" s="26"/>
      <c r="D350" s="26"/>
    </row>
    <row r="351" ht="15.75" customHeight="1">
      <c r="A351" s="14"/>
      <c r="B351" s="25"/>
      <c r="C351" s="26"/>
      <c r="D351" s="26"/>
    </row>
    <row r="352" ht="15.75" customHeight="1">
      <c r="A352" s="14"/>
      <c r="B352" s="25"/>
      <c r="C352" s="26"/>
      <c r="D352" s="26"/>
    </row>
    <row r="353" ht="15.75" customHeight="1">
      <c r="A353" s="14"/>
      <c r="B353" s="25"/>
      <c r="C353" s="26"/>
      <c r="D353" s="26"/>
    </row>
    <row r="354" ht="15.75" customHeight="1">
      <c r="A354" s="14"/>
      <c r="B354" s="25"/>
      <c r="C354" s="26"/>
      <c r="D354" s="26"/>
    </row>
    <row r="355" ht="15.75" customHeight="1">
      <c r="A355" s="14"/>
      <c r="B355" s="25"/>
      <c r="C355" s="26"/>
      <c r="D355" s="26"/>
    </row>
    <row r="356" ht="15.75" customHeight="1">
      <c r="A356" s="14"/>
      <c r="B356" s="25"/>
      <c r="C356" s="26"/>
      <c r="D356" s="26"/>
    </row>
    <row r="357" ht="15.75" customHeight="1">
      <c r="A357" s="14"/>
      <c r="B357" s="25"/>
      <c r="C357" s="26"/>
      <c r="D357" s="26"/>
    </row>
    <row r="358" ht="15.75" customHeight="1">
      <c r="A358" s="14"/>
      <c r="B358" s="25"/>
      <c r="C358" s="26"/>
      <c r="D358" s="26"/>
    </row>
    <row r="359" ht="15.75" customHeight="1">
      <c r="A359" s="14"/>
      <c r="B359" s="25"/>
      <c r="C359" s="26"/>
      <c r="D359" s="26"/>
    </row>
    <row r="360" ht="15.75" customHeight="1">
      <c r="A360" s="14"/>
      <c r="B360" s="25"/>
      <c r="C360" s="26"/>
      <c r="D360" s="26"/>
    </row>
    <row r="361" ht="15.75" customHeight="1">
      <c r="A361" s="14"/>
      <c r="B361" s="25"/>
      <c r="C361" s="26"/>
      <c r="D361" s="26"/>
    </row>
    <row r="362" ht="15.75" customHeight="1">
      <c r="A362" s="14"/>
      <c r="B362" s="25"/>
      <c r="C362" s="26"/>
      <c r="D362" s="26"/>
    </row>
    <row r="363" ht="15.75" customHeight="1">
      <c r="A363" s="14"/>
      <c r="B363" s="25"/>
      <c r="C363" s="26"/>
      <c r="D363" s="26"/>
    </row>
    <row r="364" ht="15.75" customHeight="1">
      <c r="A364" s="14"/>
      <c r="B364" s="25"/>
      <c r="C364" s="26"/>
      <c r="D364" s="26"/>
    </row>
    <row r="365" ht="15.75" customHeight="1">
      <c r="A365" s="14"/>
      <c r="B365" s="25"/>
      <c r="C365" s="26"/>
      <c r="D365" s="26"/>
    </row>
    <row r="366" ht="15.75" customHeight="1">
      <c r="A366" s="14"/>
      <c r="B366" s="25"/>
      <c r="C366" s="26"/>
      <c r="D366" s="26"/>
    </row>
    <row r="367" ht="15.75" customHeight="1">
      <c r="A367" s="14"/>
      <c r="B367" s="25"/>
      <c r="C367" s="26"/>
      <c r="D367" s="26"/>
    </row>
    <row r="368" ht="15.75" customHeight="1">
      <c r="A368" s="14"/>
      <c r="B368" s="25"/>
      <c r="C368" s="26"/>
      <c r="D368" s="26"/>
    </row>
    <row r="369" ht="15.75" customHeight="1">
      <c r="A369" s="14"/>
      <c r="B369" s="25"/>
      <c r="C369" s="26"/>
      <c r="D369" s="26"/>
    </row>
    <row r="370" ht="15.75" customHeight="1">
      <c r="A370" s="14"/>
      <c r="B370" s="25"/>
      <c r="C370" s="26"/>
      <c r="D370" s="26"/>
    </row>
    <row r="371" ht="15.75" customHeight="1">
      <c r="A371" s="14"/>
      <c r="B371" s="25"/>
      <c r="C371" s="26"/>
      <c r="D371" s="26"/>
    </row>
    <row r="372" ht="15.75" customHeight="1">
      <c r="A372" s="14"/>
      <c r="B372" s="25"/>
      <c r="C372" s="26"/>
      <c r="D372" s="26"/>
    </row>
    <row r="373" ht="15.75" customHeight="1">
      <c r="A373" s="14"/>
      <c r="B373" s="25"/>
      <c r="C373" s="26"/>
      <c r="D373" s="26"/>
    </row>
    <row r="374" ht="15.75" customHeight="1">
      <c r="A374" s="14"/>
      <c r="B374" s="25"/>
      <c r="C374" s="26"/>
      <c r="D374" s="26"/>
    </row>
    <row r="375" ht="15.75" customHeight="1">
      <c r="A375" s="14"/>
      <c r="B375" s="25"/>
      <c r="C375" s="26"/>
      <c r="D375" s="26"/>
    </row>
    <row r="376" ht="15.75" customHeight="1">
      <c r="A376" s="14"/>
      <c r="B376" s="25"/>
      <c r="C376" s="26"/>
      <c r="D376" s="26"/>
    </row>
    <row r="377" ht="15.75" customHeight="1">
      <c r="A377" s="14"/>
      <c r="B377" s="25"/>
      <c r="C377" s="26"/>
      <c r="D377" s="26"/>
    </row>
    <row r="378" ht="15.75" customHeight="1">
      <c r="A378" s="14"/>
      <c r="B378" s="25"/>
      <c r="C378" s="26"/>
      <c r="D378" s="26"/>
    </row>
    <row r="379" ht="15.75" customHeight="1">
      <c r="A379" s="14"/>
      <c r="B379" s="25"/>
      <c r="C379" s="26"/>
      <c r="D379" s="26"/>
    </row>
    <row r="380" ht="15.75" customHeight="1">
      <c r="A380" s="14"/>
      <c r="B380" s="25"/>
      <c r="C380" s="26"/>
      <c r="D380" s="26"/>
    </row>
    <row r="381" ht="15.75" customHeight="1">
      <c r="A381" s="14"/>
      <c r="B381" s="25"/>
      <c r="C381" s="26"/>
      <c r="D381" s="26"/>
    </row>
    <row r="382" ht="15.75" customHeight="1">
      <c r="A382" s="14"/>
      <c r="B382" s="25"/>
      <c r="C382" s="26"/>
      <c r="D382" s="26"/>
    </row>
    <row r="383" ht="15.75" customHeight="1">
      <c r="A383" s="14"/>
      <c r="B383" s="25"/>
      <c r="C383" s="26"/>
      <c r="D383" s="26"/>
    </row>
    <row r="384" ht="15.75" customHeight="1">
      <c r="A384" s="14"/>
      <c r="B384" s="25"/>
      <c r="C384" s="26"/>
      <c r="D384" s="26"/>
    </row>
    <row r="385" ht="15.75" customHeight="1">
      <c r="A385" s="14"/>
      <c r="B385" s="25"/>
      <c r="C385" s="26"/>
      <c r="D385" s="26"/>
    </row>
    <row r="386" ht="15.75" customHeight="1">
      <c r="A386" s="14"/>
      <c r="B386" s="25"/>
      <c r="C386" s="26"/>
      <c r="D386" s="26"/>
    </row>
    <row r="387" ht="15.75" customHeight="1">
      <c r="A387" s="14"/>
      <c r="B387" s="25"/>
      <c r="C387" s="26"/>
      <c r="D387" s="26"/>
    </row>
    <row r="388" ht="15.75" customHeight="1">
      <c r="A388" s="14"/>
      <c r="B388" s="25"/>
      <c r="C388" s="26"/>
      <c r="D388" s="26"/>
    </row>
    <row r="389" ht="15.75" customHeight="1">
      <c r="A389" s="14"/>
      <c r="B389" s="25"/>
      <c r="C389" s="26"/>
      <c r="D389" s="26"/>
    </row>
    <row r="390" ht="15.75" customHeight="1">
      <c r="A390" s="14"/>
      <c r="B390" s="25"/>
      <c r="C390" s="26"/>
      <c r="D390" s="26"/>
    </row>
    <row r="391" ht="15.75" customHeight="1">
      <c r="A391" s="14"/>
      <c r="B391" s="25"/>
      <c r="C391" s="26"/>
      <c r="D391" s="26"/>
    </row>
    <row r="392" ht="15.75" customHeight="1">
      <c r="A392" s="14"/>
      <c r="B392" s="25"/>
      <c r="C392" s="26"/>
      <c r="D392" s="26"/>
    </row>
    <row r="393" ht="15.75" customHeight="1">
      <c r="A393" s="14"/>
      <c r="B393" s="25"/>
      <c r="C393" s="26"/>
      <c r="D393" s="26"/>
    </row>
    <row r="394" ht="15.75" customHeight="1">
      <c r="A394" s="14"/>
      <c r="B394" s="25"/>
      <c r="C394" s="26"/>
      <c r="D394" s="26"/>
    </row>
    <row r="395" ht="15.75" customHeight="1">
      <c r="A395" s="14"/>
      <c r="B395" s="25"/>
      <c r="C395" s="26"/>
      <c r="D395" s="26"/>
    </row>
    <row r="396" ht="15.75" customHeight="1">
      <c r="A396" s="14"/>
      <c r="B396" s="25"/>
      <c r="C396" s="26"/>
      <c r="D396" s="26"/>
    </row>
    <row r="397" ht="15.75" customHeight="1">
      <c r="A397" s="14"/>
      <c r="B397" s="25"/>
      <c r="C397" s="26"/>
      <c r="D397" s="26"/>
    </row>
    <row r="398" ht="15.75" customHeight="1">
      <c r="A398" s="14"/>
      <c r="B398" s="25"/>
      <c r="C398" s="26"/>
      <c r="D398" s="26"/>
    </row>
    <row r="399" ht="15.75" customHeight="1">
      <c r="A399" s="14"/>
      <c r="B399" s="25"/>
      <c r="C399" s="26"/>
      <c r="D399" s="26"/>
    </row>
    <row r="400" ht="15.75" customHeight="1">
      <c r="A400" s="14"/>
      <c r="B400" s="25"/>
      <c r="C400" s="26"/>
      <c r="D400" s="26"/>
    </row>
    <row r="401" ht="15.75" customHeight="1">
      <c r="A401" s="14"/>
      <c r="B401" s="25"/>
      <c r="C401" s="26"/>
      <c r="D401" s="26"/>
    </row>
    <row r="402" ht="15.75" customHeight="1">
      <c r="A402" s="14"/>
      <c r="B402" s="25"/>
      <c r="C402" s="26"/>
      <c r="D402" s="26"/>
    </row>
    <row r="403" ht="15.75" customHeight="1">
      <c r="A403" s="14"/>
      <c r="B403" s="25"/>
      <c r="C403" s="26"/>
      <c r="D403" s="26"/>
    </row>
    <row r="404" ht="15.75" customHeight="1">
      <c r="A404" s="14"/>
      <c r="B404" s="25"/>
      <c r="C404" s="26"/>
      <c r="D404" s="26"/>
    </row>
    <row r="405" ht="15.75" customHeight="1">
      <c r="A405" s="14"/>
      <c r="B405" s="25"/>
      <c r="C405" s="26"/>
      <c r="D405" s="26"/>
    </row>
    <row r="406" ht="15.75" customHeight="1">
      <c r="A406" s="14"/>
      <c r="B406" s="25"/>
      <c r="C406" s="26"/>
      <c r="D406" s="26"/>
    </row>
    <row r="407" ht="15.75" customHeight="1">
      <c r="A407" s="14"/>
      <c r="B407" s="25"/>
      <c r="C407" s="26"/>
      <c r="D407" s="26"/>
    </row>
    <row r="408" ht="15.75" customHeight="1">
      <c r="A408" s="14"/>
      <c r="B408" s="25"/>
      <c r="C408" s="26"/>
      <c r="D408" s="26"/>
    </row>
    <row r="409" ht="15.75" customHeight="1">
      <c r="A409" s="14"/>
      <c r="B409" s="25"/>
      <c r="C409" s="26"/>
      <c r="D409" s="26"/>
    </row>
    <row r="410" ht="15.75" customHeight="1">
      <c r="A410" s="14"/>
      <c r="B410" s="25"/>
      <c r="C410" s="26"/>
      <c r="D410" s="26"/>
    </row>
    <row r="411" ht="15.75" customHeight="1">
      <c r="A411" s="14"/>
      <c r="B411" s="25"/>
      <c r="C411" s="26"/>
      <c r="D411" s="26"/>
    </row>
    <row r="412" ht="15.75" customHeight="1">
      <c r="A412" s="14"/>
      <c r="B412" s="25"/>
      <c r="C412" s="26"/>
      <c r="D412" s="26"/>
    </row>
    <row r="413" ht="15.75" customHeight="1">
      <c r="A413" s="14"/>
      <c r="B413" s="25"/>
      <c r="C413" s="26"/>
      <c r="D413" s="26"/>
    </row>
    <row r="414" ht="15.75" customHeight="1">
      <c r="A414" s="14"/>
      <c r="B414" s="25"/>
      <c r="C414" s="26"/>
      <c r="D414" s="26"/>
    </row>
    <row r="415" ht="15.75" customHeight="1">
      <c r="A415" s="14"/>
      <c r="B415" s="25"/>
      <c r="C415" s="26"/>
      <c r="D415" s="26"/>
    </row>
    <row r="416" ht="15.75" customHeight="1">
      <c r="A416" s="14"/>
      <c r="B416" s="25"/>
      <c r="C416" s="26"/>
      <c r="D416" s="26"/>
    </row>
    <row r="417" ht="15.75" customHeight="1">
      <c r="A417" s="14"/>
      <c r="B417" s="25"/>
      <c r="C417" s="26"/>
      <c r="D417" s="26"/>
    </row>
    <row r="418" ht="15.75" customHeight="1">
      <c r="A418" s="14"/>
      <c r="B418" s="25"/>
      <c r="C418" s="26"/>
      <c r="D418" s="26"/>
    </row>
    <row r="419" ht="15.75" customHeight="1">
      <c r="A419" s="14"/>
      <c r="B419" s="25"/>
      <c r="C419" s="26"/>
      <c r="D419" s="26"/>
    </row>
    <row r="420" ht="15.75" customHeight="1">
      <c r="A420" s="14"/>
      <c r="B420" s="25"/>
      <c r="C420" s="26"/>
      <c r="D420" s="26"/>
    </row>
    <row r="421" ht="15.75" customHeight="1">
      <c r="A421" s="14"/>
      <c r="B421" s="25"/>
      <c r="C421" s="26"/>
      <c r="D421" s="26"/>
    </row>
    <row r="422" ht="15.75" customHeight="1">
      <c r="A422" s="14"/>
      <c r="B422" s="25"/>
      <c r="C422" s="26"/>
      <c r="D422" s="26"/>
    </row>
    <row r="423" ht="15.75" customHeight="1">
      <c r="A423" s="14"/>
      <c r="B423" s="25"/>
      <c r="C423" s="26"/>
      <c r="D423" s="26"/>
    </row>
    <row r="424" ht="15.75" customHeight="1">
      <c r="A424" s="14"/>
      <c r="B424" s="25"/>
      <c r="C424" s="26"/>
      <c r="D424" s="26"/>
    </row>
    <row r="425" ht="15.75" customHeight="1">
      <c r="A425" s="14"/>
      <c r="B425" s="25"/>
      <c r="C425" s="26"/>
      <c r="D425" s="26"/>
    </row>
    <row r="426" ht="15.75" customHeight="1">
      <c r="A426" s="14"/>
      <c r="B426" s="25"/>
      <c r="C426" s="26"/>
      <c r="D426" s="26"/>
    </row>
    <row r="427" ht="15.75" customHeight="1">
      <c r="A427" s="14"/>
      <c r="B427" s="25"/>
      <c r="C427" s="26"/>
      <c r="D427" s="26"/>
    </row>
    <row r="428" ht="15.75" customHeight="1">
      <c r="A428" s="14"/>
      <c r="B428" s="25"/>
      <c r="C428" s="26"/>
      <c r="D428" s="26"/>
    </row>
    <row r="429" ht="15.75" customHeight="1">
      <c r="A429" s="14"/>
      <c r="B429" s="25"/>
      <c r="C429" s="26"/>
      <c r="D429" s="26"/>
    </row>
    <row r="430" ht="15.75" customHeight="1">
      <c r="A430" s="14"/>
      <c r="B430" s="25"/>
      <c r="C430" s="26"/>
      <c r="D430" s="26"/>
    </row>
    <row r="431" ht="15.75" customHeight="1">
      <c r="A431" s="14"/>
      <c r="B431" s="25"/>
      <c r="C431" s="26"/>
      <c r="D431" s="26"/>
    </row>
    <row r="432" ht="15.75" customHeight="1">
      <c r="A432" s="14"/>
      <c r="B432" s="25"/>
      <c r="C432" s="26"/>
      <c r="D432" s="26"/>
    </row>
    <row r="433" ht="15.75" customHeight="1">
      <c r="A433" s="14"/>
      <c r="B433" s="25"/>
      <c r="C433" s="26"/>
      <c r="D433" s="26"/>
    </row>
    <row r="434" ht="15.75" customHeight="1">
      <c r="A434" s="14"/>
      <c r="B434" s="25"/>
      <c r="C434" s="26"/>
      <c r="D434" s="26"/>
    </row>
    <row r="435" ht="15.75" customHeight="1">
      <c r="A435" s="14"/>
      <c r="B435" s="25"/>
      <c r="C435" s="26"/>
      <c r="D435" s="26"/>
    </row>
    <row r="436" ht="15.75" customHeight="1">
      <c r="A436" s="14"/>
      <c r="B436" s="25"/>
      <c r="C436" s="26"/>
      <c r="D436" s="26"/>
    </row>
    <row r="437" ht="15.75" customHeight="1">
      <c r="A437" s="14"/>
      <c r="B437" s="25"/>
      <c r="C437" s="26"/>
      <c r="D437" s="26"/>
    </row>
    <row r="438" ht="15.75" customHeight="1">
      <c r="A438" s="14"/>
      <c r="B438" s="25"/>
      <c r="C438" s="26"/>
      <c r="D438" s="26"/>
    </row>
    <row r="439" ht="15.75" customHeight="1">
      <c r="A439" s="14"/>
      <c r="B439" s="25"/>
      <c r="C439" s="26"/>
      <c r="D439" s="26"/>
    </row>
    <row r="440" ht="15.75" customHeight="1">
      <c r="A440" s="14"/>
      <c r="B440" s="25"/>
      <c r="C440" s="26"/>
      <c r="D440" s="26"/>
    </row>
    <row r="441" ht="15.75" customHeight="1">
      <c r="A441" s="14"/>
      <c r="B441" s="25"/>
      <c r="C441" s="26"/>
      <c r="D441" s="26"/>
    </row>
    <row r="442" ht="15.75" customHeight="1">
      <c r="A442" s="14"/>
      <c r="B442" s="25"/>
      <c r="C442" s="26"/>
      <c r="D442" s="26"/>
    </row>
    <row r="443" ht="15.75" customHeight="1">
      <c r="A443" s="14"/>
      <c r="B443" s="25"/>
      <c r="C443" s="26"/>
      <c r="D443" s="26"/>
    </row>
    <row r="444" ht="15.75" customHeight="1">
      <c r="A444" s="14"/>
      <c r="B444" s="25"/>
      <c r="C444" s="26"/>
      <c r="D444" s="26"/>
    </row>
    <row r="445" ht="15.75" customHeight="1">
      <c r="A445" s="14"/>
      <c r="B445" s="25"/>
      <c r="C445" s="26"/>
      <c r="D445" s="26"/>
    </row>
    <row r="446" ht="15.75" customHeight="1">
      <c r="A446" s="14"/>
      <c r="B446" s="25"/>
      <c r="C446" s="26"/>
      <c r="D446" s="26"/>
    </row>
    <row r="447" ht="15.75" customHeight="1">
      <c r="A447" s="14"/>
      <c r="B447" s="25"/>
      <c r="C447" s="26"/>
      <c r="D447" s="26"/>
    </row>
    <row r="448" ht="15.75" customHeight="1">
      <c r="A448" s="14"/>
      <c r="B448" s="25"/>
      <c r="C448" s="26"/>
      <c r="D448" s="26"/>
    </row>
    <row r="449" ht="15.75" customHeight="1">
      <c r="A449" s="14"/>
      <c r="B449" s="25"/>
      <c r="C449" s="26"/>
      <c r="D449" s="26"/>
    </row>
    <row r="450" ht="15.75" customHeight="1">
      <c r="A450" s="14"/>
      <c r="B450" s="25"/>
      <c r="C450" s="26"/>
      <c r="D450" s="26"/>
    </row>
    <row r="451" ht="15.75" customHeight="1">
      <c r="A451" s="14"/>
      <c r="B451" s="25"/>
      <c r="C451" s="26"/>
      <c r="D451" s="26"/>
    </row>
    <row r="452" ht="15.75" customHeight="1">
      <c r="A452" s="14"/>
      <c r="B452" s="25"/>
      <c r="C452" s="26"/>
      <c r="D452" s="26"/>
    </row>
    <row r="453" ht="15.75" customHeight="1">
      <c r="A453" s="14"/>
      <c r="B453" s="25"/>
      <c r="C453" s="26"/>
      <c r="D453" s="26"/>
    </row>
    <row r="454" ht="15.75" customHeight="1">
      <c r="A454" s="14"/>
      <c r="B454" s="25"/>
      <c r="C454" s="26"/>
      <c r="D454" s="26"/>
    </row>
    <row r="455" ht="15.75" customHeight="1">
      <c r="A455" s="14"/>
      <c r="B455" s="25"/>
      <c r="C455" s="26"/>
      <c r="D455" s="26"/>
    </row>
    <row r="456" ht="15.75" customHeight="1">
      <c r="A456" s="14"/>
      <c r="B456" s="25"/>
      <c r="C456" s="26"/>
      <c r="D456" s="26"/>
    </row>
    <row r="457" ht="15.75" customHeight="1">
      <c r="A457" s="14"/>
      <c r="B457" s="25"/>
      <c r="C457" s="26"/>
      <c r="D457" s="26"/>
    </row>
    <row r="458" ht="15.75" customHeight="1">
      <c r="A458" s="14"/>
      <c r="B458" s="25"/>
      <c r="C458" s="26"/>
      <c r="D458" s="26"/>
    </row>
    <row r="459" ht="15.75" customHeight="1">
      <c r="A459" s="14"/>
      <c r="B459" s="25"/>
      <c r="C459" s="26"/>
      <c r="D459" s="26"/>
    </row>
    <row r="460" ht="15.75" customHeight="1">
      <c r="A460" s="14"/>
      <c r="B460" s="25"/>
      <c r="C460" s="26"/>
      <c r="D460" s="26"/>
    </row>
    <row r="461" ht="15.75" customHeight="1">
      <c r="A461" s="14"/>
      <c r="B461" s="25"/>
      <c r="C461" s="26"/>
      <c r="D461" s="26"/>
    </row>
    <row r="462" ht="15.75" customHeight="1">
      <c r="A462" s="14"/>
      <c r="B462" s="25"/>
      <c r="C462" s="26"/>
      <c r="D462" s="26"/>
    </row>
    <row r="463" ht="15.75" customHeight="1">
      <c r="A463" s="14"/>
      <c r="B463" s="25"/>
      <c r="C463" s="26"/>
      <c r="D463" s="26"/>
    </row>
    <row r="464" ht="15.75" customHeight="1">
      <c r="A464" s="14"/>
      <c r="B464" s="25"/>
      <c r="C464" s="26"/>
      <c r="D464" s="26"/>
    </row>
    <row r="465" ht="15.75" customHeight="1">
      <c r="A465" s="14"/>
      <c r="B465" s="25"/>
      <c r="C465" s="26"/>
      <c r="D465" s="26"/>
    </row>
    <row r="466" ht="15.75" customHeight="1">
      <c r="A466" s="14"/>
      <c r="B466" s="25"/>
      <c r="C466" s="26"/>
      <c r="D466" s="26"/>
    </row>
    <row r="467" ht="15.75" customHeight="1">
      <c r="A467" s="14"/>
      <c r="B467" s="25"/>
      <c r="C467" s="26"/>
      <c r="D467" s="26"/>
    </row>
    <row r="468" ht="15.75" customHeight="1">
      <c r="A468" s="14"/>
      <c r="B468" s="25"/>
      <c r="C468" s="26"/>
      <c r="D468" s="26"/>
    </row>
    <row r="469" ht="15.75" customHeight="1">
      <c r="A469" s="14"/>
      <c r="B469" s="25"/>
      <c r="C469" s="26"/>
      <c r="D469" s="26"/>
    </row>
    <row r="470" ht="15.75" customHeight="1">
      <c r="A470" s="14"/>
      <c r="B470" s="25"/>
      <c r="C470" s="26"/>
      <c r="D470" s="26"/>
    </row>
    <row r="471" ht="15.75" customHeight="1">
      <c r="A471" s="14"/>
      <c r="B471" s="25"/>
      <c r="C471" s="26"/>
      <c r="D471" s="26"/>
    </row>
    <row r="472" ht="15.75" customHeight="1">
      <c r="A472" s="14"/>
      <c r="B472" s="25"/>
      <c r="C472" s="26"/>
      <c r="D472" s="26"/>
    </row>
    <row r="473" ht="15.75" customHeight="1">
      <c r="A473" s="14"/>
      <c r="B473" s="25"/>
      <c r="C473" s="26"/>
      <c r="D473" s="26"/>
    </row>
    <row r="474" ht="15.75" customHeight="1">
      <c r="A474" s="14"/>
      <c r="B474" s="25"/>
      <c r="C474" s="26"/>
      <c r="D474" s="26"/>
    </row>
    <row r="475" ht="15.75" customHeight="1">
      <c r="A475" s="14"/>
      <c r="B475" s="25"/>
      <c r="C475" s="26"/>
      <c r="D475" s="26"/>
    </row>
    <row r="476" ht="15.75" customHeight="1">
      <c r="A476" s="14"/>
      <c r="B476" s="25"/>
      <c r="C476" s="26"/>
      <c r="D476" s="26"/>
    </row>
    <row r="477" ht="15.75" customHeight="1">
      <c r="A477" s="14"/>
      <c r="B477" s="25"/>
      <c r="C477" s="26"/>
      <c r="D477" s="26"/>
    </row>
    <row r="478" ht="15.75" customHeight="1">
      <c r="A478" s="14"/>
      <c r="B478" s="25"/>
      <c r="C478" s="26"/>
      <c r="D478" s="26"/>
    </row>
    <row r="479" ht="15.75" customHeight="1">
      <c r="A479" s="14"/>
      <c r="B479" s="25"/>
      <c r="C479" s="26"/>
      <c r="D479" s="26"/>
    </row>
    <row r="480" ht="15.75" customHeight="1">
      <c r="A480" s="14"/>
      <c r="B480" s="25"/>
      <c r="C480" s="26"/>
      <c r="D480" s="26"/>
    </row>
    <row r="481" ht="15.75" customHeight="1">
      <c r="A481" s="14"/>
      <c r="B481" s="25"/>
      <c r="C481" s="26"/>
      <c r="D481" s="26"/>
    </row>
    <row r="482" ht="15.75" customHeight="1">
      <c r="A482" s="14"/>
      <c r="B482" s="25"/>
      <c r="C482" s="26"/>
      <c r="D482" s="26"/>
    </row>
    <row r="483" ht="15.75" customHeight="1">
      <c r="A483" s="14"/>
      <c r="B483" s="25"/>
      <c r="C483" s="26"/>
      <c r="D483" s="26"/>
    </row>
    <row r="484" ht="15.75" customHeight="1">
      <c r="A484" s="14"/>
      <c r="B484" s="25"/>
      <c r="C484" s="26"/>
      <c r="D484" s="26"/>
    </row>
    <row r="485" ht="15.75" customHeight="1">
      <c r="A485" s="14"/>
      <c r="B485" s="25"/>
      <c r="C485" s="26"/>
      <c r="D485" s="26"/>
    </row>
    <row r="486" ht="15.75" customHeight="1">
      <c r="A486" s="14"/>
      <c r="B486" s="25"/>
      <c r="C486" s="26"/>
      <c r="D486" s="26"/>
    </row>
    <row r="487" ht="15.75" customHeight="1">
      <c r="A487" s="14"/>
      <c r="B487" s="25"/>
      <c r="C487" s="26"/>
      <c r="D487" s="26"/>
    </row>
    <row r="488" ht="15.75" customHeight="1">
      <c r="A488" s="14"/>
      <c r="B488" s="25"/>
      <c r="C488" s="26"/>
      <c r="D488" s="26"/>
    </row>
    <row r="489" ht="15.75" customHeight="1">
      <c r="A489" s="14"/>
      <c r="B489" s="25"/>
      <c r="C489" s="26"/>
      <c r="D489" s="26"/>
    </row>
    <row r="490" ht="15.75" customHeight="1">
      <c r="A490" s="14"/>
      <c r="B490" s="25"/>
      <c r="C490" s="26"/>
      <c r="D490" s="26"/>
    </row>
    <row r="491" ht="15.75" customHeight="1">
      <c r="A491" s="14"/>
      <c r="B491" s="25"/>
      <c r="C491" s="26"/>
      <c r="D491" s="26"/>
    </row>
    <row r="492" ht="15.75" customHeight="1">
      <c r="A492" s="14"/>
      <c r="B492" s="25"/>
      <c r="C492" s="26"/>
      <c r="D492" s="26"/>
    </row>
    <row r="493" ht="15.75" customHeight="1">
      <c r="A493" s="14"/>
      <c r="B493" s="25"/>
      <c r="C493" s="26"/>
      <c r="D493" s="26"/>
    </row>
    <row r="494" ht="15.75" customHeight="1">
      <c r="A494" s="14"/>
      <c r="B494" s="25"/>
      <c r="C494" s="26"/>
      <c r="D494" s="26"/>
    </row>
    <row r="495" ht="15.75" customHeight="1">
      <c r="A495" s="14"/>
      <c r="B495" s="25"/>
      <c r="C495" s="26"/>
      <c r="D495" s="26"/>
    </row>
    <row r="496" ht="15.75" customHeight="1">
      <c r="A496" s="14"/>
      <c r="B496" s="25"/>
      <c r="C496" s="26"/>
      <c r="D496" s="26"/>
    </row>
    <row r="497" ht="15.75" customHeight="1">
      <c r="A497" s="14"/>
      <c r="B497" s="25"/>
      <c r="C497" s="26"/>
      <c r="D497" s="26"/>
    </row>
    <row r="498" ht="15.75" customHeight="1">
      <c r="A498" s="14"/>
      <c r="B498" s="25"/>
      <c r="C498" s="26"/>
      <c r="D498" s="26"/>
    </row>
    <row r="499" ht="15.75" customHeight="1">
      <c r="A499" s="14"/>
      <c r="B499" s="25"/>
      <c r="C499" s="26"/>
      <c r="D499" s="26"/>
    </row>
    <row r="500" ht="15.75" customHeight="1">
      <c r="A500" s="14"/>
      <c r="B500" s="25"/>
      <c r="C500" s="26"/>
      <c r="D500" s="26"/>
    </row>
    <row r="501" ht="15.75" customHeight="1">
      <c r="A501" s="14"/>
      <c r="B501" s="25"/>
      <c r="C501" s="26"/>
      <c r="D501" s="26"/>
    </row>
    <row r="502" ht="15.75" customHeight="1">
      <c r="A502" s="14"/>
      <c r="B502" s="25"/>
      <c r="C502" s="26"/>
      <c r="D502" s="26"/>
    </row>
    <row r="503" ht="15.75" customHeight="1">
      <c r="A503" s="14"/>
      <c r="B503" s="25"/>
      <c r="C503" s="26"/>
      <c r="D503" s="26"/>
    </row>
    <row r="504" ht="15.75" customHeight="1">
      <c r="A504" s="14"/>
      <c r="B504" s="25"/>
      <c r="C504" s="26"/>
      <c r="D504" s="26"/>
    </row>
    <row r="505" ht="15.75" customHeight="1">
      <c r="A505" s="14"/>
      <c r="B505" s="25"/>
      <c r="C505" s="26"/>
      <c r="D505" s="26"/>
    </row>
    <row r="506" ht="15.75" customHeight="1">
      <c r="A506" s="14"/>
      <c r="B506" s="25"/>
      <c r="C506" s="26"/>
      <c r="D506" s="26"/>
    </row>
    <row r="507" ht="15.75" customHeight="1">
      <c r="A507" s="14"/>
      <c r="B507" s="25"/>
      <c r="C507" s="26"/>
      <c r="D507" s="26"/>
    </row>
    <row r="508" ht="15.75" customHeight="1">
      <c r="A508" s="14"/>
      <c r="B508" s="25"/>
      <c r="C508" s="26"/>
      <c r="D508" s="26"/>
    </row>
    <row r="509" ht="15.75" customHeight="1">
      <c r="A509" s="14"/>
      <c r="B509" s="25"/>
      <c r="C509" s="26"/>
      <c r="D509" s="26"/>
    </row>
    <row r="510" ht="15.75" customHeight="1">
      <c r="A510" s="14"/>
      <c r="B510" s="25"/>
      <c r="C510" s="26"/>
      <c r="D510" s="26"/>
    </row>
    <row r="511" ht="15.75" customHeight="1">
      <c r="A511" s="14"/>
      <c r="B511" s="25"/>
      <c r="C511" s="26"/>
      <c r="D511" s="26"/>
    </row>
    <row r="512" ht="15.75" customHeight="1">
      <c r="A512" s="14"/>
      <c r="B512" s="25"/>
      <c r="C512" s="26"/>
      <c r="D512" s="26"/>
    </row>
    <row r="513" ht="15.75" customHeight="1">
      <c r="A513" s="14"/>
      <c r="B513" s="25"/>
      <c r="C513" s="26"/>
      <c r="D513" s="26"/>
    </row>
    <row r="514" ht="15.75" customHeight="1">
      <c r="A514" s="14"/>
      <c r="B514" s="25"/>
      <c r="C514" s="26"/>
      <c r="D514" s="26"/>
    </row>
    <row r="515" ht="15.75" customHeight="1">
      <c r="A515" s="14"/>
      <c r="B515" s="25"/>
      <c r="C515" s="26"/>
      <c r="D515" s="26"/>
    </row>
    <row r="516" ht="15.75" customHeight="1">
      <c r="A516" s="14"/>
      <c r="B516" s="25"/>
      <c r="C516" s="26"/>
      <c r="D516" s="26"/>
    </row>
    <row r="517" ht="15.75" customHeight="1">
      <c r="A517" s="14"/>
      <c r="B517" s="25"/>
      <c r="C517" s="26"/>
      <c r="D517" s="26"/>
    </row>
    <row r="518" ht="15.75" customHeight="1">
      <c r="A518" s="14"/>
      <c r="B518" s="25"/>
      <c r="C518" s="26"/>
      <c r="D518" s="26"/>
    </row>
    <row r="519" ht="15.75" customHeight="1">
      <c r="A519" s="14"/>
      <c r="B519" s="25"/>
      <c r="C519" s="26"/>
      <c r="D519" s="26"/>
    </row>
    <row r="520" ht="15.75" customHeight="1">
      <c r="A520" s="14"/>
      <c r="B520" s="25"/>
      <c r="C520" s="26"/>
      <c r="D520" s="26"/>
    </row>
    <row r="521" ht="15.75" customHeight="1">
      <c r="A521" s="14"/>
      <c r="B521" s="25"/>
      <c r="C521" s="26"/>
      <c r="D521" s="26"/>
    </row>
    <row r="522" ht="15.75" customHeight="1">
      <c r="A522" s="14"/>
      <c r="B522" s="25"/>
      <c r="C522" s="26"/>
      <c r="D522" s="26"/>
    </row>
    <row r="523" ht="15.75" customHeight="1">
      <c r="A523" s="14"/>
      <c r="B523" s="25"/>
      <c r="C523" s="26"/>
      <c r="D523" s="26"/>
    </row>
    <row r="524" ht="15.75" customHeight="1">
      <c r="A524" s="14"/>
      <c r="B524" s="25"/>
      <c r="C524" s="26"/>
      <c r="D524" s="26"/>
    </row>
    <row r="525" ht="15.75" customHeight="1">
      <c r="A525" s="14"/>
      <c r="B525" s="25"/>
      <c r="C525" s="26"/>
      <c r="D525" s="26"/>
    </row>
    <row r="526" ht="15.75" customHeight="1">
      <c r="A526" s="14"/>
      <c r="B526" s="25"/>
      <c r="C526" s="26"/>
      <c r="D526" s="26"/>
    </row>
    <row r="527" ht="15.75" customHeight="1">
      <c r="A527" s="14"/>
      <c r="B527" s="25"/>
      <c r="C527" s="26"/>
      <c r="D527" s="26"/>
    </row>
    <row r="528" ht="15.75" customHeight="1">
      <c r="A528" s="14"/>
      <c r="B528" s="25"/>
      <c r="C528" s="26"/>
      <c r="D528" s="26"/>
    </row>
    <row r="529" ht="15.75" customHeight="1">
      <c r="A529" s="14"/>
      <c r="B529" s="25"/>
      <c r="C529" s="26"/>
      <c r="D529" s="26"/>
    </row>
    <row r="530" ht="15.75" customHeight="1">
      <c r="A530" s="14"/>
      <c r="B530" s="25"/>
      <c r="C530" s="26"/>
      <c r="D530" s="26"/>
    </row>
    <row r="531" ht="15.75" customHeight="1">
      <c r="A531" s="14"/>
      <c r="B531" s="25"/>
      <c r="C531" s="26"/>
      <c r="D531" s="26"/>
    </row>
    <row r="532" ht="15.75" customHeight="1">
      <c r="A532" s="14"/>
      <c r="B532" s="25"/>
      <c r="C532" s="26"/>
      <c r="D532" s="26"/>
    </row>
    <row r="533" ht="15.75" customHeight="1">
      <c r="A533" s="14"/>
      <c r="B533" s="25"/>
      <c r="C533" s="26"/>
      <c r="D533" s="26"/>
    </row>
    <row r="534" ht="15.75" customHeight="1">
      <c r="A534" s="14"/>
      <c r="B534" s="25"/>
      <c r="C534" s="26"/>
      <c r="D534" s="26"/>
    </row>
    <row r="535" ht="15.75" customHeight="1">
      <c r="A535" s="14"/>
      <c r="B535" s="25"/>
      <c r="C535" s="26"/>
      <c r="D535" s="26"/>
    </row>
    <row r="536" ht="15.75" customHeight="1">
      <c r="A536" s="14"/>
      <c r="B536" s="25"/>
      <c r="C536" s="26"/>
      <c r="D536" s="26"/>
    </row>
    <row r="537" ht="15.75" customHeight="1">
      <c r="A537" s="14"/>
      <c r="B537" s="25"/>
      <c r="C537" s="26"/>
      <c r="D537" s="26"/>
    </row>
    <row r="538" ht="15.75" customHeight="1">
      <c r="A538" s="14"/>
      <c r="B538" s="25"/>
      <c r="C538" s="26"/>
      <c r="D538" s="26"/>
    </row>
    <row r="539" ht="15.75" customHeight="1">
      <c r="A539" s="14"/>
      <c r="B539" s="25"/>
      <c r="C539" s="26"/>
      <c r="D539" s="26"/>
    </row>
    <row r="540" ht="15.75" customHeight="1">
      <c r="A540" s="14"/>
      <c r="B540" s="25"/>
      <c r="C540" s="26"/>
      <c r="D540" s="26"/>
    </row>
    <row r="541" ht="15.75" customHeight="1">
      <c r="A541" s="14"/>
      <c r="B541" s="25"/>
      <c r="C541" s="26"/>
      <c r="D541" s="26"/>
    </row>
    <row r="542" ht="15.75" customHeight="1">
      <c r="A542" s="14"/>
      <c r="B542" s="25"/>
      <c r="C542" s="26"/>
      <c r="D542" s="26"/>
    </row>
    <row r="543" ht="15.75" customHeight="1">
      <c r="A543" s="14"/>
      <c r="B543" s="25"/>
      <c r="C543" s="26"/>
      <c r="D543" s="26"/>
    </row>
    <row r="544" ht="15.75" customHeight="1">
      <c r="A544" s="14"/>
      <c r="B544" s="25"/>
      <c r="C544" s="26"/>
      <c r="D544" s="26"/>
    </row>
    <row r="545" ht="15.75" customHeight="1">
      <c r="A545" s="27"/>
    </row>
    <row r="546" ht="15.75" customHeight="1">
      <c r="A546" s="27"/>
    </row>
    <row r="547" ht="15.75" customHeight="1">
      <c r="A547" s="27"/>
    </row>
    <row r="548" ht="15.75" customHeight="1">
      <c r="A548" s="27"/>
    </row>
    <row r="549" ht="15.75" customHeight="1">
      <c r="A549" s="27"/>
    </row>
    <row r="550" ht="15.75" customHeight="1">
      <c r="A550" s="27"/>
    </row>
    <row r="551" ht="15.75" customHeight="1">
      <c r="A551" s="27"/>
    </row>
    <row r="552" ht="15.75" customHeight="1">
      <c r="A552" s="27"/>
    </row>
    <row r="553" ht="15.75" customHeight="1">
      <c r="A553" s="27"/>
    </row>
    <row r="554" ht="15.75" customHeight="1">
      <c r="A554" s="27"/>
    </row>
    <row r="555" ht="15.75" customHeight="1">
      <c r="A555" s="27"/>
    </row>
    <row r="556" ht="15.75" customHeight="1">
      <c r="A556" s="27"/>
    </row>
    <row r="557" ht="15.75" customHeight="1">
      <c r="A557" s="27"/>
    </row>
    <row r="558" ht="15.75" customHeight="1">
      <c r="A558" s="27"/>
    </row>
    <row r="559" ht="15.75" customHeight="1">
      <c r="A559" s="27"/>
    </row>
    <row r="560" ht="15.75" customHeight="1">
      <c r="A560" s="27"/>
    </row>
    <row r="561" ht="15.75" customHeight="1">
      <c r="A561" s="27"/>
    </row>
    <row r="562" ht="15.75" customHeight="1">
      <c r="A562" s="27"/>
    </row>
    <row r="563" ht="15.75" customHeight="1">
      <c r="A563" s="27"/>
    </row>
    <row r="564" ht="15.75" customHeight="1">
      <c r="A564" s="27"/>
    </row>
    <row r="565" ht="15.75" customHeight="1">
      <c r="A565" s="27"/>
    </row>
    <row r="566" ht="15.75" customHeight="1">
      <c r="A566" s="27"/>
    </row>
    <row r="567" ht="15.75" customHeight="1">
      <c r="A567" s="27"/>
    </row>
    <row r="568" ht="15.75" customHeight="1">
      <c r="A568" s="27"/>
    </row>
    <row r="569" ht="15.75" customHeight="1">
      <c r="A569" s="27"/>
    </row>
    <row r="570" ht="15.75" customHeight="1">
      <c r="A570" s="27"/>
    </row>
    <row r="571" ht="15.75" customHeight="1">
      <c r="A571" s="27"/>
    </row>
    <row r="572" ht="15.75" customHeight="1">
      <c r="A572" s="27"/>
    </row>
    <row r="573" ht="15.75" customHeight="1">
      <c r="A573" s="27"/>
    </row>
    <row r="574" ht="15.75" customHeight="1">
      <c r="A574" s="27"/>
    </row>
    <row r="575" ht="15.75" customHeight="1">
      <c r="A575" s="27"/>
    </row>
    <row r="576" ht="15.75" customHeight="1">
      <c r="A576" s="27"/>
    </row>
    <row r="577" ht="15.75" customHeight="1">
      <c r="A577" s="27"/>
    </row>
    <row r="578" ht="15.75" customHeight="1">
      <c r="A578" s="27"/>
    </row>
    <row r="579" ht="15.75" customHeight="1">
      <c r="A579" s="27"/>
    </row>
    <row r="580" ht="15.75" customHeight="1">
      <c r="A580" s="27"/>
    </row>
    <row r="581" ht="15.75" customHeight="1">
      <c r="A581" s="27"/>
    </row>
    <row r="582" ht="15.75" customHeight="1">
      <c r="A582" s="27"/>
    </row>
    <row r="583" ht="15.75" customHeight="1">
      <c r="A583" s="27"/>
    </row>
    <row r="584" ht="15.75" customHeight="1">
      <c r="A584" s="27"/>
    </row>
    <row r="585" ht="15.75" customHeight="1">
      <c r="A585" s="27"/>
    </row>
    <row r="586" ht="15.75" customHeight="1">
      <c r="A586" s="27"/>
    </row>
    <row r="587" ht="15.75" customHeight="1">
      <c r="A587" s="27"/>
    </row>
    <row r="588" ht="15.75" customHeight="1">
      <c r="A588" s="27"/>
    </row>
    <row r="589" ht="15.75" customHeight="1">
      <c r="A589" s="27"/>
    </row>
    <row r="590" ht="15.75" customHeight="1">
      <c r="A590" s="27"/>
    </row>
    <row r="591" ht="15.75" customHeight="1">
      <c r="A591" s="27"/>
    </row>
    <row r="592" ht="15.75" customHeight="1">
      <c r="A592" s="27"/>
    </row>
    <row r="593" ht="15.75" customHeight="1">
      <c r="A593" s="27"/>
    </row>
    <row r="594" ht="15.75" customHeight="1">
      <c r="A594" s="27"/>
    </row>
    <row r="595" ht="15.75" customHeight="1">
      <c r="A595" s="27"/>
    </row>
    <row r="596" ht="15.75" customHeight="1">
      <c r="A596" s="27"/>
    </row>
    <row r="597" ht="15.75" customHeight="1">
      <c r="A597" s="27"/>
    </row>
    <row r="598" ht="15.75" customHeight="1">
      <c r="A598" s="27"/>
    </row>
    <row r="599" ht="15.75" customHeight="1">
      <c r="A599" s="27"/>
    </row>
    <row r="600" ht="15.75" customHeight="1">
      <c r="A600" s="27"/>
    </row>
    <row r="601" ht="15.75" customHeight="1">
      <c r="A601" s="27"/>
    </row>
    <row r="602" ht="15.75" customHeight="1">
      <c r="A602" s="27"/>
    </row>
    <row r="603" ht="15.75" customHeight="1">
      <c r="A603" s="27"/>
    </row>
    <row r="604" ht="15.75" customHeight="1">
      <c r="A604" s="27"/>
    </row>
    <row r="605" ht="15.75" customHeight="1">
      <c r="A605" s="27"/>
    </row>
    <row r="606" ht="15.75" customHeight="1">
      <c r="A606" s="27"/>
    </row>
    <row r="607" ht="15.75" customHeight="1">
      <c r="A607" s="27"/>
    </row>
    <row r="608" ht="15.75" customHeight="1">
      <c r="A608" s="27"/>
    </row>
    <row r="609" ht="15.75" customHeight="1">
      <c r="A609" s="27"/>
    </row>
    <row r="610" ht="15.75" customHeight="1">
      <c r="A610" s="27"/>
    </row>
    <row r="611" ht="15.75" customHeight="1">
      <c r="A611" s="27"/>
    </row>
    <row r="612" ht="15.75" customHeight="1">
      <c r="A612" s="27"/>
    </row>
    <row r="613" ht="15.75" customHeight="1">
      <c r="A613" s="27"/>
    </row>
    <row r="614" ht="15.75" customHeight="1">
      <c r="A614" s="27"/>
    </row>
    <row r="615" ht="15.75" customHeight="1">
      <c r="A615" s="27"/>
    </row>
    <row r="616" ht="15.75" customHeight="1">
      <c r="A616" s="27"/>
    </row>
    <row r="617" ht="15.75" customHeight="1">
      <c r="A617" s="27"/>
    </row>
    <row r="618" ht="15.75" customHeight="1">
      <c r="A618" s="27"/>
    </row>
    <row r="619" ht="15.75" customHeight="1">
      <c r="A619" s="27"/>
    </row>
    <row r="620" ht="15.75" customHeight="1">
      <c r="A620" s="27"/>
    </row>
    <row r="621" ht="15.75" customHeight="1">
      <c r="A621" s="27"/>
    </row>
    <row r="622" ht="15.75" customHeight="1">
      <c r="A622" s="27"/>
    </row>
    <row r="623" ht="15.75" customHeight="1">
      <c r="A623" s="27"/>
    </row>
    <row r="624" ht="15.75" customHeight="1">
      <c r="A624" s="27"/>
    </row>
    <row r="625" ht="15.75" customHeight="1">
      <c r="A625" s="27"/>
    </row>
    <row r="626" ht="15.75" customHeight="1">
      <c r="A626" s="27"/>
    </row>
    <row r="627" ht="15.75" customHeight="1">
      <c r="A627" s="27"/>
    </row>
    <row r="628" ht="15.75" customHeight="1">
      <c r="A628" s="27"/>
    </row>
    <row r="629" ht="15.75" customHeight="1">
      <c r="A629" s="27"/>
    </row>
    <row r="630" ht="15.75" customHeight="1">
      <c r="A630" s="27"/>
    </row>
    <row r="631" ht="15.75" customHeight="1">
      <c r="A631" s="27"/>
    </row>
    <row r="632" ht="15.75" customHeight="1">
      <c r="A632" s="27"/>
    </row>
    <row r="633" ht="15.75" customHeight="1">
      <c r="A633" s="27"/>
    </row>
    <row r="634" ht="15.75" customHeight="1">
      <c r="A634" s="27"/>
    </row>
    <row r="635" ht="15.75" customHeight="1">
      <c r="A635" s="27"/>
    </row>
    <row r="636" ht="15.75" customHeight="1">
      <c r="A636" s="27"/>
    </row>
    <row r="637" ht="15.75" customHeight="1">
      <c r="A637" s="27"/>
    </row>
    <row r="638" ht="15.75" customHeight="1">
      <c r="A638" s="27"/>
    </row>
    <row r="639" ht="15.75" customHeight="1">
      <c r="A639" s="27"/>
    </row>
    <row r="640" ht="15.75" customHeight="1">
      <c r="A640" s="27"/>
    </row>
    <row r="641" ht="15.75" customHeight="1">
      <c r="A641" s="27"/>
    </row>
    <row r="642" ht="15.75" customHeight="1">
      <c r="A642" s="27"/>
    </row>
    <row r="643" ht="15.75" customHeight="1">
      <c r="A643" s="27"/>
    </row>
    <row r="644" ht="15.75" customHeight="1">
      <c r="A644" s="27"/>
    </row>
    <row r="645" ht="15.75" customHeight="1">
      <c r="A645" s="27"/>
    </row>
    <row r="646" ht="15.75" customHeight="1">
      <c r="A646" s="27"/>
    </row>
    <row r="647" ht="15.75" customHeight="1">
      <c r="A647" s="27"/>
    </row>
    <row r="648" ht="15.75" customHeight="1">
      <c r="A648" s="27"/>
    </row>
    <row r="649" ht="15.75" customHeight="1">
      <c r="A649" s="27"/>
    </row>
    <row r="650" ht="15.75" customHeight="1">
      <c r="A650" s="27"/>
    </row>
    <row r="651" ht="15.75" customHeight="1">
      <c r="A651" s="27"/>
    </row>
    <row r="652" ht="15.75" customHeight="1">
      <c r="A652" s="27"/>
    </row>
    <row r="653" ht="15.75" customHeight="1">
      <c r="A653" s="27"/>
    </row>
    <row r="654" ht="15.75" customHeight="1">
      <c r="A654" s="27"/>
    </row>
    <row r="655" ht="15.75" customHeight="1">
      <c r="A655" s="27"/>
    </row>
    <row r="656" ht="15.75" customHeight="1">
      <c r="A656" s="27"/>
    </row>
    <row r="657" ht="15.75" customHeight="1">
      <c r="A657" s="27"/>
    </row>
    <row r="658" ht="15.75" customHeight="1">
      <c r="A658" s="27"/>
    </row>
    <row r="659" ht="15.75" customHeight="1">
      <c r="A659" s="27"/>
    </row>
    <row r="660" ht="15.75" customHeight="1">
      <c r="A660" s="27"/>
    </row>
    <row r="661" ht="15.75" customHeight="1">
      <c r="A661" s="27"/>
    </row>
    <row r="662" ht="15.75" customHeight="1">
      <c r="A662" s="27"/>
    </row>
    <row r="663" ht="15.75" customHeight="1">
      <c r="A663" s="27"/>
    </row>
    <row r="664" ht="15.75" customHeight="1">
      <c r="A664" s="27"/>
    </row>
    <row r="665" ht="15.75" customHeight="1">
      <c r="A665" s="27"/>
    </row>
    <row r="666" ht="15.75" customHeight="1">
      <c r="A666" s="27"/>
    </row>
    <row r="667" ht="15.75" customHeight="1">
      <c r="A667" s="27"/>
    </row>
    <row r="668" ht="15.75" customHeight="1">
      <c r="A668" s="27"/>
    </row>
    <row r="669" ht="15.75" customHeight="1">
      <c r="A669" s="27"/>
    </row>
    <row r="670" ht="15.75" customHeight="1">
      <c r="A670" s="27"/>
    </row>
    <row r="671" ht="15.75" customHeight="1">
      <c r="A671" s="27"/>
    </row>
    <row r="672" ht="15.75" customHeight="1">
      <c r="A672" s="27"/>
    </row>
    <row r="673" ht="15.75" customHeight="1">
      <c r="A673" s="27"/>
    </row>
    <row r="674" ht="15.75" customHeight="1">
      <c r="A674" s="27"/>
    </row>
    <row r="675" ht="15.75" customHeight="1">
      <c r="A675" s="27"/>
    </row>
    <row r="676" ht="15.75" customHeight="1">
      <c r="A676" s="27"/>
    </row>
    <row r="677" ht="15.75" customHeight="1">
      <c r="A677" s="27"/>
    </row>
    <row r="678" ht="15.75" customHeight="1">
      <c r="A678" s="27"/>
    </row>
    <row r="679" ht="15.75" customHeight="1">
      <c r="A679" s="27"/>
    </row>
    <row r="680" ht="15.75" customHeight="1">
      <c r="A680" s="27"/>
    </row>
    <row r="681" ht="15.75" customHeight="1">
      <c r="A681" s="27"/>
    </row>
    <row r="682" ht="15.75" customHeight="1">
      <c r="A682" s="27"/>
    </row>
    <row r="683" ht="15.75" customHeight="1">
      <c r="A683" s="27"/>
    </row>
    <row r="684" ht="15.75" customHeight="1">
      <c r="A684" s="27"/>
    </row>
    <row r="685" ht="15.75" customHeight="1">
      <c r="A685" s="27"/>
    </row>
    <row r="686" ht="15.75" customHeight="1">
      <c r="A686" s="27"/>
    </row>
    <row r="687" ht="15.75" customHeight="1">
      <c r="A687" s="27"/>
    </row>
    <row r="688" ht="15.75" customHeight="1">
      <c r="A688" s="27"/>
    </row>
    <row r="689" ht="15.75" customHeight="1">
      <c r="A689" s="27"/>
    </row>
    <row r="690" ht="15.75" customHeight="1">
      <c r="A690" s="27"/>
    </row>
    <row r="691" ht="15.75" customHeight="1">
      <c r="A691" s="27"/>
    </row>
    <row r="692" ht="15.75" customHeight="1">
      <c r="A692" s="27"/>
    </row>
    <row r="693" ht="15.75" customHeight="1">
      <c r="A693" s="27"/>
    </row>
    <row r="694" ht="15.75" customHeight="1">
      <c r="A694" s="27"/>
    </row>
    <row r="695" ht="15.75" customHeight="1">
      <c r="A695" s="27"/>
    </row>
    <row r="696" ht="15.75" customHeight="1">
      <c r="A696" s="27"/>
    </row>
    <row r="697" ht="15.75" customHeight="1">
      <c r="A697" s="27"/>
    </row>
    <row r="698" ht="15.75" customHeight="1">
      <c r="A698" s="27"/>
    </row>
    <row r="699" ht="15.75" customHeight="1">
      <c r="A699" s="27"/>
    </row>
    <row r="700" ht="15.75" customHeight="1">
      <c r="A700" s="27"/>
    </row>
    <row r="701" ht="15.75" customHeight="1">
      <c r="A701" s="27"/>
    </row>
    <row r="702" ht="15.75" customHeight="1">
      <c r="A702" s="27"/>
    </row>
    <row r="703" ht="15.75" customHeight="1">
      <c r="A703" s="27"/>
    </row>
    <row r="704" ht="15.75" customHeight="1">
      <c r="A704" s="27"/>
    </row>
    <row r="705" ht="15.75" customHeight="1">
      <c r="A705" s="27"/>
    </row>
    <row r="706" ht="15.75" customHeight="1">
      <c r="A706" s="27"/>
    </row>
    <row r="707" ht="15.75" customHeight="1">
      <c r="A707" s="27"/>
    </row>
    <row r="708" ht="15.75" customHeight="1">
      <c r="A708" s="27"/>
    </row>
    <row r="709" ht="15.75" customHeight="1">
      <c r="A709" s="27"/>
    </row>
    <row r="710" ht="15.75" customHeight="1">
      <c r="A710" s="27"/>
    </row>
    <row r="711" ht="15.75" customHeight="1">
      <c r="A711" s="27"/>
    </row>
    <row r="712" ht="15.75" customHeight="1">
      <c r="A712" s="27"/>
    </row>
    <row r="713" ht="15.75" customHeight="1">
      <c r="A713" s="27"/>
    </row>
    <row r="714" ht="15.75" customHeight="1">
      <c r="A714" s="27"/>
    </row>
    <row r="715" ht="15.75" customHeight="1">
      <c r="A715" s="27"/>
    </row>
    <row r="716" ht="15.75" customHeight="1">
      <c r="A716" s="27"/>
    </row>
    <row r="717" ht="15.75" customHeight="1">
      <c r="A717" s="27"/>
    </row>
    <row r="718" ht="15.75" customHeight="1">
      <c r="A718" s="27"/>
    </row>
    <row r="719" ht="15.75" customHeight="1">
      <c r="A719" s="27"/>
    </row>
    <row r="720" ht="15.75" customHeight="1">
      <c r="A720" s="27"/>
    </row>
    <row r="721" ht="15.75" customHeight="1">
      <c r="A721" s="27"/>
    </row>
    <row r="722" ht="15.75" customHeight="1">
      <c r="A722" s="27"/>
    </row>
    <row r="723" ht="15.75" customHeight="1">
      <c r="A723" s="27"/>
    </row>
    <row r="724" ht="15.75" customHeight="1">
      <c r="A724" s="27"/>
    </row>
    <row r="725" ht="15.75" customHeight="1">
      <c r="A725" s="27"/>
    </row>
    <row r="726" ht="15.75" customHeight="1">
      <c r="A726" s="27"/>
    </row>
    <row r="727" ht="15.75" customHeight="1">
      <c r="A727" s="27"/>
    </row>
    <row r="728" ht="15.75" customHeight="1">
      <c r="A728" s="27"/>
    </row>
    <row r="729" ht="15.75" customHeight="1">
      <c r="A729" s="27"/>
    </row>
    <row r="730" ht="15.75" customHeight="1">
      <c r="A730" s="27"/>
    </row>
    <row r="731" ht="15.75" customHeight="1">
      <c r="A731" s="27"/>
    </row>
    <row r="732" ht="15.75" customHeight="1">
      <c r="A732" s="27"/>
    </row>
    <row r="733" ht="15.75" customHeight="1">
      <c r="A733" s="27"/>
    </row>
    <row r="734" ht="15.75" customHeight="1">
      <c r="A734" s="27"/>
    </row>
    <row r="735" ht="15.75" customHeight="1">
      <c r="A735" s="27"/>
    </row>
    <row r="736" ht="15.75" customHeight="1">
      <c r="A736" s="27"/>
    </row>
    <row r="737" ht="15.75" customHeight="1">
      <c r="A737" s="27"/>
    </row>
    <row r="738" ht="15.75" customHeight="1">
      <c r="A738" s="27"/>
    </row>
    <row r="739" ht="15.75" customHeight="1">
      <c r="A739" s="27"/>
    </row>
    <row r="740" ht="15.75" customHeight="1">
      <c r="A740" s="27"/>
    </row>
    <row r="741" ht="15.75" customHeight="1">
      <c r="A741" s="27"/>
    </row>
    <row r="742" ht="15.75" customHeight="1">
      <c r="A742" s="27"/>
    </row>
    <row r="743" ht="15.75" customHeight="1">
      <c r="A743" s="27"/>
    </row>
    <row r="744" ht="15.75" customHeight="1">
      <c r="A744" s="27"/>
    </row>
    <row r="745" ht="15.75" customHeight="1">
      <c r="A745" s="27"/>
    </row>
    <row r="746" ht="15.75" customHeight="1">
      <c r="A746" s="27"/>
    </row>
    <row r="747" ht="15.75" customHeight="1">
      <c r="A747" s="27"/>
    </row>
    <row r="748" ht="15.75" customHeight="1">
      <c r="A748" s="27"/>
    </row>
    <row r="749" ht="15.75" customHeight="1">
      <c r="A749" s="27"/>
    </row>
    <row r="750" ht="15.75" customHeight="1">
      <c r="A750" s="27"/>
    </row>
    <row r="751" ht="15.75" customHeight="1">
      <c r="A751" s="27"/>
    </row>
    <row r="752" ht="15.75" customHeight="1">
      <c r="A752" s="27"/>
    </row>
    <row r="753" ht="15.75" customHeight="1">
      <c r="A753" s="27"/>
    </row>
    <row r="754" ht="15.75" customHeight="1">
      <c r="A754" s="27"/>
    </row>
    <row r="755" ht="15.75" customHeight="1">
      <c r="A755" s="27"/>
    </row>
    <row r="756" ht="15.75" customHeight="1">
      <c r="A756" s="27"/>
    </row>
    <row r="757" ht="15.75" customHeight="1">
      <c r="A757" s="27"/>
    </row>
    <row r="758" ht="15.75" customHeight="1">
      <c r="A758" s="27"/>
    </row>
    <row r="759" ht="15.75" customHeight="1">
      <c r="A759" s="27"/>
    </row>
    <row r="760" ht="15.75" customHeight="1">
      <c r="A760" s="27"/>
    </row>
    <row r="761" ht="15.75" customHeight="1">
      <c r="A761" s="27"/>
    </row>
    <row r="762" ht="15.75" customHeight="1">
      <c r="A762" s="27"/>
    </row>
    <row r="763" ht="15.75" customHeight="1">
      <c r="A763" s="27"/>
    </row>
    <row r="764" ht="15.75" customHeight="1">
      <c r="A764" s="27"/>
    </row>
    <row r="765" ht="15.75" customHeight="1">
      <c r="A765" s="27"/>
    </row>
    <row r="766" ht="15.75" customHeight="1">
      <c r="A766" s="27"/>
    </row>
    <row r="767" ht="15.75" customHeight="1">
      <c r="A767" s="27"/>
    </row>
    <row r="768" ht="15.75" customHeight="1">
      <c r="A768" s="27"/>
    </row>
    <row r="769" ht="15.75" customHeight="1">
      <c r="A769" s="27"/>
    </row>
    <row r="770" ht="15.75" customHeight="1">
      <c r="A770" s="27"/>
    </row>
    <row r="771" ht="15.75" customHeight="1">
      <c r="A771" s="27"/>
    </row>
    <row r="772" ht="15.75" customHeight="1">
      <c r="A772" s="27"/>
    </row>
    <row r="773" ht="15.75" customHeight="1">
      <c r="A773" s="27"/>
    </row>
    <row r="774" ht="15.75" customHeight="1">
      <c r="A774" s="27"/>
    </row>
    <row r="775" ht="15.75" customHeight="1">
      <c r="A775" s="27"/>
    </row>
    <row r="776" ht="15.75" customHeight="1">
      <c r="A776" s="27"/>
    </row>
    <row r="777" ht="15.75" customHeight="1">
      <c r="A777" s="27"/>
    </row>
    <row r="778" ht="15.75" customHeight="1">
      <c r="A778" s="27"/>
    </row>
    <row r="779" ht="15.75" customHeight="1">
      <c r="A779" s="27"/>
    </row>
    <row r="780" ht="15.75" customHeight="1">
      <c r="A780" s="27"/>
    </row>
    <row r="781" ht="15.75" customHeight="1">
      <c r="A781" s="27"/>
    </row>
    <row r="782" ht="15.75" customHeight="1">
      <c r="A782" s="27"/>
    </row>
    <row r="783" ht="15.75" customHeight="1">
      <c r="A783" s="27"/>
    </row>
    <row r="784" ht="15.75" customHeight="1">
      <c r="A784" s="27"/>
    </row>
    <row r="785" ht="15.75" customHeight="1">
      <c r="A785" s="27"/>
    </row>
    <row r="786" ht="15.75" customHeight="1">
      <c r="A786" s="27"/>
    </row>
    <row r="787" ht="15.75" customHeight="1">
      <c r="A787" s="27"/>
    </row>
    <row r="788" ht="15.75" customHeight="1">
      <c r="A788" s="27"/>
    </row>
    <row r="789" ht="15.75" customHeight="1">
      <c r="A789" s="27"/>
    </row>
    <row r="790" ht="15.75" customHeight="1">
      <c r="A790" s="27"/>
    </row>
    <row r="791" ht="15.75" customHeight="1">
      <c r="A791" s="27"/>
    </row>
    <row r="792" ht="15.75" customHeight="1">
      <c r="A792" s="27"/>
    </row>
    <row r="793" ht="15.75" customHeight="1">
      <c r="A793" s="27"/>
    </row>
    <row r="794" ht="15.75" customHeight="1">
      <c r="A794" s="27"/>
    </row>
    <row r="795" ht="15.75" customHeight="1">
      <c r="A795" s="27"/>
    </row>
    <row r="796" ht="15.75" customHeight="1">
      <c r="A796" s="27"/>
    </row>
    <row r="797" ht="15.75" customHeight="1">
      <c r="A797" s="27"/>
    </row>
    <row r="798" ht="15.75" customHeight="1">
      <c r="A798" s="27"/>
    </row>
    <row r="799" ht="15.75" customHeight="1">
      <c r="A799" s="27"/>
    </row>
    <row r="800" ht="15.75" customHeight="1">
      <c r="A800" s="27"/>
    </row>
    <row r="801" ht="15.75" customHeight="1">
      <c r="A801" s="27"/>
    </row>
    <row r="802" ht="15.75" customHeight="1">
      <c r="A802" s="27"/>
    </row>
    <row r="803" ht="15.75" customHeight="1">
      <c r="A803" s="27"/>
    </row>
    <row r="804" ht="15.75" customHeight="1">
      <c r="A804" s="27"/>
    </row>
    <row r="805" ht="15.75" customHeight="1">
      <c r="A805" s="27"/>
    </row>
    <row r="806" ht="15.75" customHeight="1">
      <c r="A806" s="27"/>
    </row>
    <row r="807" ht="15.75" customHeight="1">
      <c r="A807" s="27"/>
    </row>
    <row r="808" ht="15.75" customHeight="1">
      <c r="A808" s="27"/>
    </row>
    <row r="809" ht="15.75" customHeight="1">
      <c r="A809" s="27"/>
    </row>
    <row r="810" ht="15.75" customHeight="1">
      <c r="A810" s="27"/>
    </row>
    <row r="811" ht="15.75" customHeight="1">
      <c r="A811" s="27"/>
    </row>
    <row r="812" ht="15.75" customHeight="1">
      <c r="A812" s="27"/>
    </row>
    <row r="813" ht="15.75" customHeight="1">
      <c r="A813" s="27"/>
    </row>
    <row r="814" ht="15.75" customHeight="1">
      <c r="A814" s="27"/>
    </row>
    <row r="815" ht="15.75" customHeight="1">
      <c r="A815" s="27"/>
    </row>
    <row r="816" ht="15.75" customHeight="1">
      <c r="A816" s="27"/>
    </row>
    <row r="817" ht="15.75" customHeight="1">
      <c r="A817" s="27"/>
    </row>
    <row r="818" ht="15.75" customHeight="1">
      <c r="A818" s="27"/>
    </row>
    <row r="819" ht="15.75" customHeight="1">
      <c r="A819" s="27"/>
    </row>
    <row r="820" ht="15.75" customHeight="1">
      <c r="A820" s="27"/>
    </row>
    <row r="821" ht="15.75" customHeight="1">
      <c r="A821" s="27"/>
    </row>
    <row r="822" ht="15.75" customHeight="1">
      <c r="A822" s="27"/>
    </row>
    <row r="823" ht="15.75" customHeight="1">
      <c r="A823" s="27"/>
    </row>
    <row r="824" ht="15.75" customHeight="1">
      <c r="A824" s="27"/>
    </row>
    <row r="825" ht="15.75" customHeight="1">
      <c r="A825" s="27"/>
    </row>
    <row r="826" ht="15.75" customHeight="1">
      <c r="A826" s="27"/>
    </row>
    <row r="827" ht="15.75" customHeight="1">
      <c r="A827" s="27"/>
    </row>
    <row r="828" ht="15.75" customHeight="1">
      <c r="A828" s="27"/>
    </row>
    <row r="829" ht="15.75" customHeight="1">
      <c r="A829" s="27"/>
    </row>
    <row r="830" ht="15.75" customHeight="1">
      <c r="A830" s="27"/>
    </row>
    <row r="831" ht="15.75" customHeight="1">
      <c r="A831" s="27"/>
    </row>
    <row r="832" ht="15.75" customHeight="1">
      <c r="A832" s="27"/>
    </row>
    <row r="833" ht="15.75" customHeight="1">
      <c r="A833" s="27"/>
    </row>
    <row r="834" ht="15.75" customHeight="1">
      <c r="A834" s="27"/>
    </row>
    <row r="835" ht="15.75" customHeight="1">
      <c r="A835" s="27"/>
    </row>
    <row r="836" ht="15.75" customHeight="1">
      <c r="A836" s="27"/>
    </row>
    <row r="837" ht="15.75" customHeight="1">
      <c r="A837" s="27"/>
    </row>
    <row r="838" ht="15.75" customHeight="1">
      <c r="A838" s="27"/>
    </row>
    <row r="839" ht="15.75" customHeight="1">
      <c r="A839" s="27"/>
    </row>
    <row r="840" ht="15.75" customHeight="1">
      <c r="A840" s="27"/>
    </row>
    <row r="841" ht="15.75" customHeight="1">
      <c r="A841" s="27"/>
    </row>
    <row r="842" ht="15.75" customHeight="1">
      <c r="A842" s="27"/>
    </row>
    <row r="843" ht="15.75" customHeight="1">
      <c r="A843" s="27"/>
    </row>
    <row r="844" ht="15.75" customHeight="1">
      <c r="A844" s="27"/>
    </row>
    <row r="845" ht="15.75" customHeight="1">
      <c r="A845" s="27"/>
    </row>
    <row r="846" ht="15.75" customHeight="1">
      <c r="A846" s="27"/>
    </row>
    <row r="847" ht="15.75" customHeight="1">
      <c r="A847" s="27"/>
    </row>
    <row r="848" ht="15.75" customHeight="1">
      <c r="A848" s="27"/>
    </row>
    <row r="849" ht="15.75" customHeight="1">
      <c r="A849" s="27"/>
    </row>
    <row r="850" ht="15.75" customHeight="1">
      <c r="A850" s="27"/>
    </row>
    <row r="851" ht="15.75" customHeight="1">
      <c r="A851" s="27"/>
    </row>
    <row r="852" ht="15.75" customHeight="1">
      <c r="A852" s="27"/>
    </row>
    <row r="853" ht="15.75" customHeight="1">
      <c r="A853" s="27"/>
    </row>
    <row r="854" ht="15.75" customHeight="1">
      <c r="A854" s="27"/>
    </row>
    <row r="855" ht="15.75" customHeight="1">
      <c r="A855" s="27"/>
    </row>
    <row r="856" ht="15.75" customHeight="1">
      <c r="A856" s="27"/>
    </row>
    <row r="857" ht="15.75" customHeight="1">
      <c r="A857" s="27"/>
    </row>
    <row r="858" ht="15.75" customHeight="1">
      <c r="A858" s="27"/>
    </row>
    <row r="859" ht="15.75" customHeight="1">
      <c r="A859" s="27"/>
    </row>
    <row r="860" ht="15.75" customHeight="1">
      <c r="A860" s="27"/>
    </row>
    <row r="861" ht="15.75" customHeight="1">
      <c r="A861" s="27"/>
    </row>
    <row r="862" ht="15.75" customHeight="1">
      <c r="A862" s="27"/>
    </row>
    <row r="863" ht="15.75" customHeight="1">
      <c r="A863" s="27"/>
    </row>
    <row r="864" ht="15.75" customHeight="1">
      <c r="A864" s="27"/>
    </row>
    <row r="865" ht="15.75" customHeight="1">
      <c r="A865" s="27"/>
    </row>
    <row r="866" ht="15.75" customHeight="1">
      <c r="A866" s="27"/>
    </row>
    <row r="867" ht="15.75" customHeight="1">
      <c r="A867" s="27"/>
    </row>
    <row r="868" ht="15.75" customHeight="1">
      <c r="A868" s="27"/>
    </row>
    <row r="869" ht="15.75" customHeight="1">
      <c r="A869" s="27"/>
    </row>
    <row r="870" ht="15.75" customHeight="1">
      <c r="A870" s="27"/>
    </row>
    <row r="871" ht="15.75" customHeight="1">
      <c r="A871" s="27"/>
    </row>
    <row r="872" ht="15.75" customHeight="1">
      <c r="A872" s="27"/>
    </row>
    <row r="873" ht="15.75" customHeight="1">
      <c r="A873" s="27"/>
    </row>
    <row r="874" ht="15.75" customHeight="1">
      <c r="A874" s="27"/>
    </row>
    <row r="875" ht="15.75" customHeight="1">
      <c r="A875" s="27"/>
    </row>
    <row r="876" ht="15.75" customHeight="1">
      <c r="A876" s="27"/>
    </row>
    <row r="877" ht="15.75" customHeight="1">
      <c r="A877" s="27"/>
    </row>
    <row r="878" ht="15.75" customHeight="1">
      <c r="A878" s="27"/>
    </row>
    <row r="879" ht="15.75" customHeight="1">
      <c r="A879" s="27"/>
    </row>
    <row r="880" ht="15.75" customHeight="1">
      <c r="A880" s="27"/>
    </row>
    <row r="881" ht="15.75" customHeight="1">
      <c r="A881" s="27"/>
    </row>
    <row r="882" ht="15.75" customHeight="1">
      <c r="A882" s="27"/>
    </row>
    <row r="883" ht="15.75" customHeight="1">
      <c r="A883" s="27"/>
    </row>
    <row r="884" ht="15.75" customHeight="1">
      <c r="A884" s="27"/>
    </row>
    <row r="885" ht="15.75" customHeight="1">
      <c r="A885" s="27"/>
    </row>
    <row r="886" ht="15.75" customHeight="1">
      <c r="A886" s="27"/>
    </row>
    <row r="887" ht="15.75" customHeight="1">
      <c r="A887" s="27"/>
    </row>
    <row r="888" ht="15.75" customHeight="1">
      <c r="A888" s="27"/>
    </row>
    <row r="889" ht="15.75" customHeight="1">
      <c r="A889" s="27"/>
    </row>
    <row r="890" ht="15.75" customHeight="1">
      <c r="A890" s="27"/>
    </row>
    <row r="891" ht="15.75" customHeight="1">
      <c r="A891" s="27"/>
    </row>
    <row r="892" ht="15.75" customHeight="1">
      <c r="A892" s="27"/>
    </row>
    <row r="893" ht="15.75" customHeight="1">
      <c r="A893" s="27"/>
    </row>
    <row r="894" ht="15.75" customHeight="1">
      <c r="A894" s="27"/>
    </row>
    <row r="895" ht="15.75" customHeight="1">
      <c r="A895" s="27"/>
    </row>
    <row r="896" ht="15.75" customHeight="1">
      <c r="A896" s="27"/>
    </row>
    <row r="897" ht="15.75" customHeight="1">
      <c r="A897" s="27"/>
    </row>
    <row r="898" ht="15.75" customHeight="1">
      <c r="A898" s="27"/>
    </row>
    <row r="899" ht="15.75" customHeight="1">
      <c r="A899" s="27"/>
    </row>
    <row r="900" ht="15.75" customHeight="1">
      <c r="A900" s="27"/>
    </row>
    <row r="901" ht="15.75" customHeight="1">
      <c r="A901" s="27"/>
    </row>
    <row r="902" ht="15.75" customHeight="1">
      <c r="A902" s="27"/>
    </row>
    <row r="903" ht="15.75" customHeight="1">
      <c r="A903" s="27"/>
    </row>
    <row r="904" ht="15.75" customHeight="1">
      <c r="A904" s="27"/>
    </row>
    <row r="905" ht="15.75" customHeight="1">
      <c r="A905" s="27"/>
    </row>
    <row r="906" ht="15.75" customHeight="1">
      <c r="A906" s="27"/>
    </row>
    <row r="907" ht="15.75" customHeight="1">
      <c r="A907" s="27"/>
    </row>
    <row r="908" ht="15.75" customHeight="1">
      <c r="A908" s="27"/>
    </row>
    <row r="909" ht="15.75" customHeight="1">
      <c r="A909" s="27"/>
    </row>
    <row r="910" ht="15.75" customHeight="1">
      <c r="A910" s="27"/>
    </row>
    <row r="911" ht="15.75" customHeight="1">
      <c r="A911" s="27"/>
    </row>
    <row r="912" ht="15.75" customHeight="1">
      <c r="A912" s="27"/>
    </row>
    <row r="913" ht="15.75" customHeight="1">
      <c r="A913" s="27"/>
    </row>
    <row r="914" ht="15.75" customHeight="1">
      <c r="A914" s="27"/>
    </row>
    <row r="915" ht="15.75" customHeight="1">
      <c r="A915" s="27"/>
    </row>
    <row r="916" ht="15.75" customHeight="1">
      <c r="A916" s="27"/>
    </row>
    <row r="917" ht="15.75" customHeight="1">
      <c r="A917" s="27"/>
    </row>
    <row r="918" ht="15.75" customHeight="1">
      <c r="A918" s="27"/>
    </row>
    <row r="919" ht="15.75" customHeight="1">
      <c r="A919" s="27"/>
    </row>
    <row r="920" ht="15.75" customHeight="1">
      <c r="A920" s="27"/>
    </row>
    <row r="921" ht="15.75" customHeight="1">
      <c r="A921" s="27"/>
    </row>
    <row r="922" ht="15.75" customHeight="1">
      <c r="A922" s="27"/>
    </row>
    <row r="923" ht="15.75" customHeight="1">
      <c r="A923" s="27"/>
    </row>
    <row r="924" ht="15.75" customHeight="1">
      <c r="A924" s="27"/>
    </row>
    <row r="925" ht="15.75" customHeight="1">
      <c r="A925" s="27"/>
    </row>
    <row r="926" ht="15.75" customHeight="1">
      <c r="A926" s="27"/>
    </row>
    <row r="927" ht="15.75" customHeight="1">
      <c r="A927" s="27"/>
    </row>
    <row r="928" ht="15.75" customHeight="1">
      <c r="A928" s="27"/>
    </row>
    <row r="929" ht="15.75" customHeight="1">
      <c r="A929" s="27"/>
    </row>
    <row r="930" ht="15.75" customHeight="1">
      <c r="A930" s="27"/>
    </row>
    <row r="931" ht="15.75" customHeight="1">
      <c r="A931" s="27"/>
    </row>
    <row r="932" ht="15.75" customHeight="1">
      <c r="A932" s="27"/>
    </row>
    <row r="933" ht="15.75" customHeight="1">
      <c r="A933" s="27"/>
    </row>
    <row r="934" ht="15.75" customHeight="1">
      <c r="A934" s="27"/>
    </row>
    <row r="935" ht="15.75" customHeight="1">
      <c r="A935" s="27"/>
    </row>
    <row r="936" ht="15.75" customHeight="1">
      <c r="A936" s="27"/>
    </row>
    <row r="937" ht="15.75" customHeight="1">
      <c r="A937" s="27"/>
    </row>
    <row r="938" ht="15.75" customHeight="1">
      <c r="A938" s="27"/>
    </row>
    <row r="939" ht="15.75" customHeight="1">
      <c r="A939" s="27"/>
    </row>
    <row r="940" ht="15.75" customHeight="1">
      <c r="A940" s="27"/>
    </row>
    <row r="941" ht="15.75" customHeight="1">
      <c r="A941" s="27"/>
    </row>
    <row r="942" ht="15.75" customHeight="1">
      <c r="A942" s="27"/>
    </row>
    <row r="943" ht="15.75" customHeight="1">
      <c r="A943" s="27"/>
    </row>
    <row r="944" ht="15.75" customHeight="1">
      <c r="A944" s="27"/>
    </row>
    <row r="945" ht="15.75" customHeight="1">
      <c r="A945" s="27"/>
    </row>
    <row r="946" ht="15.75" customHeight="1">
      <c r="A946" s="27"/>
    </row>
    <row r="947" ht="15.75" customHeight="1">
      <c r="A947" s="27"/>
    </row>
    <row r="948" ht="15.75" customHeight="1">
      <c r="A948" s="27"/>
    </row>
    <row r="949" ht="15.75" customHeight="1">
      <c r="A949" s="27"/>
    </row>
    <row r="950" ht="15.75" customHeight="1">
      <c r="A950" s="27"/>
    </row>
    <row r="951" ht="15.75" customHeight="1">
      <c r="A951" s="27"/>
    </row>
    <row r="952" ht="15.75" customHeight="1">
      <c r="A952" s="27"/>
    </row>
    <row r="953" ht="15.75" customHeight="1">
      <c r="A953" s="27"/>
    </row>
    <row r="954" ht="15.75" customHeight="1">
      <c r="A954" s="27"/>
    </row>
    <row r="955" ht="15.75" customHeight="1">
      <c r="A955" s="27"/>
    </row>
    <row r="956" ht="15.75" customHeight="1">
      <c r="A956" s="27"/>
    </row>
    <row r="957" ht="15.75" customHeight="1">
      <c r="A957" s="27"/>
    </row>
    <row r="958" ht="15.75" customHeight="1">
      <c r="A958" s="27"/>
    </row>
    <row r="959" ht="15.75" customHeight="1">
      <c r="A959" s="27"/>
    </row>
    <row r="960" ht="15.75" customHeight="1">
      <c r="A960" s="27"/>
    </row>
    <row r="961" ht="15.75" customHeight="1">
      <c r="A961" s="27"/>
    </row>
    <row r="962" ht="15.75" customHeight="1">
      <c r="A962" s="27"/>
    </row>
    <row r="963" ht="15.75" customHeight="1">
      <c r="A963" s="27"/>
    </row>
    <row r="964" ht="15.75" customHeight="1">
      <c r="A964" s="27"/>
    </row>
    <row r="965" ht="15.75" customHeight="1">
      <c r="A965" s="27"/>
    </row>
    <row r="966" ht="15.75" customHeight="1">
      <c r="A966" s="27"/>
    </row>
    <row r="967" ht="15.75" customHeight="1">
      <c r="A967" s="27"/>
    </row>
    <row r="968" ht="15.75" customHeight="1">
      <c r="A968" s="27"/>
    </row>
    <row r="969" ht="15.75" customHeight="1">
      <c r="A969" s="27"/>
    </row>
    <row r="970" ht="15.75" customHeight="1">
      <c r="A970" s="27"/>
    </row>
    <row r="971" ht="15.75" customHeight="1">
      <c r="A971" s="27"/>
    </row>
    <row r="972" ht="15.75" customHeight="1">
      <c r="A972" s="27"/>
    </row>
    <row r="973" ht="15.75" customHeight="1">
      <c r="A973" s="27"/>
    </row>
    <row r="974" ht="15.75" customHeight="1">
      <c r="A974" s="27"/>
    </row>
    <row r="975" ht="15.75" customHeight="1">
      <c r="A975" s="27"/>
    </row>
    <row r="976" ht="15.75" customHeight="1">
      <c r="A976" s="27"/>
    </row>
    <row r="977" ht="15.75" customHeight="1">
      <c r="A977" s="27"/>
    </row>
    <row r="978" ht="15.75" customHeight="1">
      <c r="A978" s="27"/>
    </row>
    <row r="979" ht="15.75" customHeight="1">
      <c r="A979" s="27"/>
    </row>
    <row r="980" ht="15.75" customHeight="1">
      <c r="A980" s="27"/>
    </row>
    <row r="981" ht="15.75" customHeight="1">
      <c r="A981" s="27"/>
    </row>
    <row r="982" ht="15.75" customHeight="1">
      <c r="A982" s="27"/>
    </row>
    <row r="983" ht="15.75" customHeight="1">
      <c r="A983" s="27"/>
    </row>
    <row r="984" ht="15.75" customHeight="1">
      <c r="A984" s="27"/>
    </row>
    <row r="985" ht="15.75" customHeight="1">
      <c r="A985" s="27"/>
    </row>
    <row r="986" ht="15.75" customHeight="1">
      <c r="A986" s="27"/>
    </row>
    <row r="987" ht="15.75" customHeight="1">
      <c r="A987" s="27"/>
    </row>
    <row r="988" ht="15.75" customHeight="1">
      <c r="A988" s="27"/>
    </row>
    <row r="989" ht="15.75" customHeight="1">
      <c r="A989" s="27"/>
    </row>
    <row r="990" ht="15.75" customHeight="1">
      <c r="A990" s="27"/>
    </row>
    <row r="991" ht="15.75" customHeight="1">
      <c r="A991" s="27"/>
    </row>
    <row r="992" ht="15.75" customHeight="1">
      <c r="A992" s="27"/>
    </row>
    <row r="993" ht="15.75" customHeight="1">
      <c r="A993" s="27"/>
    </row>
    <row r="994" ht="15.75" customHeight="1">
      <c r="A994" s="27"/>
    </row>
    <row r="995" ht="15.75" customHeight="1">
      <c r="A995" s="27"/>
    </row>
    <row r="996" ht="15.75" customHeight="1">
      <c r="A996" s="27"/>
    </row>
    <row r="997" ht="15.75" customHeight="1">
      <c r="A997" s="27"/>
    </row>
    <row r="998" ht="15.75" customHeight="1">
      <c r="A998" s="27"/>
    </row>
    <row r="999" ht="15.75" customHeight="1">
      <c r="A999" s="27"/>
    </row>
    <row r="1000" ht="15.75" customHeight="1">
      <c r="A1000" s="2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28" t="s">
        <v>423</v>
      </c>
      <c r="B1" s="29" t="s">
        <v>424</v>
      </c>
      <c r="C1" s="23" t="s">
        <v>22</v>
      </c>
      <c r="D1" s="23" t="s">
        <v>23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30">
        <v>1.0</v>
      </c>
      <c r="B2" s="24" t="s">
        <v>425</v>
      </c>
      <c r="C2" s="10">
        <v>1.9074124041045488</v>
      </c>
      <c r="D2" s="10">
        <v>2.0382446931979055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30">
        <v>2.0</v>
      </c>
      <c r="B3" s="24" t="s">
        <v>53</v>
      </c>
      <c r="C3" s="10">
        <v>0.88845761637446</v>
      </c>
      <c r="D3" s="10">
        <v>0.7842534915062939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30">
        <v>3.0</v>
      </c>
      <c r="B4" s="24" t="s">
        <v>377</v>
      </c>
      <c r="C4" s="10">
        <v>0.9728651133311246</v>
      </c>
      <c r="D4" s="10">
        <v>0.8479952750064373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30">
        <v>4.0</v>
      </c>
      <c r="B5" s="24" t="s">
        <v>188</v>
      </c>
      <c r="C5" s="10">
        <v>0.9634876873655618</v>
      </c>
      <c r="D5" s="10">
        <v>0.8780265097310122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30">
        <v>5.0</v>
      </c>
      <c r="B6" s="24" t="s">
        <v>223</v>
      </c>
      <c r="C6" s="10">
        <v>1.6157496142821774</v>
      </c>
      <c r="D6" s="10">
        <v>1.2286716124379236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30">
        <v>6.0</v>
      </c>
      <c r="B7" s="24" t="s">
        <v>265</v>
      </c>
      <c r="C7" s="10">
        <v>0.9288799888772493</v>
      </c>
      <c r="D7" s="10">
        <v>0.9710267111095354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30">
        <v>7.0</v>
      </c>
      <c r="B8" s="24" t="s">
        <v>426</v>
      </c>
      <c r="C8" s="10">
        <v>0.7683900478915706</v>
      </c>
      <c r="D8" s="10">
        <v>0.6974339323765271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30">
        <v>8.0</v>
      </c>
      <c r="B9" s="24" t="s">
        <v>427</v>
      </c>
      <c r="C9" s="10">
        <v>0.9753718715468075</v>
      </c>
      <c r="D9" s="10">
        <v>1.1145081297530024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30">
        <v>9.0</v>
      </c>
      <c r="B10" s="24" t="s">
        <v>428</v>
      </c>
      <c r="C10" s="10">
        <v>0.9697118367689659</v>
      </c>
      <c r="D10" s="10">
        <v>0.7533538664949307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31">
        <v>10.0</v>
      </c>
      <c r="B11" s="25" t="s">
        <v>429</v>
      </c>
      <c r="C11" s="9">
        <v>0.7535982289724558</v>
      </c>
      <c r="D11" s="10">
        <v>1.0073907015279213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31">
        <v>11.0</v>
      </c>
      <c r="B12" s="25" t="s">
        <v>430</v>
      </c>
      <c r="C12" s="9">
        <v>0.9722992858030914</v>
      </c>
      <c r="D12" s="10">
        <v>0.906269328054794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32"/>
      <c r="B13" s="25"/>
      <c r="C13" s="26"/>
      <c r="D13" s="26"/>
    </row>
    <row r="14" ht="15.75" customHeight="1">
      <c r="A14" s="32"/>
      <c r="B14" s="25"/>
      <c r="C14" s="26"/>
      <c r="D14" s="26"/>
    </row>
    <row r="15" ht="15.75" customHeight="1">
      <c r="A15" s="32"/>
      <c r="B15" s="25"/>
      <c r="C15" s="26"/>
      <c r="D15" s="26"/>
    </row>
    <row r="16" ht="15.75" customHeight="1">
      <c r="A16" s="32"/>
      <c r="B16" s="25"/>
      <c r="C16" s="26"/>
      <c r="D16" s="26"/>
    </row>
    <row r="17" ht="15.75" customHeight="1">
      <c r="A17" s="32"/>
      <c r="B17" s="25"/>
      <c r="C17" s="26"/>
      <c r="D17" s="26"/>
    </row>
    <row r="18" ht="15.75" customHeight="1">
      <c r="A18" s="32"/>
      <c r="B18" s="25"/>
      <c r="C18" s="26"/>
      <c r="D18" s="26"/>
    </row>
    <row r="19" ht="15.75" customHeight="1">
      <c r="A19" s="32"/>
      <c r="B19" s="25"/>
      <c r="C19" s="26"/>
      <c r="D19" s="26"/>
    </row>
    <row r="20" ht="15.75" customHeight="1">
      <c r="A20" s="32"/>
      <c r="B20" s="25"/>
      <c r="C20" s="26"/>
      <c r="D20" s="26"/>
    </row>
    <row r="21" ht="15.75" customHeight="1">
      <c r="A21" s="32"/>
      <c r="B21" s="25"/>
      <c r="C21" s="26"/>
      <c r="D21" s="26"/>
    </row>
    <row r="22" ht="15.75" customHeight="1">
      <c r="A22" s="32"/>
      <c r="B22" s="25"/>
      <c r="C22" s="26"/>
      <c r="D22" s="26"/>
    </row>
    <row r="23" ht="15.75" customHeight="1">
      <c r="A23" s="32"/>
      <c r="B23" s="25"/>
      <c r="C23" s="26"/>
      <c r="D23" s="26"/>
    </row>
    <row r="24" ht="15.75" customHeight="1">
      <c r="A24" s="32"/>
      <c r="B24" s="25"/>
      <c r="C24" s="26"/>
      <c r="D24" s="26"/>
    </row>
    <row r="25" ht="15.75" customHeight="1">
      <c r="A25" s="32"/>
      <c r="B25" s="25"/>
      <c r="C25" s="26"/>
      <c r="D25" s="26"/>
    </row>
    <row r="26" ht="15.75" customHeight="1">
      <c r="A26" s="32"/>
      <c r="B26" s="25"/>
      <c r="C26" s="26"/>
      <c r="D26" s="26"/>
    </row>
    <row r="27" ht="15.75" customHeight="1">
      <c r="A27" s="32"/>
      <c r="B27" s="25"/>
      <c r="C27" s="26"/>
      <c r="D27" s="26"/>
    </row>
    <row r="28" ht="15.75" customHeight="1">
      <c r="A28" s="32"/>
      <c r="B28" s="25"/>
      <c r="C28" s="26"/>
      <c r="D28" s="26"/>
    </row>
    <row r="29" ht="15.75" customHeight="1">
      <c r="A29" s="32"/>
      <c r="B29" s="25"/>
      <c r="C29" s="26"/>
      <c r="D29" s="26"/>
    </row>
    <row r="30" ht="15.75" customHeight="1">
      <c r="A30" s="32"/>
      <c r="B30" s="25"/>
      <c r="C30" s="26"/>
      <c r="D30" s="26"/>
    </row>
    <row r="31" ht="15.75" customHeight="1">
      <c r="A31" s="32"/>
      <c r="B31" s="25"/>
      <c r="C31" s="26"/>
      <c r="D31" s="26"/>
    </row>
    <row r="32" ht="15.75" customHeight="1">
      <c r="A32" s="32"/>
      <c r="B32" s="25"/>
      <c r="C32" s="26"/>
      <c r="D32" s="26"/>
    </row>
    <row r="33" ht="15.75" customHeight="1">
      <c r="A33" s="32"/>
      <c r="B33" s="25"/>
      <c r="C33" s="26"/>
      <c r="D33" s="26"/>
    </row>
    <row r="34" ht="15.75" customHeight="1">
      <c r="A34" s="32"/>
      <c r="B34" s="25"/>
      <c r="C34" s="26"/>
      <c r="D34" s="26"/>
    </row>
    <row r="35" ht="15.75" customHeight="1">
      <c r="A35" s="32"/>
      <c r="B35" s="25"/>
      <c r="C35" s="26"/>
      <c r="D35" s="26"/>
    </row>
    <row r="36" ht="15.75" customHeight="1">
      <c r="A36" s="32"/>
      <c r="B36" s="25"/>
      <c r="C36" s="26"/>
      <c r="D36" s="26"/>
    </row>
    <row r="37" ht="15.75" customHeight="1">
      <c r="A37" s="32"/>
      <c r="B37" s="25"/>
      <c r="C37" s="26"/>
      <c r="D37" s="26"/>
    </row>
    <row r="38" ht="15.75" customHeight="1">
      <c r="A38" s="32"/>
      <c r="B38" s="25"/>
      <c r="C38" s="26"/>
      <c r="D38" s="26"/>
    </row>
    <row r="39" ht="15.75" customHeight="1">
      <c r="A39" s="32"/>
      <c r="B39" s="25"/>
      <c r="C39" s="26"/>
      <c r="D39" s="26"/>
    </row>
    <row r="40" ht="15.75" customHeight="1">
      <c r="A40" s="32"/>
      <c r="B40" s="25"/>
      <c r="C40" s="26"/>
      <c r="D40" s="26"/>
    </row>
    <row r="41" ht="15.75" customHeight="1">
      <c r="A41" s="32"/>
      <c r="B41" s="25"/>
      <c r="C41" s="26"/>
      <c r="D41" s="26"/>
    </row>
    <row r="42" ht="15.75" customHeight="1">
      <c r="A42" s="32"/>
      <c r="B42" s="25"/>
      <c r="C42" s="26"/>
      <c r="D42" s="26"/>
    </row>
    <row r="43" ht="15.75" customHeight="1">
      <c r="A43" s="32"/>
      <c r="B43" s="25"/>
      <c r="C43" s="26"/>
      <c r="D43" s="26"/>
    </row>
    <row r="44" ht="15.75" customHeight="1">
      <c r="A44" s="32"/>
      <c r="B44" s="25"/>
      <c r="C44" s="26"/>
      <c r="D44" s="26"/>
    </row>
    <row r="45" ht="15.75" customHeight="1">
      <c r="A45" s="32"/>
      <c r="B45" s="25"/>
      <c r="C45" s="26"/>
      <c r="D45" s="26"/>
    </row>
    <row r="46" ht="15.75" customHeight="1">
      <c r="A46" s="32"/>
      <c r="B46" s="25"/>
      <c r="C46" s="26"/>
      <c r="D46" s="26"/>
    </row>
    <row r="47" ht="15.75" customHeight="1">
      <c r="A47" s="32"/>
      <c r="B47" s="25"/>
      <c r="C47" s="26"/>
      <c r="D47" s="26"/>
    </row>
    <row r="48" ht="15.75" customHeight="1">
      <c r="A48" s="32"/>
      <c r="B48" s="25"/>
      <c r="C48" s="26"/>
      <c r="D48" s="26"/>
    </row>
    <row r="49" ht="15.75" customHeight="1">
      <c r="A49" s="32"/>
      <c r="B49" s="25"/>
      <c r="C49" s="26"/>
      <c r="D49" s="26"/>
    </row>
    <row r="50" ht="15.75" customHeight="1">
      <c r="A50" s="32"/>
      <c r="B50" s="25"/>
      <c r="C50" s="26"/>
      <c r="D50" s="26"/>
    </row>
    <row r="51" ht="15.75" customHeight="1">
      <c r="A51" s="32"/>
      <c r="B51" s="25"/>
      <c r="C51" s="26"/>
      <c r="D51" s="26"/>
    </row>
    <row r="52" ht="15.75" customHeight="1">
      <c r="A52" s="32"/>
      <c r="B52" s="25"/>
      <c r="C52" s="26"/>
      <c r="D52" s="26"/>
    </row>
    <row r="53" ht="15.75" customHeight="1">
      <c r="A53" s="32"/>
      <c r="B53" s="25"/>
      <c r="C53" s="26"/>
      <c r="D53" s="26"/>
    </row>
    <row r="54" ht="15.75" customHeight="1">
      <c r="A54" s="32"/>
      <c r="B54" s="25"/>
      <c r="C54" s="26"/>
      <c r="D54" s="26"/>
    </row>
    <row r="55" ht="15.75" customHeight="1">
      <c r="A55" s="32"/>
      <c r="B55" s="25"/>
      <c r="C55" s="26"/>
      <c r="D55" s="26"/>
    </row>
    <row r="56" ht="15.75" customHeight="1">
      <c r="A56" s="32"/>
      <c r="B56" s="25"/>
      <c r="C56" s="26"/>
      <c r="D56" s="26"/>
    </row>
    <row r="57" ht="15.75" customHeight="1">
      <c r="A57" s="32"/>
      <c r="B57" s="25"/>
      <c r="C57" s="26"/>
      <c r="D57" s="26"/>
    </row>
    <row r="58" ht="15.75" customHeight="1">
      <c r="A58" s="32"/>
      <c r="B58" s="25"/>
      <c r="C58" s="26"/>
      <c r="D58" s="26"/>
    </row>
    <row r="59" ht="15.75" customHeight="1">
      <c r="A59" s="32"/>
      <c r="B59" s="25"/>
      <c r="C59" s="26"/>
      <c r="D59" s="26"/>
    </row>
    <row r="60" ht="15.75" customHeight="1">
      <c r="A60" s="32"/>
      <c r="B60" s="25"/>
      <c r="C60" s="26"/>
      <c r="D60" s="26"/>
    </row>
    <row r="61" ht="15.75" customHeight="1">
      <c r="A61" s="32"/>
      <c r="B61" s="25"/>
      <c r="C61" s="26"/>
      <c r="D61" s="26"/>
    </row>
    <row r="62" ht="15.75" customHeight="1">
      <c r="A62" s="32"/>
      <c r="B62" s="25"/>
      <c r="C62" s="26"/>
      <c r="D62" s="26"/>
    </row>
    <row r="63" ht="15.75" customHeight="1">
      <c r="A63" s="32"/>
      <c r="B63" s="25"/>
      <c r="C63" s="26"/>
      <c r="D63" s="26"/>
    </row>
    <row r="64" ht="15.75" customHeight="1">
      <c r="A64" s="32"/>
      <c r="B64" s="25"/>
      <c r="C64" s="26"/>
      <c r="D64" s="26"/>
    </row>
    <row r="65" ht="15.75" customHeight="1">
      <c r="A65" s="32"/>
      <c r="B65" s="25"/>
      <c r="C65" s="26"/>
      <c r="D65" s="26"/>
    </row>
    <row r="66" ht="15.75" customHeight="1">
      <c r="A66" s="32"/>
      <c r="B66" s="25"/>
      <c r="C66" s="26"/>
      <c r="D66" s="26"/>
    </row>
    <row r="67" ht="15.75" customHeight="1">
      <c r="A67" s="32"/>
      <c r="B67" s="25"/>
      <c r="C67" s="26"/>
      <c r="D67" s="26"/>
    </row>
    <row r="68" ht="15.75" customHeight="1">
      <c r="A68" s="32"/>
      <c r="B68" s="25"/>
      <c r="C68" s="26"/>
      <c r="D68" s="26"/>
    </row>
    <row r="69" ht="15.75" customHeight="1">
      <c r="A69" s="32"/>
      <c r="B69" s="25"/>
      <c r="C69" s="26"/>
      <c r="D69" s="26"/>
    </row>
    <row r="70" ht="15.75" customHeight="1">
      <c r="A70" s="32"/>
      <c r="B70" s="25"/>
      <c r="C70" s="26"/>
      <c r="D70" s="26"/>
    </row>
    <row r="71" ht="15.75" customHeight="1">
      <c r="A71" s="32"/>
      <c r="B71" s="25"/>
      <c r="C71" s="26"/>
      <c r="D71" s="26"/>
    </row>
    <row r="72" ht="15.75" customHeight="1">
      <c r="A72" s="32"/>
      <c r="B72" s="25"/>
      <c r="C72" s="26"/>
      <c r="D72" s="26"/>
    </row>
    <row r="73" ht="15.75" customHeight="1">
      <c r="A73" s="32"/>
      <c r="B73" s="25"/>
      <c r="C73" s="26"/>
      <c r="D73" s="26"/>
    </row>
    <row r="74" ht="15.75" customHeight="1">
      <c r="A74" s="32"/>
      <c r="B74" s="25"/>
      <c r="C74" s="26"/>
      <c r="D74" s="26"/>
    </row>
    <row r="75" ht="15.75" customHeight="1">
      <c r="A75" s="32"/>
      <c r="B75" s="25"/>
      <c r="C75" s="26"/>
      <c r="D75" s="26"/>
    </row>
    <row r="76" ht="15.75" customHeight="1">
      <c r="A76" s="32"/>
      <c r="B76" s="25"/>
      <c r="C76" s="26"/>
      <c r="D76" s="26"/>
    </row>
    <row r="77" ht="15.75" customHeight="1">
      <c r="A77" s="32"/>
      <c r="B77" s="25"/>
      <c r="C77" s="26"/>
      <c r="D77" s="26"/>
    </row>
    <row r="78" ht="15.75" customHeight="1">
      <c r="A78" s="32"/>
      <c r="B78" s="25"/>
      <c r="C78" s="26"/>
      <c r="D78" s="26"/>
    </row>
    <row r="79" ht="15.75" customHeight="1">
      <c r="A79" s="32"/>
      <c r="B79" s="25"/>
      <c r="C79" s="26"/>
      <c r="D79" s="26"/>
    </row>
    <row r="80" ht="15.75" customHeight="1">
      <c r="A80" s="32"/>
      <c r="B80" s="25"/>
      <c r="C80" s="26"/>
      <c r="D80" s="26"/>
    </row>
    <row r="81" ht="15.75" customHeight="1">
      <c r="A81" s="32"/>
      <c r="B81" s="25"/>
      <c r="C81" s="26"/>
      <c r="D81" s="26"/>
    </row>
    <row r="82" ht="15.75" customHeight="1">
      <c r="A82" s="32"/>
      <c r="B82" s="25"/>
      <c r="C82" s="26"/>
      <c r="D82" s="26"/>
    </row>
    <row r="83" ht="15.75" customHeight="1">
      <c r="A83" s="32"/>
      <c r="B83" s="25"/>
      <c r="C83" s="26"/>
      <c r="D83" s="26"/>
    </row>
    <row r="84" ht="15.75" customHeight="1">
      <c r="A84" s="32"/>
      <c r="B84" s="25"/>
      <c r="C84" s="26"/>
      <c r="D84" s="26"/>
    </row>
    <row r="85" ht="15.75" customHeight="1">
      <c r="A85" s="32"/>
      <c r="B85" s="25"/>
      <c r="C85" s="26"/>
      <c r="D85" s="26"/>
    </row>
    <row r="86" ht="15.75" customHeight="1">
      <c r="A86" s="32"/>
      <c r="B86" s="25"/>
      <c r="C86" s="26"/>
      <c r="D86" s="26"/>
    </row>
    <row r="87" ht="15.75" customHeight="1">
      <c r="A87" s="32"/>
      <c r="B87" s="25"/>
      <c r="C87" s="26"/>
      <c r="D87" s="26"/>
    </row>
    <row r="88" ht="15.75" customHeight="1">
      <c r="A88" s="32"/>
      <c r="B88" s="25"/>
      <c r="C88" s="26"/>
      <c r="D88" s="26"/>
    </row>
    <row r="89" ht="15.75" customHeight="1">
      <c r="A89" s="32"/>
      <c r="B89" s="25"/>
      <c r="C89" s="26"/>
      <c r="D89" s="26"/>
    </row>
    <row r="90" ht="15.75" customHeight="1">
      <c r="A90" s="32"/>
      <c r="B90" s="25"/>
      <c r="C90" s="26"/>
      <c r="D90" s="26"/>
    </row>
    <row r="91" ht="15.75" customHeight="1">
      <c r="A91" s="32"/>
      <c r="B91" s="25"/>
      <c r="C91" s="26"/>
      <c r="D91" s="26"/>
    </row>
    <row r="92" ht="15.75" customHeight="1">
      <c r="A92" s="32"/>
      <c r="B92" s="25"/>
      <c r="C92" s="26"/>
      <c r="D92" s="26"/>
    </row>
    <row r="93" ht="15.75" customHeight="1">
      <c r="A93" s="32"/>
      <c r="B93" s="25"/>
      <c r="C93" s="26"/>
      <c r="D93" s="26"/>
    </row>
    <row r="94" ht="15.75" customHeight="1">
      <c r="A94" s="32"/>
      <c r="B94" s="25"/>
      <c r="C94" s="26"/>
      <c r="D94" s="26"/>
    </row>
    <row r="95" ht="15.75" customHeight="1">
      <c r="A95" s="32"/>
      <c r="B95" s="25"/>
      <c r="C95" s="26"/>
      <c r="D95" s="26"/>
    </row>
    <row r="96" ht="15.75" customHeight="1">
      <c r="A96" s="32"/>
      <c r="B96" s="25"/>
      <c r="C96" s="26"/>
      <c r="D96" s="26"/>
    </row>
    <row r="97" ht="15.75" customHeight="1">
      <c r="A97" s="32"/>
      <c r="B97" s="25"/>
      <c r="C97" s="26"/>
      <c r="D97" s="26"/>
    </row>
    <row r="98" ht="15.75" customHeight="1">
      <c r="A98" s="32"/>
      <c r="B98" s="25"/>
      <c r="C98" s="26"/>
      <c r="D98" s="26"/>
    </row>
    <row r="99" ht="15.75" customHeight="1">
      <c r="A99" s="32"/>
      <c r="B99" s="25"/>
      <c r="C99" s="26"/>
      <c r="D99" s="26"/>
    </row>
    <row r="100" ht="15.75" customHeight="1">
      <c r="A100" s="32"/>
      <c r="B100" s="25"/>
      <c r="C100" s="26"/>
      <c r="D100" s="26"/>
    </row>
    <row r="101" ht="15.75" customHeight="1">
      <c r="A101" s="32"/>
      <c r="B101" s="25"/>
      <c r="C101" s="26"/>
      <c r="D101" s="26"/>
    </row>
    <row r="102" ht="15.75" customHeight="1">
      <c r="A102" s="32"/>
      <c r="B102" s="25"/>
      <c r="C102" s="26"/>
      <c r="D102" s="26"/>
    </row>
    <row r="103" ht="15.75" customHeight="1">
      <c r="A103" s="32"/>
      <c r="B103" s="25"/>
      <c r="C103" s="26"/>
      <c r="D103" s="26"/>
    </row>
    <row r="104" ht="15.75" customHeight="1">
      <c r="A104" s="32"/>
      <c r="B104" s="25"/>
      <c r="C104" s="26"/>
      <c r="D104" s="26"/>
    </row>
    <row r="105" ht="15.75" customHeight="1">
      <c r="A105" s="32"/>
      <c r="B105" s="25"/>
      <c r="C105" s="26"/>
      <c r="D105" s="26"/>
    </row>
    <row r="106" ht="15.75" customHeight="1">
      <c r="A106" s="32"/>
      <c r="B106" s="25"/>
      <c r="C106" s="26"/>
      <c r="D106" s="26"/>
    </row>
    <row r="107" ht="15.75" customHeight="1">
      <c r="A107" s="32"/>
      <c r="B107" s="25"/>
      <c r="C107" s="26"/>
      <c r="D107" s="26"/>
    </row>
    <row r="108" ht="15.75" customHeight="1">
      <c r="A108" s="32"/>
      <c r="B108" s="25"/>
      <c r="C108" s="26"/>
      <c r="D108" s="26"/>
    </row>
    <row r="109" ht="15.75" customHeight="1">
      <c r="A109" s="32"/>
      <c r="B109" s="25"/>
      <c r="C109" s="26"/>
      <c r="D109" s="26"/>
    </row>
    <row r="110" ht="15.75" customHeight="1">
      <c r="A110" s="32"/>
      <c r="B110" s="25"/>
      <c r="C110" s="26"/>
      <c r="D110" s="26"/>
    </row>
    <row r="111" ht="15.75" customHeight="1">
      <c r="A111" s="32"/>
      <c r="B111" s="25"/>
      <c r="C111" s="26"/>
      <c r="D111" s="26"/>
    </row>
    <row r="112" ht="15.75" customHeight="1">
      <c r="A112" s="32"/>
      <c r="B112" s="25"/>
      <c r="C112" s="26"/>
      <c r="D112" s="26"/>
    </row>
    <row r="113" ht="15.75" customHeight="1">
      <c r="A113" s="32"/>
      <c r="B113" s="25"/>
      <c r="C113" s="26"/>
      <c r="D113" s="26"/>
    </row>
    <row r="114" ht="15.75" customHeight="1">
      <c r="A114" s="32"/>
      <c r="B114" s="25"/>
      <c r="C114" s="26"/>
      <c r="D114" s="26"/>
    </row>
    <row r="115" ht="15.75" customHeight="1">
      <c r="A115" s="32"/>
      <c r="B115" s="25"/>
      <c r="C115" s="26"/>
      <c r="D115" s="26"/>
    </row>
    <row r="116" ht="15.75" customHeight="1">
      <c r="A116" s="32"/>
      <c r="B116" s="25"/>
      <c r="C116" s="26"/>
      <c r="D116" s="26"/>
    </row>
    <row r="117" ht="15.75" customHeight="1">
      <c r="A117" s="32"/>
      <c r="B117" s="25"/>
      <c r="C117" s="26"/>
      <c r="D117" s="26"/>
    </row>
    <row r="118" ht="15.75" customHeight="1">
      <c r="A118" s="32"/>
      <c r="B118" s="25"/>
      <c r="C118" s="26"/>
      <c r="D118" s="26"/>
    </row>
    <row r="119" ht="15.75" customHeight="1">
      <c r="A119" s="32"/>
      <c r="B119" s="25"/>
      <c r="C119" s="26"/>
      <c r="D119" s="26"/>
    </row>
    <row r="120" ht="15.75" customHeight="1">
      <c r="A120" s="32"/>
      <c r="B120" s="25"/>
      <c r="C120" s="26"/>
      <c r="D120" s="26"/>
    </row>
    <row r="121" ht="15.75" customHeight="1">
      <c r="A121" s="32"/>
      <c r="B121" s="25"/>
      <c r="C121" s="26"/>
      <c r="D121" s="26"/>
    </row>
    <row r="122" ht="15.75" customHeight="1">
      <c r="A122" s="32"/>
      <c r="B122" s="25"/>
      <c r="C122" s="26"/>
      <c r="D122" s="26"/>
    </row>
    <row r="123" ht="15.75" customHeight="1">
      <c r="A123" s="32"/>
      <c r="B123" s="25"/>
      <c r="C123" s="26"/>
      <c r="D123" s="26"/>
    </row>
    <row r="124" ht="15.75" customHeight="1">
      <c r="A124" s="32"/>
      <c r="B124" s="25"/>
      <c r="C124" s="26"/>
      <c r="D124" s="26"/>
    </row>
    <row r="125" ht="15.75" customHeight="1">
      <c r="A125" s="32"/>
      <c r="B125" s="25"/>
      <c r="C125" s="26"/>
      <c r="D125" s="26"/>
    </row>
    <row r="126" ht="15.75" customHeight="1">
      <c r="A126" s="32"/>
      <c r="B126" s="25"/>
      <c r="C126" s="26"/>
      <c r="D126" s="26"/>
    </row>
    <row r="127" ht="15.75" customHeight="1">
      <c r="A127" s="32"/>
      <c r="B127" s="25"/>
      <c r="C127" s="26"/>
      <c r="D127" s="26"/>
    </row>
    <row r="128" ht="15.75" customHeight="1">
      <c r="A128" s="32"/>
      <c r="B128" s="25"/>
      <c r="C128" s="26"/>
      <c r="D128" s="26"/>
    </row>
    <row r="129" ht="15.75" customHeight="1">
      <c r="A129" s="32"/>
      <c r="B129" s="25"/>
      <c r="C129" s="26"/>
      <c r="D129" s="26"/>
    </row>
    <row r="130" ht="15.75" customHeight="1">
      <c r="A130" s="32"/>
      <c r="B130" s="25"/>
      <c r="C130" s="26"/>
      <c r="D130" s="26"/>
    </row>
    <row r="131" ht="15.75" customHeight="1">
      <c r="A131" s="32"/>
      <c r="B131" s="25"/>
      <c r="C131" s="26"/>
      <c r="D131" s="26"/>
    </row>
    <row r="132" ht="15.75" customHeight="1">
      <c r="A132" s="32"/>
      <c r="B132" s="25"/>
      <c r="C132" s="26"/>
      <c r="D132" s="26"/>
    </row>
    <row r="133" ht="15.75" customHeight="1">
      <c r="A133" s="32"/>
      <c r="B133" s="25"/>
      <c r="C133" s="26"/>
      <c r="D133" s="26"/>
    </row>
    <row r="134" ht="15.75" customHeight="1">
      <c r="A134" s="32"/>
      <c r="B134" s="25"/>
      <c r="C134" s="26"/>
      <c r="D134" s="26"/>
    </row>
    <row r="135" ht="15.75" customHeight="1">
      <c r="A135" s="32"/>
      <c r="B135" s="25"/>
      <c r="C135" s="26"/>
      <c r="D135" s="26"/>
    </row>
    <row r="136" ht="15.75" customHeight="1">
      <c r="A136" s="32"/>
      <c r="B136" s="25"/>
      <c r="C136" s="26"/>
      <c r="D136" s="26"/>
    </row>
    <row r="137" ht="15.75" customHeight="1">
      <c r="A137" s="32"/>
      <c r="B137" s="25"/>
      <c r="C137" s="26"/>
      <c r="D137" s="26"/>
    </row>
    <row r="138" ht="15.75" customHeight="1">
      <c r="A138" s="32"/>
      <c r="B138" s="25"/>
      <c r="C138" s="26"/>
      <c r="D138" s="26"/>
    </row>
    <row r="139" ht="15.75" customHeight="1">
      <c r="A139" s="32"/>
      <c r="B139" s="25"/>
      <c r="C139" s="26"/>
      <c r="D139" s="26"/>
    </row>
    <row r="140" ht="15.75" customHeight="1">
      <c r="A140" s="32"/>
      <c r="B140" s="25"/>
      <c r="C140" s="26"/>
      <c r="D140" s="26"/>
    </row>
    <row r="141" ht="15.75" customHeight="1">
      <c r="A141" s="32"/>
      <c r="B141" s="25"/>
      <c r="C141" s="26"/>
      <c r="D141" s="26"/>
    </row>
    <row r="142" ht="15.75" customHeight="1">
      <c r="A142" s="32"/>
      <c r="B142" s="25"/>
      <c r="C142" s="26"/>
      <c r="D142" s="26"/>
    </row>
    <row r="143" ht="15.75" customHeight="1">
      <c r="A143" s="32"/>
      <c r="B143" s="25"/>
      <c r="C143" s="26"/>
      <c r="D143" s="26"/>
    </row>
    <row r="144" ht="15.75" customHeight="1">
      <c r="A144" s="32"/>
      <c r="B144" s="25"/>
      <c r="C144" s="26"/>
      <c r="D144" s="26"/>
    </row>
    <row r="145" ht="15.75" customHeight="1">
      <c r="A145" s="32"/>
      <c r="B145" s="25"/>
      <c r="C145" s="26"/>
      <c r="D145" s="26"/>
    </row>
    <row r="146" ht="15.75" customHeight="1">
      <c r="A146" s="32"/>
      <c r="B146" s="25"/>
      <c r="C146" s="26"/>
      <c r="D146" s="26"/>
    </row>
    <row r="147" ht="15.75" customHeight="1">
      <c r="A147" s="32"/>
      <c r="B147" s="25"/>
      <c r="C147" s="26"/>
      <c r="D147" s="26"/>
    </row>
    <row r="148" ht="15.75" customHeight="1">
      <c r="A148" s="32"/>
      <c r="B148" s="25"/>
      <c r="C148" s="26"/>
      <c r="D148" s="26"/>
    </row>
    <row r="149" ht="15.75" customHeight="1">
      <c r="A149" s="32"/>
      <c r="B149" s="25"/>
      <c r="C149" s="26"/>
      <c r="D149" s="26"/>
    </row>
    <row r="150" ht="15.75" customHeight="1">
      <c r="A150" s="32"/>
      <c r="B150" s="25"/>
      <c r="C150" s="26"/>
      <c r="D150" s="26"/>
    </row>
    <row r="151" ht="15.75" customHeight="1">
      <c r="A151" s="32"/>
      <c r="B151" s="25"/>
      <c r="C151" s="26"/>
      <c r="D151" s="26"/>
    </row>
    <row r="152" ht="15.75" customHeight="1">
      <c r="A152" s="32"/>
      <c r="B152" s="25"/>
      <c r="C152" s="26"/>
      <c r="D152" s="26"/>
    </row>
    <row r="153" ht="15.75" customHeight="1">
      <c r="A153" s="32"/>
      <c r="B153" s="25"/>
      <c r="C153" s="26"/>
      <c r="D153" s="26"/>
    </row>
    <row r="154" ht="15.75" customHeight="1">
      <c r="A154" s="32"/>
      <c r="B154" s="25"/>
      <c r="C154" s="26"/>
      <c r="D154" s="26"/>
    </row>
    <row r="155" ht="15.75" customHeight="1">
      <c r="A155" s="32"/>
      <c r="B155" s="25"/>
      <c r="C155" s="26"/>
      <c r="D155" s="26"/>
    </row>
    <row r="156" ht="15.75" customHeight="1">
      <c r="A156" s="32"/>
      <c r="B156" s="25"/>
      <c r="C156" s="26"/>
      <c r="D156" s="26"/>
    </row>
    <row r="157" ht="15.75" customHeight="1">
      <c r="A157" s="32"/>
      <c r="B157" s="25"/>
      <c r="C157" s="26"/>
      <c r="D157" s="26"/>
    </row>
    <row r="158" ht="15.75" customHeight="1">
      <c r="A158" s="32"/>
      <c r="B158" s="25"/>
      <c r="C158" s="26"/>
      <c r="D158" s="26"/>
    </row>
    <row r="159" ht="15.75" customHeight="1">
      <c r="A159" s="32"/>
      <c r="B159" s="25"/>
      <c r="C159" s="26"/>
      <c r="D159" s="26"/>
    </row>
    <row r="160" ht="15.75" customHeight="1">
      <c r="A160" s="32"/>
      <c r="B160" s="25"/>
      <c r="C160" s="26"/>
      <c r="D160" s="26"/>
    </row>
    <row r="161" ht="15.75" customHeight="1">
      <c r="A161" s="32"/>
      <c r="B161" s="25"/>
      <c r="C161" s="26"/>
      <c r="D161" s="26"/>
    </row>
    <row r="162" ht="15.75" customHeight="1">
      <c r="A162" s="32"/>
      <c r="B162" s="25"/>
      <c r="C162" s="26"/>
      <c r="D162" s="26"/>
    </row>
    <row r="163" ht="15.75" customHeight="1">
      <c r="A163" s="32"/>
      <c r="B163" s="25"/>
      <c r="C163" s="26"/>
      <c r="D163" s="26"/>
    </row>
    <row r="164" ht="15.75" customHeight="1">
      <c r="A164" s="32"/>
      <c r="B164" s="25"/>
      <c r="C164" s="26"/>
      <c r="D164" s="26"/>
    </row>
    <row r="165" ht="15.75" customHeight="1">
      <c r="A165" s="32"/>
      <c r="B165" s="25"/>
      <c r="C165" s="26"/>
      <c r="D165" s="26"/>
    </row>
    <row r="166" ht="15.75" customHeight="1">
      <c r="A166" s="32"/>
      <c r="B166" s="25"/>
      <c r="C166" s="26"/>
      <c r="D166" s="26"/>
    </row>
    <row r="167" ht="15.75" customHeight="1">
      <c r="A167" s="32"/>
      <c r="B167" s="25"/>
      <c r="C167" s="26"/>
      <c r="D167" s="26"/>
    </row>
    <row r="168" ht="15.75" customHeight="1">
      <c r="A168" s="32"/>
      <c r="B168" s="25"/>
      <c r="C168" s="26"/>
      <c r="D168" s="26"/>
    </row>
    <row r="169" ht="15.75" customHeight="1">
      <c r="A169" s="32"/>
      <c r="B169" s="25"/>
      <c r="C169" s="26"/>
      <c r="D169" s="26"/>
    </row>
    <row r="170" ht="15.75" customHeight="1">
      <c r="A170" s="32"/>
      <c r="B170" s="25"/>
      <c r="C170" s="26"/>
      <c r="D170" s="26"/>
    </row>
    <row r="171" ht="15.75" customHeight="1">
      <c r="A171" s="32"/>
      <c r="B171" s="25"/>
      <c r="C171" s="26"/>
      <c r="D171" s="26"/>
    </row>
    <row r="172" ht="15.75" customHeight="1">
      <c r="A172" s="32"/>
      <c r="B172" s="25"/>
      <c r="C172" s="26"/>
      <c r="D172" s="26"/>
    </row>
    <row r="173" ht="15.75" customHeight="1">
      <c r="A173" s="32"/>
      <c r="B173" s="25"/>
      <c r="C173" s="26"/>
      <c r="D173" s="26"/>
    </row>
    <row r="174" ht="15.75" customHeight="1">
      <c r="A174" s="32"/>
      <c r="B174" s="25"/>
      <c r="C174" s="26"/>
      <c r="D174" s="26"/>
    </row>
    <row r="175" ht="15.75" customHeight="1">
      <c r="A175" s="32"/>
      <c r="B175" s="25"/>
      <c r="C175" s="26"/>
      <c r="D175" s="26"/>
    </row>
    <row r="176" ht="15.75" customHeight="1">
      <c r="A176" s="32"/>
      <c r="B176" s="25"/>
      <c r="C176" s="26"/>
      <c r="D176" s="26"/>
    </row>
    <row r="177" ht="15.75" customHeight="1">
      <c r="A177" s="32"/>
      <c r="B177" s="25"/>
      <c r="C177" s="26"/>
      <c r="D177" s="26"/>
    </row>
    <row r="178" ht="15.75" customHeight="1">
      <c r="A178" s="32"/>
      <c r="B178" s="25"/>
      <c r="C178" s="26"/>
      <c r="D178" s="26"/>
    </row>
    <row r="179" ht="15.75" customHeight="1">
      <c r="A179" s="32"/>
      <c r="B179" s="25"/>
      <c r="C179" s="26"/>
      <c r="D179" s="26"/>
    </row>
    <row r="180" ht="15.75" customHeight="1">
      <c r="A180" s="32"/>
      <c r="B180" s="25"/>
      <c r="C180" s="26"/>
      <c r="D180" s="26"/>
    </row>
    <row r="181" ht="15.75" customHeight="1">
      <c r="A181" s="32"/>
      <c r="B181" s="25"/>
      <c r="C181" s="26"/>
      <c r="D181" s="26"/>
    </row>
    <row r="182" ht="15.75" customHeight="1">
      <c r="A182" s="32"/>
      <c r="B182" s="25"/>
      <c r="C182" s="26"/>
      <c r="D182" s="26"/>
    </row>
    <row r="183" ht="15.75" customHeight="1">
      <c r="A183" s="32"/>
      <c r="B183" s="25"/>
      <c r="C183" s="26"/>
      <c r="D183" s="26"/>
    </row>
    <row r="184" ht="15.75" customHeight="1">
      <c r="A184" s="32"/>
      <c r="B184" s="25"/>
      <c r="C184" s="26"/>
      <c r="D184" s="26"/>
    </row>
    <row r="185" ht="15.75" customHeight="1">
      <c r="A185" s="32"/>
      <c r="B185" s="25"/>
      <c r="C185" s="26"/>
      <c r="D185" s="26"/>
    </row>
    <row r="186" ht="15.75" customHeight="1">
      <c r="A186" s="32"/>
      <c r="B186" s="25"/>
      <c r="C186" s="26"/>
      <c r="D186" s="26"/>
    </row>
    <row r="187" ht="15.75" customHeight="1">
      <c r="A187" s="32"/>
      <c r="B187" s="25"/>
      <c r="C187" s="26"/>
      <c r="D187" s="26"/>
    </row>
    <row r="188" ht="15.75" customHeight="1">
      <c r="A188" s="32"/>
      <c r="B188" s="25"/>
      <c r="C188" s="26"/>
      <c r="D188" s="26"/>
    </row>
    <row r="189" ht="15.75" customHeight="1">
      <c r="A189" s="32"/>
      <c r="B189" s="25"/>
      <c r="C189" s="26"/>
      <c r="D189" s="26"/>
    </row>
    <row r="190" ht="15.75" customHeight="1">
      <c r="A190" s="32"/>
      <c r="B190" s="25"/>
      <c r="C190" s="26"/>
      <c r="D190" s="26"/>
    </row>
    <row r="191" ht="15.75" customHeight="1">
      <c r="A191" s="32"/>
      <c r="B191" s="25"/>
      <c r="C191" s="26"/>
      <c r="D191" s="26"/>
    </row>
    <row r="192" ht="15.75" customHeight="1">
      <c r="A192" s="32"/>
      <c r="B192" s="25"/>
      <c r="C192" s="26"/>
      <c r="D192" s="26"/>
    </row>
    <row r="193" ht="15.75" customHeight="1">
      <c r="A193" s="32"/>
      <c r="B193" s="25"/>
      <c r="C193" s="26"/>
      <c r="D193" s="26"/>
    </row>
    <row r="194" ht="15.75" customHeight="1">
      <c r="A194" s="32"/>
      <c r="B194" s="25"/>
      <c r="C194" s="26"/>
      <c r="D194" s="26"/>
    </row>
    <row r="195" ht="15.75" customHeight="1">
      <c r="A195" s="32"/>
      <c r="B195" s="25"/>
      <c r="C195" s="26"/>
      <c r="D195" s="26"/>
    </row>
    <row r="196" ht="15.75" customHeight="1">
      <c r="A196" s="32"/>
      <c r="B196" s="25"/>
      <c r="C196" s="26"/>
      <c r="D196" s="26"/>
    </row>
    <row r="197" ht="15.75" customHeight="1">
      <c r="A197" s="32"/>
      <c r="B197" s="25"/>
      <c r="C197" s="26"/>
      <c r="D197" s="26"/>
    </row>
    <row r="198" ht="15.75" customHeight="1">
      <c r="A198" s="32"/>
      <c r="B198" s="25"/>
      <c r="C198" s="26"/>
      <c r="D198" s="26"/>
    </row>
    <row r="199" ht="15.75" customHeight="1">
      <c r="A199" s="32"/>
      <c r="B199" s="25"/>
      <c r="C199" s="26"/>
      <c r="D199" s="26"/>
    </row>
    <row r="200" ht="15.75" customHeight="1">
      <c r="A200" s="32"/>
      <c r="B200" s="25"/>
      <c r="C200" s="26"/>
      <c r="D200" s="26"/>
    </row>
    <row r="201" ht="15.75" customHeight="1">
      <c r="A201" s="32"/>
      <c r="B201" s="25"/>
      <c r="C201" s="26"/>
      <c r="D201" s="26"/>
    </row>
    <row r="202" ht="15.75" customHeight="1">
      <c r="A202" s="32"/>
      <c r="B202" s="25"/>
      <c r="C202" s="26"/>
      <c r="D202" s="26"/>
    </row>
    <row r="203" ht="15.75" customHeight="1">
      <c r="A203" s="32"/>
      <c r="B203" s="25"/>
      <c r="C203" s="26"/>
      <c r="D203" s="26"/>
    </row>
    <row r="204" ht="15.75" customHeight="1">
      <c r="A204" s="32"/>
      <c r="B204" s="25"/>
      <c r="C204" s="26"/>
      <c r="D204" s="26"/>
    </row>
    <row r="205" ht="15.75" customHeight="1">
      <c r="A205" s="32"/>
      <c r="B205" s="25"/>
      <c r="C205" s="26"/>
      <c r="D205" s="26"/>
    </row>
    <row r="206" ht="15.75" customHeight="1">
      <c r="A206" s="32"/>
      <c r="B206" s="25"/>
      <c r="C206" s="26"/>
      <c r="D206" s="26"/>
    </row>
    <row r="207" ht="15.75" customHeight="1">
      <c r="A207" s="32"/>
      <c r="B207" s="25"/>
      <c r="C207" s="26"/>
      <c r="D207" s="26"/>
    </row>
    <row r="208" ht="15.75" customHeight="1">
      <c r="A208" s="32"/>
      <c r="B208" s="25"/>
      <c r="C208" s="26"/>
      <c r="D208" s="26"/>
    </row>
    <row r="209" ht="15.75" customHeight="1">
      <c r="A209" s="32"/>
      <c r="B209" s="25"/>
      <c r="C209" s="26"/>
      <c r="D209" s="26"/>
    </row>
    <row r="210" ht="15.75" customHeight="1">
      <c r="A210" s="32"/>
      <c r="B210" s="25"/>
      <c r="C210" s="26"/>
      <c r="D210" s="26"/>
    </row>
    <row r="211" ht="15.75" customHeight="1">
      <c r="A211" s="32"/>
      <c r="B211" s="25"/>
      <c r="C211" s="26"/>
      <c r="D211" s="26"/>
    </row>
    <row r="212" ht="15.75" customHeight="1">
      <c r="A212" s="32"/>
      <c r="B212" s="25"/>
      <c r="C212" s="26"/>
      <c r="D212" s="26"/>
    </row>
    <row r="213" ht="15.75" customHeight="1">
      <c r="A213" s="32"/>
      <c r="B213" s="25"/>
      <c r="C213" s="26"/>
      <c r="D213" s="26"/>
    </row>
    <row r="214" ht="15.75" customHeight="1">
      <c r="A214" s="32"/>
      <c r="B214" s="25"/>
      <c r="C214" s="26"/>
      <c r="D214" s="26"/>
    </row>
    <row r="215" ht="15.75" customHeight="1">
      <c r="A215" s="32"/>
      <c r="B215" s="25"/>
      <c r="C215" s="26"/>
      <c r="D215" s="26"/>
    </row>
    <row r="216" ht="15.75" customHeight="1">
      <c r="A216" s="32"/>
      <c r="B216" s="25"/>
      <c r="C216" s="26"/>
      <c r="D216" s="26"/>
    </row>
    <row r="217" ht="15.75" customHeight="1">
      <c r="A217" s="32"/>
      <c r="B217" s="25"/>
      <c r="C217" s="26"/>
      <c r="D217" s="26"/>
    </row>
    <row r="218" ht="15.75" customHeight="1">
      <c r="A218" s="32"/>
      <c r="B218" s="25"/>
      <c r="C218" s="26"/>
      <c r="D218" s="26"/>
    </row>
    <row r="219" ht="15.75" customHeight="1">
      <c r="A219" s="32"/>
      <c r="B219" s="25"/>
      <c r="C219" s="26"/>
      <c r="D219" s="26"/>
    </row>
    <row r="220" ht="15.75" customHeight="1">
      <c r="A220" s="32"/>
      <c r="B220" s="25"/>
      <c r="C220" s="26"/>
      <c r="D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33" t="s">
        <v>19</v>
      </c>
      <c r="B1" s="22" t="s">
        <v>424</v>
      </c>
      <c r="C1" s="23" t="s">
        <v>22</v>
      </c>
      <c r="D1" s="23" t="s">
        <v>23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30">
        <v>1.0</v>
      </c>
      <c r="B2" s="24" t="s">
        <v>425</v>
      </c>
      <c r="C2" s="26"/>
      <c r="D2" s="2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30">
        <v>2.0</v>
      </c>
      <c r="B3" s="24" t="s">
        <v>53</v>
      </c>
      <c r="C3" s="26"/>
      <c r="D3" s="2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30">
        <v>3.0</v>
      </c>
      <c r="B4" s="24" t="s">
        <v>377</v>
      </c>
      <c r="C4" s="26"/>
      <c r="D4" s="2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30">
        <v>4.0</v>
      </c>
      <c r="B5" s="24" t="s">
        <v>188</v>
      </c>
      <c r="C5" s="26"/>
      <c r="D5" s="2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30">
        <v>5.0</v>
      </c>
      <c r="B6" s="24" t="s">
        <v>223</v>
      </c>
      <c r="C6" s="26"/>
      <c r="D6" s="2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30">
        <v>6.0</v>
      </c>
      <c r="B7" s="24" t="s">
        <v>265</v>
      </c>
      <c r="C7" s="26"/>
      <c r="D7" s="2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30">
        <v>7.0</v>
      </c>
      <c r="B8" s="24" t="s">
        <v>426</v>
      </c>
      <c r="C8" s="26"/>
      <c r="D8" s="2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30">
        <v>8.0</v>
      </c>
      <c r="B9" s="24" t="s">
        <v>427</v>
      </c>
      <c r="C9" s="26"/>
      <c r="D9" s="2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30">
        <v>9.0</v>
      </c>
      <c r="B10" s="24" t="s">
        <v>428</v>
      </c>
      <c r="C10" s="26"/>
      <c r="D10" s="2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31">
        <v>10.0</v>
      </c>
      <c r="B11" s="25" t="s">
        <v>429</v>
      </c>
      <c r="C11" s="26"/>
      <c r="D11" s="2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31">
        <v>11.0</v>
      </c>
      <c r="B12" s="25" t="s">
        <v>430</v>
      </c>
      <c r="C12" s="26"/>
      <c r="D12" s="2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6"/>
      <c r="B13" s="25"/>
      <c r="C13" s="26"/>
      <c r="D13" s="26"/>
    </row>
    <row r="14" ht="15.75" customHeight="1">
      <c r="A14" s="16"/>
      <c r="B14" s="25"/>
      <c r="C14" s="26"/>
      <c r="D14" s="26"/>
    </row>
    <row r="15" ht="15.75" customHeight="1">
      <c r="A15" s="16"/>
      <c r="B15" s="25"/>
      <c r="C15" s="26"/>
      <c r="D15" s="26"/>
    </row>
    <row r="16" ht="15.75" customHeight="1">
      <c r="A16" s="16"/>
      <c r="B16" s="25"/>
      <c r="C16" s="26"/>
      <c r="D16" s="26"/>
    </row>
    <row r="17" ht="15.75" customHeight="1">
      <c r="A17" s="16"/>
      <c r="B17" s="25"/>
      <c r="C17" s="26"/>
      <c r="D17" s="26"/>
    </row>
    <row r="18" ht="15.75" customHeight="1">
      <c r="A18" s="16"/>
      <c r="B18" s="25"/>
      <c r="C18" s="26"/>
      <c r="D18" s="26"/>
    </row>
    <row r="19" ht="15.75" customHeight="1">
      <c r="A19" s="16"/>
      <c r="B19" s="25"/>
      <c r="C19" s="26"/>
      <c r="D19" s="26"/>
    </row>
    <row r="20" ht="15.75" customHeight="1">
      <c r="A20" s="16"/>
      <c r="B20" s="25"/>
      <c r="C20" s="26"/>
      <c r="D20" s="26"/>
    </row>
    <row r="21" ht="15.75" customHeight="1">
      <c r="A21" s="16"/>
      <c r="B21" s="25"/>
      <c r="C21" s="26"/>
      <c r="D21" s="26"/>
    </row>
    <row r="22" ht="15.75" customHeight="1">
      <c r="A22" s="16"/>
      <c r="B22" s="25"/>
      <c r="C22" s="26"/>
      <c r="D22" s="26"/>
    </row>
    <row r="23" ht="15.75" customHeight="1">
      <c r="A23" s="16"/>
      <c r="B23" s="25"/>
      <c r="C23" s="26"/>
      <c r="D23" s="26"/>
    </row>
    <row r="24" ht="15.75" customHeight="1">
      <c r="A24" s="16"/>
      <c r="B24" s="25"/>
      <c r="C24" s="26"/>
      <c r="D24" s="26"/>
    </row>
    <row r="25" ht="15.75" customHeight="1">
      <c r="A25" s="16"/>
      <c r="B25" s="25"/>
      <c r="C25" s="26"/>
      <c r="D25" s="26"/>
    </row>
    <row r="26" ht="15.75" customHeight="1">
      <c r="A26" s="16"/>
      <c r="B26" s="25"/>
      <c r="C26" s="26"/>
      <c r="D26" s="26"/>
    </row>
    <row r="27" ht="15.75" customHeight="1">
      <c r="A27" s="16"/>
      <c r="B27" s="25"/>
      <c r="C27" s="26"/>
      <c r="D27" s="26"/>
    </row>
    <row r="28" ht="15.75" customHeight="1">
      <c r="A28" s="16"/>
      <c r="B28" s="25"/>
      <c r="C28" s="26"/>
      <c r="D28" s="26"/>
    </row>
    <row r="29" ht="15.75" customHeight="1">
      <c r="A29" s="16"/>
      <c r="B29" s="25"/>
      <c r="C29" s="26"/>
      <c r="D29" s="26"/>
    </row>
    <row r="30" ht="15.75" customHeight="1">
      <c r="A30" s="16"/>
      <c r="B30" s="25"/>
      <c r="C30" s="26"/>
      <c r="D30" s="26"/>
    </row>
    <row r="31" ht="15.75" customHeight="1">
      <c r="A31" s="16"/>
      <c r="B31" s="25"/>
      <c r="C31" s="26"/>
      <c r="D31" s="26"/>
    </row>
    <row r="32" ht="15.75" customHeight="1">
      <c r="A32" s="16"/>
      <c r="B32" s="25"/>
      <c r="C32" s="26"/>
      <c r="D32" s="26"/>
    </row>
    <row r="33" ht="15.75" customHeight="1">
      <c r="A33" s="16"/>
      <c r="B33" s="25"/>
      <c r="C33" s="26"/>
      <c r="D33" s="26"/>
    </row>
    <row r="34" ht="15.75" customHeight="1">
      <c r="A34" s="16"/>
      <c r="B34" s="25"/>
      <c r="C34" s="26"/>
      <c r="D34" s="26"/>
    </row>
    <row r="35" ht="15.75" customHeight="1">
      <c r="A35" s="16"/>
      <c r="B35" s="25"/>
      <c r="C35" s="26"/>
      <c r="D35" s="26"/>
    </row>
    <row r="36" ht="15.75" customHeight="1">
      <c r="A36" s="16"/>
      <c r="B36" s="25"/>
      <c r="C36" s="26"/>
      <c r="D36" s="26"/>
    </row>
    <row r="37" ht="15.75" customHeight="1">
      <c r="A37" s="16"/>
      <c r="B37" s="25"/>
      <c r="C37" s="26"/>
      <c r="D37" s="26"/>
    </row>
    <row r="38" ht="15.75" customHeight="1">
      <c r="A38" s="16"/>
      <c r="B38" s="25"/>
      <c r="C38" s="26"/>
      <c r="D38" s="26"/>
    </row>
    <row r="39" ht="15.75" customHeight="1">
      <c r="A39" s="16"/>
      <c r="B39" s="25"/>
      <c r="C39" s="26"/>
      <c r="D39" s="26"/>
    </row>
    <row r="40" ht="15.75" customHeight="1">
      <c r="A40" s="16"/>
      <c r="B40" s="25"/>
      <c r="C40" s="26"/>
      <c r="D40" s="26"/>
    </row>
    <row r="41" ht="15.75" customHeight="1">
      <c r="A41" s="16"/>
      <c r="B41" s="25"/>
      <c r="C41" s="26"/>
      <c r="D41" s="26"/>
    </row>
    <row r="42" ht="15.75" customHeight="1">
      <c r="A42" s="16"/>
      <c r="B42" s="25"/>
      <c r="C42" s="26"/>
      <c r="D42" s="26"/>
    </row>
    <row r="43" ht="15.75" customHeight="1">
      <c r="A43" s="16"/>
      <c r="B43" s="25"/>
      <c r="C43" s="26"/>
      <c r="D43" s="26"/>
    </row>
    <row r="44" ht="15.75" customHeight="1">
      <c r="A44" s="16"/>
      <c r="B44" s="25"/>
      <c r="C44" s="26"/>
      <c r="D44" s="26"/>
    </row>
    <row r="45" ht="15.75" customHeight="1">
      <c r="A45" s="16"/>
      <c r="B45" s="25"/>
      <c r="C45" s="26"/>
      <c r="D45" s="26"/>
    </row>
    <row r="46" ht="15.75" customHeight="1">
      <c r="A46" s="16"/>
      <c r="B46" s="25"/>
      <c r="C46" s="26"/>
      <c r="D46" s="26"/>
    </row>
    <row r="47" ht="15.75" customHeight="1">
      <c r="A47" s="16"/>
      <c r="B47" s="25"/>
      <c r="C47" s="26"/>
      <c r="D47" s="26"/>
    </row>
    <row r="48" ht="15.75" customHeight="1">
      <c r="A48" s="16"/>
      <c r="B48" s="25"/>
      <c r="C48" s="26"/>
      <c r="D48" s="26"/>
    </row>
    <row r="49" ht="15.75" customHeight="1">
      <c r="A49" s="16"/>
      <c r="B49" s="25"/>
      <c r="C49" s="26"/>
      <c r="D49" s="26"/>
    </row>
    <row r="50" ht="15.75" customHeight="1">
      <c r="A50" s="16"/>
      <c r="B50" s="25"/>
      <c r="C50" s="26"/>
      <c r="D50" s="26"/>
    </row>
    <row r="51" ht="15.75" customHeight="1">
      <c r="A51" s="16"/>
      <c r="B51" s="25"/>
      <c r="C51" s="26"/>
      <c r="D51" s="26"/>
    </row>
    <row r="52" ht="15.75" customHeight="1">
      <c r="A52" s="16"/>
      <c r="B52" s="25"/>
      <c r="C52" s="26"/>
      <c r="D52" s="26"/>
    </row>
    <row r="53" ht="15.75" customHeight="1">
      <c r="A53" s="16"/>
      <c r="B53" s="25"/>
      <c r="C53" s="26"/>
      <c r="D53" s="26"/>
    </row>
    <row r="54" ht="15.75" customHeight="1">
      <c r="A54" s="16"/>
      <c r="B54" s="25"/>
      <c r="C54" s="26"/>
      <c r="D54" s="26"/>
    </row>
    <row r="55" ht="15.75" customHeight="1">
      <c r="A55" s="16"/>
      <c r="B55" s="25"/>
      <c r="C55" s="26"/>
      <c r="D55" s="26"/>
    </row>
    <row r="56" ht="15.75" customHeight="1">
      <c r="A56" s="16"/>
      <c r="B56" s="25"/>
      <c r="C56" s="26"/>
      <c r="D56" s="26"/>
    </row>
    <row r="57" ht="15.75" customHeight="1">
      <c r="A57" s="16"/>
      <c r="B57" s="25"/>
      <c r="C57" s="26"/>
      <c r="D57" s="26"/>
    </row>
    <row r="58" ht="15.75" customHeight="1">
      <c r="A58" s="16"/>
      <c r="B58" s="25"/>
      <c r="C58" s="26"/>
      <c r="D58" s="26"/>
    </row>
    <row r="59" ht="15.75" customHeight="1">
      <c r="A59" s="16"/>
      <c r="B59" s="25"/>
      <c r="C59" s="26"/>
      <c r="D59" s="26"/>
    </row>
    <row r="60" ht="15.75" customHeight="1">
      <c r="A60" s="16"/>
      <c r="B60" s="25"/>
      <c r="C60" s="26"/>
      <c r="D60" s="26"/>
    </row>
    <row r="61" ht="15.75" customHeight="1">
      <c r="A61" s="16"/>
      <c r="B61" s="25"/>
      <c r="C61" s="26"/>
      <c r="D61" s="26"/>
    </row>
    <row r="62" ht="15.75" customHeight="1">
      <c r="A62" s="16"/>
      <c r="B62" s="25"/>
      <c r="C62" s="26"/>
      <c r="D62" s="26"/>
    </row>
    <row r="63" ht="15.75" customHeight="1">
      <c r="A63" s="16"/>
      <c r="B63" s="25"/>
      <c r="C63" s="26"/>
      <c r="D63" s="26"/>
    </row>
    <row r="64" ht="15.75" customHeight="1">
      <c r="A64" s="16"/>
      <c r="B64" s="25"/>
      <c r="C64" s="26"/>
      <c r="D64" s="26"/>
    </row>
    <row r="65" ht="15.75" customHeight="1">
      <c r="A65" s="16"/>
      <c r="B65" s="25"/>
      <c r="C65" s="26"/>
      <c r="D65" s="26"/>
    </row>
    <row r="66" ht="15.75" customHeight="1">
      <c r="A66" s="16"/>
      <c r="B66" s="25"/>
      <c r="C66" s="26"/>
      <c r="D66" s="26"/>
    </row>
    <row r="67" ht="15.75" customHeight="1">
      <c r="A67" s="16"/>
      <c r="B67" s="25"/>
      <c r="C67" s="26"/>
      <c r="D67" s="26"/>
    </row>
    <row r="68" ht="15.75" customHeight="1">
      <c r="A68" s="16"/>
      <c r="B68" s="25"/>
      <c r="C68" s="26"/>
      <c r="D68" s="26"/>
    </row>
    <row r="69" ht="15.75" customHeight="1">
      <c r="A69" s="16"/>
      <c r="B69" s="25"/>
      <c r="C69" s="26"/>
      <c r="D69" s="26"/>
    </row>
    <row r="70" ht="15.75" customHeight="1">
      <c r="A70" s="16"/>
      <c r="B70" s="25"/>
      <c r="C70" s="26"/>
      <c r="D70" s="26"/>
    </row>
    <row r="71" ht="15.75" customHeight="1">
      <c r="A71" s="16"/>
      <c r="B71" s="25"/>
      <c r="C71" s="26"/>
      <c r="D71" s="26"/>
    </row>
    <row r="72" ht="15.75" customHeight="1">
      <c r="A72" s="16"/>
      <c r="B72" s="25"/>
      <c r="C72" s="26"/>
      <c r="D72" s="26"/>
    </row>
    <row r="73" ht="15.75" customHeight="1">
      <c r="A73" s="16"/>
      <c r="B73" s="25"/>
      <c r="C73" s="26"/>
      <c r="D73" s="26"/>
    </row>
    <row r="74" ht="15.75" customHeight="1">
      <c r="A74" s="16"/>
      <c r="B74" s="25"/>
      <c r="C74" s="26"/>
      <c r="D74" s="26"/>
    </row>
    <row r="75" ht="15.75" customHeight="1">
      <c r="A75" s="16"/>
      <c r="B75" s="25"/>
      <c r="C75" s="26"/>
      <c r="D75" s="26"/>
    </row>
    <row r="76" ht="15.75" customHeight="1">
      <c r="A76" s="16"/>
      <c r="B76" s="25"/>
      <c r="C76" s="26"/>
      <c r="D76" s="26"/>
    </row>
    <row r="77" ht="15.75" customHeight="1">
      <c r="A77" s="16"/>
      <c r="B77" s="25"/>
      <c r="C77" s="26"/>
      <c r="D77" s="26"/>
    </row>
    <row r="78" ht="15.75" customHeight="1">
      <c r="A78" s="16"/>
      <c r="B78" s="25"/>
      <c r="C78" s="26"/>
      <c r="D78" s="26"/>
    </row>
    <row r="79" ht="15.75" customHeight="1">
      <c r="A79" s="16"/>
      <c r="B79" s="25"/>
      <c r="C79" s="26"/>
      <c r="D79" s="26"/>
    </row>
    <row r="80" ht="15.75" customHeight="1">
      <c r="A80" s="16"/>
      <c r="B80" s="25"/>
      <c r="C80" s="26"/>
      <c r="D80" s="26"/>
    </row>
    <row r="81" ht="15.75" customHeight="1">
      <c r="A81" s="16"/>
      <c r="B81" s="25"/>
      <c r="C81" s="26"/>
      <c r="D81" s="26"/>
    </row>
    <row r="82" ht="15.75" customHeight="1">
      <c r="A82" s="16"/>
      <c r="B82" s="25"/>
      <c r="C82" s="26"/>
      <c r="D82" s="26"/>
    </row>
    <row r="83" ht="15.75" customHeight="1">
      <c r="A83" s="16"/>
      <c r="B83" s="25"/>
      <c r="C83" s="26"/>
      <c r="D83" s="26"/>
    </row>
    <row r="84" ht="15.75" customHeight="1">
      <c r="A84" s="16"/>
      <c r="B84" s="25"/>
      <c r="C84" s="26"/>
      <c r="D84" s="26"/>
    </row>
    <row r="85" ht="15.75" customHeight="1">
      <c r="A85" s="16"/>
      <c r="B85" s="25"/>
      <c r="C85" s="26"/>
      <c r="D85" s="26"/>
    </row>
    <row r="86" ht="15.75" customHeight="1">
      <c r="A86" s="16"/>
      <c r="B86" s="25"/>
      <c r="C86" s="26"/>
      <c r="D86" s="26"/>
    </row>
    <row r="87" ht="15.75" customHeight="1">
      <c r="A87" s="16"/>
      <c r="B87" s="25"/>
      <c r="C87" s="26"/>
      <c r="D87" s="26"/>
    </row>
    <row r="88" ht="15.75" customHeight="1">
      <c r="A88" s="16"/>
      <c r="B88" s="25"/>
      <c r="C88" s="26"/>
      <c r="D88" s="26"/>
    </row>
    <row r="89" ht="15.75" customHeight="1">
      <c r="A89" s="16"/>
      <c r="B89" s="25"/>
      <c r="C89" s="26"/>
      <c r="D89" s="26"/>
    </row>
    <row r="90" ht="15.75" customHeight="1">
      <c r="A90" s="16"/>
      <c r="B90" s="25"/>
      <c r="C90" s="26"/>
      <c r="D90" s="26"/>
    </row>
    <row r="91" ht="15.75" customHeight="1">
      <c r="A91" s="16"/>
      <c r="B91" s="25"/>
      <c r="C91" s="26"/>
      <c r="D91" s="26"/>
    </row>
    <row r="92" ht="15.75" customHeight="1">
      <c r="A92" s="16"/>
      <c r="B92" s="25"/>
      <c r="C92" s="26"/>
      <c r="D92" s="26"/>
    </row>
    <row r="93" ht="15.75" customHeight="1">
      <c r="A93" s="16"/>
      <c r="B93" s="25"/>
      <c r="C93" s="26"/>
      <c r="D93" s="26"/>
    </row>
    <row r="94" ht="15.75" customHeight="1">
      <c r="A94" s="16"/>
      <c r="B94" s="25"/>
      <c r="C94" s="26"/>
      <c r="D94" s="26"/>
    </row>
    <row r="95" ht="15.75" customHeight="1">
      <c r="A95" s="16"/>
      <c r="B95" s="25"/>
      <c r="C95" s="26"/>
      <c r="D95" s="26"/>
    </row>
    <row r="96" ht="15.75" customHeight="1">
      <c r="A96" s="16"/>
      <c r="B96" s="25"/>
      <c r="C96" s="26"/>
      <c r="D96" s="26"/>
    </row>
    <row r="97" ht="15.75" customHeight="1">
      <c r="A97" s="16"/>
      <c r="B97" s="25"/>
      <c r="C97" s="26"/>
      <c r="D97" s="26"/>
    </row>
    <row r="98" ht="15.75" customHeight="1">
      <c r="A98" s="16"/>
      <c r="B98" s="25"/>
      <c r="C98" s="26"/>
      <c r="D98" s="26"/>
    </row>
    <row r="99" ht="15.75" customHeight="1">
      <c r="A99" s="16"/>
      <c r="B99" s="25"/>
      <c r="C99" s="26"/>
      <c r="D99" s="26"/>
    </row>
    <row r="100" ht="15.75" customHeight="1">
      <c r="A100" s="16"/>
      <c r="B100" s="25"/>
      <c r="C100" s="26"/>
      <c r="D100" s="26"/>
    </row>
    <row r="101" ht="15.75" customHeight="1">
      <c r="A101" s="16"/>
      <c r="B101" s="25"/>
      <c r="C101" s="26"/>
      <c r="D101" s="26"/>
    </row>
    <row r="102" ht="15.75" customHeight="1">
      <c r="A102" s="16"/>
      <c r="B102" s="25"/>
      <c r="C102" s="26"/>
      <c r="D102" s="26"/>
    </row>
    <row r="103" ht="15.75" customHeight="1">
      <c r="A103" s="16"/>
      <c r="B103" s="25"/>
      <c r="C103" s="26"/>
      <c r="D103" s="26"/>
    </row>
    <row r="104" ht="15.75" customHeight="1">
      <c r="A104" s="16"/>
      <c r="B104" s="25"/>
      <c r="C104" s="26"/>
      <c r="D104" s="26"/>
    </row>
    <row r="105" ht="15.75" customHeight="1">
      <c r="A105" s="16"/>
      <c r="B105" s="25"/>
      <c r="C105" s="26"/>
      <c r="D105" s="26"/>
    </row>
    <row r="106" ht="15.75" customHeight="1">
      <c r="A106" s="16"/>
      <c r="B106" s="25"/>
      <c r="C106" s="26"/>
      <c r="D106" s="26"/>
    </row>
    <row r="107" ht="15.75" customHeight="1">
      <c r="A107" s="16"/>
      <c r="B107" s="25"/>
      <c r="C107" s="26"/>
      <c r="D107" s="26"/>
    </row>
    <row r="108" ht="15.75" customHeight="1">
      <c r="A108" s="16"/>
      <c r="B108" s="25"/>
      <c r="C108" s="26"/>
      <c r="D108" s="26"/>
    </row>
    <row r="109" ht="15.75" customHeight="1">
      <c r="A109" s="16"/>
      <c r="B109" s="25"/>
      <c r="C109" s="26"/>
      <c r="D109" s="26"/>
    </row>
    <row r="110" ht="15.75" customHeight="1">
      <c r="A110" s="16"/>
      <c r="B110" s="25"/>
      <c r="C110" s="26"/>
      <c r="D110" s="26"/>
    </row>
    <row r="111" ht="15.75" customHeight="1">
      <c r="A111" s="16"/>
      <c r="B111" s="25"/>
      <c r="C111" s="26"/>
      <c r="D111" s="26"/>
    </row>
    <row r="112" ht="15.75" customHeight="1">
      <c r="A112" s="16"/>
      <c r="B112" s="25"/>
      <c r="C112" s="26"/>
      <c r="D112" s="26"/>
    </row>
    <row r="113" ht="15.75" customHeight="1">
      <c r="A113" s="16"/>
      <c r="B113" s="25"/>
      <c r="C113" s="26"/>
      <c r="D113" s="26"/>
    </row>
    <row r="114" ht="15.75" customHeight="1">
      <c r="A114" s="16"/>
      <c r="B114" s="25"/>
      <c r="C114" s="26"/>
      <c r="D114" s="26"/>
    </row>
    <row r="115" ht="15.75" customHeight="1">
      <c r="A115" s="16"/>
      <c r="B115" s="25"/>
      <c r="C115" s="26"/>
      <c r="D115" s="26"/>
    </row>
    <row r="116" ht="15.75" customHeight="1">
      <c r="A116" s="16"/>
      <c r="B116" s="25"/>
      <c r="C116" s="26"/>
      <c r="D116" s="26"/>
    </row>
    <row r="117" ht="15.75" customHeight="1">
      <c r="A117" s="16"/>
      <c r="B117" s="25"/>
      <c r="C117" s="26"/>
      <c r="D117" s="26"/>
    </row>
    <row r="118" ht="15.75" customHeight="1">
      <c r="A118" s="16"/>
      <c r="B118" s="25"/>
      <c r="C118" s="26"/>
      <c r="D118" s="26"/>
    </row>
    <row r="119" ht="15.75" customHeight="1">
      <c r="A119" s="16"/>
      <c r="B119" s="25"/>
      <c r="C119" s="26"/>
      <c r="D119" s="26"/>
    </row>
    <row r="120" ht="15.75" customHeight="1">
      <c r="A120" s="16"/>
      <c r="B120" s="25"/>
      <c r="C120" s="26"/>
      <c r="D120" s="26"/>
    </row>
    <row r="121" ht="15.75" customHeight="1">
      <c r="A121" s="16"/>
      <c r="B121" s="25"/>
      <c r="C121" s="26"/>
      <c r="D121" s="26"/>
    </row>
    <row r="122" ht="15.75" customHeight="1">
      <c r="A122" s="16"/>
      <c r="B122" s="25"/>
      <c r="C122" s="26"/>
      <c r="D122" s="26"/>
    </row>
    <row r="123" ht="15.75" customHeight="1">
      <c r="A123" s="16"/>
      <c r="B123" s="25"/>
      <c r="C123" s="26"/>
      <c r="D123" s="26"/>
    </row>
    <row r="124" ht="15.75" customHeight="1">
      <c r="A124" s="16"/>
      <c r="B124" s="25"/>
      <c r="C124" s="26"/>
      <c r="D124" s="26"/>
    </row>
    <row r="125" ht="15.75" customHeight="1">
      <c r="A125" s="16"/>
      <c r="B125" s="25"/>
      <c r="C125" s="26"/>
      <c r="D125" s="26"/>
    </row>
    <row r="126" ht="15.75" customHeight="1">
      <c r="A126" s="16"/>
      <c r="B126" s="25"/>
      <c r="C126" s="26"/>
      <c r="D126" s="26"/>
    </row>
    <row r="127" ht="15.75" customHeight="1">
      <c r="A127" s="16"/>
      <c r="B127" s="25"/>
      <c r="C127" s="26"/>
      <c r="D127" s="26"/>
    </row>
    <row r="128" ht="15.75" customHeight="1">
      <c r="A128" s="16"/>
      <c r="B128" s="25"/>
      <c r="C128" s="26"/>
      <c r="D128" s="26"/>
    </row>
    <row r="129" ht="15.75" customHeight="1">
      <c r="A129" s="16"/>
      <c r="B129" s="25"/>
      <c r="C129" s="26"/>
      <c r="D129" s="26"/>
    </row>
    <row r="130" ht="15.75" customHeight="1">
      <c r="A130" s="16"/>
      <c r="B130" s="25"/>
      <c r="C130" s="26"/>
      <c r="D130" s="26"/>
    </row>
    <row r="131" ht="15.75" customHeight="1">
      <c r="A131" s="16"/>
      <c r="B131" s="25"/>
      <c r="C131" s="26"/>
      <c r="D131" s="26"/>
    </row>
    <row r="132" ht="15.75" customHeight="1">
      <c r="A132" s="16"/>
      <c r="B132" s="25"/>
      <c r="C132" s="26"/>
      <c r="D132" s="26"/>
    </row>
    <row r="133" ht="15.75" customHeight="1">
      <c r="A133" s="16"/>
      <c r="B133" s="25"/>
      <c r="C133" s="26"/>
      <c r="D133" s="26"/>
    </row>
    <row r="134" ht="15.75" customHeight="1">
      <c r="A134" s="16"/>
      <c r="B134" s="25"/>
      <c r="C134" s="26"/>
      <c r="D134" s="26"/>
    </row>
    <row r="135" ht="15.75" customHeight="1">
      <c r="A135" s="16"/>
      <c r="B135" s="25"/>
      <c r="C135" s="26"/>
      <c r="D135" s="26"/>
    </row>
    <row r="136" ht="15.75" customHeight="1">
      <c r="A136" s="16"/>
      <c r="B136" s="25"/>
      <c r="C136" s="26"/>
      <c r="D136" s="26"/>
    </row>
    <row r="137" ht="15.75" customHeight="1">
      <c r="A137" s="16"/>
      <c r="B137" s="25"/>
      <c r="C137" s="26"/>
      <c r="D137" s="26"/>
    </row>
    <row r="138" ht="15.75" customHeight="1">
      <c r="A138" s="16"/>
      <c r="B138" s="25"/>
      <c r="C138" s="26"/>
      <c r="D138" s="26"/>
    </row>
    <row r="139" ht="15.75" customHeight="1">
      <c r="A139" s="16"/>
      <c r="B139" s="25"/>
      <c r="C139" s="26"/>
      <c r="D139" s="26"/>
    </row>
    <row r="140" ht="15.75" customHeight="1">
      <c r="A140" s="16"/>
      <c r="B140" s="25"/>
      <c r="C140" s="26"/>
      <c r="D140" s="26"/>
    </row>
    <row r="141" ht="15.75" customHeight="1">
      <c r="A141" s="16"/>
      <c r="B141" s="25"/>
      <c r="C141" s="26"/>
      <c r="D141" s="26"/>
    </row>
    <row r="142" ht="15.75" customHeight="1">
      <c r="A142" s="16"/>
      <c r="B142" s="25"/>
      <c r="C142" s="26"/>
      <c r="D142" s="26"/>
    </row>
    <row r="143" ht="15.75" customHeight="1">
      <c r="A143" s="16"/>
      <c r="B143" s="25"/>
      <c r="C143" s="26"/>
      <c r="D143" s="26"/>
    </row>
    <row r="144" ht="15.75" customHeight="1">
      <c r="A144" s="16"/>
      <c r="B144" s="25"/>
      <c r="C144" s="26"/>
      <c r="D144" s="26"/>
    </row>
    <row r="145" ht="15.75" customHeight="1">
      <c r="A145" s="16"/>
      <c r="B145" s="25"/>
      <c r="C145" s="26"/>
      <c r="D145" s="26"/>
    </row>
    <row r="146" ht="15.75" customHeight="1">
      <c r="A146" s="16"/>
      <c r="B146" s="25"/>
      <c r="C146" s="26"/>
      <c r="D146" s="26"/>
    </row>
    <row r="147" ht="15.75" customHeight="1">
      <c r="A147" s="16"/>
      <c r="B147" s="25"/>
      <c r="C147" s="26"/>
      <c r="D147" s="26"/>
    </row>
    <row r="148" ht="15.75" customHeight="1">
      <c r="A148" s="16"/>
      <c r="B148" s="25"/>
      <c r="C148" s="26"/>
      <c r="D148" s="26"/>
    </row>
    <row r="149" ht="15.75" customHeight="1">
      <c r="A149" s="16"/>
      <c r="B149" s="25"/>
      <c r="C149" s="26"/>
      <c r="D149" s="26"/>
    </row>
    <row r="150" ht="15.75" customHeight="1">
      <c r="A150" s="16"/>
      <c r="B150" s="25"/>
      <c r="C150" s="26"/>
      <c r="D150" s="26"/>
    </row>
    <row r="151" ht="15.75" customHeight="1">
      <c r="A151" s="16"/>
      <c r="B151" s="25"/>
      <c r="C151" s="26"/>
      <c r="D151" s="26"/>
    </row>
    <row r="152" ht="15.75" customHeight="1">
      <c r="A152" s="16"/>
      <c r="B152" s="25"/>
      <c r="C152" s="26"/>
      <c r="D152" s="26"/>
    </row>
    <row r="153" ht="15.75" customHeight="1">
      <c r="A153" s="16"/>
      <c r="B153" s="25"/>
      <c r="C153" s="26"/>
      <c r="D153" s="26"/>
    </row>
    <row r="154" ht="15.75" customHeight="1">
      <c r="A154" s="16"/>
      <c r="B154" s="25"/>
      <c r="C154" s="26"/>
      <c r="D154" s="26"/>
    </row>
    <row r="155" ht="15.75" customHeight="1">
      <c r="A155" s="16"/>
      <c r="B155" s="25"/>
      <c r="C155" s="26"/>
      <c r="D155" s="26"/>
    </row>
    <row r="156" ht="15.75" customHeight="1">
      <c r="A156" s="16"/>
      <c r="B156" s="25"/>
      <c r="C156" s="26"/>
      <c r="D156" s="26"/>
    </row>
    <row r="157" ht="15.75" customHeight="1">
      <c r="A157" s="16"/>
      <c r="B157" s="25"/>
      <c r="C157" s="26"/>
      <c r="D157" s="26"/>
    </row>
    <row r="158" ht="15.75" customHeight="1">
      <c r="A158" s="16"/>
      <c r="B158" s="25"/>
      <c r="C158" s="26"/>
      <c r="D158" s="26"/>
    </row>
    <row r="159" ht="15.75" customHeight="1">
      <c r="A159" s="16"/>
      <c r="B159" s="25"/>
      <c r="C159" s="26"/>
      <c r="D159" s="26"/>
    </row>
    <row r="160" ht="15.75" customHeight="1">
      <c r="A160" s="16"/>
      <c r="B160" s="25"/>
      <c r="C160" s="26"/>
      <c r="D160" s="26"/>
    </row>
    <row r="161" ht="15.75" customHeight="1">
      <c r="A161" s="16"/>
      <c r="B161" s="25"/>
      <c r="C161" s="26"/>
      <c r="D161" s="26"/>
    </row>
    <row r="162" ht="15.75" customHeight="1">
      <c r="A162" s="16"/>
      <c r="B162" s="25"/>
      <c r="C162" s="26"/>
      <c r="D162" s="26"/>
    </row>
    <row r="163" ht="15.75" customHeight="1">
      <c r="A163" s="16"/>
      <c r="B163" s="25"/>
      <c r="C163" s="26"/>
      <c r="D163" s="26"/>
    </row>
    <row r="164" ht="15.75" customHeight="1">
      <c r="A164" s="16"/>
      <c r="B164" s="25"/>
      <c r="C164" s="26"/>
      <c r="D164" s="26"/>
    </row>
    <row r="165" ht="15.75" customHeight="1">
      <c r="A165" s="16"/>
      <c r="B165" s="25"/>
      <c r="C165" s="26"/>
      <c r="D165" s="26"/>
    </row>
    <row r="166" ht="15.75" customHeight="1">
      <c r="A166" s="16"/>
      <c r="B166" s="25"/>
      <c r="C166" s="26"/>
      <c r="D166" s="26"/>
    </row>
    <row r="167" ht="15.75" customHeight="1">
      <c r="A167" s="16"/>
      <c r="B167" s="25"/>
      <c r="C167" s="26"/>
      <c r="D167" s="26"/>
    </row>
    <row r="168" ht="15.75" customHeight="1">
      <c r="A168" s="16"/>
      <c r="B168" s="25"/>
      <c r="C168" s="26"/>
      <c r="D168" s="26"/>
    </row>
    <row r="169" ht="15.75" customHeight="1">
      <c r="A169" s="16"/>
      <c r="B169" s="25"/>
      <c r="C169" s="26"/>
      <c r="D169" s="26"/>
    </row>
    <row r="170" ht="15.75" customHeight="1">
      <c r="A170" s="16"/>
      <c r="B170" s="25"/>
      <c r="C170" s="26"/>
      <c r="D170" s="26"/>
    </row>
    <row r="171" ht="15.75" customHeight="1">
      <c r="A171" s="16"/>
      <c r="B171" s="25"/>
      <c r="C171" s="26"/>
      <c r="D171" s="26"/>
    </row>
    <row r="172" ht="15.75" customHeight="1">
      <c r="A172" s="16"/>
      <c r="B172" s="25"/>
      <c r="C172" s="26"/>
      <c r="D172" s="26"/>
    </row>
    <row r="173" ht="15.75" customHeight="1">
      <c r="A173" s="16"/>
      <c r="B173" s="25"/>
      <c r="C173" s="26"/>
      <c r="D173" s="26"/>
    </row>
    <row r="174" ht="15.75" customHeight="1">
      <c r="A174" s="16"/>
      <c r="B174" s="25"/>
      <c r="C174" s="26"/>
      <c r="D174" s="26"/>
    </row>
    <row r="175" ht="15.75" customHeight="1">
      <c r="A175" s="16"/>
      <c r="B175" s="25"/>
      <c r="C175" s="26"/>
      <c r="D175" s="26"/>
    </row>
    <row r="176" ht="15.75" customHeight="1">
      <c r="A176" s="16"/>
      <c r="B176" s="25"/>
      <c r="C176" s="26"/>
      <c r="D176" s="26"/>
    </row>
    <row r="177" ht="15.75" customHeight="1">
      <c r="A177" s="16"/>
      <c r="B177" s="25"/>
      <c r="C177" s="26"/>
      <c r="D177" s="26"/>
    </row>
    <row r="178" ht="15.75" customHeight="1">
      <c r="A178" s="16"/>
      <c r="B178" s="25"/>
      <c r="C178" s="26"/>
      <c r="D178" s="26"/>
    </row>
    <row r="179" ht="15.75" customHeight="1">
      <c r="A179" s="16"/>
      <c r="B179" s="25"/>
      <c r="C179" s="26"/>
      <c r="D179" s="26"/>
    </row>
    <row r="180" ht="15.75" customHeight="1">
      <c r="A180" s="16"/>
      <c r="B180" s="25"/>
      <c r="C180" s="26"/>
      <c r="D180" s="26"/>
    </row>
    <row r="181" ht="15.75" customHeight="1">
      <c r="A181" s="16"/>
      <c r="B181" s="25"/>
      <c r="C181" s="26"/>
      <c r="D181" s="26"/>
    </row>
    <row r="182" ht="15.75" customHeight="1">
      <c r="A182" s="16"/>
      <c r="B182" s="25"/>
      <c r="C182" s="26"/>
      <c r="D182" s="26"/>
    </row>
    <row r="183" ht="15.75" customHeight="1">
      <c r="A183" s="16"/>
      <c r="B183" s="25"/>
      <c r="C183" s="26"/>
      <c r="D183" s="26"/>
    </row>
    <row r="184" ht="15.75" customHeight="1">
      <c r="A184" s="16"/>
      <c r="B184" s="25"/>
      <c r="C184" s="26"/>
      <c r="D184" s="26"/>
    </row>
    <row r="185" ht="15.75" customHeight="1">
      <c r="A185" s="16"/>
      <c r="B185" s="25"/>
      <c r="C185" s="26"/>
      <c r="D185" s="26"/>
    </row>
    <row r="186" ht="15.75" customHeight="1">
      <c r="A186" s="16"/>
      <c r="B186" s="25"/>
      <c r="C186" s="26"/>
      <c r="D186" s="26"/>
    </row>
    <row r="187" ht="15.75" customHeight="1">
      <c r="A187" s="16"/>
      <c r="B187" s="25"/>
      <c r="C187" s="26"/>
      <c r="D187" s="26"/>
    </row>
    <row r="188" ht="15.75" customHeight="1">
      <c r="A188" s="16"/>
      <c r="B188" s="25"/>
      <c r="C188" s="26"/>
      <c r="D188" s="26"/>
    </row>
    <row r="189" ht="15.75" customHeight="1">
      <c r="A189" s="16"/>
      <c r="B189" s="25"/>
      <c r="C189" s="26"/>
      <c r="D189" s="26"/>
    </row>
    <row r="190" ht="15.75" customHeight="1">
      <c r="A190" s="16"/>
      <c r="B190" s="25"/>
      <c r="C190" s="26"/>
      <c r="D190" s="26"/>
    </row>
    <row r="191" ht="15.75" customHeight="1">
      <c r="A191" s="16"/>
      <c r="B191" s="25"/>
      <c r="C191" s="26"/>
      <c r="D191" s="26"/>
    </row>
    <row r="192" ht="15.75" customHeight="1">
      <c r="A192" s="16"/>
      <c r="B192" s="25"/>
      <c r="C192" s="26"/>
      <c r="D192" s="26"/>
    </row>
    <row r="193" ht="15.75" customHeight="1">
      <c r="A193" s="16"/>
      <c r="B193" s="25"/>
      <c r="C193" s="26"/>
      <c r="D193" s="26"/>
    </row>
    <row r="194" ht="15.75" customHeight="1">
      <c r="A194" s="16"/>
      <c r="B194" s="25"/>
      <c r="C194" s="26"/>
      <c r="D194" s="26"/>
    </row>
    <row r="195" ht="15.75" customHeight="1">
      <c r="A195" s="16"/>
      <c r="B195" s="25"/>
      <c r="C195" s="26"/>
      <c r="D195" s="26"/>
    </row>
    <row r="196" ht="15.75" customHeight="1">
      <c r="A196" s="16"/>
      <c r="B196" s="25"/>
      <c r="C196" s="26"/>
      <c r="D196" s="26"/>
    </row>
    <row r="197" ht="15.75" customHeight="1">
      <c r="A197" s="16"/>
      <c r="B197" s="25"/>
      <c r="C197" s="26"/>
      <c r="D197" s="26"/>
    </row>
    <row r="198" ht="15.75" customHeight="1">
      <c r="A198" s="16"/>
      <c r="B198" s="25"/>
      <c r="C198" s="26"/>
      <c r="D198" s="26"/>
    </row>
    <row r="199" ht="15.75" customHeight="1">
      <c r="A199" s="16"/>
      <c r="B199" s="25"/>
      <c r="C199" s="26"/>
      <c r="D199" s="26"/>
    </row>
    <row r="200" ht="15.75" customHeight="1">
      <c r="A200" s="16"/>
      <c r="B200" s="25"/>
      <c r="C200" s="26"/>
      <c r="D200" s="26"/>
    </row>
    <row r="201" ht="15.75" customHeight="1">
      <c r="A201" s="16"/>
      <c r="B201" s="25"/>
      <c r="C201" s="26"/>
      <c r="D201" s="26"/>
    </row>
    <row r="202" ht="15.75" customHeight="1">
      <c r="A202" s="16"/>
      <c r="B202" s="25"/>
      <c r="C202" s="26"/>
      <c r="D202" s="26"/>
    </row>
    <row r="203" ht="15.75" customHeight="1">
      <c r="A203" s="16"/>
      <c r="B203" s="25"/>
      <c r="C203" s="26"/>
      <c r="D203" s="26"/>
    </row>
    <row r="204" ht="15.75" customHeight="1">
      <c r="A204" s="16"/>
      <c r="B204" s="25"/>
      <c r="C204" s="26"/>
      <c r="D204" s="26"/>
    </row>
    <row r="205" ht="15.75" customHeight="1">
      <c r="A205" s="16"/>
      <c r="B205" s="25"/>
      <c r="C205" s="26"/>
      <c r="D205" s="26"/>
    </row>
    <row r="206" ht="15.75" customHeight="1">
      <c r="A206" s="16"/>
      <c r="B206" s="25"/>
      <c r="C206" s="26"/>
      <c r="D206" s="26"/>
    </row>
    <row r="207" ht="15.75" customHeight="1">
      <c r="A207" s="16"/>
      <c r="B207" s="25"/>
      <c r="C207" s="26"/>
      <c r="D207" s="26"/>
    </row>
    <row r="208" ht="15.75" customHeight="1">
      <c r="A208" s="16"/>
      <c r="B208" s="25"/>
      <c r="C208" s="26"/>
      <c r="D208" s="26"/>
    </row>
    <row r="209" ht="15.75" customHeight="1">
      <c r="A209" s="16"/>
      <c r="B209" s="25"/>
      <c r="C209" s="26"/>
      <c r="D209" s="26"/>
    </row>
    <row r="210" ht="15.75" customHeight="1">
      <c r="A210" s="16"/>
      <c r="B210" s="25"/>
      <c r="C210" s="26"/>
      <c r="D210" s="26"/>
    </row>
    <row r="211" ht="15.75" customHeight="1">
      <c r="A211" s="16"/>
      <c r="B211" s="25"/>
      <c r="C211" s="26"/>
      <c r="D211" s="26"/>
    </row>
    <row r="212" ht="15.75" customHeight="1">
      <c r="A212" s="16"/>
      <c r="B212" s="25"/>
      <c r="C212" s="26"/>
      <c r="D212" s="26"/>
    </row>
    <row r="213" ht="15.75" customHeight="1">
      <c r="A213" s="16"/>
      <c r="B213" s="25"/>
      <c r="C213" s="26"/>
      <c r="D213" s="26"/>
    </row>
    <row r="214" ht="15.75" customHeight="1">
      <c r="A214" s="16"/>
      <c r="B214" s="25"/>
      <c r="C214" s="26"/>
      <c r="D214" s="26"/>
    </row>
    <row r="215" ht="15.75" customHeight="1">
      <c r="A215" s="16"/>
      <c r="B215" s="25"/>
      <c r="C215" s="26"/>
      <c r="D215" s="26"/>
    </row>
    <row r="216" ht="15.75" customHeight="1">
      <c r="A216" s="16"/>
      <c r="B216" s="25"/>
      <c r="C216" s="26"/>
      <c r="D216" s="26"/>
    </row>
    <row r="217" ht="15.75" customHeight="1">
      <c r="A217" s="16"/>
      <c r="B217" s="25"/>
      <c r="C217" s="26"/>
      <c r="D217" s="26"/>
    </row>
    <row r="218" ht="15.75" customHeight="1">
      <c r="A218" s="16"/>
      <c r="B218" s="25"/>
      <c r="C218" s="26"/>
      <c r="D218" s="26"/>
    </row>
    <row r="219" ht="15.75" customHeight="1">
      <c r="A219" s="16"/>
      <c r="B219" s="25"/>
      <c r="C219" s="26"/>
      <c r="D219" s="26"/>
    </row>
    <row r="220" ht="15.75" customHeight="1">
      <c r="A220" s="16"/>
      <c r="B220" s="25"/>
      <c r="C220" s="26"/>
      <c r="D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1" max="11" width="13.75"/>
  </cols>
  <sheetData>
    <row r="1">
      <c r="A1" s="34" t="s">
        <v>431</v>
      </c>
      <c r="B1" s="34" t="s">
        <v>432</v>
      </c>
      <c r="C1" s="35" t="s">
        <v>433</v>
      </c>
      <c r="D1" s="35" t="s">
        <v>434</v>
      </c>
      <c r="E1" s="36" t="s">
        <v>435</v>
      </c>
      <c r="F1" s="36" t="s">
        <v>436</v>
      </c>
      <c r="G1" s="37" t="s">
        <v>437</v>
      </c>
      <c r="H1" s="37" t="s">
        <v>438</v>
      </c>
      <c r="I1" s="38" t="s">
        <v>439</v>
      </c>
      <c r="J1" s="38" t="s">
        <v>440</v>
      </c>
      <c r="K1" s="39" t="s">
        <v>441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0">
        <v>10.0</v>
      </c>
      <c r="B2" s="41" t="s">
        <v>442</v>
      </c>
      <c r="C2" s="40">
        <v>999.0</v>
      </c>
      <c r="D2" s="42">
        <v>1.0</v>
      </c>
      <c r="E2" s="42">
        <v>1.0</v>
      </c>
      <c r="F2" s="43">
        <v>0.75</v>
      </c>
      <c r="G2" s="43">
        <v>0.75</v>
      </c>
      <c r="H2" s="44">
        <v>0.5</v>
      </c>
      <c r="I2" s="44">
        <v>0.5</v>
      </c>
      <c r="J2" s="45">
        <v>0.0</v>
      </c>
      <c r="K2" s="46" t="s">
        <v>443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/>
    <row r="4" ht="15.75" customHeight="1"/>
    <row r="5" ht="15.75" customHeight="1">
      <c r="C5" s="18"/>
    </row>
    <row r="6" ht="15.75" customHeight="1"/>
    <row r="7" ht="15.75" customHeight="1">
      <c r="C7" s="1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