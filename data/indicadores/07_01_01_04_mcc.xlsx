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DSN\Atlas2025\Indicadores_Fabiana\"/>
    </mc:Choice>
  </mc:AlternateContent>
  <xr:revisionPtr revIDLastSave="0" documentId="13_ncr:1_{BACACDF3-7ECF-4FF9-A28F-86DE7FFEAEF6}" xr6:coauthVersionLast="47" xr6:coauthVersionMax="47" xr10:uidLastSave="{00000000-0000-0000-0000-000000000000}"/>
  <bookViews>
    <workbookView xWindow="-108" yWindow="-108" windowWidth="23256" windowHeight="12456" tabRatio="727" activeTab="5" xr2:uid="{00000000-000D-0000-FFFF-FFFF00000000}"/>
  </bookViews>
  <sheets>
    <sheet name="datos_2016" sheetId="1" r:id="rId1"/>
    <sheet name="datos_2024" sheetId="2" r:id="rId2"/>
    <sheet name="Indicador_MUN" sheetId="3" r:id="rId3"/>
    <sheet name="Absoluto_MUN" sheetId="5" r:id="rId4"/>
    <sheet name="Indicador_DEP" sheetId="4" r:id="rId5"/>
    <sheet name="Absoluto_DEP" sheetId="6" r:id="rId6"/>
    <sheet name="Umbral" sheetId="7" r:id="rId7"/>
    <sheet name="Map" sheetId="8" r:id="rId8"/>
  </sheets>
  <calcPr calcId="191029"/>
  <pivotCaches>
    <pivotCache cacheId="1" r:id="rId9"/>
    <pivotCache cacheId="5" r:id="rId10"/>
  </pivotCaches>
</workbook>
</file>

<file path=xl/calcChain.xml><?xml version="1.0" encoding="utf-8"?>
<calcChain xmlns="http://schemas.openxmlformats.org/spreadsheetml/2006/main">
  <c r="G323" i="2" l="1"/>
  <c r="G324" i="2"/>
  <c r="G325" i="2"/>
  <c r="G326" i="2"/>
  <c r="A323" i="2"/>
  <c r="A324" i="2"/>
  <c r="A325" i="2"/>
  <c r="A326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D344" i="5"/>
  <c r="C344" i="5"/>
  <c r="D343" i="5"/>
  <c r="C343" i="5"/>
  <c r="D342" i="5"/>
  <c r="C342" i="5"/>
  <c r="D341" i="5"/>
  <c r="C341" i="5"/>
  <c r="D340" i="5"/>
  <c r="C340" i="5"/>
  <c r="D339" i="5"/>
  <c r="C339" i="5"/>
  <c r="D338" i="5"/>
  <c r="C338" i="5"/>
  <c r="D337" i="5"/>
  <c r="C337" i="5"/>
  <c r="D336" i="5"/>
  <c r="C336" i="5"/>
  <c r="D335" i="5"/>
  <c r="C335" i="5"/>
  <c r="D334" i="5"/>
  <c r="C334" i="5"/>
  <c r="D333" i="5"/>
  <c r="C333" i="5"/>
  <c r="D332" i="5"/>
  <c r="C332" i="5"/>
  <c r="D331" i="5"/>
  <c r="C331" i="5"/>
  <c r="D330" i="5"/>
  <c r="C330" i="5"/>
  <c r="D329" i="5"/>
  <c r="C329" i="5"/>
  <c r="D328" i="5"/>
  <c r="C328" i="5"/>
  <c r="D327" i="5"/>
  <c r="C327" i="5"/>
  <c r="D326" i="5"/>
  <c r="C326" i="5"/>
  <c r="D325" i="5"/>
  <c r="C325" i="5"/>
  <c r="D324" i="5"/>
  <c r="C324" i="5"/>
  <c r="D323" i="5"/>
  <c r="C323" i="5"/>
  <c r="D322" i="5"/>
  <c r="C322" i="5"/>
  <c r="D321" i="5"/>
  <c r="C321" i="5"/>
  <c r="D320" i="5"/>
  <c r="C320" i="5"/>
  <c r="D319" i="5"/>
  <c r="C319" i="5"/>
  <c r="D318" i="5"/>
  <c r="C318" i="5"/>
  <c r="D317" i="5"/>
  <c r="C317" i="5"/>
  <c r="D316" i="5"/>
  <c r="C316" i="5"/>
  <c r="D315" i="5"/>
  <c r="C315" i="5"/>
  <c r="D314" i="5"/>
  <c r="C314" i="5"/>
  <c r="D313" i="5"/>
  <c r="C313" i="5"/>
  <c r="D312" i="5"/>
  <c r="C312" i="5"/>
  <c r="D311" i="5"/>
  <c r="C311" i="5"/>
  <c r="D310" i="5"/>
  <c r="C310" i="5"/>
  <c r="D309" i="5"/>
  <c r="C309" i="5"/>
  <c r="D308" i="5"/>
  <c r="C308" i="5"/>
  <c r="D307" i="5"/>
  <c r="C307" i="5"/>
  <c r="D306" i="5"/>
  <c r="C306" i="5"/>
  <c r="D305" i="5"/>
  <c r="C305" i="5"/>
  <c r="D304" i="5"/>
  <c r="C304" i="5"/>
  <c r="D303" i="5"/>
  <c r="C303" i="5"/>
  <c r="D302" i="5"/>
  <c r="C302" i="5"/>
  <c r="D301" i="5"/>
  <c r="C301" i="5"/>
  <c r="D300" i="5"/>
  <c r="C300" i="5"/>
  <c r="D299" i="5"/>
  <c r="C299" i="5"/>
  <c r="D298" i="5"/>
  <c r="C298" i="5"/>
  <c r="D297" i="5"/>
  <c r="C297" i="5"/>
  <c r="D296" i="5"/>
  <c r="C296" i="5"/>
  <c r="D295" i="5"/>
  <c r="C295" i="5"/>
  <c r="D294" i="5"/>
  <c r="C294" i="5"/>
  <c r="D293" i="5"/>
  <c r="C293" i="5"/>
  <c r="D292" i="5"/>
  <c r="C292" i="5"/>
  <c r="D291" i="5"/>
  <c r="C291" i="5"/>
  <c r="D290" i="5"/>
  <c r="C290" i="5"/>
  <c r="D289" i="5"/>
  <c r="C289" i="5"/>
  <c r="D288" i="5"/>
  <c r="C288" i="5"/>
  <c r="D287" i="5"/>
  <c r="C287" i="5"/>
  <c r="D286" i="5"/>
  <c r="C286" i="5"/>
  <c r="D285" i="5"/>
  <c r="C285" i="5"/>
  <c r="D284" i="5"/>
  <c r="C284" i="5"/>
  <c r="D283" i="5"/>
  <c r="C283" i="5"/>
  <c r="D282" i="5"/>
  <c r="C282" i="5"/>
  <c r="D281" i="5"/>
  <c r="C281" i="5"/>
  <c r="D280" i="5"/>
  <c r="C280" i="5"/>
  <c r="D279" i="5"/>
  <c r="C279" i="5"/>
  <c r="D278" i="5"/>
  <c r="C278" i="5"/>
  <c r="D277" i="5"/>
  <c r="C277" i="5"/>
  <c r="D276" i="5"/>
  <c r="C276" i="5"/>
  <c r="D275" i="5"/>
  <c r="C275" i="5"/>
  <c r="D274" i="5"/>
  <c r="C274" i="5"/>
  <c r="D273" i="5"/>
  <c r="C273" i="5"/>
  <c r="D272" i="5"/>
  <c r="C272" i="5"/>
  <c r="D271" i="5"/>
  <c r="C271" i="5"/>
  <c r="D270" i="5"/>
  <c r="C270" i="5"/>
  <c r="D269" i="5"/>
  <c r="C269" i="5"/>
  <c r="D268" i="5"/>
  <c r="C268" i="5"/>
  <c r="D267" i="5"/>
  <c r="C267" i="5"/>
  <c r="D266" i="5"/>
  <c r="C266" i="5"/>
  <c r="D265" i="5"/>
  <c r="C265" i="5"/>
  <c r="D264" i="5"/>
  <c r="C264" i="5"/>
  <c r="D263" i="5"/>
  <c r="C263" i="5"/>
  <c r="D262" i="5"/>
  <c r="C262" i="5"/>
  <c r="D261" i="5"/>
  <c r="C261" i="5"/>
  <c r="D260" i="5"/>
  <c r="C260" i="5"/>
  <c r="D259" i="5"/>
  <c r="C259" i="5"/>
  <c r="D258" i="5"/>
  <c r="C258" i="5"/>
  <c r="D257" i="5"/>
  <c r="C257" i="5"/>
  <c r="D256" i="5"/>
  <c r="C256" i="5"/>
  <c r="D255" i="5"/>
  <c r="C255" i="5"/>
  <c r="D254" i="5"/>
  <c r="C254" i="5"/>
  <c r="D253" i="5"/>
  <c r="C253" i="5"/>
  <c r="D252" i="5"/>
  <c r="C252" i="5"/>
  <c r="D251" i="5"/>
  <c r="C251" i="5"/>
  <c r="D250" i="5"/>
  <c r="C250" i="5"/>
  <c r="D249" i="5"/>
  <c r="C249" i="5"/>
  <c r="D248" i="5"/>
  <c r="C248" i="5"/>
  <c r="D247" i="5"/>
  <c r="C247" i="5"/>
  <c r="D246" i="5"/>
  <c r="C246" i="5"/>
  <c r="D245" i="5"/>
  <c r="C245" i="5"/>
  <c r="D244" i="5"/>
  <c r="C244" i="5"/>
  <c r="D243" i="5"/>
  <c r="C243" i="5"/>
  <c r="D242" i="5"/>
  <c r="C242" i="5"/>
  <c r="D241" i="5"/>
  <c r="C241" i="5"/>
  <c r="D240" i="5"/>
  <c r="C240" i="5"/>
  <c r="D239" i="5"/>
  <c r="C239" i="5"/>
  <c r="D238" i="5"/>
  <c r="C238" i="5"/>
  <c r="D237" i="5"/>
  <c r="C237" i="5"/>
  <c r="D236" i="5"/>
  <c r="C236" i="5"/>
  <c r="D235" i="5"/>
  <c r="C235" i="5"/>
  <c r="D234" i="5"/>
  <c r="C234" i="5"/>
  <c r="D233" i="5"/>
  <c r="C233" i="5"/>
  <c r="D232" i="5"/>
  <c r="C232" i="5"/>
  <c r="D231" i="5"/>
  <c r="C231" i="5"/>
  <c r="D230" i="5"/>
  <c r="C230" i="5"/>
  <c r="D229" i="5"/>
  <c r="C229" i="5"/>
  <c r="D228" i="5"/>
  <c r="C228" i="5"/>
  <c r="D227" i="5"/>
  <c r="C227" i="5"/>
  <c r="D226" i="5"/>
  <c r="C226" i="5"/>
  <c r="D225" i="5"/>
  <c r="C225" i="5"/>
  <c r="D224" i="5"/>
  <c r="C224" i="5"/>
  <c r="D223" i="5"/>
  <c r="C223" i="5"/>
  <c r="D222" i="5"/>
  <c r="C222" i="5"/>
  <c r="D221" i="5"/>
  <c r="C221" i="5"/>
  <c r="D220" i="5"/>
  <c r="C220" i="5"/>
  <c r="D219" i="5"/>
  <c r="C219" i="5"/>
  <c r="D218" i="5"/>
  <c r="C218" i="5"/>
  <c r="D217" i="5"/>
  <c r="C217" i="5"/>
  <c r="D216" i="5"/>
  <c r="C216" i="5"/>
  <c r="D215" i="5"/>
  <c r="C215" i="5"/>
  <c r="D214" i="5"/>
  <c r="C214" i="5"/>
  <c r="D213" i="5"/>
  <c r="C213" i="5"/>
  <c r="D212" i="5"/>
  <c r="C212" i="5"/>
  <c r="D211" i="5"/>
  <c r="C211" i="5"/>
  <c r="D210" i="5"/>
  <c r="C210" i="5"/>
  <c r="D209" i="5"/>
  <c r="C209" i="5"/>
  <c r="D208" i="5"/>
  <c r="C208" i="5"/>
  <c r="D207" i="5"/>
  <c r="C207" i="5"/>
  <c r="D206" i="5"/>
  <c r="C206" i="5"/>
  <c r="D205" i="5"/>
  <c r="C205" i="5"/>
  <c r="D204" i="5"/>
  <c r="C204" i="5"/>
  <c r="D203" i="5"/>
  <c r="C203" i="5"/>
  <c r="D202" i="5"/>
  <c r="C202" i="5"/>
  <c r="D201" i="5"/>
  <c r="C201" i="5"/>
  <c r="D200" i="5"/>
  <c r="C200" i="5"/>
  <c r="D199" i="5"/>
  <c r="C199" i="5"/>
  <c r="D198" i="5"/>
  <c r="C198" i="5"/>
  <c r="D197" i="5"/>
  <c r="C197" i="5"/>
  <c r="D196" i="5"/>
  <c r="C196" i="5"/>
  <c r="D195" i="5"/>
  <c r="C195" i="5"/>
  <c r="D194" i="5"/>
  <c r="C194" i="5"/>
  <c r="D193" i="5"/>
  <c r="C193" i="5"/>
  <c r="D192" i="5"/>
  <c r="C192" i="5"/>
  <c r="D191" i="5"/>
  <c r="C191" i="5"/>
  <c r="D190" i="5"/>
  <c r="C190" i="5"/>
  <c r="D189" i="5"/>
  <c r="C189" i="5"/>
  <c r="D188" i="5"/>
  <c r="C188" i="5"/>
  <c r="D187" i="5"/>
  <c r="C187" i="5"/>
  <c r="D186" i="5"/>
  <c r="C186" i="5"/>
  <c r="D185" i="5"/>
  <c r="C185" i="5"/>
  <c r="D184" i="5"/>
  <c r="C184" i="5"/>
  <c r="D183" i="5"/>
  <c r="C183" i="5"/>
  <c r="D182" i="5"/>
  <c r="C182" i="5"/>
  <c r="D181" i="5"/>
  <c r="C181" i="5"/>
  <c r="D180" i="5"/>
  <c r="C180" i="5"/>
  <c r="D179" i="5"/>
  <c r="C179" i="5"/>
  <c r="D178" i="5"/>
  <c r="C178" i="5"/>
  <c r="D177" i="5"/>
  <c r="C177" i="5"/>
  <c r="D176" i="5"/>
  <c r="C176" i="5"/>
  <c r="D175" i="5"/>
  <c r="C175" i="5"/>
  <c r="D174" i="5"/>
  <c r="C174" i="5"/>
  <c r="D173" i="5"/>
  <c r="C173" i="5"/>
  <c r="D172" i="5"/>
  <c r="C172" i="5"/>
  <c r="D171" i="5"/>
  <c r="C171" i="5"/>
  <c r="D170" i="5"/>
  <c r="C170" i="5"/>
  <c r="D169" i="5"/>
  <c r="C169" i="5"/>
  <c r="D168" i="5"/>
  <c r="C168" i="5"/>
  <c r="D167" i="5"/>
  <c r="C167" i="5"/>
  <c r="D166" i="5"/>
  <c r="C166" i="5"/>
  <c r="D165" i="5"/>
  <c r="C165" i="5"/>
  <c r="D164" i="5"/>
  <c r="C164" i="5"/>
  <c r="D163" i="5"/>
  <c r="C163" i="5"/>
  <c r="D162" i="5"/>
  <c r="C162" i="5"/>
  <c r="D161" i="5"/>
  <c r="C161" i="5"/>
  <c r="D160" i="5"/>
  <c r="C160" i="5"/>
  <c r="D159" i="5"/>
  <c r="C159" i="5"/>
  <c r="D158" i="5"/>
  <c r="C158" i="5"/>
  <c r="D157" i="5"/>
  <c r="C157" i="5"/>
  <c r="D156" i="5"/>
  <c r="C156" i="5"/>
  <c r="D155" i="5"/>
  <c r="C155" i="5"/>
  <c r="D154" i="5"/>
  <c r="C154" i="5"/>
  <c r="D153" i="5"/>
  <c r="C153" i="5"/>
  <c r="D152" i="5"/>
  <c r="C152" i="5"/>
  <c r="D151" i="5"/>
  <c r="C151" i="5"/>
  <c r="D150" i="5"/>
  <c r="C150" i="5"/>
  <c r="D149" i="5"/>
  <c r="C149" i="5"/>
  <c r="D148" i="5"/>
  <c r="C148" i="5"/>
  <c r="D147" i="5"/>
  <c r="C147" i="5"/>
  <c r="D146" i="5"/>
  <c r="C146" i="5"/>
  <c r="D145" i="5"/>
  <c r="C145" i="5"/>
  <c r="D144" i="5"/>
  <c r="C144" i="5"/>
  <c r="D143" i="5"/>
  <c r="C143" i="5"/>
  <c r="D142" i="5"/>
  <c r="C142" i="5"/>
  <c r="D141" i="5"/>
  <c r="C141" i="5"/>
  <c r="D140" i="5"/>
  <c r="C140" i="5"/>
  <c r="D139" i="5"/>
  <c r="C139" i="5"/>
  <c r="D138" i="5"/>
  <c r="C138" i="5"/>
  <c r="D137" i="5"/>
  <c r="C137" i="5"/>
  <c r="D136" i="5"/>
  <c r="C136" i="5"/>
  <c r="D135" i="5"/>
  <c r="C135" i="5"/>
  <c r="D134" i="5"/>
  <c r="C134" i="5"/>
  <c r="D133" i="5"/>
  <c r="C133" i="5"/>
  <c r="D132" i="5"/>
  <c r="C132" i="5"/>
  <c r="D131" i="5"/>
  <c r="C131" i="5"/>
  <c r="D130" i="5"/>
  <c r="C130" i="5"/>
  <c r="D129" i="5"/>
  <c r="C129" i="5"/>
  <c r="D128" i="5"/>
  <c r="C128" i="5"/>
  <c r="D127" i="5"/>
  <c r="C127" i="5"/>
  <c r="D126" i="5"/>
  <c r="C126" i="5"/>
  <c r="D125" i="5"/>
  <c r="C125" i="5"/>
  <c r="D124" i="5"/>
  <c r="C124" i="5"/>
  <c r="D123" i="5"/>
  <c r="C123" i="5"/>
  <c r="D122" i="5"/>
  <c r="C122" i="5"/>
  <c r="D121" i="5"/>
  <c r="C121" i="5"/>
  <c r="D120" i="5"/>
  <c r="C120" i="5"/>
  <c r="D119" i="5"/>
  <c r="C119" i="5"/>
  <c r="D118" i="5"/>
  <c r="C118" i="5"/>
  <c r="D117" i="5"/>
  <c r="C117" i="5"/>
  <c r="D116" i="5"/>
  <c r="C116" i="5"/>
  <c r="D115" i="5"/>
  <c r="C115" i="5"/>
  <c r="D114" i="5"/>
  <c r="C114" i="5"/>
  <c r="D113" i="5"/>
  <c r="C113" i="5"/>
  <c r="D112" i="5"/>
  <c r="C112" i="5"/>
  <c r="D111" i="5"/>
  <c r="C111" i="5"/>
  <c r="D110" i="5"/>
  <c r="C110" i="5"/>
  <c r="D109" i="5"/>
  <c r="C109" i="5"/>
  <c r="D108" i="5"/>
  <c r="C108" i="5"/>
  <c r="D107" i="5"/>
  <c r="C107" i="5"/>
  <c r="D106" i="5"/>
  <c r="C106" i="5"/>
  <c r="D105" i="5"/>
  <c r="C105" i="5"/>
  <c r="D104" i="5"/>
  <c r="C104" i="5"/>
  <c r="D103" i="5"/>
  <c r="C103" i="5"/>
  <c r="D102" i="5"/>
  <c r="C102" i="5"/>
  <c r="D101" i="5"/>
  <c r="C101" i="5"/>
  <c r="D100" i="5"/>
  <c r="C100" i="5"/>
  <c r="D99" i="5"/>
  <c r="C99" i="5"/>
  <c r="D98" i="5"/>
  <c r="C98" i="5"/>
  <c r="D97" i="5"/>
  <c r="C97" i="5"/>
  <c r="D96" i="5"/>
  <c r="C96" i="5"/>
  <c r="D95" i="5"/>
  <c r="C95" i="5"/>
  <c r="D94" i="5"/>
  <c r="C94" i="5"/>
  <c r="D93" i="5"/>
  <c r="C93" i="5"/>
  <c r="D92" i="5"/>
  <c r="C92" i="5"/>
  <c r="D91" i="5"/>
  <c r="C91" i="5"/>
  <c r="D90" i="5"/>
  <c r="C90" i="5"/>
  <c r="D89" i="5"/>
  <c r="C89" i="5"/>
  <c r="D88" i="5"/>
  <c r="C88" i="5"/>
  <c r="D87" i="5"/>
  <c r="C87" i="5"/>
  <c r="D86" i="5"/>
  <c r="C86" i="5"/>
  <c r="D85" i="5"/>
  <c r="C85" i="5"/>
  <c r="D84" i="5"/>
  <c r="C84" i="5"/>
  <c r="D83" i="5"/>
  <c r="C83" i="5"/>
  <c r="D82" i="5"/>
  <c r="C82" i="5"/>
  <c r="D81" i="5"/>
  <c r="C81" i="5"/>
  <c r="D80" i="5"/>
  <c r="C80" i="5"/>
  <c r="D79" i="5"/>
  <c r="C79" i="5"/>
  <c r="D78" i="5"/>
  <c r="C78" i="5"/>
  <c r="D77" i="5"/>
  <c r="C77" i="5"/>
  <c r="D76" i="5"/>
  <c r="C76" i="5"/>
  <c r="D75" i="5"/>
  <c r="C75" i="5"/>
  <c r="D74" i="5"/>
  <c r="C74" i="5"/>
  <c r="D73" i="5"/>
  <c r="C73" i="5"/>
  <c r="D72" i="5"/>
  <c r="C72" i="5"/>
  <c r="D71" i="5"/>
  <c r="C71" i="5"/>
  <c r="D70" i="5"/>
  <c r="C70" i="5"/>
  <c r="D69" i="5"/>
  <c r="C69" i="5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D3" i="5"/>
  <c r="C3" i="5"/>
  <c r="D2" i="5"/>
  <c r="C2" i="5"/>
  <c r="N3" i="2"/>
  <c r="N4" i="2"/>
  <c r="N5" i="2"/>
  <c r="N6" i="2"/>
  <c r="N7" i="2"/>
  <c r="N8" i="2"/>
  <c r="N9" i="2"/>
  <c r="N10" i="2"/>
  <c r="N11" i="2"/>
  <c r="N15" i="2"/>
  <c r="N16" i="2"/>
  <c r="N17" i="2"/>
  <c r="N18" i="2"/>
  <c r="N2" i="2"/>
  <c r="N3" i="1"/>
  <c r="N4" i="1"/>
  <c r="N5" i="1"/>
  <c r="N6" i="1"/>
  <c r="N7" i="1"/>
  <c r="N8" i="1"/>
  <c r="N9" i="1"/>
  <c r="N10" i="1"/>
  <c r="N11" i="1"/>
  <c r="N15" i="1"/>
  <c r="N16" i="1"/>
  <c r="N17" i="1"/>
  <c r="N18" i="1"/>
  <c r="N2" i="1"/>
  <c r="G322" i="2"/>
  <c r="D340" i="3" s="1"/>
  <c r="G321" i="2"/>
  <c r="D334" i="3" s="1"/>
  <c r="G320" i="2"/>
  <c r="D338" i="3" s="1"/>
  <c r="G319" i="2"/>
  <c r="D331" i="3" s="1"/>
  <c r="G318" i="2"/>
  <c r="D335" i="3" s="1"/>
  <c r="G317" i="2"/>
  <c r="G316" i="2"/>
  <c r="G315" i="2"/>
  <c r="G314" i="2"/>
  <c r="G313" i="2"/>
  <c r="D323" i="3" s="1"/>
  <c r="G312" i="2"/>
  <c r="D327" i="3" s="1"/>
  <c r="G311" i="2"/>
  <c r="D321" i="3" s="1"/>
  <c r="G310" i="2"/>
  <c r="D324" i="3" s="1"/>
  <c r="G309" i="2"/>
  <c r="G308" i="2"/>
  <c r="D318" i="3" s="1"/>
  <c r="G307" i="2"/>
  <c r="G306" i="2"/>
  <c r="G305" i="2"/>
  <c r="D315" i="3" s="1"/>
  <c r="G304" i="2"/>
  <c r="G303" i="2"/>
  <c r="D313" i="3" s="1"/>
  <c r="G302" i="2"/>
  <c r="D316" i="3" s="1"/>
  <c r="G301" i="2"/>
  <c r="G300" i="2"/>
  <c r="G299" i="2"/>
  <c r="G298" i="2"/>
  <c r="G297" i="2"/>
  <c r="G296" i="2"/>
  <c r="G295" i="2"/>
  <c r="D305" i="3" s="1"/>
  <c r="G294" i="2"/>
  <c r="D308" i="3" s="1"/>
  <c r="G293" i="2"/>
  <c r="G292" i="2"/>
  <c r="G291" i="2"/>
  <c r="G290" i="2"/>
  <c r="G289" i="2"/>
  <c r="G288" i="2"/>
  <c r="G287" i="2"/>
  <c r="D296" i="3" s="1"/>
  <c r="G286" i="2"/>
  <c r="D299" i="3" s="1"/>
  <c r="G285" i="2"/>
  <c r="G284" i="2"/>
  <c r="G283" i="2"/>
  <c r="G282" i="2"/>
  <c r="G281" i="2"/>
  <c r="D290" i="3" s="1"/>
  <c r="G280" i="2"/>
  <c r="D293" i="3" s="1"/>
  <c r="G279" i="2"/>
  <c r="D288" i="3" s="1"/>
  <c r="G278" i="2"/>
  <c r="D291" i="3" s="1"/>
  <c r="G277" i="2"/>
  <c r="G276" i="2"/>
  <c r="D284" i="3" s="1"/>
  <c r="G275" i="2"/>
  <c r="G274" i="2"/>
  <c r="G273" i="2"/>
  <c r="D281" i="3" s="1"/>
  <c r="G272" i="2"/>
  <c r="G271" i="2"/>
  <c r="D279" i="3" s="1"/>
  <c r="G270" i="2"/>
  <c r="D278" i="3" s="1"/>
  <c r="G269" i="2"/>
  <c r="G268" i="2"/>
  <c r="G267" i="2"/>
  <c r="G266" i="2"/>
  <c r="G265" i="2"/>
  <c r="D273" i="3" s="1"/>
  <c r="G264" i="2"/>
  <c r="G263" i="2"/>
  <c r="D271" i="3" s="1"/>
  <c r="G262" i="2"/>
  <c r="D270" i="3" s="1"/>
  <c r="G261" i="2"/>
  <c r="G260" i="2"/>
  <c r="G259" i="2"/>
  <c r="G258" i="2"/>
  <c r="G257" i="2"/>
  <c r="D265" i="3" s="1"/>
  <c r="G256" i="2"/>
  <c r="G255" i="2"/>
  <c r="D263" i="3" s="1"/>
  <c r="G254" i="2"/>
  <c r="D262" i="3" s="1"/>
  <c r="G253" i="2"/>
  <c r="G252" i="2"/>
  <c r="G251" i="2"/>
  <c r="G250" i="2"/>
  <c r="G249" i="2"/>
  <c r="D257" i="3" s="1"/>
  <c r="G248" i="2"/>
  <c r="G247" i="2"/>
  <c r="D255" i="3" s="1"/>
  <c r="G246" i="2"/>
  <c r="D254" i="3" s="1"/>
  <c r="G245" i="2"/>
  <c r="G244" i="2"/>
  <c r="G243" i="2"/>
  <c r="G242" i="2"/>
  <c r="G241" i="2"/>
  <c r="D249" i="3" s="1"/>
  <c r="G240" i="2"/>
  <c r="D248" i="3" s="1"/>
  <c r="G239" i="2"/>
  <c r="D247" i="3" s="1"/>
  <c r="G238" i="2"/>
  <c r="D246" i="3" s="1"/>
  <c r="G237" i="2"/>
  <c r="G236" i="2"/>
  <c r="G235" i="2"/>
  <c r="G234" i="2"/>
  <c r="G233" i="2"/>
  <c r="D241" i="3" s="1"/>
  <c r="G232" i="2"/>
  <c r="D240" i="3" s="1"/>
  <c r="G231" i="2"/>
  <c r="D239" i="3" s="1"/>
  <c r="G230" i="2"/>
  <c r="D238" i="3" s="1"/>
  <c r="G229" i="2"/>
  <c r="G228" i="2"/>
  <c r="D235" i="3" s="1"/>
  <c r="G227" i="2"/>
  <c r="G226" i="2"/>
  <c r="G225" i="2"/>
  <c r="D232" i="3" s="1"/>
  <c r="G224" i="2"/>
  <c r="G223" i="2"/>
  <c r="D230" i="3" s="1"/>
  <c r="G222" i="2"/>
  <c r="D233" i="3" s="1"/>
  <c r="G221" i="2"/>
  <c r="G220" i="2"/>
  <c r="D227" i="3" s="1"/>
  <c r="G219" i="2"/>
  <c r="G218" i="2"/>
  <c r="G217" i="2"/>
  <c r="G216" i="2"/>
  <c r="D223" i="3" s="1"/>
  <c r="G215" i="2"/>
  <c r="G214" i="2"/>
  <c r="D225" i="3" s="1"/>
  <c r="G213" i="2"/>
  <c r="G212" i="2"/>
  <c r="G211" i="2"/>
  <c r="G210" i="2"/>
  <c r="D220" i="3" s="1"/>
  <c r="G209" i="2"/>
  <c r="G208" i="2"/>
  <c r="D218" i="3" s="1"/>
  <c r="G207" i="2"/>
  <c r="G206" i="2"/>
  <c r="D216" i="3" s="1"/>
  <c r="G205" i="2"/>
  <c r="G204" i="2"/>
  <c r="D211" i="3" s="1"/>
  <c r="G203" i="2"/>
  <c r="G202" i="2"/>
  <c r="D212" i="3" s="1"/>
  <c r="G201" i="2"/>
  <c r="G200" i="2"/>
  <c r="D206" i="3" s="1"/>
  <c r="G199" i="2"/>
  <c r="G198" i="2"/>
  <c r="D207" i="3" s="1"/>
  <c r="G197" i="2"/>
  <c r="G196" i="2"/>
  <c r="D202" i="3" s="1"/>
  <c r="G195" i="2"/>
  <c r="G194" i="2"/>
  <c r="G193" i="2"/>
  <c r="G192" i="2"/>
  <c r="D198" i="3" s="1"/>
  <c r="G191" i="2"/>
  <c r="D197" i="3" s="1"/>
  <c r="G190" i="2"/>
  <c r="D199" i="3" s="1"/>
  <c r="G189" i="2"/>
  <c r="G188" i="2"/>
  <c r="D194" i="3" s="1"/>
  <c r="G187" i="2"/>
  <c r="G186" i="2"/>
  <c r="G185" i="2"/>
  <c r="G184" i="2"/>
  <c r="D190" i="3" s="1"/>
  <c r="G183" i="2"/>
  <c r="G182" i="2"/>
  <c r="D191" i="3" s="1"/>
  <c r="G181" i="2"/>
  <c r="G180" i="2"/>
  <c r="G179" i="2"/>
  <c r="G178" i="2"/>
  <c r="G177" i="2"/>
  <c r="G176" i="2"/>
  <c r="D182" i="3" s="1"/>
  <c r="G175" i="2"/>
  <c r="G174" i="2"/>
  <c r="D183" i="3" s="1"/>
  <c r="G173" i="2"/>
  <c r="G172" i="2"/>
  <c r="G171" i="2"/>
  <c r="G170" i="2"/>
  <c r="G169" i="2"/>
  <c r="G168" i="2"/>
  <c r="D174" i="3" s="1"/>
  <c r="G167" i="2"/>
  <c r="D173" i="3" s="1"/>
  <c r="G166" i="2"/>
  <c r="D175" i="3" s="1"/>
  <c r="G165" i="2"/>
  <c r="G164" i="2"/>
  <c r="D170" i="3" s="1"/>
  <c r="G163" i="2"/>
  <c r="G162" i="2"/>
  <c r="D171" i="3" s="1"/>
  <c r="G161" i="2"/>
  <c r="G160" i="2"/>
  <c r="D169" i="3" s="1"/>
  <c r="G159" i="2"/>
  <c r="G158" i="2"/>
  <c r="D167" i="3" s="1"/>
  <c r="G157" i="2"/>
  <c r="G156" i="2"/>
  <c r="D161" i="3" s="1"/>
  <c r="G155" i="2"/>
  <c r="G154" i="2"/>
  <c r="D163" i="3" s="1"/>
  <c r="G153" i="2"/>
  <c r="G152" i="2"/>
  <c r="D160" i="3" s="1"/>
  <c r="G151" i="2"/>
  <c r="G150" i="2"/>
  <c r="D158" i="3" s="1"/>
  <c r="G149" i="2"/>
  <c r="G148" i="2"/>
  <c r="D152" i="3" s="1"/>
  <c r="G147" i="2"/>
  <c r="G146" i="2"/>
  <c r="G145" i="2"/>
  <c r="G144" i="2"/>
  <c r="D148" i="3" s="1"/>
  <c r="G143" i="2"/>
  <c r="D147" i="3" s="1"/>
  <c r="G142" i="2"/>
  <c r="D149" i="3" s="1"/>
  <c r="G141" i="2"/>
  <c r="G140" i="2"/>
  <c r="D144" i="3" s="1"/>
  <c r="G139" i="2"/>
  <c r="G138" i="2"/>
  <c r="D145" i="3" s="1"/>
  <c r="G137" i="2"/>
  <c r="G136" i="2"/>
  <c r="D140" i="3" s="1"/>
  <c r="G135" i="2"/>
  <c r="G134" i="2"/>
  <c r="D141" i="3" s="1"/>
  <c r="G133" i="2"/>
  <c r="G132" i="2"/>
  <c r="D136" i="3" s="1"/>
  <c r="G131" i="2"/>
  <c r="G130" i="2"/>
  <c r="D134" i="3" s="1"/>
  <c r="G129" i="2"/>
  <c r="G128" i="2"/>
  <c r="G127" i="2"/>
  <c r="G126" i="2"/>
  <c r="D132" i="3" s="1"/>
  <c r="G125" i="2"/>
  <c r="G124" i="2"/>
  <c r="G123" i="2"/>
  <c r="G122" i="2"/>
  <c r="G121" i="2"/>
  <c r="G120" i="2"/>
  <c r="D126" i="3" s="1"/>
  <c r="G119" i="2"/>
  <c r="D123" i="3" s="1"/>
  <c r="G118" i="2"/>
  <c r="G117" i="2"/>
  <c r="G116" i="2"/>
  <c r="G115" i="2"/>
  <c r="G114" i="2"/>
  <c r="G113" i="2"/>
  <c r="G112" i="2"/>
  <c r="D118" i="3" s="1"/>
  <c r="G111" i="2"/>
  <c r="D115" i="3" s="1"/>
  <c r="G110" i="2"/>
  <c r="D116" i="3" s="1"/>
  <c r="G109" i="2"/>
  <c r="G108" i="2"/>
  <c r="G107" i="2"/>
  <c r="G106" i="2"/>
  <c r="G105" i="2"/>
  <c r="G104" i="2"/>
  <c r="D110" i="3" s="1"/>
  <c r="G103" i="2"/>
  <c r="G102" i="2"/>
  <c r="G101" i="2"/>
  <c r="G100" i="2"/>
  <c r="G99" i="2"/>
  <c r="G98" i="2"/>
  <c r="G97" i="2"/>
  <c r="G96" i="2"/>
  <c r="D102" i="3" s="1"/>
  <c r="G95" i="2"/>
  <c r="D99" i="3" s="1"/>
  <c r="G94" i="2"/>
  <c r="D100" i="3" s="1"/>
  <c r="G93" i="2"/>
  <c r="G92" i="2"/>
  <c r="G91" i="2"/>
  <c r="G90" i="2"/>
  <c r="G89" i="2"/>
  <c r="G88" i="2"/>
  <c r="G87" i="2"/>
  <c r="D90" i="3" s="1"/>
  <c r="G86" i="2"/>
  <c r="D89" i="3" s="1"/>
  <c r="G85" i="2"/>
  <c r="G84" i="2"/>
  <c r="D87" i="3" s="1"/>
  <c r="G83" i="2"/>
  <c r="G82" i="2"/>
  <c r="G81" i="2"/>
  <c r="G80" i="2"/>
  <c r="D85" i="3" s="1"/>
  <c r="G79" i="2"/>
  <c r="D82" i="3" s="1"/>
  <c r="G78" i="2"/>
  <c r="D81" i="3" s="1"/>
  <c r="G77" i="2"/>
  <c r="G76" i="2"/>
  <c r="D79" i="3" s="1"/>
  <c r="G75" i="2"/>
  <c r="G74" i="2"/>
  <c r="G73" i="2"/>
  <c r="G72" i="2"/>
  <c r="G71" i="2"/>
  <c r="D74" i="3" s="1"/>
  <c r="G70" i="2"/>
  <c r="D71" i="3" s="1"/>
  <c r="G69" i="2"/>
  <c r="G68" i="2"/>
  <c r="G67" i="2"/>
  <c r="G66" i="2"/>
  <c r="G65" i="2"/>
  <c r="G64" i="2"/>
  <c r="G63" i="2"/>
  <c r="G62" i="2"/>
  <c r="D65" i="3" s="1"/>
  <c r="G61" i="2"/>
  <c r="G60" i="2"/>
  <c r="G59" i="2"/>
  <c r="D62" i="3" s="1"/>
  <c r="G58" i="2"/>
  <c r="G57" i="2"/>
  <c r="G56" i="2"/>
  <c r="D59" i="3" s="1"/>
  <c r="G55" i="2"/>
  <c r="D56" i="3" s="1"/>
  <c r="G54" i="2"/>
  <c r="D57" i="3" s="1"/>
  <c r="G53" i="2"/>
  <c r="G52" i="2"/>
  <c r="G51" i="2"/>
  <c r="G50" i="2"/>
  <c r="G49" i="2"/>
  <c r="G48" i="2"/>
  <c r="D51" i="3" s="1"/>
  <c r="G47" i="2"/>
  <c r="D48" i="3" s="1"/>
  <c r="G46" i="2"/>
  <c r="D49" i="3" s="1"/>
  <c r="G45" i="2"/>
  <c r="G44" i="2"/>
  <c r="D45" i="3" s="1"/>
  <c r="G43" i="2"/>
  <c r="G42" i="2"/>
  <c r="D42" i="3" s="1"/>
  <c r="G41" i="2"/>
  <c r="G40" i="2"/>
  <c r="G39" i="2"/>
  <c r="G38" i="2"/>
  <c r="D39" i="3" s="1"/>
  <c r="G37" i="2"/>
  <c r="G36" i="2"/>
  <c r="D36" i="3" s="1"/>
  <c r="G35" i="2"/>
  <c r="G34" i="2"/>
  <c r="G33" i="2"/>
  <c r="G32" i="2"/>
  <c r="G31" i="2"/>
  <c r="G30" i="2"/>
  <c r="D31" i="3" s="1"/>
  <c r="G29" i="2"/>
  <c r="G28" i="2"/>
  <c r="D28" i="3" s="1"/>
  <c r="G27" i="2"/>
  <c r="G26" i="2"/>
  <c r="D26" i="3" s="1"/>
  <c r="G25" i="2"/>
  <c r="G24" i="2"/>
  <c r="G23" i="2"/>
  <c r="G22" i="2"/>
  <c r="D23" i="3" s="1"/>
  <c r="G21" i="2"/>
  <c r="G20" i="2"/>
  <c r="D20" i="3" s="1"/>
  <c r="G19" i="2"/>
  <c r="G18" i="2"/>
  <c r="D18" i="3" s="1"/>
  <c r="G17" i="2"/>
  <c r="G16" i="2"/>
  <c r="G15" i="2"/>
  <c r="G14" i="2"/>
  <c r="D15" i="3" s="1"/>
  <c r="G13" i="2"/>
  <c r="G12" i="2"/>
  <c r="D12" i="3" s="1"/>
  <c r="G11" i="2"/>
  <c r="G10" i="2"/>
  <c r="D10" i="3" s="1"/>
  <c r="G9" i="2"/>
  <c r="G8" i="2"/>
  <c r="G7" i="2"/>
  <c r="D7" i="3" s="1"/>
  <c r="G6" i="2"/>
  <c r="D6" i="3" s="1"/>
  <c r="G5" i="2"/>
  <c r="G4" i="2"/>
  <c r="D4" i="3" s="1"/>
  <c r="G3" i="2"/>
  <c r="G2" i="2"/>
  <c r="D2" i="3" s="1"/>
  <c r="D210" i="3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C209" i="3" s="1"/>
  <c r="G205" i="1"/>
  <c r="C207" i="3" s="1"/>
  <c r="G204" i="1"/>
  <c r="C206" i="3" s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D344" i="3"/>
  <c r="D343" i="3"/>
  <c r="D342" i="3"/>
  <c r="D341" i="3"/>
  <c r="D339" i="3"/>
  <c r="D337" i="3"/>
  <c r="D336" i="3"/>
  <c r="D332" i="3"/>
  <c r="D329" i="3"/>
  <c r="D328" i="3"/>
  <c r="D326" i="3"/>
  <c r="D325" i="3"/>
  <c r="D319" i="3"/>
  <c r="D317" i="3"/>
  <c r="D311" i="3"/>
  <c r="D309" i="3"/>
  <c r="D307" i="3"/>
  <c r="D303" i="3"/>
  <c r="D302" i="3"/>
  <c r="D301" i="3"/>
  <c r="D300" i="3"/>
  <c r="D298" i="3"/>
  <c r="D294" i="3"/>
  <c r="D292" i="3"/>
  <c r="D286" i="3"/>
  <c r="D285" i="3"/>
  <c r="D283" i="3"/>
  <c r="D277" i="3"/>
  <c r="D275" i="3"/>
  <c r="D269" i="3"/>
  <c r="D268" i="3"/>
  <c r="D267" i="3"/>
  <c r="D266" i="3"/>
  <c r="D261" i="3"/>
  <c r="D259" i="3"/>
  <c r="D253" i="3"/>
  <c r="D252" i="3"/>
  <c r="D251" i="3"/>
  <c r="D245" i="3"/>
  <c r="D243" i="3"/>
  <c r="D237" i="3"/>
  <c r="D236" i="3"/>
  <c r="D234" i="3"/>
  <c r="D228" i="3"/>
  <c r="D226" i="3"/>
  <c r="D224" i="3"/>
  <c r="D219" i="3"/>
  <c r="D217" i="3"/>
  <c r="D208" i="3"/>
  <c r="D203" i="3"/>
  <c r="D201" i="3"/>
  <c r="D196" i="3"/>
  <c r="D195" i="3"/>
  <c r="D193" i="3"/>
  <c r="D187" i="3"/>
  <c r="D186" i="3"/>
  <c r="D185" i="3"/>
  <c r="D179" i="3"/>
  <c r="D178" i="3"/>
  <c r="D177" i="3"/>
  <c r="D162" i="3"/>
  <c r="D157" i="3"/>
  <c r="D156" i="3"/>
  <c r="D153" i="3"/>
  <c r="D143" i="3"/>
  <c r="D137" i="3"/>
  <c r="D135" i="3"/>
  <c r="D131" i="3"/>
  <c r="D129" i="3"/>
  <c r="D127" i="3"/>
  <c r="D121" i="3"/>
  <c r="D119" i="3"/>
  <c r="D113" i="3"/>
  <c r="D111" i="3"/>
  <c r="D107" i="3"/>
  <c r="D105" i="3"/>
  <c r="D103" i="3"/>
  <c r="D97" i="3"/>
  <c r="D95" i="3"/>
  <c r="D94" i="3"/>
  <c r="D93" i="3"/>
  <c r="D92" i="3"/>
  <c r="D88" i="3"/>
  <c r="D86" i="3"/>
  <c r="D84" i="3"/>
  <c r="D80" i="3"/>
  <c r="D78" i="3"/>
  <c r="D77" i="3"/>
  <c r="D76" i="3"/>
  <c r="D73" i="3"/>
  <c r="D72" i="3"/>
  <c r="D70" i="3"/>
  <c r="D69" i="3"/>
  <c r="D68" i="3"/>
  <c r="D64" i="3"/>
  <c r="D47" i="3"/>
  <c r="D41" i="3"/>
  <c r="D35" i="3"/>
  <c r="D34" i="3"/>
  <c r="D33" i="3"/>
  <c r="D27" i="3"/>
  <c r="D19" i="3"/>
  <c r="D5" i="3"/>
  <c r="D3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8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283" i="3"/>
  <c r="D60" i="3"/>
  <c r="D54" i="3"/>
  <c r="D52" i="3"/>
  <c r="D13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D164" i="3" l="1"/>
  <c r="D53" i="3"/>
  <c r="D96" i="3"/>
  <c r="D112" i="3"/>
  <c r="D128" i="3"/>
  <c r="D166" i="3"/>
  <c r="D61" i="3"/>
  <c r="D104" i="3"/>
  <c r="D120" i="3"/>
  <c r="D44" i="3"/>
  <c r="D189" i="3"/>
  <c r="D214" i="3"/>
  <c r="D55" i="3"/>
  <c r="D139" i="3"/>
  <c r="D181" i="3"/>
  <c r="D205" i="3"/>
  <c r="D222" i="3"/>
  <c r="D29" i="3"/>
  <c r="D151" i="3"/>
  <c r="D165" i="3"/>
  <c r="D242" i="3"/>
  <c r="D83" i="3"/>
  <c r="D256" i="3"/>
  <c r="D272" i="3"/>
  <c r="D314" i="3"/>
  <c r="D282" i="3"/>
  <c r="D75" i="3"/>
  <c r="D91" i="3"/>
  <c r="D264" i="3"/>
  <c r="D280" i="3"/>
  <c r="D306" i="3"/>
  <c r="D11" i="3"/>
  <c r="D155" i="3"/>
  <c r="D244" i="3"/>
  <c r="D258" i="3"/>
  <c r="D310" i="3"/>
  <c r="D9" i="3"/>
  <c r="D17" i="3"/>
  <c r="D25" i="3"/>
  <c r="D67" i="3"/>
  <c r="D37" i="3"/>
  <c r="D260" i="3"/>
  <c r="D274" i="3"/>
  <c r="D250" i="3"/>
  <c r="D21" i="3"/>
  <c r="D43" i="3"/>
  <c r="D276" i="3"/>
  <c r="D30" i="3"/>
  <c r="D154" i="3"/>
  <c r="D8" i="3"/>
  <c r="D16" i="3"/>
  <c r="D24" i="3"/>
  <c r="D32" i="3"/>
  <c r="D40" i="3"/>
  <c r="D50" i="3"/>
  <c r="D58" i="3"/>
  <c r="D66" i="3"/>
  <c r="D101" i="3"/>
  <c r="D109" i="3"/>
  <c r="D117" i="3"/>
  <c r="D125" i="3"/>
  <c r="D133" i="3"/>
  <c r="D142" i="3"/>
  <c r="D150" i="3"/>
  <c r="D159" i="3"/>
  <c r="D168" i="3"/>
  <c r="D176" i="3"/>
  <c r="D184" i="3"/>
  <c r="D192" i="3"/>
  <c r="D200" i="3"/>
  <c r="D209" i="3"/>
  <c r="D188" i="3"/>
  <c r="D146" i="3"/>
  <c r="D229" i="3"/>
  <c r="D287" i="3"/>
  <c r="D14" i="3"/>
  <c r="D124" i="3"/>
  <c r="D180" i="3"/>
  <c r="D312" i="3"/>
  <c r="D295" i="3"/>
  <c r="D46" i="3"/>
  <c r="D138" i="3"/>
  <c r="D304" i="3"/>
  <c r="D322" i="3"/>
  <c r="D213" i="3"/>
  <c r="D330" i="3"/>
  <c r="D221" i="3"/>
  <c r="D63" i="3"/>
  <c r="D114" i="3"/>
  <c r="D130" i="3"/>
  <c r="D231" i="3"/>
  <c r="D297" i="3"/>
  <c r="D22" i="3"/>
  <c r="D320" i="3"/>
  <c r="D108" i="3"/>
  <c r="D172" i="3"/>
  <c r="D204" i="3"/>
  <c r="D98" i="3"/>
  <c r="D106" i="3"/>
  <c r="D122" i="3"/>
  <c r="D289" i="3"/>
  <c r="D333" i="3"/>
  <c r="D38" i="3"/>
  <c r="D215" i="3"/>
</calcChain>
</file>

<file path=xl/sharedStrings.xml><?xml version="1.0" encoding="utf-8"?>
<sst xmlns="http://schemas.openxmlformats.org/spreadsheetml/2006/main" count="767" uniqueCount="376">
  <si>
    <t>COD_MUNI</t>
  </si>
  <si>
    <t>n_id_unicos</t>
  </si>
  <si>
    <t>n_id_zero_1_12</t>
  </si>
  <si>
    <t>n_id_zero_6_12</t>
  </si>
  <si>
    <t>n_id_zero_12</t>
  </si>
  <si>
    <t>COD</t>
  </si>
  <si>
    <t>Name</t>
  </si>
  <si>
    <t>Sucre</t>
  </si>
  <si>
    <t>Yotala</t>
  </si>
  <si>
    <t>Poroma</t>
  </si>
  <si>
    <t>Villa Azurduy</t>
  </si>
  <si>
    <t>Tarvita</t>
  </si>
  <si>
    <t>Zudañez</t>
  </si>
  <si>
    <t>Presto</t>
  </si>
  <si>
    <t>Villa Mojocoya</t>
  </si>
  <si>
    <t>Icla</t>
  </si>
  <si>
    <t>Padilla</t>
  </si>
  <si>
    <t>Tomina</t>
  </si>
  <si>
    <t>Sopachuy</t>
  </si>
  <si>
    <t>Villa Alcalá</t>
  </si>
  <si>
    <t>El Villar</t>
  </si>
  <si>
    <t>Monteagudo</t>
  </si>
  <si>
    <t>San Pablo de 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</si>
  <si>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</si>
  <si>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</si>
  <si>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</si>
  <si>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</si>
  <si>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</si>
  <si>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</si>
  <si>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</si>
  <si>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</si>
  <si>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</si>
  <si>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</si>
  <si>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</si>
  <si>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</si>
  <si>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</si>
  <si>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</si>
  <si>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</si>
  <si>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</si>
  <si>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</si>
  <si>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</si>
  <si>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</si>
  <si>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</si>
  <si>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</si>
  <si>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</si>
  <si>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</si>
  <si>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</si>
  <si>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</si>
  <si>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</si>
  <si>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</si>
  <si>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</si>
  <si>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</si>
  <si>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</si>
  <si>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</si>
  <si>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</si>
  <si>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</si>
  <si>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</si>
  <si>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</si>
  <si>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</si>
  <si>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</si>
  <si>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</si>
  <si>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</si>
  <si>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</si>
  <si>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</si>
  <si>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</si>
  <si>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</si>
  <si>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</si>
  <si>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</si>
  <si>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</si>
  <si>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</si>
  <si>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</si>
  <si>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</si>
  <si>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</si>
  <si>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</si>
  <si>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</si>
  <si>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</si>
  <si>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</si>
  <si>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</si>
  <si>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</si>
  <si>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</si>
  <si>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</si>
  <si>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</si>
  <si>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</si>
  <si>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</si>
  <si>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</si>
  <si>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</si>
  <si>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</si>
  <si>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</si>
  <si>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</si>
  <si>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</si>
  <si>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</si>
  <si>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</si>
  <si>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</si>
  <si>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</si>
  <si>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</si>
  <si>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</si>
  <si>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</si>
  <si>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</si>
  <si>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</si>
  <si>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</si>
  <si>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</si>
  <si>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</si>
  <si>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</si>
  <si>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</si>
  <si>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</si>
  <si>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</si>
  <si>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</si>
  <si>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</si>
  <si>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</si>
  <si>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</si>
  <si>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</si>
  <si>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</si>
  <si>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</si>
  <si>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</si>
  <si>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</si>
  <si>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</si>
  <si>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</si>
  <si>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</si>
  <si>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</si>
  <si>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</si>
  <si>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</si>
  <si>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</si>
  <si>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</si>
  <si>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Cochabamba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</si>
  <si>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</si>
  <si>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</si>
  <si>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</si>
  <si>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</si>
  <si>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</si>
  <si>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</si>
  <si>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</si>
  <si>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</si>
  <si>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</si>
  <si>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</si>
  <si>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</si>
  <si>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</si>
  <si>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</si>
  <si>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</si>
  <si>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</si>
  <si>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</si>
  <si>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</si>
  <si>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</si>
  <si>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</si>
  <si>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</si>
  <si>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</si>
  <si>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</si>
  <si>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</si>
  <si>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</si>
  <si>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</si>
  <si>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</si>
  <si>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</si>
  <si>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</si>
  <si>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</si>
  <si>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</si>
  <si>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</si>
  <si>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</si>
  <si>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</si>
  <si>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</si>
  <si>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</si>
  <si>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</si>
  <si>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</si>
  <si>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</si>
  <si>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</si>
  <si>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</si>
  <si>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</si>
  <si>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</si>
  <si>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</si>
  <si>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</si>
  <si>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</si>
  <si>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</si>
  <si>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</si>
  <si>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Oruro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</si>
  <si>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</si>
  <si>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</si>
  <si>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</si>
  <si>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</si>
  <si>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</si>
  <si>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</si>
  <si>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</si>
  <si>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</si>
  <si>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</si>
  <si>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</si>
  <si>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</si>
  <si>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</si>
  <si>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</si>
  <si>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</si>
  <si>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</si>
  <si>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</si>
  <si>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</si>
  <si>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</si>
  <si>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</si>
  <si>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</si>
  <si>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</si>
  <si>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</si>
  <si>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</si>
  <si>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</si>
  <si>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</si>
  <si>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</si>
  <si>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</si>
  <si>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</si>
  <si>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</si>
  <si>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</si>
  <si>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</si>
  <si>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</si>
  <si>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</si>
  <si>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</si>
  <si>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Potosí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</si>
  <si>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</si>
  <si>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</si>
  <si>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</si>
  <si>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</si>
  <si>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</si>
  <si>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</si>
  <si>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</si>
  <si>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</si>
  <si>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</si>
  <si>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</si>
  <si>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</si>
  <si>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</si>
  <si>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</si>
  <si>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</si>
  <si>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</si>
  <si>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</si>
  <si>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</si>
  <si>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</si>
  <si>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</si>
  <si>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</si>
  <si>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</si>
  <si>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</si>
  <si>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</si>
  <si>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</si>
  <si>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</si>
  <si>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</si>
  <si>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</si>
  <si>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</si>
  <si>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</si>
  <si>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</si>
  <si>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</si>
  <si>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</si>
  <si>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</si>
  <si>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</si>
  <si>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</si>
  <si>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</si>
  <si>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</si>
  <si>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</si>
  <si>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</si>
  <si>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</si>
  <si>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</si>
  <si>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</si>
  <si>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</si>
  <si>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</si>
  <si>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</si>
  <si>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</si>
  <si>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</si>
  <si>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</si>
  <si>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</si>
  <si>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</si>
  <si>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</si>
  <si>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</si>
  <si>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</si>
  <si>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</si>
  <si>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</si>
  <si>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</si>
  <si>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</si>
  <si>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</si>
  <si>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</si>
  <si>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</si>
  <si>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</si>
  <si>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</si>
  <si>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</si>
  <si>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</si>
  <si>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</si>
  <si>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</si>
  <si>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</si>
  <si>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</si>
  <si>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</si>
  <si>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</si>
  <si>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</si>
  <si>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</si>
  <si>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</si>
  <si>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</si>
  <si>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</si>
  <si>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</si>
  <si>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</si>
  <si>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</si>
  <si>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</si>
  <si>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</si>
  <si>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</si>
  <si>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</si>
  <si>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</si>
  <si>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</si>
  <si>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</si>
  <si>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</si>
  <si>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</si>
  <si>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</si>
  <si>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</si>
  <si>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</si>
  <si>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</si>
  <si>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</si>
  <si>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</si>
  <si>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</si>
  <si>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</si>
  <si>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</si>
  <si>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</si>
  <si>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</si>
  <si>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</si>
  <si>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</si>
  <si>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</si>
  <si>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</si>
  <si>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</si>
  <si>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</si>
  <si>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</si>
  <si>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</si>
  <si>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</si>
  <si>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</si>
  <si>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</si>
  <si>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</si>
  <si>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</si>
  <si>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</si>
  <si>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</si>
  <si>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</si>
  <si>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</si>
  <si>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</si>
  <si>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</si>
  <si>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</si>
  <si>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</si>
  <si>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</si>
  <si>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</si>
  <si>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</si>
  <si>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</si>
  <si>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Territorio Indigena Multietnico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</si>
  <si>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</si>
  <si>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</si>
  <si>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</si>
  <si>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</si>
  <si>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</si>
  <si>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</si>
  <si>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</si>
  <si>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</si>
  <si>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</si>
  <si>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</si>
  <si>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</si>
  <si>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</si>
  <si>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</si>
  <si>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</si>
  <si>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>Porcentaje de medidores eléctricos residenciales con consumo cero</t>
  </si>
  <si>
    <t>Porcentaje de medidores eléctricos residenciales con consumo cero 2016</t>
  </si>
  <si>
    <t>Porcentaje de medidores eléctricos residenciales con consumo cero 2023</t>
  </si>
  <si>
    <t>DEP</t>
  </si>
  <si>
    <t>Etiquetas de fila</t>
  </si>
  <si>
    <t>Total general</t>
  </si>
  <si>
    <t>Suma de n_id_unicos</t>
  </si>
  <si>
    <t>Suma de n_id_zero_6_12</t>
  </si>
  <si>
    <t>id_departamento</t>
  </si>
  <si>
    <t>Departamento</t>
  </si>
  <si>
    <t>Chuquisaca</t>
  </si>
  <si>
    <t>La Paz</t>
  </si>
  <si>
    <t>Santa Cruz</t>
  </si>
  <si>
    <t>Beni</t>
  </si>
  <si>
    <t>Pando</t>
  </si>
  <si>
    <t>Gran Chaco</t>
  </si>
  <si>
    <t>Bolivia</t>
  </si>
  <si>
    <t>Porcentaje de medidores eléctricos residenciales con consumo cero 2016 (%)</t>
  </si>
  <si>
    <t>Porcentaje de medidores eléctricos residenciales con consumo cero 2023 (%)</t>
  </si>
  <si>
    <t>Número de medidores con 6 o más meses con consumo cero 2016</t>
  </si>
  <si>
    <t>Número de medidores con 6 o más meses con consumo cero 2023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</si>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</sst>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??_-;_-@_-"/>
    <numFmt numFmtId="165" formatCode="_-* #,##0.00_-;\-* #,##0.00_-;_-* &quot;-&quot;??_-;_-@_-"/>
    <numFmt numFmtId="166" formatCode="0.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color rgb="FF212529"/>
      <name val="Segoe UI"/>
      <family val="2"/>
    </font>
    <font>
      <b/>
      <sz val="11"/>
      <color theme="1"/>
      <name val="Calibri"/>
      <family val="2"/>
    </font>
    <font>
      <b/>
      <sz val="9"/>
      <color theme="1"/>
      <name val="&quot;Aptos Display&quot;"/>
    </font>
    <font>
      <b/>
      <sz val="10"/>
      <color rgb="FF212529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FFFF00"/>
        <bgColor rgb="FFDCE6F1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/>
      <top/>
      <bottom style="thin">
        <color rgb="FF95B3D7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7" fillId="0" borderId="0" xfId="0" applyFont="1"/>
    <xf numFmtId="0" fontId="4" fillId="3" borderId="2" xfId="0" applyFont="1" applyFill="1" applyBorder="1"/>
    <xf numFmtId="164" fontId="4" fillId="3" borderId="2" xfId="3" applyNumberFormat="1" applyFont="1" applyFill="1" applyBorder="1" applyAlignment="1">
      <alignment horizontal="left" indent="1"/>
    </xf>
    <xf numFmtId="0" fontId="4" fillId="0" borderId="2" xfId="0" applyFont="1" applyBorder="1"/>
    <xf numFmtId="164" fontId="4" fillId="0" borderId="2" xfId="3" applyNumberFormat="1" applyFont="1" applyFill="1" applyBorder="1" applyAlignment="1">
      <alignment horizontal="left" indent="1"/>
    </xf>
    <xf numFmtId="0" fontId="3" fillId="2" borderId="3" xfId="0" applyFont="1" applyFill="1" applyBorder="1" applyAlignment="1">
      <alignment wrapText="1"/>
    </xf>
    <xf numFmtId="0" fontId="4" fillId="3" borderId="4" xfId="0" applyFont="1" applyFill="1" applyBorder="1"/>
    <xf numFmtId="164" fontId="4" fillId="3" borderId="4" xfId="3" applyNumberFormat="1" applyFont="1" applyFill="1" applyBorder="1" applyAlignment="1">
      <alignment horizontal="left" indent="1"/>
    </xf>
    <xf numFmtId="166" fontId="0" fillId="0" borderId="0" xfId="0" applyNumberFormat="1"/>
    <xf numFmtId="2" fontId="0" fillId="0" borderId="0" xfId="0" applyNumberFormat="1"/>
    <xf numFmtId="0" fontId="6" fillId="3" borderId="2" xfId="0" applyFont="1" applyFill="1" applyBorder="1"/>
    <xf numFmtId="164" fontId="6" fillId="3" borderId="2" xfId="3" applyNumberFormat="1" applyFont="1" applyFill="1" applyBorder="1" applyAlignment="1">
      <alignment horizontal="left" indent="1"/>
    </xf>
    <xf numFmtId="2" fontId="4" fillId="3" borderId="3" xfId="1" applyNumberFormat="1" applyFont="1" applyFill="1" applyBorder="1"/>
    <xf numFmtId="0" fontId="0" fillId="0" borderId="0" xfId="0" applyAlignment="1">
      <alignment horizontal="left"/>
    </xf>
    <xf numFmtId="0" fontId="0" fillId="0" borderId="0" xfId="0" pivotButton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2" fontId="0" fillId="0" borderId="1" xfId="0" applyNumberFormat="1" applyBorder="1"/>
    <xf numFmtId="1" fontId="4" fillId="3" borderId="3" xfId="1" applyNumberFormat="1" applyFont="1" applyFill="1" applyBorder="1"/>
    <xf numFmtId="0" fontId="1" fillId="4" borderId="5" xfId="0" applyFont="1" applyFill="1" applyBorder="1"/>
    <xf numFmtId="0" fontId="8" fillId="5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10" fillId="0" borderId="0" xfId="0" applyFont="1"/>
    <xf numFmtId="0" fontId="4" fillId="10" borderId="2" xfId="0" applyFont="1" applyFill="1" applyBorder="1"/>
    <xf numFmtId="0" fontId="4" fillId="11" borderId="2" xfId="0" applyFont="1" applyFill="1" applyBorder="1"/>
    <xf numFmtId="0" fontId="0" fillId="0" borderId="0" xfId="0" applyNumberFormat="1"/>
    <xf numFmtId="0" fontId="1" fillId="4" borderId="5" xfId="0" applyNumberFormat="1" applyFont="1" applyFill="1" applyBorder="1"/>
  </cellXfs>
  <cellStyles count="4">
    <cellStyle name="Millares 2" xfId="3" xr:uid="{503ADE39-8104-4FA7-B6A3-B3E53CE3E60E}"/>
    <cellStyle name="Normal" xfId="0" builtinId="0"/>
    <cellStyle name="Normal 2" xfId="2" xr:uid="{2B2981B9-FE79-4419-BE64-3CB7B26695B1}"/>
    <cellStyle name="Porcentaje" xfId="1" builtinId="5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DCE6F1"/>
          <bgColor rgb="FFDCE6F1"/>
        </patternFill>
      </fill>
      <border diagonalUp="0" diagonalDown="0">
        <left/>
        <right/>
        <top/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solid">
          <fgColor rgb="FFDCE6F1"/>
          <bgColor rgb="FFDCE6F1"/>
        </patternFill>
      </fill>
      <border diagonalUp="0" diagonalDown="0">
        <left/>
        <right/>
        <top/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* #,##0_-;\-* #,##0_-;_-* &quot;-&quot;??_-;_-@_-"/>
      <fill>
        <patternFill patternType="solid">
          <fgColor rgb="FFDCE6F1"/>
          <bgColor rgb="FFDCE6F1"/>
        </patternFill>
      </fill>
      <alignment horizontal="left" vertical="bottom" textRotation="0" wrapText="0" indent="1" justifyLastLine="0" shrinkToFit="0" readingOrder="0"/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CE6F1"/>
          <bgColor rgb="FFDCE6F1"/>
        </patternFill>
      </fill>
      <border diagonalUp="0" diagonalDown="0">
        <left/>
        <right/>
        <top style="thin">
          <color rgb="FF95B3D7"/>
        </top>
        <bottom style="thin">
          <color rgb="FF95B3D7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ina" refreshedDate="46166.917374074073" createdVersion="8" refreshedVersion="8" minRefreshableVersion="3" recordCount="329" xr:uid="{101CFF74-67B4-4A48-896D-183BB40DAD83}">
  <cacheSource type="worksheet">
    <worksheetSource ref="A1:G330" sheet="datos_2016"/>
  </cacheSource>
  <cacheFields count="7">
    <cacheField name="DEP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COD_MUNI" numFmtId="0">
      <sharedItems containsSemiMixedTypes="0" containsString="0" containsNumber="1" containsInteger="1" minValue="10101" maxValue="90502" count="329">
        <n v="10101"/>
        <n v="10102"/>
        <n v="10103"/>
        <n v="10201"/>
        <n v="10202"/>
        <n v="10301"/>
        <n v="10302"/>
        <n v="10303"/>
        <n v="10304"/>
        <n v="10401"/>
        <n v="10402"/>
        <n v="10403"/>
        <n v="10404"/>
        <n v="10405"/>
        <n v="10501"/>
        <n v="10502"/>
        <n v="10601"/>
        <n v="10602"/>
        <n v="10701"/>
        <n v="10702"/>
        <n v="10703"/>
        <n v="10704"/>
        <n v="10801"/>
        <n v="10901"/>
        <n v="10902"/>
        <n v="10903"/>
        <n v="11001"/>
        <n v="11002"/>
        <n v="11003"/>
        <n v="20101"/>
        <n v="20102"/>
        <n v="20103"/>
        <n v="20104"/>
        <n v="20105"/>
        <n v="20201"/>
        <n v="20202"/>
        <n v="20203"/>
        <n v="20204"/>
        <n v="20205"/>
        <n v="20206"/>
        <n v="20301"/>
        <n v="20302"/>
        <n v="20303"/>
        <n v="20304"/>
        <n v="20305"/>
        <n v="20306"/>
        <n v="20307"/>
        <n v="20308"/>
        <n v="20401"/>
        <n v="20402"/>
        <n v="20403"/>
        <n v="20404"/>
        <n v="20405"/>
        <n v="20501"/>
        <n v="20502"/>
        <n v="20503"/>
        <n v="20601"/>
        <n v="20602"/>
        <n v="20603"/>
        <n v="20604"/>
        <n v="20605"/>
        <n v="20606"/>
        <n v="20607"/>
        <n v="20608"/>
        <n v="20701"/>
        <n v="20702"/>
        <n v="20801"/>
        <n v="20802"/>
        <n v="20803"/>
        <n v="20804"/>
        <n v="20805"/>
        <n v="20806"/>
        <n v="20807"/>
        <n v="20901"/>
        <n v="20902"/>
        <n v="20903"/>
        <n v="20904"/>
        <n v="20905"/>
        <n v="21001"/>
        <n v="21002"/>
        <n v="21003"/>
        <n v="21004"/>
        <n v="21005"/>
        <n v="21006"/>
        <n v="21101"/>
        <n v="21102"/>
        <n v="21103"/>
        <n v="21104"/>
        <n v="21105"/>
        <n v="21201"/>
        <n v="21202"/>
        <n v="21203"/>
        <n v="21204"/>
        <n v="21301"/>
        <n v="21302"/>
        <n v="21303"/>
        <n v="21304"/>
        <n v="21305"/>
        <n v="21306"/>
        <n v="21307"/>
        <n v="21401"/>
        <n v="21402"/>
        <n v="21501"/>
        <n v="21502"/>
        <n v="21601"/>
        <n v="21602"/>
        <n v="21701"/>
        <n v="21702"/>
        <n v="21703"/>
        <n v="21801"/>
        <n v="21802"/>
        <n v="21803"/>
        <n v="21901"/>
        <n v="21902"/>
        <n v="22001"/>
        <n v="22002"/>
        <n v="30101"/>
        <n v="30201"/>
        <n v="30202"/>
        <n v="30203"/>
        <n v="30301"/>
        <n v="30302"/>
        <n v="30303"/>
        <n v="30401"/>
        <n v="30402"/>
        <n v="30403"/>
        <n v="30404"/>
        <n v="30501"/>
        <n v="30502"/>
        <n v="30601"/>
        <n v="30602"/>
        <n v="30701"/>
        <n v="30702"/>
        <n v="30703"/>
        <n v="30801"/>
        <n v="30802"/>
        <n v="30803"/>
        <n v="30901"/>
        <n v="30902"/>
        <n v="30903"/>
        <n v="30904"/>
        <n v="30905"/>
        <n v="31001"/>
        <n v="31002"/>
        <n v="31003"/>
        <n v="31101"/>
        <n v="31201"/>
        <n v="31202"/>
        <n v="31203"/>
        <n v="31204"/>
        <n v="31205"/>
        <n v="31206"/>
        <n v="31301"/>
        <n v="31302"/>
        <n v="31303"/>
        <n v="31401"/>
        <n v="31402"/>
        <n v="31403"/>
        <n v="31404"/>
        <n v="31501"/>
        <n v="31601"/>
        <n v="31602"/>
        <n v="40101"/>
        <n v="40102"/>
        <n v="40103"/>
        <n v="40104"/>
        <n v="40201"/>
        <n v="40202"/>
        <n v="40301"/>
        <n v="40302"/>
        <n v="40401"/>
        <n v="40402"/>
        <n v="40501"/>
        <n v="40502"/>
        <n v="40503"/>
        <n v="40504"/>
        <n v="40505"/>
        <n v="40601"/>
        <n v="40602"/>
        <n v="40603"/>
        <n v="40701"/>
        <n v="40702"/>
        <n v="40801"/>
        <n v="40802"/>
        <n v="40901"/>
        <n v="40902"/>
        <n v="40903"/>
        <n v="41001"/>
        <n v="41101"/>
        <n v="41201"/>
        <n v="41202"/>
        <n v="41301"/>
        <n v="41401"/>
        <n v="41501"/>
        <n v="41502"/>
        <n v="41503"/>
        <n v="41601"/>
        <n v="50101"/>
        <n v="50102"/>
        <n v="50103"/>
        <n v="50104"/>
        <n v="50201"/>
        <n v="50202"/>
        <n v="50203"/>
        <n v="50301"/>
        <n v="50302"/>
        <n v="50303"/>
        <n v="50401"/>
        <n v="50402"/>
        <n v="50403"/>
        <n v="50404"/>
        <n v="50501"/>
        <n v="50502"/>
        <n v="50601"/>
        <n v="50602"/>
        <n v="50701"/>
        <n v="50702"/>
        <n v="50801"/>
        <n v="50802"/>
        <n v="50901"/>
        <n v="50902"/>
        <n v="51001"/>
        <n v="51003"/>
        <n v="51101"/>
        <n v="51102"/>
        <n v="51103"/>
        <n v="51201"/>
        <n v="51202"/>
        <n v="51203"/>
        <n v="51301"/>
        <n v="51302"/>
        <n v="51401"/>
        <n v="51402"/>
        <n v="51501"/>
        <n v="51601"/>
        <n v="60101"/>
        <n v="60201"/>
        <n v="60202"/>
        <n v="60301"/>
        <n v="60302"/>
        <n v="60303"/>
        <n v="60401"/>
        <n v="60402"/>
        <n v="60501"/>
        <n v="60502"/>
        <n v="60601"/>
        <n v="70101"/>
        <n v="70102"/>
        <n v="70103"/>
        <n v="70104"/>
        <n v="70105"/>
        <n v="70201"/>
        <n v="70202"/>
        <n v="70301"/>
        <n v="70302"/>
        <n v="70303"/>
        <n v="70401"/>
        <n v="70402"/>
        <n v="70403"/>
        <n v="70404"/>
        <n v="70501"/>
        <n v="70502"/>
        <n v="70503"/>
        <n v="70601"/>
        <n v="70602"/>
        <n v="70603"/>
        <n v="70701"/>
        <n v="70702"/>
        <n v="70703"/>
        <n v="70704"/>
        <n v="70705"/>
        <n v="70706"/>
        <n v="70707"/>
        <n v="70801"/>
        <n v="70802"/>
        <n v="70803"/>
        <n v="70804"/>
        <n v="70901"/>
        <n v="70902"/>
        <n v="70903"/>
        <n v="70904"/>
        <n v="71001"/>
        <n v="71002"/>
        <n v="71003"/>
        <n v="71004"/>
        <n v="71005"/>
        <n v="71101"/>
        <n v="71102"/>
        <n v="71103"/>
        <n v="71104"/>
        <n v="71105"/>
        <n v="71106"/>
        <n v="71201"/>
        <n v="71301"/>
        <n v="71302"/>
        <n v="71401"/>
        <n v="71402"/>
        <n v="71403"/>
        <n v="71501"/>
        <n v="71502"/>
        <n v="71503"/>
        <n v="80101"/>
        <n v="80102"/>
        <n v="80201"/>
        <n v="80202"/>
        <n v="80301"/>
        <n v="80302"/>
        <n v="80303"/>
        <n v="80304"/>
        <n v="80401"/>
        <n v="80501"/>
        <n v="80601"/>
        <n v="80602"/>
        <n v="80701"/>
        <n v="80702"/>
        <n v="80801"/>
        <n v="80802"/>
        <n v="80803"/>
        <n v="90101"/>
        <n v="90102"/>
        <n v="90104"/>
        <n v="90201"/>
        <n v="90202"/>
        <n v="90203"/>
        <n v="90301"/>
        <n v="90302"/>
        <n v="90303"/>
        <n v="90501"/>
        <n v="90502"/>
      </sharedItems>
    </cacheField>
    <cacheField name="n_id_unicos" numFmtId="0">
      <sharedItems containsSemiMixedTypes="0" containsString="0" containsNumber="1" containsInteger="1" minValue="6" maxValue="323773"/>
    </cacheField>
    <cacheField name="n_id_zero_1_12" numFmtId="0">
      <sharedItems containsSemiMixedTypes="0" containsString="0" containsNumber="1" containsInteger="1" minValue="0" maxValue="55961"/>
    </cacheField>
    <cacheField name="n_id_zero_6_12" numFmtId="0">
      <sharedItems containsSemiMixedTypes="0" containsString="0" containsNumber="1" containsInteger="1" minValue="0" maxValue="20483"/>
    </cacheField>
    <cacheField name="n_id_zero_12" numFmtId="0">
      <sharedItems containsSemiMixedTypes="0" containsString="0" containsNumber="1" containsInteger="1" minValue="0" maxValue="5379"/>
    </cacheField>
    <cacheField name="Porcentaje de medidores eléctricos residenciales con consumo cero 2016" numFmtId="166">
      <sharedItems containsSemiMixedTypes="0" containsString="0" containsNumber="1" minValue="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ina" refreshedDate="46178.045990972219" createdVersion="8" refreshedVersion="8" minRefreshableVersion="3" recordCount="325" xr:uid="{90B52A1C-387A-41C9-BC79-8F66AD8900C2}">
  <cacheSource type="worksheet">
    <worksheetSource ref="A1:G326" sheet="datos_2024"/>
  </cacheSource>
  <cacheFields count="7">
    <cacheField name="DEP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COD_MUNI" numFmtId="0">
      <sharedItems containsSemiMixedTypes="0" containsString="0" containsNumber="1" containsInteger="1" minValue="10101" maxValue="90401" count="325">
        <n v="10101"/>
        <n v="10102"/>
        <n v="10103"/>
        <n v="10201"/>
        <n v="10202"/>
        <n v="10301"/>
        <n v="10302"/>
        <n v="10303"/>
        <n v="10304"/>
        <n v="10401"/>
        <n v="10402"/>
        <n v="10403"/>
        <n v="10404"/>
        <n v="10405"/>
        <n v="10501"/>
        <n v="10502"/>
        <n v="10601"/>
        <n v="10602"/>
        <n v="10701"/>
        <n v="10702"/>
        <n v="10703"/>
        <n v="10704"/>
        <n v="10801"/>
        <n v="10901"/>
        <n v="10902"/>
        <n v="10903"/>
        <n v="11001"/>
        <n v="11002"/>
        <n v="11003"/>
        <n v="20101"/>
        <n v="20102"/>
        <n v="20103"/>
        <n v="20104"/>
        <n v="20105"/>
        <n v="20201"/>
        <n v="20202"/>
        <n v="20203"/>
        <n v="20204"/>
        <n v="20205"/>
        <n v="20206"/>
        <n v="20301"/>
        <n v="20302"/>
        <n v="20303"/>
        <n v="20304"/>
        <n v="20305"/>
        <n v="20307"/>
        <n v="20308"/>
        <n v="20401"/>
        <n v="20402"/>
        <n v="20403"/>
        <n v="20404"/>
        <n v="20405"/>
        <n v="20501"/>
        <n v="20502"/>
        <n v="20503"/>
        <n v="20601"/>
        <n v="20602"/>
        <n v="20603"/>
        <n v="20604"/>
        <n v="20605"/>
        <n v="20606"/>
        <n v="20607"/>
        <n v="20608"/>
        <n v="20701"/>
        <n v="20702"/>
        <n v="20801"/>
        <n v="20802"/>
        <n v="20803"/>
        <n v="20804"/>
        <n v="20807"/>
        <n v="20901"/>
        <n v="20902"/>
        <n v="20903"/>
        <n v="20904"/>
        <n v="20905"/>
        <n v="21001"/>
        <n v="21002"/>
        <n v="21003"/>
        <n v="21004"/>
        <n v="21005"/>
        <n v="21006"/>
        <n v="21101"/>
        <n v="21102"/>
        <n v="21103"/>
        <n v="21104"/>
        <n v="21105"/>
        <n v="21201"/>
        <n v="21202"/>
        <n v="21203"/>
        <n v="21301"/>
        <n v="21302"/>
        <n v="21303"/>
        <n v="21304"/>
        <n v="21305"/>
        <n v="21306"/>
        <n v="21307"/>
        <n v="21401"/>
        <n v="21402"/>
        <n v="21501"/>
        <n v="21502"/>
        <n v="21601"/>
        <n v="21602"/>
        <n v="21701"/>
        <n v="21702"/>
        <n v="21703"/>
        <n v="21801"/>
        <n v="21802"/>
        <n v="21803"/>
        <n v="21901"/>
        <n v="21902"/>
        <n v="22001"/>
        <n v="22002"/>
        <n v="30101"/>
        <n v="30201"/>
        <n v="30202"/>
        <n v="30203"/>
        <n v="30301"/>
        <n v="30302"/>
        <n v="30303"/>
        <n v="30401"/>
        <n v="30402"/>
        <n v="30403"/>
        <n v="30404"/>
        <n v="30501"/>
        <n v="30502"/>
        <n v="30601"/>
        <n v="30602"/>
        <n v="30701"/>
        <n v="30702"/>
        <n v="30703"/>
        <n v="30801"/>
        <n v="30802"/>
        <n v="30803"/>
        <n v="30901"/>
        <n v="30902"/>
        <n v="30903"/>
        <n v="30904"/>
        <n v="30905"/>
        <n v="31001"/>
        <n v="31002"/>
        <n v="31003"/>
        <n v="31101"/>
        <n v="31201"/>
        <n v="31202"/>
        <n v="31203"/>
        <n v="31204"/>
        <n v="31205"/>
        <n v="31206"/>
        <n v="31301"/>
        <n v="31302"/>
        <n v="31303"/>
        <n v="31401"/>
        <n v="31402"/>
        <n v="31403"/>
        <n v="31404"/>
        <n v="31501"/>
        <n v="31601"/>
        <n v="31602"/>
        <n v="40101"/>
        <n v="40102"/>
        <n v="40103"/>
        <n v="40104"/>
        <n v="40201"/>
        <n v="40202"/>
        <n v="40301"/>
        <n v="40302"/>
        <n v="40401"/>
        <n v="40402"/>
        <n v="40501"/>
        <n v="40502"/>
        <n v="40503"/>
        <n v="40504"/>
        <n v="40505"/>
        <n v="40601"/>
        <n v="40602"/>
        <n v="40603"/>
        <n v="40701"/>
        <n v="40702"/>
        <n v="40801"/>
        <n v="40802"/>
        <n v="40901"/>
        <n v="40902"/>
        <n v="40903"/>
        <n v="41001"/>
        <n v="41101"/>
        <n v="41201"/>
        <n v="41202"/>
        <n v="41301"/>
        <n v="41401"/>
        <n v="41501"/>
        <n v="41502"/>
        <n v="41503"/>
        <n v="41601"/>
        <n v="50101"/>
        <n v="50102"/>
        <n v="50103"/>
        <n v="50104"/>
        <n v="50201"/>
        <n v="50202"/>
        <n v="50203"/>
        <n v="50301"/>
        <n v="50302"/>
        <n v="50303"/>
        <n v="50401"/>
        <n v="50402"/>
        <n v="50403"/>
        <n v="50404"/>
        <n v="50405"/>
        <n v="50501"/>
        <n v="50502"/>
        <n v="50601"/>
        <n v="50602"/>
        <n v="50701"/>
        <n v="50702"/>
        <n v="50801"/>
        <n v="50802"/>
        <n v="50901"/>
        <n v="50902"/>
        <n v="51001"/>
        <n v="51002"/>
        <n v="51003"/>
        <n v="51101"/>
        <n v="51102"/>
        <n v="51103"/>
        <n v="51201"/>
        <n v="51202"/>
        <n v="51203"/>
        <n v="51301"/>
        <n v="51302"/>
        <n v="51401"/>
        <n v="51402"/>
        <n v="51501"/>
        <n v="51601"/>
        <n v="60101"/>
        <n v="60201"/>
        <n v="60202"/>
        <n v="60301"/>
        <n v="60302"/>
        <n v="60303"/>
        <n v="60401"/>
        <n v="60402"/>
        <n v="60501"/>
        <n v="60502"/>
        <n v="60601"/>
        <n v="70101"/>
        <n v="70102"/>
        <n v="70103"/>
        <n v="70104"/>
        <n v="70105"/>
        <n v="70201"/>
        <n v="70202"/>
        <n v="70301"/>
        <n v="70302"/>
        <n v="70303"/>
        <n v="70401"/>
        <n v="70402"/>
        <n v="70403"/>
        <n v="70404"/>
        <n v="70501"/>
        <n v="70502"/>
        <n v="70503"/>
        <n v="70601"/>
        <n v="70602"/>
        <n v="70603"/>
        <n v="70701"/>
        <n v="70702"/>
        <n v="70703"/>
        <n v="70704"/>
        <n v="70705"/>
        <n v="70706"/>
        <n v="70707"/>
        <n v="70801"/>
        <n v="70802"/>
        <n v="70803"/>
        <n v="70804"/>
        <n v="70901"/>
        <n v="70902"/>
        <n v="70903"/>
        <n v="70904"/>
        <n v="71001"/>
        <n v="71002"/>
        <n v="71003"/>
        <n v="71004"/>
        <n v="71005"/>
        <n v="71101"/>
        <n v="71102"/>
        <n v="71103"/>
        <n v="71104"/>
        <n v="71105"/>
        <n v="71201"/>
        <n v="71301"/>
        <n v="71302"/>
        <n v="71401"/>
        <n v="71402"/>
        <n v="71403"/>
        <n v="71501"/>
        <n v="71502"/>
        <n v="71503"/>
        <n v="80101"/>
        <n v="80102"/>
        <n v="80201"/>
        <n v="80202"/>
        <n v="80301"/>
        <n v="80302"/>
        <n v="80303"/>
        <n v="80304"/>
        <n v="80401"/>
        <n v="80402"/>
        <n v="80501"/>
        <n v="80601"/>
        <n v="80602"/>
        <n v="80701"/>
        <n v="80702"/>
        <n v="80801"/>
        <n v="80802"/>
        <n v="80803"/>
        <n v="90101"/>
        <n v="90102"/>
        <n v="90104"/>
        <n v="90201"/>
        <n v="90202"/>
        <n v="90203"/>
        <n v="90302"/>
        <n v="90303"/>
        <n v="90401"/>
      </sharedItems>
    </cacheField>
    <cacheField name="n_id_unicos" numFmtId="0">
      <sharedItems containsSemiMixedTypes="0" containsString="0" containsNumber="1" containsInteger="1" minValue="16" maxValue="421625"/>
    </cacheField>
    <cacheField name="n_id_zero_1_12" numFmtId="0">
      <sharedItems containsSemiMixedTypes="0" containsString="0" containsNumber="1" containsInteger="1" minValue="0" maxValue="56282"/>
    </cacheField>
    <cacheField name="n_id_zero_6_12" numFmtId="0">
      <sharedItems containsSemiMixedTypes="0" containsString="0" containsNumber="1" containsInteger="1" minValue="0" maxValue="24601"/>
    </cacheField>
    <cacheField name="n_id_zero_12" numFmtId="0">
      <sharedItems containsSemiMixedTypes="0" containsString="0" containsNumber="1" containsInteger="1" minValue="0" maxValue="13466"/>
    </cacheField>
    <cacheField name="Porcentaje de medidores eléctricos residenciales con consumo cero 2016" numFmtId="166">
      <sharedItems containsSemiMixedTypes="0" containsString="0" containsNumber="1" minValue="0" maxValue="68.9655172413793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">
  <r>
    <x v="0"/>
    <x v="0"/>
    <n v="67379"/>
    <n v="8920"/>
    <n v="2422"/>
    <n v="560"/>
    <n v="3.5945917867584858"/>
  </r>
  <r>
    <x v="0"/>
    <x v="1"/>
    <n v="2450"/>
    <n v="828"/>
    <n v="281"/>
    <n v="79"/>
    <n v="11.469387755102041"/>
  </r>
  <r>
    <x v="0"/>
    <x v="2"/>
    <n v="930"/>
    <n v="662"/>
    <n v="139"/>
    <n v="11"/>
    <n v="14.946236559139784"/>
  </r>
  <r>
    <x v="0"/>
    <x v="3"/>
    <n v="752"/>
    <n v="332"/>
    <n v="81"/>
    <n v="1"/>
    <n v="10.771276595744681"/>
  </r>
  <r>
    <x v="0"/>
    <x v="4"/>
    <n v="1610"/>
    <n v="817"/>
    <n v="198"/>
    <n v="22"/>
    <n v="12.298136645962733"/>
  </r>
  <r>
    <x v="0"/>
    <x v="5"/>
    <n v="1089"/>
    <n v="458"/>
    <n v="149"/>
    <n v="35"/>
    <n v="13.682277318640955"/>
  </r>
  <r>
    <x v="0"/>
    <x v="6"/>
    <n v="1059"/>
    <n v="416"/>
    <n v="86"/>
    <n v="16"/>
    <n v="8.120868744098205"/>
  </r>
  <r>
    <x v="0"/>
    <x v="7"/>
    <n v="1280"/>
    <n v="538"/>
    <n v="121"/>
    <n v="14"/>
    <n v="9.453125"/>
  </r>
  <r>
    <x v="0"/>
    <x v="8"/>
    <n v="1292"/>
    <n v="566"/>
    <n v="137"/>
    <n v="28"/>
    <n v="10.603715170278639"/>
  </r>
  <r>
    <x v="0"/>
    <x v="9"/>
    <n v="1775"/>
    <n v="628"/>
    <n v="158"/>
    <n v="36"/>
    <n v="8.9014084507042259"/>
  </r>
  <r>
    <x v="0"/>
    <x v="10"/>
    <n v="1455"/>
    <n v="516"/>
    <n v="125"/>
    <n v="21"/>
    <n v="8.5910652920962196"/>
  </r>
  <r>
    <x v="0"/>
    <x v="11"/>
    <n v="798"/>
    <n v="209"/>
    <n v="40"/>
    <n v="5"/>
    <n v="5.0125313283208017"/>
  </r>
  <r>
    <x v="0"/>
    <x v="12"/>
    <n v="850"/>
    <n v="307"/>
    <n v="85"/>
    <n v="13"/>
    <n v="10"/>
  </r>
  <r>
    <x v="0"/>
    <x v="13"/>
    <n v="865"/>
    <n v="533"/>
    <n v="176"/>
    <n v="22"/>
    <n v="20.346820809248555"/>
  </r>
  <r>
    <x v="0"/>
    <x v="14"/>
    <n v="4277"/>
    <n v="823"/>
    <n v="183"/>
    <n v="37"/>
    <n v="4.2787000233808747"/>
  </r>
  <r>
    <x v="0"/>
    <x v="15"/>
    <n v="1001"/>
    <n v="230"/>
    <n v="32"/>
    <n v="3"/>
    <n v="3.1968031968031969"/>
  </r>
  <r>
    <x v="0"/>
    <x v="16"/>
    <n v="2434"/>
    <n v="974"/>
    <n v="212"/>
    <n v="26"/>
    <n v="8.7099424815119146"/>
  </r>
  <r>
    <x v="0"/>
    <x v="17"/>
    <n v="1742"/>
    <n v="941"/>
    <n v="198"/>
    <n v="18"/>
    <n v="11.366245694603904"/>
  </r>
  <r>
    <x v="0"/>
    <x v="18"/>
    <n v="3571"/>
    <n v="1288"/>
    <n v="385"/>
    <n v="48"/>
    <n v="10.78129375525063"/>
  </r>
  <r>
    <x v="0"/>
    <x v="19"/>
    <n v="3813"/>
    <n v="1809"/>
    <n v="670"/>
    <n v="185"/>
    <n v="17.571466037241017"/>
  </r>
  <r>
    <x v="0"/>
    <x v="20"/>
    <n v="951"/>
    <n v="290"/>
    <n v="73"/>
    <n v="9"/>
    <n v="7.6761303890641432"/>
  </r>
  <r>
    <x v="0"/>
    <x v="21"/>
    <n v="1836"/>
    <n v="555"/>
    <n v="173"/>
    <n v="27"/>
    <n v="9.4226579520697165"/>
  </r>
  <r>
    <x v="0"/>
    <x v="22"/>
    <n v="2232"/>
    <n v="842"/>
    <n v="244"/>
    <n v="48"/>
    <n v="10.931899641577061"/>
  </r>
  <r>
    <x v="0"/>
    <x v="23"/>
    <n v="825"/>
    <n v="350"/>
    <n v="98"/>
    <n v="9"/>
    <n v="11.878787878787879"/>
  </r>
  <r>
    <x v="0"/>
    <x v="24"/>
    <n v="2341"/>
    <n v="670"/>
    <n v="203"/>
    <n v="36"/>
    <n v="8.6715079026057236"/>
  </r>
  <r>
    <x v="0"/>
    <x v="25"/>
    <n v="796"/>
    <n v="329"/>
    <n v="89"/>
    <n v="14"/>
    <n v="11.180904522613066"/>
  </r>
  <r>
    <x v="0"/>
    <x v="26"/>
    <n v="1150"/>
    <n v="165"/>
    <n v="19"/>
    <n v="1"/>
    <n v="1.6521739130434783"/>
  </r>
  <r>
    <x v="0"/>
    <x v="27"/>
    <n v="263"/>
    <n v="53"/>
    <n v="20"/>
    <n v="4"/>
    <n v="7.6045627376425857"/>
  </r>
  <r>
    <x v="0"/>
    <x v="28"/>
    <n v="839"/>
    <n v="258"/>
    <n v="55"/>
    <n v="4"/>
    <n v="6.5554231227651965"/>
  </r>
  <r>
    <x v="1"/>
    <x v="29"/>
    <n v="250683"/>
    <n v="41346"/>
    <n v="11026"/>
    <n v="2852"/>
    <n v="4.398383615961194"/>
  </r>
  <r>
    <x v="1"/>
    <x v="30"/>
    <n v="3773"/>
    <n v="1482"/>
    <n v="317"/>
    <n v="73"/>
    <n v="8.4018022793532996"/>
  </r>
  <r>
    <x v="1"/>
    <x v="31"/>
    <n v="4435"/>
    <n v="2494"/>
    <n v="468"/>
    <n v="101"/>
    <n v="10.552423900789178"/>
  </r>
  <r>
    <x v="1"/>
    <x v="32"/>
    <n v="5757"/>
    <n v="1921"/>
    <n v="780"/>
    <n v="182"/>
    <n v="13.54872329338197"/>
  </r>
  <r>
    <x v="1"/>
    <x v="33"/>
    <n v="263573"/>
    <n v="55961"/>
    <n v="20483"/>
    <n v="5379"/>
    <n v="7.7712815804350219"/>
  </r>
  <r>
    <x v="1"/>
    <x v="34"/>
    <n v="18505"/>
    <n v="7315"/>
    <n v="1705"/>
    <n v="345"/>
    <n v="9.2137260199945956"/>
  </r>
  <r>
    <x v="1"/>
    <x v="35"/>
    <n v="3232"/>
    <n v="2018"/>
    <n v="690"/>
    <n v="58"/>
    <n v="21.349009900990097"/>
  </r>
  <r>
    <x v="1"/>
    <x v="36"/>
    <n v="1784"/>
    <n v="710"/>
    <n v="238"/>
    <n v="2"/>
    <n v="13.340807174887892"/>
  </r>
  <r>
    <x v="1"/>
    <x v="37"/>
    <n v="2599"/>
    <n v="1338"/>
    <n v="472"/>
    <n v="1"/>
    <n v="18.160831088880339"/>
  </r>
  <r>
    <x v="1"/>
    <x v="38"/>
    <n v="2788"/>
    <n v="1660"/>
    <n v="529"/>
    <n v="1"/>
    <n v="18.974175035868004"/>
  </r>
  <r>
    <x v="1"/>
    <x v="39"/>
    <n v="1289"/>
    <n v="709"/>
    <n v="260"/>
    <n v="2"/>
    <n v="20.17067494181536"/>
  </r>
  <r>
    <x v="1"/>
    <x v="40"/>
    <n v="2928"/>
    <n v="2049"/>
    <n v="763"/>
    <n v="167"/>
    <n v="26.058743169398905"/>
  </r>
  <r>
    <x v="1"/>
    <x v="41"/>
    <n v="3350"/>
    <n v="2542"/>
    <n v="914"/>
    <n v="134"/>
    <n v="27.28358208955224"/>
  </r>
  <r>
    <x v="1"/>
    <x v="42"/>
    <n v="1131"/>
    <n v="753"/>
    <n v="347"/>
    <n v="47"/>
    <n v="30.680813439434129"/>
  </r>
  <r>
    <x v="1"/>
    <x v="43"/>
    <n v="938"/>
    <n v="660"/>
    <n v="194"/>
    <n v="39"/>
    <n v="20.68230277185501"/>
  </r>
  <r>
    <x v="1"/>
    <x v="44"/>
    <n v="349"/>
    <n v="227"/>
    <n v="61"/>
    <n v="7"/>
    <n v="17.478510028653297"/>
  </r>
  <r>
    <x v="1"/>
    <x v="45"/>
    <n v="371"/>
    <n v="226"/>
    <n v="63"/>
    <n v="22"/>
    <n v="16.981132075471699"/>
  </r>
  <r>
    <x v="1"/>
    <x v="46"/>
    <n v="101"/>
    <n v="59"/>
    <n v="17"/>
    <n v="1"/>
    <n v="16.831683168316832"/>
  </r>
  <r>
    <x v="1"/>
    <x v="47"/>
    <n v="413"/>
    <n v="354"/>
    <n v="205"/>
    <n v="38"/>
    <n v="49.63680387409201"/>
  </r>
  <r>
    <x v="1"/>
    <x v="48"/>
    <n v="5262"/>
    <n v="2110"/>
    <n v="571"/>
    <n v="85"/>
    <n v="10.851387305207146"/>
  </r>
  <r>
    <x v="1"/>
    <x v="49"/>
    <n v="3346"/>
    <n v="1733"/>
    <n v="436"/>
    <n v="54"/>
    <n v="13.030484160191273"/>
  </r>
  <r>
    <x v="1"/>
    <x v="50"/>
    <n v="3519"/>
    <n v="1995"/>
    <n v="550"/>
    <n v="69"/>
    <n v="15.62944018186985"/>
  </r>
  <r>
    <x v="1"/>
    <x v="51"/>
    <n v="1136"/>
    <n v="558"/>
    <n v="138"/>
    <n v="0"/>
    <n v="12.147887323943662"/>
  </r>
  <r>
    <x v="1"/>
    <x v="52"/>
    <n v="1900"/>
    <n v="1075"/>
    <n v="294"/>
    <n v="0"/>
    <n v="15.473684210526315"/>
  </r>
  <r>
    <x v="1"/>
    <x v="53"/>
    <n v="2301"/>
    <n v="1182"/>
    <n v="424"/>
    <n v="77"/>
    <n v="18.426770969143849"/>
  </r>
  <r>
    <x v="1"/>
    <x v="54"/>
    <n v="1496"/>
    <n v="636"/>
    <n v="161"/>
    <n v="34"/>
    <n v="10.762032085561497"/>
  </r>
  <r>
    <x v="1"/>
    <x v="55"/>
    <n v="837"/>
    <n v="548"/>
    <n v="140"/>
    <n v="34"/>
    <n v="16.726403823178018"/>
  </r>
  <r>
    <x v="1"/>
    <x v="56"/>
    <n v="5418"/>
    <n v="2809"/>
    <n v="1022"/>
    <n v="164"/>
    <n v="18.863049095607234"/>
  </r>
  <r>
    <x v="1"/>
    <x v="57"/>
    <n v="2476"/>
    <n v="535"/>
    <n v="178"/>
    <n v="53"/>
    <n v="7.1890145395799676"/>
  </r>
  <r>
    <x v="1"/>
    <x v="58"/>
    <n v="1443"/>
    <n v="905"/>
    <n v="205"/>
    <n v="40"/>
    <n v="14.206514206514207"/>
  </r>
  <r>
    <x v="1"/>
    <x v="59"/>
    <n v="785"/>
    <n v="310"/>
    <n v="121"/>
    <n v="24"/>
    <n v="15.414012738853502"/>
  </r>
  <r>
    <x v="1"/>
    <x v="60"/>
    <n v="638"/>
    <n v="342"/>
    <n v="147"/>
    <n v="11"/>
    <n v="23.040752351097179"/>
  </r>
  <r>
    <x v="1"/>
    <x v="61"/>
    <n v="1842"/>
    <n v="488"/>
    <n v="163"/>
    <n v="42"/>
    <n v="8.8490770901194349"/>
  </r>
  <r>
    <x v="1"/>
    <x v="62"/>
    <n v="1943"/>
    <n v="480"/>
    <n v="93"/>
    <n v="21"/>
    <n v="4.7864127637673697"/>
  </r>
  <r>
    <x v="1"/>
    <x v="63"/>
    <n v="1595"/>
    <n v="376"/>
    <n v="115"/>
    <n v="37"/>
    <n v="7.2100313479623823"/>
  </r>
  <r>
    <x v="1"/>
    <x v="64"/>
    <n v="2893"/>
    <n v="729"/>
    <n v="257"/>
    <n v="55"/>
    <n v="8.8835119253370198"/>
  </r>
  <r>
    <x v="1"/>
    <x v="65"/>
    <n v="959"/>
    <n v="488"/>
    <n v="141"/>
    <n v="13"/>
    <n v="14.70281543274244"/>
  </r>
  <r>
    <x v="1"/>
    <x v="66"/>
    <n v="28321"/>
    <n v="9958"/>
    <n v="4253"/>
    <n v="1236"/>
    <n v="15.017125101514777"/>
  </r>
  <r>
    <x v="1"/>
    <x v="67"/>
    <n v="2370"/>
    <n v="1997"/>
    <n v="687"/>
    <n v="226"/>
    <n v="28.9873417721519"/>
  </r>
  <r>
    <x v="1"/>
    <x v="68"/>
    <n v="2748"/>
    <n v="1741"/>
    <n v="492"/>
    <n v="158"/>
    <n v="17.903930131004365"/>
  </r>
  <r>
    <x v="1"/>
    <x v="69"/>
    <n v="1798"/>
    <n v="1070"/>
    <n v="387"/>
    <n v="127"/>
    <n v="21.523915461624028"/>
  </r>
  <r>
    <x v="1"/>
    <x v="70"/>
    <n v="1447"/>
    <n v="1151"/>
    <n v="330"/>
    <n v="60"/>
    <n v="22.805805114029024"/>
  </r>
  <r>
    <x v="1"/>
    <x v="71"/>
    <n v="3329"/>
    <n v="2121"/>
    <n v="581"/>
    <n v="163"/>
    <n v="17.452688495043557"/>
  </r>
  <r>
    <x v="1"/>
    <x v="72"/>
    <n v="1475"/>
    <n v="827"/>
    <n v="318"/>
    <n v="99"/>
    <n v="21.559322033898304"/>
  </r>
  <r>
    <x v="1"/>
    <x v="73"/>
    <n v="2609"/>
    <n v="1281"/>
    <n v="355"/>
    <n v="67"/>
    <n v="13.606745879647374"/>
  </r>
  <r>
    <x v="1"/>
    <x v="74"/>
    <n v="3175"/>
    <n v="2040"/>
    <n v="492"/>
    <n v="62"/>
    <n v="15.496062992125983"/>
  </r>
  <r>
    <x v="1"/>
    <x v="75"/>
    <n v="1548"/>
    <n v="930"/>
    <n v="346"/>
    <n v="83"/>
    <n v="22.351421188630489"/>
  </r>
  <r>
    <x v="1"/>
    <x v="76"/>
    <n v="273"/>
    <n v="188"/>
    <n v="72"/>
    <n v="14"/>
    <n v="26.373626373626372"/>
  </r>
  <r>
    <x v="1"/>
    <x v="77"/>
    <n v="2118"/>
    <n v="808"/>
    <n v="452"/>
    <n v="281"/>
    <n v="21.340887629839472"/>
  </r>
  <r>
    <x v="1"/>
    <x v="78"/>
    <n v="2163"/>
    <n v="1033"/>
    <n v="264"/>
    <n v="41"/>
    <n v="12.205270457697642"/>
  </r>
  <r>
    <x v="1"/>
    <x v="79"/>
    <n v="1356"/>
    <n v="434"/>
    <n v="120"/>
    <n v="20"/>
    <n v="8.8495575221238933"/>
  </r>
  <r>
    <x v="1"/>
    <x v="80"/>
    <n v="3240"/>
    <n v="977"/>
    <n v="273"/>
    <n v="56"/>
    <n v="8.4259259259259256"/>
  </r>
  <r>
    <x v="1"/>
    <x v="81"/>
    <n v="1953"/>
    <n v="1443"/>
    <n v="530"/>
    <n v="171"/>
    <n v="27.13773681515617"/>
  </r>
  <r>
    <x v="1"/>
    <x v="82"/>
    <n v="1027"/>
    <n v="842"/>
    <n v="352"/>
    <n v="44"/>
    <n v="34.274586173320351"/>
  </r>
  <r>
    <x v="1"/>
    <x v="83"/>
    <n v="636"/>
    <n v="344"/>
    <n v="69"/>
    <n v="3"/>
    <n v="10.849056603773585"/>
  </r>
  <r>
    <x v="1"/>
    <x v="84"/>
    <n v="4533"/>
    <n v="1087"/>
    <n v="265"/>
    <n v="41"/>
    <n v="5.8460180895654092"/>
  </r>
  <r>
    <x v="1"/>
    <x v="85"/>
    <n v="4321"/>
    <n v="1362"/>
    <n v="328"/>
    <n v="40"/>
    <n v="7.5908354547558439"/>
  </r>
  <r>
    <x v="1"/>
    <x v="86"/>
    <n v="1382"/>
    <n v="397"/>
    <n v="75"/>
    <n v="7"/>
    <n v="5.4269175108538352"/>
  </r>
  <r>
    <x v="1"/>
    <x v="87"/>
    <n v="5298"/>
    <n v="1786"/>
    <n v="696"/>
    <n v="236"/>
    <n v="13.137032842582107"/>
  </r>
  <r>
    <x v="1"/>
    <x v="88"/>
    <n v="6923"/>
    <n v="2067"/>
    <n v="350"/>
    <n v="76"/>
    <n v="5.0556117290192111"/>
  </r>
  <r>
    <x v="1"/>
    <x v="89"/>
    <n v="6972"/>
    <n v="3562"/>
    <n v="1188"/>
    <n v="315"/>
    <n v="17.039586919104991"/>
  </r>
  <r>
    <x v="1"/>
    <x v="90"/>
    <n v="7167"/>
    <n v="2762"/>
    <n v="937"/>
    <n v="242"/>
    <n v="13.07381052044091"/>
  </r>
  <r>
    <x v="1"/>
    <x v="91"/>
    <n v="5079"/>
    <n v="2423"/>
    <n v="741"/>
    <n v="203"/>
    <n v="14.589486119314826"/>
  </r>
  <r>
    <x v="1"/>
    <x v="92"/>
    <n v="1869"/>
    <n v="781"/>
    <n v="256"/>
    <n v="48"/>
    <n v="13.697164258962012"/>
  </r>
  <r>
    <x v="1"/>
    <x v="93"/>
    <n v="4998"/>
    <n v="3546"/>
    <n v="1032"/>
    <n v="182"/>
    <n v="20.648259303721488"/>
  </r>
  <r>
    <x v="1"/>
    <x v="94"/>
    <n v="2148"/>
    <n v="1707"/>
    <n v="632"/>
    <n v="119"/>
    <n v="29.422718808193668"/>
  </r>
  <r>
    <x v="1"/>
    <x v="95"/>
    <n v="1863"/>
    <n v="1384"/>
    <n v="452"/>
    <n v="131"/>
    <n v="24.261943102522814"/>
  </r>
  <r>
    <x v="1"/>
    <x v="96"/>
    <n v="2832"/>
    <n v="1665"/>
    <n v="473"/>
    <n v="113"/>
    <n v="16.701977401129945"/>
  </r>
  <r>
    <x v="1"/>
    <x v="97"/>
    <n v="5701"/>
    <n v="2890"/>
    <n v="719"/>
    <n v="148"/>
    <n v="12.611822487282932"/>
  </r>
  <r>
    <x v="1"/>
    <x v="98"/>
    <n v="1790"/>
    <n v="674"/>
    <n v="205"/>
    <n v="72"/>
    <n v="11.452513966480447"/>
  </r>
  <r>
    <x v="1"/>
    <x v="99"/>
    <n v="623"/>
    <n v="194"/>
    <n v="42"/>
    <n v="11"/>
    <n v="6.7415730337078648"/>
  </r>
  <r>
    <x v="1"/>
    <x v="100"/>
    <n v="4901"/>
    <n v="830"/>
    <n v="244"/>
    <n v="76"/>
    <n v="4.9785758008569676"/>
  </r>
  <r>
    <x v="1"/>
    <x v="101"/>
    <n v="5374"/>
    <n v="1572"/>
    <n v="348"/>
    <n v="65"/>
    <n v="6.4756233717901006"/>
  </r>
  <r>
    <x v="1"/>
    <x v="102"/>
    <n v="834"/>
    <n v="188"/>
    <n v="14"/>
    <n v="4"/>
    <n v="1.6786570743405276"/>
  </r>
  <r>
    <x v="1"/>
    <x v="103"/>
    <n v="1455"/>
    <n v="308"/>
    <n v="40"/>
    <n v="6"/>
    <n v="2.7491408934707904"/>
  </r>
  <r>
    <x v="1"/>
    <x v="104"/>
    <n v="1903"/>
    <n v="1324"/>
    <n v="248"/>
    <n v="46"/>
    <n v="13.03205465055176"/>
  </r>
  <r>
    <x v="1"/>
    <x v="105"/>
    <n v="316"/>
    <n v="238"/>
    <n v="79"/>
    <n v="16"/>
    <n v="25"/>
  </r>
  <r>
    <x v="1"/>
    <x v="106"/>
    <n v="4801"/>
    <n v="2284"/>
    <n v="850"/>
    <n v="189"/>
    <n v="17.704644865652988"/>
  </r>
  <r>
    <x v="1"/>
    <x v="107"/>
    <n v="1755"/>
    <n v="915"/>
    <n v="326"/>
    <n v="72"/>
    <n v="18.575498575498575"/>
  </r>
  <r>
    <x v="1"/>
    <x v="108"/>
    <n v="466"/>
    <n v="300"/>
    <n v="95"/>
    <n v="10"/>
    <n v="20.386266094420602"/>
  </r>
  <r>
    <x v="1"/>
    <x v="109"/>
    <n v="156"/>
    <n v="147"/>
    <n v="65"/>
    <n v="13"/>
    <n v="41.666666666666664"/>
  </r>
  <r>
    <x v="1"/>
    <x v="110"/>
    <n v="1085"/>
    <n v="255"/>
    <n v="0"/>
    <n v="0"/>
    <n v="0"/>
  </r>
  <r>
    <x v="1"/>
    <x v="111"/>
    <n v="300"/>
    <n v="279"/>
    <n v="92"/>
    <n v="26"/>
    <n v="30.666666666666668"/>
  </r>
  <r>
    <x v="1"/>
    <x v="112"/>
    <n v="1272"/>
    <n v="905"/>
    <n v="273"/>
    <n v="19"/>
    <n v="21.462264150943398"/>
  </r>
  <r>
    <x v="1"/>
    <x v="113"/>
    <n v="195"/>
    <n v="113"/>
    <n v="29"/>
    <n v="6"/>
    <n v="14.871794871794872"/>
  </r>
  <r>
    <x v="1"/>
    <x v="114"/>
    <n v="11182"/>
    <n v="4096"/>
    <n v="1666"/>
    <n v="581"/>
    <n v="14.898944732605974"/>
  </r>
  <r>
    <x v="1"/>
    <x v="115"/>
    <n v="1918"/>
    <n v="626"/>
    <n v="154"/>
    <n v="46"/>
    <n v="8.0291970802919703"/>
  </r>
  <r>
    <x v="2"/>
    <x v="116"/>
    <n v="207056"/>
    <n v="28589"/>
    <n v="9655"/>
    <n v="2578"/>
    <n v="4.6629897225871266"/>
  </r>
  <r>
    <x v="2"/>
    <x v="117"/>
    <n v="4196"/>
    <n v="756"/>
    <n v="274"/>
    <n v="46"/>
    <n v="6.5300285986653952"/>
  </r>
  <r>
    <x v="2"/>
    <x v="118"/>
    <n v="726"/>
    <n v="164"/>
    <n v="45"/>
    <n v="4"/>
    <n v="6.1983471074380168"/>
  </r>
  <r>
    <x v="2"/>
    <x v="119"/>
    <n v="2313"/>
    <n v="373"/>
    <n v="83"/>
    <n v="2"/>
    <n v="3.5884133160397753"/>
  </r>
  <r>
    <x v="2"/>
    <x v="120"/>
    <n v="3112"/>
    <n v="972"/>
    <n v="279"/>
    <n v="60"/>
    <n v="8.9652956298200515"/>
  </r>
  <r>
    <x v="2"/>
    <x v="121"/>
    <n v="1569"/>
    <n v="639"/>
    <n v="232"/>
    <n v="63"/>
    <n v="14.786488209050351"/>
  </r>
  <r>
    <x v="2"/>
    <x v="122"/>
    <n v="1108"/>
    <n v="465"/>
    <n v="154"/>
    <n v="27"/>
    <n v="13.898916967509026"/>
  </r>
  <r>
    <x v="2"/>
    <x v="123"/>
    <n v="2561"/>
    <n v="670"/>
    <n v="298"/>
    <n v="78"/>
    <n v="11.636079656384226"/>
  </r>
  <r>
    <x v="2"/>
    <x v="124"/>
    <n v="925"/>
    <n v="396"/>
    <n v="185"/>
    <n v="39"/>
    <n v="20"/>
  </r>
  <r>
    <x v="2"/>
    <x v="125"/>
    <n v="4972"/>
    <n v="1700"/>
    <n v="803"/>
    <n v="227"/>
    <n v="16.150442477876105"/>
  </r>
  <r>
    <x v="2"/>
    <x v="126"/>
    <n v="1170"/>
    <n v="518"/>
    <n v="176"/>
    <n v="42"/>
    <n v="15.042735042735043"/>
  </r>
  <r>
    <x v="2"/>
    <x v="127"/>
    <n v="4767"/>
    <n v="1396"/>
    <n v="706"/>
    <n v="162"/>
    <n v="14.810153136144326"/>
  </r>
  <r>
    <x v="2"/>
    <x v="128"/>
    <n v="1349"/>
    <n v="483"/>
    <n v="226"/>
    <n v="55"/>
    <n v="16.7531504818384"/>
  </r>
  <r>
    <x v="2"/>
    <x v="129"/>
    <n v="981"/>
    <n v="400"/>
    <n v="144"/>
    <n v="33"/>
    <n v="14.678899082568808"/>
  </r>
  <r>
    <x v="2"/>
    <x v="130"/>
    <n v="1114"/>
    <n v="479"/>
    <n v="199"/>
    <n v="40"/>
    <n v="17.863554757630162"/>
  </r>
  <r>
    <x v="2"/>
    <x v="131"/>
    <n v="5818"/>
    <n v="916"/>
    <n v="297"/>
    <n v="56"/>
    <n v="5.1048470264695771"/>
  </r>
  <r>
    <x v="2"/>
    <x v="132"/>
    <n v="2273"/>
    <n v="739"/>
    <n v="360"/>
    <n v="121"/>
    <n v="15.838099428068631"/>
  </r>
  <r>
    <x v="2"/>
    <x v="133"/>
    <n v="1138"/>
    <n v="244"/>
    <n v="60"/>
    <n v="17"/>
    <n v="5.272407732864675"/>
  </r>
  <r>
    <x v="2"/>
    <x v="134"/>
    <n v="6665"/>
    <n v="1470"/>
    <n v="717"/>
    <n v="206"/>
    <n v="10.75768942235559"/>
  </r>
  <r>
    <x v="2"/>
    <x v="135"/>
    <n v="1728"/>
    <n v="480"/>
    <n v="211"/>
    <n v="51"/>
    <n v="12.210648148148149"/>
  </r>
  <r>
    <x v="2"/>
    <x v="136"/>
    <n v="1936"/>
    <n v="517"/>
    <n v="240"/>
    <n v="84"/>
    <n v="12.396694214876034"/>
  </r>
  <r>
    <x v="2"/>
    <x v="137"/>
    <n v="39097"/>
    <n v="4355"/>
    <n v="1521"/>
    <n v="426"/>
    <n v="3.8903240657850988"/>
  </r>
  <r>
    <x v="2"/>
    <x v="138"/>
    <n v="14326"/>
    <n v="1947"/>
    <n v="627"/>
    <n v="150"/>
    <n v="4.3766578249336874"/>
  </r>
  <r>
    <x v="2"/>
    <x v="139"/>
    <n v="15449"/>
    <n v="2035"/>
    <n v="613"/>
    <n v="156"/>
    <n v="3.9678943620946341"/>
  </r>
  <r>
    <x v="2"/>
    <x v="140"/>
    <n v="14540"/>
    <n v="2233"/>
    <n v="861"/>
    <n v="255"/>
    <n v="5.9215955983493807"/>
  </r>
  <r>
    <x v="2"/>
    <x v="141"/>
    <n v="15360"/>
    <n v="1613"/>
    <n v="466"/>
    <n v="121"/>
    <n v="3.0338541666666665"/>
  </r>
  <r>
    <x v="2"/>
    <x v="142"/>
    <n v="50068"/>
    <n v="7914"/>
    <n v="2865"/>
    <n v="754"/>
    <n v="5.7222177838140134"/>
  </r>
  <r>
    <x v="2"/>
    <x v="143"/>
    <n v="5192"/>
    <n v="1230"/>
    <n v="459"/>
    <n v="147"/>
    <n v="8.8405238828967647"/>
  </r>
  <r>
    <x v="2"/>
    <x v="144"/>
    <n v="17301"/>
    <n v="3693"/>
    <n v="1222"/>
    <n v="293"/>
    <n v="7.0631755389861857"/>
  </r>
  <r>
    <x v="2"/>
    <x v="145"/>
    <n v="2036"/>
    <n v="818"/>
    <n v="322"/>
    <n v="70"/>
    <n v="15.81532416502947"/>
  </r>
  <r>
    <x v="2"/>
    <x v="146"/>
    <n v="3378"/>
    <n v="812"/>
    <n v="215"/>
    <n v="41"/>
    <n v="6.3647128478389581"/>
  </r>
  <r>
    <x v="2"/>
    <x v="147"/>
    <n v="1781"/>
    <n v="470"/>
    <n v="174"/>
    <n v="44"/>
    <n v="9.7697922515440769"/>
  </r>
  <r>
    <x v="2"/>
    <x v="148"/>
    <n v="2518"/>
    <n v="709"/>
    <n v="275"/>
    <n v="54"/>
    <n v="10.921366163621922"/>
  </r>
  <r>
    <x v="2"/>
    <x v="149"/>
    <n v="4837"/>
    <n v="875"/>
    <n v="271"/>
    <n v="51"/>
    <n v="5.6026462683481499"/>
  </r>
  <r>
    <x v="2"/>
    <x v="150"/>
    <n v="11142"/>
    <n v="2248"/>
    <n v="707"/>
    <n v="229"/>
    <n v="6.3453598994794476"/>
  </r>
  <r>
    <x v="2"/>
    <x v="151"/>
    <n v="6932"/>
    <n v="1015"/>
    <n v="271"/>
    <n v="81"/>
    <n v="3.9094056549336411"/>
  </r>
  <r>
    <x v="2"/>
    <x v="152"/>
    <n v="5163"/>
    <n v="1104"/>
    <n v="355"/>
    <n v="73"/>
    <n v="6.8758473755568472"/>
  </r>
  <r>
    <x v="2"/>
    <x v="153"/>
    <n v="473"/>
    <n v="180"/>
    <n v="51"/>
    <n v="6"/>
    <n v="10.782241014799155"/>
  </r>
  <r>
    <x v="2"/>
    <x v="154"/>
    <n v="297"/>
    <n v="121"/>
    <n v="38"/>
    <n v="9"/>
    <n v="12.794612794612794"/>
  </r>
  <r>
    <x v="2"/>
    <x v="155"/>
    <n v="9916"/>
    <n v="1836"/>
    <n v="777"/>
    <n v="191"/>
    <n v="7.8358208955223878"/>
  </r>
  <r>
    <x v="2"/>
    <x v="156"/>
    <n v="3091"/>
    <n v="1128"/>
    <n v="597"/>
    <n v="193"/>
    <n v="19.314137819475899"/>
  </r>
  <r>
    <x v="2"/>
    <x v="157"/>
    <n v="4575"/>
    <n v="1014"/>
    <n v="491"/>
    <n v="149"/>
    <n v="10.73224043715847"/>
  </r>
  <r>
    <x v="2"/>
    <x v="158"/>
    <n v="293"/>
    <n v="108"/>
    <n v="57"/>
    <n v="17"/>
    <n v="19.453924914675767"/>
  </r>
  <r>
    <x v="2"/>
    <x v="159"/>
    <n v="895"/>
    <n v="365"/>
    <n v="153"/>
    <n v="24"/>
    <n v="17.094972067039105"/>
  </r>
  <r>
    <x v="2"/>
    <x v="160"/>
    <n v="5476"/>
    <n v="1327"/>
    <n v="576"/>
    <n v="130"/>
    <n v="10.51862673484295"/>
  </r>
  <r>
    <x v="2"/>
    <x v="161"/>
    <n v="4850"/>
    <n v="682"/>
    <n v="220"/>
    <n v="37"/>
    <n v="4.536082474226804"/>
  </r>
  <r>
    <x v="3"/>
    <x v="162"/>
    <n v="87056"/>
    <n v="15238"/>
    <n v="4670"/>
    <n v="1167"/>
    <n v="5.3643631685351956"/>
  </r>
  <r>
    <x v="3"/>
    <x v="163"/>
    <n v="4560"/>
    <n v="1500"/>
    <n v="238"/>
    <n v="26"/>
    <n v="5.2192982456140351"/>
  </r>
  <r>
    <x v="3"/>
    <x v="164"/>
    <n v="83"/>
    <n v="58"/>
    <n v="23"/>
    <n v="6"/>
    <n v="27.710843373493976"/>
  </r>
  <r>
    <x v="3"/>
    <x v="165"/>
    <n v="10875"/>
    <n v="2717"/>
    <n v="154"/>
    <n v="9"/>
    <n v="1.4160919540229886"/>
  </r>
  <r>
    <x v="3"/>
    <x v="166"/>
    <n v="7296"/>
    <n v="3041"/>
    <n v="1174"/>
    <n v="75"/>
    <n v="16.091008771929825"/>
  </r>
  <r>
    <x v="3"/>
    <x v="167"/>
    <n v="685"/>
    <n v="78"/>
    <n v="12"/>
    <n v="3"/>
    <n v="1.7518248175182483"/>
  </r>
  <r>
    <x v="3"/>
    <x v="168"/>
    <n v="1374"/>
    <n v="1061"/>
    <n v="325"/>
    <n v="30"/>
    <n v="23.653566229985444"/>
  </r>
  <r>
    <x v="3"/>
    <x v="169"/>
    <n v="227"/>
    <n v="204"/>
    <n v="67"/>
    <n v="6"/>
    <n v="29.515418502202643"/>
  </r>
  <r>
    <x v="3"/>
    <x v="170"/>
    <n v="873"/>
    <n v="257"/>
    <n v="76"/>
    <n v="20"/>
    <n v="8.7056128293241688"/>
  </r>
  <r>
    <x v="3"/>
    <x v="171"/>
    <n v="442"/>
    <n v="333"/>
    <n v="129"/>
    <n v="19"/>
    <n v="29.18552036199095"/>
  </r>
  <r>
    <x v="3"/>
    <x v="172"/>
    <n v="561"/>
    <n v="352"/>
    <n v="124"/>
    <n v="15"/>
    <n v="22.103386809269161"/>
  </r>
  <r>
    <x v="3"/>
    <x v="173"/>
    <n v="28"/>
    <n v="28"/>
    <n v="14"/>
    <n v="0"/>
    <n v="50"/>
  </r>
  <r>
    <x v="3"/>
    <x v="174"/>
    <n v="63"/>
    <n v="54"/>
    <n v="16"/>
    <n v="1"/>
    <n v="25.396825396825395"/>
  </r>
  <r>
    <x v="3"/>
    <x v="175"/>
    <n v="58"/>
    <n v="33"/>
    <n v="1"/>
    <n v="0"/>
    <n v="1.7241379310344827"/>
  </r>
  <r>
    <x v="3"/>
    <x v="176"/>
    <n v="61"/>
    <n v="50"/>
    <n v="25"/>
    <n v="2"/>
    <n v="40.983606557377051"/>
  </r>
  <r>
    <x v="3"/>
    <x v="177"/>
    <n v="171"/>
    <n v="129"/>
    <n v="45"/>
    <n v="16"/>
    <n v="26.315789473684209"/>
  </r>
  <r>
    <x v="3"/>
    <x v="178"/>
    <n v="1175"/>
    <n v="608"/>
    <n v="67"/>
    <n v="0"/>
    <n v="5.7021276595744679"/>
  </r>
  <r>
    <x v="3"/>
    <x v="179"/>
    <n v="6"/>
    <n v="5"/>
    <n v="1"/>
    <n v="0"/>
    <n v="16.666666666666668"/>
  </r>
  <r>
    <x v="3"/>
    <x v="180"/>
    <n v="5439"/>
    <n v="1177"/>
    <n v="479"/>
    <n v="67"/>
    <n v="8.8067659496230917"/>
  </r>
  <r>
    <x v="3"/>
    <x v="181"/>
    <n v="965"/>
    <n v="261"/>
    <n v="93"/>
    <n v="24"/>
    <n v="9.6373056994818658"/>
  </r>
  <r>
    <x v="3"/>
    <x v="182"/>
    <n v="3383"/>
    <n v="2888"/>
    <n v="1174"/>
    <n v="121"/>
    <n v="34.702926396689328"/>
  </r>
  <r>
    <x v="3"/>
    <x v="183"/>
    <n v="179"/>
    <n v="147"/>
    <n v="60"/>
    <n v="4"/>
    <n v="33.519553072625698"/>
  </r>
  <r>
    <x v="3"/>
    <x v="184"/>
    <n v="762"/>
    <n v="449"/>
    <n v="175"/>
    <n v="19"/>
    <n v="22.965879265091864"/>
  </r>
  <r>
    <x v="3"/>
    <x v="185"/>
    <n v="132"/>
    <n v="59"/>
    <n v="19"/>
    <n v="1"/>
    <n v="14.393939393939394"/>
  </r>
  <r>
    <x v="3"/>
    <x v="186"/>
    <n v="339"/>
    <n v="194"/>
    <n v="61"/>
    <n v="12"/>
    <n v="17.994100294985252"/>
  </r>
  <r>
    <x v="3"/>
    <x v="187"/>
    <n v="793"/>
    <n v="411"/>
    <n v="79"/>
    <n v="15"/>
    <n v="9.9621689785624206"/>
  </r>
  <r>
    <x v="3"/>
    <x v="188"/>
    <n v="2272"/>
    <n v="326"/>
    <n v="0"/>
    <n v="0"/>
    <n v="0"/>
  </r>
  <r>
    <x v="3"/>
    <x v="189"/>
    <n v="1124"/>
    <n v="833"/>
    <n v="285"/>
    <n v="49"/>
    <n v="25.355871886120998"/>
  </r>
  <r>
    <x v="3"/>
    <x v="190"/>
    <n v="365"/>
    <n v="291"/>
    <n v="117"/>
    <n v="18"/>
    <n v="32.054794520547944"/>
  </r>
  <r>
    <x v="3"/>
    <x v="191"/>
    <n v="520"/>
    <n v="107"/>
    <n v="11"/>
    <n v="1"/>
    <n v="2.1153846153846154"/>
  </r>
  <r>
    <x v="3"/>
    <x v="192"/>
    <n v="1298"/>
    <n v="574"/>
    <n v="201"/>
    <n v="35"/>
    <n v="15.485362095531586"/>
  </r>
  <r>
    <x v="3"/>
    <x v="193"/>
    <n v="65"/>
    <n v="28"/>
    <n v="0"/>
    <n v="0"/>
    <n v="0"/>
  </r>
  <r>
    <x v="3"/>
    <x v="194"/>
    <n v="93"/>
    <n v="46"/>
    <n v="0"/>
    <n v="0"/>
    <n v="0"/>
  </r>
  <r>
    <x v="3"/>
    <x v="195"/>
    <n v="66"/>
    <n v="37"/>
    <n v="0"/>
    <n v="0"/>
    <n v="0"/>
  </r>
  <r>
    <x v="3"/>
    <x v="196"/>
    <n v="1031"/>
    <n v="315"/>
    <n v="40"/>
    <n v="10"/>
    <n v="3.8797284190106693"/>
  </r>
  <r>
    <x v="4"/>
    <x v="197"/>
    <n v="41716"/>
    <n v="7335"/>
    <n v="1630"/>
    <n v="429"/>
    <n v="3.907373669575223"/>
  </r>
  <r>
    <x v="4"/>
    <x v="198"/>
    <n v="3391"/>
    <n v="2028"/>
    <n v="745"/>
    <n v="153"/>
    <n v="21.969920377469773"/>
  </r>
  <r>
    <x v="4"/>
    <x v="199"/>
    <n v="1481"/>
    <n v="700"/>
    <n v="314"/>
    <n v="149"/>
    <n v="21.201890614449695"/>
  </r>
  <r>
    <x v="4"/>
    <x v="200"/>
    <n v="286"/>
    <n v="172"/>
    <n v="98"/>
    <n v="57"/>
    <n v="34.265734265734267"/>
  </r>
  <r>
    <x v="4"/>
    <x v="201"/>
    <n v="4189"/>
    <n v="150"/>
    <n v="0"/>
    <n v="0"/>
    <n v="0"/>
  </r>
  <r>
    <x v="4"/>
    <x v="202"/>
    <n v="1252"/>
    <n v="818"/>
    <n v="331"/>
    <n v="28"/>
    <n v="26.437699680511184"/>
  </r>
  <r>
    <x v="4"/>
    <x v="203"/>
    <n v="7796"/>
    <n v="1934"/>
    <n v="270"/>
    <n v="18"/>
    <n v="3.4633145202668034"/>
  </r>
  <r>
    <x v="4"/>
    <x v="204"/>
    <n v="6248"/>
    <n v="2173"/>
    <n v="846"/>
    <n v="405"/>
    <n v="13.540332906530089"/>
  </r>
  <r>
    <x v="4"/>
    <x v="205"/>
    <n v="2280"/>
    <n v="1145"/>
    <n v="270"/>
    <n v="60"/>
    <n v="11.842105263157896"/>
  </r>
  <r>
    <x v="4"/>
    <x v="206"/>
    <n v="740"/>
    <n v="229"/>
    <n v="20"/>
    <n v="4"/>
    <n v="2.7027027027027026"/>
  </r>
  <r>
    <x v="4"/>
    <x v="207"/>
    <n v="5044"/>
    <n v="2536"/>
    <n v="537"/>
    <n v="154"/>
    <n v="10.646312450436161"/>
  </r>
  <r>
    <x v="4"/>
    <x v="208"/>
    <n v="2961"/>
    <n v="1866"/>
    <n v="359"/>
    <n v="13"/>
    <n v="12.124282337048294"/>
  </r>
  <r>
    <x v="4"/>
    <x v="209"/>
    <n v="4277"/>
    <n v="2433"/>
    <n v="786"/>
    <n v="226"/>
    <n v="18.377367313537526"/>
  </r>
  <r>
    <x v="4"/>
    <x v="210"/>
    <n v="1596"/>
    <n v="909"/>
    <n v="296"/>
    <n v="39"/>
    <n v="18.546365914786968"/>
  </r>
  <r>
    <x v="4"/>
    <x v="211"/>
    <n v="1574"/>
    <n v="964"/>
    <n v="306"/>
    <n v="21"/>
    <n v="19.440914866581956"/>
  </r>
  <r>
    <x v="4"/>
    <x v="212"/>
    <n v="1396"/>
    <n v="864"/>
    <n v="426"/>
    <n v="128"/>
    <n v="30.515759312320917"/>
  </r>
  <r>
    <x v="4"/>
    <x v="213"/>
    <n v="5312"/>
    <n v="2534"/>
    <n v="1005"/>
    <n v="387"/>
    <n v="18.919427710843372"/>
  </r>
  <r>
    <x v="4"/>
    <x v="214"/>
    <n v="2271"/>
    <n v="1179"/>
    <n v="457"/>
    <n v="91"/>
    <n v="20.123293703214443"/>
  </r>
  <r>
    <x v="4"/>
    <x v="215"/>
    <n v="2804"/>
    <n v="1649"/>
    <n v="448"/>
    <n v="23"/>
    <n v="15.977175463623395"/>
  </r>
  <r>
    <x v="4"/>
    <x v="216"/>
    <n v="1269"/>
    <n v="776"/>
    <n v="131"/>
    <n v="16"/>
    <n v="10.323089046493301"/>
  </r>
  <r>
    <x v="4"/>
    <x v="217"/>
    <n v="12288"/>
    <n v="3882"/>
    <n v="1451"/>
    <n v="403"/>
    <n v="11.808268229166666"/>
  </r>
  <r>
    <x v="4"/>
    <x v="218"/>
    <n v="3047"/>
    <n v="776"/>
    <n v="152"/>
    <n v="33"/>
    <n v="4.9885132917623896"/>
  </r>
  <r>
    <x v="4"/>
    <x v="219"/>
    <n v="1210"/>
    <n v="769"/>
    <n v="265"/>
    <n v="62"/>
    <n v="21.900826446280991"/>
  </r>
  <r>
    <x v="4"/>
    <x v="220"/>
    <n v="524"/>
    <n v="298"/>
    <n v="117"/>
    <n v="22"/>
    <n v="22.328244274809162"/>
  </r>
  <r>
    <x v="4"/>
    <x v="221"/>
    <n v="552"/>
    <n v="264"/>
    <n v="90"/>
    <n v="30"/>
    <n v="16.304347826086957"/>
  </r>
  <r>
    <x v="4"/>
    <x v="222"/>
    <n v="147"/>
    <n v="60"/>
    <n v="14"/>
    <n v="7"/>
    <n v="9.5238095238095237"/>
  </r>
  <r>
    <x v="4"/>
    <x v="223"/>
    <n v="5322"/>
    <n v="2200"/>
    <n v="499"/>
    <n v="137"/>
    <n v="9.3761743705373917"/>
  </r>
  <r>
    <x v="4"/>
    <x v="224"/>
    <n v="2787"/>
    <n v="1417"/>
    <n v="388"/>
    <n v="73"/>
    <n v="13.92177969142447"/>
  </r>
  <r>
    <x v="4"/>
    <x v="225"/>
    <n v="992"/>
    <n v="647"/>
    <n v="266"/>
    <n v="43"/>
    <n v="26.81451612903226"/>
  </r>
  <r>
    <x v="4"/>
    <x v="226"/>
    <n v="8293"/>
    <n v="2031"/>
    <n v="658"/>
    <n v="125"/>
    <n v="7.934402508139395"/>
  </r>
  <r>
    <x v="4"/>
    <x v="227"/>
    <n v="2131"/>
    <n v="1161"/>
    <n v="284"/>
    <n v="55"/>
    <n v="13.327076489910841"/>
  </r>
  <r>
    <x v="4"/>
    <x v="228"/>
    <n v="1872"/>
    <n v="496"/>
    <n v="90"/>
    <n v="4"/>
    <n v="4.8076923076923075"/>
  </r>
  <r>
    <x v="4"/>
    <x v="229"/>
    <n v="628"/>
    <n v="412"/>
    <n v="133"/>
    <n v="19"/>
    <n v="21.178343949044585"/>
  </r>
  <r>
    <x v="4"/>
    <x v="230"/>
    <n v="1090"/>
    <n v="608"/>
    <n v="209"/>
    <n v="29"/>
    <n v="19.174311926605505"/>
  </r>
  <r>
    <x v="4"/>
    <x v="231"/>
    <n v="1195"/>
    <n v="775"/>
    <n v="305"/>
    <n v="62"/>
    <n v="25.523012552301257"/>
  </r>
  <r>
    <x v="4"/>
    <x v="232"/>
    <n v="425"/>
    <n v="322"/>
    <n v="173"/>
    <n v="39"/>
    <n v="40.705882352941174"/>
  </r>
  <r>
    <x v="4"/>
    <x v="233"/>
    <n v="8841"/>
    <n v="1265"/>
    <n v="392"/>
    <n v="49"/>
    <n v="4.4338875692794932"/>
  </r>
  <r>
    <x v="4"/>
    <x v="234"/>
    <n v="225"/>
    <n v="102"/>
    <n v="28"/>
    <n v="6"/>
    <n v="12.444444444444445"/>
  </r>
  <r>
    <x v="5"/>
    <x v="235"/>
    <n v="50743"/>
    <n v="9380"/>
    <n v="2196"/>
    <n v="685"/>
    <n v="4.3276905188893053"/>
  </r>
  <r>
    <x v="5"/>
    <x v="236"/>
    <n v="4161"/>
    <n v="1589"/>
    <n v="499"/>
    <n v="79"/>
    <n v="11.992309540975727"/>
  </r>
  <r>
    <x v="5"/>
    <x v="237"/>
    <n v="9029"/>
    <n v="1327"/>
    <n v="286"/>
    <n v="40"/>
    <n v="3.1675711595968545"/>
  </r>
  <r>
    <x v="5"/>
    <x v="238"/>
    <n v="19947"/>
    <n v="2431"/>
    <n v="582"/>
    <n v="71"/>
    <n v="2.9177319897728982"/>
  </r>
  <r>
    <x v="5"/>
    <x v="239"/>
    <n v="3549"/>
    <n v="760"/>
    <n v="216"/>
    <n v="41"/>
    <n v="6.0862214708368558"/>
  </r>
  <r>
    <x v="5"/>
    <x v="240"/>
    <n v="11124"/>
    <n v="2388"/>
    <n v="419"/>
    <n v="29"/>
    <n v="3.7666307083782811"/>
  </r>
  <r>
    <x v="5"/>
    <x v="241"/>
    <n v="3384"/>
    <n v="1239"/>
    <n v="293"/>
    <n v="68"/>
    <n v="8.6583924349881798"/>
  </r>
  <r>
    <x v="5"/>
    <x v="242"/>
    <n v="1082"/>
    <n v="526"/>
    <n v="51"/>
    <n v="0"/>
    <n v="4.7134935304990755"/>
  </r>
  <r>
    <x v="5"/>
    <x v="243"/>
    <n v="6056"/>
    <n v="2929"/>
    <n v="741"/>
    <n v="171"/>
    <n v="12.235799207397623"/>
  </r>
  <r>
    <x v="5"/>
    <x v="244"/>
    <n v="2615"/>
    <n v="1023"/>
    <n v="218"/>
    <n v="10"/>
    <n v="8.3365200764818361"/>
  </r>
  <r>
    <x v="5"/>
    <x v="245"/>
    <n v="4740"/>
    <n v="2090"/>
    <n v="385"/>
    <n v="17"/>
    <n v="8.1223628691983123"/>
  </r>
  <r>
    <x v="6"/>
    <x v="246"/>
    <n v="323773"/>
    <n v="31194"/>
    <n v="11653"/>
    <n v="4882"/>
    <n v="3.5991265485386368"/>
  </r>
  <r>
    <x v="6"/>
    <x v="247"/>
    <n v="11871"/>
    <n v="1967"/>
    <n v="913"/>
    <n v="455"/>
    <n v="7.691011709207312"/>
  </r>
  <r>
    <x v="6"/>
    <x v="248"/>
    <n v="3941"/>
    <n v="632"/>
    <n v="283"/>
    <n v="143"/>
    <n v="7.1809185485917277"/>
  </r>
  <r>
    <x v="6"/>
    <x v="249"/>
    <n v="24579"/>
    <n v="2838"/>
    <n v="1003"/>
    <n v="380"/>
    <n v="4.0807193132348756"/>
  </r>
  <r>
    <x v="6"/>
    <x v="250"/>
    <n v="10827"/>
    <n v="1129"/>
    <n v="434"/>
    <n v="181"/>
    <n v="4.0084972753301926"/>
  </r>
  <r>
    <x v="6"/>
    <x v="251"/>
    <n v="27862"/>
    <n v="3933"/>
    <n v="1481"/>
    <n v="517"/>
    <n v="5.3154834541669658"/>
  </r>
  <r>
    <x v="6"/>
    <x v="252"/>
    <n v="1884"/>
    <n v="209"/>
    <n v="88"/>
    <n v="42"/>
    <n v="4.6709129511677281"/>
  </r>
  <r>
    <x v="6"/>
    <x v="253"/>
    <n v="7157"/>
    <n v="700"/>
    <n v="233"/>
    <n v="45"/>
    <n v="3.2555540030739136"/>
  </r>
  <r>
    <x v="6"/>
    <x v="254"/>
    <n v="1756"/>
    <n v="211"/>
    <n v="78"/>
    <n v="10"/>
    <n v="4.4419134396355355"/>
  </r>
  <r>
    <x v="6"/>
    <x v="255"/>
    <n v="593"/>
    <n v="84"/>
    <n v="35"/>
    <n v="4"/>
    <n v="5.9021922428330527"/>
  </r>
  <r>
    <x v="6"/>
    <x v="256"/>
    <n v="2897"/>
    <n v="434"/>
    <n v="185"/>
    <n v="72"/>
    <n v="6.3859164653089406"/>
  </r>
  <r>
    <x v="6"/>
    <x v="257"/>
    <n v="3656"/>
    <n v="449"/>
    <n v="186"/>
    <n v="69"/>
    <n v="5.0875273522975926"/>
  </r>
  <r>
    <x v="6"/>
    <x v="258"/>
    <n v="9264"/>
    <n v="1082"/>
    <n v="416"/>
    <n v="151"/>
    <n v="4.490500863557858"/>
  </r>
  <r>
    <x v="6"/>
    <x v="259"/>
    <n v="1278"/>
    <n v="166"/>
    <n v="61"/>
    <n v="16"/>
    <n v="4.7730829420970267"/>
  </r>
  <r>
    <x v="6"/>
    <x v="260"/>
    <n v="3190"/>
    <n v="398"/>
    <n v="123"/>
    <n v="29"/>
    <n v="3.8557993730407523"/>
  </r>
  <r>
    <x v="6"/>
    <x v="261"/>
    <n v="4161"/>
    <n v="604"/>
    <n v="264"/>
    <n v="128"/>
    <n v="6.344628695025234"/>
  </r>
  <r>
    <x v="6"/>
    <x v="262"/>
    <n v="3384"/>
    <n v="455"/>
    <n v="153"/>
    <n v="38"/>
    <n v="4.5212765957446805"/>
  </r>
  <r>
    <x v="6"/>
    <x v="263"/>
    <n v="3790"/>
    <n v="312"/>
    <n v="100"/>
    <n v="43"/>
    <n v="2.6385224274406331"/>
  </r>
  <r>
    <x v="6"/>
    <x v="264"/>
    <n v="2823"/>
    <n v="483"/>
    <n v="190"/>
    <n v="58"/>
    <n v="6.7304286220332976"/>
  </r>
  <r>
    <x v="6"/>
    <x v="265"/>
    <n v="960"/>
    <n v="96"/>
    <n v="46"/>
    <n v="17"/>
    <n v="4.791666666666667"/>
  </r>
  <r>
    <x v="6"/>
    <x v="266"/>
    <n v="769"/>
    <n v="97"/>
    <n v="25"/>
    <n v="4"/>
    <n v="3.2509752925877762"/>
  </r>
  <r>
    <x v="6"/>
    <x v="267"/>
    <n v="2273"/>
    <n v="334"/>
    <n v="120"/>
    <n v="24"/>
    <n v="5.2793664760228776"/>
  </r>
  <r>
    <x v="6"/>
    <x v="268"/>
    <n v="3123"/>
    <n v="520"/>
    <n v="221"/>
    <n v="115"/>
    <n v="7.0765289785462695"/>
  </r>
  <r>
    <x v="6"/>
    <x v="269"/>
    <n v="655"/>
    <n v="96"/>
    <n v="34"/>
    <n v="8"/>
    <n v="5.1908396946564883"/>
  </r>
  <r>
    <x v="6"/>
    <x v="270"/>
    <n v="1414"/>
    <n v="209"/>
    <n v="49"/>
    <n v="5"/>
    <n v="3.4653465346534653"/>
  </r>
  <r>
    <x v="6"/>
    <x v="271"/>
    <n v="7491"/>
    <n v="658"/>
    <n v="215"/>
    <n v="47"/>
    <n v="2.8701107996262181"/>
  </r>
  <r>
    <x v="6"/>
    <x v="272"/>
    <n v="806"/>
    <n v="99"/>
    <n v="30"/>
    <n v="3"/>
    <n v="3.7220843672456576"/>
  </r>
  <r>
    <x v="6"/>
    <x v="273"/>
    <n v="4444"/>
    <n v="816"/>
    <n v="302"/>
    <n v="60"/>
    <n v="6.7956795679567961"/>
  </r>
  <r>
    <x v="6"/>
    <x v="274"/>
    <n v="520"/>
    <n v="93"/>
    <n v="31"/>
    <n v="4"/>
    <n v="5.9615384615384617"/>
  </r>
  <r>
    <x v="6"/>
    <x v="275"/>
    <n v="646"/>
    <n v="142"/>
    <n v="38"/>
    <n v="5"/>
    <n v="5.882352941176471"/>
  </r>
  <r>
    <x v="6"/>
    <x v="276"/>
    <n v="356"/>
    <n v="107"/>
    <n v="42"/>
    <n v="9"/>
    <n v="11.797752808988765"/>
  </r>
  <r>
    <x v="6"/>
    <x v="277"/>
    <n v="2784"/>
    <n v="531"/>
    <n v="198"/>
    <n v="36"/>
    <n v="7.1120689655172411"/>
  </r>
  <r>
    <x v="6"/>
    <x v="278"/>
    <n v="2301"/>
    <n v="463"/>
    <n v="157"/>
    <n v="38"/>
    <n v="6.8231203824424167"/>
  </r>
  <r>
    <x v="6"/>
    <x v="279"/>
    <n v="2567"/>
    <n v="356"/>
    <n v="134"/>
    <n v="37"/>
    <n v="5.2201012855473312"/>
  </r>
  <r>
    <x v="6"/>
    <x v="280"/>
    <n v="406"/>
    <n v="97"/>
    <n v="43"/>
    <n v="6"/>
    <n v="10.591133004926109"/>
  </r>
  <r>
    <x v="6"/>
    <x v="281"/>
    <n v="24148"/>
    <n v="2282"/>
    <n v="756"/>
    <n v="164"/>
    <n v="3.1306940533377507"/>
  </r>
  <r>
    <x v="6"/>
    <x v="282"/>
    <n v="2630"/>
    <n v="345"/>
    <n v="153"/>
    <n v="50"/>
    <n v="5.8174904942965782"/>
  </r>
  <r>
    <x v="6"/>
    <x v="283"/>
    <n v="4205"/>
    <n v="415"/>
    <n v="158"/>
    <n v="61"/>
    <n v="3.7574316290130798"/>
  </r>
  <r>
    <x v="6"/>
    <x v="284"/>
    <n v="2426"/>
    <n v="289"/>
    <n v="123"/>
    <n v="48"/>
    <n v="5.0700741962077496"/>
  </r>
  <r>
    <x v="6"/>
    <x v="285"/>
    <n v="2820"/>
    <n v="366"/>
    <n v="145"/>
    <n v="61"/>
    <n v="5.1418439716312054"/>
  </r>
  <r>
    <x v="6"/>
    <x v="286"/>
    <n v="3077"/>
    <n v="437"/>
    <n v="163"/>
    <n v="22"/>
    <n v="5.2973675658108546"/>
  </r>
  <r>
    <x v="6"/>
    <x v="287"/>
    <n v="1509"/>
    <n v="173"/>
    <n v="58"/>
    <n v="7"/>
    <n v="3.8436050364479786"/>
  </r>
  <r>
    <x v="6"/>
    <x v="288"/>
    <n v="1216"/>
    <n v="173"/>
    <n v="46"/>
    <n v="2"/>
    <n v="3.7828947368421053"/>
  </r>
  <r>
    <x v="6"/>
    <x v="289"/>
    <n v="7591"/>
    <n v="1098"/>
    <n v="377"/>
    <n v="62"/>
    <n v="4.9664075879330785"/>
  </r>
  <r>
    <x v="6"/>
    <x v="290"/>
    <n v="934"/>
    <n v="94"/>
    <n v="27"/>
    <n v="12"/>
    <n v="2.8907922912205568"/>
  </r>
  <r>
    <x v="6"/>
    <x v="291"/>
    <n v="3828"/>
    <n v="504"/>
    <n v="202"/>
    <n v="86"/>
    <n v="5.2769070010449317"/>
  </r>
  <r>
    <x v="6"/>
    <x v="292"/>
    <n v="1776"/>
    <n v="0"/>
    <n v="0"/>
    <n v="0"/>
    <n v="0"/>
  </r>
  <r>
    <x v="6"/>
    <x v="293"/>
    <n v="3558"/>
    <n v="555"/>
    <n v="189"/>
    <n v="36"/>
    <n v="5.3119730185497467"/>
  </r>
  <r>
    <x v="6"/>
    <x v="294"/>
    <n v="1294"/>
    <n v="254"/>
    <n v="115"/>
    <n v="28"/>
    <n v="8.8871715610510051"/>
  </r>
  <r>
    <x v="6"/>
    <x v="295"/>
    <n v="4053"/>
    <n v="718"/>
    <n v="299"/>
    <n v="42"/>
    <n v="7.3772514187021958"/>
  </r>
  <r>
    <x v="6"/>
    <x v="296"/>
    <n v="3693"/>
    <n v="563"/>
    <n v="214"/>
    <n v="25"/>
    <n v="5.7947468183049011"/>
  </r>
  <r>
    <x v="6"/>
    <x v="297"/>
    <n v="826"/>
    <n v="108"/>
    <n v="33"/>
    <n v="7"/>
    <n v="3.9951573849878934"/>
  </r>
  <r>
    <x v="6"/>
    <x v="298"/>
    <n v="4341"/>
    <n v="618"/>
    <n v="182"/>
    <n v="35"/>
    <n v="4.1925823542962455"/>
  </r>
  <r>
    <x v="6"/>
    <x v="299"/>
    <n v="891"/>
    <n v="148"/>
    <n v="46"/>
    <n v="4"/>
    <n v="5.162738496071829"/>
  </r>
  <r>
    <x v="6"/>
    <x v="300"/>
    <n v="844"/>
    <n v="129"/>
    <n v="53"/>
    <n v="6"/>
    <n v="6.2796208530805684"/>
  </r>
  <r>
    <x v="7"/>
    <x v="301"/>
    <n v="35825"/>
    <n v="5155"/>
    <n v="458"/>
    <n v="37"/>
    <n v="1.2784368457780879"/>
  </r>
  <r>
    <x v="7"/>
    <x v="302"/>
    <n v="137"/>
    <n v="28"/>
    <n v="6"/>
    <n v="0"/>
    <n v="4.3795620437956204"/>
  </r>
  <r>
    <x v="7"/>
    <x v="303"/>
    <n v="18564"/>
    <n v="0"/>
    <n v="0"/>
    <n v="0"/>
    <n v="0"/>
  </r>
  <r>
    <x v="7"/>
    <x v="304"/>
    <n v="7307"/>
    <n v="0"/>
    <n v="0"/>
    <n v="0"/>
    <n v="0"/>
  </r>
  <r>
    <x v="7"/>
    <x v="305"/>
    <n v="3456"/>
    <n v="360"/>
    <n v="25"/>
    <n v="0"/>
    <n v="0.72337962962962965"/>
  </r>
  <r>
    <x v="7"/>
    <x v="306"/>
    <n v="13479"/>
    <n v="1599"/>
    <n v="202"/>
    <n v="0"/>
    <n v="1.4986274946212628"/>
  </r>
  <r>
    <x v="7"/>
    <x v="307"/>
    <n v="2097"/>
    <n v="247"/>
    <n v="3"/>
    <n v="0"/>
    <n v="0.14306151645207441"/>
  </r>
  <r>
    <x v="7"/>
    <x v="308"/>
    <n v="6733"/>
    <n v="710"/>
    <n v="75"/>
    <n v="0"/>
    <n v="1.113916530521313"/>
  </r>
  <r>
    <x v="7"/>
    <x v="309"/>
    <n v="7621"/>
    <n v="397"/>
    <n v="5"/>
    <n v="0"/>
    <n v="6.5608187901850148E-2"/>
  </r>
  <r>
    <x v="7"/>
    <x v="310"/>
    <n v="7183"/>
    <n v="637"/>
    <n v="39"/>
    <n v="0"/>
    <n v="0.54294862870666849"/>
  </r>
  <r>
    <x v="7"/>
    <x v="311"/>
    <n v="171"/>
    <n v="35"/>
    <n v="4"/>
    <n v="0"/>
    <n v="2.3391812865497075"/>
  </r>
  <r>
    <x v="7"/>
    <x v="312"/>
    <n v="1480"/>
    <n v="304"/>
    <n v="48"/>
    <n v="0"/>
    <n v="3.2432432432432434"/>
  </r>
  <r>
    <x v="7"/>
    <x v="313"/>
    <n v="1743"/>
    <n v="169"/>
    <n v="15"/>
    <n v="0"/>
    <n v="0.86058519793459554"/>
  </r>
  <r>
    <x v="7"/>
    <x v="314"/>
    <n v="1376"/>
    <n v="122"/>
    <n v="31"/>
    <n v="0"/>
    <n v="2.2529069767441858"/>
  </r>
  <r>
    <x v="7"/>
    <x v="315"/>
    <n v="3074"/>
    <n v="323"/>
    <n v="10"/>
    <n v="0"/>
    <n v="0.32530904359141183"/>
  </r>
  <r>
    <x v="7"/>
    <x v="316"/>
    <n v="502"/>
    <n v="59"/>
    <n v="0"/>
    <n v="0"/>
    <n v="0"/>
  </r>
  <r>
    <x v="7"/>
    <x v="317"/>
    <n v="413"/>
    <n v="52"/>
    <n v="0"/>
    <n v="0"/>
    <n v="0"/>
  </r>
  <r>
    <x v="8"/>
    <x v="318"/>
    <n v="11745"/>
    <n v="1758"/>
    <n v="238"/>
    <n v="10"/>
    <n v="2.0263942103022563"/>
  </r>
  <r>
    <x v="8"/>
    <x v="319"/>
    <n v="911"/>
    <n v="174"/>
    <n v="32"/>
    <n v="1"/>
    <n v="3.5126234906695939"/>
  </r>
  <r>
    <x v="8"/>
    <x v="320"/>
    <n v="202"/>
    <n v="43"/>
    <n v="1"/>
    <n v="0"/>
    <n v="0.49504950495049505"/>
  </r>
  <r>
    <x v="8"/>
    <x v="321"/>
    <n v="764"/>
    <n v="245"/>
    <n v="32"/>
    <n v="1"/>
    <n v="4.1884816753926701"/>
  </r>
  <r>
    <x v="8"/>
    <x v="322"/>
    <n v="102"/>
    <n v="38"/>
    <n v="3"/>
    <n v="0"/>
    <n v="2.9411764705882355"/>
  </r>
  <r>
    <x v="8"/>
    <x v="323"/>
    <n v="404"/>
    <n v="51"/>
    <n v="16"/>
    <n v="2"/>
    <n v="3.9603960396039604"/>
  </r>
  <r>
    <x v="8"/>
    <x v="324"/>
    <n v="184"/>
    <n v="0"/>
    <n v="0"/>
    <n v="0"/>
    <n v="0"/>
  </r>
  <r>
    <x v="8"/>
    <x v="325"/>
    <n v="186"/>
    <n v="22"/>
    <n v="1"/>
    <n v="0"/>
    <n v="0.5376344086021505"/>
  </r>
  <r>
    <x v="8"/>
    <x v="326"/>
    <n v="501"/>
    <n v="66"/>
    <n v="2"/>
    <n v="0"/>
    <n v="0.39920159680638723"/>
  </r>
  <r>
    <x v="8"/>
    <x v="327"/>
    <n v="80"/>
    <n v="0"/>
    <n v="0"/>
    <n v="0"/>
    <n v="0"/>
  </r>
  <r>
    <x v="8"/>
    <x v="328"/>
    <n v="113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">
  <r>
    <x v="0"/>
    <x v="0"/>
    <n v="94916"/>
    <n v="14317"/>
    <n v="5007"/>
    <n v="1073"/>
    <n v="5.2751906949302541"/>
  </r>
  <r>
    <x v="0"/>
    <x v="1"/>
    <n v="3342"/>
    <n v="1247"/>
    <n v="492"/>
    <n v="93"/>
    <n v="14.721723518850988"/>
  </r>
  <r>
    <x v="0"/>
    <x v="2"/>
    <n v="2176"/>
    <n v="1035"/>
    <n v="300"/>
    <n v="47"/>
    <n v="13.786764705882353"/>
  </r>
  <r>
    <x v="0"/>
    <x v="3"/>
    <n v="1449"/>
    <n v="615"/>
    <n v="239"/>
    <n v="60"/>
    <n v="16.494133885438234"/>
  </r>
  <r>
    <x v="0"/>
    <x v="4"/>
    <n v="2476"/>
    <n v="1087"/>
    <n v="358"/>
    <n v="63"/>
    <n v="14.458804523424879"/>
  </r>
  <r>
    <x v="0"/>
    <x v="5"/>
    <n v="1931"/>
    <n v="672"/>
    <n v="265"/>
    <n v="60"/>
    <n v="13.723459347488348"/>
  </r>
  <r>
    <x v="0"/>
    <x v="6"/>
    <n v="1472"/>
    <n v="442"/>
    <n v="116"/>
    <n v="14"/>
    <n v="7.8804347826086953"/>
  </r>
  <r>
    <x v="0"/>
    <x v="7"/>
    <n v="1832"/>
    <n v="496"/>
    <n v="211"/>
    <n v="28"/>
    <n v="11.517467248908297"/>
  </r>
  <r>
    <x v="0"/>
    <x v="8"/>
    <n v="1496"/>
    <n v="504"/>
    <n v="156"/>
    <n v="16"/>
    <n v="10.427807486631016"/>
  </r>
  <r>
    <x v="0"/>
    <x v="9"/>
    <n v="2762"/>
    <n v="773"/>
    <n v="300"/>
    <n v="82"/>
    <n v="10.861694424330196"/>
  </r>
  <r>
    <x v="0"/>
    <x v="10"/>
    <n v="2052"/>
    <n v="626"/>
    <n v="256"/>
    <n v="61"/>
    <n v="12.475633528265107"/>
  </r>
  <r>
    <x v="0"/>
    <x v="11"/>
    <n v="1572"/>
    <n v="590"/>
    <n v="216"/>
    <n v="27"/>
    <n v="13.740458015267176"/>
  </r>
  <r>
    <x v="0"/>
    <x v="12"/>
    <n v="1105"/>
    <n v="395"/>
    <n v="167"/>
    <n v="57"/>
    <n v="15.113122171945701"/>
  </r>
  <r>
    <x v="0"/>
    <x v="13"/>
    <n v="1059"/>
    <n v="352"/>
    <n v="143"/>
    <n v="24"/>
    <n v="13.503305004721435"/>
  </r>
  <r>
    <x v="0"/>
    <x v="14"/>
    <n v="6554"/>
    <n v="1305"/>
    <n v="412"/>
    <n v="114"/>
    <n v="6.2862374122673179"/>
  </r>
  <r>
    <x v="0"/>
    <x v="15"/>
    <n v="2047"/>
    <n v="635"/>
    <n v="150"/>
    <n v="10"/>
    <n v="7.3277967757694187"/>
  </r>
  <r>
    <x v="0"/>
    <x v="16"/>
    <n v="3684"/>
    <n v="1640"/>
    <n v="580"/>
    <n v="93"/>
    <n v="15.743756786102063"/>
  </r>
  <r>
    <x v="0"/>
    <x v="17"/>
    <n v="2243"/>
    <n v="981"/>
    <n v="402"/>
    <n v="81"/>
    <n v="17.92242532322782"/>
  </r>
  <r>
    <x v="0"/>
    <x v="18"/>
    <n v="4518"/>
    <n v="1791"/>
    <n v="719"/>
    <n v="1"/>
    <n v="15.914121292607348"/>
  </r>
  <r>
    <x v="0"/>
    <x v="19"/>
    <n v="7228"/>
    <n v="3746"/>
    <n v="1677"/>
    <n v="0"/>
    <n v="23.201438848920862"/>
  </r>
  <r>
    <x v="0"/>
    <x v="20"/>
    <n v="1425"/>
    <n v="460"/>
    <n v="153"/>
    <n v="0"/>
    <n v="10.736842105263158"/>
  </r>
  <r>
    <x v="0"/>
    <x v="21"/>
    <n v="2650"/>
    <n v="1154"/>
    <n v="357"/>
    <n v="0"/>
    <n v="13.471698113207546"/>
  </r>
  <r>
    <x v="0"/>
    <x v="22"/>
    <n v="3340"/>
    <n v="1195"/>
    <n v="524"/>
    <n v="119"/>
    <n v="15.688622754491018"/>
  </r>
  <r>
    <x v="0"/>
    <x v="23"/>
    <n v="1080"/>
    <n v="500"/>
    <n v="191"/>
    <n v="0"/>
    <n v="17.685185185185187"/>
  </r>
  <r>
    <x v="0"/>
    <x v="24"/>
    <n v="2888"/>
    <n v="833"/>
    <n v="295"/>
    <n v="0"/>
    <n v="10.214681440443213"/>
  </r>
  <r>
    <x v="0"/>
    <x v="25"/>
    <n v="997"/>
    <n v="450"/>
    <n v="190"/>
    <n v="0"/>
    <n v="19.057171514543629"/>
  </r>
  <r>
    <x v="0"/>
    <x v="26"/>
    <n v="2147"/>
    <n v="503"/>
    <n v="115"/>
    <n v="10"/>
    <n v="5.3563111318118306"/>
  </r>
  <r>
    <x v="0"/>
    <x v="27"/>
    <n v="70"/>
    <n v="19"/>
    <n v="8"/>
    <n v="5"/>
    <n v="11.428571428571429"/>
  </r>
  <r>
    <x v="0"/>
    <x v="28"/>
    <n v="966"/>
    <n v="263"/>
    <n v="71"/>
    <n v="15"/>
    <n v="7.349896480331263"/>
  </r>
  <r>
    <x v="1"/>
    <x v="29"/>
    <n v="311555"/>
    <n v="56282"/>
    <n v="18660"/>
    <n v="4985"/>
    <n v="5.9893116785158318"/>
  </r>
  <r>
    <x v="1"/>
    <x v="30"/>
    <n v="4348"/>
    <n v="1004"/>
    <n v="408"/>
    <n v="82"/>
    <n v="9.3836246550137989"/>
  </r>
  <r>
    <x v="1"/>
    <x v="31"/>
    <n v="7381"/>
    <n v="1888"/>
    <n v="873"/>
    <n v="228"/>
    <n v="11.827665627963691"/>
  </r>
  <r>
    <x v="1"/>
    <x v="32"/>
    <n v="12212"/>
    <n v="4235"/>
    <n v="2068"/>
    <n v="599"/>
    <n v="16.934163118244349"/>
  </r>
  <r>
    <x v="1"/>
    <x v="33"/>
    <n v="306188"/>
    <n v="53826"/>
    <n v="23131"/>
    <n v="6379"/>
    <n v="7.5545089944739834"/>
  </r>
  <r>
    <x v="1"/>
    <x v="34"/>
    <n v="13605"/>
    <n v="4289"/>
    <n v="1712"/>
    <n v="402"/>
    <n v="12.583608967291436"/>
  </r>
  <r>
    <x v="1"/>
    <x v="35"/>
    <n v="3326"/>
    <n v="1324"/>
    <n v="544"/>
    <n v="92"/>
    <n v="16.355983162958509"/>
  </r>
  <r>
    <x v="1"/>
    <x v="36"/>
    <n v="1326"/>
    <n v="510"/>
    <n v="216"/>
    <n v="38"/>
    <n v="16.289592760180994"/>
  </r>
  <r>
    <x v="1"/>
    <x v="37"/>
    <n v="2203"/>
    <n v="828"/>
    <n v="356"/>
    <n v="58"/>
    <n v="16.159782115297322"/>
  </r>
  <r>
    <x v="1"/>
    <x v="38"/>
    <n v="2753"/>
    <n v="1244"/>
    <n v="608"/>
    <n v="136"/>
    <n v="22.084998183799492"/>
  </r>
  <r>
    <x v="1"/>
    <x v="39"/>
    <n v="1180"/>
    <n v="553"/>
    <n v="258"/>
    <n v="54"/>
    <n v="21.864406779661017"/>
  </r>
  <r>
    <x v="1"/>
    <x v="40"/>
    <n v="2841"/>
    <n v="1421"/>
    <n v="759"/>
    <n v="247"/>
    <n v="26.715945089757128"/>
  </r>
  <r>
    <x v="1"/>
    <x v="41"/>
    <n v="3285"/>
    <n v="1924"/>
    <n v="987"/>
    <n v="283"/>
    <n v="30.045662100456621"/>
  </r>
  <r>
    <x v="1"/>
    <x v="42"/>
    <n v="1663"/>
    <n v="1075"/>
    <n v="560"/>
    <n v="138"/>
    <n v="33.674082982561636"/>
  </r>
  <r>
    <x v="1"/>
    <x v="43"/>
    <n v="1168"/>
    <n v="611"/>
    <n v="306"/>
    <n v="98"/>
    <n v="26.198630136986303"/>
  </r>
  <r>
    <x v="1"/>
    <x v="44"/>
    <n v="398"/>
    <n v="152"/>
    <n v="65"/>
    <n v="20"/>
    <n v="16.331658291457288"/>
  </r>
  <r>
    <x v="1"/>
    <x v="45"/>
    <n v="104"/>
    <n v="56"/>
    <n v="24"/>
    <n v="7"/>
    <n v="23.076923076923077"/>
  </r>
  <r>
    <x v="1"/>
    <x v="46"/>
    <n v="1510"/>
    <n v="972"/>
    <n v="526"/>
    <n v="115"/>
    <n v="34.834437086092713"/>
  </r>
  <r>
    <x v="1"/>
    <x v="47"/>
    <n v="3885"/>
    <n v="1601"/>
    <n v="618"/>
    <n v="96"/>
    <n v="15.907335907335908"/>
  </r>
  <r>
    <x v="1"/>
    <x v="48"/>
    <n v="2950"/>
    <n v="1106"/>
    <n v="401"/>
    <n v="56"/>
    <n v="13.59322033898305"/>
  </r>
  <r>
    <x v="1"/>
    <x v="49"/>
    <n v="3471"/>
    <n v="1294"/>
    <n v="481"/>
    <n v="71"/>
    <n v="13.857677902621722"/>
  </r>
  <r>
    <x v="1"/>
    <x v="50"/>
    <n v="1139"/>
    <n v="352"/>
    <n v="114"/>
    <n v="14"/>
    <n v="10.008779631255488"/>
  </r>
  <r>
    <x v="1"/>
    <x v="51"/>
    <n v="2121"/>
    <n v="764"/>
    <n v="230"/>
    <n v="34"/>
    <n v="10.843941537010844"/>
  </r>
  <r>
    <x v="1"/>
    <x v="52"/>
    <n v="3404"/>
    <n v="1147"/>
    <n v="463"/>
    <n v="75"/>
    <n v="13.601645123384253"/>
  </r>
  <r>
    <x v="1"/>
    <x v="53"/>
    <n v="1519"/>
    <n v="525"/>
    <n v="197"/>
    <n v="28"/>
    <n v="12.969058591178406"/>
  </r>
  <r>
    <x v="1"/>
    <x v="54"/>
    <n v="1244"/>
    <n v="313"/>
    <n v="108"/>
    <n v="26"/>
    <n v="8.6816720257234721"/>
  </r>
  <r>
    <x v="1"/>
    <x v="55"/>
    <n v="6772"/>
    <n v="2010"/>
    <n v="799"/>
    <n v="143"/>
    <n v="11.798582398109865"/>
  </r>
  <r>
    <x v="1"/>
    <x v="56"/>
    <n v="3116"/>
    <n v="437"/>
    <n v="96"/>
    <n v="25"/>
    <n v="3.0808729139922977"/>
  </r>
  <r>
    <x v="1"/>
    <x v="57"/>
    <n v="1865"/>
    <n v="530"/>
    <n v="241"/>
    <n v="67"/>
    <n v="12.922252010723861"/>
  </r>
  <r>
    <x v="1"/>
    <x v="58"/>
    <n v="791"/>
    <n v="226"/>
    <n v="74"/>
    <n v="17"/>
    <n v="9.3552465233881161"/>
  </r>
  <r>
    <x v="1"/>
    <x v="59"/>
    <n v="586"/>
    <n v="240"/>
    <n v="101"/>
    <n v="18"/>
    <n v="17.235494880546074"/>
  </r>
  <r>
    <x v="1"/>
    <x v="60"/>
    <n v="2270"/>
    <n v="492"/>
    <n v="134"/>
    <n v="18"/>
    <n v="5.9030837004405283"/>
  </r>
  <r>
    <x v="1"/>
    <x v="61"/>
    <n v="3570"/>
    <n v="448"/>
    <n v="155"/>
    <n v="40"/>
    <n v="4.3417366946778708"/>
  </r>
  <r>
    <x v="1"/>
    <x v="62"/>
    <n v="2454"/>
    <n v="541"/>
    <n v="232"/>
    <n v="66"/>
    <n v="9.4539527302363489"/>
  </r>
  <r>
    <x v="1"/>
    <x v="63"/>
    <n v="4164"/>
    <n v="824"/>
    <n v="315"/>
    <n v="79"/>
    <n v="7.5648414985590779"/>
  </r>
  <r>
    <x v="1"/>
    <x v="64"/>
    <n v="1659"/>
    <n v="541"/>
    <n v="166"/>
    <n v="32"/>
    <n v="10.006027727546716"/>
  </r>
  <r>
    <x v="1"/>
    <x v="65"/>
    <n v="40390"/>
    <n v="11966"/>
    <n v="6469"/>
    <n v="1824"/>
    <n v="16.016340678385738"/>
  </r>
  <r>
    <x v="1"/>
    <x v="66"/>
    <n v="2627"/>
    <n v="1110"/>
    <n v="525"/>
    <n v="141"/>
    <n v="19.984773505900268"/>
  </r>
  <r>
    <x v="1"/>
    <x v="67"/>
    <n v="3110"/>
    <n v="1135"/>
    <n v="546"/>
    <n v="205"/>
    <n v="17.556270096463024"/>
  </r>
  <r>
    <x v="1"/>
    <x v="68"/>
    <n v="2173"/>
    <n v="579"/>
    <n v="258"/>
    <n v="67"/>
    <n v="11.872986654394845"/>
  </r>
  <r>
    <x v="1"/>
    <x v="69"/>
    <n v="1731"/>
    <n v="770"/>
    <n v="366"/>
    <n v="137"/>
    <n v="21.143847487001732"/>
  </r>
  <r>
    <x v="1"/>
    <x v="70"/>
    <n v="2806"/>
    <n v="742"/>
    <n v="308"/>
    <n v="63"/>
    <n v="10.976478973627939"/>
  </r>
  <r>
    <x v="1"/>
    <x v="71"/>
    <n v="3518"/>
    <n v="1090"/>
    <n v="398"/>
    <n v="79"/>
    <n v="11.313246162592382"/>
  </r>
  <r>
    <x v="1"/>
    <x v="72"/>
    <n v="1598"/>
    <n v="606"/>
    <n v="231"/>
    <n v="46"/>
    <n v="14.455569461827285"/>
  </r>
  <r>
    <x v="1"/>
    <x v="73"/>
    <n v="252"/>
    <n v="84"/>
    <n v="32"/>
    <n v="3"/>
    <n v="12.698412698412698"/>
  </r>
  <r>
    <x v="1"/>
    <x v="74"/>
    <n v="2002"/>
    <n v="1062"/>
    <n v="98"/>
    <n v="17"/>
    <n v="4.895104895104895"/>
  </r>
  <r>
    <x v="1"/>
    <x v="75"/>
    <n v="2635"/>
    <n v="1061"/>
    <n v="273"/>
    <n v="54"/>
    <n v="10.360531309297913"/>
  </r>
  <r>
    <x v="1"/>
    <x v="76"/>
    <n v="2110"/>
    <n v="855"/>
    <n v="177"/>
    <n v="16"/>
    <n v="8.3886255924170623"/>
  </r>
  <r>
    <x v="1"/>
    <x v="77"/>
    <n v="3257"/>
    <n v="1806"/>
    <n v="144"/>
    <n v="9"/>
    <n v="4.4212465459011359"/>
  </r>
  <r>
    <x v="1"/>
    <x v="78"/>
    <n v="1947"/>
    <n v="931"/>
    <n v="345"/>
    <n v="104"/>
    <n v="17.719568567026194"/>
  </r>
  <r>
    <x v="1"/>
    <x v="79"/>
    <n v="1077"/>
    <n v="464"/>
    <n v="144"/>
    <n v="32"/>
    <n v="13.370473537604457"/>
  </r>
  <r>
    <x v="1"/>
    <x v="80"/>
    <n v="790"/>
    <n v="321"/>
    <n v="65"/>
    <n v="12"/>
    <n v="8.2278481012658222"/>
  </r>
  <r>
    <x v="1"/>
    <x v="81"/>
    <n v="5678"/>
    <n v="1087"/>
    <n v="385"/>
    <n v="93"/>
    <n v="6.7805565339908416"/>
  </r>
  <r>
    <x v="1"/>
    <x v="82"/>
    <n v="5368"/>
    <n v="1176"/>
    <n v="417"/>
    <n v="94"/>
    <n v="7.7682563338301041"/>
  </r>
  <r>
    <x v="1"/>
    <x v="83"/>
    <n v="1431"/>
    <n v="349"/>
    <n v="124"/>
    <n v="28"/>
    <n v="8.6652690426275338"/>
  </r>
  <r>
    <x v="1"/>
    <x v="84"/>
    <n v="6488"/>
    <n v="1333"/>
    <n v="559"/>
    <n v="165"/>
    <n v="8.6159062885326758"/>
  </r>
  <r>
    <x v="1"/>
    <x v="85"/>
    <n v="11847"/>
    <n v="2455"/>
    <n v="875"/>
    <n v="211"/>
    <n v="7.3858360766438764"/>
  </r>
  <r>
    <x v="1"/>
    <x v="86"/>
    <n v="28597"/>
    <n v="10938"/>
    <n v="4395"/>
    <n v="978"/>
    <n v="15.368744973248942"/>
  </r>
  <r>
    <x v="1"/>
    <x v="87"/>
    <n v="8171"/>
    <n v="3027"/>
    <n v="1568"/>
    <n v="431"/>
    <n v="19.189817647778728"/>
  </r>
  <r>
    <x v="1"/>
    <x v="88"/>
    <n v="5010"/>
    <n v="1470"/>
    <n v="630"/>
    <n v="155"/>
    <n v="12.574850299401197"/>
  </r>
  <r>
    <x v="1"/>
    <x v="89"/>
    <n v="5874"/>
    <n v="2028"/>
    <n v="788"/>
    <n v="146"/>
    <n v="13.41504937010555"/>
  </r>
  <r>
    <x v="1"/>
    <x v="90"/>
    <n v="2447"/>
    <n v="1384"/>
    <n v="688"/>
    <n v="154"/>
    <n v="28.11606048222313"/>
  </r>
  <r>
    <x v="1"/>
    <x v="91"/>
    <n v="2053"/>
    <n v="850"/>
    <n v="395"/>
    <n v="117"/>
    <n v="19.240136385776911"/>
  </r>
  <r>
    <x v="1"/>
    <x v="92"/>
    <n v="3131"/>
    <n v="1171"/>
    <n v="565"/>
    <n v="147"/>
    <n v="18.045352922389014"/>
  </r>
  <r>
    <x v="1"/>
    <x v="93"/>
    <n v="7201"/>
    <n v="1830"/>
    <n v="756"/>
    <n v="151"/>
    <n v="10.498541869184836"/>
  </r>
  <r>
    <x v="1"/>
    <x v="94"/>
    <n v="2142"/>
    <n v="631"/>
    <n v="302"/>
    <n v="106"/>
    <n v="14.098972922502334"/>
  </r>
  <r>
    <x v="1"/>
    <x v="95"/>
    <n v="656"/>
    <n v="226"/>
    <n v="90"/>
    <n v="31"/>
    <n v="13.719512195121951"/>
  </r>
  <r>
    <x v="1"/>
    <x v="96"/>
    <n v="6635"/>
    <n v="1414"/>
    <n v="532"/>
    <n v="138"/>
    <n v="8.0180859080633002"/>
  </r>
  <r>
    <x v="1"/>
    <x v="97"/>
    <n v="5147"/>
    <n v="888"/>
    <n v="352"/>
    <n v="79"/>
    <n v="6.8389353021177381"/>
  </r>
  <r>
    <x v="1"/>
    <x v="98"/>
    <n v="1449"/>
    <n v="183"/>
    <n v="53"/>
    <n v="6"/>
    <n v="3.6576949620427883"/>
  </r>
  <r>
    <x v="1"/>
    <x v="99"/>
    <n v="2144"/>
    <n v="264"/>
    <n v="50"/>
    <n v="9"/>
    <n v="2.3320895522388061"/>
  </r>
  <r>
    <x v="1"/>
    <x v="100"/>
    <n v="2440"/>
    <n v="716"/>
    <n v="294"/>
    <n v="63"/>
    <n v="12.049180327868852"/>
  </r>
  <r>
    <x v="1"/>
    <x v="101"/>
    <n v="552"/>
    <n v="207"/>
    <n v="70"/>
    <n v="23"/>
    <n v="12.681159420289855"/>
  </r>
  <r>
    <x v="1"/>
    <x v="102"/>
    <n v="5226"/>
    <n v="1573"/>
    <n v="659"/>
    <n v="121"/>
    <n v="12.610026789131267"/>
  </r>
  <r>
    <x v="1"/>
    <x v="103"/>
    <n v="1557"/>
    <n v="657"/>
    <n v="283"/>
    <n v="59"/>
    <n v="18.175979447655749"/>
  </r>
  <r>
    <x v="1"/>
    <x v="104"/>
    <n v="514"/>
    <n v="231"/>
    <n v="89"/>
    <n v="17"/>
    <n v="17.315175097276263"/>
  </r>
  <r>
    <x v="1"/>
    <x v="105"/>
    <n v="1501"/>
    <n v="773"/>
    <n v="324"/>
    <n v="83"/>
    <n v="21.585609593604264"/>
  </r>
  <r>
    <x v="1"/>
    <x v="106"/>
    <n v="1343"/>
    <n v="695"/>
    <n v="290"/>
    <n v="79"/>
    <n v="21.593447505584511"/>
  </r>
  <r>
    <x v="1"/>
    <x v="107"/>
    <n v="327"/>
    <n v="171"/>
    <n v="75"/>
    <n v="20"/>
    <n v="22.935779816513762"/>
  </r>
  <r>
    <x v="1"/>
    <x v="108"/>
    <n v="1695"/>
    <n v="857"/>
    <n v="386"/>
    <n v="94"/>
    <n v="22.772861356932154"/>
  </r>
  <r>
    <x v="1"/>
    <x v="109"/>
    <n v="284"/>
    <n v="123"/>
    <n v="44"/>
    <n v="6"/>
    <n v="15.492957746478874"/>
  </r>
  <r>
    <x v="1"/>
    <x v="110"/>
    <n v="14439"/>
    <n v="4413"/>
    <n v="2009"/>
    <n v="595"/>
    <n v="13.913705935314081"/>
  </r>
  <r>
    <x v="1"/>
    <x v="111"/>
    <n v="2232"/>
    <n v="536"/>
    <n v="234"/>
    <n v="80"/>
    <n v="10.483870967741936"/>
  </r>
  <r>
    <x v="2"/>
    <x v="112"/>
    <n v="261402"/>
    <n v="38152"/>
    <n v="14720"/>
    <n v="4292"/>
    <n v="5.6311734416722139"/>
  </r>
  <r>
    <x v="2"/>
    <x v="113"/>
    <n v="5126"/>
    <n v="1002"/>
    <n v="364"/>
    <n v="64"/>
    <n v="7.1010534529847833"/>
  </r>
  <r>
    <x v="2"/>
    <x v="114"/>
    <n v="618"/>
    <n v="152"/>
    <n v="70"/>
    <n v="13"/>
    <n v="11.326860841423947"/>
  </r>
  <r>
    <x v="2"/>
    <x v="115"/>
    <n v="1491"/>
    <n v="326"/>
    <n v="127"/>
    <n v="31"/>
    <n v="8.5177733065057009"/>
  </r>
  <r>
    <x v="2"/>
    <x v="116"/>
    <n v="3867"/>
    <n v="1491"/>
    <n v="656"/>
    <n v="169"/>
    <n v="16.964054822860099"/>
  </r>
  <r>
    <x v="2"/>
    <x v="117"/>
    <n v="2080"/>
    <n v="758"/>
    <n v="339"/>
    <n v="88"/>
    <n v="16.298076923076923"/>
  </r>
  <r>
    <x v="2"/>
    <x v="118"/>
    <n v="2339"/>
    <n v="821"/>
    <n v="247"/>
    <n v="51"/>
    <n v="10.560068405301411"/>
  </r>
  <r>
    <x v="2"/>
    <x v="119"/>
    <n v="3019"/>
    <n v="724"/>
    <n v="345"/>
    <n v="107"/>
    <n v="11.427625041404438"/>
  </r>
  <r>
    <x v="2"/>
    <x v="120"/>
    <n v="1615"/>
    <n v="668"/>
    <n v="336"/>
    <n v="76"/>
    <n v="20.804953560371516"/>
  </r>
  <r>
    <x v="2"/>
    <x v="121"/>
    <n v="6091"/>
    <n v="2198"/>
    <n v="975"/>
    <n v="318"/>
    <n v="16.007223772779511"/>
  </r>
  <r>
    <x v="2"/>
    <x v="122"/>
    <n v="803"/>
    <n v="330"/>
    <n v="152"/>
    <n v="32"/>
    <n v="18.929016189290163"/>
  </r>
  <r>
    <x v="2"/>
    <x v="123"/>
    <n v="3984"/>
    <n v="989"/>
    <n v="506"/>
    <n v="125"/>
    <n v="12.700803212851406"/>
  </r>
  <r>
    <x v="2"/>
    <x v="124"/>
    <n v="2662"/>
    <n v="1041"/>
    <n v="514"/>
    <n v="125"/>
    <n v="19.30879038317055"/>
  </r>
  <r>
    <x v="2"/>
    <x v="125"/>
    <n v="1567"/>
    <n v="680"/>
    <n v="196"/>
    <n v="46"/>
    <n v="12.507977026164646"/>
  </r>
  <r>
    <x v="2"/>
    <x v="126"/>
    <n v="1995"/>
    <n v="935"/>
    <n v="395"/>
    <n v="63"/>
    <n v="19.799498746867169"/>
  </r>
  <r>
    <x v="2"/>
    <x v="127"/>
    <n v="5913"/>
    <n v="1235"/>
    <n v="492"/>
    <n v="126"/>
    <n v="8.3206494165398279"/>
  </r>
  <r>
    <x v="2"/>
    <x v="128"/>
    <n v="2613"/>
    <n v="722"/>
    <n v="393"/>
    <n v="140"/>
    <n v="15.040183696900115"/>
  </r>
  <r>
    <x v="2"/>
    <x v="129"/>
    <n v="807"/>
    <n v="186"/>
    <n v="74"/>
    <n v="17"/>
    <n v="9.1697645600991322"/>
  </r>
  <r>
    <x v="2"/>
    <x v="130"/>
    <n v="7512"/>
    <n v="1639"/>
    <n v="838"/>
    <n v="268"/>
    <n v="11.155484558040468"/>
  </r>
  <r>
    <x v="2"/>
    <x v="131"/>
    <n v="1911"/>
    <n v="506"/>
    <n v="241"/>
    <n v="53"/>
    <n v="12.61119832548404"/>
  </r>
  <r>
    <x v="2"/>
    <x v="132"/>
    <n v="2609"/>
    <n v="685"/>
    <n v="355"/>
    <n v="119"/>
    <n v="13.606745879647374"/>
  </r>
  <r>
    <x v="2"/>
    <x v="133"/>
    <n v="53736"/>
    <n v="7001"/>
    <n v="2709"/>
    <n v="739"/>
    <n v="5.0413130861991959"/>
  </r>
  <r>
    <x v="2"/>
    <x v="134"/>
    <n v="16199"/>
    <n v="2617"/>
    <n v="1103"/>
    <n v="284"/>
    <n v="6.8090622877955429"/>
  </r>
  <r>
    <x v="2"/>
    <x v="135"/>
    <n v="20812"/>
    <n v="2834"/>
    <n v="988"/>
    <n v="287"/>
    <n v="4.747261195464155"/>
  </r>
  <r>
    <x v="2"/>
    <x v="136"/>
    <n v="20596"/>
    <n v="3373"/>
    <n v="1314"/>
    <n v="364"/>
    <n v="6.3798795882695671"/>
  </r>
  <r>
    <x v="2"/>
    <x v="137"/>
    <n v="22161"/>
    <n v="2747"/>
    <n v="1043"/>
    <n v="275"/>
    <n v="4.7064663146969901"/>
  </r>
  <r>
    <x v="2"/>
    <x v="138"/>
    <n v="66307"/>
    <n v="11006"/>
    <n v="4714"/>
    <n v="1300"/>
    <n v="7.1093549700634924"/>
  </r>
  <r>
    <x v="2"/>
    <x v="139"/>
    <n v="6336"/>
    <n v="1462"/>
    <n v="565"/>
    <n v="132"/>
    <n v="8.9172979797979792"/>
  </r>
  <r>
    <x v="2"/>
    <x v="140"/>
    <n v="28469"/>
    <n v="5568"/>
    <n v="1559"/>
    <n v="372"/>
    <n v="5.4761319329797322"/>
  </r>
  <r>
    <x v="2"/>
    <x v="141"/>
    <n v="3632"/>
    <n v="1714"/>
    <n v="675"/>
    <n v="180"/>
    <n v="18.584801762114537"/>
  </r>
  <r>
    <x v="2"/>
    <x v="142"/>
    <n v="3859"/>
    <n v="901"/>
    <n v="235"/>
    <n v="38"/>
    <n v="6.0896605338170513"/>
  </r>
  <r>
    <x v="2"/>
    <x v="143"/>
    <n v="2165"/>
    <n v="499"/>
    <n v="186"/>
    <n v="39"/>
    <n v="8.5912240184757511"/>
  </r>
  <r>
    <x v="2"/>
    <x v="144"/>
    <n v="3371"/>
    <n v="904"/>
    <n v="307"/>
    <n v="45"/>
    <n v="9.107089884307328"/>
  </r>
  <r>
    <x v="2"/>
    <x v="145"/>
    <n v="8458"/>
    <n v="1313"/>
    <n v="364"/>
    <n v="74"/>
    <n v="4.3036178765665642"/>
  </r>
  <r>
    <x v="2"/>
    <x v="146"/>
    <n v="16305"/>
    <n v="2602"/>
    <n v="934"/>
    <n v="280"/>
    <n v="5.7283042011652867"/>
  </r>
  <r>
    <x v="2"/>
    <x v="147"/>
    <n v="11618"/>
    <n v="1655"/>
    <n v="663"/>
    <n v="176"/>
    <n v="5.7066620760888274"/>
  </r>
  <r>
    <x v="2"/>
    <x v="148"/>
    <n v="5171"/>
    <n v="976"/>
    <n v="374"/>
    <n v="70"/>
    <n v="7.2326435892477274"/>
  </r>
  <r>
    <x v="2"/>
    <x v="149"/>
    <n v="527"/>
    <n v="190"/>
    <n v="87"/>
    <n v="16"/>
    <n v="16.508538899430739"/>
  </r>
  <r>
    <x v="2"/>
    <x v="150"/>
    <n v="325"/>
    <n v="156"/>
    <n v="70"/>
    <n v="5"/>
    <n v="21.53846153846154"/>
  </r>
  <r>
    <x v="2"/>
    <x v="151"/>
    <n v="11895"/>
    <n v="2140"/>
    <n v="957"/>
    <n v="248"/>
    <n v="8.045397225725095"/>
  </r>
  <r>
    <x v="2"/>
    <x v="152"/>
    <n v="3151"/>
    <n v="942"/>
    <n v="505"/>
    <n v="147"/>
    <n v="16.026658203744844"/>
  </r>
  <r>
    <x v="2"/>
    <x v="153"/>
    <n v="5365"/>
    <n v="1221"/>
    <n v="622"/>
    <n v="182"/>
    <n v="11.593662628145387"/>
  </r>
  <r>
    <x v="2"/>
    <x v="154"/>
    <n v="378"/>
    <n v="136"/>
    <n v="63"/>
    <n v="16"/>
    <n v="16.666666666666668"/>
  </r>
  <r>
    <x v="2"/>
    <x v="155"/>
    <n v="1333"/>
    <n v="632"/>
    <n v="256"/>
    <n v="45"/>
    <n v="19.204801200300075"/>
  </r>
  <r>
    <x v="2"/>
    <x v="156"/>
    <n v="5787"/>
    <n v="1557"/>
    <n v="704"/>
    <n v="160"/>
    <n v="12.165197857266287"/>
  </r>
  <r>
    <x v="2"/>
    <x v="157"/>
    <n v="6532"/>
    <n v="784"/>
    <n v="244"/>
    <n v="67"/>
    <n v="3.7354562155541946"/>
  </r>
  <r>
    <x v="3"/>
    <x v="158"/>
    <n v="109265"/>
    <n v="20547"/>
    <n v="8178"/>
    <n v="2353"/>
    <n v="7.4845558962156229"/>
  </r>
  <r>
    <x v="3"/>
    <x v="159"/>
    <n v="5754"/>
    <n v="2085"/>
    <n v="792"/>
    <n v="209"/>
    <n v="13.764337851929092"/>
  </r>
  <r>
    <x v="3"/>
    <x v="160"/>
    <n v="627"/>
    <n v="340"/>
    <n v="119"/>
    <n v="10"/>
    <n v="18.9792663476874"/>
  </r>
  <r>
    <x v="3"/>
    <x v="161"/>
    <n v="803"/>
    <n v="307"/>
    <n v="125"/>
    <n v="34"/>
    <n v="15.566625155666252"/>
  </r>
  <r>
    <x v="3"/>
    <x v="162"/>
    <n v="9973"/>
    <n v="3415"/>
    <n v="1111"/>
    <n v="203"/>
    <n v="11.14007821117016"/>
  </r>
  <r>
    <x v="3"/>
    <x v="163"/>
    <n v="442"/>
    <n v="246"/>
    <n v="68"/>
    <n v="5"/>
    <n v="15.384615384615385"/>
  </r>
  <r>
    <x v="3"/>
    <x v="164"/>
    <n v="2306"/>
    <n v="1569"/>
    <n v="723"/>
    <n v="79"/>
    <n v="31.352992194275803"/>
  </r>
  <r>
    <x v="3"/>
    <x v="165"/>
    <n v="640"/>
    <n v="418"/>
    <n v="159"/>
    <n v="24"/>
    <n v="24.84375"/>
  </r>
  <r>
    <x v="3"/>
    <x v="166"/>
    <n v="942"/>
    <n v="435"/>
    <n v="158"/>
    <n v="40"/>
    <n v="16.772823779193207"/>
  </r>
  <r>
    <x v="3"/>
    <x v="167"/>
    <n v="545"/>
    <n v="322"/>
    <n v="128"/>
    <n v="17"/>
    <n v="23.486238532110093"/>
  </r>
  <r>
    <x v="3"/>
    <x v="168"/>
    <n v="664"/>
    <n v="432"/>
    <n v="144"/>
    <n v="10"/>
    <n v="21.686746987951807"/>
  </r>
  <r>
    <x v="3"/>
    <x v="169"/>
    <n v="244"/>
    <n v="168"/>
    <n v="71"/>
    <n v="9"/>
    <n v="29.098360655737704"/>
  </r>
  <r>
    <x v="3"/>
    <x v="170"/>
    <n v="58"/>
    <n v="55"/>
    <n v="40"/>
    <n v="3"/>
    <n v="68.965517241379317"/>
  </r>
  <r>
    <x v="3"/>
    <x v="171"/>
    <n v="64"/>
    <n v="50"/>
    <n v="13"/>
    <n v="1"/>
    <n v="20.3125"/>
  </r>
  <r>
    <x v="3"/>
    <x v="172"/>
    <n v="197"/>
    <n v="153"/>
    <n v="48"/>
    <n v="2"/>
    <n v="24.365482233502537"/>
  </r>
  <r>
    <x v="3"/>
    <x v="173"/>
    <n v="707"/>
    <n v="483"/>
    <n v="218"/>
    <n v="52"/>
    <n v="30.834512022630836"/>
  </r>
  <r>
    <x v="3"/>
    <x v="174"/>
    <n v="934"/>
    <n v="156"/>
    <n v="0"/>
    <n v="0"/>
    <n v="0"/>
  </r>
  <r>
    <x v="3"/>
    <x v="175"/>
    <n v="280"/>
    <n v="195"/>
    <n v="87"/>
    <n v="23"/>
    <n v="31.071428571428573"/>
  </r>
  <r>
    <x v="3"/>
    <x v="176"/>
    <n v="6196"/>
    <n v="1545"/>
    <n v="492"/>
    <n v="76"/>
    <n v="7.9406068431245966"/>
  </r>
  <r>
    <x v="3"/>
    <x v="177"/>
    <n v="1334"/>
    <n v="424"/>
    <n v="161"/>
    <n v="39"/>
    <n v="12.068965517241379"/>
  </r>
  <r>
    <x v="3"/>
    <x v="178"/>
    <n v="3166"/>
    <n v="1974"/>
    <n v="552"/>
    <n v="53"/>
    <n v="17.435249526216044"/>
  </r>
  <r>
    <x v="3"/>
    <x v="179"/>
    <n v="382"/>
    <n v="238"/>
    <n v="79"/>
    <n v="7"/>
    <n v="20.680628272251308"/>
  </r>
  <r>
    <x v="3"/>
    <x v="180"/>
    <n v="1471"/>
    <n v="974"/>
    <n v="245"/>
    <n v="17"/>
    <n v="16.655336505778383"/>
  </r>
  <r>
    <x v="3"/>
    <x v="181"/>
    <n v="159"/>
    <n v="93"/>
    <n v="31"/>
    <n v="4"/>
    <n v="19.49685534591195"/>
  </r>
  <r>
    <x v="3"/>
    <x v="182"/>
    <n v="345"/>
    <n v="180"/>
    <n v="67"/>
    <n v="6"/>
    <n v="19.420289855072465"/>
  </r>
  <r>
    <x v="3"/>
    <x v="183"/>
    <n v="1645"/>
    <n v="1005"/>
    <n v="462"/>
    <n v="80"/>
    <n v="28.085106382978722"/>
  </r>
  <r>
    <x v="3"/>
    <x v="184"/>
    <n v="1407"/>
    <n v="490"/>
    <n v="132"/>
    <n v="23"/>
    <n v="9.3816631130063968"/>
  </r>
  <r>
    <x v="3"/>
    <x v="185"/>
    <n v="1494"/>
    <n v="1085"/>
    <n v="472"/>
    <n v="58"/>
    <n v="31.593038821954483"/>
  </r>
  <r>
    <x v="3"/>
    <x v="186"/>
    <n v="319"/>
    <n v="106"/>
    <n v="0"/>
    <n v="0"/>
    <n v="0"/>
  </r>
  <r>
    <x v="3"/>
    <x v="187"/>
    <n v="882"/>
    <n v="430"/>
    <n v="145"/>
    <n v="20"/>
    <n v="16.439909297052154"/>
  </r>
  <r>
    <x v="3"/>
    <x v="188"/>
    <n v="2022"/>
    <n v="901"/>
    <n v="280"/>
    <n v="27"/>
    <n v="13.847675568743819"/>
  </r>
  <r>
    <x v="3"/>
    <x v="189"/>
    <n v="149"/>
    <n v="77"/>
    <n v="29"/>
    <n v="2"/>
    <n v="19.463087248322147"/>
  </r>
  <r>
    <x v="3"/>
    <x v="190"/>
    <n v="135"/>
    <n v="79"/>
    <n v="33"/>
    <n v="1"/>
    <n v="24.444444444444443"/>
  </r>
  <r>
    <x v="3"/>
    <x v="191"/>
    <n v="812"/>
    <n v="548"/>
    <n v="158"/>
    <n v="18"/>
    <n v="19.458128078817733"/>
  </r>
  <r>
    <x v="3"/>
    <x v="192"/>
    <n v="1502"/>
    <n v="874"/>
    <n v="354"/>
    <n v="58"/>
    <n v="23.568575233022635"/>
  </r>
  <r>
    <x v="4"/>
    <x v="193"/>
    <n v="56730"/>
    <n v="8729"/>
    <n v="3657"/>
    <n v="1359"/>
    <n v="6.4463246959280802"/>
  </r>
  <r>
    <x v="4"/>
    <x v="194"/>
    <n v="3516"/>
    <n v="2344"/>
    <n v="1267"/>
    <n v="517"/>
    <n v="36.035267349260522"/>
  </r>
  <r>
    <x v="4"/>
    <x v="195"/>
    <n v="1475"/>
    <n v="905"/>
    <n v="500"/>
    <n v="213"/>
    <n v="33.898305084745765"/>
  </r>
  <r>
    <x v="4"/>
    <x v="196"/>
    <n v="326"/>
    <n v="238"/>
    <n v="128"/>
    <n v="40"/>
    <n v="39.263803680981596"/>
  </r>
  <r>
    <x v="4"/>
    <x v="197"/>
    <n v="5288"/>
    <n v="495"/>
    <n v="0"/>
    <n v="0"/>
    <n v="0"/>
  </r>
  <r>
    <x v="4"/>
    <x v="198"/>
    <n v="1558"/>
    <n v="1376"/>
    <n v="439"/>
    <n v="0"/>
    <n v="28.177150192554556"/>
  </r>
  <r>
    <x v="4"/>
    <x v="199"/>
    <n v="10943"/>
    <n v="2514"/>
    <n v="505"/>
    <n v="64"/>
    <n v="4.6148222608059948"/>
  </r>
  <r>
    <x v="4"/>
    <x v="200"/>
    <n v="7221"/>
    <n v="3134"/>
    <n v="1302"/>
    <n v="425"/>
    <n v="18.030743664312421"/>
  </r>
  <r>
    <x v="4"/>
    <x v="201"/>
    <n v="2334"/>
    <n v="1462"/>
    <n v="643"/>
    <n v="243"/>
    <n v="27.549271636675236"/>
  </r>
  <r>
    <x v="4"/>
    <x v="202"/>
    <n v="1687"/>
    <n v="223"/>
    <n v="54"/>
    <n v="0"/>
    <n v="3.200948429164197"/>
  </r>
  <r>
    <x v="4"/>
    <x v="203"/>
    <n v="2552"/>
    <n v="967"/>
    <n v="503"/>
    <n v="117"/>
    <n v="19.710031347962381"/>
  </r>
  <r>
    <x v="4"/>
    <x v="204"/>
    <n v="3279"/>
    <n v="882"/>
    <n v="296"/>
    <n v="53"/>
    <n v="9.0271424214699607"/>
  </r>
  <r>
    <x v="4"/>
    <x v="205"/>
    <n v="5066"/>
    <n v="2457"/>
    <n v="1064"/>
    <n v="301"/>
    <n v="21.002763521515988"/>
  </r>
  <r>
    <x v="4"/>
    <x v="206"/>
    <n v="2390"/>
    <n v="599"/>
    <n v="210"/>
    <n v="30"/>
    <n v="8.7866108786610884"/>
  </r>
  <r>
    <x v="4"/>
    <x v="207"/>
    <n v="3210"/>
    <n v="1736"/>
    <n v="795"/>
    <n v="205"/>
    <n v="24.766355140186917"/>
  </r>
  <r>
    <x v="4"/>
    <x v="208"/>
    <n v="4021"/>
    <n v="2110"/>
    <n v="411"/>
    <n v="33"/>
    <n v="10.221337975627954"/>
  </r>
  <r>
    <x v="4"/>
    <x v="209"/>
    <n v="2254"/>
    <n v="1156"/>
    <n v="415"/>
    <n v="90"/>
    <n v="18.411712511091395"/>
  </r>
  <r>
    <x v="4"/>
    <x v="210"/>
    <n v="5872"/>
    <n v="2164"/>
    <n v="833"/>
    <n v="287"/>
    <n v="14.185967302452315"/>
  </r>
  <r>
    <x v="4"/>
    <x v="211"/>
    <n v="2407"/>
    <n v="459"/>
    <n v="78"/>
    <n v="1"/>
    <n v="3.2405484004985459"/>
  </r>
  <r>
    <x v="4"/>
    <x v="212"/>
    <n v="3490"/>
    <n v="1808"/>
    <n v="515"/>
    <n v="103"/>
    <n v="14.756446991404012"/>
  </r>
  <r>
    <x v="4"/>
    <x v="213"/>
    <n v="1478"/>
    <n v="930"/>
    <n v="313"/>
    <n v="3"/>
    <n v="21.17726657645467"/>
  </r>
  <r>
    <x v="4"/>
    <x v="214"/>
    <n v="14138"/>
    <n v="2993"/>
    <n v="1128"/>
    <n v="371"/>
    <n v="7.9784976658650448"/>
  </r>
  <r>
    <x v="4"/>
    <x v="215"/>
    <n v="2977"/>
    <n v="696"/>
    <n v="138"/>
    <n v="20"/>
    <n v="4.635539133355727"/>
  </r>
  <r>
    <x v="4"/>
    <x v="216"/>
    <n v="3330"/>
    <n v="1144"/>
    <n v="501"/>
    <n v="70"/>
    <n v="15.045045045045045"/>
  </r>
  <r>
    <x v="4"/>
    <x v="217"/>
    <n v="217"/>
    <n v="98"/>
    <n v="48"/>
    <n v="7"/>
    <n v="22.119815668202765"/>
  </r>
  <r>
    <x v="4"/>
    <x v="218"/>
    <n v="329"/>
    <n v="186"/>
    <n v="84"/>
    <n v="21"/>
    <n v="25.531914893617021"/>
  </r>
  <r>
    <x v="4"/>
    <x v="219"/>
    <n v="92"/>
    <n v="42"/>
    <n v="5"/>
    <n v="2"/>
    <n v="5.4347826086956523"/>
  </r>
  <r>
    <x v="4"/>
    <x v="220"/>
    <n v="339"/>
    <n v="199"/>
    <n v="53"/>
    <n v="23"/>
    <n v="15.634218289085545"/>
  </r>
  <r>
    <x v="4"/>
    <x v="221"/>
    <n v="5565"/>
    <n v="3115"/>
    <n v="1313"/>
    <n v="515"/>
    <n v="23.593890386343215"/>
  </r>
  <r>
    <x v="4"/>
    <x v="222"/>
    <n v="3185"/>
    <n v="1510"/>
    <n v="565"/>
    <n v="185"/>
    <n v="17.739403453689167"/>
  </r>
  <r>
    <x v="4"/>
    <x v="223"/>
    <n v="1545"/>
    <n v="816"/>
    <n v="364"/>
    <n v="68"/>
    <n v="23.559870550161811"/>
  </r>
  <r>
    <x v="4"/>
    <x v="224"/>
    <n v="10799"/>
    <n v="3339"/>
    <n v="1146"/>
    <n v="166"/>
    <n v="10.612093712380776"/>
  </r>
  <r>
    <x v="4"/>
    <x v="225"/>
    <n v="2818"/>
    <n v="1482"/>
    <n v="629"/>
    <n v="126"/>
    <n v="22.320794889992904"/>
  </r>
  <r>
    <x v="4"/>
    <x v="226"/>
    <n v="2344"/>
    <n v="706"/>
    <n v="405"/>
    <n v="192"/>
    <n v="17.278156996587029"/>
  </r>
  <r>
    <x v="4"/>
    <x v="227"/>
    <n v="725"/>
    <n v="445"/>
    <n v="72"/>
    <n v="2"/>
    <n v="9.931034482758621"/>
  </r>
  <r>
    <x v="4"/>
    <x v="228"/>
    <n v="1121"/>
    <n v="540"/>
    <n v="203"/>
    <n v="44"/>
    <n v="18.108831400535237"/>
  </r>
  <r>
    <x v="4"/>
    <x v="229"/>
    <n v="1590"/>
    <n v="884"/>
    <n v="451"/>
    <n v="216"/>
    <n v="28.364779874213838"/>
  </r>
  <r>
    <x v="4"/>
    <x v="230"/>
    <n v="456"/>
    <n v="293"/>
    <n v="170"/>
    <n v="67"/>
    <n v="37.280701754385966"/>
  </r>
  <r>
    <x v="4"/>
    <x v="231"/>
    <n v="12424"/>
    <n v="2167"/>
    <n v="745"/>
    <n v="159"/>
    <n v="5.9964584674822925"/>
  </r>
  <r>
    <x v="4"/>
    <x v="232"/>
    <n v="507"/>
    <n v="208"/>
    <n v="94"/>
    <n v="30"/>
    <n v="18.54043392504931"/>
  </r>
  <r>
    <x v="5"/>
    <x v="233"/>
    <n v="66115"/>
    <n v="9903"/>
    <n v="3802"/>
    <n v="1311"/>
    <n v="5.750586099977312"/>
  </r>
  <r>
    <x v="5"/>
    <x v="234"/>
    <n v="5218"/>
    <n v="1790"/>
    <n v="990"/>
    <n v="449"/>
    <n v="18.972786508240706"/>
  </r>
  <r>
    <x v="5"/>
    <x v="235"/>
    <n v="9904"/>
    <n v="1328"/>
    <n v="424"/>
    <n v="123"/>
    <n v="4.2810985460420028"/>
  </r>
  <r>
    <x v="5"/>
    <x v="236"/>
    <n v="25327"/>
    <n v="3250"/>
    <n v="1144"/>
    <n v="299"/>
    <n v="4.5169187033600506"/>
  </r>
  <r>
    <x v="5"/>
    <x v="237"/>
    <n v="4392"/>
    <n v="995"/>
    <n v="418"/>
    <n v="157"/>
    <n v="9.5173041894353378"/>
  </r>
  <r>
    <x v="5"/>
    <x v="238"/>
    <n v="13201"/>
    <n v="2551"/>
    <n v="718"/>
    <n v="190"/>
    <n v="5.4389818953109614"/>
  </r>
  <r>
    <x v="5"/>
    <x v="239"/>
    <n v="4332"/>
    <n v="1042"/>
    <n v="517"/>
    <n v="242"/>
    <n v="11.934441366574331"/>
  </r>
  <r>
    <x v="5"/>
    <x v="240"/>
    <n v="1356"/>
    <n v="726"/>
    <n v="396"/>
    <n v="193"/>
    <n v="29.20353982300885"/>
  </r>
  <r>
    <x v="5"/>
    <x v="241"/>
    <n v="8536"/>
    <n v="1971"/>
    <n v="951"/>
    <n v="367"/>
    <n v="11.141049671977507"/>
  </r>
  <r>
    <x v="5"/>
    <x v="242"/>
    <n v="2952"/>
    <n v="1053"/>
    <n v="555"/>
    <n v="227"/>
    <n v="18.800813008130081"/>
  </r>
  <r>
    <x v="5"/>
    <x v="243"/>
    <n v="5997"/>
    <n v="1753"/>
    <n v="657"/>
    <n v="180"/>
    <n v="10.955477738869435"/>
  </r>
  <r>
    <x v="6"/>
    <x v="244"/>
    <n v="421625"/>
    <n v="51865"/>
    <n v="24601"/>
    <n v="13466"/>
    <n v="5.8348058108508747"/>
  </r>
  <r>
    <x v="6"/>
    <x v="245"/>
    <n v="23887"/>
    <n v="5448"/>
    <n v="3009"/>
    <n v="1807"/>
    <n v="12.596809980324025"/>
  </r>
  <r>
    <x v="6"/>
    <x v="246"/>
    <n v="8522"/>
    <n v="1548"/>
    <n v="768"/>
    <n v="408"/>
    <n v="9.0119690213564887"/>
  </r>
  <r>
    <x v="6"/>
    <x v="247"/>
    <n v="40714"/>
    <n v="5523"/>
    <n v="2584"/>
    <n v="1305"/>
    <n v="6.3467112049909122"/>
  </r>
  <r>
    <x v="6"/>
    <x v="248"/>
    <n v="15568"/>
    <n v="2346"/>
    <n v="1116"/>
    <n v="572"/>
    <n v="7.1685508735868444"/>
  </r>
  <r>
    <x v="6"/>
    <x v="249"/>
    <n v="47624"/>
    <n v="8307"/>
    <n v="4534"/>
    <n v="2590"/>
    <n v="9.520409877372753"/>
  </r>
  <r>
    <x v="6"/>
    <x v="250"/>
    <n v="2190"/>
    <n v="427"/>
    <n v="250"/>
    <n v="170"/>
    <n v="11.415525114155251"/>
  </r>
  <r>
    <x v="6"/>
    <x v="251"/>
    <n v="288"/>
    <n v="28"/>
    <n v="13"/>
    <n v="11"/>
    <n v="4.5138888888888893"/>
  </r>
  <r>
    <x v="6"/>
    <x v="252"/>
    <n v="72"/>
    <n v="10"/>
    <n v="3"/>
    <n v="3"/>
    <n v="4.166666666666667"/>
  </r>
  <r>
    <x v="6"/>
    <x v="253"/>
    <n v="16"/>
    <n v="4"/>
    <n v="2"/>
    <n v="2"/>
    <n v="12.5"/>
  </r>
  <r>
    <x v="6"/>
    <x v="254"/>
    <n v="3948"/>
    <n v="784"/>
    <n v="429"/>
    <n v="231"/>
    <n v="10.866261398176292"/>
  </r>
  <r>
    <x v="6"/>
    <x v="255"/>
    <n v="4626"/>
    <n v="785"/>
    <n v="427"/>
    <n v="279"/>
    <n v="9.2304366623432763"/>
  </r>
  <r>
    <x v="6"/>
    <x v="256"/>
    <n v="13526"/>
    <n v="2369"/>
    <n v="1230"/>
    <n v="710"/>
    <n v="9.0935975158953131"/>
  </r>
  <r>
    <x v="6"/>
    <x v="257"/>
    <n v="1881"/>
    <n v="323"/>
    <n v="191"/>
    <n v="116"/>
    <n v="10.15417331206805"/>
  </r>
  <r>
    <x v="6"/>
    <x v="258"/>
    <n v="269"/>
    <n v="62"/>
    <n v="36"/>
    <n v="24"/>
    <n v="13.382899628252789"/>
  </r>
  <r>
    <x v="6"/>
    <x v="259"/>
    <n v="6504"/>
    <n v="1186"/>
    <n v="588"/>
    <n v="368"/>
    <n v="9.0405904059040587"/>
  </r>
  <r>
    <x v="6"/>
    <x v="260"/>
    <n v="313"/>
    <n v="66"/>
    <n v="37"/>
    <n v="21"/>
    <n v="11.821086261980831"/>
  </r>
  <r>
    <x v="6"/>
    <x v="261"/>
    <n v="4855"/>
    <n v="608"/>
    <n v="297"/>
    <n v="154"/>
    <n v="6.11740473738414"/>
  </r>
  <r>
    <x v="6"/>
    <x v="262"/>
    <n v="3794"/>
    <n v="764"/>
    <n v="419"/>
    <n v="248"/>
    <n v="11.043753294675804"/>
  </r>
  <r>
    <x v="6"/>
    <x v="263"/>
    <n v="1217"/>
    <n v="243"/>
    <n v="145"/>
    <n v="100"/>
    <n v="11.914543960558751"/>
  </r>
  <r>
    <x v="6"/>
    <x v="264"/>
    <n v="174"/>
    <n v="39"/>
    <n v="22"/>
    <n v="18"/>
    <n v="12.64367816091954"/>
  </r>
  <r>
    <x v="6"/>
    <x v="265"/>
    <n v="1038"/>
    <n v="263"/>
    <n v="140"/>
    <n v="16"/>
    <n v="13.48747591522158"/>
  </r>
  <r>
    <x v="6"/>
    <x v="266"/>
    <n v="4703"/>
    <n v="1079"/>
    <n v="596"/>
    <n v="339"/>
    <n v="12.672762066765895"/>
  </r>
  <r>
    <x v="6"/>
    <x v="267"/>
    <n v="165"/>
    <n v="40"/>
    <n v="21"/>
    <n v="13"/>
    <n v="12.727272727272727"/>
  </r>
  <r>
    <x v="6"/>
    <x v="268"/>
    <n v="260"/>
    <n v="73"/>
    <n v="39"/>
    <n v="30"/>
    <n v="15"/>
  </r>
  <r>
    <x v="6"/>
    <x v="269"/>
    <n v="2030"/>
    <n v="285"/>
    <n v="115"/>
    <n v="57"/>
    <n v="5.6650246305418719"/>
  </r>
  <r>
    <x v="6"/>
    <x v="270"/>
    <n v="224"/>
    <n v="52"/>
    <n v="25"/>
    <n v="9"/>
    <n v="11.160714285714286"/>
  </r>
  <r>
    <x v="6"/>
    <x v="271"/>
    <n v="442"/>
    <n v="106"/>
    <n v="39"/>
    <n v="10"/>
    <n v="8.8235294117647065"/>
  </r>
  <r>
    <x v="6"/>
    <x v="272"/>
    <n v="48"/>
    <n v="20"/>
    <n v="10"/>
    <n v="3"/>
    <n v="20.833333333333332"/>
  </r>
  <r>
    <x v="6"/>
    <x v="273"/>
    <n v="33"/>
    <n v="5"/>
    <n v="3"/>
    <n v="0"/>
    <n v="9.0909090909090917"/>
  </r>
  <r>
    <x v="6"/>
    <x v="274"/>
    <n v="16"/>
    <n v="9"/>
    <n v="7"/>
    <n v="1"/>
    <n v="43.75"/>
  </r>
  <r>
    <x v="6"/>
    <x v="275"/>
    <n v="493"/>
    <n v="123"/>
    <n v="61"/>
    <n v="27"/>
    <n v="12.373225152129818"/>
  </r>
  <r>
    <x v="6"/>
    <x v="276"/>
    <n v="220"/>
    <n v="41"/>
    <n v="19"/>
    <n v="9"/>
    <n v="8.6363636363636367"/>
  </r>
  <r>
    <x v="6"/>
    <x v="277"/>
    <n v="260"/>
    <n v="49"/>
    <n v="28"/>
    <n v="15"/>
    <n v="10.76923076923077"/>
  </r>
  <r>
    <x v="6"/>
    <x v="278"/>
    <n v="41"/>
    <n v="10"/>
    <n v="3"/>
    <n v="0"/>
    <n v="7.3170731707317076"/>
  </r>
  <r>
    <x v="6"/>
    <x v="279"/>
    <n v="32005"/>
    <n v="4223"/>
    <n v="1838"/>
    <n v="908"/>
    <n v="5.7428526792688643"/>
  </r>
  <r>
    <x v="6"/>
    <x v="280"/>
    <n v="3257"/>
    <n v="610"/>
    <n v="335"/>
    <n v="197"/>
    <n v="10.285538839422781"/>
  </r>
  <r>
    <x v="6"/>
    <x v="281"/>
    <n v="5322"/>
    <n v="811"/>
    <n v="402"/>
    <n v="246"/>
    <n v="7.5535512965050735"/>
  </r>
  <r>
    <x v="6"/>
    <x v="282"/>
    <n v="3045"/>
    <n v="486"/>
    <n v="243"/>
    <n v="143"/>
    <n v="7.9802955665024626"/>
  </r>
  <r>
    <x v="6"/>
    <x v="283"/>
    <n v="3413"/>
    <n v="593"/>
    <n v="324"/>
    <n v="194"/>
    <n v="9.4931145619689428"/>
  </r>
  <r>
    <x v="6"/>
    <x v="284"/>
    <n v="599"/>
    <n v="148"/>
    <n v="67"/>
    <n v="32"/>
    <n v="11.185308848080133"/>
  </r>
  <r>
    <x v="6"/>
    <x v="285"/>
    <n v="161"/>
    <n v="40"/>
    <n v="25"/>
    <n v="15"/>
    <n v="15.527950310559007"/>
  </r>
  <r>
    <x v="6"/>
    <x v="286"/>
    <n v="162"/>
    <n v="41"/>
    <n v="19"/>
    <n v="11"/>
    <n v="11.728395061728396"/>
  </r>
  <r>
    <x v="6"/>
    <x v="287"/>
    <n v="1517"/>
    <n v="287"/>
    <n v="134"/>
    <n v="72"/>
    <n v="8.8332234673698089"/>
  </r>
  <r>
    <x v="6"/>
    <x v="288"/>
    <n v="146"/>
    <n v="32"/>
    <n v="14"/>
    <n v="12"/>
    <n v="9.5890410958904102"/>
  </r>
  <r>
    <x v="6"/>
    <x v="289"/>
    <n v="16"/>
    <n v="0"/>
    <n v="0"/>
    <n v="0"/>
    <n v="0"/>
  </r>
  <r>
    <x v="6"/>
    <x v="290"/>
    <n v="585"/>
    <n v="136"/>
    <n v="52"/>
    <n v="18"/>
    <n v="8.8888888888888893"/>
  </r>
  <r>
    <x v="6"/>
    <x v="291"/>
    <n v="105"/>
    <n v="24"/>
    <n v="11"/>
    <n v="4"/>
    <n v="10.476190476190476"/>
  </r>
  <r>
    <x v="6"/>
    <x v="292"/>
    <n v="257"/>
    <n v="51"/>
    <n v="25"/>
    <n v="16"/>
    <n v="9.7276264591439681"/>
  </r>
  <r>
    <x v="6"/>
    <x v="293"/>
    <n v="354"/>
    <n v="58"/>
    <n v="27"/>
    <n v="15"/>
    <n v="7.6271186440677967"/>
  </r>
  <r>
    <x v="6"/>
    <x v="294"/>
    <n v="40"/>
    <n v="8"/>
    <n v="3"/>
    <n v="1"/>
    <n v="7.5"/>
  </r>
  <r>
    <x v="6"/>
    <x v="295"/>
    <n v="632"/>
    <n v="172"/>
    <n v="81"/>
    <n v="61"/>
    <n v="12.816455696202532"/>
  </r>
  <r>
    <x v="6"/>
    <x v="296"/>
    <n v="80"/>
    <n v="24"/>
    <n v="16"/>
    <n v="13"/>
    <n v="20"/>
  </r>
  <r>
    <x v="6"/>
    <x v="297"/>
    <n v="157"/>
    <n v="46"/>
    <n v="23"/>
    <n v="7"/>
    <n v="14.64968152866242"/>
  </r>
  <r>
    <x v="7"/>
    <x v="298"/>
    <n v="33095"/>
    <n v="2845"/>
    <n v="405"/>
    <n v="79"/>
    <n v="1.2237498111497205"/>
  </r>
  <r>
    <x v="7"/>
    <x v="299"/>
    <n v="402"/>
    <n v="63"/>
    <n v="18"/>
    <n v="2"/>
    <n v="4.4776119402985071"/>
  </r>
  <r>
    <x v="7"/>
    <x v="300"/>
    <n v="23337"/>
    <n v="2251"/>
    <n v="387"/>
    <n v="67"/>
    <n v="1.658310836868492"/>
  </r>
  <r>
    <x v="7"/>
    <x v="301"/>
    <n v="9284"/>
    <n v="608"/>
    <n v="71"/>
    <n v="14"/>
    <n v="0.76475657044377421"/>
  </r>
  <r>
    <x v="7"/>
    <x v="302"/>
    <n v="2213"/>
    <n v="294"/>
    <n v="68"/>
    <n v="15"/>
    <n v="3.0727519204699503"/>
  </r>
  <r>
    <x v="7"/>
    <x v="303"/>
    <n v="8467"/>
    <n v="1435"/>
    <n v="274"/>
    <n v="41"/>
    <n v="3.2360930672020785"/>
  </r>
  <r>
    <x v="7"/>
    <x v="304"/>
    <n v="1913"/>
    <n v="353"/>
    <n v="58"/>
    <n v="0"/>
    <n v="3.0318870883429168"/>
  </r>
  <r>
    <x v="7"/>
    <x v="305"/>
    <n v="5695"/>
    <n v="1352"/>
    <n v="316"/>
    <n v="48"/>
    <n v="5.5487269534679546"/>
  </r>
  <r>
    <x v="7"/>
    <x v="306"/>
    <n v="3233"/>
    <n v="323"/>
    <n v="72"/>
    <n v="20"/>
    <n v="2.2270337148159602"/>
  </r>
  <r>
    <x v="7"/>
    <x v="307"/>
    <n v="183"/>
    <n v="18"/>
    <n v="0"/>
    <n v="0"/>
    <n v="0"/>
  </r>
  <r>
    <x v="7"/>
    <x v="308"/>
    <n v="3548"/>
    <n v="624"/>
    <n v="99"/>
    <n v="17"/>
    <n v="2.7903043968432919"/>
  </r>
  <r>
    <x v="7"/>
    <x v="309"/>
    <n v="350"/>
    <n v="74"/>
    <n v="13"/>
    <n v="5"/>
    <n v="3.7142857142857144"/>
  </r>
  <r>
    <x v="7"/>
    <x v="310"/>
    <n v="1332"/>
    <n v="259"/>
    <n v="75"/>
    <n v="16"/>
    <n v="5.6306306306306304"/>
  </r>
  <r>
    <x v="7"/>
    <x v="311"/>
    <n v="1192"/>
    <n v="134"/>
    <n v="15"/>
    <n v="2"/>
    <n v="1.2583892617449663"/>
  </r>
  <r>
    <x v="7"/>
    <x v="312"/>
    <n v="1065"/>
    <n v="122"/>
    <n v="23"/>
    <n v="0"/>
    <n v="2.15962441314554"/>
  </r>
  <r>
    <x v="7"/>
    <x v="313"/>
    <n v="2366"/>
    <n v="269"/>
    <n v="39"/>
    <n v="5"/>
    <n v="1.6483516483516483"/>
  </r>
  <r>
    <x v="7"/>
    <x v="314"/>
    <n v="1149"/>
    <n v="175"/>
    <n v="16"/>
    <n v="2"/>
    <n v="1.392515230635335"/>
  </r>
  <r>
    <x v="7"/>
    <x v="315"/>
    <n v="834"/>
    <n v="97"/>
    <n v="8"/>
    <n v="0"/>
    <n v="0.95923261390887293"/>
  </r>
  <r>
    <x v="8"/>
    <x v="316"/>
    <n v="15132"/>
    <n v="1570"/>
    <n v="262"/>
    <n v="58"/>
    <n v="1.7314300819455459"/>
  </r>
  <r>
    <x v="8"/>
    <x v="317"/>
    <n v="1358"/>
    <n v="237"/>
    <n v="42"/>
    <n v="3"/>
    <n v="3.0927835051546393"/>
  </r>
  <r>
    <x v="8"/>
    <x v="318"/>
    <n v="437"/>
    <n v="75"/>
    <n v="16"/>
    <n v="2"/>
    <n v="3.6613272311212817"/>
  </r>
  <r>
    <x v="8"/>
    <x v="319"/>
    <n v="1247"/>
    <n v="211"/>
    <n v="38"/>
    <n v="5"/>
    <n v="3.0473135525260626"/>
  </r>
  <r>
    <x v="8"/>
    <x v="320"/>
    <n v="155"/>
    <n v="18"/>
    <n v="4"/>
    <n v="1"/>
    <n v="2.5806451612903225"/>
  </r>
  <r>
    <x v="8"/>
    <x v="321"/>
    <n v="1104"/>
    <n v="194"/>
    <n v="42"/>
    <n v="7"/>
    <n v="3.8043478260869565"/>
  </r>
  <r>
    <x v="8"/>
    <x v="322"/>
    <n v="833"/>
    <n v="142"/>
    <n v="11"/>
    <n v="4"/>
    <n v="1.3205282112845138"/>
  </r>
  <r>
    <x v="8"/>
    <x v="323"/>
    <n v="1101"/>
    <n v="143"/>
    <n v="22"/>
    <n v="3"/>
    <n v="1.9981834695731153"/>
  </r>
  <r>
    <x v="8"/>
    <x v="324"/>
    <n v="476"/>
    <n v="100"/>
    <n v="34"/>
    <n v="11"/>
    <n v="7.14285714285714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9D805-FC74-440B-916E-120034756E33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14:M18" firstHeaderRow="0" firstDataRow="1" firstDataCol="1"/>
  <pivotFields count="7">
    <pivotField showAll="0"/>
    <pivotField axis="axisRow" showAll="0">
      <items count="330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x="238"/>
        <item x="239"/>
        <item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t="default"/>
      </items>
    </pivotField>
    <pivotField dataField="1" showAll="0"/>
    <pivotField showAll="0"/>
    <pivotField dataField="1" showAll="0"/>
    <pivotField showAll="0"/>
    <pivotField numFmtId="166" showAll="0"/>
  </pivotFields>
  <rowFields count="1">
    <field x="1"/>
  </rowFields>
  <rowItems count="4">
    <i>
      <x v="238"/>
    </i>
    <i>
      <x v="239"/>
    </i>
    <i>
      <x v="24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n_id_unicos" fld="2" baseField="0" baseItem="0"/>
    <dataField name="Suma de n_id_zero_6_12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408D1-4802-4B76-BF26-4B4E2D74DD31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1:M11" firstHeaderRow="0" firstDataRow="1" firstDataCol="1"/>
  <pivotFields count="7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dataField="1" showAll="0"/>
    <pivotField showAll="0"/>
    <pivotField dataField="1" showAll="0"/>
    <pivotField showAll="0"/>
    <pivotField numFmtId="166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n_id_unicos" fld="2" baseField="0" baseItem="0"/>
    <dataField name="Suma de n_id_zero_6_12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C5333-DAAF-4B9D-8425-170039A81DD4}" name="TablaDinámica5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1:M11" firstHeaderRow="0" firstDataRow="1" firstDataCol="1"/>
  <pivotFields count="7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dataField="1" showAll="0"/>
    <pivotField showAll="0"/>
    <pivotField dataField="1" showAll="0"/>
    <pivotField showAll="0"/>
    <pivotField numFmtId="166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n_id_unicos" fld="2" baseField="0" baseItem="0"/>
    <dataField name="Suma de n_id_zero_6_12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A2883-B431-4964-80F0-E17B13F8749B}" name="TablaDinámica4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14:M18" firstHeaderRow="0" firstDataRow="1" firstDataCol="1"/>
  <pivotFields count="7">
    <pivotField showAll="0"/>
    <pivotField axis="axisRow" showAll="0">
      <items count="326">
        <item h="1" x="0"/>
        <item h="1" x="1"/>
        <item h="1" x="2"/>
        <item h="1" x="3"/>
        <item h="1" x="4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8"/>
        <item h="1" x="209"/>
        <item h="1" x="210"/>
        <item h="1" x="211"/>
        <item h="1" x="212"/>
        <item h="1" x="213"/>
        <item h="1" x="214"/>
        <item h="1" x="216"/>
        <item h="1" x="217"/>
        <item h="1" x="218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x="236"/>
        <item x="237"/>
        <item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207"/>
        <item h="1" x="219"/>
        <item h="1" x="307"/>
        <item h="1" x="324"/>
        <item h="1" x="5"/>
        <item h="1" x="44"/>
        <item h="1" x="128"/>
        <item h="1" x="215"/>
        <item t="default"/>
      </items>
    </pivotField>
    <pivotField dataField="1" showAll="0"/>
    <pivotField showAll="0"/>
    <pivotField dataField="1" showAll="0"/>
    <pivotField showAll="0"/>
    <pivotField numFmtId="166" showAll="0"/>
  </pivotFields>
  <rowFields count="1">
    <field x="1"/>
  </rowFields>
  <rowItems count="4">
    <i>
      <x v="230"/>
    </i>
    <i>
      <x v="231"/>
    </i>
    <i>
      <x v="23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n_id_unicos" fld="2" baseField="0" baseItem="0"/>
    <dataField name="Suma de n_id_zero_6_12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E78B89-F140-4534-83BD-9874FF40A63B}" name="Tabla1" displayName="Tabla1" ref="A1:D344" totalsRowShown="0">
  <autoFilter ref="A1:D344" xr:uid="{64E78B89-F140-4534-83BD-9874FF40A63B}"/>
  <sortState xmlns:xlrd2="http://schemas.microsoft.com/office/spreadsheetml/2017/richdata2" ref="A2:D344">
    <sortCondition ref="A1:A344"/>
  </sortState>
  <tableColumns count="4">
    <tableColumn id="1" xr3:uid="{83C48D74-8FBE-4800-B166-5280E2FE3947}" name="COD" dataDxfId="3"/>
    <tableColumn id="2" xr3:uid="{AE165EB5-824E-40B3-A2EF-D86F2D49822A}" name="Name" dataDxfId="2" dataCellStyle="Millares 2"/>
    <tableColumn id="3" xr3:uid="{4375C323-E67A-4D22-AE6A-7D4D6A1B65F7}" name="Porcentaje de medidores eléctricos residenciales con consumo cero 2016 (%)" dataDxfId="1" dataCellStyle="Porcentaje">
      <calculatedColumnFormula>IFERROR(VLOOKUP(A2,datos_2016!$B$1:$G$330,6,FALSE),"")</calculatedColumnFormula>
    </tableColumn>
    <tableColumn id="4" xr3:uid="{7799B7E2-ACD9-4874-954B-382E6BBE9CB3}" name="Porcentaje de medidores eléctricos residenciales con consumo cero 2023 (%)" dataDxfId="0" dataCellStyle="Porcentaje">
      <calculatedColumnFormula>IFERROR(VLOOKUP(A2,datos_2024!$B$1:$G$322,6,FALSE),"")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N330"/>
  <sheetViews>
    <sheetView topLeftCell="A304" workbookViewId="0">
      <selection activeCell="C326" sqref="C326"/>
    </sheetView>
  </sheetViews>
  <sheetFormatPr baseColWidth="10" defaultColWidth="8.88671875" defaultRowHeight="14.4"/>
  <cols>
    <col min="3" max="6" width="15" customWidth="1"/>
    <col min="7" max="7" width="9.44140625" bestFit="1" customWidth="1"/>
    <col min="11" max="11" width="16.5546875" bestFit="1" customWidth="1"/>
    <col min="12" max="12" width="19" bestFit="1" customWidth="1"/>
    <col min="13" max="13" width="22.21875" bestFit="1" customWidth="1"/>
  </cols>
  <sheetData>
    <row r="1" spans="1:14" s="1" customFormat="1" ht="15">
      <c r="A1" s="1" t="s">
        <v>348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9" t="s">
        <v>346</v>
      </c>
      <c r="K1" s="16" t="s">
        <v>349</v>
      </c>
      <c r="L1" t="s">
        <v>351</v>
      </c>
      <c r="M1" t="s">
        <v>352</v>
      </c>
      <c r="N1" s="2" t="s">
        <v>346</v>
      </c>
    </row>
    <row r="2" spans="1:14">
      <c r="A2">
        <f>VALUE(MID(B2,1,1))</f>
        <v>1</v>
      </c>
      <c r="B2">
        <v>10101</v>
      </c>
      <c r="C2">
        <v>67379</v>
      </c>
      <c r="D2">
        <v>8920</v>
      </c>
      <c r="E2">
        <v>2422</v>
      </c>
      <c r="F2">
        <v>560</v>
      </c>
      <c r="G2" s="10">
        <f>100*E2/C2</f>
        <v>3.5945917867584858</v>
      </c>
      <c r="K2" s="15">
        <v>1</v>
      </c>
      <c r="L2">
        <v>111655</v>
      </c>
      <c r="M2">
        <v>6852</v>
      </c>
      <c r="N2">
        <f>100*M2/L2</f>
        <v>6.136760557073127</v>
      </c>
    </row>
    <row r="3" spans="1:14">
      <c r="A3">
        <f t="shared" ref="A3:A66" si="0">VALUE(MID(B3,1,1))</f>
        <v>1</v>
      </c>
      <c r="B3">
        <v>10102</v>
      </c>
      <c r="C3">
        <v>2450</v>
      </c>
      <c r="D3">
        <v>828</v>
      </c>
      <c r="E3">
        <v>281</v>
      </c>
      <c r="F3">
        <v>79</v>
      </c>
      <c r="G3" s="10">
        <f t="shared" ref="G3:G66" si="1">100*E3/C3</f>
        <v>11.469387755102041</v>
      </c>
      <c r="K3" s="15">
        <v>2</v>
      </c>
      <c r="L3">
        <v>770786</v>
      </c>
      <c r="M3">
        <v>67975</v>
      </c>
      <c r="N3">
        <f t="shared" ref="N3:N18" si="2">100*M3/L3</f>
        <v>8.8189199077305496</v>
      </c>
    </row>
    <row r="4" spans="1:14">
      <c r="A4">
        <f t="shared" si="0"/>
        <v>1</v>
      </c>
      <c r="B4">
        <v>10103</v>
      </c>
      <c r="C4">
        <v>930</v>
      </c>
      <c r="D4">
        <v>662</v>
      </c>
      <c r="E4">
        <v>139</v>
      </c>
      <c r="F4">
        <v>11</v>
      </c>
      <c r="G4" s="10">
        <f t="shared" si="1"/>
        <v>14.946236559139784</v>
      </c>
      <c r="K4" s="15">
        <v>3</v>
      </c>
      <c r="L4">
        <v>496463</v>
      </c>
      <c r="M4">
        <v>29528</v>
      </c>
      <c r="N4">
        <f t="shared" si="2"/>
        <v>5.9476738447779596</v>
      </c>
    </row>
    <row r="5" spans="1:14">
      <c r="A5">
        <f t="shared" si="0"/>
        <v>1</v>
      </c>
      <c r="B5">
        <v>10201</v>
      </c>
      <c r="C5">
        <v>752</v>
      </c>
      <c r="D5">
        <v>332</v>
      </c>
      <c r="E5">
        <v>81</v>
      </c>
      <c r="F5">
        <v>1</v>
      </c>
      <c r="G5" s="10">
        <f t="shared" si="1"/>
        <v>10.771276595744681</v>
      </c>
      <c r="K5" s="15">
        <v>4</v>
      </c>
      <c r="L5">
        <v>134420</v>
      </c>
      <c r="M5">
        <v>9955</v>
      </c>
      <c r="N5">
        <f t="shared" si="2"/>
        <v>7.4058919803600656</v>
      </c>
    </row>
    <row r="6" spans="1:14">
      <c r="A6">
        <f t="shared" si="0"/>
        <v>1</v>
      </c>
      <c r="B6">
        <v>10202</v>
      </c>
      <c r="C6">
        <v>1610</v>
      </c>
      <c r="D6">
        <v>817</v>
      </c>
      <c r="E6">
        <v>198</v>
      </c>
      <c r="F6">
        <v>22</v>
      </c>
      <c r="G6" s="10">
        <f t="shared" si="1"/>
        <v>12.298136645962733</v>
      </c>
      <c r="K6" s="15">
        <v>5</v>
      </c>
      <c r="L6">
        <v>149452</v>
      </c>
      <c r="M6">
        <v>14789</v>
      </c>
      <c r="N6">
        <f t="shared" si="2"/>
        <v>9.8954848379412788</v>
      </c>
    </row>
    <row r="7" spans="1:14">
      <c r="A7">
        <f t="shared" si="0"/>
        <v>1</v>
      </c>
      <c r="B7">
        <v>10301</v>
      </c>
      <c r="C7">
        <v>1089</v>
      </c>
      <c r="D7">
        <v>458</v>
      </c>
      <c r="E7">
        <v>149</v>
      </c>
      <c r="F7">
        <v>35</v>
      </c>
      <c r="G7" s="10">
        <f t="shared" si="1"/>
        <v>13.682277318640955</v>
      </c>
      <c r="K7" s="15">
        <v>6</v>
      </c>
      <c r="L7">
        <v>116430</v>
      </c>
      <c r="M7">
        <v>5886</v>
      </c>
      <c r="N7">
        <f t="shared" si="2"/>
        <v>5.0553980932749294</v>
      </c>
    </row>
    <row r="8" spans="1:14">
      <c r="A8">
        <f t="shared" si="0"/>
        <v>1</v>
      </c>
      <c r="B8">
        <v>10302</v>
      </c>
      <c r="C8">
        <v>1059</v>
      </c>
      <c r="D8">
        <v>416</v>
      </c>
      <c r="E8">
        <v>86</v>
      </c>
      <c r="F8">
        <v>16</v>
      </c>
      <c r="G8" s="10">
        <f t="shared" si="1"/>
        <v>8.120868744098205</v>
      </c>
      <c r="K8" s="15">
        <v>7</v>
      </c>
      <c r="L8">
        <v>555861</v>
      </c>
      <c r="M8">
        <v>22903</v>
      </c>
      <c r="N8">
        <f t="shared" si="2"/>
        <v>4.1202746729847926</v>
      </c>
    </row>
    <row r="9" spans="1:14">
      <c r="A9">
        <f t="shared" si="0"/>
        <v>1</v>
      </c>
      <c r="B9">
        <v>10303</v>
      </c>
      <c r="C9">
        <v>1280</v>
      </c>
      <c r="D9">
        <v>538</v>
      </c>
      <c r="E9">
        <v>121</v>
      </c>
      <c r="F9">
        <v>14</v>
      </c>
      <c r="G9" s="10">
        <f t="shared" si="1"/>
        <v>9.453125</v>
      </c>
      <c r="K9" s="15">
        <v>8</v>
      </c>
      <c r="L9">
        <v>111161</v>
      </c>
      <c r="M9">
        <v>921</v>
      </c>
      <c r="N9">
        <f t="shared" si="2"/>
        <v>0.82852799093207152</v>
      </c>
    </row>
    <row r="10" spans="1:14">
      <c r="A10">
        <f t="shared" si="0"/>
        <v>1</v>
      </c>
      <c r="B10">
        <v>10304</v>
      </c>
      <c r="C10">
        <v>1292</v>
      </c>
      <c r="D10">
        <v>566</v>
      </c>
      <c r="E10">
        <v>137</v>
      </c>
      <c r="F10">
        <v>28</v>
      </c>
      <c r="G10" s="10">
        <f t="shared" si="1"/>
        <v>10.603715170278639</v>
      </c>
      <c r="K10" s="15">
        <v>9</v>
      </c>
      <c r="L10">
        <v>15192</v>
      </c>
      <c r="M10">
        <v>325</v>
      </c>
      <c r="N10">
        <f t="shared" si="2"/>
        <v>2.1392838335966298</v>
      </c>
    </row>
    <row r="11" spans="1:14">
      <c r="A11">
        <f t="shared" si="0"/>
        <v>1</v>
      </c>
      <c r="B11">
        <v>10401</v>
      </c>
      <c r="C11">
        <v>1775</v>
      </c>
      <c r="D11">
        <v>628</v>
      </c>
      <c r="E11">
        <v>158</v>
      </c>
      <c r="F11">
        <v>36</v>
      </c>
      <c r="G11" s="10">
        <f t="shared" si="1"/>
        <v>8.9014084507042259</v>
      </c>
      <c r="K11" s="15" t="s">
        <v>350</v>
      </c>
      <c r="L11">
        <v>2461420</v>
      </c>
      <c r="M11">
        <v>159134</v>
      </c>
      <c r="N11">
        <f t="shared" si="2"/>
        <v>6.4651298843756857</v>
      </c>
    </row>
    <row r="12" spans="1:14">
      <c r="A12">
        <f t="shared" si="0"/>
        <v>1</v>
      </c>
      <c r="B12">
        <v>10402</v>
      </c>
      <c r="C12">
        <v>1455</v>
      </c>
      <c r="D12">
        <v>516</v>
      </c>
      <c r="E12">
        <v>125</v>
      </c>
      <c r="F12">
        <v>21</v>
      </c>
      <c r="G12" s="10">
        <f t="shared" si="1"/>
        <v>8.5910652920962196</v>
      </c>
    </row>
    <row r="13" spans="1:14">
      <c r="A13">
        <f t="shared" si="0"/>
        <v>1</v>
      </c>
      <c r="B13">
        <v>10403</v>
      </c>
      <c r="C13">
        <v>798</v>
      </c>
      <c r="D13">
        <v>209</v>
      </c>
      <c r="E13">
        <v>40</v>
      </c>
      <c r="F13">
        <v>5</v>
      </c>
      <c r="G13" s="10">
        <f t="shared" si="1"/>
        <v>5.0125313283208017</v>
      </c>
    </row>
    <row r="14" spans="1:14">
      <c r="A14">
        <f t="shared" si="0"/>
        <v>1</v>
      </c>
      <c r="B14">
        <v>10404</v>
      </c>
      <c r="C14">
        <v>850</v>
      </c>
      <c r="D14">
        <v>307</v>
      </c>
      <c r="E14">
        <v>85</v>
      </c>
      <c r="F14">
        <v>13</v>
      </c>
      <c r="G14" s="10">
        <f t="shared" si="1"/>
        <v>10</v>
      </c>
      <c r="K14" s="16" t="s">
        <v>349</v>
      </c>
      <c r="L14" t="s">
        <v>351</v>
      </c>
      <c r="M14" t="s">
        <v>352</v>
      </c>
    </row>
    <row r="15" spans="1:14">
      <c r="A15">
        <f t="shared" si="0"/>
        <v>1</v>
      </c>
      <c r="B15">
        <v>10405</v>
      </c>
      <c r="C15">
        <v>865</v>
      </c>
      <c r="D15">
        <v>533</v>
      </c>
      <c r="E15">
        <v>176</v>
      </c>
      <c r="F15">
        <v>22</v>
      </c>
      <c r="G15" s="10">
        <f t="shared" si="1"/>
        <v>20.346820809248555</v>
      </c>
      <c r="K15" s="15">
        <v>60301</v>
      </c>
      <c r="L15">
        <v>19947</v>
      </c>
      <c r="M15">
        <v>582</v>
      </c>
      <c r="N15">
        <f t="shared" si="2"/>
        <v>2.9177319897728982</v>
      </c>
    </row>
    <row r="16" spans="1:14">
      <c r="A16">
        <f t="shared" si="0"/>
        <v>1</v>
      </c>
      <c r="B16">
        <v>10501</v>
      </c>
      <c r="C16">
        <v>4277</v>
      </c>
      <c r="D16">
        <v>823</v>
      </c>
      <c r="E16">
        <v>183</v>
      </c>
      <c r="F16">
        <v>37</v>
      </c>
      <c r="G16" s="10">
        <f t="shared" si="1"/>
        <v>4.2787000233808747</v>
      </c>
      <c r="K16" s="15">
        <v>60302</v>
      </c>
      <c r="L16">
        <v>3549</v>
      </c>
      <c r="M16">
        <v>216</v>
      </c>
      <c r="N16">
        <f t="shared" si="2"/>
        <v>6.0862214708368558</v>
      </c>
    </row>
    <row r="17" spans="1:14">
      <c r="A17">
        <f t="shared" si="0"/>
        <v>1</v>
      </c>
      <c r="B17">
        <v>10502</v>
      </c>
      <c r="C17">
        <v>1001</v>
      </c>
      <c r="D17">
        <v>230</v>
      </c>
      <c r="E17">
        <v>32</v>
      </c>
      <c r="F17">
        <v>3</v>
      </c>
      <c r="G17" s="10">
        <f t="shared" si="1"/>
        <v>3.1968031968031969</v>
      </c>
      <c r="K17" s="15">
        <v>60303</v>
      </c>
      <c r="L17">
        <v>11124</v>
      </c>
      <c r="M17">
        <v>419</v>
      </c>
      <c r="N17">
        <f t="shared" si="2"/>
        <v>3.7666307083782811</v>
      </c>
    </row>
    <row r="18" spans="1:14">
      <c r="A18">
        <f t="shared" si="0"/>
        <v>1</v>
      </c>
      <c r="B18">
        <v>10601</v>
      </c>
      <c r="C18">
        <v>2434</v>
      </c>
      <c r="D18">
        <v>974</v>
      </c>
      <c r="E18">
        <v>212</v>
      </c>
      <c r="F18">
        <v>26</v>
      </c>
      <c r="G18" s="10">
        <f t="shared" si="1"/>
        <v>8.7099424815119146</v>
      </c>
      <c r="K18" s="15" t="s">
        <v>350</v>
      </c>
      <c r="L18">
        <v>34620</v>
      </c>
      <c r="M18">
        <v>1217</v>
      </c>
      <c r="N18">
        <f t="shared" si="2"/>
        <v>3.5153090699017908</v>
      </c>
    </row>
    <row r="19" spans="1:14">
      <c r="A19">
        <f t="shared" si="0"/>
        <v>1</v>
      </c>
      <c r="B19">
        <v>10602</v>
      </c>
      <c r="C19">
        <v>1742</v>
      </c>
      <c r="D19">
        <v>941</v>
      </c>
      <c r="E19">
        <v>198</v>
      </c>
      <c r="F19">
        <v>18</v>
      </c>
      <c r="G19" s="10">
        <f t="shared" si="1"/>
        <v>11.366245694603904</v>
      </c>
    </row>
    <row r="20" spans="1:14">
      <c r="A20">
        <f t="shared" si="0"/>
        <v>1</v>
      </c>
      <c r="B20">
        <v>10701</v>
      </c>
      <c r="C20">
        <v>3571</v>
      </c>
      <c r="D20">
        <v>1288</v>
      </c>
      <c r="E20">
        <v>385</v>
      </c>
      <c r="F20">
        <v>48</v>
      </c>
      <c r="G20" s="10">
        <f t="shared" si="1"/>
        <v>10.78129375525063</v>
      </c>
    </row>
    <row r="21" spans="1:14">
      <c r="A21">
        <f t="shared" si="0"/>
        <v>1</v>
      </c>
      <c r="B21">
        <v>10702</v>
      </c>
      <c r="C21">
        <v>3813</v>
      </c>
      <c r="D21">
        <v>1809</v>
      </c>
      <c r="E21">
        <v>670</v>
      </c>
      <c r="F21">
        <v>185</v>
      </c>
      <c r="G21" s="10">
        <f t="shared" si="1"/>
        <v>17.571466037241017</v>
      </c>
    </row>
    <row r="22" spans="1:14">
      <c r="A22">
        <f t="shared" si="0"/>
        <v>1</v>
      </c>
      <c r="B22">
        <v>10703</v>
      </c>
      <c r="C22">
        <v>951</v>
      </c>
      <c r="D22">
        <v>290</v>
      </c>
      <c r="E22">
        <v>73</v>
      </c>
      <c r="F22">
        <v>9</v>
      </c>
      <c r="G22" s="10">
        <f t="shared" si="1"/>
        <v>7.6761303890641432</v>
      </c>
    </row>
    <row r="23" spans="1:14">
      <c r="A23">
        <f t="shared" si="0"/>
        <v>1</v>
      </c>
      <c r="B23">
        <v>10704</v>
      </c>
      <c r="C23">
        <v>1836</v>
      </c>
      <c r="D23">
        <v>555</v>
      </c>
      <c r="E23">
        <v>173</v>
      </c>
      <c r="F23">
        <v>27</v>
      </c>
      <c r="G23" s="10">
        <f t="shared" si="1"/>
        <v>9.4226579520697165</v>
      </c>
    </row>
    <row r="24" spans="1:14">
      <c r="A24">
        <f t="shared" si="0"/>
        <v>1</v>
      </c>
      <c r="B24">
        <v>10801</v>
      </c>
      <c r="C24">
        <v>2232</v>
      </c>
      <c r="D24">
        <v>842</v>
      </c>
      <c r="E24">
        <v>244</v>
      </c>
      <c r="F24">
        <v>48</v>
      </c>
      <c r="G24" s="10">
        <f t="shared" si="1"/>
        <v>10.931899641577061</v>
      </c>
    </row>
    <row r="25" spans="1:14">
      <c r="A25">
        <f t="shared" si="0"/>
        <v>1</v>
      </c>
      <c r="B25">
        <v>10901</v>
      </c>
      <c r="C25">
        <v>825</v>
      </c>
      <c r="D25">
        <v>350</v>
      </c>
      <c r="E25">
        <v>98</v>
      </c>
      <c r="F25">
        <v>9</v>
      </c>
      <c r="G25" s="10">
        <f t="shared" si="1"/>
        <v>11.878787878787879</v>
      </c>
    </row>
    <row r="26" spans="1:14">
      <c r="A26">
        <f t="shared" si="0"/>
        <v>1</v>
      </c>
      <c r="B26">
        <v>10902</v>
      </c>
      <c r="C26">
        <v>2341</v>
      </c>
      <c r="D26">
        <v>670</v>
      </c>
      <c r="E26">
        <v>203</v>
      </c>
      <c r="F26">
        <v>36</v>
      </c>
      <c r="G26" s="10">
        <f t="shared" si="1"/>
        <v>8.6715079026057236</v>
      </c>
    </row>
    <row r="27" spans="1:14">
      <c r="A27">
        <f t="shared" si="0"/>
        <v>1</v>
      </c>
      <c r="B27">
        <v>10903</v>
      </c>
      <c r="C27">
        <v>796</v>
      </c>
      <c r="D27">
        <v>329</v>
      </c>
      <c r="E27">
        <v>89</v>
      </c>
      <c r="F27">
        <v>14</v>
      </c>
      <c r="G27" s="10">
        <f t="shared" si="1"/>
        <v>11.180904522613066</v>
      </c>
    </row>
    <row r="28" spans="1:14">
      <c r="A28">
        <f t="shared" si="0"/>
        <v>1</v>
      </c>
      <c r="B28">
        <v>11001</v>
      </c>
      <c r="C28">
        <v>1150</v>
      </c>
      <c r="D28">
        <v>165</v>
      </c>
      <c r="E28">
        <v>19</v>
      </c>
      <c r="F28">
        <v>1</v>
      </c>
      <c r="G28" s="10">
        <f t="shared" si="1"/>
        <v>1.6521739130434783</v>
      </c>
    </row>
    <row r="29" spans="1:14">
      <c r="A29">
        <f t="shared" si="0"/>
        <v>1</v>
      </c>
      <c r="B29">
        <v>11002</v>
      </c>
      <c r="C29">
        <v>263</v>
      </c>
      <c r="D29">
        <v>53</v>
      </c>
      <c r="E29">
        <v>20</v>
      </c>
      <c r="F29">
        <v>4</v>
      </c>
      <c r="G29" s="10">
        <f t="shared" si="1"/>
        <v>7.6045627376425857</v>
      </c>
    </row>
    <row r="30" spans="1:14">
      <c r="A30">
        <f t="shared" si="0"/>
        <v>1</v>
      </c>
      <c r="B30">
        <v>11003</v>
      </c>
      <c r="C30">
        <v>839</v>
      </c>
      <c r="D30">
        <v>258</v>
      </c>
      <c r="E30">
        <v>55</v>
      </c>
      <c r="F30">
        <v>4</v>
      </c>
      <c r="G30" s="10">
        <f t="shared" si="1"/>
        <v>6.5554231227651965</v>
      </c>
    </row>
    <row r="31" spans="1:14">
      <c r="A31">
        <f t="shared" si="0"/>
        <v>2</v>
      </c>
      <c r="B31">
        <v>20101</v>
      </c>
      <c r="C31">
        <v>250683</v>
      </c>
      <c r="D31">
        <v>41346</v>
      </c>
      <c r="E31">
        <v>11026</v>
      </c>
      <c r="F31">
        <v>2852</v>
      </c>
      <c r="G31" s="10">
        <f t="shared" si="1"/>
        <v>4.398383615961194</v>
      </c>
    </row>
    <row r="32" spans="1:14">
      <c r="A32">
        <f t="shared" si="0"/>
        <v>2</v>
      </c>
      <c r="B32">
        <v>20102</v>
      </c>
      <c r="C32">
        <v>3773</v>
      </c>
      <c r="D32">
        <v>1482</v>
      </c>
      <c r="E32">
        <v>317</v>
      </c>
      <c r="F32">
        <v>73</v>
      </c>
      <c r="G32" s="10">
        <f t="shared" si="1"/>
        <v>8.4018022793532996</v>
      </c>
    </row>
    <row r="33" spans="1:7">
      <c r="A33">
        <f t="shared" si="0"/>
        <v>2</v>
      </c>
      <c r="B33">
        <v>20103</v>
      </c>
      <c r="C33">
        <v>4435</v>
      </c>
      <c r="D33">
        <v>2494</v>
      </c>
      <c r="E33">
        <v>468</v>
      </c>
      <c r="F33">
        <v>101</v>
      </c>
      <c r="G33" s="10">
        <f t="shared" si="1"/>
        <v>10.552423900789178</v>
      </c>
    </row>
    <row r="34" spans="1:7">
      <c r="A34">
        <f t="shared" si="0"/>
        <v>2</v>
      </c>
      <c r="B34">
        <v>20104</v>
      </c>
      <c r="C34">
        <v>5757</v>
      </c>
      <c r="D34">
        <v>1921</v>
      </c>
      <c r="E34">
        <v>780</v>
      </c>
      <c r="F34">
        <v>182</v>
      </c>
      <c r="G34" s="10">
        <f t="shared" si="1"/>
        <v>13.54872329338197</v>
      </c>
    </row>
    <row r="35" spans="1:7">
      <c r="A35">
        <f t="shared" si="0"/>
        <v>2</v>
      </c>
      <c r="B35">
        <v>20105</v>
      </c>
      <c r="C35">
        <v>263573</v>
      </c>
      <c r="D35">
        <v>55961</v>
      </c>
      <c r="E35">
        <v>20483</v>
      </c>
      <c r="F35">
        <v>5379</v>
      </c>
      <c r="G35" s="10">
        <f t="shared" si="1"/>
        <v>7.7712815804350219</v>
      </c>
    </row>
    <row r="36" spans="1:7">
      <c r="A36">
        <f t="shared" si="0"/>
        <v>2</v>
      </c>
      <c r="B36">
        <v>20201</v>
      </c>
      <c r="C36">
        <v>18505</v>
      </c>
      <c r="D36">
        <v>7315</v>
      </c>
      <c r="E36">
        <v>1705</v>
      </c>
      <c r="F36">
        <v>345</v>
      </c>
      <c r="G36" s="10">
        <f t="shared" si="1"/>
        <v>9.2137260199945956</v>
      </c>
    </row>
    <row r="37" spans="1:7">
      <c r="A37">
        <f t="shared" si="0"/>
        <v>2</v>
      </c>
      <c r="B37">
        <v>20202</v>
      </c>
      <c r="C37">
        <v>3232</v>
      </c>
      <c r="D37">
        <v>2018</v>
      </c>
      <c r="E37">
        <v>690</v>
      </c>
      <c r="F37">
        <v>58</v>
      </c>
      <c r="G37" s="10">
        <f t="shared" si="1"/>
        <v>21.349009900990097</v>
      </c>
    </row>
    <row r="38" spans="1:7">
      <c r="A38">
        <f t="shared" si="0"/>
        <v>2</v>
      </c>
      <c r="B38">
        <v>20203</v>
      </c>
      <c r="C38">
        <v>1784</v>
      </c>
      <c r="D38">
        <v>710</v>
      </c>
      <c r="E38">
        <v>238</v>
      </c>
      <c r="F38">
        <v>2</v>
      </c>
      <c r="G38" s="10">
        <f t="shared" si="1"/>
        <v>13.340807174887892</v>
      </c>
    </row>
    <row r="39" spans="1:7">
      <c r="A39">
        <f t="shared" si="0"/>
        <v>2</v>
      </c>
      <c r="B39">
        <v>20204</v>
      </c>
      <c r="C39">
        <v>2599</v>
      </c>
      <c r="D39">
        <v>1338</v>
      </c>
      <c r="E39">
        <v>472</v>
      </c>
      <c r="F39">
        <v>1</v>
      </c>
      <c r="G39" s="10">
        <f t="shared" si="1"/>
        <v>18.160831088880339</v>
      </c>
    </row>
    <row r="40" spans="1:7">
      <c r="A40">
        <f t="shared" si="0"/>
        <v>2</v>
      </c>
      <c r="B40">
        <v>20205</v>
      </c>
      <c r="C40">
        <v>2788</v>
      </c>
      <c r="D40">
        <v>1660</v>
      </c>
      <c r="E40">
        <v>529</v>
      </c>
      <c r="F40">
        <v>1</v>
      </c>
      <c r="G40" s="10">
        <f t="shared" si="1"/>
        <v>18.974175035868004</v>
      </c>
    </row>
    <row r="41" spans="1:7">
      <c r="A41">
        <f t="shared" si="0"/>
        <v>2</v>
      </c>
      <c r="B41">
        <v>20206</v>
      </c>
      <c r="C41">
        <v>1289</v>
      </c>
      <c r="D41">
        <v>709</v>
      </c>
      <c r="E41">
        <v>260</v>
      </c>
      <c r="F41">
        <v>2</v>
      </c>
      <c r="G41" s="10">
        <f t="shared" si="1"/>
        <v>20.17067494181536</v>
      </c>
    </row>
    <row r="42" spans="1:7">
      <c r="A42">
        <f t="shared" si="0"/>
        <v>2</v>
      </c>
      <c r="B42">
        <v>20301</v>
      </c>
      <c r="C42">
        <v>2928</v>
      </c>
      <c r="D42">
        <v>2049</v>
      </c>
      <c r="E42">
        <v>763</v>
      </c>
      <c r="F42">
        <v>167</v>
      </c>
      <c r="G42" s="10">
        <f t="shared" si="1"/>
        <v>26.058743169398905</v>
      </c>
    </row>
    <row r="43" spans="1:7">
      <c r="A43">
        <f t="shared" si="0"/>
        <v>2</v>
      </c>
      <c r="B43">
        <v>20302</v>
      </c>
      <c r="C43">
        <v>3350</v>
      </c>
      <c r="D43">
        <v>2542</v>
      </c>
      <c r="E43">
        <v>914</v>
      </c>
      <c r="F43">
        <v>134</v>
      </c>
      <c r="G43" s="10">
        <f t="shared" si="1"/>
        <v>27.28358208955224</v>
      </c>
    </row>
    <row r="44" spans="1:7">
      <c r="A44">
        <f t="shared" si="0"/>
        <v>2</v>
      </c>
      <c r="B44">
        <v>20303</v>
      </c>
      <c r="C44">
        <v>1131</v>
      </c>
      <c r="D44">
        <v>753</v>
      </c>
      <c r="E44">
        <v>347</v>
      </c>
      <c r="F44">
        <v>47</v>
      </c>
      <c r="G44" s="10">
        <f t="shared" si="1"/>
        <v>30.680813439434129</v>
      </c>
    </row>
    <row r="45" spans="1:7">
      <c r="A45">
        <f t="shared" si="0"/>
        <v>2</v>
      </c>
      <c r="B45">
        <v>20304</v>
      </c>
      <c r="C45">
        <v>938</v>
      </c>
      <c r="D45">
        <v>660</v>
      </c>
      <c r="E45">
        <v>194</v>
      </c>
      <c r="F45">
        <v>39</v>
      </c>
      <c r="G45" s="10">
        <f t="shared" si="1"/>
        <v>20.68230277185501</v>
      </c>
    </row>
    <row r="46" spans="1:7">
      <c r="A46">
        <f t="shared" si="0"/>
        <v>2</v>
      </c>
      <c r="B46">
        <v>20305</v>
      </c>
      <c r="C46">
        <v>349</v>
      </c>
      <c r="D46">
        <v>227</v>
      </c>
      <c r="E46">
        <v>61</v>
      </c>
      <c r="F46">
        <v>7</v>
      </c>
      <c r="G46" s="10">
        <f t="shared" si="1"/>
        <v>17.478510028653297</v>
      </c>
    </row>
    <row r="47" spans="1:7">
      <c r="A47">
        <f t="shared" si="0"/>
        <v>2</v>
      </c>
      <c r="B47">
        <v>20306</v>
      </c>
      <c r="C47">
        <v>371</v>
      </c>
      <c r="D47">
        <v>226</v>
      </c>
      <c r="E47">
        <v>63</v>
      </c>
      <c r="F47">
        <v>22</v>
      </c>
      <c r="G47" s="10">
        <f t="shared" si="1"/>
        <v>16.981132075471699</v>
      </c>
    </row>
    <row r="48" spans="1:7">
      <c r="A48">
        <f t="shared" si="0"/>
        <v>2</v>
      </c>
      <c r="B48">
        <v>20307</v>
      </c>
      <c r="C48">
        <v>101</v>
      </c>
      <c r="D48">
        <v>59</v>
      </c>
      <c r="E48">
        <v>17</v>
      </c>
      <c r="F48">
        <v>1</v>
      </c>
      <c r="G48" s="10">
        <f t="shared" si="1"/>
        <v>16.831683168316832</v>
      </c>
    </row>
    <row r="49" spans="1:7">
      <c r="A49">
        <f t="shared" si="0"/>
        <v>2</v>
      </c>
      <c r="B49">
        <v>20308</v>
      </c>
      <c r="C49">
        <v>413</v>
      </c>
      <c r="D49">
        <v>354</v>
      </c>
      <c r="E49">
        <v>205</v>
      </c>
      <c r="F49">
        <v>38</v>
      </c>
      <c r="G49" s="10">
        <f t="shared" si="1"/>
        <v>49.63680387409201</v>
      </c>
    </row>
    <row r="50" spans="1:7">
      <c r="A50">
        <f t="shared" si="0"/>
        <v>2</v>
      </c>
      <c r="B50">
        <v>20401</v>
      </c>
      <c r="C50">
        <v>5262</v>
      </c>
      <c r="D50">
        <v>2110</v>
      </c>
      <c r="E50">
        <v>571</v>
      </c>
      <c r="F50">
        <v>85</v>
      </c>
      <c r="G50" s="10">
        <f t="shared" si="1"/>
        <v>10.851387305207146</v>
      </c>
    </row>
    <row r="51" spans="1:7">
      <c r="A51">
        <f t="shared" si="0"/>
        <v>2</v>
      </c>
      <c r="B51">
        <v>20402</v>
      </c>
      <c r="C51">
        <v>3346</v>
      </c>
      <c r="D51">
        <v>1733</v>
      </c>
      <c r="E51">
        <v>436</v>
      </c>
      <c r="F51">
        <v>54</v>
      </c>
      <c r="G51" s="10">
        <f t="shared" si="1"/>
        <v>13.030484160191273</v>
      </c>
    </row>
    <row r="52" spans="1:7">
      <c r="A52">
        <f t="shared" si="0"/>
        <v>2</v>
      </c>
      <c r="B52">
        <v>20403</v>
      </c>
      <c r="C52">
        <v>3519</v>
      </c>
      <c r="D52">
        <v>1995</v>
      </c>
      <c r="E52">
        <v>550</v>
      </c>
      <c r="F52">
        <v>69</v>
      </c>
      <c r="G52" s="10">
        <f t="shared" si="1"/>
        <v>15.62944018186985</v>
      </c>
    </row>
    <row r="53" spans="1:7">
      <c r="A53">
        <f t="shared" si="0"/>
        <v>2</v>
      </c>
      <c r="B53">
        <v>20404</v>
      </c>
      <c r="C53">
        <v>1136</v>
      </c>
      <c r="D53">
        <v>558</v>
      </c>
      <c r="E53">
        <v>138</v>
      </c>
      <c r="F53">
        <v>0</v>
      </c>
      <c r="G53" s="10">
        <f t="shared" si="1"/>
        <v>12.147887323943662</v>
      </c>
    </row>
    <row r="54" spans="1:7">
      <c r="A54">
        <f t="shared" si="0"/>
        <v>2</v>
      </c>
      <c r="B54">
        <v>20405</v>
      </c>
      <c r="C54">
        <v>1900</v>
      </c>
      <c r="D54">
        <v>1075</v>
      </c>
      <c r="E54">
        <v>294</v>
      </c>
      <c r="F54">
        <v>0</v>
      </c>
      <c r="G54" s="10">
        <f t="shared" si="1"/>
        <v>15.473684210526315</v>
      </c>
    </row>
    <row r="55" spans="1:7">
      <c r="A55">
        <f t="shared" si="0"/>
        <v>2</v>
      </c>
      <c r="B55">
        <v>20501</v>
      </c>
      <c r="C55">
        <v>2301</v>
      </c>
      <c r="D55">
        <v>1182</v>
      </c>
      <c r="E55">
        <v>424</v>
      </c>
      <c r="F55">
        <v>77</v>
      </c>
      <c r="G55" s="10">
        <f t="shared" si="1"/>
        <v>18.426770969143849</v>
      </c>
    </row>
    <row r="56" spans="1:7">
      <c r="A56">
        <f t="shared" si="0"/>
        <v>2</v>
      </c>
      <c r="B56">
        <v>20502</v>
      </c>
      <c r="C56">
        <v>1496</v>
      </c>
      <c r="D56">
        <v>636</v>
      </c>
      <c r="E56">
        <v>161</v>
      </c>
      <c r="F56">
        <v>34</v>
      </c>
      <c r="G56" s="10">
        <f t="shared" si="1"/>
        <v>10.762032085561497</v>
      </c>
    </row>
    <row r="57" spans="1:7">
      <c r="A57">
        <f t="shared" si="0"/>
        <v>2</v>
      </c>
      <c r="B57">
        <v>20503</v>
      </c>
      <c r="C57">
        <v>837</v>
      </c>
      <c r="D57">
        <v>548</v>
      </c>
      <c r="E57">
        <v>140</v>
      </c>
      <c r="F57">
        <v>34</v>
      </c>
      <c r="G57" s="10">
        <f t="shared" si="1"/>
        <v>16.726403823178018</v>
      </c>
    </row>
    <row r="58" spans="1:7">
      <c r="A58">
        <f t="shared" si="0"/>
        <v>2</v>
      </c>
      <c r="B58">
        <v>20601</v>
      </c>
      <c r="C58">
        <v>5418</v>
      </c>
      <c r="D58">
        <v>2809</v>
      </c>
      <c r="E58">
        <v>1022</v>
      </c>
      <c r="F58">
        <v>164</v>
      </c>
      <c r="G58" s="10">
        <f t="shared" si="1"/>
        <v>18.863049095607234</v>
      </c>
    </row>
    <row r="59" spans="1:7">
      <c r="A59">
        <f t="shared" si="0"/>
        <v>2</v>
      </c>
      <c r="B59">
        <v>20602</v>
      </c>
      <c r="C59">
        <v>2476</v>
      </c>
      <c r="D59">
        <v>535</v>
      </c>
      <c r="E59">
        <v>178</v>
      </c>
      <c r="F59">
        <v>53</v>
      </c>
      <c r="G59" s="10">
        <f t="shared" si="1"/>
        <v>7.1890145395799676</v>
      </c>
    </row>
    <row r="60" spans="1:7">
      <c r="A60">
        <f t="shared" si="0"/>
        <v>2</v>
      </c>
      <c r="B60">
        <v>20603</v>
      </c>
      <c r="C60">
        <v>1443</v>
      </c>
      <c r="D60">
        <v>905</v>
      </c>
      <c r="E60">
        <v>205</v>
      </c>
      <c r="F60">
        <v>40</v>
      </c>
      <c r="G60" s="10">
        <f t="shared" si="1"/>
        <v>14.206514206514207</v>
      </c>
    </row>
    <row r="61" spans="1:7">
      <c r="A61">
        <f t="shared" si="0"/>
        <v>2</v>
      </c>
      <c r="B61">
        <v>20604</v>
      </c>
      <c r="C61">
        <v>785</v>
      </c>
      <c r="D61">
        <v>310</v>
      </c>
      <c r="E61">
        <v>121</v>
      </c>
      <c r="F61">
        <v>24</v>
      </c>
      <c r="G61" s="10">
        <f t="shared" si="1"/>
        <v>15.414012738853502</v>
      </c>
    </row>
    <row r="62" spans="1:7">
      <c r="A62">
        <f t="shared" si="0"/>
        <v>2</v>
      </c>
      <c r="B62">
        <v>20605</v>
      </c>
      <c r="C62">
        <v>638</v>
      </c>
      <c r="D62">
        <v>342</v>
      </c>
      <c r="E62">
        <v>147</v>
      </c>
      <c r="F62">
        <v>11</v>
      </c>
      <c r="G62" s="10">
        <f t="shared" si="1"/>
        <v>23.040752351097179</v>
      </c>
    </row>
    <row r="63" spans="1:7">
      <c r="A63">
        <f t="shared" si="0"/>
        <v>2</v>
      </c>
      <c r="B63">
        <v>20606</v>
      </c>
      <c r="C63">
        <v>1842</v>
      </c>
      <c r="D63">
        <v>488</v>
      </c>
      <c r="E63">
        <v>163</v>
      </c>
      <c r="F63">
        <v>42</v>
      </c>
      <c r="G63" s="10">
        <f t="shared" si="1"/>
        <v>8.8490770901194349</v>
      </c>
    </row>
    <row r="64" spans="1:7">
      <c r="A64">
        <f t="shared" si="0"/>
        <v>2</v>
      </c>
      <c r="B64">
        <v>20607</v>
      </c>
      <c r="C64">
        <v>1943</v>
      </c>
      <c r="D64">
        <v>480</v>
      </c>
      <c r="E64">
        <v>93</v>
      </c>
      <c r="F64">
        <v>21</v>
      </c>
      <c r="G64" s="10">
        <f t="shared" si="1"/>
        <v>4.7864127637673697</v>
      </c>
    </row>
    <row r="65" spans="1:7">
      <c r="A65">
        <f t="shared" si="0"/>
        <v>2</v>
      </c>
      <c r="B65">
        <v>20608</v>
      </c>
      <c r="C65">
        <v>1595</v>
      </c>
      <c r="D65">
        <v>376</v>
      </c>
      <c r="E65">
        <v>115</v>
      </c>
      <c r="F65">
        <v>37</v>
      </c>
      <c r="G65" s="10">
        <f t="shared" si="1"/>
        <v>7.2100313479623823</v>
      </c>
    </row>
    <row r="66" spans="1:7">
      <c r="A66">
        <f t="shared" si="0"/>
        <v>2</v>
      </c>
      <c r="B66">
        <v>20701</v>
      </c>
      <c r="C66">
        <v>2893</v>
      </c>
      <c r="D66">
        <v>729</v>
      </c>
      <c r="E66">
        <v>257</v>
      </c>
      <c r="F66">
        <v>55</v>
      </c>
      <c r="G66" s="10">
        <f t="shared" si="1"/>
        <v>8.8835119253370198</v>
      </c>
    </row>
    <row r="67" spans="1:7">
      <c r="A67">
        <f t="shared" ref="A67:A130" si="3">VALUE(MID(B67,1,1))</f>
        <v>2</v>
      </c>
      <c r="B67">
        <v>20702</v>
      </c>
      <c r="C67">
        <v>959</v>
      </c>
      <c r="D67">
        <v>488</v>
      </c>
      <c r="E67">
        <v>141</v>
      </c>
      <c r="F67">
        <v>13</v>
      </c>
      <c r="G67" s="10">
        <f t="shared" ref="G67:G130" si="4">100*E67/C67</f>
        <v>14.70281543274244</v>
      </c>
    </row>
    <row r="68" spans="1:7">
      <c r="A68">
        <f t="shared" si="3"/>
        <v>2</v>
      </c>
      <c r="B68">
        <v>20801</v>
      </c>
      <c r="C68">
        <v>28321</v>
      </c>
      <c r="D68">
        <v>9958</v>
      </c>
      <c r="E68">
        <v>4253</v>
      </c>
      <c r="F68">
        <v>1236</v>
      </c>
      <c r="G68" s="10">
        <f t="shared" si="4"/>
        <v>15.017125101514777</v>
      </c>
    </row>
    <row r="69" spans="1:7">
      <c r="A69">
        <f t="shared" si="3"/>
        <v>2</v>
      </c>
      <c r="B69">
        <v>20802</v>
      </c>
      <c r="C69">
        <v>2370</v>
      </c>
      <c r="D69">
        <v>1997</v>
      </c>
      <c r="E69">
        <v>687</v>
      </c>
      <c r="F69">
        <v>226</v>
      </c>
      <c r="G69" s="10">
        <f t="shared" si="4"/>
        <v>28.9873417721519</v>
      </c>
    </row>
    <row r="70" spans="1:7">
      <c r="A70">
        <f t="shared" si="3"/>
        <v>2</v>
      </c>
      <c r="B70">
        <v>20803</v>
      </c>
      <c r="C70">
        <v>2748</v>
      </c>
      <c r="D70">
        <v>1741</v>
      </c>
      <c r="E70">
        <v>492</v>
      </c>
      <c r="F70">
        <v>158</v>
      </c>
      <c r="G70" s="10">
        <f t="shared" si="4"/>
        <v>17.903930131004365</v>
      </c>
    </row>
    <row r="71" spans="1:7">
      <c r="A71">
        <f t="shared" si="3"/>
        <v>2</v>
      </c>
      <c r="B71">
        <v>20804</v>
      </c>
      <c r="C71">
        <v>1798</v>
      </c>
      <c r="D71">
        <v>1070</v>
      </c>
      <c r="E71">
        <v>387</v>
      </c>
      <c r="F71">
        <v>127</v>
      </c>
      <c r="G71" s="10">
        <f t="shared" si="4"/>
        <v>21.523915461624028</v>
      </c>
    </row>
    <row r="72" spans="1:7">
      <c r="A72">
        <f t="shared" si="3"/>
        <v>2</v>
      </c>
      <c r="B72">
        <v>20805</v>
      </c>
      <c r="C72">
        <v>1447</v>
      </c>
      <c r="D72">
        <v>1151</v>
      </c>
      <c r="E72">
        <v>330</v>
      </c>
      <c r="F72">
        <v>60</v>
      </c>
      <c r="G72" s="10">
        <f t="shared" si="4"/>
        <v>22.805805114029024</v>
      </c>
    </row>
    <row r="73" spans="1:7">
      <c r="A73">
        <f t="shared" si="3"/>
        <v>2</v>
      </c>
      <c r="B73">
        <v>20806</v>
      </c>
      <c r="C73">
        <v>3329</v>
      </c>
      <c r="D73">
        <v>2121</v>
      </c>
      <c r="E73">
        <v>581</v>
      </c>
      <c r="F73">
        <v>163</v>
      </c>
      <c r="G73" s="10">
        <f t="shared" si="4"/>
        <v>17.452688495043557</v>
      </c>
    </row>
    <row r="74" spans="1:7">
      <c r="A74">
        <f t="shared" si="3"/>
        <v>2</v>
      </c>
      <c r="B74">
        <v>20807</v>
      </c>
      <c r="C74">
        <v>1475</v>
      </c>
      <c r="D74">
        <v>827</v>
      </c>
      <c r="E74">
        <v>318</v>
      </c>
      <c r="F74">
        <v>99</v>
      </c>
      <c r="G74" s="10">
        <f t="shared" si="4"/>
        <v>21.559322033898304</v>
      </c>
    </row>
    <row r="75" spans="1:7">
      <c r="A75">
        <f t="shared" si="3"/>
        <v>2</v>
      </c>
      <c r="B75">
        <v>20901</v>
      </c>
      <c r="C75">
        <v>2609</v>
      </c>
      <c r="D75">
        <v>1281</v>
      </c>
      <c r="E75">
        <v>355</v>
      </c>
      <c r="F75">
        <v>67</v>
      </c>
      <c r="G75" s="10">
        <f t="shared" si="4"/>
        <v>13.606745879647374</v>
      </c>
    </row>
    <row r="76" spans="1:7">
      <c r="A76">
        <f t="shared" si="3"/>
        <v>2</v>
      </c>
      <c r="B76">
        <v>20902</v>
      </c>
      <c r="C76">
        <v>3175</v>
      </c>
      <c r="D76">
        <v>2040</v>
      </c>
      <c r="E76">
        <v>492</v>
      </c>
      <c r="F76">
        <v>62</v>
      </c>
      <c r="G76" s="10">
        <f t="shared" si="4"/>
        <v>15.496062992125983</v>
      </c>
    </row>
    <row r="77" spans="1:7">
      <c r="A77">
        <f t="shared" si="3"/>
        <v>2</v>
      </c>
      <c r="B77">
        <v>20903</v>
      </c>
      <c r="C77">
        <v>1548</v>
      </c>
      <c r="D77">
        <v>930</v>
      </c>
      <c r="E77">
        <v>346</v>
      </c>
      <c r="F77">
        <v>83</v>
      </c>
      <c r="G77" s="10">
        <f t="shared" si="4"/>
        <v>22.351421188630489</v>
      </c>
    </row>
    <row r="78" spans="1:7">
      <c r="A78">
        <f t="shared" si="3"/>
        <v>2</v>
      </c>
      <c r="B78">
        <v>20904</v>
      </c>
      <c r="C78">
        <v>273</v>
      </c>
      <c r="D78">
        <v>188</v>
      </c>
      <c r="E78">
        <v>72</v>
      </c>
      <c r="F78">
        <v>14</v>
      </c>
      <c r="G78" s="10">
        <f t="shared" si="4"/>
        <v>26.373626373626372</v>
      </c>
    </row>
    <row r="79" spans="1:7">
      <c r="A79">
        <f t="shared" si="3"/>
        <v>2</v>
      </c>
      <c r="B79">
        <v>20905</v>
      </c>
      <c r="C79">
        <v>2118</v>
      </c>
      <c r="D79">
        <v>808</v>
      </c>
      <c r="E79">
        <v>452</v>
      </c>
      <c r="F79">
        <v>281</v>
      </c>
      <c r="G79" s="10">
        <f t="shared" si="4"/>
        <v>21.340887629839472</v>
      </c>
    </row>
    <row r="80" spans="1:7">
      <c r="A80">
        <f t="shared" si="3"/>
        <v>2</v>
      </c>
      <c r="B80">
        <v>21001</v>
      </c>
      <c r="C80">
        <v>2163</v>
      </c>
      <c r="D80">
        <v>1033</v>
      </c>
      <c r="E80">
        <v>264</v>
      </c>
      <c r="F80">
        <v>41</v>
      </c>
      <c r="G80" s="10">
        <f t="shared" si="4"/>
        <v>12.205270457697642</v>
      </c>
    </row>
    <row r="81" spans="1:7">
      <c r="A81">
        <f t="shared" si="3"/>
        <v>2</v>
      </c>
      <c r="B81">
        <v>21002</v>
      </c>
      <c r="C81">
        <v>1356</v>
      </c>
      <c r="D81">
        <v>434</v>
      </c>
      <c r="E81">
        <v>120</v>
      </c>
      <c r="F81">
        <v>20</v>
      </c>
      <c r="G81" s="10">
        <f t="shared" si="4"/>
        <v>8.8495575221238933</v>
      </c>
    </row>
    <row r="82" spans="1:7">
      <c r="A82">
        <f t="shared" si="3"/>
        <v>2</v>
      </c>
      <c r="B82">
        <v>21003</v>
      </c>
      <c r="C82">
        <v>3240</v>
      </c>
      <c r="D82">
        <v>977</v>
      </c>
      <c r="E82">
        <v>273</v>
      </c>
      <c r="F82">
        <v>56</v>
      </c>
      <c r="G82" s="10">
        <f t="shared" si="4"/>
        <v>8.4259259259259256</v>
      </c>
    </row>
    <row r="83" spans="1:7">
      <c r="A83">
        <f t="shared" si="3"/>
        <v>2</v>
      </c>
      <c r="B83">
        <v>21004</v>
      </c>
      <c r="C83">
        <v>1953</v>
      </c>
      <c r="D83">
        <v>1443</v>
      </c>
      <c r="E83">
        <v>530</v>
      </c>
      <c r="F83">
        <v>171</v>
      </c>
      <c r="G83" s="10">
        <f t="shared" si="4"/>
        <v>27.13773681515617</v>
      </c>
    </row>
    <row r="84" spans="1:7">
      <c r="A84">
        <f t="shared" si="3"/>
        <v>2</v>
      </c>
      <c r="B84">
        <v>21005</v>
      </c>
      <c r="C84">
        <v>1027</v>
      </c>
      <c r="D84">
        <v>842</v>
      </c>
      <c r="E84">
        <v>352</v>
      </c>
      <c r="F84">
        <v>44</v>
      </c>
      <c r="G84" s="10">
        <f t="shared" si="4"/>
        <v>34.274586173320351</v>
      </c>
    </row>
    <row r="85" spans="1:7">
      <c r="A85">
        <f t="shared" si="3"/>
        <v>2</v>
      </c>
      <c r="B85">
        <v>21006</v>
      </c>
      <c r="C85">
        <v>636</v>
      </c>
      <c r="D85">
        <v>344</v>
      </c>
      <c r="E85">
        <v>69</v>
      </c>
      <c r="F85">
        <v>3</v>
      </c>
      <c r="G85" s="10">
        <f t="shared" si="4"/>
        <v>10.849056603773585</v>
      </c>
    </row>
    <row r="86" spans="1:7">
      <c r="A86">
        <f t="shared" si="3"/>
        <v>2</v>
      </c>
      <c r="B86">
        <v>21101</v>
      </c>
      <c r="C86">
        <v>4533</v>
      </c>
      <c r="D86">
        <v>1087</v>
      </c>
      <c r="E86">
        <v>265</v>
      </c>
      <c r="F86">
        <v>41</v>
      </c>
      <c r="G86" s="10">
        <f t="shared" si="4"/>
        <v>5.8460180895654092</v>
      </c>
    </row>
    <row r="87" spans="1:7">
      <c r="A87">
        <f t="shared" si="3"/>
        <v>2</v>
      </c>
      <c r="B87">
        <v>21102</v>
      </c>
      <c r="C87">
        <v>4321</v>
      </c>
      <c r="D87">
        <v>1362</v>
      </c>
      <c r="E87">
        <v>328</v>
      </c>
      <c r="F87">
        <v>40</v>
      </c>
      <c r="G87" s="10">
        <f t="shared" si="4"/>
        <v>7.5908354547558439</v>
      </c>
    </row>
    <row r="88" spans="1:7">
      <c r="A88">
        <f t="shared" si="3"/>
        <v>2</v>
      </c>
      <c r="B88">
        <v>21103</v>
      </c>
      <c r="C88">
        <v>1382</v>
      </c>
      <c r="D88">
        <v>397</v>
      </c>
      <c r="E88">
        <v>75</v>
      </c>
      <c r="F88">
        <v>7</v>
      </c>
      <c r="G88" s="10">
        <f t="shared" si="4"/>
        <v>5.4269175108538352</v>
      </c>
    </row>
    <row r="89" spans="1:7">
      <c r="A89">
        <f t="shared" si="3"/>
        <v>2</v>
      </c>
      <c r="B89">
        <v>21104</v>
      </c>
      <c r="C89">
        <v>5298</v>
      </c>
      <c r="D89">
        <v>1786</v>
      </c>
      <c r="E89">
        <v>696</v>
      </c>
      <c r="F89">
        <v>236</v>
      </c>
      <c r="G89" s="10">
        <f t="shared" si="4"/>
        <v>13.137032842582107</v>
      </c>
    </row>
    <row r="90" spans="1:7">
      <c r="A90">
        <f t="shared" si="3"/>
        <v>2</v>
      </c>
      <c r="B90">
        <v>21105</v>
      </c>
      <c r="C90">
        <v>6923</v>
      </c>
      <c r="D90">
        <v>2067</v>
      </c>
      <c r="E90">
        <v>350</v>
      </c>
      <c r="F90">
        <v>76</v>
      </c>
      <c r="G90" s="10">
        <f t="shared" si="4"/>
        <v>5.0556117290192111</v>
      </c>
    </row>
    <row r="91" spans="1:7">
      <c r="A91">
        <f t="shared" si="3"/>
        <v>2</v>
      </c>
      <c r="B91">
        <v>21201</v>
      </c>
      <c r="C91">
        <v>6972</v>
      </c>
      <c r="D91">
        <v>3562</v>
      </c>
      <c r="E91">
        <v>1188</v>
      </c>
      <c r="F91">
        <v>315</v>
      </c>
      <c r="G91" s="10">
        <f t="shared" si="4"/>
        <v>17.039586919104991</v>
      </c>
    </row>
    <row r="92" spans="1:7">
      <c r="A92">
        <f t="shared" si="3"/>
        <v>2</v>
      </c>
      <c r="B92">
        <v>21202</v>
      </c>
      <c r="C92">
        <v>7167</v>
      </c>
      <c r="D92">
        <v>2762</v>
      </c>
      <c r="E92">
        <v>937</v>
      </c>
      <c r="F92">
        <v>242</v>
      </c>
      <c r="G92" s="10">
        <f t="shared" si="4"/>
        <v>13.07381052044091</v>
      </c>
    </row>
    <row r="93" spans="1:7">
      <c r="A93">
        <f t="shared" si="3"/>
        <v>2</v>
      </c>
      <c r="B93">
        <v>21203</v>
      </c>
      <c r="C93">
        <v>5079</v>
      </c>
      <c r="D93">
        <v>2423</v>
      </c>
      <c r="E93">
        <v>741</v>
      </c>
      <c r="F93">
        <v>203</v>
      </c>
      <c r="G93" s="10">
        <f t="shared" si="4"/>
        <v>14.589486119314826</v>
      </c>
    </row>
    <row r="94" spans="1:7">
      <c r="A94">
        <f t="shared" si="3"/>
        <v>2</v>
      </c>
      <c r="B94">
        <v>21204</v>
      </c>
      <c r="C94">
        <v>1869</v>
      </c>
      <c r="D94">
        <v>781</v>
      </c>
      <c r="E94">
        <v>256</v>
      </c>
      <c r="F94">
        <v>48</v>
      </c>
      <c r="G94" s="10">
        <f t="shared" si="4"/>
        <v>13.697164258962012</v>
      </c>
    </row>
    <row r="95" spans="1:7">
      <c r="A95">
        <f t="shared" si="3"/>
        <v>2</v>
      </c>
      <c r="B95">
        <v>21301</v>
      </c>
      <c r="C95">
        <v>4998</v>
      </c>
      <c r="D95">
        <v>3546</v>
      </c>
      <c r="E95">
        <v>1032</v>
      </c>
      <c r="F95">
        <v>182</v>
      </c>
      <c r="G95" s="10">
        <f t="shared" si="4"/>
        <v>20.648259303721488</v>
      </c>
    </row>
    <row r="96" spans="1:7">
      <c r="A96">
        <f t="shared" si="3"/>
        <v>2</v>
      </c>
      <c r="B96">
        <v>21302</v>
      </c>
      <c r="C96">
        <v>2148</v>
      </c>
      <c r="D96">
        <v>1707</v>
      </c>
      <c r="E96">
        <v>632</v>
      </c>
      <c r="F96">
        <v>119</v>
      </c>
      <c r="G96" s="10">
        <f t="shared" si="4"/>
        <v>29.422718808193668</v>
      </c>
    </row>
    <row r="97" spans="1:7">
      <c r="A97">
        <f t="shared" si="3"/>
        <v>2</v>
      </c>
      <c r="B97">
        <v>21303</v>
      </c>
      <c r="C97">
        <v>1863</v>
      </c>
      <c r="D97">
        <v>1384</v>
      </c>
      <c r="E97">
        <v>452</v>
      </c>
      <c r="F97">
        <v>131</v>
      </c>
      <c r="G97" s="10">
        <f t="shared" si="4"/>
        <v>24.261943102522814</v>
      </c>
    </row>
    <row r="98" spans="1:7">
      <c r="A98">
        <f t="shared" si="3"/>
        <v>2</v>
      </c>
      <c r="B98">
        <v>21304</v>
      </c>
      <c r="C98">
        <v>2832</v>
      </c>
      <c r="D98">
        <v>1665</v>
      </c>
      <c r="E98">
        <v>473</v>
      </c>
      <c r="F98">
        <v>113</v>
      </c>
      <c r="G98" s="10">
        <f t="shared" si="4"/>
        <v>16.701977401129945</v>
      </c>
    </row>
    <row r="99" spans="1:7">
      <c r="A99">
        <f t="shared" si="3"/>
        <v>2</v>
      </c>
      <c r="B99">
        <v>21305</v>
      </c>
      <c r="C99">
        <v>5701</v>
      </c>
      <c r="D99">
        <v>2890</v>
      </c>
      <c r="E99">
        <v>719</v>
      </c>
      <c r="F99">
        <v>148</v>
      </c>
      <c r="G99" s="10">
        <f t="shared" si="4"/>
        <v>12.611822487282932</v>
      </c>
    </row>
    <row r="100" spans="1:7">
      <c r="A100">
        <f t="shared" si="3"/>
        <v>2</v>
      </c>
      <c r="B100">
        <v>21306</v>
      </c>
      <c r="C100">
        <v>1790</v>
      </c>
      <c r="D100">
        <v>674</v>
      </c>
      <c r="E100">
        <v>205</v>
      </c>
      <c r="F100">
        <v>72</v>
      </c>
      <c r="G100" s="10">
        <f t="shared" si="4"/>
        <v>11.452513966480447</v>
      </c>
    </row>
    <row r="101" spans="1:7">
      <c r="A101">
        <f t="shared" si="3"/>
        <v>2</v>
      </c>
      <c r="B101">
        <v>21307</v>
      </c>
      <c r="C101">
        <v>623</v>
      </c>
      <c r="D101">
        <v>194</v>
      </c>
      <c r="E101">
        <v>42</v>
      </c>
      <c r="F101">
        <v>11</v>
      </c>
      <c r="G101" s="10">
        <f t="shared" si="4"/>
        <v>6.7415730337078648</v>
      </c>
    </row>
    <row r="102" spans="1:7">
      <c r="A102">
        <f t="shared" si="3"/>
        <v>2</v>
      </c>
      <c r="B102">
        <v>21401</v>
      </c>
      <c r="C102">
        <v>4901</v>
      </c>
      <c r="D102">
        <v>830</v>
      </c>
      <c r="E102">
        <v>244</v>
      </c>
      <c r="F102">
        <v>76</v>
      </c>
      <c r="G102" s="10">
        <f t="shared" si="4"/>
        <v>4.9785758008569676</v>
      </c>
    </row>
    <row r="103" spans="1:7">
      <c r="A103">
        <f t="shared" si="3"/>
        <v>2</v>
      </c>
      <c r="B103">
        <v>21402</v>
      </c>
      <c r="C103">
        <v>5374</v>
      </c>
      <c r="D103">
        <v>1572</v>
      </c>
      <c r="E103">
        <v>348</v>
      </c>
      <c r="F103">
        <v>65</v>
      </c>
      <c r="G103" s="10">
        <f t="shared" si="4"/>
        <v>6.4756233717901006</v>
      </c>
    </row>
    <row r="104" spans="1:7">
      <c r="A104">
        <f t="shared" si="3"/>
        <v>2</v>
      </c>
      <c r="B104">
        <v>21501</v>
      </c>
      <c r="C104">
        <v>834</v>
      </c>
      <c r="D104">
        <v>188</v>
      </c>
      <c r="E104">
        <v>14</v>
      </c>
      <c r="F104">
        <v>4</v>
      </c>
      <c r="G104" s="10">
        <f t="shared" si="4"/>
        <v>1.6786570743405276</v>
      </c>
    </row>
    <row r="105" spans="1:7">
      <c r="A105">
        <f t="shared" si="3"/>
        <v>2</v>
      </c>
      <c r="B105">
        <v>21502</v>
      </c>
      <c r="C105">
        <v>1455</v>
      </c>
      <c r="D105">
        <v>308</v>
      </c>
      <c r="E105">
        <v>40</v>
      </c>
      <c r="F105">
        <v>6</v>
      </c>
      <c r="G105" s="10">
        <f t="shared" si="4"/>
        <v>2.7491408934707904</v>
      </c>
    </row>
    <row r="106" spans="1:7">
      <c r="A106">
        <f t="shared" si="3"/>
        <v>2</v>
      </c>
      <c r="B106">
        <v>21601</v>
      </c>
      <c r="C106">
        <v>1903</v>
      </c>
      <c r="D106">
        <v>1324</v>
      </c>
      <c r="E106">
        <v>248</v>
      </c>
      <c r="F106">
        <v>46</v>
      </c>
      <c r="G106" s="10">
        <f t="shared" si="4"/>
        <v>13.03205465055176</v>
      </c>
    </row>
    <row r="107" spans="1:7">
      <c r="A107">
        <f t="shared" si="3"/>
        <v>2</v>
      </c>
      <c r="B107">
        <v>21602</v>
      </c>
      <c r="C107">
        <v>316</v>
      </c>
      <c r="D107">
        <v>238</v>
      </c>
      <c r="E107">
        <v>79</v>
      </c>
      <c r="F107">
        <v>16</v>
      </c>
      <c r="G107" s="10">
        <f t="shared" si="4"/>
        <v>25</v>
      </c>
    </row>
    <row r="108" spans="1:7">
      <c r="A108">
        <f t="shared" si="3"/>
        <v>2</v>
      </c>
      <c r="B108">
        <v>21701</v>
      </c>
      <c r="C108">
        <v>4801</v>
      </c>
      <c r="D108">
        <v>2284</v>
      </c>
      <c r="E108">
        <v>850</v>
      </c>
      <c r="F108">
        <v>189</v>
      </c>
      <c r="G108" s="10">
        <f t="shared" si="4"/>
        <v>17.704644865652988</v>
      </c>
    </row>
    <row r="109" spans="1:7">
      <c r="A109">
        <f t="shared" si="3"/>
        <v>2</v>
      </c>
      <c r="B109">
        <v>21702</v>
      </c>
      <c r="C109">
        <v>1755</v>
      </c>
      <c r="D109">
        <v>915</v>
      </c>
      <c r="E109">
        <v>326</v>
      </c>
      <c r="F109">
        <v>72</v>
      </c>
      <c r="G109" s="10">
        <f t="shared" si="4"/>
        <v>18.575498575498575</v>
      </c>
    </row>
    <row r="110" spans="1:7">
      <c r="A110">
        <f t="shared" si="3"/>
        <v>2</v>
      </c>
      <c r="B110">
        <v>21703</v>
      </c>
      <c r="C110">
        <v>466</v>
      </c>
      <c r="D110">
        <v>300</v>
      </c>
      <c r="E110">
        <v>95</v>
      </c>
      <c r="F110">
        <v>10</v>
      </c>
      <c r="G110" s="10">
        <f t="shared" si="4"/>
        <v>20.386266094420602</v>
      </c>
    </row>
    <row r="111" spans="1:7">
      <c r="A111">
        <f t="shared" si="3"/>
        <v>2</v>
      </c>
      <c r="B111">
        <v>21801</v>
      </c>
      <c r="C111">
        <v>156</v>
      </c>
      <c r="D111">
        <v>147</v>
      </c>
      <c r="E111">
        <v>65</v>
      </c>
      <c r="F111">
        <v>13</v>
      </c>
      <c r="G111" s="10">
        <f t="shared" si="4"/>
        <v>41.666666666666664</v>
      </c>
    </row>
    <row r="112" spans="1:7">
      <c r="A112">
        <f t="shared" si="3"/>
        <v>2</v>
      </c>
      <c r="B112">
        <v>21802</v>
      </c>
      <c r="C112">
        <v>1085</v>
      </c>
      <c r="D112">
        <v>255</v>
      </c>
      <c r="E112">
        <v>0</v>
      </c>
      <c r="F112">
        <v>0</v>
      </c>
      <c r="G112" s="10">
        <f t="shared" si="4"/>
        <v>0</v>
      </c>
    </row>
    <row r="113" spans="1:7">
      <c r="A113">
        <f t="shared" si="3"/>
        <v>2</v>
      </c>
      <c r="B113">
        <v>21803</v>
      </c>
      <c r="C113">
        <v>300</v>
      </c>
      <c r="D113">
        <v>279</v>
      </c>
      <c r="E113">
        <v>92</v>
      </c>
      <c r="F113">
        <v>26</v>
      </c>
      <c r="G113" s="10">
        <f t="shared" si="4"/>
        <v>30.666666666666668</v>
      </c>
    </row>
    <row r="114" spans="1:7">
      <c r="A114">
        <f t="shared" si="3"/>
        <v>2</v>
      </c>
      <c r="B114">
        <v>21901</v>
      </c>
      <c r="C114">
        <v>1272</v>
      </c>
      <c r="D114">
        <v>905</v>
      </c>
      <c r="E114">
        <v>273</v>
      </c>
      <c r="F114">
        <v>19</v>
      </c>
      <c r="G114" s="10">
        <f t="shared" si="4"/>
        <v>21.462264150943398</v>
      </c>
    </row>
    <row r="115" spans="1:7">
      <c r="A115">
        <f t="shared" si="3"/>
        <v>2</v>
      </c>
      <c r="B115">
        <v>21902</v>
      </c>
      <c r="C115">
        <v>195</v>
      </c>
      <c r="D115">
        <v>113</v>
      </c>
      <c r="E115">
        <v>29</v>
      </c>
      <c r="F115">
        <v>6</v>
      </c>
      <c r="G115" s="10">
        <f t="shared" si="4"/>
        <v>14.871794871794872</v>
      </c>
    </row>
    <row r="116" spans="1:7">
      <c r="A116">
        <f t="shared" si="3"/>
        <v>2</v>
      </c>
      <c r="B116">
        <v>22001</v>
      </c>
      <c r="C116">
        <v>11182</v>
      </c>
      <c r="D116">
        <v>4096</v>
      </c>
      <c r="E116">
        <v>1666</v>
      </c>
      <c r="F116">
        <v>581</v>
      </c>
      <c r="G116" s="10">
        <f t="shared" si="4"/>
        <v>14.898944732605974</v>
      </c>
    </row>
    <row r="117" spans="1:7">
      <c r="A117">
        <f t="shared" si="3"/>
        <v>2</v>
      </c>
      <c r="B117">
        <v>22002</v>
      </c>
      <c r="C117">
        <v>1918</v>
      </c>
      <c r="D117">
        <v>626</v>
      </c>
      <c r="E117">
        <v>154</v>
      </c>
      <c r="F117">
        <v>46</v>
      </c>
      <c r="G117" s="10">
        <f t="shared" si="4"/>
        <v>8.0291970802919703</v>
      </c>
    </row>
    <row r="118" spans="1:7">
      <c r="A118">
        <f t="shared" si="3"/>
        <v>3</v>
      </c>
      <c r="B118">
        <v>30101</v>
      </c>
      <c r="C118">
        <v>207056</v>
      </c>
      <c r="D118">
        <v>28589</v>
      </c>
      <c r="E118">
        <v>9655</v>
      </c>
      <c r="F118">
        <v>2578</v>
      </c>
      <c r="G118" s="10">
        <f t="shared" si="4"/>
        <v>4.6629897225871266</v>
      </c>
    </row>
    <row r="119" spans="1:7">
      <c r="A119">
        <f t="shared" si="3"/>
        <v>3</v>
      </c>
      <c r="B119">
        <v>30201</v>
      </c>
      <c r="C119">
        <v>4196</v>
      </c>
      <c r="D119">
        <v>756</v>
      </c>
      <c r="E119">
        <v>274</v>
      </c>
      <c r="F119">
        <v>46</v>
      </c>
      <c r="G119" s="10">
        <f t="shared" si="4"/>
        <v>6.5300285986653952</v>
      </c>
    </row>
    <row r="120" spans="1:7">
      <c r="A120">
        <f t="shared" si="3"/>
        <v>3</v>
      </c>
      <c r="B120">
        <v>30202</v>
      </c>
      <c r="C120">
        <v>726</v>
      </c>
      <c r="D120">
        <v>164</v>
      </c>
      <c r="E120">
        <v>45</v>
      </c>
      <c r="F120">
        <v>4</v>
      </c>
      <c r="G120" s="10">
        <f t="shared" si="4"/>
        <v>6.1983471074380168</v>
      </c>
    </row>
    <row r="121" spans="1:7">
      <c r="A121">
        <f t="shared" si="3"/>
        <v>3</v>
      </c>
      <c r="B121">
        <v>30203</v>
      </c>
      <c r="C121">
        <v>2313</v>
      </c>
      <c r="D121">
        <v>373</v>
      </c>
      <c r="E121">
        <v>83</v>
      </c>
      <c r="F121">
        <v>2</v>
      </c>
      <c r="G121" s="10">
        <f t="shared" si="4"/>
        <v>3.5884133160397753</v>
      </c>
    </row>
    <row r="122" spans="1:7">
      <c r="A122">
        <f t="shared" si="3"/>
        <v>3</v>
      </c>
      <c r="B122">
        <v>30301</v>
      </c>
      <c r="C122">
        <v>3112</v>
      </c>
      <c r="D122">
        <v>972</v>
      </c>
      <c r="E122">
        <v>279</v>
      </c>
      <c r="F122">
        <v>60</v>
      </c>
      <c r="G122" s="10">
        <f t="shared" si="4"/>
        <v>8.9652956298200515</v>
      </c>
    </row>
    <row r="123" spans="1:7">
      <c r="A123">
        <f t="shared" si="3"/>
        <v>3</v>
      </c>
      <c r="B123">
        <v>30302</v>
      </c>
      <c r="C123">
        <v>1569</v>
      </c>
      <c r="D123">
        <v>639</v>
      </c>
      <c r="E123">
        <v>232</v>
      </c>
      <c r="F123">
        <v>63</v>
      </c>
      <c r="G123" s="10">
        <f t="shared" si="4"/>
        <v>14.786488209050351</v>
      </c>
    </row>
    <row r="124" spans="1:7">
      <c r="A124">
        <f t="shared" si="3"/>
        <v>3</v>
      </c>
      <c r="B124">
        <v>30303</v>
      </c>
      <c r="C124">
        <v>1108</v>
      </c>
      <c r="D124">
        <v>465</v>
      </c>
      <c r="E124">
        <v>154</v>
      </c>
      <c r="F124">
        <v>27</v>
      </c>
      <c r="G124" s="10">
        <f t="shared" si="4"/>
        <v>13.898916967509026</v>
      </c>
    </row>
    <row r="125" spans="1:7">
      <c r="A125">
        <f t="shared" si="3"/>
        <v>3</v>
      </c>
      <c r="B125">
        <v>30401</v>
      </c>
      <c r="C125">
        <v>2561</v>
      </c>
      <c r="D125">
        <v>670</v>
      </c>
      <c r="E125">
        <v>298</v>
      </c>
      <c r="F125">
        <v>78</v>
      </c>
      <c r="G125" s="10">
        <f t="shared" si="4"/>
        <v>11.636079656384226</v>
      </c>
    </row>
    <row r="126" spans="1:7">
      <c r="A126">
        <f t="shared" si="3"/>
        <v>3</v>
      </c>
      <c r="B126">
        <v>30402</v>
      </c>
      <c r="C126">
        <v>925</v>
      </c>
      <c r="D126">
        <v>396</v>
      </c>
      <c r="E126">
        <v>185</v>
      </c>
      <c r="F126">
        <v>39</v>
      </c>
      <c r="G126" s="10">
        <f t="shared" si="4"/>
        <v>20</v>
      </c>
    </row>
    <row r="127" spans="1:7">
      <c r="A127">
        <f t="shared" si="3"/>
        <v>3</v>
      </c>
      <c r="B127">
        <v>30403</v>
      </c>
      <c r="C127">
        <v>4972</v>
      </c>
      <c r="D127">
        <v>1700</v>
      </c>
      <c r="E127">
        <v>803</v>
      </c>
      <c r="F127">
        <v>227</v>
      </c>
      <c r="G127" s="10">
        <f t="shared" si="4"/>
        <v>16.150442477876105</v>
      </c>
    </row>
    <row r="128" spans="1:7">
      <c r="A128">
        <f t="shared" si="3"/>
        <v>3</v>
      </c>
      <c r="B128">
        <v>30404</v>
      </c>
      <c r="C128">
        <v>1170</v>
      </c>
      <c r="D128">
        <v>518</v>
      </c>
      <c r="E128">
        <v>176</v>
      </c>
      <c r="F128">
        <v>42</v>
      </c>
      <c r="G128" s="10">
        <f t="shared" si="4"/>
        <v>15.042735042735043</v>
      </c>
    </row>
    <row r="129" spans="1:7">
      <c r="A129">
        <f t="shared" si="3"/>
        <v>3</v>
      </c>
      <c r="B129">
        <v>30501</v>
      </c>
      <c r="C129">
        <v>4767</v>
      </c>
      <c r="D129">
        <v>1396</v>
      </c>
      <c r="E129">
        <v>706</v>
      </c>
      <c r="F129">
        <v>162</v>
      </c>
      <c r="G129" s="10">
        <f t="shared" si="4"/>
        <v>14.810153136144326</v>
      </c>
    </row>
    <row r="130" spans="1:7">
      <c r="A130">
        <f t="shared" si="3"/>
        <v>3</v>
      </c>
      <c r="B130">
        <v>30502</v>
      </c>
      <c r="C130">
        <v>1349</v>
      </c>
      <c r="D130">
        <v>483</v>
      </c>
      <c r="E130">
        <v>226</v>
      </c>
      <c r="F130">
        <v>55</v>
      </c>
      <c r="G130" s="10">
        <f t="shared" si="4"/>
        <v>16.7531504818384</v>
      </c>
    </row>
    <row r="131" spans="1:7">
      <c r="A131">
        <f t="shared" ref="A131:A194" si="5">VALUE(MID(B131,1,1))</f>
        <v>3</v>
      </c>
      <c r="B131">
        <v>30601</v>
      </c>
      <c r="C131">
        <v>981</v>
      </c>
      <c r="D131">
        <v>400</v>
      </c>
      <c r="E131">
        <v>144</v>
      </c>
      <c r="F131">
        <v>33</v>
      </c>
      <c r="G131" s="10">
        <f t="shared" ref="G131:G194" si="6">100*E131/C131</f>
        <v>14.678899082568808</v>
      </c>
    </row>
    <row r="132" spans="1:7">
      <c r="A132">
        <f t="shared" si="5"/>
        <v>3</v>
      </c>
      <c r="B132">
        <v>30602</v>
      </c>
      <c r="C132">
        <v>1114</v>
      </c>
      <c r="D132">
        <v>479</v>
      </c>
      <c r="E132">
        <v>199</v>
      </c>
      <c r="F132">
        <v>40</v>
      </c>
      <c r="G132" s="10">
        <f t="shared" si="6"/>
        <v>17.863554757630162</v>
      </c>
    </row>
    <row r="133" spans="1:7">
      <c r="A133">
        <f t="shared" si="5"/>
        <v>3</v>
      </c>
      <c r="B133">
        <v>30701</v>
      </c>
      <c r="C133">
        <v>5818</v>
      </c>
      <c r="D133">
        <v>916</v>
      </c>
      <c r="E133">
        <v>297</v>
      </c>
      <c r="F133">
        <v>56</v>
      </c>
      <c r="G133" s="10">
        <f t="shared" si="6"/>
        <v>5.1048470264695771</v>
      </c>
    </row>
    <row r="134" spans="1:7">
      <c r="A134">
        <f t="shared" si="5"/>
        <v>3</v>
      </c>
      <c r="B134">
        <v>30702</v>
      </c>
      <c r="C134">
        <v>2273</v>
      </c>
      <c r="D134">
        <v>739</v>
      </c>
      <c r="E134">
        <v>360</v>
      </c>
      <c r="F134">
        <v>121</v>
      </c>
      <c r="G134" s="10">
        <f t="shared" si="6"/>
        <v>15.838099428068631</v>
      </c>
    </row>
    <row r="135" spans="1:7">
      <c r="A135">
        <f t="shared" si="5"/>
        <v>3</v>
      </c>
      <c r="B135">
        <v>30703</v>
      </c>
      <c r="C135">
        <v>1138</v>
      </c>
      <c r="D135">
        <v>244</v>
      </c>
      <c r="E135">
        <v>60</v>
      </c>
      <c r="F135">
        <v>17</v>
      </c>
      <c r="G135" s="10">
        <f t="shared" si="6"/>
        <v>5.272407732864675</v>
      </c>
    </row>
    <row r="136" spans="1:7">
      <c r="A136">
        <f t="shared" si="5"/>
        <v>3</v>
      </c>
      <c r="B136">
        <v>30801</v>
      </c>
      <c r="C136">
        <v>6665</v>
      </c>
      <c r="D136">
        <v>1470</v>
      </c>
      <c r="E136">
        <v>717</v>
      </c>
      <c r="F136">
        <v>206</v>
      </c>
      <c r="G136" s="10">
        <f t="shared" si="6"/>
        <v>10.75768942235559</v>
      </c>
    </row>
    <row r="137" spans="1:7">
      <c r="A137">
        <f t="shared" si="5"/>
        <v>3</v>
      </c>
      <c r="B137">
        <v>30802</v>
      </c>
      <c r="C137">
        <v>1728</v>
      </c>
      <c r="D137">
        <v>480</v>
      </c>
      <c r="E137">
        <v>211</v>
      </c>
      <c r="F137">
        <v>51</v>
      </c>
      <c r="G137" s="10">
        <f t="shared" si="6"/>
        <v>12.210648148148149</v>
      </c>
    </row>
    <row r="138" spans="1:7">
      <c r="A138">
        <f t="shared" si="5"/>
        <v>3</v>
      </c>
      <c r="B138">
        <v>30803</v>
      </c>
      <c r="C138">
        <v>1936</v>
      </c>
      <c r="D138">
        <v>517</v>
      </c>
      <c r="E138">
        <v>240</v>
      </c>
      <c r="F138">
        <v>84</v>
      </c>
      <c r="G138" s="10">
        <f t="shared" si="6"/>
        <v>12.396694214876034</v>
      </c>
    </row>
    <row r="139" spans="1:7">
      <c r="A139">
        <f t="shared" si="5"/>
        <v>3</v>
      </c>
      <c r="B139">
        <v>30901</v>
      </c>
      <c r="C139">
        <v>39097</v>
      </c>
      <c r="D139">
        <v>4355</v>
      </c>
      <c r="E139">
        <v>1521</v>
      </c>
      <c r="F139">
        <v>426</v>
      </c>
      <c r="G139" s="10">
        <f t="shared" si="6"/>
        <v>3.8903240657850988</v>
      </c>
    </row>
    <row r="140" spans="1:7">
      <c r="A140">
        <f t="shared" si="5"/>
        <v>3</v>
      </c>
      <c r="B140">
        <v>30902</v>
      </c>
      <c r="C140">
        <v>14326</v>
      </c>
      <c r="D140">
        <v>1947</v>
      </c>
      <c r="E140">
        <v>627</v>
      </c>
      <c r="F140">
        <v>150</v>
      </c>
      <c r="G140" s="10">
        <f t="shared" si="6"/>
        <v>4.3766578249336874</v>
      </c>
    </row>
    <row r="141" spans="1:7">
      <c r="A141">
        <f t="shared" si="5"/>
        <v>3</v>
      </c>
      <c r="B141">
        <v>30903</v>
      </c>
      <c r="C141">
        <v>15449</v>
      </c>
      <c r="D141">
        <v>2035</v>
      </c>
      <c r="E141">
        <v>613</v>
      </c>
      <c r="F141">
        <v>156</v>
      </c>
      <c r="G141" s="10">
        <f t="shared" si="6"/>
        <v>3.9678943620946341</v>
      </c>
    </row>
    <row r="142" spans="1:7">
      <c r="A142">
        <f t="shared" si="5"/>
        <v>3</v>
      </c>
      <c r="B142">
        <v>30904</v>
      </c>
      <c r="C142">
        <v>14540</v>
      </c>
      <c r="D142">
        <v>2233</v>
      </c>
      <c r="E142">
        <v>861</v>
      </c>
      <c r="F142">
        <v>255</v>
      </c>
      <c r="G142" s="10">
        <f t="shared" si="6"/>
        <v>5.9215955983493807</v>
      </c>
    </row>
    <row r="143" spans="1:7">
      <c r="A143">
        <f t="shared" si="5"/>
        <v>3</v>
      </c>
      <c r="B143">
        <v>30905</v>
      </c>
      <c r="C143">
        <v>15360</v>
      </c>
      <c r="D143">
        <v>1613</v>
      </c>
      <c r="E143">
        <v>466</v>
      </c>
      <c r="F143">
        <v>121</v>
      </c>
      <c r="G143" s="10">
        <f t="shared" si="6"/>
        <v>3.0338541666666665</v>
      </c>
    </row>
    <row r="144" spans="1:7">
      <c r="A144">
        <f t="shared" si="5"/>
        <v>3</v>
      </c>
      <c r="B144">
        <v>31001</v>
      </c>
      <c r="C144">
        <v>50068</v>
      </c>
      <c r="D144">
        <v>7914</v>
      </c>
      <c r="E144">
        <v>2865</v>
      </c>
      <c r="F144">
        <v>754</v>
      </c>
      <c r="G144" s="10">
        <f t="shared" si="6"/>
        <v>5.7222177838140134</v>
      </c>
    </row>
    <row r="145" spans="1:7">
      <c r="A145">
        <f t="shared" si="5"/>
        <v>3</v>
      </c>
      <c r="B145">
        <v>31002</v>
      </c>
      <c r="C145">
        <v>5192</v>
      </c>
      <c r="D145">
        <v>1230</v>
      </c>
      <c r="E145">
        <v>459</v>
      </c>
      <c r="F145">
        <v>147</v>
      </c>
      <c r="G145" s="10">
        <f t="shared" si="6"/>
        <v>8.8405238828967647</v>
      </c>
    </row>
    <row r="146" spans="1:7">
      <c r="A146">
        <f t="shared" si="5"/>
        <v>3</v>
      </c>
      <c r="B146">
        <v>31003</v>
      </c>
      <c r="C146">
        <v>17301</v>
      </c>
      <c r="D146">
        <v>3693</v>
      </c>
      <c r="E146">
        <v>1222</v>
      </c>
      <c r="F146">
        <v>293</v>
      </c>
      <c r="G146" s="10">
        <f t="shared" si="6"/>
        <v>7.0631755389861857</v>
      </c>
    </row>
    <row r="147" spans="1:7">
      <c r="A147">
        <f t="shared" si="5"/>
        <v>3</v>
      </c>
      <c r="B147">
        <v>31101</v>
      </c>
      <c r="C147">
        <v>2036</v>
      </c>
      <c r="D147">
        <v>818</v>
      </c>
      <c r="E147">
        <v>322</v>
      </c>
      <c r="F147">
        <v>70</v>
      </c>
      <c r="G147" s="10">
        <f t="shared" si="6"/>
        <v>15.81532416502947</v>
      </c>
    </row>
    <row r="148" spans="1:7">
      <c r="A148">
        <f t="shared" si="5"/>
        <v>3</v>
      </c>
      <c r="B148">
        <v>31201</v>
      </c>
      <c r="C148">
        <v>3378</v>
      </c>
      <c r="D148">
        <v>812</v>
      </c>
      <c r="E148">
        <v>215</v>
      </c>
      <c r="F148">
        <v>41</v>
      </c>
      <c r="G148" s="10">
        <f t="shared" si="6"/>
        <v>6.3647128478389581</v>
      </c>
    </row>
    <row r="149" spans="1:7">
      <c r="A149">
        <f t="shared" si="5"/>
        <v>3</v>
      </c>
      <c r="B149">
        <v>31202</v>
      </c>
      <c r="C149">
        <v>1781</v>
      </c>
      <c r="D149">
        <v>470</v>
      </c>
      <c r="E149">
        <v>174</v>
      </c>
      <c r="F149">
        <v>44</v>
      </c>
      <c r="G149" s="10">
        <f t="shared" si="6"/>
        <v>9.7697922515440769</v>
      </c>
    </row>
    <row r="150" spans="1:7">
      <c r="A150">
        <f t="shared" si="5"/>
        <v>3</v>
      </c>
      <c r="B150">
        <v>31203</v>
      </c>
      <c r="C150">
        <v>2518</v>
      </c>
      <c r="D150">
        <v>709</v>
      </c>
      <c r="E150">
        <v>275</v>
      </c>
      <c r="F150">
        <v>54</v>
      </c>
      <c r="G150" s="10">
        <f t="shared" si="6"/>
        <v>10.921366163621922</v>
      </c>
    </row>
    <row r="151" spans="1:7">
      <c r="A151">
        <f t="shared" si="5"/>
        <v>3</v>
      </c>
      <c r="B151">
        <v>31204</v>
      </c>
      <c r="C151">
        <v>4837</v>
      </c>
      <c r="D151">
        <v>875</v>
      </c>
      <c r="E151">
        <v>271</v>
      </c>
      <c r="F151">
        <v>51</v>
      </c>
      <c r="G151" s="10">
        <f t="shared" si="6"/>
        <v>5.6026462683481499</v>
      </c>
    </row>
    <row r="152" spans="1:7">
      <c r="A152">
        <f t="shared" si="5"/>
        <v>3</v>
      </c>
      <c r="B152">
        <v>31205</v>
      </c>
      <c r="C152">
        <v>11142</v>
      </c>
      <c r="D152">
        <v>2248</v>
      </c>
      <c r="E152">
        <v>707</v>
      </c>
      <c r="F152">
        <v>229</v>
      </c>
      <c r="G152" s="10">
        <f t="shared" si="6"/>
        <v>6.3453598994794476</v>
      </c>
    </row>
    <row r="153" spans="1:7">
      <c r="A153">
        <f t="shared" si="5"/>
        <v>3</v>
      </c>
      <c r="B153">
        <v>31206</v>
      </c>
      <c r="C153">
        <v>6932</v>
      </c>
      <c r="D153">
        <v>1015</v>
      </c>
      <c r="E153">
        <v>271</v>
      </c>
      <c r="F153">
        <v>81</v>
      </c>
      <c r="G153" s="10">
        <f t="shared" si="6"/>
        <v>3.9094056549336411</v>
      </c>
    </row>
    <row r="154" spans="1:7">
      <c r="A154">
        <f t="shared" si="5"/>
        <v>3</v>
      </c>
      <c r="B154">
        <v>31301</v>
      </c>
      <c r="C154">
        <v>5163</v>
      </c>
      <c r="D154">
        <v>1104</v>
      </c>
      <c r="E154">
        <v>355</v>
      </c>
      <c r="F154">
        <v>73</v>
      </c>
      <c r="G154" s="10">
        <f t="shared" si="6"/>
        <v>6.8758473755568472</v>
      </c>
    </row>
    <row r="155" spans="1:7">
      <c r="A155">
        <f t="shared" si="5"/>
        <v>3</v>
      </c>
      <c r="B155">
        <v>31302</v>
      </c>
      <c r="C155">
        <v>473</v>
      </c>
      <c r="D155">
        <v>180</v>
      </c>
      <c r="E155">
        <v>51</v>
      </c>
      <c r="F155">
        <v>6</v>
      </c>
      <c r="G155" s="10">
        <f t="shared" si="6"/>
        <v>10.782241014799155</v>
      </c>
    </row>
    <row r="156" spans="1:7">
      <c r="A156">
        <f t="shared" si="5"/>
        <v>3</v>
      </c>
      <c r="B156">
        <v>31303</v>
      </c>
      <c r="C156">
        <v>297</v>
      </c>
      <c r="D156">
        <v>121</v>
      </c>
      <c r="E156">
        <v>38</v>
      </c>
      <c r="F156">
        <v>9</v>
      </c>
      <c r="G156" s="10">
        <f t="shared" si="6"/>
        <v>12.794612794612794</v>
      </c>
    </row>
    <row r="157" spans="1:7">
      <c r="A157">
        <f t="shared" si="5"/>
        <v>3</v>
      </c>
      <c r="B157">
        <v>31401</v>
      </c>
      <c r="C157">
        <v>9916</v>
      </c>
      <c r="D157">
        <v>1836</v>
      </c>
      <c r="E157">
        <v>777</v>
      </c>
      <c r="F157">
        <v>191</v>
      </c>
      <c r="G157" s="10">
        <f t="shared" si="6"/>
        <v>7.8358208955223878</v>
      </c>
    </row>
    <row r="158" spans="1:7">
      <c r="A158">
        <f t="shared" si="5"/>
        <v>3</v>
      </c>
      <c r="B158">
        <v>31402</v>
      </c>
      <c r="C158">
        <v>3091</v>
      </c>
      <c r="D158">
        <v>1128</v>
      </c>
      <c r="E158">
        <v>597</v>
      </c>
      <c r="F158">
        <v>193</v>
      </c>
      <c r="G158" s="10">
        <f t="shared" si="6"/>
        <v>19.314137819475899</v>
      </c>
    </row>
    <row r="159" spans="1:7">
      <c r="A159">
        <f t="shared" si="5"/>
        <v>3</v>
      </c>
      <c r="B159">
        <v>31403</v>
      </c>
      <c r="C159">
        <v>4575</v>
      </c>
      <c r="D159">
        <v>1014</v>
      </c>
      <c r="E159">
        <v>491</v>
      </c>
      <c r="F159">
        <v>149</v>
      </c>
      <c r="G159" s="10">
        <f t="shared" si="6"/>
        <v>10.73224043715847</v>
      </c>
    </row>
    <row r="160" spans="1:7">
      <c r="A160">
        <f t="shared" si="5"/>
        <v>3</v>
      </c>
      <c r="B160">
        <v>31404</v>
      </c>
      <c r="C160">
        <v>293</v>
      </c>
      <c r="D160">
        <v>108</v>
      </c>
      <c r="E160">
        <v>57</v>
      </c>
      <c r="F160">
        <v>17</v>
      </c>
      <c r="G160" s="10">
        <f t="shared" si="6"/>
        <v>19.453924914675767</v>
      </c>
    </row>
    <row r="161" spans="1:7">
      <c r="A161">
        <f t="shared" si="5"/>
        <v>3</v>
      </c>
      <c r="B161">
        <v>31501</v>
      </c>
      <c r="C161">
        <v>895</v>
      </c>
      <c r="D161">
        <v>365</v>
      </c>
      <c r="E161">
        <v>153</v>
      </c>
      <c r="F161">
        <v>24</v>
      </c>
      <c r="G161" s="10">
        <f t="shared" si="6"/>
        <v>17.094972067039105</v>
      </c>
    </row>
    <row r="162" spans="1:7">
      <c r="A162">
        <f t="shared" si="5"/>
        <v>3</v>
      </c>
      <c r="B162">
        <v>31601</v>
      </c>
      <c r="C162">
        <v>5476</v>
      </c>
      <c r="D162">
        <v>1327</v>
      </c>
      <c r="E162">
        <v>576</v>
      </c>
      <c r="F162">
        <v>130</v>
      </c>
      <c r="G162" s="10">
        <f t="shared" si="6"/>
        <v>10.51862673484295</v>
      </c>
    </row>
    <row r="163" spans="1:7">
      <c r="A163">
        <f t="shared" si="5"/>
        <v>3</v>
      </c>
      <c r="B163">
        <v>31602</v>
      </c>
      <c r="C163">
        <v>4850</v>
      </c>
      <c r="D163">
        <v>682</v>
      </c>
      <c r="E163">
        <v>220</v>
      </c>
      <c r="F163">
        <v>37</v>
      </c>
      <c r="G163" s="10">
        <f t="shared" si="6"/>
        <v>4.536082474226804</v>
      </c>
    </row>
    <row r="164" spans="1:7">
      <c r="A164">
        <f t="shared" si="5"/>
        <v>4</v>
      </c>
      <c r="B164">
        <v>40101</v>
      </c>
      <c r="C164">
        <v>87056</v>
      </c>
      <c r="D164">
        <v>15238</v>
      </c>
      <c r="E164">
        <v>4670</v>
      </c>
      <c r="F164">
        <v>1167</v>
      </c>
      <c r="G164" s="10">
        <f t="shared" si="6"/>
        <v>5.3643631685351956</v>
      </c>
    </row>
    <row r="165" spans="1:7">
      <c r="A165">
        <f t="shared" si="5"/>
        <v>4</v>
      </c>
      <c r="B165">
        <v>40102</v>
      </c>
      <c r="C165">
        <v>4560</v>
      </c>
      <c r="D165">
        <v>1500</v>
      </c>
      <c r="E165">
        <v>238</v>
      </c>
      <c r="F165">
        <v>26</v>
      </c>
      <c r="G165" s="10">
        <f t="shared" si="6"/>
        <v>5.2192982456140351</v>
      </c>
    </row>
    <row r="166" spans="1:7">
      <c r="A166">
        <f t="shared" si="5"/>
        <v>4</v>
      </c>
      <c r="B166">
        <v>40103</v>
      </c>
      <c r="C166">
        <v>83</v>
      </c>
      <c r="D166">
        <v>58</v>
      </c>
      <c r="E166">
        <v>23</v>
      </c>
      <c r="F166">
        <v>6</v>
      </c>
      <c r="G166" s="10">
        <f t="shared" si="6"/>
        <v>27.710843373493976</v>
      </c>
    </row>
    <row r="167" spans="1:7">
      <c r="A167">
        <f t="shared" si="5"/>
        <v>4</v>
      </c>
      <c r="B167">
        <v>40104</v>
      </c>
      <c r="C167">
        <v>10875</v>
      </c>
      <c r="D167">
        <v>2717</v>
      </c>
      <c r="E167">
        <v>154</v>
      </c>
      <c r="F167">
        <v>9</v>
      </c>
      <c r="G167" s="10">
        <f t="shared" si="6"/>
        <v>1.4160919540229886</v>
      </c>
    </row>
    <row r="168" spans="1:7">
      <c r="A168">
        <f t="shared" si="5"/>
        <v>4</v>
      </c>
      <c r="B168">
        <v>40201</v>
      </c>
      <c r="C168">
        <v>7296</v>
      </c>
      <c r="D168">
        <v>3041</v>
      </c>
      <c r="E168">
        <v>1174</v>
      </c>
      <c r="F168">
        <v>75</v>
      </c>
      <c r="G168" s="10">
        <f t="shared" si="6"/>
        <v>16.091008771929825</v>
      </c>
    </row>
    <row r="169" spans="1:7">
      <c r="A169">
        <f t="shared" si="5"/>
        <v>4</v>
      </c>
      <c r="B169">
        <v>40202</v>
      </c>
      <c r="C169">
        <v>685</v>
      </c>
      <c r="D169">
        <v>78</v>
      </c>
      <c r="E169">
        <v>12</v>
      </c>
      <c r="F169">
        <v>3</v>
      </c>
      <c r="G169" s="10">
        <f t="shared" si="6"/>
        <v>1.7518248175182483</v>
      </c>
    </row>
    <row r="170" spans="1:7">
      <c r="A170">
        <f t="shared" si="5"/>
        <v>4</v>
      </c>
      <c r="B170">
        <v>40301</v>
      </c>
      <c r="C170">
        <v>1374</v>
      </c>
      <c r="D170">
        <v>1061</v>
      </c>
      <c r="E170">
        <v>325</v>
      </c>
      <c r="F170">
        <v>30</v>
      </c>
      <c r="G170" s="10">
        <f t="shared" si="6"/>
        <v>23.653566229985444</v>
      </c>
    </row>
    <row r="171" spans="1:7">
      <c r="A171">
        <f t="shared" si="5"/>
        <v>4</v>
      </c>
      <c r="B171">
        <v>40302</v>
      </c>
      <c r="C171">
        <v>227</v>
      </c>
      <c r="D171">
        <v>204</v>
      </c>
      <c r="E171">
        <v>67</v>
      </c>
      <c r="F171">
        <v>6</v>
      </c>
      <c r="G171" s="10">
        <f t="shared" si="6"/>
        <v>29.515418502202643</v>
      </c>
    </row>
    <row r="172" spans="1:7">
      <c r="A172">
        <f t="shared" si="5"/>
        <v>4</v>
      </c>
      <c r="B172">
        <v>40401</v>
      </c>
      <c r="C172">
        <v>873</v>
      </c>
      <c r="D172">
        <v>257</v>
      </c>
      <c r="E172">
        <v>76</v>
      </c>
      <c r="F172">
        <v>20</v>
      </c>
      <c r="G172" s="10">
        <f t="shared" si="6"/>
        <v>8.7056128293241688</v>
      </c>
    </row>
    <row r="173" spans="1:7">
      <c r="A173">
        <f t="shared" si="5"/>
        <v>4</v>
      </c>
      <c r="B173">
        <v>40402</v>
      </c>
      <c r="C173">
        <v>442</v>
      </c>
      <c r="D173">
        <v>333</v>
      </c>
      <c r="E173">
        <v>129</v>
      </c>
      <c r="F173">
        <v>19</v>
      </c>
      <c r="G173" s="10">
        <f t="shared" si="6"/>
        <v>29.18552036199095</v>
      </c>
    </row>
    <row r="174" spans="1:7">
      <c r="A174">
        <f t="shared" si="5"/>
        <v>4</v>
      </c>
      <c r="B174">
        <v>40501</v>
      </c>
      <c r="C174">
        <v>561</v>
      </c>
      <c r="D174">
        <v>352</v>
      </c>
      <c r="E174">
        <v>124</v>
      </c>
      <c r="F174">
        <v>15</v>
      </c>
      <c r="G174" s="10">
        <f t="shared" si="6"/>
        <v>22.103386809269161</v>
      </c>
    </row>
    <row r="175" spans="1:7">
      <c r="A175">
        <f t="shared" si="5"/>
        <v>4</v>
      </c>
      <c r="B175">
        <v>40502</v>
      </c>
      <c r="C175">
        <v>28</v>
      </c>
      <c r="D175">
        <v>28</v>
      </c>
      <c r="E175">
        <v>14</v>
      </c>
      <c r="F175">
        <v>0</v>
      </c>
      <c r="G175" s="10">
        <f t="shared" si="6"/>
        <v>50</v>
      </c>
    </row>
    <row r="176" spans="1:7">
      <c r="A176">
        <f t="shared" si="5"/>
        <v>4</v>
      </c>
      <c r="B176">
        <v>40503</v>
      </c>
      <c r="C176">
        <v>63</v>
      </c>
      <c r="D176">
        <v>54</v>
      </c>
      <c r="E176">
        <v>16</v>
      </c>
      <c r="F176">
        <v>1</v>
      </c>
      <c r="G176" s="10">
        <f t="shared" si="6"/>
        <v>25.396825396825395</v>
      </c>
    </row>
    <row r="177" spans="1:7">
      <c r="A177">
        <f t="shared" si="5"/>
        <v>4</v>
      </c>
      <c r="B177">
        <v>40504</v>
      </c>
      <c r="C177">
        <v>58</v>
      </c>
      <c r="D177">
        <v>33</v>
      </c>
      <c r="E177">
        <v>1</v>
      </c>
      <c r="F177">
        <v>0</v>
      </c>
      <c r="G177" s="10">
        <f t="shared" si="6"/>
        <v>1.7241379310344827</v>
      </c>
    </row>
    <row r="178" spans="1:7">
      <c r="A178">
        <f t="shared" si="5"/>
        <v>4</v>
      </c>
      <c r="B178">
        <v>40505</v>
      </c>
      <c r="C178">
        <v>61</v>
      </c>
      <c r="D178">
        <v>50</v>
      </c>
      <c r="E178">
        <v>25</v>
      </c>
      <c r="F178">
        <v>2</v>
      </c>
      <c r="G178" s="10">
        <f t="shared" si="6"/>
        <v>40.983606557377051</v>
      </c>
    </row>
    <row r="179" spans="1:7">
      <c r="A179">
        <f t="shared" si="5"/>
        <v>4</v>
      </c>
      <c r="B179">
        <v>40601</v>
      </c>
      <c r="C179">
        <v>171</v>
      </c>
      <c r="D179">
        <v>129</v>
      </c>
      <c r="E179">
        <v>45</v>
      </c>
      <c r="F179">
        <v>16</v>
      </c>
      <c r="G179" s="10">
        <f t="shared" si="6"/>
        <v>26.315789473684209</v>
      </c>
    </row>
    <row r="180" spans="1:7">
      <c r="A180">
        <f t="shared" si="5"/>
        <v>4</v>
      </c>
      <c r="B180">
        <v>40602</v>
      </c>
      <c r="C180">
        <v>1175</v>
      </c>
      <c r="D180">
        <v>608</v>
      </c>
      <c r="E180">
        <v>67</v>
      </c>
      <c r="F180">
        <v>0</v>
      </c>
      <c r="G180" s="10">
        <f t="shared" si="6"/>
        <v>5.7021276595744679</v>
      </c>
    </row>
    <row r="181" spans="1:7">
      <c r="A181">
        <f t="shared" si="5"/>
        <v>4</v>
      </c>
      <c r="B181">
        <v>40603</v>
      </c>
      <c r="C181">
        <v>6</v>
      </c>
      <c r="D181">
        <v>5</v>
      </c>
      <c r="E181">
        <v>1</v>
      </c>
      <c r="F181">
        <v>0</v>
      </c>
      <c r="G181" s="10">
        <f t="shared" si="6"/>
        <v>16.666666666666668</v>
      </c>
    </row>
    <row r="182" spans="1:7">
      <c r="A182">
        <f t="shared" si="5"/>
        <v>4</v>
      </c>
      <c r="B182">
        <v>40701</v>
      </c>
      <c r="C182">
        <v>5439</v>
      </c>
      <c r="D182">
        <v>1177</v>
      </c>
      <c r="E182">
        <v>479</v>
      </c>
      <c r="F182">
        <v>67</v>
      </c>
      <c r="G182" s="10">
        <f t="shared" si="6"/>
        <v>8.8067659496230917</v>
      </c>
    </row>
    <row r="183" spans="1:7">
      <c r="A183">
        <f t="shared" si="5"/>
        <v>4</v>
      </c>
      <c r="B183">
        <v>40702</v>
      </c>
      <c r="C183">
        <v>965</v>
      </c>
      <c r="D183">
        <v>261</v>
      </c>
      <c r="E183">
        <v>93</v>
      </c>
      <c r="F183">
        <v>24</v>
      </c>
      <c r="G183" s="10">
        <f t="shared" si="6"/>
        <v>9.6373056994818658</v>
      </c>
    </row>
    <row r="184" spans="1:7">
      <c r="A184">
        <f t="shared" si="5"/>
        <v>4</v>
      </c>
      <c r="B184">
        <v>40801</v>
      </c>
      <c r="C184">
        <v>3383</v>
      </c>
      <c r="D184">
        <v>2888</v>
      </c>
      <c r="E184">
        <v>1174</v>
      </c>
      <c r="F184">
        <v>121</v>
      </c>
      <c r="G184" s="10">
        <f t="shared" si="6"/>
        <v>34.702926396689328</v>
      </c>
    </row>
    <row r="185" spans="1:7">
      <c r="A185">
        <f t="shared" si="5"/>
        <v>4</v>
      </c>
      <c r="B185">
        <v>40802</v>
      </c>
      <c r="C185">
        <v>179</v>
      </c>
      <c r="D185">
        <v>147</v>
      </c>
      <c r="E185">
        <v>60</v>
      </c>
      <c r="F185">
        <v>4</v>
      </c>
      <c r="G185" s="10">
        <f t="shared" si="6"/>
        <v>33.519553072625698</v>
      </c>
    </row>
    <row r="186" spans="1:7">
      <c r="A186">
        <f t="shared" si="5"/>
        <v>4</v>
      </c>
      <c r="B186">
        <v>40901</v>
      </c>
      <c r="C186">
        <v>762</v>
      </c>
      <c r="D186">
        <v>449</v>
      </c>
      <c r="E186">
        <v>175</v>
      </c>
      <c r="F186">
        <v>19</v>
      </c>
      <c r="G186" s="10">
        <f t="shared" si="6"/>
        <v>22.965879265091864</v>
      </c>
    </row>
    <row r="187" spans="1:7">
      <c r="A187">
        <f t="shared" si="5"/>
        <v>4</v>
      </c>
      <c r="B187">
        <v>40902</v>
      </c>
      <c r="C187">
        <v>132</v>
      </c>
      <c r="D187">
        <v>59</v>
      </c>
      <c r="E187">
        <v>19</v>
      </c>
      <c r="F187">
        <v>1</v>
      </c>
      <c r="G187" s="10">
        <f t="shared" si="6"/>
        <v>14.393939393939394</v>
      </c>
    </row>
    <row r="188" spans="1:7">
      <c r="A188">
        <f t="shared" si="5"/>
        <v>4</v>
      </c>
      <c r="B188">
        <v>40903</v>
      </c>
      <c r="C188">
        <v>339</v>
      </c>
      <c r="D188">
        <v>194</v>
      </c>
      <c r="E188">
        <v>61</v>
      </c>
      <c r="F188">
        <v>12</v>
      </c>
      <c r="G188" s="10">
        <f t="shared" si="6"/>
        <v>17.994100294985252</v>
      </c>
    </row>
    <row r="189" spans="1:7">
      <c r="A189">
        <f t="shared" si="5"/>
        <v>4</v>
      </c>
      <c r="B189">
        <v>41001</v>
      </c>
      <c r="C189">
        <v>793</v>
      </c>
      <c r="D189">
        <v>411</v>
      </c>
      <c r="E189">
        <v>79</v>
      </c>
      <c r="F189">
        <v>15</v>
      </c>
      <c r="G189" s="10">
        <f t="shared" si="6"/>
        <v>9.9621689785624206</v>
      </c>
    </row>
    <row r="190" spans="1:7">
      <c r="A190">
        <f t="shared" si="5"/>
        <v>4</v>
      </c>
      <c r="B190">
        <v>41101</v>
      </c>
      <c r="C190">
        <v>2272</v>
      </c>
      <c r="D190">
        <v>326</v>
      </c>
      <c r="E190">
        <v>0</v>
      </c>
      <c r="F190">
        <v>0</v>
      </c>
      <c r="G190" s="10">
        <f t="shared" si="6"/>
        <v>0</v>
      </c>
    </row>
    <row r="191" spans="1:7">
      <c r="A191">
        <f t="shared" si="5"/>
        <v>4</v>
      </c>
      <c r="B191">
        <v>41201</v>
      </c>
      <c r="C191">
        <v>1124</v>
      </c>
      <c r="D191">
        <v>833</v>
      </c>
      <c r="E191">
        <v>285</v>
      </c>
      <c r="F191">
        <v>49</v>
      </c>
      <c r="G191" s="10">
        <f t="shared" si="6"/>
        <v>25.355871886120998</v>
      </c>
    </row>
    <row r="192" spans="1:7">
      <c r="A192">
        <f t="shared" si="5"/>
        <v>4</v>
      </c>
      <c r="B192">
        <v>41202</v>
      </c>
      <c r="C192">
        <v>365</v>
      </c>
      <c r="D192">
        <v>291</v>
      </c>
      <c r="E192">
        <v>117</v>
      </c>
      <c r="F192">
        <v>18</v>
      </c>
      <c r="G192" s="10">
        <f t="shared" si="6"/>
        <v>32.054794520547944</v>
      </c>
    </row>
    <row r="193" spans="1:7">
      <c r="A193">
        <f t="shared" si="5"/>
        <v>4</v>
      </c>
      <c r="B193">
        <v>41301</v>
      </c>
      <c r="C193">
        <v>520</v>
      </c>
      <c r="D193">
        <v>107</v>
      </c>
      <c r="E193">
        <v>11</v>
      </c>
      <c r="F193">
        <v>1</v>
      </c>
      <c r="G193" s="10">
        <f t="shared" si="6"/>
        <v>2.1153846153846154</v>
      </c>
    </row>
    <row r="194" spans="1:7">
      <c r="A194">
        <f t="shared" si="5"/>
        <v>4</v>
      </c>
      <c r="B194">
        <v>41401</v>
      </c>
      <c r="C194">
        <v>1298</v>
      </c>
      <c r="D194">
        <v>574</v>
      </c>
      <c r="E194">
        <v>201</v>
      </c>
      <c r="F194">
        <v>35</v>
      </c>
      <c r="G194" s="10">
        <f t="shared" si="6"/>
        <v>15.485362095531586</v>
      </c>
    </row>
    <row r="195" spans="1:7">
      <c r="A195">
        <f t="shared" ref="A195:A258" si="7">VALUE(MID(B195,1,1))</f>
        <v>4</v>
      </c>
      <c r="B195">
        <v>41501</v>
      </c>
      <c r="C195">
        <v>65</v>
      </c>
      <c r="D195">
        <v>28</v>
      </c>
      <c r="E195">
        <v>0</v>
      </c>
      <c r="F195">
        <v>0</v>
      </c>
      <c r="G195" s="10">
        <f t="shared" ref="G195:G258" si="8">100*E195/C195</f>
        <v>0</v>
      </c>
    </row>
    <row r="196" spans="1:7">
      <c r="A196">
        <f t="shared" si="7"/>
        <v>4</v>
      </c>
      <c r="B196">
        <v>41502</v>
      </c>
      <c r="C196">
        <v>93</v>
      </c>
      <c r="D196">
        <v>46</v>
      </c>
      <c r="E196">
        <v>0</v>
      </c>
      <c r="F196">
        <v>0</v>
      </c>
      <c r="G196" s="10">
        <f t="shared" si="8"/>
        <v>0</v>
      </c>
    </row>
    <row r="197" spans="1:7">
      <c r="A197">
        <f t="shared" si="7"/>
        <v>4</v>
      </c>
      <c r="B197">
        <v>41503</v>
      </c>
      <c r="C197">
        <v>66</v>
      </c>
      <c r="D197">
        <v>37</v>
      </c>
      <c r="E197">
        <v>0</v>
      </c>
      <c r="F197">
        <v>0</v>
      </c>
      <c r="G197" s="10">
        <f t="shared" si="8"/>
        <v>0</v>
      </c>
    </row>
    <row r="198" spans="1:7">
      <c r="A198">
        <f t="shared" si="7"/>
        <v>4</v>
      </c>
      <c r="B198">
        <v>41601</v>
      </c>
      <c r="C198">
        <v>1031</v>
      </c>
      <c r="D198">
        <v>315</v>
      </c>
      <c r="E198">
        <v>40</v>
      </c>
      <c r="F198">
        <v>10</v>
      </c>
      <c r="G198" s="10">
        <f t="shared" si="8"/>
        <v>3.8797284190106693</v>
      </c>
    </row>
    <row r="199" spans="1:7">
      <c r="A199">
        <f t="shared" si="7"/>
        <v>5</v>
      </c>
      <c r="B199">
        <v>50101</v>
      </c>
      <c r="C199">
        <v>41716</v>
      </c>
      <c r="D199">
        <v>7335</v>
      </c>
      <c r="E199">
        <v>1630</v>
      </c>
      <c r="F199">
        <v>429</v>
      </c>
      <c r="G199" s="10">
        <f t="shared" si="8"/>
        <v>3.907373669575223</v>
      </c>
    </row>
    <row r="200" spans="1:7">
      <c r="A200">
        <f t="shared" si="7"/>
        <v>5</v>
      </c>
      <c r="B200">
        <v>50102</v>
      </c>
      <c r="C200">
        <v>3391</v>
      </c>
      <c r="D200">
        <v>2028</v>
      </c>
      <c r="E200">
        <v>745</v>
      </c>
      <c r="F200">
        <v>153</v>
      </c>
      <c r="G200" s="10">
        <f t="shared" si="8"/>
        <v>21.969920377469773</v>
      </c>
    </row>
    <row r="201" spans="1:7">
      <c r="A201">
        <f t="shared" si="7"/>
        <v>5</v>
      </c>
      <c r="B201">
        <v>50103</v>
      </c>
      <c r="C201">
        <v>1481</v>
      </c>
      <c r="D201">
        <v>700</v>
      </c>
      <c r="E201">
        <v>314</v>
      </c>
      <c r="F201">
        <v>149</v>
      </c>
      <c r="G201" s="10">
        <f t="shared" si="8"/>
        <v>21.201890614449695</v>
      </c>
    </row>
    <row r="202" spans="1:7">
      <c r="A202">
        <f t="shared" si="7"/>
        <v>5</v>
      </c>
      <c r="B202">
        <v>50104</v>
      </c>
      <c r="C202">
        <v>286</v>
      </c>
      <c r="D202">
        <v>172</v>
      </c>
      <c r="E202">
        <v>98</v>
      </c>
      <c r="F202">
        <v>57</v>
      </c>
      <c r="G202" s="10">
        <f t="shared" si="8"/>
        <v>34.265734265734267</v>
      </c>
    </row>
    <row r="203" spans="1:7">
      <c r="A203">
        <f t="shared" si="7"/>
        <v>5</v>
      </c>
      <c r="B203">
        <v>50201</v>
      </c>
      <c r="C203">
        <v>4189</v>
      </c>
      <c r="D203">
        <v>150</v>
      </c>
      <c r="E203">
        <v>0</v>
      </c>
      <c r="F203">
        <v>0</v>
      </c>
      <c r="G203" s="10">
        <f t="shared" si="8"/>
        <v>0</v>
      </c>
    </row>
    <row r="204" spans="1:7">
      <c r="A204">
        <f t="shared" si="7"/>
        <v>5</v>
      </c>
      <c r="B204">
        <v>50202</v>
      </c>
      <c r="C204">
        <v>1252</v>
      </c>
      <c r="D204">
        <v>818</v>
      </c>
      <c r="E204">
        <v>331</v>
      </c>
      <c r="F204">
        <v>28</v>
      </c>
      <c r="G204" s="10">
        <f t="shared" si="8"/>
        <v>26.437699680511184</v>
      </c>
    </row>
    <row r="205" spans="1:7">
      <c r="A205">
        <f t="shared" si="7"/>
        <v>5</v>
      </c>
      <c r="B205">
        <v>50203</v>
      </c>
      <c r="C205">
        <v>7796</v>
      </c>
      <c r="D205">
        <v>1934</v>
      </c>
      <c r="E205">
        <v>270</v>
      </c>
      <c r="F205">
        <v>18</v>
      </c>
      <c r="G205" s="10">
        <f t="shared" si="8"/>
        <v>3.4633145202668034</v>
      </c>
    </row>
    <row r="206" spans="1:7">
      <c r="A206">
        <f t="shared" si="7"/>
        <v>5</v>
      </c>
      <c r="B206">
        <v>50301</v>
      </c>
      <c r="C206">
        <v>6248</v>
      </c>
      <c r="D206">
        <v>2173</v>
      </c>
      <c r="E206">
        <v>846</v>
      </c>
      <c r="F206">
        <v>405</v>
      </c>
      <c r="G206" s="10">
        <f t="shared" si="8"/>
        <v>13.540332906530089</v>
      </c>
    </row>
    <row r="207" spans="1:7">
      <c r="A207">
        <f t="shared" si="7"/>
        <v>5</v>
      </c>
      <c r="B207">
        <v>50302</v>
      </c>
      <c r="C207">
        <v>2280</v>
      </c>
      <c r="D207">
        <v>1145</v>
      </c>
      <c r="E207">
        <v>270</v>
      </c>
      <c r="F207">
        <v>60</v>
      </c>
      <c r="G207" s="10">
        <f t="shared" si="8"/>
        <v>11.842105263157896</v>
      </c>
    </row>
    <row r="208" spans="1:7">
      <c r="A208">
        <f t="shared" si="7"/>
        <v>5</v>
      </c>
      <c r="B208">
        <v>50303</v>
      </c>
      <c r="C208">
        <v>740</v>
      </c>
      <c r="D208">
        <v>229</v>
      </c>
      <c r="E208">
        <v>20</v>
      </c>
      <c r="F208">
        <v>4</v>
      </c>
      <c r="G208" s="10">
        <f t="shared" si="8"/>
        <v>2.7027027027027026</v>
      </c>
    </row>
    <row r="209" spans="1:7">
      <c r="A209">
        <f t="shared" si="7"/>
        <v>5</v>
      </c>
      <c r="B209">
        <v>50401</v>
      </c>
      <c r="C209">
        <v>5044</v>
      </c>
      <c r="D209">
        <v>2536</v>
      </c>
      <c r="E209">
        <v>537</v>
      </c>
      <c r="F209">
        <v>154</v>
      </c>
      <c r="G209" s="10">
        <f t="shared" si="8"/>
        <v>10.646312450436161</v>
      </c>
    </row>
    <row r="210" spans="1:7">
      <c r="A210">
        <f t="shared" si="7"/>
        <v>5</v>
      </c>
      <c r="B210">
        <v>50402</v>
      </c>
      <c r="C210">
        <v>2961</v>
      </c>
      <c r="D210">
        <v>1866</v>
      </c>
      <c r="E210">
        <v>359</v>
      </c>
      <c r="F210">
        <v>13</v>
      </c>
      <c r="G210" s="10">
        <f t="shared" si="8"/>
        <v>12.124282337048294</v>
      </c>
    </row>
    <row r="211" spans="1:7">
      <c r="A211">
        <f t="shared" si="7"/>
        <v>5</v>
      </c>
      <c r="B211">
        <v>50403</v>
      </c>
      <c r="C211">
        <v>4277</v>
      </c>
      <c r="D211">
        <v>2433</v>
      </c>
      <c r="E211">
        <v>786</v>
      </c>
      <c r="F211">
        <v>226</v>
      </c>
      <c r="G211" s="10">
        <f t="shared" si="8"/>
        <v>18.377367313537526</v>
      </c>
    </row>
    <row r="212" spans="1:7">
      <c r="A212">
        <f t="shared" si="7"/>
        <v>5</v>
      </c>
      <c r="B212">
        <v>50404</v>
      </c>
      <c r="C212">
        <v>1596</v>
      </c>
      <c r="D212">
        <v>909</v>
      </c>
      <c r="E212">
        <v>296</v>
      </c>
      <c r="F212">
        <v>39</v>
      </c>
      <c r="G212" s="10">
        <f t="shared" si="8"/>
        <v>18.546365914786968</v>
      </c>
    </row>
    <row r="213" spans="1:7">
      <c r="A213">
        <f t="shared" si="7"/>
        <v>5</v>
      </c>
      <c r="B213">
        <v>50501</v>
      </c>
      <c r="C213">
        <v>1574</v>
      </c>
      <c r="D213">
        <v>964</v>
      </c>
      <c r="E213">
        <v>306</v>
      </c>
      <c r="F213">
        <v>21</v>
      </c>
      <c r="G213" s="10">
        <f t="shared" si="8"/>
        <v>19.440914866581956</v>
      </c>
    </row>
    <row r="214" spans="1:7">
      <c r="A214">
        <f t="shared" si="7"/>
        <v>5</v>
      </c>
      <c r="B214">
        <v>50502</v>
      </c>
      <c r="C214">
        <v>1396</v>
      </c>
      <c r="D214">
        <v>864</v>
      </c>
      <c r="E214">
        <v>426</v>
      </c>
      <c r="F214">
        <v>128</v>
      </c>
      <c r="G214" s="10">
        <f t="shared" si="8"/>
        <v>30.515759312320917</v>
      </c>
    </row>
    <row r="215" spans="1:7">
      <c r="A215">
        <f t="shared" si="7"/>
        <v>5</v>
      </c>
      <c r="B215">
        <v>50601</v>
      </c>
      <c r="C215">
        <v>5312</v>
      </c>
      <c r="D215">
        <v>2534</v>
      </c>
      <c r="E215">
        <v>1005</v>
      </c>
      <c r="F215">
        <v>387</v>
      </c>
      <c r="G215" s="10">
        <f t="shared" si="8"/>
        <v>18.919427710843372</v>
      </c>
    </row>
    <row r="216" spans="1:7">
      <c r="A216">
        <f t="shared" si="7"/>
        <v>5</v>
      </c>
      <c r="B216">
        <v>50602</v>
      </c>
      <c r="C216">
        <v>2271</v>
      </c>
      <c r="D216">
        <v>1179</v>
      </c>
      <c r="E216">
        <v>457</v>
      </c>
      <c r="F216">
        <v>91</v>
      </c>
      <c r="G216" s="10">
        <f t="shared" si="8"/>
        <v>20.123293703214443</v>
      </c>
    </row>
    <row r="217" spans="1:7">
      <c r="A217">
        <f t="shared" si="7"/>
        <v>5</v>
      </c>
      <c r="B217">
        <v>50701</v>
      </c>
      <c r="C217">
        <v>2804</v>
      </c>
      <c r="D217">
        <v>1649</v>
      </c>
      <c r="E217">
        <v>448</v>
      </c>
      <c r="F217">
        <v>23</v>
      </c>
      <c r="G217" s="10">
        <f t="shared" si="8"/>
        <v>15.977175463623395</v>
      </c>
    </row>
    <row r="218" spans="1:7">
      <c r="A218">
        <f t="shared" si="7"/>
        <v>5</v>
      </c>
      <c r="B218">
        <v>50702</v>
      </c>
      <c r="C218">
        <v>1269</v>
      </c>
      <c r="D218">
        <v>776</v>
      </c>
      <c r="E218">
        <v>131</v>
      </c>
      <c r="F218">
        <v>16</v>
      </c>
      <c r="G218" s="10">
        <f t="shared" si="8"/>
        <v>10.323089046493301</v>
      </c>
    </row>
    <row r="219" spans="1:7">
      <c r="A219">
        <f t="shared" si="7"/>
        <v>5</v>
      </c>
      <c r="B219">
        <v>50801</v>
      </c>
      <c r="C219">
        <v>12288</v>
      </c>
      <c r="D219">
        <v>3882</v>
      </c>
      <c r="E219">
        <v>1451</v>
      </c>
      <c r="F219">
        <v>403</v>
      </c>
      <c r="G219" s="10">
        <f t="shared" si="8"/>
        <v>11.808268229166666</v>
      </c>
    </row>
    <row r="220" spans="1:7">
      <c r="A220">
        <f t="shared" si="7"/>
        <v>5</v>
      </c>
      <c r="B220">
        <v>50802</v>
      </c>
      <c r="C220">
        <v>3047</v>
      </c>
      <c r="D220">
        <v>776</v>
      </c>
      <c r="E220">
        <v>152</v>
      </c>
      <c r="F220">
        <v>33</v>
      </c>
      <c r="G220" s="10">
        <f t="shared" si="8"/>
        <v>4.9885132917623896</v>
      </c>
    </row>
    <row r="221" spans="1:7">
      <c r="A221">
        <f t="shared" si="7"/>
        <v>5</v>
      </c>
      <c r="B221">
        <v>50901</v>
      </c>
      <c r="C221">
        <v>1210</v>
      </c>
      <c r="D221">
        <v>769</v>
      </c>
      <c r="E221">
        <v>265</v>
      </c>
      <c r="F221">
        <v>62</v>
      </c>
      <c r="G221" s="10">
        <f t="shared" si="8"/>
        <v>21.900826446280991</v>
      </c>
    </row>
    <row r="222" spans="1:7">
      <c r="A222">
        <f t="shared" si="7"/>
        <v>5</v>
      </c>
      <c r="B222">
        <v>50902</v>
      </c>
      <c r="C222">
        <v>524</v>
      </c>
      <c r="D222">
        <v>298</v>
      </c>
      <c r="E222">
        <v>117</v>
      </c>
      <c r="F222">
        <v>22</v>
      </c>
      <c r="G222" s="10">
        <f t="shared" si="8"/>
        <v>22.328244274809162</v>
      </c>
    </row>
    <row r="223" spans="1:7">
      <c r="A223">
        <f t="shared" si="7"/>
        <v>5</v>
      </c>
      <c r="B223">
        <v>51001</v>
      </c>
      <c r="C223">
        <v>552</v>
      </c>
      <c r="D223">
        <v>264</v>
      </c>
      <c r="E223">
        <v>90</v>
      </c>
      <c r="F223">
        <v>30</v>
      </c>
      <c r="G223" s="10">
        <f t="shared" si="8"/>
        <v>16.304347826086957</v>
      </c>
    </row>
    <row r="224" spans="1:7">
      <c r="A224">
        <f t="shared" si="7"/>
        <v>5</v>
      </c>
      <c r="B224">
        <v>51003</v>
      </c>
      <c r="C224">
        <v>147</v>
      </c>
      <c r="D224">
        <v>60</v>
      </c>
      <c r="E224">
        <v>14</v>
      </c>
      <c r="F224">
        <v>7</v>
      </c>
      <c r="G224" s="10">
        <f t="shared" si="8"/>
        <v>9.5238095238095237</v>
      </c>
    </row>
    <row r="225" spans="1:7">
      <c r="A225">
        <f t="shared" si="7"/>
        <v>5</v>
      </c>
      <c r="B225">
        <v>51101</v>
      </c>
      <c r="C225">
        <v>5322</v>
      </c>
      <c r="D225">
        <v>2200</v>
      </c>
      <c r="E225">
        <v>499</v>
      </c>
      <c r="F225">
        <v>137</v>
      </c>
      <c r="G225" s="10">
        <f t="shared" si="8"/>
        <v>9.3761743705373917</v>
      </c>
    </row>
    <row r="226" spans="1:7">
      <c r="A226">
        <f t="shared" si="7"/>
        <v>5</v>
      </c>
      <c r="B226">
        <v>51102</v>
      </c>
      <c r="C226">
        <v>2787</v>
      </c>
      <c r="D226">
        <v>1417</v>
      </c>
      <c r="E226">
        <v>388</v>
      </c>
      <c r="F226">
        <v>73</v>
      </c>
      <c r="G226" s="10">
        <f t="shared" si="8"/>
        <v>13.92177969142447</v>
      </c>
    </row>
    <row r="227" spans="1:7">
      <c r="A227">
        <f t="shared" si="7"/>
        <v>5</v>
      </c>
      <c r="B227">
        <v>51103</v>
      </c>
      <c r="C227">
        <v>992</v>
      </c>
      <c r="D227">
        <v>647</v>
      </c>
      <c r="E227">
        <v>266</v>
      </c>
      <c r="F227">
        <v>43</v>
      </c>
      <c r="G227" s="10">
        <f t="shared" si="8"/>
        <v>26.81451612903226</v>
      </c>
    </row>
    <row r="228" spans="1:7">
      <c r="A228">
        <f t="shared" si="7"/>
        <v>5</v>
      </c>
      <c r="B228">
        <v>51201</v>
      </c>
      <c r="C228">
        <v>8293</v>
      </c>
      <c r="D228">
        <v>2031</v>
      </c>
      <c r="E228">
        <v>658</v>
      </c>
      <c r="F228">
        <v>125</v>
      </c>
      <c r="G228" s="10">
        <f t="shared" si="8"/>
        <v>7.934402508139395</v>
      </c>
    </row>
    <row r="229" spans="1:7">
      <c r="A229">
        <f t="shared" si="7"/>
        <v>5</v>
      </c>
      <c r="B229">
        <v>51202</v>
      </c>
      <c r="C229">
        <v>2131</v>
      </c>
      <c r="D229">
        <v>1161</v>
      </c>
      <c r="E229">
        <v>284</v>
      </c>
      <c r="F229">
        <v>55</v>
      </c>
      <c r="G229" s="10">
        <f t="shared" si="8"/>
        <v>13.327076489910841</v>
      </c>
    </row>
    <row r="230" spans="1:7">
      <c r="A230">
        <f t="shared" si="7"/>
        <v>5</v>
      </c>
      <c r="B230">
        <v>51203</v>
      </c>
      <c r="C230">
        <v>1872</v>
      </c>
      <c r="D230">
        <v>496</v>
      </c>
      <c r="E230">
        <v>90</v>
      </c>
      <c r="F230">
        <v>4</v>
      </c>
      <c r="G230" s="10">
        <f t="shared" si="8"/>
        <v>4.8076923076923075</v>
      </c>
    </row>
    <row r="231" spans="1:7">
      <c r="A231">
        <f t="shared" si="7"/>
        <v>5</v>
      </c>
      <c r="B231">
        <v>51301</v>
      </c>
      <c r="C231">
        <v>628</v>
      </c>
      <c r="D231">
        <v>412</v>
      </c>
      <c r="E231">
        <v>133</v>
      </c>
      <c r="F231">
        <v>19</v>
      </c>
      <c r="G231" s="10">
        <f t="shared" si="8"/>
        <v>21.178343949044585</v>
      </c>
    </row>
    <row r="232" spans="1:7">
      <c r="A232">
        <f t="shared" si="7"/>
        <v>5</v>
      </c>
      <c r="B232">
        <v>51302</v>
      </c>
      <c r="C232">
        <v>1090</v>
      </c>
      <c r="D232">
        <v>608</v>
      </c>
      <c r="E232">
        <v>209</v>
      </c>
      <c r="F232">
        <v>29</v>
      </c>
      <c r="G232" s="10">
        <f t="shared" si="8"/>
        <v>19.174311926605505</v>
      </c>
    </row>
    <row r="233" spans="1:7">
      <c r="A233">
        <f t="shared" si="7"/>
        <v>5</v>
      </c>
      <c r="B233">
        <v>51401</v>
      </c>
      <c r="C233">
        <v>1195</v>
      </c>
      <c r="D233">
        <v>775</v>
      </c>
      <c r="E233">
        <v>305</v>
      </c>
      <c r="F233">
        <v>62</v>
      </c>
      <c r="G233" s="10">
        <f t="shared" si="8"/>
        <v>25.523012552301257</v>
      </c>
    </row>
    <row r="234" spans="1:7">
      <c r="A234">
        <f t="shared" si="7"/>
        <v>5</v>
      </c>
      <c r="B234">
        <v>51402</v>
      </c>
      <c r="C234">
        <v>425</v>
      </c>
      <c r="D234">
        <v>322</v>
      </c>
      <c r="E234">
        <v>173</v>
      </c>
      <c r="F234">
        <v>39</v>
      </c>
      <c r="G234" s="10">
        <f t="shared" si="8"/>
        <v>40.705882352941174</v>
      </c>
    </row>
    <row r="235" spans="1:7">
      <c r="A235">
        <f t="shared" si="7"/>
        <v>5</v>
      </c>
      <c r="B235">
        <v>51501</v>
      </c>
      <c r="C235">
        <v>8841</v>
      </c>
      <c r="D235">
        <v>1265</v>
      </c>
      <c r="E235">
        <v>392</v>
      </c>
      <c r="F235">
        <v>49</v>
      </c>
      <c r="G235" s="10">
        <f t="shared" si="8"/>
        <v>4.4338875692794932</v>
      </c>
    </row>
    <row r="236" spans="1:7">
      <c r="A236">
        <f t="shared" si="7"/>
        <v>5</v>
      </c>
      <c r="B236">
        <v>51601</v>
      </c>
      <c r="C236">
        <v>225</v>
      </c>
      <c r="D236">
        <v>102</v>
      </c>
      <c r="E236">
        <v>28</v>
      </c>
      <c r="F236">
        <v>6</v>
      </c>
      <c r="G236" s="10">
        <f t="shared" si="8"/>
        <v>12.444444444444445</v>
      </c>
    </row>
    <row r="237" spans="1:7">
      <c r="A237">
        <f t="shared" si="7"/>
        <v>6</v>
      </c>
      <c r="B237">
        <v>60101</v>
      </c>
      <c r="C237">
        <v>50743</v>
      </c>
      <c r="D237">
        <v>9380</v>
      </c>
      <c r="E237">
        <v>2196</v>
      </c>
      <c r="F237">
        <v>685</v>
      </c>
      <c r="G237" s="10">
        <f t="shared" si="8"/>
        <v>4.3276905188893053</v>
      </c>
    </row>
    <row r="238" spans="1:7">
      <c r="A238">
        <f t="shared" si="7"/>
        <v>6</v>
      </c>
      <c r="B238">
        <v>60201</v>
      </c>
      <c r="C238">
        <v>4161</v>
      </c>
      <c r="D238">
        <v>1589</v>
      </c>
      <c r="E238">
        <v>499</v>
      </c>
      <c r="F238">
        <v>79</v>
      </c>
      <c r="G238" s="10">
        <f t="shared" si="8"/>
        <v>11.992309540975727</v>
      </c>
    </row>
    <row r="239" spans="1:7">
      <c r="A239">
        <f t="shared" si="7"/>
        <v>6</v>
      </c>
      <c r="B239">
        <v>60202</v>
      </c>
      <c r="C239">
        <v>9029</v>
      </c>
      <c r="D239">
        <v>1327</v>
      </c>
      <c r="E239">
        <v>286</v>
      </c>
      <c r="F239">
        <v>40</v>
      </c>
      <c r="G239" s="10">
        <f t="shared" si="8"/>
        <v>3.1675711595968545</v>
      </c>
    </row>
    <row r="240" spans="1:7">
      <c r="A240">
        <f t="shared" si="7"/>
        <v>6</v>
      </c>
      <c r="B240">
        <v>60301</v>
      </c>
      <c r="C240">
        <v>19947</v>
      </c>
      <c r="D240">
        <v>2431</v>
      </c>
      <c r="E240">
        <v>582</v>
      </c>
      <c r="F240">
        <v>71</v>
      </c>
      <c r="G240" s="10">
        <f t="shared" si="8"/>
        <v>2.9177319897728982</v>
      </c>
    </row>
    <row r="241" spans="1:7">
      <c r="A241">
        <f t="shared" si="7"/>
        <v>6</v>
      </c>
      <c r="B241">
        <v>60302</v>
      </c>
      <c r="C241">
        <v>3549</v>
      </c>
      <c r="D241">
        <v>760</v>
      </c>
      <c r="E241">
        <v>216</v>
      </c>
      <c r="F241">
        <v>41</v>
      </c>
      <c r="G241" s="10">
        <f t="shared" si="8"/>
        <v>6.0862214708368558</v>
      </c>
    </row>
    <row r="242" spans="1:7">
      <c r="A242">
        <f t="shared" si="7"/>
        <v>6</v>
      </c>
      <c r="B242">
        <v>60303</v>
      </c>
      <c r="C242">
        <v>11124</v>
      </c>
      <c r="D242">
        <v>2388</v>
      </c>
      <c r="E242">
        <v>419</v>
      </c>
      <c r="F242">
        <v>29</v>
      </c>
      <c r="G242" s="10">
        <f t="shared" si="8"/>
        <v>3.7666307083782811</v>
      </c>
    </row>
    <row r="243" spans="1:7">
      <c r="A243">
        <f t="shared" si="7"/>
        <v>6</v>
      </c>
      <c r="B243">
        <v>60401</v>
      </c>
      <c r="C243">
        <v>3384</v>
      </c>
      <c r="D243">
        <v>1239</v>
      </c>
      <c r="E243">
        <v>293</v>
      </c>
      <c r="F243">
        <v>68</v>
      </c>
      <c r="G243" s="10">
        <f t="shared" si="8"/>
        <v>8.6583924349881798</v>
      </c>
    </row>
    <row r="244" spans="1:7">
      <c r="A244">
        <f t="shared" si="7"/>
        <v>6</v>
      </c>
      <c r="B244">
        <v>60402</v>
      </c>
      <c r="C244">
        <v>1082</v>
      </c>
      <c r="D244">
        <v>526</v>
      </c>
      <c r="E244">
        <v>51</v>
      </c>
      <c r="F244">
        <v>0</v>
      </c>
      <c r="G244" s="10">
        <f t="shared" si="8"/>
        <v>4.7134935304990755</v>
      </c>
    </row>
    <row r="245" spans="1:7">
      <c r="A245">
        <f t="shared" si="7"/>
        <v>6</v>
      </c>
      <c r="B245">
        <v>60501</v>
      </c>
      <c r="C245">
        <v>6056</v>
      </c>
      <c r="D245">
        <v>2929</v>
      </c>
      <c r="E245">
        <v>741</v>
      </c>
      <c r="F245">
        <v>171</v>
      </c>
      <c r="G245" s="10">
        <f t="shared" si="8"/>
        <v>12.235799207397623</v>
      </c>
    </row>
    <row r="246" spans="1:7">
      <c r="A246">
        <f t="shared" si="7"/>
        <v>6</v>
      </c>
      <c r="B246">
        <v>60502</v>
      </c>
      <c r="C246">
        <v>2615</v>
      </c>
      <c r="D246">
        <v>1023</v>
      </c>
      <c r="E246">
        <v>218</v>
      </c>
      <c r="F246">
        <v>10</v>
      </c>
      <c r="G246" s="10">
        <f t="shared" si="8"/>
        <v>8.3365200764818361</v>
      </c>
    </row>
    <row r="247" spans="1:7">
      <c r="A247">
        <f t="shared" si="7"/>
        <v>6</v>
      </c>
      <c r="B247">
        <v>60601</v>
      </c>
      <c r="C247">
        <v>4740</v>
      </c>
      <c r="D247">
        <v>2090</v>
      </c>
      <c r="E247">
        <v>385</v>
      </c>
      <c r="F247">
        <v>17</v>
      </c>
      <c r="G247" s="10">
        <f t="shared" si="8"/>
        <v>8.1223628691983123</v>
      </c>
    </row>
    <row r="248" spans="1:7">
      <c r="A248">
        <f t="shared" si="7"/>
        <v>7</v>
      </c>
      <c r="B248">
        <v>70101</v>
      </c>
      <c r="C248">
        <v>323773</v>
      </c>
      <c r="D248">
        <v>31194</v>
      </c>
      <c r="E248">
        <v>11653</v>
      </c>
      <c r="F248">
        <v>4882</v>
      </c>
      <c r="G248" s="10">
        <f t="shared" si="8"/>
        <v>3.5991265485386368</v>
      </c>
    </row>
    <row r="249" spans="1:7">
      <c r="A249">
        <f t="shared" si="7"/>
        <v>7</v>
      </c>
      <c r="B249">
        <v>70102</v>
      </c>
      <c r="C249">
        <v>11871</v>
      </c>
      <c r="D249">
        <v>1967</v>
      </c>
      <c r="E249">
        <v>913</v>
      </c>
      <c r="F249">
        <v>455</v>
      </c>
      <c r="G249" s="10">
        <f t="shared" si="8"/>
        <v>7.691011709207312</v>
      </c>
    </row>
    <row r="250" spans="1:7">
      <c r="A250">
        <f t="shared" si="7"/>
        <v>7</v>
      </c>
      <c r="B250">
        <v>70103</v>
      </c>
      <c r="C250">
        <v>3941</v>
      </c>
      <c r="D250">
        <v>632</v>
      </c>
      <c r="E250">
        <v>283</v>
      </c>
      <c r="F250">
        <v>143</v>
      </c>
      <c r="G250" s="10">
        <f t="shared" si="8"/>
        <v>7.1809185485917277</v>
      </c>
    </row>
    <row r="251" spans="1:7">
      <c r="A251">
        <f t="shared" si="7"/>
        <v>7</v>
      </c>
      <c r="B251">
        <v>70104</v>
      </c>
      <c r="C251">
        <v>24579</v>
      </c>
      <c r="D251">
        <v>2838</v>
      </c>
      <c r="E251">
        <v>1003</v>
      </c>
      <c r="F251">
        <v>380</v>
      </c>
      <c r="G251" s="10">
        <f t="shared" si="8"/>
        <v>4.0807193132348756</v>
      </c>
    </row>
    <row r="252" spans="1:7">
      <c r="A252">
        <f t="shared" si="7"/>
        <v>7</v>
      </c>
      <c r="B252">
        <v>70105</v>
      </c>
      <c r="C252">
        <v>10827</v>
      </c>
      <c r="D252">
        <v>1129</v>
      </c>
      <c r="E252">
        <v>434</v>
      </c>
      <c r="F252">
        <v>181</v>
      </c>
      <c r="G252" s="10">
        <f t="shared" si="8"/>
        <v>4.0084972753301926</v>
      </c>
    </row>
    <row r="253" spans="1:7">
      <c r="A253">
        <f t="shared" si="7"/>
        <v>7</v>
      </c>
      <c r="B253">
        <v>70201</v>
      </c>
      <c r="C253">
        <v>27862</v>
      </c>
      <c r="D253">
        <v>3933</v>
      </c>
      <c r="E253">
        <v>1481</v>
      </c>
      <c r="F253">
        <v>517</v>
      </c>
      <c r="G253" s="10">
        <f t="shared" si="8"/>
        <v>5.3154834541669658</v>
      </c>
    </row>
    <row r="254" spans="1:7">
      <c r="A254">
        <f t="shared" si="7"/>
        <v>7</v>
      </c>
      <c r="B254">
        <v>70202</v>
      </c>
      <c r="C254">
        <v>1884</v>
      </c>
      <c r="D254">
        <v>209</v>
      </c>
      <c r="E254">
        <v>88</v>
      </c>
      <c r="F254">
        <v>42</v>
      </c>
      <c r="G254" s="10">
        <f t="shared" si="8"/>
        <v>4.6709129511677281</v>
      </c>
    </row>
    <row r="255" spans="1:7">
      <c r="A255">
        <f t="shared" si="7"/>
        <v>7</v>
      </c>
      <c r="B255">
        <v>70301</v>
      </c>
      <c r="C255">
        <v>7157</v>
      </c>
      <c r="D255">
        <v>700</v>
      </c>
      <c r="E255">
        <v>233</v>
      </c>
      <c r="F255">
        <v>45</v>
      </c>
      <c r="G255" s="10">
        <f t="shared" si="8"/>
        <v>3.2555540030739136</v>
      </c>
    </row>
    <row r="256" spans="1:7">
      <c r="A256">
        <f t="shared" si="7"/>
        <v>7</v>
      </c>
      <c r="B256">
        <v>70302</v>
      </c>
      <c r="C256">
        <v>1756</v>
      </c>
      <c r="D256">
        <v>211</v>
      </c>
      <c r="E256">
        <v>78</v>
      </c>
      <c r="F256">
        <v>10</v>
      </c>
      <c r="G256" s="10">
        <f t="shared" si="8"/>
        <v>4.4419134396355355</v>
      </c>
    </row>
    <row r="257" spans="1:7">
      <c r="A257">
        <f t="shared" si="7"/>
        <v>7</v>
      </c>
      <c r="B257">
        <v>70303</v>
      </c>
      <c r="C257">
        <v>593</v>
      </c>
      <c r="D257">
        <v>84</v>
      </c>
      <c r="E257">
        <v>35</v>
      </c>
      <c r="F257">
        <v>4</v>
      </c>
      <c r="G257" s="10">
        <f t="shared" si="8"/>
        <v>5.9021922428330527</v>
      </c>
    </row>
    <row r="258" spans="1:7">
      <c r="A258">
        <f t="shared" si="7"/>
        <v>7</v>
      </c>
      <c r="B258">
        <v>70401</v>
      </c>
      <c r="C258">
        <v>2897</v>
      </c>
      <c r="D258">
        <v>434</v>
      </c>
      <c r="E258">
        <v>185</v>
      </c>
      <c r="F258">
        <v>72</v>
      </c>
      <c r="G258" s="10">
        <f t="shared" si="8"/>
        <v>6.3859164653089406</v>
      </c>
    </row>
    <row r="259" spans="1:7">
      <c r="A259">
        <f t="shared" ref="A259:A322" si="9">VALUE(MID(B259,1,1))</f>
        <v>7</v>
      </c>
      <c r="B259">
        <v>70402</v>
      </c>
      <c r="C259">
        <v>3656</v>
      </c>
      <c r="D259">
        <v>449</v>
      </c>
      <c r="E259">
        <v>186</v>
      </c>
      <c r="F259">
        <v>69</v>
      </c>
      <c r="G259" s="10">
        <f t="shared" ref="G259:G322" si="10">100*E259/C259</f>
        <v>5.0875273522975926</v>
      </c>
    </row>
    <row r="260" spans="1:7">
      <c r="A260">
        <f t="shared" si="9"/>
        <v>7</v>
      </c>
      <c r="B260">
        <v>70403</v>
      </c>
      <c r="C260">
        <v>9264</v>
      </c>
      <c r="D260">
        <v>1082</v>
      </c>
      <c r="E260">
        <v>416</v>
      </c>
      <c r="F260">
        <v>151</v>
      </c>
      <c r="G260" s="10">
        <f t="shared" si="10"/>
        <v>4.490500863557858</v>
      </c>
    </row>
    <row r="261" spans="1:7">
      <c r="A261">
        <f t="shared" si="9"/>
        <v>7</v>
      </c>
      <c r="B261">
        <v>70404</v>
      </c>
      <c r="C261">
        <v>1278</v>
      </c>
      <c r="D261">
        <v>166</v>
      </c>
      <c r="E261">
        <v>61</v>
      </c>
      <c r="F261">
        <v>16</v>
      </c>
      <c r="G261" s="10">
        <f t="shared" si="10"/>
        <v>4.7730829420970267</v>
      </c>
    </row>
    <row r="262" spans="1:7">
      <c r="A262">
        <f t="shared" si="9"/>
        <v>7</v>
      </c>
      <c r="B262">
        <v>70501</v>
      </c>
      <c r="C262">
        <v>3190</v>
      </c>
      <c r="D262">
        <v>398</v>
      </c>
      <c r="E262">
        <v>123</v>
      </c>
      <c r="F262">
        <v>29</v>
      </c>
      <c r="G262" s="10">
        <f t="shared" si="10"/>
        <v>3.8557993730407523</v>
      </c>
    </row>
    <row r="263" spans="1:7">
      <c r="A263">
        <f t="shared" si="9"/>
        <v>7</v>
      </c>
      <c r="B263">
        <v>70502</v>
      </c>
      <c r="C263">
        <v>4161</v>
      </c>
      <c r="D263">
        <v>604</v>
      </c>
      <c r="E263">
        <v>264</v>
      </c>
      <c r="F263">
        <v>128</v>
      </c>
      <c r="G263" s="10">
        <f t="shared" si="10"/>
        <v>6.344628695025234</v>
      </c>
    </row>
    <row r="264" spans="1:7">
      <c r="A264">
        <f t="shared" si="9"/>
        <v>7</v>
      </c>
      <c r="B264">
        <v>70503</v>
      </c>
      <c r="C264">
        <v>3384</v>
      </c>
      <c r="D264">
        <v>455</v>
      </c>
      <c r="E264">
        <v>153</v>
      </c>
      <c r="F264">
        <v>38</v>
      </c>
      <c r="G264" s="10">
        <f t="shared" si="10"/>
        <v>4.5212765957446805</v>
      </c>
    </row>
    <row r="265" spans="1:7">
      <c r="A265">
        <f t="shared" si="9"/>
        <v>7</v>
      </c>
      <c r="B265">
        <v>70601</v>
      </c>
      <c r="C265">
        <v>3790</v>
      </c>
      <c r="D265">
        <v>312</v>
      </c>
      <c r="E265">
        <v>100</v>
      </c>
      <c r="F265">
        <v>43</v>
      </c>
      <c r="G265" s="10">
        <f t="shared" si="10"/>
        <v>2.6385224274406331</v>
      </c>
    </row>
    <row r="266" spans="1:7">
      <c r="A266">
        <f t="shared" si="9"/>
        <v>7</v>
      </c>
      <c r="B266">
        <v>70602</v>
      </c>
      <c r="C266">
        <v>2823</v>
      </c>
      <c r="D266">
        <v>483</v>
      </c>
      <c r="E266">
        <v>190</v>
      </c>
      <c r="F266">
        <v>58</v>
      </c>
      <c r="G266" s="10">
        <f t="shared" si="10"/>
        <v>6.7304286220332976</v>
      </c>
    </row>
    <row r="267" spans="1:7">
      <c r="A267">
        <f t="shared" si="9"/>
        <v>7</v>
      </c>
      <c r="B267">
        <v>70603</v>
      </c>
      <c r="C267">
        <v>960</v>
      </c>
      <c r="D267">
        <v>96</v>
      </c>
      <c r="E267">
        <v>46</v>
      </c>
      <c r="F267">
        <v>17</v>
      </c>
      <c r="G267" s="10">
        <f t="shared" si="10"/>
        <v>4.791666666666667</v>
      </c>
    </row>
    <row r="268" spans="1:7">
      <c r="A268">
        <f t="shared" si="9"/>
        <v>7</v>
      </c>
      <c r="B268">
        <v>70701</v>
      </c>
      <c r="C268">
        <v>769</v>
      </c>
      <c r="D268">
        <v>97</v>
      </c>
      <c r="E268">
        <v>25</v>
      </c>
      <c r="F268">
        <v>4</v>
      </c>
      <c r="G268" s="10">
        <f t="shared" si="10"/>
        <v>3.2509752925877762</v>
      </c>
    </row>
    <row r="269" spans="1:7">
      <c r="A269">
        <f t="shared" si="9"/>
        <v>7</v>
      </c>
      <c r="B269">
        <v>70702</v>
      </c>
      <c r="C269">
        <v>2273</v>
      </c>
      <c r="D269">
        <v>334</v>
      </c>
      <c r="E269">
        <v>120</v>
      </c>
      <c r="F269">
        <v>24</v>
      </c>
      <c r="G269" s="10">
        <f t="shared" si="10"/>
        <v>5.2793664760228776</v>
      </c>
    </row>
    <row r="270" spans="1:7">
      <c r="A270">
        <f t="shared" si="9"/>
        <v>7</v>
      </c>
      <c r="B270">
        <v>70703</v>
      </c>
      <c r="C270">
        <v>3123</v>
      </c>
      <c r="D270">
        <v>520</v>
      </c>
      <c r="E270">
        <v>221</v>
      </c>
      <c r="F270">
        <v>115</v>
      </c>
      <c r="G270" s="10">
        <f t="shared" si="10"/>
        <v>7.0765289785462695</v>
      </c>
    </row>
    <row r="271" spans="1:7">
      <c r="A271">
        <f t="shared" si="9"/>
        <v>7</v>
      </c>
      <c r="B271">
        <v>70704</v>
      </c>
      <c r="C271">
        <v>655</v>
      </c>
      <c r="D271">
        <v>96</v>
      </c>
      <c r="E271">
        <v>34</v>
      </c>
      <c r="F271">
        <v>8</v>
      </c>
      <c r="G271" s="10">
        <f t="shared" si="10"/>
        <v>5.1908396946564883</v>
      </c>
    </row>
    <row r="272" spans="1:7">
      <c r="A272">
        <f t="shared" si="9"/>
        <v>7</v>
      </c>
      <c r="B272">
        <v>70705</v>
      </c>
      <c r="C272">
        <v>1414</v>
      </c>
      <c r="D272">
        <v>209</v>
      </c>
      <c r="E272">
        <v>49</v>
      </c>
      <c r="F272">
        <v>5</v>
      </c>
      <c r="G272" s="10">
        <f t="shared" si="10"/>
        <v>3.4653465346534653</v>
      </c>
    </row>
    <row r="273" spans="1:7">
      <c r="A273">
        <f t="shared" si="9"/>
        <v>7</v>
      </c>
      <c r="B273">
        <v>70706</v>
      </c>
      <c r="C273">
        <v>7491</v>
      </c>
      <c r="D273">
        <v>658</v>
      </c>
      <c r="E273">
        <v>215</v>
      </c>
      <c r="F273">
        <v>47</v>
      </c>
      <c r="G273" s="10">
        <f t="shared" si="10"/>
        <v>2.8701107996262181</v>
      </c>
    </row>
    <row r="274" spans="1:7">
      <c r="A274">
        <f t="shared" si="9"/>
        <v>7</v>
      </c>
      <c r="B274">
        <v>70707</v>
      </c>
      <c r="C274">
        <v>806</v>
      </c>
      <c r="D274">
        <v>99</v>
      </c>
      <c r="E274">
        <v>30</v>
      </c>
      <c r="F274">
        <v>3</v>
      </c>
      <c r="G274" s="10">
        <f t="shared" si="10"/>
        <v>3.7220843672456576</v>
      </c>
    </row>
    <row r="275" spans="1:7">
      <c r="A275">
        <f t="shared" si="9"/>
        <v>7</v>
      </c>
      <c r="B275">
        <v>70801</v>
      </c>
      <c r="C275">
        <v>4444</v>
      </c>
      <c r="D275">
        <v>816</v>
      </c>
      <c r="E275">
        <v>302</v>
      </c>
      <c r="F275">
        <v>60</v>
      </c>
      <c r="G275" s="10">
        <f t="shared" si="10"/>
        <v>6.7956795679567961</v>
      </c>
    </row>
    <row r="276" spans="1:7">
      <c r="A276">
        <f t="shared" si="9"/>
        <v>7</v>
      </c>
      <c r="B276">
        <v>70802</v>
      </c>
      <c r="C276">
        <v>520</v>
      </c>
      <c r="D276">
        <v>93</v>
      </c>
      <c r="E276">
        <v>31</v>
      </c>
      <c r="F276">
        <v>4</v>
      </c>
      <c r="G276" s="10">
        <f t="shared" si="10"/>
        <v>5.9615384615384617</v>
      </c>
    </row>
    <row r="277" spans="1:7">
      <c r="A277">
        <f t="shared" si="9"/>
        <v>7</v>
      </c>
      <c r="B277">
        <v>70803</v>
      </c>
      <c r="C277">
        <v>646</v>
      </c>
      <c r="D277">
        <v>142</v>
      </c>
      <c r="E277">
        <v>38</v>
      </c>
      <c r="F277">
        <v>5</v>
      </c>
      <c r="G277" s="10">
        <f t="shared" si="10"/>
        <v>5.882352941176471</v>
      </c>
    </row>
    <row r="278" spans="1:7">
      <c r="A278">
        <f t="shared" si="9"/>
        <v>7</v>
      </c>
      <c r="B278">
        <v>70804</v>
      </c>
      <c r="C278">
        <v>356</v>
      </c>
      <c r="D278">
        <v>107</v>
      </c>
      <c r="E278">
        <v>42</v>
      </c>
      <c r="F278">
        <v>9</v>
      </c>
      <c r="G278" s="10">
        <f t="shared" si="10"/>
        <v>11.797752808988765</v>
      </c>
    </row>
    <row r="279" spans="1:7">
      <c r="A279">
        <f t="shared" si="9"/>
        <v>7</v>
      </c>
      <c r="B279">
        <v>70901</v>
      </c>
      <c r="C279">
        <v>2784</v>
      </c>
      <c r="D279">
        <v>531</v>
      </c>
      <c r="E279">
        <v>198</v>
      </c>
      <c r="F279">
        <v>36</v>
      </c>
      <c r="G279" s="10">
        <f t="shared" si="10"/>
        <v>7.1120689655172411</v>
      </c>
    </row>
    <row r="280" spans="1:7">
      <c r="A280">
        <f t="shared" si="9"/>
        <v>7</v>
      </c>
      <c r="B280">
        <v>70902</v>
      </c>
      <c r="C280">
        <v>2301</v>
      </c>
      <c r="D280">
        <v>463</v>
      </c>
      <c r="E280">
        <v>157</v>
      </c>
      <c r="F280">
        <v>38</v>
      </c>
      <c r="G280" s="10">
        <f t="shared" si="10"/>
        <v>6.8231203824424167</v>
      </c>
    </row>
    <row r="281" spans="1:7">
      <c r="A281">
        <f t="shared" si="9"/>
        <v>7</v>
      </c>
      <c r="B281">
        <v>70903</v>
      </c>
      <c r="C281">
        <v>2567</v>
      </c>
      <c r="D281">
        <v>356</v>
      </c>
      <c r="E281">
        <v>134</v>
      </c>
      <c r="F281">
        <v>37</v>
      </c>
      <c r="G281" s="10">
        <f t="shared" si="10"/>
        <v>5.2201012855473312</v>
      </c>
    </row>
    <row r="282" spans="1:7">
      <c r="A282">
        <f t="shared" si="9"/>
        <v>7</v>
      </c>
      <c r="B282">
        <v>70904</v>
      </c>
      <c r="C282">
        <v>406</v>
      </c>
      <c r="D282">
        <v>97</v>
      </c>
      <c r="E282">
        <v>43</v>
      </c>
      <c r="F282">
        <v>6</v>
      </c>
      <c r="G282" s="10">
        <f t="shared" si="10"/>
        <v>10.591133004926109</v>
      </c>
    </row>
    <row r="283" spans="1:7">
      <c r="A283">
        <f t="shared" si="9"/>
        <v>7</v>
      </c>
      <c r="B283">
        <v>71001</v>
      </c>
      <c r="C283">
        <v>24148</v>
      </c>
      <c r="D283">
        <v>2282</v>
      </c>
      <c r="E283">
        <v>756</v>
      </c>
      <c r="F283">
        <v>164</v>
      </c>
      <c r="G283" s="10">
        <f t="shared" si="10"/>
        <v>3.1306940533377507</v>
      </c>
    </row>
    <row r="284" spans="1:7">
      <c r="A284">
        <f t="shared" si="9"/>
        <v>7</v>
      </c>
      <c r="B284">
        <v>71002</v>
      </c>
      <c r="C284">
        <v>2630</v>
      </c>
      <c r="D284">
        <v>345</v>
      </c>
      <c r="E284">
        <v>153</v>
      </c>
      <c r="F284">
        <v>50</v>
      </c>
      <c r="G284" s="10">
        <f t="shared" si="10"/>
        <v>5.8174904942965782</v>
      </c>
    </row>
    <row r="285" spans="1:7">
      <c r="A285">
        <f t="shared" si="9"/>
        <v>7</v>
      </c>
      <c r="B285">
        <v>71003</v>
      </c>
      <c r="C285">
        <v>4205</v>
      </c>
      <c r="D285">
        <v>415</v>
      </c>
      <c r="E285">
        <v>158</v>
      </c>
      <c r="F285">
        <v>61</v>
      </c>
      <c r="G285" s="10">
        <f t="shared" si="10"/>
        <v>3.7574316290130798</v>
      </c>
    </row>
    <row r="286" spans="1:7">
      <c r="A286">
        <f t="shared" si="9"/>
        <v>7</v>
      </c>
      <c r="B286">
        <v>71004</v>
      </c>
      <c r="C286">
        <v>2426</v>
      </c>
      <c r="D286">
        <v>289</v>
      </c>
      <c r="E286">
        <v>123</v>
      </c>
      <c r="F286">
        <v>48</v>
      </c>
      <c r="G286" s="10">
        <f t="shared" si="10"/>
        <v>5.0700741962077496</v>
      </c>
    </row>
    <row r="287" spans="1:7">
      <c r="A287">
        <f t="shared" si="9"/>
        <v>7</v>
      </c>
      <c r="B287">
        <v>71005</v>
      </c>
      <c r="C287">
        <v>2820</v>
      </c>
      <c r="D287">
        <v>366</v>
      </c>
      <c r="E287">
        <v>145</v>
      </c>
      <c r="F287">
        <v>61</v>
      </c>
      <c r="G287" s="10">
        <f t="shared" si="10"/>
        <v>5.1418439716312054</v>
      </c>
    </row>
    <row r="288" spans="1:7">
      <c r="A288">
        <f t="shared" si="9"/>
        <v>7</v>
      </c>
      <c r="B288">
        <v>71101</v>
      </c>
      <c r="C288">
        <v>3077</v>
      </c>
      <c r="D288">
        <v>437</v>
      </c>
      <c r="E288">
        <v>163</v>
      </c>
      <c r="F288">
        <v>22</v>
      </c>
      <c r="G288" s="10">
        <f t="shared" si="10"/>
        <v>5.2973675658108546</v>
      </c>
    </row>
    <row r="289" spans="1:7">
      <c r="A289">
        <f t="shared" si="9"/>
        <v>7</v>
      </c>
      <c r="B289">
        <v>71102</v>
      </c>
      <c r="C289">
        <v>1509</v>
      </c>
      <c r="D289">
        <v>173</v>
      </c>
      <c r="E289">
        <v>58</v>
      </c>
      <c r="F289">
        <v>7</v>
      </c>
      <c r="G289" s="10">
        <f t="shared" si="10"/>
        <v>3.8436050364479786</v>
      </c>
    </row>
    <row r="290" spans="1:7">
      <c r="A290">
        <f t="shared" si="9"/>
        <v>7</v>
      </c>
      <c r="B290">
        <v>71103</v>
      </c>
      <c r="C290">
        <v>1216</v>
      </c>
      <c r="D290">
        <v>173</v>
      </c>
      <c r="E290">
        <v>46</v>
      </c>
      <c r="F290">
        <v>2</v>
      </c>
      <c r="G290" s="10">
        <f t="shared" si="10"/>
        <v>3.7828947368421053</v>
      </c>
    </row>
    <row r="291" spans="1:7">
      <c r="A291">
        <f t="shared" si="9"/>
        <v>7</v>
      </c>
      <c r="B291">
        <v>71104</v>
      </c>
      <c r="C291">
        <v>7591</v>
      </c>
      <c r="D291">
        <v>1098</v>
      </c>
      <c r="E291">
        <v>377</v>
      </c>
      <c r="F291">
        <v>62</v>
      </c>
      <c r="G291" s="10">
        <f t="shared" si="10"/>
        <v>4.9664075879330785</v>
      </c>
    </row>
    <row r="292" spans="1:7">
      <c r="A292">
        <f t="shared" si="9"/>
        <v>7</v>
      </c>
      <c r="B292">
        <v>71105</v>
      </c>
      <c r="C292">
        <v>934</v>
      </c>
      <c r="D292">
        <v>94</v>
      </c>
      <c r="E292">
        <v>27</v>
      </c>
      <c r="F292">
        <v>12</v>
      </c>
      <c r="G292" s="10">
        <f t="shared" si="10"/>
        <v>2.8907922912205568</v>
      </c>
    </row>
    <row r="293" spans="1:7">
      <c r="A293">
        <f t="shared" si="9"/>
        <v>7</v>
      </c>
      <c r="B293">
        <v>71106</v>
      </c>
      <c r="C293">
        <v>3828</v>
      </c>
      <c r="D293">
        <v>504</v>
      </c>
      <c r="E293">
        <v>202</v>
      </c>
      <c r="F293">
        <v>86</v>
      </c>
      <c r="G293" s="10">
        <f t="shared" si="10"/>
        <v>5.2769070010449317</v>
      </c>
    </row>
    <row r="294" spans="1:7">
      <c r="A294">
        <f t="shared" si="9"/>
        <v>7</v>
      </c>
      <c r="B294">
        <v>71201</v>
      </c>
      <c r="C294">
        <v>1776</v>
      </c>
      <c r="D294">
        <v>0</v>
      </c>
      <c r="E294">
        <v>0</v>
      </c>
      <c r="F294">
        <v>0</v>
      </c>
      <c r="G294" s="10">
        <f t="shared" si="10"/>
        <v>0</v>
      </c>
    </row>
    <row r="295" spans="1:7">
      <c r="A295">
        <f t="shared" si="9"/>
        <v>7</v>
      </c>
      <c r="B295">
        <v>71301</v>
      </c>
      <c r="C295">
        <v>3558</v>
      </c>
      <c r="D295">
        <v>555</v>
      </c>
      <c r="E295">
        <v>189</v>
      </c>
      <c r="F295">
        <v>36</v>
      </c>
      <c r="G295" s="10">
        <f t="shared" si="10"/>
        <v>5.3119730185497467</v>
      </c>
    </row>
    <row r="296" spans="1:7">
      <c r="A296">
        <f t="shared" si="9"/>
        <v>7</v>
      </c>
      <c r="B296">
        <v>71302</v>
      </c>
      <c r="C296">
        <v>1294</v>
      </c>
      <c r="D296">
        <v>254</v>
      </c>
      <c r="E296">
        <v>115</v>
      </c>
      <c r="F296">
        <v>28</v>
      </c>
      <c r="G296" s="10">
        <f t="shared" si="10"/>
        <v>8.8871715610510051</v>
      </c>
    </row>
    <row r="297" spans="1:7">
      <c r="A297">
        <f t="shared" si="9"/>
        <v>7</v>
      </c>
      <c r="B297">
        <v>71401</v>
      </c>
      <c r="C297">
        <v>4053</v>
      </c>
      <c r="D297">
        <v>718</v>
      </c>
      <c r="E297">
        <v>299</v>
      </c>
      <c r="F297">
        <v>42</v>
      </c>
      <c r="G297" s="10">
        <f t="shared" si="10"/>
        <v>7.3772514187021958</v>
      </c>
    </row>
    <row r="298" spans="1:7">
      <c r="A298">
        <f t="shared" si="9"/>
        <v>7</v>
      </c>
      <c r="B298">
        <v>71402</v>
      </c>
      <c r="C298">
        <v>3693</v>
      </c>
      <c r="D298">
        <v>563</v>
      </c>
      <c r="E298">
        <v>214</v>
      </c>
      <c r="F298">
        <v>25</v>
      </c>
      <c r="G298" s="10">
        <f t="shared" si="10"/>
        <v>5.7947468183049011</v>
      </c>
    </row>
    <row r="299" spans="1:7">
      <c r="A299">
        <f t="shared" si="9"/>
        <v>7</v>
      </c>
      <c r="B299">
        <v>71403</v>
      </c>
      <c r="C299">
        <v>826</v>
      </c>
      <c r="D299">
        <v>108</v>
      </c>
      <c r="E299">
        <v>33</v>
      </c>
      <c r="F299">
        <v>7</v>
      </c>
      <c r="G299" s="10">
        <f t="shared" si="10"/>
        <v>3.9951573849878934</v>
      </c>
    </row>
    <row r="300" spans="1:7">
      <c r="A300">
        <f t="shared" si="9"/>
        <v>7</v>
      </c>
      <c r="B300">
        <v>71501</v>
      </c>
      <c r="C300">
        <v>4341</v>
      </c>
      <c r="D300">
        <v>618</v>
      </c>
      <c r="E300">
        <v>182</v>
      </c>
      <c r="F300">
        <v>35</v>
      </c>
      <c r="G300" s="10">
        <f t="shared" si="10"/>
        <v>4.1925823542962455</v>
      </c>
    </row>
    <row r="301" spans="1:7">
      <c r="A301">
        <f t="shared" si="9"/>
        <v>7</v>
      </c>
      <c r="B301">
        <v>71502</v>
      </c>
      <c r="C301">
        <v>891</v>
      </c>
      <c r="D301">
        <v>148</v>
      </c>
      <c r="E301">
        <v>46</v>
      </c>
      <c r="F301">
        <v>4</v>
      </c>
      <c r="G301" s="10">
        <f t="shared" si="10"/>
        <v>5.162738496071829</v>
      </c>
    </row>
    <row r="302" spans="1:7">
      <c r="A302">
        <f t="shared" si="9"/>
        <v>7</v>
      </c>
      <c r="B302">
        <v>71503</v>
      </c>
      <c r="C302">
        <v>844</v>
      </c>
      <c r="D302">
        <v>129</v>
      </c>
      <c r="E302">
        <v>53</v>
      </c>
      <c r="F302">
        <v>6</v>
      </c>
      <c r="G302" s="10">
        <f t="shared" si="10"/>
        <v>6.2796208530805684</v>
      </c>
    </row>
    <row r="303" spans="1:7">
      <c r="A303">
        <f t="shared" si="9"/>
        <v>8</v>
      </c>
      <c r="B303">
        <v>80101</v>
      </c>
      <c r="C303">
        <v>35825</v>
      </c>
      <c r="D303">
        <v>5155</v>
      </c>
      <c r="E303">
        <v>458</v>
      </c>
      <c r="F303">
        <v>37</v>
      </c>
      <c r="G303" s="10">
        <f t="shared" si="10"/>
        <v>1.2784368457780879</v>
      </c>
    </row>
    <row r="304" spans="1:7">
      <c r="A304">
        <f t="shared" si="9"/>
        <v>8</v>
      </c>
      <c r="B304">
        <v>80102</v>
      </c>
      <c r="C304">
        <v>137</v>
      </c>
      <c r="D304">
        <v>28</v>
      </c>
      <c r="E304">
        <v>6</v>
      </c>
      <c r="F304">
        <v>0</v>
      </c>
      <c r="G304" s="10">
        <f t="shared" si="10"/>
        <v>4.3795620437956204</v>
      </c>
    </row>
    <row r="305" spans="1:7">
      <c r="A305">
        <f t="shared" si="9"/>
        <v>8</v>
      </c>
      <c r="B305">
        <v>80201</v>
      </c>
      <c r="C305">
        <v>18564</v>
      </c>
      <c r="D305">
        <v>0</v>
      </c>
      <c r="E305">
        <v>0</v>
      </c>
      <c r="F305">
        <v>0</v>
      </c>
      <c r="G305" s="10">
        <f t="shared" si="10"/>
        <v>0</v>
      </c>
    </row>
    <row r="306" spans="1:7">
      <c r="A306">
        <f t="shared" si="9"/>
        <v>8</v>
      </c>
      <c r="B306">
        <v>80202</v>
      </c>
      <c r="C306">
        <v>7307</v>
      </c>
      <c r="D306">
        <v>0</v>
      </c>
      <c r="E306">
        <v>0</v>
      </c>
      <c r="F306">
        <v>0</v>
      </c>
      <c r="G306" s="10">
        <f t="shared" si="10"/>
        <v>0</v>
      </c>
    </row>
    <row r="307" spans="1:7">
      <c r="A307">
        <f t="shared" si="9"/>
        <v>8</v>
      </c>
      <c r="B307">
        <v>80301</v>
      </c>
      <c r="C307">
        <v>3456</v>
      </c>
      <c r="D307">
        <v>360</v>
      </c>
      <c r="E307">
        <v>25</v>
      </c>
      <c r="F307">
        <v>0</v>
      </c>
      <c r="G307" s="10">
        <f t="shared" si="10"/>
        <v>0.72337962962962965</v>
      </c>
    </row>
    <row r="308" spans="1:7">
      <c r="A308">
        <f t="shared" si="9"/>
        <v>8</v>
      </c>
      <c r="B308">
        <v>80302</v>
      </c>
      <c r="C308">
        <v>13479</v>
      </c>
      <c r="D308">
        <v>1599</v>
      </c>
      <c r="E308">
        <v>202</v>
      </c>
      <c r="F308">
        <v>0</v>
      </c>
      <c r="G308" s="10">
        <f t="shared" si="10"/>
        <v>1.4986274946212628</v>
      </c>
    </row>
    <row r="309" spans="1:7">
      <c r="A309">
        <f t="shared" si="9"/>
        <v>8</v>
      </c>
      <c r="B309">
        <v>80303</v>
      </c>
      <c r="C309">
        <v>2097</v>
      </c>
      <c r="D309">
        <v>247</v>
      </c>
      <c r="E309">
        <v>3</v>
      </c>
      <c r="F309">
        <v>0</v>
      </c>
      <c r="G309" s="10">
        <f t="shared" si="10"/>
        <v>0.14306151645207441</v>
      </c>
    </row>
    <row r="310" spans="1:7">
      <c r="A310">
        <f t="shared" si="9"/>
        <v>8</v>
      </c>
      <c r="B310">
        <v>80304</v>
      </c>
      <c r="C310">
        <v>6733</v>
      </c>
      <c r="D310">
        <v>710</v>
      </c>
      <c r="E310">
        <v>75</v>
      </c>
      <c r="F310">
        <v>0</v>
      </c>
      <c r="G310" s="10">
        <f t="shared" si="10"/>
        <v>1.113916530521313</v>
      </c>
    </row>
    <row r="311" spans="1:7">
      <c r="A311">
        <f t="shared" si="9"/>
        <v>8</v>
      </c>
      <c r="B311">
        <v>80401</v>
      </c>
      <c r="C311">
        <v>7621</v>
      </c>
      <c r="D311">
        <v>397</v>
      </c>
      <c r="E311">
        <v>5</v>
      </c>
      <c r="F311">
        <v>0</v>
      </c>
      <c r="G311" s="10">
        <f t="shared" si="10"/>
        <v>6.5608187901850148E-2</v>
      </c>
    </row>
    <row r="312" spans="1:7">
      <c r="A312">
        <f t="shared" si="9"/>
        <v>8</v>
      </c>
      <c r="B312">
        <v>80501</v>
      </c>
      <c r="C312">
        <v>7183</v>
      </c>
      <c r="D312">
        <v>637</v>
      </c>
      <c r="E312">
        <v>39</v>
      </c>
      <c r="F312">
        <v>0</v>
      </c>
      <c r="G312" s="10">
        <f t="shared" si="10"/>
        <v>0.54294862870666849</v>
      </c>
    </row>
    <row r="313" spans="1:7">
      <c r="A313">
        <f t="shared" si="9"/>
        <v>8</v>
      </c>
      <c r="B313">
        <v>80601</v>
      </c>
      <c r="C313">
        <v>171</v>
      </c>
      <c r="D313">
        <v>35</v>
      </c>
      <c r="E313">
        <v>4</v>
      </c>
      <c r="F313">
        <v>0</v>
      </c>
      <c r="G313" s="10">
        <f t="shared" si="10"/>
        <v>2.3391812865497075</v>
      </c>
    </row>
    <row r="314" spans="1:7">
      <c r="A314">
        <f t="shared" si="9"/>
        <v>8</v>
      </c>
      <c r="B314">
        <v>80602</v>
      </c>
      <c r="C314">
        <v>1480</v>
      </c>
      <c r="D314">
        <v>304</v>
      </c>
      <c r="E314">
        <v>48</v>
      </c>
      <c r="F314">
        <v>0</v>
      </c>
      <c r="G314" s="10">
        <f t="shared" si="10"/>
        <v>3.2432432432432434</v>
      </c>
    </row>
    <row r="315" spans="1:7">
      <c r="A315">
        <f t="shared" si="9"/>
        <v>8</v>
      </c>
      <c r="B315">
        <v>80701</v>
      </c>
      <c r="C315">
        <v>1743</v>
      </c>
      <c r="D315">
        <v>169</v>
      </c>
      <c r="E315">
        <v>15</v>
      </c>
      <c r="F315">
        <v>0</v>
      </c>
      <c r="G315" s="10">
        <f t="shared" si="10"/>
        <v>0.86058519793459554</v>
      </c>
    </row>
    <row r="316" spans="1:7">
      <c r="A316">
        <f t="shared" si="9"/>
        <v>8</v>
      </c>
      <c r="B316">
        <v>80702</v>
      </c>
      <c r="C316">
        <v>1376</v>
      </c>
      <c r="D316">
        <v>122</v>
      </c>
      <c r="E316">
        <v>31</v>
      </c>
      <c r="F316">
        <v>0</v>
      </c>
      <c r="G316" s="10">
        <f t="shared" si="10"/>
        <v>2.2529069767441858</v>
      </c>
    </row>
    <row r="317" spans="1:7">
      <c r="A317">
        <f t="shared" si="9"/>
        <v>8</v>
      </c>
      <c r="B317">
        <v>80801</v>
      </c>
      <c r="C317">
        <v>3074</v>
      </c>
      <c r="D317">
        <v>323</v>
      </c>
      <c r="E317">
        <v>10</v>
      </c>
      <c r="F317">
        <v>0</v>
      </c>
      <c r="G317" s="10">
        <f t="shared" si="10"/>
        <v>0.32530904359141183</v>
      </c>
    </row>
    <row r="318" spans="1:7">
      <c r="A318">
        <f t="shared" si="9"/>
        <v>8</v>
      </c>
      <c r="B318">
        <v>80802</v>
      </c>
      <c r="C318">
        <v>502</v>
      </c>
      <c r="D318">
        <v>59</v>
      </c>
      <c r="E318">
        <v>0</v>
      </c>
      <c r="F318">
        <v>0</v>
      </c>
      <c r="G318" s="10">
        <f t="shared" si="10"/>
        <v>0</v>
      </c>
    </row>
    <row r="319" spans="1:7">
      <c r="A319">
        <f t="shared" si="9"/>
        <v>8</v>
      </c>
      <c r="B319">
        <v>80803</v>
      </c>
      <c r="C319">
        <v>413</v>
      </c>
      <c r="D319">
        <v>52</v>
      </c>
      <c r="E319">
        <v>0</v>
      </c>
      <c r="F319">
        <v>0</v>
      </c>
      <c r="G319" s="10">
        <f t="shared" si="10"/>
        <v>0</v>
      </c>
    </row>
    <row r="320" spans="1:7">
      <c r="A320">
        <f t="shared" si="9"/>
        <v>9</v>
      </c>
      <c r="B320">
        <v>90101</v>
      </c>
      <c r="C320">
        <v>11745</v>
      </c>
      <c r="D320">
        <v>1758</v>
      </c>
      <c r="E320">
        <v>238</v>
      </c>
      <c r="F320">
        <v>10</v>
      </c>
      <c r="G320" s="10">
        <f t="shared" si="10"/>
        <v>2.0263942103022563</v>
      </c>
    </row>
    <row r="321" spans="1:7">
      <c r="A321">
        <f t="shared" si="9"/>
        <v>9</v>
      </c>
      <c r="B321">
        <v>90102</v>
      </c>
      <c r="C321">
        <v>911</v>
      </c>
      <c r="D321">
        <v>174</v>
      </c>
      <c r="E321">
        <v>32</v>
      </c>
      <c r="F321">
        <v>1</v>
      </c>
      <c r="G321" s="10">
        <f t="shared" si="10"/>
        <v>3.5126234906695939</v>
      </c>
    </row>
    <row r="322" spans="1:7">
      <c r="A322">
        <f t="shared" si="9"/>
        <v>9</v>
      </c>
      <c r="B322">
        <v>90104</v>
      </c>
      <c r="C322">
        <v>202</v>
      </c>
      <c r="D322">
        <v>43</v>
      </c>
      <c r="E322">
        <v>1</v>
      </c>
      <c r="F322">
        <v>0</v>
      </c>
      <c r="G322" s="10">
        <f t="shared" si="10"/>
        <v>0.49504950495049505</v>
      </c>
    </row>
    <row r="323" spans="1:7">
      <c r="A323">
        <f t="shared" ref="A323:A330" si="11">VALUE(MID(B323,1,1))</f>
        <v>9</v>
      </c>
      <c r="B323">
        <v>90201</v>
      </c>
      <c r="C323">
        <v>764</v>
      </c>
      <c r="D323">
        <v>245</v>
      </c>
      <c r="E323">
        <v>32</v>
      </c>
      <c r="F323">
        <v>1</v>
      </c>
      <c r="G323" s="10">
        <f t="shared" ref="G323:G330" si="12">100*E323/C323</f>
        <v>4.1884816753926701</v>
      </c>
    </row>
    <row r="324" spans="1:7">
      <c r="A324">
        <f t="shared" si="11"/>
        <v>9</v>
      </c>
      <c r="B324">
        <v>90202</v>
      </c>
      <c r="C324">
        <v>102</v>
      </c>
      <c r="D324">
        <v>38</v>
      </c>
      <c r="E324">
        <v>3</v>
      </c>
      <c r="F324">
        <v>0</v>
      </c>
      <c r="G324" s="10">
        <f t="shared" si="12"/>
        <v>2.9411764705882355</v>
      </c>
    </row>
    <row r="325" spans="1:7">
      <c r="A325">
        <f t="shared" si="11"/>
        <v>9</v>
      </c>
      <c r="B325">
        <v>90203</v>
      </c>
      <c r="C325">
        <v>404</v>
      </c>
      <c r="D325">
        <v>51</v>
      </c>
      <c r="E325">
        <v>16</v>
      </c>
      <c r="F325">
        <v>2</v>
      </c>
      <c r="G325" s="10">
        <f t="shared" si="12"/>
        <v>3.9603960396039604</v>
      </c>
    </row>
    <row r="326" spans="1:7">
      <c r="A326">
        <f t="shared" si="11"/>
        <v>9</v>
      </c>
      <c r="B326">
        <v>90301</v>
      </c>
      <c r="C326">
        <v>184</v>
      </c>
      <c r="D326">
        <v>0</v>
      </c>
      <c r="E326">
        <v>0</v>
      </c>
      <c r="F326">
        <v>0</v>
      </c>
      <c r="G326" s="10">
        <f t="shared" si="12"/>
        <v>0</v>
      </c>
    </row>
    <row r="327" spans="1:7">
      <c r="A327">
        <f t="shared" si="11"/>
        <v>9</v>
      </c>
      <c r="B327">
        <v>90302</v>
      </c>
      <c r="C327">
        <v>186</v>
      </c>
      <c r="D327">
        <v>22</v>
      </c>
      <c r="E327">
        <v>1</v>
      </c>
      <c r="F327">
        <v>0</v>
      </c>
      <c r="G327" s="10">
        <f t="shared" si="12"/>
        <v>0.5376344086021505</v>
      </c>
    </row>
    <row r="328" spans="1:7">
      <c r="A328">
        <f t="shared" si="11"/>
        <v>9</v>
      </c>
      <c r="B328">
        <v>90303</v>
      </c>
      <c r="C328">
        <v>501</v>
      </c>
      <c r="D328">
        <v>66</v>
      </c>
      <c r="E328">
        <v>2</v>
      </c>
      <c r="F328">
        <v>0</v>
      </c>
      <c r="G328" s="10">
        <f t="shared" si="12"/>
        <v>0.39920159680638723</v>
      </c>
    </row>
    <row r="329" spans="1:7">
      <c r="A329">
        <f t="shared" si="11"/>
        <v>9</v>
      </c>
      <c r="B329">
        <v>90501</v>
      </c>
      <c r="C329">
        <v>80</v>
      </c>
      <c r="D329">
        <v>0</v>
      </c>
      <c r="E329">
        <v>0</v>
      </c>
      <c r="F329">
        <v>0</v>
      </c>
      <c r="G329" s="10">
        <f t="shared" si="12"/>
        <v>0</v>
      </c>
    </row>
    <row r="330" spans="1:7">
      <c r="A330">
        <f t="shared" si="11"/>
        <v>9</v>
      </c>
      <c r="B330">
        <v>90502</v>
      </c>
      <c r="C330">
        <v>113</v>
      </c>
      <c r="D330">
        <v>0</v>
      </c>
      <c r="E330">
        <v>0</v>
      </c>
      <c r="F330">
        <v>0</v>
      </c>
      <c r="G330" s="10">
        <f t="shared" si="1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N326"/>
  <sheetViews>
    <sheetView topLeftCell="D1" workbookViewId="0">
      <selection activeCell="M18" sqref="M18"/>
    </sheetView>
  </sheetViews>
  <sheetFormatPr baseColWidth="10" defaultColWidth="8.88671875" defaultRowHeight="14.4"/>
  <cols>
    <col min="11" max="11" width="16.5546875" bestFit="1" customWidth="1"/>
    <col min="12" max="12" width="19" bestFit="1" customWidth="1"/>
    <col min="13" max="13" width="22.21875" bestFit="1" customWidth="1"/>
  </cols>
  <sheetData>
    <row r="1" spans="1:14" s="1" customFormat="1" ht="15">
      <c r="A1" s="1" t="s">
        <v>348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346</v>
      </c>
      <c r="K1" s="16" t="s">
        <v>349</v>
      </c>
      <c r="L1" t="s">
        <v>351</v>
      </c>
      <c r="M1" t="s">
        <v>352</v>
      </c>
      <c r="N1" s="2" t="s">
        <v>346</v>
      </c>
    </row>
    <row r="2" spans="1:14">
      <c r="A2">
        <f>VALUE(MID(B2,1,1))</f>
        <v>1</v>
      </c>
      <c r="B2">
        <v>10101</v>
      </c>
      <c r="C2">
        <v>94916</v>
      </c>
      <c r="D2">
        <v>14317</v>
      </c>
      <c r="E2">
        <v>5007</v>
      </c>
      <c r="F2">
        <v>1073</v>
      </c>
      <c r="G2" s="10">
        <f>100*E2/C2</f>
        <v>5.2751906949302541</v>
      </c>
      <c r="K2" s="15">
        <v>1</v>
      </c>
      <c r="L2" s="32">
        <v>161477</v>
      </c>
      <c r="M2" s="32">
        <v>14070</v>
      </c>
      <c r="N2">
        <f>100*M2/L2</f>
        <v>8.7133152089771304</v>
      </c>
    </row>
    <row r="3" spans="1:14">
      <c r="A3">
        <f t="shared" ref="A3:A66" si="0">VALUE(MID(B3,1,1))</f>
        <v>1</v>
      </c>
      <c r="B3">
        <v>10102</v>
      </c>
      <c r="C3">
        <v>3342</v>
      </c>
      <c r="D3">
        <v>1247</v>
      </c>
      <c r="E3">
        <v>492</v>
      </c>
      <c r="F3">
        <v>93</v>
      </c>
      <c r="G3" s="10">
        <f t="shared" ref="G3:G66" si="1">100*E3/C3</f>
        <v>14.721723518850988</v>
      </c>
      <c r="K3" s="15">
        <v>2</v>
      </c>
      <c r="L3" s="32">
        <v>939628</v>
      </c>
      <c r="M3" s="32">
        <v>85646</v>
      </c>
      <c r="N3">
        <f t="shared" ref="N3:N18" si="2">100*M3/L3</f>
        <v>9.1148837625102708</v>
      </c>
    </row>
    <row r="4" spans="1:14">
      <c r="A4">
        <f t="shared" si="0"/>
        <v>1</v>
      </c>
      <c r="B4">
        <v>10103</v>
      </c>
      <c r="C4">
        <v>2176</v>
      </c>
      <c r="D4">
        <v>1035</v>
      </c>
      <c r="E4">
        <v>300</v>
      </c>
      <c r="F4">
        <v>47</v>
      </c>
      <c r="G4" s="10">
        <f t="shared" si="1"/>
        <v>13.786764705882353</v>
      </c>
      <c r="K4" s="15">
        <v>3</v>
      </c>
      <c r="L4" s="32">
        <v>644512</v>
      </c>
      <c r="M4" s="32">
        <v>43576</v>
      </c>
      <c r="N4">
        <f t="shared" si="2"/>
        <v>6.7610843552951687</v>
      </c>
    </row>
    <row r="5" spans="1:14">
      <c r="A5">
        <f t="shared" si="0"/>
        <v>1</v>
      </c>
      <c r="B5">
        <v>10201</v>
      </c>
      <c r="C5">
        <v>1449</v>
      </c>
      <c r="D5">
        <v>615</v>
      </c>
      <c r="E5">
        <v>239</v>
      </c>
      <c r="F5">
        <v>60</v>
      </c>
      <c r="G5" s="10">
        <f t="shared" si="1"/>
        <v>16.494133885438234</v>
      </c>
      <c r="K5" s="15">
        <v>4</v>
      </c>
      <c r="L5" s="32">
        <v>157865</v>
      </c>
      <c r="M5" s="32">
        <v>15874</v>
      </c>
      <c r="N5">
        <f t="shared" si="2"/>
        <v>10.055427105438191</v>
      </c>
    </row>
    <row r="6" spans="1:14">
      <c r="A6">
        <f t="shared" si="0"/>
        <v>1</v>
      </c>
      <c r="B6">
        <v>10202</v>
      </c>
      <c r="C6">
        <v>2476</v>
      </c>
      <c r="D6">
        <v>1087</v>
      </c>
      <c r="E6">
        <v>358</v>
      </c>
      <c r="F6">
        <v>63</v>
      </c>
      <c r="G6" s="10">
        <f t="shared" si="1"/>
        <v>14.458804523424879</v>
      </c>
      <c r="K6" s="15">
        <v>5</v>
      </c>
      <c r="L6" s="32">
        <v>191598</v>
      </c>
      <c r="M6" s="32">
        <v>22042</v>
      </c>
      <c r="N6">
        <f t="shared" si="2"/>
        <v>11.504295451935825</v>
      </c>
    </row>
    <row r="7" spans="1:14">
      <c r="A7">
        <f t="shared" si="0"/>
        <v>1</v>
      </c>
      <c r="B7">
        <v>10301</v>
      </c>
      <c r="C7">
        <v>1931</v>
      </c>
      <c r="D7">
        <v>672</v>
      </c>
      <c r="E7">
        <v>265</v>
      </c>
      <c r="F7">
        <v>60</v>
      </c>
      <c r="G7" s="10">
        <f t="shared" si="1"/>
        <v>13.723459347488348</v>
      </c>
      <c r="K7" s="15">
        <v>6</v>
      </c>
      <c r="L7" s="32">
        <v>147330</v>
      </c>
      <c r="M7" s="32">
        <v>10572</v>
      </c>
      <c r="N7">
        <f t="shared" si="2"/>
        <v>7.1757279576461004</v>
      </c>
    </row>
    <row r="8" spans="1:14">
      <c r="A8">
        <f t="shared" si="0"/>
        <v>1</v>
      </c>
      <c r="B8">
        <v>10302</v>
      </c>
      <c r="C8">
        <v>1472</v>
      </c>
      <c r="D8">
        <v>442</v>
      </c>
      <c r="E8">
        <v>116</v>
      </c>
      <c r="F8">
        <v>14</v>
      </c>
      <c r="G8" s="10">
        <f t="shared" si="1"/>
        <v>7.8804347826086953</v>
      </c>
      <c r="K8" s="15">
        <v>7</v>
      </c>
      <c r="L8" s="32">
        <v>663439</v>
      </c>
      <c r="M8" s="32">
        <v>45446</v>
      </c>
      <c r="N8">
        <f t="shared" si="2"/>
        <v>6.8500645877013557</v>
      </c>
    </row>
    <row r="9" spans="1:14">
      <c r="A9">
        <f t="shared" si="0"/>
        <v>1</v>
      </c>
      <c r="B9">
        <v>10303</v>
      </c>
      <c r="C9">
        <v>1832</v>
      </c>
      <c r="D9">
        <v>496</v>
      </c>
      <c r="E9">
        <v>211</v>
      </c>
      <c r="F9">
        <v>28</v>
      </c>
      <c r="G9" s="10">
        <f t="shared" si="1"/>
        <v>11.517467248908297</v>
      </c>
      <c r="K9" s="15">
        <v>8</v>
      </c>
      <c r="L9" s="32">
        <v>99658</v>
      </c>
      <c r="M9" s="32">
        <v>1957</v>
      </c>
      <c r="N9">
        <f t="shared" si="2"/>
        <v>1.963715908406751</v>
      </c>
    </row>
    <row r="10" spans="1:14">
      <c r="A10">
        <f t="shared" si="0"/>
        <v>1</v>
      </c>
      <c r="B10">
        <v>10304</v>
      </c>
      <c r="C10">
        <v>1496</v>
      </c>
      <c r="D10">
        <v>504</v>
      </c>
      <c r="E10">
        <v>156</v>
      </c>
      <c r="F10">
        <v>16</v>
      </c>
      <c r="G10" s="10">
        <f t="shared" si="1"/>
        <v>10.427807486631016</v>
      </c>
      <c r="K10" s="15">
        <v>9</v>
      </c>
      <c r="L10" s="32">
        <v>21843</v>
      </c>
      <c r="M10" s="32">
        <v>471</v>
      </c>
      <c r="N10">
        <f t="shared" si="2"/>
        <v>2.1562972119214394</v>
      </c>
    </row>
    <row r="11" spans="1:14">
      <c r="A11">
        <f t="shared" si="0"/>
        <v>1</v>
      </c>
      <c r="B11">
        <v>10401</v>
      </c>
      <c r="C11">
        <v>2762</v>
      </c>
      <c r="D11">
        <v>773</v>
      </c>
      <c r="E11">
        <v>300</v>
      </c>
      <c r="F11">
        <v>82</v>
      </c>
      <c r="G11" s="10">
        <f t="shared" si="1"/>
        <v>10.861694424330196</v>
      </c>
      <c r="K11" s="15" t="s">
        <v>350</v>
      </c>
      <c r="L11" s="32">
        <v>3027350</v>
      </c>
      <c r="M11" s="32">
        <v>239654</v>
      </c>
      <c r="N11">
        <f t="shared" si="2"/>
        <v>7.9162964308718848</v>
      </c>
    </row>
    <row r="12" spans="1:14">
      <c r="A12">
        <f t="shared" si="0"/>
        <v>1</v>
      </c>
      <c r="B12">
        <v>10402</v>
      </c>
      <c r="C12">
        <v>2052</v>
      </c>
      <c r="D12">
        <v>626</v>
      </c>
      <c r="E12">
        <v>256</v>
      </c>
      <c r="F12">
        <v>61</v>
      </c>
      <c r="G12" s="10">
        <f t="shared" si="1"/>
        <v>12.475633528265107</v>
      </c>
    </row>
    <row r="13" spans="1:14">
      <c r="A13">
        <f t="shared" si="0"/>
        <v>1</v>
      </c>
      <c r="B13">
        <v>10403</v>
      </c>
      <c r="C13">
        <v>1572</v>
      </c>
      <c r="D13">
        <v>590</v>
      </c>
      <c r="E13">
        <v>216</v>
      </c>
      <c r="F13">
        <v>27</v>
      </c>
      <c r="G13" s="10">
        <f t="shared" si="1"/>
        <v>13.740458015267176</v>
      </c>
    </row>
    <row r="14" spans="1:14">
      <c r="A14">
        <f t="shared" si="0"/>
        <v>1</v>
      </c>
      <c r="B14">
        <v>10404</v>
      </c>
      <c r="C14">
        <v>1105</v>
      </c>
      <c r="D14">
        <v>395</v>
      </c>
      <c r="E14">
        <v>167</v>
      </c>
      <c r="F14">
        <v>57</v>
      </c>
      <c r="G14" s="10">
        <f t="shared" si="1"/>
        <v>15.113122171945701</v>
      </c>
      <c r="K14" s="16" t="s">
        <v>349</v>
      </c>
      <c r="L14" t="s">
        <v>351</v>
      </c>
      <c r="M14" t="s">
        <v>352</v>
      </c>
    </row>
    <row r="15" spans="1:14">
      <c r="A15">
        <f t="shared" si="0"/>
        <v>1</v>
      </c>
      <c r="B15">
        <v>10405</v>
      </c>
      <c r="C15">
        <v>1059</v>
      </c>
      <c r="D15">
        <v>352</v>
      </c>
      <c r="E15">
        <v>143</v>
      </c>
      <c r="F15">
        <v>24</v>
      </c>
      <c r="G15" s="10">
        <f t="shared" si="1"/>
        <v>13.503305004721435</v>
      </c>
      <c r="K15" s="15">
        <v>60301</v>
      </c>
      <c r="L15" s="32">
        <v>25327</v>
      </c>
      <c r="M15" s="32">
        <v>1144</v>
      </c>
      <c r="N15">
        <f t="shared" si="2"/>
        <v>4.5169187033600506</v>
      </c>
    </row>
    <row r="16" spans="1:14">
      <c r="A16">
        <f t="shared" si="0"/>
        <v>1</v>
      </c>
      <c r="B16">
        <v>10501</v>
      </c>
      <c r="C16">
        <v>6554</v>
      </c>
      <c r="D16">
        <v>1305</v>
      </c>
      <c r="E16">
        <v>412</v>
      </c>
      <c r="F16">
        <v>114</v>
      </c>
      <c r="G16" s="10">
        <f t="shared" si="1"/>
        <v>6.2862374122673179</v>
      </c>
      <c r="K16" s="15">
        <v>60302</v>
      </c>
      <c r="L16" s="32">
        <v>4392</v>
      </c>
      <c r="M16" s="32">
        <v>418</v>
      </c>
      <c r="N16">
        <f t="shared" si="2"/>
        <v>9.5173041894353378</v>
      </c>
    </row>
    <row r="17" spans="1:14">
      <c r="A17">
        <f t="shared" si="0"/>
        <v>1</v>
      </c>
      <c r="B17">
        <v>10502</v>
      </c>
      <c r="C17">
        <v>2047</v>
      </c>
      <c r="D17">
        <v>635</v>
      </c>
      <c r="E17">
        <v>150</v>
      </c>
      <c r="F17">
        <v>10</v>
      </c>
      <c r="G17" s="10">
        <f t="shared" si="1"/>
        <v>7.3277967757694187</v>
      </c>
      <c r="K17" s="15">
        <v>60303</v>
      </c>
      <c r="L17" s="32">
        <v>13201</v>
      </c>
      <c r="M17" s="32">
        <v>718</v>
      </c>
      <c r="N17">
        <f t="shared" si="2"/>
        <v>5.4389818953109614</v>
      </c>
    </row>
    <row r="18" spans="1:14">
      <c r="A18">
        <f t="shared" si="0"/>
        <v>1</v>
      </c>
      <c r="B18">
        <v>10601</v>
      </c>
      <c r="C18">
        <v>3684</v>
      </c>
      <c r="D18">
        <v>1640</v>
      </c>
      <c r="E18">
        <v>580</v>
      </c>
      <c r="F18">
        <v>93</v>
      </c>
      <c r="G18" s="10">
        <f t="shared" si="1"/>
        <v>15.743756786102063</v>
      </c>
      <c r="K18" s="15" t="s">
        <v>350</v>
      </c>
      <c r="L18" s="32">
        <v>42920</v>
      </c>
      <c r="M18" s="32">
        <v>2280</v>
      </c>
      <c r="N18">
        <f t="shared" si="2"/>
        <v>5.3122087604846229</v>
      </c>
    </row>
    <row r="19" spans="1:14">
      <c r="A19">
        <f t="shared" si="0"/>
        <v>1</v>
      </c>
      <c r="B19">
        <v>10602</v>
      </c>
      <c r="C19">
        <v>2243</v>
      </c>
      <c r="D19">
        <v>981</v>
      </c>
      <c r="E19">
        <v>402</v>
      </c>
      <c r="F19">
        <v>81</v>
      </c>
      <c r="G19" s="10">
        <f t="shared" si="1"/>
        <v>17.92242532322782</v>
      </c>
    </row>
    <row r="20" spans="1:14">
      <c r="A20">
        <f t="shared" si="0"/>
        <v>1</v>
      </c>
      <c r="B20">
        <v>10701</v>
      </c>
      <c r="C20">
        <v>4518</v>
      </c>
      <c r="D20">
        <v>1791</v>
      </c>
      <c r="E20">
        <v>719</v>
      </c>
      <c r="F20">
        <v>1</v>
      </c>
      <c r="G20" s="10">
        <f t="shared" si="1"/>
        <v>15.914121292607348</v>
      </c>
    </row>
    <row r="21" spans="1:14">
      <c r="A21">
        <f t="shared" si="0"/>
        <v>1</v>
      </c>
      <c r="B21">
        <v>10702</v>
      </c>
      <c r="C21">
        <v>7228</v>
      </c>
      <c r="D21">
        <v>3746</v>
      </c>
      <c r="E21">
        <v>1677</v>
      </c>
      <c r="F21">
        <v>0</v>
      </c>
      <c r="G21" s="10">
        <f t="shared" si="1"/>
        <v>23.201438848920862</v>
      </c>
    </row>
    <row r="22" spans="1:14">
      <c r="A22">
        <f t="shared" si="0"/>
        <v>1</v>
      </c>
      <c r="B22">
        <v>10703</v>
      </c>
      <c r="C22">
        <v>1425</v>
      </c>
      <c r="D22">
        <v>460</v>
      </c>
      <c r="E22">
        <v>153</v>
      </c>
      <c r="F22">
        <v>0</v>
      </c>
      <c r="G22" s="10">
        <f t="shared" si="1"/>
        <v>10.736842105263158</v>
      </c>
    </row>
    <row r="23" spans="1:14">
      <c r="A23">
        <f t="shared" si="0"/>
        <v>1</v>
      </c>
      <c r="B23">
        <v>10704</v>
      </c>
      <c r="C23">
        <v>2650</v>
      </c>
      <c r="D23">
        <v>1154</v>
      </c>
      <c r="E23">
        <v>357</v>
      </c>
      <c r="F23">
        <v>0</v>
      </c>
      <c r="G23" s="10">
        <f t="shared" si="1"/>
        <v>13.471698113207546</v>
      </c>
    </row>
    <row r="24" spans="1:14">
      <c r="A24">
        <f t="shared" si="0"/>
        <v>1</v>
      </c>
      <c r="B24">
        <v>10801</v>
      </c>
      <c r="C24">
        <v>3340</v>
      </c>
      <c r="D24">
        <v>1195</v>
      </c>
      <c r="E24">
        <v>524</v>
      </c>
      <c r="F24">
        <v>119</v>
      </c>
      <c r="G24" s="10">
        <f t="shared" si="1"/>
        <v>15.688622754491018</v>
      </c>
    </row>
    <row r="25" spans="1:14">
      <c r="A25">
        <f t="shared" si="0"/>
        <v>1</v>
      </c>
      <c r="B25">
        <v>10901</v>
      </c>
      <c r="C25">
        <v>1080</v>
      </c>
      <c r="D25">
        <v>500</v>
      </c>
      <c r="E25">
        <v>191</v>
      </c>
      <c r="F25">
        <v>0</v>
      </c>
      <c r="G25" s="10">
        <f t="shared" si="1"/>
        <v>17.685185185185187</v>
      </c>
    </row>
    <row r="26" spans="1:14">
      <c r="A26">
        <f t="shared" si="0"/>
        <v>1</v>
      </c>
      <c r="B26">
        <v>10902</v>
      </c>
      <c r="C26">
        <v>2888</v>
      </c>
      <c r="D26">
        <v>833</v>
      </c>
      <c r="E26">
        <v>295</v>
      </c>
      <c r="F26">
        <v>0</v>
      </c>
      <c r="G26" s="10">
        <f t="shared" si="1"/>
        <v>10.214681440443213</v>
      </c>
    </row>
    <row r="27" spans="1:14">
      <c r="A27">
        <f t="shared" si="0"/>
        <v>1</v>
      </c>
      <c r="B27">
        <v>10903</v>
      </c>
      <c r="C27">
        <v>997</v>
      </c>
      <c r="D27">
        <v>450</v>
      </c>
      <c r="E27">
        <v>190</v>
      </c>
      <c r="F27">
        <v>0</v>
      </c>
      <c r="G27" s="10">
        <f t="shared" si="1"/>
        <v>19.057171514543629</v>
      </c>
    </row>
    <row r="28" spans="1:14">
      <c r="A28">
        <f t="shared" si="0"/>
        <v>1</v>
      </c>
      <c r="B28">
        <v>11001</v>
      </c>
      <c r="C28">
        <v>2147</v>
      </c>
      <c r="D28">
        <v>503</v>
      </c>
      <c r="E28">
        <v>115</v>
      </c>
      <c r="F28">
        <v>10</v>
      </c>
      <c r="G28" s="10">
        <f t="shared" si="1"/>
        <v>5.3563111318118306</v>
      </c>
    </row>
    <row r="29" spans="1:14">
      <c r="A29">
        <f t="shared" si="0"/>
        <v>1</v>
      </c>
      <c r="B29">
        <v>11002</v>
      </c>
      <c r="C29">
        <v>70</v>
      </c>
      <c r="D29">
        <v>19</v>
      </c>
      <c r="E29">
        <v>8</v>
      </c>
      <c r="F29">
        <v>5</v>
      </c>
      <c r="G29" s="10">
        <f t="shared" si="1"/>
        <v>11.428571428571429</v>
      </c>
    </row>
    <row r="30" spans="1:14">
      <c r="A30">
        <f t="shared" si="0"/>
        <v>1</v>
      </c>
      <c r="B30">
        <v>11003</v>
      </c>
      <c r="C30">
        <v>966</v>
      </c>
      <c r="D30">
        <v>263</v>
      </c>
      <c r="E30">
        <v>71</v>
      </c>
      <c r="F30">
        <v>15</v>
      </c>
      <c r="G30" s="10">
        <f t="shared" si="1"/>
        <v>7.349896480331263</v>
      </c>
    </row>
    <row r="31" spans="1:14">
      <c r="A31">
        <f t="shared" si="0"/>
        <v>2</v>
      </c>
      <c r="B31">
        <v>20101</v>
      </c>
      <c r="C31">
        <v>311555</v>
      </c>
      <c r="D31">
        <v>56282</v>
      </c>
      <c r="E31">
        <v>18660</v>
      </c>
      <c r="F31">
        <v>4985</v>
      </c>
      <c r="G31" s="10">
        <f t="shared" si="1"/>
        <v>5.9893116785158318</v>
      </c>
    </row>
    <row r="32" spans="1:14">
      <c r="A32">
        <f t="shared" si="0"/>
        <v>2</v>
      </c>
      <c r="B32">
        <v>20102</v>
      </c>
      <c r="C32">
        <v>4348</v>
      </c>
      <c r="D32">
        <v>1004</v>
      </c>
      <c r="E32">
        <v>408</v>
      </c>
      <c r="F32">
        <v>82</v>
      </c>
      <c r="G32" s="10">
        <f t="shared" si="1"/>
        <v>9.3836246550137989</v>
      </c>
    </row>
    <row r="33" spans="1:7">
      <c r="A33">
        <f t="shared" si="0"/>
        <v>2</v>
      </c>
      <c r="B33">
        <v>20103</v>
      </c>
      <c r="C33">
        <v>7381</v>
      </c>
      <c r="D33">
        <v>1888</v>
      </c>
      <c r="E33">
        <v>873</v>
      </c>
      <c r="F33">
        <v>228</v>
      </c>
      <c r="G33" s="10">
        <f t="shared" si="1"/>
        <v>11.827665627963691</v>
      </c>
    </row>
    <row r="34" spans="1:7">
      <c r="A34">
        <f t="shared" si="0"/>
        <v>2</v>
      </c>
      <c r="B34">
        <v>20104</v>
      </c>
      <c r="C34">
        <v>12212</v>
      </c>
      <c r="D34">
        <v>4235</v>
      </c>
      <c r="E34">
        <v>2068</v>
      </c>
      <c r="F34">
        <v>599</v>
      </c>
      <c r="G34" s="10">
        <f t="shared" si="1"/>
        <v>16.934163118244349</v>
      </c>
    </row>
    <row r="35" spans="1:7">
      <c r="A35">
        <f t="shared" si="0"/>
        <v>2</v>
      </c>
      <c r="B35">
        <v>20105</v>
      </c>
      <c r="C35">
        <v>306188</v>
      </c>
      <c r="D35">
        <v>53826</v>
      </c>
      <c r="E35">
        <v>23131</v>
      </c>
      <c r="F35">
        <v>6379</v>
      </c>
      <c r="G35" s="10">
        <f t="shared" si="1"/>
        <v>7.5545089944739834</v>
      </c>
    </row>
    <row r="36" spans="1:7">
      <c r="A36">
        <f t="shared" si="0"/>
        <v>2</v>
      </c>
      <c r="B36">
        <v>20201</v>
      </c>
      <c r="C36">
        <v>13605</v>
      </c>
      <c r="D36">
        <v>4289</v>
      </c>
      <c r="E36">
        <v>1712</v>
      </c>
      <c r="F36">
        <v>402</v>
      </c>
      <c r="G36" s="10">
        <f t="shared" si="1"/>
        <v>12.583608967291436</v>
      </c>
    </row>
    <row r="37" spans="1:7">
      <c r="A37">
        <f t="shared" si="0"/>
        <v>2</v>
      </c>
      <c r="B37">
        <v>20202</v>
      </c>
      <c r="C37">
        <v>3326</v>
      </c>
      <c r="D37">
        <v>1324</v>
      </c>
      <c r="E37">
        <v>544</v>
      </c>
      <c r="F37">
        <v>92</v>
      </c>
      <c r="G37" s="10">
        <f t="shared" si="1"/>
        <v>16.355983162958509</v>
      </c>
    </row>
    <row r="38" spans="1:7">
      <c r="A38">
        <f t="shared" si="0"/>
        <v>2</v>
      </c>
      <c r="B38">
        <v>20203</v>
      </c>
      <c r="C38">
        <v>1326</v>
      </c>
      <c r="D38">
        <v>510</v>
      </c>
      <c r="E38">
        <v>216</v>
      </c>
      <c r="F38">
        <v>38</v>
      </c>
      <c r="G38" s="10">
        <f t="shared" si="1"/>
        <v>16.289592760180994</v>
      </c>
    </row>
    <row r="39" spans="1:7">
      <c r="A39">
        <f t="shared" si="0"/>
        <v>2</v>
      </c>
      <c r="B39">
        <v>20204</v>
      </c>
      <c r="C39">
        <v>2203</v>
      </c>
      <c r="D39">
        <v>828</v>
      </c>
      <c r="E39">
        <v>356</v>
      </c>
      <c r="F39">
        <v>58</v>
      </c>
      <c r="G39" s="10">
        <f t="shared" si="1"/>
        <v>16.159782115297322</v>
      </c>
    </row>
    <row r="40" spans="1:7">
      <c r="A40">
        <f t="shared" si="0"/>
        <v>2</v>
      </c>
      <c r="B40">
        <v>20205</v>
      </c>
      <c r="C40">
        <v>2753</v>
      </c>
      <c r="D40">
        <v>1244</v>
      </c>
      <c r="E40">
        <v>608</v>
      </c>
      <c r="F40">
        <v>136</v>
      </c>
      <c r="G40" s="10">
        <f t="shared" si="1"/>
        <v>22.084998183799492</v>
      </c>
    </row>
    <row r="41" spans="1:7">
      <c r="A41">
        <f t="shared" si="0"/>
        <v>2</v>
      </c>
      <c r="B41">
        <v>20206</v>
      </c>
      <c r="C41">
        <v>1180</v>
      </c>
      <c r="D41">
        <v>553</v>
      </c>
      <c r="E41">
        <v>258</v>
      </c>
      <c r="F41">
        <v>54</v>
      </c>
      <c r="G41" s="10">
        <f t="shared" si="1"/>
        <v>21.864406779661017</v>
      </c>
    </row>
    <row r="42" spans="1:7">
      <c r="A42">
        <f t="shared" si="0"/>
        <v>2</v>
      </c>
      <c r="B42">
        <v>20301</v>
      </c>
      <c r="C42">
        <v>2841</v>
      </c>
      <c r="D42">
        <v>1421</v>
      </c>
      <c r="E42">
        <v>759</v>
      </c>
      <c r="F42">
        <v>247</v>
      </c>
      <c r="G42" s="10">
        <f t="shared" si="1"/>
        <v>26.715945089757128</v>
      </c>
    </row>
    <row r="43" spans="1:7">
      <c r="A43">
        <f t="shared" si="0"/>
        <v>2</v>
      </c>
      <c r="B43">
        <v>20302</v>
      </c>
      <c r="C43">
        <v>3285</v>
      </c>
      <c r="D43">
        <v>1924</v>
      </c>
      <c r="E43">
        <v>987</v>
      </c>
      <c r="F43">
        <v>283</v>
      </c>
      <c r="G43" s="10">
        <f t="shared" si="1"/>
        <v>30.045662100456621</v>
      </c>
    </row>
    <row r="44" spans="1:7">
      <c r="A44">
        <f t="shared" si="0"/>
        <v>2</v>
      </c>
      <c r="B44">
        <v>20303</v>
      </c>
      <c r="C44">
        <v>1663</v>
      </c>
      <c r="D44">
        <v>1075</v>
      </c>
      <c r="E44">
        <v>560</v>
      </c>
      <c r="F44">
        <v>138</v>
      </c>
      <c r="G44" s="10">
        <f t="shared" si="1"/>
        <v>33.674082982561636</v>
      </c>
    </row>
    <row r="45" spans="1:7">
      <c r="A45">
        <f t="shared" si="0"/>
        <v>2</v>
      </c>
      <c r="B45">
        <v>20304</v>
      </c>
      <c r="C45">
        <v>1168</v>
      </c>
      <c r="D45">
        <v>611</v>
      </c>
      <c r="E45">
        <v>306</v>
      </c>
      <c r="F45">
        <v>98</v>
      </c>
      <c r="G45" s="10">
        <f t="shared" si="1"/>
        <v>26.198630136986303</v>
      </c>
    </row>
    <row r="46" spans="1:7">
      <c r="A46">
        <f t="shared" si="0"/>
        <v>2</v>
      </c>
      <c r="B46">
        <v>20305</v>
      </c>
      <c r="C46">
        <v>398</v>
      </c>
      <c r="D46">
        <v>152</v>
      </c>
      <c r="E46">
        <v>65</v>
      </c>
      <c r="F46">
        <v>20</v>
      </c>
      <c r="G46" s="10">
        <f t="shared" si="1"/>
        <v>16.331658291457288</v>
      </c>
    </row>
    <row r="47" spans="1:7">
      <c r="A47">
        <f t="shared" si="0"/>
        <v>2</v>
      </c>
      <c r="B47">
        <v>20307</v>
      </c>
      <c r="C47">
        <v>104</v>
      </c>
      <c r="D47">
        <v>56</v>
      </c>
      <c r="E47">
        <v>24</v>
      </c>
      <c r="F47">
        <v>7</v>
      </c>
      <c r="G47" s="10">
        <f t="shared" si="1"/>
        <v>23.076923076923077</v>
      </c>
    </row>
    <row r="48" spans="1:7">
      <c r="A48">
        <f t="shared" si="0"/>
        <v>2</v>
      </c>
      <c r="B48">
        <v>20308</v>
      </c>
      <c r="C48">
        <v>1510</v>
      </c>
      <c r="D48">
        <v>972</v>
      </c>
      <c r="E48">
        <v>526</v>
      </c>
      <c r="F48">
        <v>115</v>
      </c>
      <c r="G48" s="10">
        <f t="shared" si="1"/>
        <v>34.834437086092713</v>
      </c>
    </row>
    <row r="49" spans="1:7">
      <c r="A49">
        <f t="shared" si="0"/>
        <v>2</v>
      </c>
      <c r="B49">
        <v>20401</v>
      </c>
      <c r="C49">
        <v>3885</v>
      </c>
      <c r="D49">
        <v>1601</v>
      </c>
      <c r="E49">
        <v>618</v>
      </c>
      <c r="F49">
        <v>96</v>
      </c>
      <c r="G49" s="10">
        <f t="shared" si="1"/>
        <v>15.907335907335908</v>
      </c>
    </row>
    <row r="50" spans="1:7">
      <c r="A50">
        <f t="shared" si="0"/>
        <v>2</v>
      </c>
      <c r="B50">
        <v>20402</v>
      </c>
      <c r="C50">
        <v>2950</v>
      </c>
      <c r="D50">
        <v>1106</v>
      </c>
      <c r="E50">
        <v>401</v>
      </c>
      <c r="F50">
        <v>56</v>
      </c>
      <c r="G50" s="10">
        <f t="shared" si="1"/>
        <v>13.59322033898305</v>
      </c>
    </row>
    <row r="51" spans="1:7">
      <c r="A51">
        <f t="shared" si="0"/>
        <v>2</v>
      </c>
      <c r="B51">
        <v>20403</v>
      </c>
      <c r="C51">
        <v>3471</v>
      </c>
      <c r="D51">
        <v>1294</v>
      </c>
      <c r="E51">
        <v>481</v>
      </c>
      <c r="F51">
        <v>71</v>
      </c>
      <c r="G51" s="10">
        <f t="shared" si="1"/>
        <v>13.857677902621722</v>
      </c>
    </row>
    <row r="52" spans="1:7">
      <c r="A52">
        <f t="shared" si="0"/>
        <v>2</v>
      </c>
      <c r="B52">
        <v>20404</v>
      </c>
      <c r="C52">
        <v>1139</v>
      </c>
      <c r="D52">
        <v>352</v>
      </c>
      <c r="E52">
        <v>114</v>
      </c>
      <c r="F52">
        <v>14</v>
      </c>
      <c r="G52" s="10">
        <f t="shared" si="1"/>
        <v>10.008779631255488</v>
      </c>
    </row>
    <row r="53" spans="1:7">
      <c r="A53">
        <f t="shared" si="0"/>
        <v>2</v>
      </c>
      <c r="B53">
        <v>20405</v>
      </c>
      <c r="C53">
        <v>2121</v>
      </c>
      <c r="D53">
        <v>764</v>
      </c>
      <c r="E53">
        <v>230</v>
      </c>
      <c r="F53">
        <v>34</v>
      </c>
      <c r="G53" s="10">
        <f t="shared" si="1"/>
        <v>10.843941537010844</v>
      </c>
    </row>
    <row r="54" spans="1:7">
      <c r="A54">
        <f t="shared" si="0"/>
        <v>2</v>
      </c>
      <c r="B54">
        <v>20501</v>
      </c>
      <c r="C54">
        <v>3404</v>
      </c>
      <c r="D54">
        <v>1147</v>
      </c>
      <c r="E54">
        <v>463</v>
      </c>
      <c r="F54">
        <v>75</v>
      </c>
      <c r="G54" s="10">
        <f t="shared" si="1"/>
        <v>13.601645123384253</v>
      </c>
    </row>
    <row r="55" spans="1:7">
      <c r="A55">
        <f t="shared" si="0"/>
        <v>2</v>
      </c>
      <c r="B55">
        <v>20502</v>
      </c>
      <c r="C55">
        <v>1519</v>
      </c>
      <c r="D55">
        <v>525</v>
      </c>
      <c r="E55">
        <v>197</v>
      </c>
      <c r="F55">
        <v>28</v>
      </c>
      <c r="G55" s="10">
        <f t="shared" si="1"/>
        <v>12.969058591178406</v>
      </c>
    </row>
    <row r="56" spans="1:7">
      <c r="A56">
        <f t="shared" si="0"/>
        <v>2</v>
      </c>
      <c r="B56">
        <v>20503</v>
      </c>
      <c r="C56">
        <v>1244</v>
      </c>
      <c r="D56">
        <v>313</v>
      </c>
      <c r="E56">
        <v>108</v>
      </c>
      <c r="F56">
        <v>26</v>
      </c>
      <c r="G56" s="10">
        <f t="shared" si="1"/>
        <v>8.6816720257234721</v>
      </c>
    </row>
    <row r="57" spans="1:7">
      <c r="A57">
        <f t="shared" si="0"/>
        <v>2</v>
      </c>
      <c r="B57">
        <v>20601</v>
      </c>
      <c r="C57">
        <v>6772</v>
      </c>
      <c r="D57">
        <v>2010</v>
      </c>
      <c r="E57">
        <v>799</v>
      </c>
      <c r="F57">
        <v>143</v>
      </c>
      <c r="G57" s="10">
        <f t="shared" si="1"/>
        <v>11.798582398109865</v>
      </c>
    </row>
    <row r="58" spans="1:7">
      <c r="A58">
        <f t="shared" si="0"/>
        <v>2</v>
      </c>
      <c r="B58">
        <v>20602</v>
      </c>
      <c r="C58">
        <v>3116</v>
      </c>
      <c r="D58">
        <v>437</v>
      </c>
      <c r="E58">
        <v>96</v>
      </c>
      <c r="F58">
        <v>25</v>
      </c>
      <c r="G58" s="10">
        <f t="shared" si="1"/>
        <v>3.0808729139922977</v>
      </c>
    </row>
    <row r="59" spans="1:7">
      <c r="A59">
        <f t="shared" si="0"/>
        <v>2</v>
      </c>
      <c r="B59">
        <v>20603</v>
      </c>
      <c r="C59">
        <v>1865</v>
      </c>
      <c r="D59">
        <v>530</v>
      </c>
      <c r="E59">
        <v>241</v>
      </c>
      <c r="F59">
        <v>67</v>
      </c>
      <c r="G59" s="10">
        <f t="shared" si="1"/>
        <v>12.922252010723861</v>
      </c>
    </row>
    <row r="60" spans="1:7">
      <c r="A60">
        <f t="shared" si="0"/>
        <v>2</v>
      </c>
      <c r="B60">
        <v>20604</v>
      </c>
      <c r="C60">
        <v>791</v>
      </c>
      <c r="D60">
        <v>226</v>
      </c>
      <c r="E60">
        <v>74</v>
      </c>
      <c r="F60">
        <v>17</v>
      </c>
      <c r="G60" s="10">
        <f t="shared" si="1"/>
        <v>9.3552465233881161</v>
      </c>
    </row>
    <row r="61" spans="1:7">
      <c r="A61">
        <f t="shared" si="0"/>
        <v>2</v>
      </c>
      <c r="B61">
        <v>20605</v>
      </c>
      <c r="C61">
        <v>586</v>
      </c>
      <c r="D61">
        <v>240</v>
      </c>
      <c r="E61">
        <v>101</v>
      </c>
      <c r="F61">
        <v>18</v>
      </c>
      <c r="G61" s="10">
        <f t="shared" si="1"/>
        <v>17.235494880546074</v>
      </c>
    </row>
    <row r="62" spans="1:7">
      <c r="A62">
        <f t="shared" si="0"/>
        <v>2</v>
      </c>
      <c r="B62">
        <v>20606</v>
      </c>
      <c r="C62">
        <v>2270</v>
      </c>
      <c r="D62">
        <v>492</v>
      </c>
      <c r="E62">
        <v>134</v>
      </c>
      <c r="F62">
        <v>18</v>
      </c>
      <c r="G62" s="10">
        <f t="shared" si="1"/>
        <v>5.9030837004405283</v>
      </c>
    </row>
    <row r="63" spans="1:7">
      <c r="A63">
        <f t="shared" si="0"/>
        <v>2</v>
      </c>
      <c r="B63">
        <v>20607</v>
      </c>
      <c r="C63">
        <v>3570</v>
      </c>
      <c r="D63">
        <v>448</v>
      </c>
      <c r="E63">
        <v>155</v>
      </c>
      <c r="F63">
        <v>40</v>
      </c>
      <c r="G63" s="10">
        <f t="shared" si="1"/>
        <v>4.3417366946778708</v>
      </c>
    </row>
    <row r="64" spans="1:7">
      <c r="A64">
        <f t="shared" si="0"/>
        <v>2</v>
      </c>
      <c r="B64">
        <v>20608</v>
      </c>
      <c r="C64">
        <v>2454</v>
      </c>
      <c r="D64">
        <v>541</v>
      </c>
      <c r="E64">
        <v>232</v>
      </c>
      <c r="F64">
        <v>66</v>
      </c>
      <c r="G64" s="10">
        <f t="shared" si="1"/>
        <v>9.4539527302363489</v>
      </c>
    </row>
    <row r="65" spans="1:7">
      <c r="A65">
        <f t="shared" si="0"/>
        <v>2</v>
      </c>
      <c r="B65">
        <v>20701</v>
      </c>
      <c r="C65">
        <v>4164</v>
      </c>
      <c r="D65">
        <v>824</v>
      </c>
      <c r="E65">
        <v>315</v>
      </c>
      <c r="F65">
        <v>79</v>
      </c>
      <c r="G65" s="10">
        <f t="shared" si="1"/>
        <v>7.5648414985590779</v>
      </c>
    </row>
    <row r="66" spans="1:7">
      <c r="A66">
        <f t="shared" si="0"/>
        <v>2</v>
      </c>
      <c r="B66">
        <v>20702</v>
      </c>
      <c r="C66">
        <v>1659</v>
      </c>
      <c r="D66">
        <v>541</v>
      </c>
      <c r="E66">
        <v>166</v>
      </c>
      <c r="F66">
        <v>32</v>
      </c>
      <c r="G66" s="10">
        <f t="shared" si="1"/>
        <v>10.006027727546716</v>
      </c>
    </row>
    <row r="67" spans="1:7">
      <c r="A67">
        <f t="shared" ref="A67:A130" si="3">VALUE(MID(B67,1,1))</f>
        <v>2</v>
      </c>
      <c r="B67">
        <v>20801</v>
      </c>
      <c r="C67">
        <v>40390</v>
      </c>
      <c r="D67">
        <v>11966</v>
      </c>
      <c r="E67">
        <v>6469</v>
      </c>
      <c r="F67">
        <v>1824</v>
      </c>
      <c r="G67" s="10">
        <f t="shared" ref="G67:G130" si="4">100*E67/C67</f>
        <v>16.016340678385738</v>
      </c>
    </row>
    <row r="68" spans="1:7">
      <c r="A68">
        <f t="shared" si="3"/>
        <v>2</v>
      </c>
      <c r="B68">
        <v>20802</v>
      </c>
      <c r="C68">
        <v>2627</v>
      </c>
      <c r="D68">
        <v>1110</v>
      </c>
      <c r="E68">
        <v>525</v>
      </c>
      <c r="F68">
        <v>141</v>
      </c>
      <c r="G68" s="10">
        <f t="shared" si="4"/>
        <v>19.984773505900268</v>
      </c>
    </row>
    <row r="69" spans="1:7">
      <c r="A69">
        <f t="shared" si="3"/>
        <v>2</v>
      </c>
      <c r="B69">
        <v>20803</v>
      </c>
      <c r="C69">
        <v>3110</v>
      </c>
      <c r="D69">
        <v>1135</v>
      </c>
      <c r="E69">
        <v>546</v>
      </c>
      <c r="F69">
        <v>205</v>
      </c>
      <c r="G69" s="10">
        <f t="shared" si="4"/>
        <v>17.556270096463024</v>
      </c>
    </row>
    <row r="70" spans="1:7">
      <c r="A70">
        <f t="shared" si="3"/>
        <v>2</v>
      </c>
      <c r="B70">
        <v>20804</v>
      </c>
      <c r="C70">
        <v>2173</v>
      </c>
      <c r="D70">
        <v>579</v>
      </c>
      <c r="E70">
        <v>258</v>
      </c>
      <c r="F70">
        <v>67</v>
      </c>
      <c r="G70" s="10">
        <f t="shared" si="4"/>
        <v>11.872986654394845</v>
      </c>
    </row>
    <row r="71" spans="1:7">
      <c r="A71">
        <f t="shared" si="3"/>
        <v>2</v>
      </c>
      <c r="B71">
        <v>20807</v>
      </c>
      <c r="C71">
        <v>1731</v>
      </c>
      <c r="D71">
        <v>770</v>
      </c>
      <c r="E71">
        <v>366</v>
      </c>
      <c r="F71">
        <v>137</v>
      </c>
      <c r="G71" s="10">
        <f t="shared" si="4"/>
        <v>21.143847487001732</v>
      </c>
    </row>
    <row r="72" spans="1:7">
      <c r="A72">
        <f t="shared" si="3"/>
        <v>2</v>
      </c>
      <c r="B72">
        <v>20901</v>
      </c>
      <c r="C72">
        <v>2806</v>
      </c>
      <c r="D72">
        <v>742</v>
      </c>
      <c r="E72">
        <v>308</v>
      </c>
      <c r="F72">
        <v>63</v>
      </c>
      <c r="G72" s="10">
        <f t="shared" si="4"/>
        <v>10.976478973627939</v>
      </c>
    </row>
    <row r="73" spans="1:7">
      <c r="A73">
        <f t="shared" si="3"/>
        <v>2</v>
      </c>
      <c r="B73">
        <v>20902</v>
      </c>
      <c r="C73">
        <v>3518</v>
      </c>
      <c r="D73">
        <v>1090</v>
      </c>
      <c r="E73">
        <v>398</v>
      </c>
      <c r="F73">
        <v>79</v>
      </c>
      <c r="G73" s="10">
        <f t="shared" si="4"/>
        <v>11.313246162592382</v>
      </c>
    </row>
    <row r="74" spans="1:7">
      <c r="A74">
        <f t="shared" si="3"/>
        <v>2</v>
      </c>
      <c r="B74">
        <v>20903</v>
      </c>
      <c r="C74">
        <v>1598</v>
      </c>
      <c r="D74">
        <v>606</v>
      </c>
      <c r="E74">
        <v>231</v>
      </c>
      <c r="F74">
        <v>46</v>
      </c>
      <c r="G74" s="10">
        <f t="shared" si="4"/>
        <v>14.455569461827285</v>
      </c>
    </row>
    <row r="75" spans="1:7">
      <c r="A75">
        <f t="shared" si="3"/>
        <v>2</v>
      </c>
      <c r="B75">
        <v>20904</v>
      </c>
      <c r="C75">
        <v>252</v>
      </c>
      <c r="D75">
        <v>84</v>
      </c>
      <c r="E75">
        <v>32</v>
      </c>
      <c r="F75">
        <v>3</v>
      </c>
      <c r="G75" s="10">
        <f t="shared" si="4"/>
        <v>12.698412698412698</v>
      </c>
    </row>
    <row r="76" spans="1:7">
      <c r="A76">
        <f t="shared" si="3"/>
        <v>2</v>
      </c>
      <c r="B76">
        <v>20905</v>
      </c>
      <c r="C76">
        <v>2002</v>
      </c>
      <c r="D76">
        <v>1062</v>
      </c>
      <c r="E76">
        <v>98</v>
      </c>
      <c r="F76">
        <v>17</v>
      </c>
      <c r="G76" s="10">
        <f t="shared" si="4"/>
        <v>4.895104895104895</v>
      </c>
    </row>
    <row r="77" spans="1:7">
      <c r="A77">
        <f t="shared" si="3"/>
        <v>2</v>
      </c>
      <c r="B77">
        <v>21001</v>
      </c>
      <c r="C77">
        <v>2635</v>
      </c>
      <c r="D77">
        <v>1061</v>
      </c>
      <c r="E77">
        <v>273</v>
      </c>
      <c r="F77">
        <v>54</v>
      </c>
      <c r="G77" s="10">
        <f t="shared" si="4"/>
        <v>10.360531309297913</v>
      </c>
    </row>
    <row r="78" spans="1:7">
      <c r="A78">
        <f t="shared" si="3"/>
        <v>2</v>
      </c>
      <c r="B78">
        <v>21002</v>
      </c>
      <c r="C78">
        <v>2110</v>
      </c>
      <c r="D78">
        <v>855</v>
      </c>
      <c r="E78">
        <v>177</v>
      </c>
      <c r="F78">
        <v>16</v>
      </c>
      <c r="G78" s="10">
        <f t="shared" si="4"/>
        <v>8.3886255924170623</v>
      </c>
    </row>
    <row r="79" spans="1:7">
      <c r="A79">
        <f t="shared" si="3"/>
        <v>2</v>
      </c>
      <c r="B79">
        <v>21003</v>
      </c>
      <c r="C79">
        <v>3257</v>
      </c>
      <c r="D79">
        <v>1806</v>
      </c>
      <c r="E79">
        <v>144</v>
      </c>
      <c r="F79">
        <v>9</v>
      </c>
      <c r="G79" s="10">
        <f t="shared" si="4"/>
        <v>4.4212465459011359</v>
      </c>
    </row>
    <row r="80" spans="1:7">
      <c r="A80">
        <f t="shared" si="3"/>
        <v>2</v>
      </c>
      <c r="B80">
        <v>21004</v>
      </c>
      <c r="C80">
        <v>1947</v>
      </c>
      <c r="D80">
        <v>931</v>
      </c>
      <c r="E80">
        <v>345</v>
      </c>
      <c r="F80">
        <v>104</v>
      </c>
      <c r="G80" s="10">
        <f t="shared" si="4"/>
        <v>17.719568567026194</v>
      </c>
    </row>
    <row r="81" spans="1:7">
      <c r="A81">
        <f t="shared" si="3"/>
        <v>2</v>
      </c>
      <c r="B81">
        <v>21005</v>
      </c>
      <c r="C81">
        <v>1077</v>
      </c>
      <c r="D81">
        <v>464</v>
      </c>
      <c r="E81">
        <v>144</v>
      </c>
      <c r="F81">
        <v>32</v>
      </c>
      <c r="G81" s="10">
        <f t="shared" si="4"/>
        <v>13.370473537604457</v>
      </c>
    </row>
    <row r="82" spans="1:7">
      <c r="A82">
        <f t="shared" si="3"/>
        <v>2</v>
      </c>
      <c r="B82">
        <v>21006</v>
      </c>
      <c r="C82">
        <v>790</v>
      </c>
      <c r="D82">
        <v>321</v>
      </c>
      <c r="E82">
        <v>65</v>
      </c>
      <c r="F82">
        <v>12</v>
      </c>
      <c r="G82" s="10">
        <f t="shared" si="4"/>
        <v>8.2278481012658222</v>
      </c>
    </row>
    <row r="83" spans="1:7">
      <c r="A83">
        <f t="shared" si="3"/>
        <v>2</v>
      </c>
      <c r="B83">
        <v>21101</v>
      </c>
      <c r="C83">
        <v>5678</v>
      </c>
      <c r="D83">
        <v>1087</v>
      </c>
      <c r="E83">
        <v>385</v>
      </c>
      <c r="F83">
        <v>93</v>
      </c>
      <c r="G83" s="10">
        <f t="shared" si="4"/>
        <v>6.7805565339908416</v>
      </c>
    </row>
    <row r="84" spans="1:7">
      <c r="A84">
        <f t="shared" si="3"/>
        <v>2</v>
      </c>
      <c r="B84">
        <v>21102</v>
      </c>
      <c r="C84">
        <v>5368</v>
      </c>
      <c r="D84">
        <v>1176</v>
      </c>
      <c r="E84">
        <v>417</v>
      </c>
      <c r="F84">
        <v>94</v>
      </c>
      <c r="G84" s="10">
        <f t="shared" si="4"/>
        <v>7.7682563338301041</v>
      </c>
    </row>
    <row r="85" spans="1:7">
      <c r="A85">
        <f t="shared" si="3"/>
        <v>2</v>
      </c>
      <c r="B85">
        <v>21103</v>
      </c>
      <c r="C85">
        <v>1431</v>
      </c>
      <c r="D85">
        <v>349</v>
      </c>
      <c r="E85">
        <v>124</v>
      </c>
      <c r="F85">
        <v>28</v>
      </c>
      <c r="G85" s="10">
        <f t="shared" si="4"/>
        <v>8.6652690426275338</v>
      </c>
    </row>
    <row r="86" spans="1:7">
      <c r="A86">
        <f t="shared" si="3"/>
        <v>2</v>
      </c>
      <c r="B86">
        <v>21104</v>
      </c>
      <c r="C86">
        <v>6488</v>
      </c>
      <c r="D86">
        <v>1333</v>
      </c>
      <c r="E86">
        <v>559</v>
      </c>
      <c r="F86">
        <v>165</v>
      </c>
      <c r="G86" s="10">
        <f t="shared" si="4"/>
        <v>8.6159062885326758</v>
      </c>
    </row>
    <row r="87" spans="1:7">
      <c r="A87">
        <f t="shared" si="3"/>
        <v>2</v>
      </c>
      <c r="B87">
        <v>21105</v>
      </c>
      <c r="C87">
        <v>11847</v>
      </c>
      <c r="D87">
        <v>2455</v>
      </c>
      <c r="E87">
        <v>875</v>
      </c>
      <c r="F87">
        <v>211</v>
      </c>
      <c r="G87" s="10">
        <f t="shared" si="4"/>
        <v>7.3858360766438764</v>
      </c>
    </row>
    <row r="88" spans="1:7">
      <c r="A88">
        <f t="shared" si="3"/>
        <v>2</v>
      </c>
      <c r="B88">
        <v>21201</v>
      </c>
      <c r="C88">
        <v>28597</v>
      </c>
      <c r="D88">
        <v>10938</v>
      </c>
      <c r="E88">
        <v>4395</v>
      </c>
      <c r="F88">
        <v>978</v>
      </c>
      <c r="G88" s="10">
        <f t="shared" si="4"/>
        <v>15.368744973248942</v>
      </c>
    </row>
    <row r="89" spans="1:7">
      <c r="A89">
        <f t="shared" si="3"/>
        <v>2</v>
      </c>
      <c r="B89">
        <v>21202</v>
      </c>
      <c r="C89">
        <v>8171</v>
      </c>
      <c r="D89">
        <v>3027</v>
      </c>
      <c r="E89">
        <v>1568</v>
      </c>
      <c r="F89">
        <v>431</v>
      </c>
      <c r="G89" s="10">
        <f t="shared" si="4"/>
        <v>19.189817647778728</v>
      </c>
    </row>
    <row r="90" spans="1:7">
      <c r="A90">
        <f t="shared" si="3"/>
        <v>2</v>
      </c>
      <c r="B90">
        <v>21203</v>
      </c>
      <c r="C90">
        <v>5010</v>
      </c>
      <c r="D90">
        <v>1470</v>
      </c>
      <c r="E90">
        <v>630</v>
      </c>
      <c r="F90">
        <v>155</v>
      </c>
      <c r="G90" s="10">
        <f t="shared" si="4"/>
        <v>12.574850299401197</v>
      </c>
    </row>
    <row r="91" spans="1:7">
      <c r="A91">
        <f t="shared" si="3"/>
        <v>2</v>
      </c>
      <c r="B91">
        <v>21301</v>
      </c>
      <c r="C91">
        <v>5874</v>
      </c>
      <c r="D91">
        <v>2028</v>
      </c>
      <c r="E91">
        <v>788</v>
      </c>
      <c r="F91">
        <v>146</v>
      </c>
      <c r="G91" s="10">
        <f t="shared" si="4"/>
        <v>13.41504937010555</v>
      </c>
    </row>
    <row r="92" spans="1:7">
      <c r="A92">
        <f t="shared" si="3"/>
        <v>2</v>
      </c>
      <c r="B92">
        <v>21302</v>
      </c>
      <c r="C92">
        <v>2447</v>
      </c>
      <c r="D92">
        <v>1384</v>
      </c>
      <c r="E92">
        <v>688</v>
      </c>
      <c r="F92">
        <v>154</v>
      </c>
      <c r="G92" s="10">
        <f t="shared" si="4"/>
        <v>28.11606048222313</v>
      </c>
    </row>
    <row r="93" spans="1:7">
      <c r="A93">
        <f t="shared" si="3"/>
        <v>2</v>
      </c>
      <c r="B93">
        <v>21303</v>
      </c>
      <c r="C93">
        <v>2053</v>
      </c>
      <c r="D93">
        <v>850</v>
      </c>
      <c r="E93">
        <v>395</v>
      </c>
      <c r="F93">
        <v>117</v>
      </c>
      <c r="G93" s="10">
        <f t="shared" si="4"/>
        <v>19.240136385776911</v>
      </c>
    </row>
    <row r="94" spans="1:7">
      <c r="A94">
        <f t="shared" si="3"/>
        <v>2</v>
      </c>
      <c r="B94">
        <v>21304</v>
      </c>
      <c r="C94">
        <v>3131</v>
      </c>
      <c r="D94">
        <v>1171</v>
      </c>
      <c r="E94">
        <v>565</v>
      </c>
      <c r="F94">
        <v>147</v>
      </c>
      <c r="G94" s="10">
        <f t="shared" si="4"/>
        <v>18.045352922389014</v>
      </c>
    </row>
    <row r="95" spans="1:7">
      <c r="A95">
        <f t="shared" si="3"/>
        <v>2</v>
      </c>
      <c r="B95">
        <v>21305</v>
      </c>
      <c r="C95">
        <v>7201</v>
      </c>
      <c r="D95">
        <v>1830</v>
      </c>
      <c r="E95">
        <v>756</v>
      </c>
      <c r="F95">
        <v>151</v>
      </c>
      <c r="G95" s="10">
        <f t="shared" si="4"/>
        <v>10.498541869184836</v>
      </c>
    </row>
    <row r="96" spans="1:7">
      <c r="A96">
        <f t="shared" si="3"/>
        <v>2</v>
      </c>
      <c r="B96">
        <v>21306</v>
      </c>
      <c r="C96">
        <v>2142</v>
      </c>
      <c r="D96">
        <v>631</v>
      </c>
      <c r="E96">
        <v>302</v>
      </c>
      <c r="F96">
        <v>106</v>
      </c>
      <c r="G96" s="10">
        <f t="shared" si="4"/>
        <v>14.098972922502334</v>
      </c>
    </row>
    <row r="97" spans="1:7">
      <c r="A97">
        <f t="shared" si="3"/>
        <v>2</v>
      </c>
      <c r="B97">
        <v>21307</v>
      </c>
      <c r="C97">
        <v>656</v>
      </c>
      <c r="D97">
        <v>226</v>
      </c>
      <c r="E97">
        <v>90</v>
      </c>
      <c r="F97">
        <v>31</v>
      </c>
      <c r="G97" s="10">
        <f t="shared" si="4"/>
        <v>13.719512195121951</v>
      </c>
    </row>
    <row r="98" spans="1:7">
      <c r="A98">
        <f t="shared" si="3"/>
        <v>2</v>
      </c>
      <c r="B98">
        <v>21401</v>
      </c>
      <c r="C98">
        <v>6635</v>
      </c>
      <c r="D98">
        <v>1414</v>
      </c>
      <c r="E98">
        <v>532</v>
      </c>
      <c r="F98">
        <v>138</v>
      </c>
      <c r="G98" s="10">
        <f t="shared" si="4"/>
        <v>8.0180859080633002</v>
      </c>
    </row>
    <row r="99" spans="1:7">
      <c r="A99">
        <f t="shared" si="3"/>
        <v>2</v>
      </c>
      <c r="B99">
        <v>21402</v>
      </c>
      <c r="C99">
        <v>5147</v>
      </c>
      <c r="D99">
        <v>888</v>
      </c>
      <c r="E99">
        <v>352</v>
      </c>
      <c r="F99">
        <v>79</v>
      </c>
      <c r="G99" s="10">
        <f t="shared" si="4"/>
        <v>6.8389353021177381</v>
      </c>
    </row>
    <row r="100" spans="1:7">
      <c r="A100">
        <f t="shared" si="3"/>
        <v>2</v>
      </c>
      <c r="B100">
        <v>21501</v>
      </c>
      <c r="C100">
        <v>1449</v>
      </c>
      <c r="D100">
        <v>183</v>
      </c>
      <c r="E100">
        <v>53</v>
      </c>
      <c r="F100">
        <v>6</v>
      </c>
      <c r="G100" s="10">
        <f t="shared" si="4"/>
        <v>3.6576949620427883</v>
      </c>
    </row>
    <row r="101" spans="1:7">
      <c r="A101">
        <f t="shared" si="3"/>
        <v>2</v>
      </c>
      <c r="B101">
        <v>21502</v>
      </c>
      <c r="C101">
        <v>2144</v>
      </c>
      <c r="D101">
        <v>264</v>
      </c>
      <c r="E101">
        <v>50</v>
      </c>
      <c r="F101">
        <v>9</v>
      </c>
      <c r="G101" s="10">
        <f t="shared" si="4"/>
        <v>2.3320895522388061</v>
      </c>
    </row>
    <row r="102" spans="1:7">
      <c r="A102">
        <f t="shared" si="3"/>
        <v>2</v>
      </c>
      <c r="B102">
        <v>21601</v>
      </c>
      <c r="C102">
        <v>2440</v>
      </c>
      <c r="D102">
        <v>716</v>
      </c>
      <c r="E102">
        <v>294</v>
      </c>
      <c r="F102">
        <v>63</v>
      </c>
      <c r="G102" s="10">
        <f t="shared" si="4"/>
        <v>12.049180327868852</v>
      </c>
    </row>
    <row r="103" spans="1:7">
      <c r="A103">
        <f t="shared" si="3"/>
        <v>2</v>
      </c>
      <c r="B103">
        <v>21602</v>
      </c>
      <c r="C103">
        <v>552</v>
      </c>
      <c r="D103">
        <v>207</v>
      </c>
      <c r="E103">
        <v>70</v>
      </c>
      <c r="F103">
        <v>23</v>
      </c>
      <c r="G103" s="10">
        <f t="shared" si="4"/>
        <v>12.681159420289855</v>
      </c>
    </row>
    <row r="104" spans="1:7">
      <c r="A104">
        <f t="shared" si="3"/>
        <v>2</v>
      </c>
      <c r="B104">
        <v>21701</v>
      </c>
      <c r="C104">
        <v>5226</v>
      </c>
      <c r="D104">
        <v>1573</v>
      </c>
      <c r="E104">
        <v>659</v>
      </c>
      <c r="F104">
        <v>121</v>
      </c>
      <c r="G104" s="10">
        <f t="shared" si="4"/>
        <v>12.610026789131267</v>
      </c>
    </row>
    <row r="105" spans="1:7">
      <c r="A105">
        <f t="shared" si="3"/>
        <v>2</v>
      </c>
      <c r="B105">
        <v>21702</v>
      </c>
      <c r="C105">
        <v>1557</v>
      </c>
      <c r="D105">
        <v>657</v>
      </c>
      <c r="E105">
        <v>283</v>
      </c>
      <c r="F105">
        <v>59</v>
      </c>
      <c r="G105" s="10">
        <f t="shared" si="4"/>
        <v>18.175979447655749</v>
      </c>
    </row>
    <row r="106" spans="1:7">
      <c r="A106">
        <f t="shared" si="3"/>
        <v>2</v>
      </c>
      <c r="B106">
        <v>21703</v>
      </c>
      <c r="C106">
        <v>514</v>
      </c>
      <c r="D106">
        <v>231</v>
      </c>
      <c r="E106">
        <v>89</v>
      </c>
      <c r="F106">
        <v>17</v>
      </c>
      <c r="G106" s="10">
        <f t="shared" si="4"/>
        <v>17.315175097276263</v>
      </c>
    </row>
    <row r="107" spans="1:7">
      <c r="A107">
        <f t="shared" si="3"/>
        <v>2</v>
      </c>
      <c r="B107">
        <v>21801</v>
      </c>
      <c r="C107">
        <v>1501</v>
      </c>
      <c r="D107">
        <v>773</v>
      </c>
      <c r="E107">
        <v>324</v>
      </c>
      <c r="F107">
        <v>83</v>
      </c>
      <c r="G107" s="10">
        <f t="shared" si="4"/>
        <v>21.585609593604264</v>
      </c>
    </row>
    <row r="108" spans="1:7">
      <c r="A108">
        <f t="shared" si="3"/>
        <v>2</v>
      </c>
      <c r="B108">
        <v>21802</v>
      </c>
      <c r="C108">
        <v>1343</v>
      </c>
      <c r="D108">
        <v>695</v>
      </c>
      <c r="E108">
        <v>290</v>
      </c>
      <c r="F108">
        <v>79</v>
      </c>
      <c r="G108" s="10">
        <f t="shared" si="4"/>
        <v>21.593447505584511</v>
      </c>
    </row>
    <row r="109" spans="1:7">
      <c r="A109">
        <f t="shared" si="3"/>
        <v>2</v>
      </c>
      <c r="B109">
        <v>21803</v>
      </c>
      <c r="C109">
        <v>327</v>
      </c>
      <c r="D109">
        <v>171</v>
      </c>
      <c r="E109">
        <v>75</v>
      </c>
      <c r="F109">
        <v>20</v>
      </c>
      <c r="G109" s="10">
        <f t="shared" si="4"/>
        <v>22.935779816513762</v>
      </c>
    </row>
    <row r="110" spans="1:7">
      <c r="A110">
        <f t="shared" si="3"/>
        <v>2</v>
      </c>
      <c r="B110">
        <v>21901</v>
      </c>
      <c r="C110">
        <v>1695</v>
      </c>
      <c r="D110">
        <v>857</v>
      </c>
      <c r="E110">
        <v>386</v>
      </c>
      <c r="F110">
        <v>94</v>
      </c>
      <c r="G110" s="10">
        <f t="shared" si="4"/>
        <v>22.772861356932154</v>
      </c>
    </row>
    <row r="111" spans="1:7">
      <c r="A111">
        <f t="shared" si="3"/>
        <v>2</v>
      </c>
      <c r="B111">
        <v>21902</v>
      </c>
      <c r="C111">
        <v>284</v>
      </c>
      <c r="D111">
        <v>123</v>
      </c>
      <c r="E111">
        <v>44</v>
      </c>
      <c r="F111">
        <v>6</v>
      </c>
      <c r="G111" s="10">
        <f t="shared" si="4"/>
        <v>15.492957746478874</v>
      </c>
    </row>
    <row r="112" spans="1:7">
      <c r="A112">
        <f t="shared" si="3"/>
        <v>2</v>
      </c>
      <c r="B112">
        <v>22001</v>
      </c>
      <c r="C112">
        <v>14439</v>
      </c>
      <c r="D112">
        <v>4413</v>
      </c>
      <c r="E112">
        <v>2009</v>
      </c>
      <c r="F112">
        <v>595</v>
      </c>
      <c r="G112" s="10">
        <f t="shared" si="4"/>
        <v>13.913705935314081</v>
      </c>
    </row>
    <row r="113" spans="1:7">
      <c r="A113">
        <f t="shared" si="3"/>
        <v>2</v>
      </c>
      <c r="B113">
        <v>22002</v>
      </c>
      <c r="C113">
        <v>2232</v>
      </c>
      <c r="D113">
        <v>536</v>
      </c>
      <c r="E113">
        <v>234</v>
      </c>
      <c r="F113">
        <v>80</v>
      </c>
      <c r="G113" s="10">
        <f t="shared" si="4"/>
        <v>10.483870967741936</v>
      </c>
    </row>
    <row r="114" spans="1:7">
      <c r="A114">
        <f t="shared" si="3"/>
        <v>3</v>
      </c>
      <c r="B114">
        <v>30101</v>
      </c>
      <c r="C114">
        <v>261402</v>
      </c>
      <c r="D114">
        <v>38152</v>
      </c>
      <c r="E114">
        <v>14720</v>
      </c>
      <c r="F114">
        <v>4292</v>
      </c>
      <c r="G114" s="10">
        <f t="shared" si="4"/>
        <v>5.6311734416722139</v>
      </c>
    </row>
    <row r="115" spans="1:7">
      <c r="A115">
        <f t="shared" si="3"/>
        <v>3</v>
      </c>
      <c r="B115">
        <v>30201</v>
      </c>
      <c r="C115">
        <v>5126</v>
      </c>
      <c r="D115">
        <v>1002</v>
      </c>
      <c r="E115">
        <v>364</v>
      </c>
      <c r="F115">
        <v>64</v>
      </c>
      <c r="G115" s="10">
        <f t="shared" si="4"/>
        <v>7.1010534529847833</v>
      </c>
    </row>
    <row r="116" spans="1:7">
      <c r="A116">
        <f t="shared" si="3"/>
        <v>3</v>
      </c>
      <c r="B116">
        <v>30202</v>
      </c>
      <c r="C116">
        <v>618</v>
      </c>
      <c r="D116">
        <v>152</v>
      </c>
      <c r="E116">
        <v>70</v>
      </c>
      <c r="F116">
        <v>13</v>
      </c>
      <c r="G116" s="10">
        <f t="shared" si="4"/>
        <v>11.326860841423947</v>
      </c>
    </row>
    <row r="117" spans="1:7">
      <c r="A117">
        <f t="shared" si="3"/>
        <v>3</v>
      </c>
      <c r="B117">
        <v>30203</v>
      </c>
      <c r="C117">
        <v>1491</v>
      </c>
      <c r="D117">
        <v>326</v>
      </c>
      <c r="E117">
        <v>127</v>
      </c>
      <c r="F117">
        <v>31</v>
      </c>
      <c r="G117" s="10">
        <f t="shared" si="4"/>
        <v>8.5177733065057009</v>
      </c>
    </row>
    <row r="118" spans="1:7">
      <c r="A118">
        <f t="shared" si="3"/>
        <v>3</v>
      </c>
      <c r="B118">
        <v>30301</v>
      </c>
      <c r="C118">
        <v>3867</v>
      </c>
      <c r="D118">
        <v>1491</v>
      </c>
      <c r="E118">
        <v>656</v>
      </c>
      <c r="F118">
        <v>169</v>
      </c>
      <c r="G118" s="10">
        <f t="shared" si="4"/>
        <v>16.964054822860099</v>
      </c>
    </row>
    <row r="119" spans="1:7">
      <c r="A119">
        <f t="shared" si="3"/>
        <v>3</v>
      </c>
      <c r="B119">
        <v>30302</v>
      </c>
      <c r="C119">
        <v>2080</v>
      </c>
      <c r="D119">
        <v>758</v>
      </c>
      <c r="E119">
        <v>339</v>
      </c>
      <c r="F119">
        <v>88</v>
      </c>
      <c r="G119" s="10">
        <f t="shared" si="4"/>
        <v>16.298076923076923</v>
      </c>
    </row>
    <row r="120" spans="1:7">
      <c r="A120">
        <f t="shared" si="3"/>
        <v>3</v>
      </c>
      <c r="B120">
        <v>30303</v>
      </c>
      <c r="C120">
        <v>2339</v>
      </c>
      <c r="D120">
        <v>821</v>
      </c>
      <c r="E120">
        <v>247</v>
      </c>
      <c r="F120">
        <v>51</v>
      </c>
      <c r="G120" s="10">
        <f t="shared" si="4"/>
        <v>10.560068405301411</v>
      </c>
    </row>
    <row r="121" spans="1:7">
      <c r="A121">
        <f t="shared" si="3"/>
        <v>3</v>
      </c>
      <c r="B121">
        <v>30401</v>
      </c>
      <c r="C121">
        <v>3019</v>
      </c>
      <c r="D121">
        <v>724</v>
      </c>
      <c r="E121">
        <v>345</v>
      </c>
      <c r="F121">
        <v>107</v>
      </c>
      <c r="G121" s="10">
        <f t="shared" si="4"/>
        <v>11.427625041404438</v>
      </c>
    </row>
    <row r="122" spans="1:7">
      <c r="A122">
        <f t="shared" si="3"/>
        <v>3</v>
      </c>
      <c r="B122">
        <v>30402</v>
      </c>
      <c r="C122">
        <v>1615</v>
      </c>
      <c r="D122">
        <v>668</v>
      </c>
      <c r="E122">
        <v>336</v>
      </c>
      <c r="F122">
        <v>76</v>
      </c>
      <c r="G122" s="10">
        <f t="shared" si="4"/>
        <v>20.804953560371516</v>
      </c>
    </row>
    <row r="123" spans="1:7">
      <c r="A123">
        <f t="shared" si="3"/>
        <v>3</v>
      </c>
      <c r="B123">
        <v>30403</v>
      </c>
      <c r="C123">
        <v>6091</v>
      </c>
      <c r="D123">
        <v>2198</v>
      </c>
      <c r="E123">
        <v>975</v>
      </c>
      <c r="F123">
        <v>318</v>
      </c>
      <c r="G123" s="10">
        <f t="shared" si="4"/>
        <v>16.007223772779511</v>
      </c>
    </row>
    <row r="124" spans="1:7">
      <c r="A124">
        <f t="shared" si="3"/>
        <v>3</v>
      </c>
      <c r="B124">
        <v>30404</v>
      </c>
      <c r="C124">
        <v>803</v>
      </c>
      <c r="D124">
        <v>330</v>
      </c>
      <c r="E124">
        <v>152</v>
      </c>
      <c r="F124">
        <v>32</v>
      </c>
      <c r="G124" s="10">
        <f t="shared" si="4"/>
        <v>18.929016189290163</v>
      </c>
    </row>
    <row r="125" spans="1:7">
      <c r="A125">
        <f t="shared" si="3"/>
        <v>3</v>
      </c>
      <c r="B125">
        <v>30501</v>
      </c>
      <c r="C125">
        <v>3984</v>
      </c>
      <c r="D125">
        <v>989</v>
      </c>
      <c r="E125">
        <v>506</v>
      </c>
      <c r="F125">
        <v>125</v>
      </c>
      <c r="G125" s="10">
        <f t="shared" si="4"/>
        <v>12.700803212851406</v>
      </c>
    </row>
    <row r="126" spans="1:7">
      <c r="A126">
        <f t="shared" si="3"/>
        <v>3</v>
      </c>
      <c r="B126">
        <v>30502</v>
      </c>
      <c r="C126">
        <v>2662</v>
      </c>
      <c r="D126">
        <v>1041</v>
      </c>
      <c r="E126">
        <v>514</v>
      </c>
      <c r="F126">
        <v>125</v>
      </c>
      <c r="G126" s="10">
        <f t="shared" si="4"/>
        <v>19.30879038317055</v>
      </c>
    </row>
    <row r="127" spans="1:7">
      <c r="A127">
        <f t="shared" si="3"/>
        <v>3</v>
      </c>
      <c r="B127">
        <v>30601</v>
      </c>
      <c r="C127">
        <v>1567</v>
      </c>
      <c r="D127">
        <v>680</v>
      </c>
      <c r="E127">
        <v>196</v>
      </c>
      <c r="F127">
        <v>46</v>
      </c>
      <c r="G127" s="10">
        <f t="shared" si="4"/>
        <v>12.507977026164646</v>
      </c>
    </row>
    <row r="128" spans="1:7">
      <c r="A128">
        <f t="shared" si="3"/>
        <v>3</v>
      </c>
      <c r="B128">
        <v>30602</v>
      </c>
      <c r="C128">
        <v>1995</v>
      </c>
      <c r="D128">
        <v>935</v>
      </c>
      <c r="E128">
        <v>395</v>
      </c>
      <c r="F128">
        <v>63</v>
      </c>
      <c r="G128" s="10">
        <f t="shared" si="4"/>
        <v>19.799498746867169</v>
      </c>
    </row>
    <row r="129" spans="1:7">
      <c r="A129">
        <f t="shared" si="3"/>
        <v>3</v>
      </c>
      <c r="B129">
        <v>30701</v>
      </c>
      <c r="C129">
        <v>5913</v>
      </c>
      <c r="D129">
        <v>1235</v>
      </c>
      <c r="E129">
        <v>492</v>
      </c>
      <c r="F129">
        <v>126</v>
      </c>
      <c r="G129" s="10">
        <f t="shared" si="4"/>
        <v>8.3206494165398279</v>
      </c>
    </row>
    <row r="130" spans="1:7">
      <c r="A130">
        <f t="shared" si="3"/>
        <v>3</v>
      </c>
      <c r="B130">
        <v>30702</v>
      </c>
      <c r="C130">
        <v>2613</v>
      </c>
      <c r="D130">
        <v>722</v>
      </c>
      <c r="E130">
        <v>393</v>
      </c>
      <c r="F130">
        <v>140</v>
      </c>
      <c r="G130" s="10">
        <f t="shared" si="4"/>
        <v>15.040183696900115</v>
      </c>
    </row>
    <row r="131" spans="1:7">
      <c r="A131">
        <f t="shared" ref="A131:A194" si="5">VALUE(MID(B131,1,1))</f>
        <v>3</v>
      </c>
      <c r="B131">
        <v>30703</v>
      </c>
      <c r="C131">
        <v>807</v>
      </c>
      <c r="D131">
        <v>186</v>
      </c>
      <c r="E131">
        <v>74</v>
      </c>
      <c r="F131">
        <v>17</v>
      </c>
      <c r="G131" s="10">
        <f t="shared" ref="G131:G194" si="6">100*E131/C131</f>
        <v>9.1697645600991322</v>
      </c>
    </row>
    <row r="132" spans="1:7">
      <c r="A132">
        <f t="shared" si="5"/>
        <v>3</v>
      </c>
      <c r="B132">
        <v>30801</v>
      </c>
      <c r="C132">
        <v>7512</v>
      </c>
      <c r="D132">
        <v>1639</v>
      </c>
      <c r="E132">
        <v>838</v>
      </c>
      <c r="F132">
        <v>268</v>
      </c>
      <c r="G132" s="10">
        <f t="shared" si="6"/>
        <v>11.155484558040468</v>
      </c>
    </row>
    <row r="133" spans="1:7">
      <c r="A133">
        <f t="shared" si="5"/>
        <v>3</v>
      </c>
      <c r="B133">
        <v>30802</v>
      </c>
      <c r="C133">
        <v>1911</v>
      </c>
      <c r="D133">
        <v>506</v>
      </c>
      <c r="E133">
        <v>241</v>
      </c>
      <c r="F133">
        <v>53</v>
      </c>
      <c r="G133" s="10">
        <f t="shared" si="6"/>
        <v>12.61119832548404</v>
      </c>
    </row>
    <row r="134" spans="1:7">
      <c r="A134">
        <f t="shared" si="5"/>
        <v>3</v>
      </c>
      <c r="B134">
        <v>30803</v>
      </c>
      <c r="C134">
        <v>2609</v>
      </c>
      <c r="D134">
        <v>685</v>
      </c>
      <c r="E134">
        <v>355</v>
      </c>
      <c r="F134">
        <v>119</v>
      </c>
      <c r="G134" s="10">
        <f t="shared" si="6"/>
        <v>13.606745879647374</v>
      </c>
    </row>
    <row r="135" spans="1:7">
      <c r="A135">
        <f t="shared" si="5"/>
        <v>3</v>
      </c>
      <c r="B135">
        <v>30901</v>
      </c>
      <c r="C135">
        <v>53736</v>
      </c>
      <c r="D135">
        <v>7001</v>
      </c>
      <c r="E135">
        <v>2709</v>
      </c>
      <c r="F135">
        <v>739</v>
      </c>
      <c r="G135" s="10">
        <f t="shared" si="6"/>
        <v>5.0413130861991959</v>
      </c>
    </row>
    <row r="136" spans="1:7">
      <c r="A136">
        <f t="shared" si="5"/>
        <v>3</v>
      </c>
      <c r="B136">
        <v>30902</v>
      </c>
      <c r="C136">
        <v>16199</v>
      </c>
      <c r="D136">
        <v>2617</v>
      </c>
      <c r="E136">
        <v>1103</v>
      </c>
      <c r="F136">
        <v>284</v>
      </c>
      <c r="G136" s="10">
        <f t="shared" si="6"/>
        <v>6.8090622877955429</v>
      </c>
    </row>
    <row r="137" spans="1:7">
      <c r="A137">
        <f t="shared" si="5"/>
        <v>3</v>
      </c>
      <c r="B137">
        <v>30903</v>
      </c>
      <c r="C137">
        <v>20812</v>
      </c>
      <c r="D137">
        <v>2834</v>
      </c>
      <c r="E137">
        <v>988</v>
      </c>
      <c r="F137">
        <v>287</v>
      </c>
      <c r="G137" s="10">
        <f t="shared" si="6"/>
        <v>4.747261195464155</v>
      </c>
    </row>
    <row r="138" spans="1:7">
      <c r="A138">
        <f t="shared" si="5"/>
        <v>3</v>
      </c>
      <c r="B138">
        <v>30904</v>
      </c>
      <c r="C138">
        <v>20596</v>
      </c>
      <c r="D138">
        <v>3373</v>
      </c>
      <c r="E138">
        <v>1314</v>
      </c>
      <c r="F138">
        <v>364</v>
      </c>
      <c r="G138" s="10">
        <f t="shared" si="6"/>
        <v>6.3798795882695671</v>
      </c>
    </row>
    <row r="139" spans="1:7">
      <c r="A139">
        <f t="shared" si="5"/>
        <v>3</v>
      </c>
      <c r="B139">
        <v>30905</v>
      </c>
      <c r="C139">
        <v>22161</v>
      </c>
      <c r="D139">
        <v>2747</v>
      </c>
      <c r="E139">
        <v>1043</v>
      </c>
      <c r="F139">
        <v>275</v>
      </c>
      <c r="G139" s="10">
        <f t="shared" si="6"/>
        <v>4.7064663146969901</v>
      </c>
    </row>
    <row r="140" spans="1:7">
      <c r="A140">
        <f t="shared" si="5"/>
        <v>3</v>
      </c>
      <c r="B140">
        <v>31001</v>
      </c>
      <c r="C140">
        <v>66307</v>
      </c>
      <c r="D140">
        <v>11006</v>
      </c>
      <c r="E140">
        <v>4714</v>
      </c>
      <c r="F140">
        <v>1300</v>
      </c>
      <c r="G140" s="10">
        <f t="shared" si="6"/>
        <v>7.1093549700634924</v>
      </c>
    </row>
    <row r="141" spans="1:7">
      <c r="A141">
        <f t="shared" si="5"/>
        <v>3</v>
      </c>
      <c r="B141">
        <v>31002</v>
      </c>
      <c r="C141">
        <v>6336</v>
      </c>
      <c r="D141">
        <v>1462</v>
      </c>
      <c r="E141">
        <v>565</v>
      </c>
      <c r="F141">
        <v>132</v>
      </c>
      <c r="G141" s="10">
        <f t="shared" si="6"/>
        <v>8.9172979797979792</v>
      </c>
    </row>
    <row r="142" spans="1:7">
      <c r="A142">
        <f t="shared" si="5"/>
        <v>3</v>
      </c>
      <c r="B142">
        <v>31003</v>
      </c>
      <c r="C142">
        <v>28469</v>
      </c>
      <c r="D142">
        <v>5568</v>
      </c>
      <c r="E142">
        <v>1559</v>
      </c>
      <c r="F142">
        <v>372</v>
      </c>
      <c r="G142" s="10">
        <f t="shared" si="6"/>
        <v>5.4761319329797322</v>
      </c>
    </row>
    <row r="143" spans="1:7">
      <c r="A143">
        <f t="shared" si="5"/>
        <v>3</v>
      </c>
      <c r="B143">
        <v>31101</v>
      </c>
      <c r="C143">
        <v>3632</v>
      </c>
      <c r="D143">
        <v>1714</v>
      </c>
      <c r="E143">
        <v>675</v>
      </c>
      <c r="F143">
        <v>180</v>
      </c>
      <c r="G143" s="10">
        <f t="shared" si="6"/>
        <v>18.584801762114537</v>
      </c>
    </row>
    <row r="144" spans="1:7">
      <c r="A144">
        <f t="shared" si="5"/>
        <v>3</v>
      </c>
      <c r="B144">
        <v>31201</v>
      </c>
      <c r="C144">
        <v>3859</v>
      </c>
      <c r="D144">
        <v>901</v>
      </c>
      <c r="E144">
        <v>235</v>
      </c>
      <c r="F144">
        <v>38</v>
      </c>
      <c r="G144" s="10">
        <f t="shared" si="6"/>
        <v>6.0896605338170513</v>
      </c>
    </row>
    <row r="145" spans="1:7">
      <c r="A145">
        <f t="shared" si="5"/>
        <v>3</v>
      </c>
      <c r="B145">
        <v>31202</v>
      </c>
      <c r="C145">
        <v>2165</v>
      </c>
      <c r="D145">
        <v>499</v>
      </c>
      <c r="E145">
        <v>186</v>
      </c>
      <c r="F145">
        <v>39</v>
      </c>
      <c r="G145" s="10">
        <f t="shared" si="6"/>
        <v>8.5912240184757511</v>
      </c>
    </row>
    <row r="146" spans="1:7">
      <c r="A146">
        <f t="shared" si="5"/>
        <v>3</v>
      </c>
      <c r="B146">
        <v>31203</v>
      </c>
      <c r="C146">
        <v>3371</v>
      </c>
      <c r="D146">
        <v>904</v>
      </c>
      <c r="E146">
        <v>307</v>
      </c>
      <c r="F146">
        <v>45</v>
      </c>
      <c r="G146" s="10">
        <f t="shared" si="6"/>
        <v>9.107089884307328</v>
      </c>
    </row>
    <row r="147" spans="1:7">
      <c r="A147">
        <f t="shared" si="5"/>
        <v>3</v>
      </c>
      <c r="B147">
        <v>31204</v>
      </c>
      <c r="C147">
        <v>8458</v>
      </c>
      <c r="D147">
        <v>1313</v>
      </c>
      <c r="E147">
        <v>364</v>
      </c>
      <c r="F147">
        <v>74</v>
      </c>
      <c r="G147" s="10">
        <f t="shared" si="6"/>
        <v>4.3036178765665642</v>
      </c>
    </row>
    <row r="148" spans="1:7">
      <c r="A148">
        <f t="shared" si="5"/>
        <v>3</v>
      </c>
      <c r="B148">
        <v>31205</v>
      </c>
      <c r="C148">
        <v>16305</v>
      </c>
      <c r="D148">
        <v>2602</v>
      </c>
      <c r="E148">
        <v>934</v>
      </c>
      <c r="F148">
        <v>280</v>
      </c>
      <c r="G148" s="10">
        <f t="shared" si="6"/>
        <v>5.7283042011652867</v>
      </c>
    </row>
    <row r="149" spans="1:7">
      <c r="A149">
        <f t="shared" si="5"/>
        <v>3</v>
      </c>
      <c r="B149">
        <v>31206</v>
      </c>
      <c r="C149">
        <v>11618</v>
      </c>
      <c r="D149">
        <v>1655</v>
      </c>
      <c r="E149">
        <v>663</v>
      </c>
      <c r="F149">
        <v>176</v>
      </c>
      <c r="G149" s="10">
        <f t="shared" si="6"/>
        <v>5.7066620760888274</v>
      </c>
    </row>
    <row r="150" spans="1:7">
      <c r="A150">
        <f t="shared" si="5"/>
        <v>3</v>
      </c>
      <c r="B150">
        <v>31301</v>
      </c>
      <c r="C150">
        <v>5171</v>
      </c>
      <c r="D150">
        <v>976</v>
      </c>
      <c r="E150">
        <v>374</v>
      </c>
      <c r="F150">
        <v>70</v>
      </c>
      <c r="G150" s="10">
        <f t="shared" si="6"/>
        <v>7.2326435892477274</v>
      </c>
    </row>
    <row r="151" spans="1:7">
      <c r="A151">
        <f t="shared" si="5"/>
        <v>3</v>
      </c>
      <c r="B151">
        <v>31302</v>
      </c>
      <c r="C151">
        <v>527</v>
      </c>
      <c r="D151">
        <v>190</v>
      </c>
      <c r="E151">
        <v>87</v>
      </c>
      <c r="F151">
        <v>16</v>
      </c>
      <c r="G151" s="10">
        <f t="shared" si="6"/>
        <v>16.508538899430739</v>
      </c>
    </row>
    <row r="152" spans="1:7">
      <c r="A152">
        <f t="shared" si="5"/>
        <v>3</v>
      </c>
      <c r="B152">
        <v>31303</v>
      </c>
      <c r="C152">
        <v>325</v>
      </c>
      <c r="D152">
        <v>156</v>
      </c>
      <c r="E152">
        <v>70</v>
      </c>
      <c r="F152">
        <v>5</v>
      </c>
      <c r="G152" s="10">
        <f t="shared" si="6"/>
        <v>21.53846153846154</v>
      </c>
    </row>
    <row r="153" spans="1:7">
      <c r="A153">
        <f t="shared" si="5"/>
        <v>3</v>
      </c>
      <c r="B153">
        <v>31401</v>
      </c>
      <c r="C153">
        <v>11895</v>
      </c>
      <c r="D153">
        <v>2140</v>
      </c>
      <c r="E153">
        <v>957</v>
      </c>
      <c r="F153">
        <v>248</v>
      </c>
      <c r="G153" s="10">
        <f t="shared" si="6"/>
        <v>8.045397225725095</v>
      </c>
    </row>
    <row r="154" spans="1:7">
      <c r="A154">
        <f t="shared" si="5"/>
        <v>3</v>
      </c>
      <c r="B154">
        <v>31402</v>
      </c>
      <c r="C154">
        <v>3151</v>
      </c>
      <c r="D154">
        <v>942</v>
      </c>
      <c r="E154">
        <v>505</v>
      </c>
      <c r="F154">
        <v>147</v>
      </c>
      <c r="G154" s="10">
        <f t="shared" si="6"/>
        <v>16.026658203744844</v>
      </c>
    </row>
    <row r="155" spans="1:7">
      <c r="A155">
        <f t="shared" si="5"/>
        <v>3</v>
      </c>
      <c r="B155">
        <v>31403</v>
      </c>
      <c r="C155">
        <v>5365</v>
      </c>
      <c r="D155">
        <v>1221</v>
      </c>
      <c r="E155">
        <v>622</v>
      </c>
      <c r="F155">
        <v>182</v>
      </c>
      <c r="G155" s="10">
        <f t="shared" si="6"/>
        <v>11.593662628145387</v>
      </c>
    </row>
    <row r="156" spans="1:7">
      <c r="A156">
        <f t="shared" si="5"/>
        <v>3</v>
      </c>
      <c r="B156">
        <v>31404</v>
      </c>
      <c r="C156">
        <v>378</v>
      </c>
      <c r="D156">
        <v>136</v>
      </c>
      <c r="E156">
        <v>63</v>
      </c>
      <c r="F156">
        <v>16</v>
      </c>
      <c r="G156" s="10">
        <f t="shared" si="6"/>
        <v>16.666666666666668</v>
      </c>
    </row>
    <row r="157" spans="1:7">
      <c r="A157">
        <f t="shared" si="5"/>
        <v>3</v>
      </c>
      <c r="B157">
        <v>31501</v>
      </c>
      <c r="C157">
        <v>1333</v>
      </c>
      <c r="D157">
        <v>632</v>
      </c>
      <c r="E157">
        <v>256</v>
      </c>
      <c r="F157">
        <v>45</v>
      </c>
      <c r="G157" s="10">
        <f t="shared" si="6"/>
        <v>19.204801200300075</v>
      </c>
    </row>
    <row r="158" spans="1:7">
      <c r="A158">
        <f t="shared" si="5"/>
        <v>3</v>
      </c>
      <c r="B158">
        <v>31601</v>
      </c>
      <c r="C158">
        <v>5787</v>
      </c>
      <c r="D158">
        <v>1557</v>
      </c>
      <c r="E158">
        <v>704</v>
      </c>
      <c r="F158">
        <v>160</v>
      </c>
      <c r="G158" s="10">
        <f t="shared" si="6"/>
        <v>12.165197857266287</v>
      </c>
    </row>
    <row r="159" spans="1:7">
      <c r="A159">
        <f t="shared" si="5"/>
        <v>3</v>
      </c>
      <c r="B159">
        <v>31602</v>
      </c>
      <c r="C159">
        <v>6532</v>
      </c>
      <c r="D159">
        <v>784</v>
      </c>
      <c r="E159">
        <v>244</v>
      </c>
      <c r="F159">
        <v>67</v>
      </c>
      <c r="G159" s="10">
        <f t="shared" si="6"/>
        <v>3.7354562155541946</v>
      </c>
    </row>
    <row r="160" spans="1:7">
      <c r="A160">
        <f t="shared" si="5"/>
        <v>4</v>
      </c>
      <c r="B160">
        <v>40101</v>
      </c>
      <c r="C160">
        <v>109265</v>
      </c>
      <c r="D160">
        <v>20547</v>
      </c>
      <c r="E160">
        <v>8178</v>
      </c>
      <c r="F160">
        <v>2353</v>
      </c>
      <c r="G160" s="10">
        <f t="shared" si="6"/>
        <v>7.4845558962156229</v>
      </c>
    </row>
    <row r="161" spans="1:7">
      <c r="A161">
        <f t="shared" si="5"/>
        <v>4</v>
      </c>
      <c r="B161">
        <v>40102</v>
      </c>
      <c r="C161">
        <v>5754</v>
      </c>
      <c r="D161">
        <v>2085</v>
      </c>
      <c r="E161">
        <v>792</v>
      </c>
      <c r="F161">
        <v>209</v>
      </c>
      <c r="G161" s="10">
        <f t="shared" si="6"/>
        <v>13.764337851929092</v>
      </c>
    </row>
    <row r="162" spans="1:7">
      <c r="A162">
        <f t="shared" si="5"/>
        <v>4</v>
      </c>
      <c r="B162">
        <v>40103</v>
      </c>
      <c r="C162">
        <v>627</v>
      </c>
      <c r="D162">
        <v>340</v>
      </c>
      <c r="E162">
        <v>119</v>
      </c>
      <c r="F162">
        <v>10</v>
      </c>
      <c r="G162" s="10">
        <f t="shared" si="6"/>
        <v>18.9792663476874</v>
      </c>
    </row>
    <row r="163" spans="1:7">
      <c r="A163">
        <f t="shared" si="5"/>
        <v>4</v>
      </c>
      <c r="B163">
        <v>40104</v>
      </c>
      <c r="C163">
        <v>803</v>
      </c>
      <c r="D163">
        <v>307</v>
      </c>
      <c r="E163">
        <v>125</v>
      </c>
      <c r="F163">
        <v>34</v>
      </c>
      <c r="G163" s="10">
        <f t="shared" si="6"/>
        <v>15.566625155666252</v>
      </c>
    </row>
    <row r="164" spans="1:7">
      <c r="A164">
        <f t="shared" si="5"/>
        <v>4</v>
      </c>
      <c r="B164">
        <v>40201</v>
      </c>
      <c r="C164">
        <v>9973</v>
      </c>
      <c r="D164">
        <v>3415</v>
      </c>
      <c r="E164">
        <v>1111</v>
      </c>
      <c r="F164">
        <v>203</v>
      </c>
      <c r="G164" s="10">
        <f t="shared" si="6"/>
        <v>11.14007821117016</v>
      </c>
    </row>
    <row r="165" spans="1:7">
      <c r="A165">
        <f t="shared" si="5"/>
        <v>4</v>
      </c>
      <c r="B165">
        <v>40202</v>
      </c>
      <c r="C165">
        <v>442</v>
      </c>
      <c r="D165">
        <v>246</v>
      </c>
      <c r="E165">
        <v>68</v>
      </c>
      <c r="F165">
        <v>5</v>
      </c>
      <c r="G165" s="10">
        <f t="shared" si="6"/>
        <v>15.384615384615385</v>
      </c>
    </row>
    <row r="166" spans="1:7">
      <c r="A166">
        <f t="shared" si="5"/>
        <v>4</v>
      </c>
      <c r="B166">
        <v>40301</v>
      </c>
      <c r="C166">
        <v>2306</v>
      </c>
      <c r="D166">
        <v>1569</v>
      </c>
      <c r="E166">
        <v>723</v>
      </c>
      <c r="F166">
        <v>79</v>
      </c>
      <c r="G166" s="10">
        <f t="shared" si="6"/>
        <v>31.352992194275803</v>
      </c>
    </row>
    <row r="167" spans="1:7">
      <c r="A167">
        <f t="shared" si="5"/>
        <v>4</v>
      </c>
      <c r="B167">
        <v>40302</v>
      </c>
      <c r="C167">
        <v>640</v>
      </c>
      <c r="D167">
        <v>418</v>
      </c>
      <c r="E167">
        <v>159</v>
      </c>
      <c r="F167">
        <v>24</v>
      </c>
      <c r="G167" s="10">
        <f t="shared" si="6"/>
        <v>24.84375</v>
      </c>
    </row>
    <row r="168" spans="1:7">
      <c r="A168">
        <f t="shared" si="5"/>
        <v>4</v>
      </c>
      <c r="B168">
        <v>40401</v>
      </c>
      <c r="C168">
        <v>942</v>
      </c>
      <c r="D168">
        <v>435</v>
      </c>
      <c r="E168">
        <v>158</v>
      </c>
      <c r="F168">
        <v>40</v>
      </c>
      <c r="G168" s="10">
        <f t="shared" si="6"/>
        <v>16.772823779193207</v>
      </c>
    </row>
    <row r="169" spans="1:7">
      <c r="A169">
        <f t="shared" si="5"/>
        <v>4</v>
      </c>
      <c r="B169">
        <v>40402</v>
      </c>
      <c r="C169">
        <v>545</v>
      </c>
      <c r="D169">
        <v>322</v>
      </c>
      <c r="E169">
        <v>128</v>
      </c>
      <c r="F169">
        <v>17</v>
      </c>
      <c r="G169" s="10">
        <f t="shared" si="6"/>
        <v>23.486238532110093</v>
      </c>
    </row>
    <row r="170" spans="1:7">
      <c r="A170">
        <f t="shared" si="5"/>
        <v>4</v>
      </c>
      <c r="B170">
        <v>40501</v>
      </c>
      <c r="C170">
        <v>664</v>
      </c>
      <c r="D170">
        <v>432</v>
      </c>
      <c r="E170">
        <v>144</v>
      </c>
      <c r="F170">
        <v>10</v>
      </c>
      <c r="G170" s="10">
        <f t="shared" si="6"/>
        <v>21.686746987951807</v>
      </c>
    </row>
    <row r="171" spans="1:7">
      <c r="A171">
        <f t="shared" si="5"/>
        <v>4</v>
      </c>
      <c r="B171">
        <v>40502</v>
      </c>
      <c r="C171">
        <v>244</v>
      </c>
      <c r="D171">
        <v>168</v>
      </c>
      <c r="E171">
        <v>71</v>
      </c>
      <c r="F171">
        <v>9</v>
      </c>
      <c r="G171" s="10">
        <f t="shared" si="6"/>
        <v>29.098360655737704</v>
      </c>
    </row>
    <row r="172" spans="1:7">
      <c r="A172">
        <f t="shared" si="5"/>
        <v>4</v>
      </c>
      <c r="B172">
        <v>40503</v>
      </c>
      <c r="C172">
        <v>58</v>
      </c>
      <c r="D172">
        <v>55</v>
      </c>
      <c r="E172">
        <v>40</v>
      </c>
      <c r="F172">
        <v>3</v>
      </c>
      <c r="G172" s="10">
        <f t="shared" si="6"/>
        <v>68.965517241379317</v>
      </c>
    </row>
    <row r="173" spans="1:7">
      <c r="A173">
        <f t="shared" si="5"/>
        <v>4</v>
      </c>
      <c r="B173">
        <v>40504</v>
      </c>
      <c r="C173">
        <v>64</v>
      </c>
      <c r="D173">
        <v>50</v>
      </c>
      <c r="E173">
        <v>13</v>
      </c>
      <c r="F173">
        <v>1</v>
      </c>
      <c r="G173" s="10">
        <f t="shared" si="6"/>
        <v>20.3125</v>
      </c>
    </row>
    <row r="174" spans="1:7">
      <c r="A174">
        <f t="shared" si="5"/>
        <v>4</v>
      </c>
      <c r="B174">
        <v>40505</v>
      </c>
      <c r="C174">
        <v>197</v>
      </c>
      <c r="D174">
        <v>153</v>
      </c>
      <c r="E174">
        <v>48</v>
      </c>
      <c r="F174">
        <v>2</v>
      </c>
      <c r="G174" s="10">
        <f t="shared" si="6"/>
        <v>24.365482233502537</v>
      </c>
    </row>
    <row r="175" spans="1:7">
      <c r="A175">
        <f t="shared" si="5"/>
        <v>4</v>
      </c>
      <c r="B175">
        <v>40601</v>
      </c>
      <c r="C175">
        <v>707</v>
      </c>
      <c r="D175">
        <v>483</v>
      </c>
      <c r="E175">
        <v>218</v>
      </c>
      <c r="F175">
        <v>52</v>
      </c>
      <c r="G175" s="10">
        <f t="shared" si="6"/>
        <v>30.834512022630836</v>
      </c>
    </row>
    <row r="176" spans="1:7">
      <c r="A176">
        <f t="shared" si="5"/>
        <v>4</v>
      </c>
      <c r="B176">
        <v>40602</v>
      </c>
      <c r="C176">
        <v>934</v>
      </c>
      <c r="D176">
        <v>156</v>
      </c>
      <c r="E176">
        <v>0</v>
      </c>
      <c r="F176">
        <v>0</v>
      </c>
      <c r="G176" s="10">
        <f t="shared" si="6"/>
        <v>0</v>
      </c>
    </row>
    <row r="177" spans="1:7">
      <c r="A177">
        <f t="shared" si="5"/>
        <v>4</v>
      </c>
      <c r="B177">
        <v>40603</v>
      </c>
      <c r="C177">
        <v>280</v>
      </c>
      <c r="D177">
        <v>195</v>
      </c>
      <c r="E177">
        <v>87</v>
      </c>
      <c r="F177">
        <v>23</v>
      </c>
      <c r="G177" s="10">
        <f t="shared" si="6"/>
        <v>31.071428571428573</v>
      </c>
    </row>
    <row r="178" spans="1:7">
      <c r="A178">
        <f t="shared" si="5"/>
        <v>4</v>
      </c>
      <c r="B178">
        <v>40701</v>
      </c>
      <c r="C178">
        <v>6196</v>
      </c>
      <c r="D178">
        <v>1545</v>
      </c>
      <c r="E178">
        <v>492</v>
      </c>
      <c r="F178">
        <v>76</v>
      </c>
      <c r="G178" s="10">
        <f t="shared" si="6"/>
        <v>7.9406068431245966</v>
      </c>
    </row>
    <row r="179" spans="1:7">
      <c r="A179">
        <f t="shared" si="5"/>
        <v>4</v>
      </c>
      <c r="B179">
        <v>40702</v>
      </c>
      <c r="C179">
        <v>1334</v>
      </c>
      <c r="D179">
        <v>424</v>
      </c>
      <c r="E179">
        <v>161</v>
      </c>
      <c r="F179">
        <v>39</v>
      </c>
      <c r="G179" s="10">
        <f t="shared" si="6"/>
        <v>12.068965517241379</v>
      </c>
    </row>
    <row r="180" spans="1:7">
      <c r="A180">
        <f t="shared" si="5"/>
        <v>4</v>
      </c>
      <c r="B180">
        <v>40801</v>
      </c>
      <c r="C180">
        <v>3166</v>
      </c>
      <c r="D180">
        <v>1974</v>
      </c>
      <c r="E180">
        <v>552</v>
      </c>
      <c r="F180">
        <v>53</v>
      </c>
      <c r="G180" s="10">
        <f t="shared" si="6"/>
        <v>17.435249526216044</v>
      </c>
    </row>
    <row r="181" spans="1:7">
      <c r="A181">
        <f t="shared" si="5"/>
        <v>4</v>
      </c>
      <c r="B181">
        <v>40802</v>
      </c>
      <c r="C181">
        <v>382</v>
      </c>
      <c r="D181">
        <v>238</v>
      </c>
      <c r="E181">
        <v>79</v>
      </c>
      <c r="F181">
        <v>7</v>
      </c>
      <c r="G181" s="10">
        <f t="shared" si="6"/>
        <v>20.680628272251308</v>
      </c>
    </row>
    <row r="182" spans="1:7">
      <c r="A182">
        <f t="shared" si="5"/>
        <v>4</v>
      </c>
      <c r="B182">
        <v>40901</v>
      </c>
      <c r="C182">
        <v>1471</v>
      </c>
      <c r="D182">
        <v>974</v>
      </c>
      <c r="E182">
        <v>245</v>
      </c>
      <c r="F182">
        <v>17</v>
      </c>
      <c r="G182" s="10">
        <f t="shared" si="6"/>
        <v>16.655336505778383</v>
      </c>
    </row>
    <row r="183" spans="1:7">
      <c r="A183">
        <f t="shared" si="5"/>
        <v>4</v>
      </c>
      <c r="B183">
        <v>40902</v>
      </c>
      <c r="C183">
        <v>159</v>
      </c>
      <c r="D183">
        <v>93</v>
      </c>
      <c r="E183">
        <v>31</v>
      </c>
      <c r="F183">
        <v>4</v>
      </c>
      <c r="G183" s="10">
        <f t="shared" si="6"/>
        <v>19.49685534591195</v>
      </c>
    </row>
    <row r="184" spans="1:7">
      <c r="A184">
        <f t="shared" si="5"/>
        <v>4</v>
      </c>
      <c r="B184">
        <v>40903</v>
      </c>
      <c r="C184">
        <v>345</v>
      </c>
      <c r="D184">
        <v>180</v>
      </c>
      <c r="E184">
        <v>67</v>
      </c>
      <c r="F184">
        <v>6</v>
      </c>
      <c r="G184" s="10">
        <f t="shared" si="6"/>
        <v>19.420289855072465</v>
      </c>
    </row>
    <row r="185" spans="1:7">
      <c r="A185">
        <f t="shared" si="5"/>
        <v>4</v>
      </c>
      <c r="B185">
        <v>41001</v>
      </c>
      <c r="C185">
        <v>1645</v>
      </c>
      <c r="D185">
        <v>1005</v>
      </c>
      <c r="E185">
        <v>462</v>
      </c>
      <c r="F185">
        <v>80</v>
      </c>
      <c r="G185" s="10">
        <f t="shared" si="6"/>
        <v>28.085106382978722</v>
      </c>
    </row>
    <row r="186" spans="1:7">
      <c r="A186">
        <f t="shared" si="5"/>
        <v>4</v>
      </c>
      <c r="B186">
        <v>41101</v>
      </c>
      <c r="C186">
        <v>1407</v>
      </c>
      <c r="D186">
        <v>490</v>
      </c>
      <c r="E186">
        <v>132</v>
      </c>
      <c r="F186">
        <v>23</v>
      </c>
      <c r="G186" s="10">
        <f t="shared" si="6"/>
        <v>9.3816631130063968</v>
      </c>
    </row>
    <row r="187" spans="1:7">
      <c r="A187">
        <f t="shared" si="5"/>
        <v>4</v>
      </c>
      <c r="B187">
        <v>41201</v>
      </c>
      <c r="C187">
        <v>1494</v>
      </c>
      <c r="D187">
        <v>1085</v>
      </c>
      <c r="E187">
        <v>472</v>
      </c>
      <c r="F187">
        <v>58</v>
      </c>
      <c r="G187" s="10">
        <f t="shared" si="6"/>
        <v>31.593038821954483</v>
      </c>
    </row>
    <row r="188" spans="1:7">
      <c r="A188">
        <f t="shared" si="5"/>
        <v>4</v>
      </c>
      <c r="B188">
        <v>41202</v>
      </c>
      <c r="C188">
        <v>319</v>
      </c>
      <c r="D188">
        <v>106</v>
      </c>
      <c r="E188">
        <v>0</v>
      </c>
      <c r="F188">
        <v>0</v>
      </c>
      <c r="G188" s="10">
        <f t="shared" si="6"/>
        <v>0</v>
      </c>
    </row>
    <row r="189" spans="1:7">
      <c r="A189">
        <f t="shared" si="5"/>
        <v>4</v>
      </c>
      <c r="B189">
        <v>41301</v>
      </c>
      <c r="C189">
        <v>882</v>
      </c>
      <c r="D189">
        <v>430</v>
      </c>
      <c r="E189">
        <v>145</v>
      </c>
      <c r="F189">
        <v>20</v>
      </c>
      <c r="G189" s="10">
        <f t="shared" si="6"/>
        <v>16.439909297052154</v>
      </c>
    </row>
    <row r="190" spans="1:7">
      <c r="A190">
        <f t="shared" si="5"/>
        <v>4</v>
      </c>
      <c r="B190">
        <v>41401</v>
      </c>
      <c r="C190">
        <v>2022</v>
      </c>
      <c r="D190">
        <v>901</v>
      </c>
      <c r="E190">
        <v>280</v>
      </c>
      <c r="F190">
        <v>27</v>
      </c>
      <c r="G190" s="10">
        <f t="shared" si="6"/>
        <v>13.847675568743819</v>
      </c>
    </row>
    <row r="191" spans="1:7">
      <c r="A191">
        <f t="shared" si="5"/>
        <v>4</v>
      </c>
      <c r="B191">
        <v>41501</v>
      </c>
      <c r="C191">
        <v>149</v>
      </c>
      <c r="D191">
        <v>77</v>
      </c>
      <c r="E191">
        <v>29</v>
      </c>
      <c r="F191">
        <v>2</v>
      </c>
      <c r="G191" s="10">
        <f t="shared" si="6"/>
        <v>19.463087248322147</v>
      </c>
    </row>
    <row r="192" spans="1:7">
      <c r="A192">
        <f t="shared" si="5"/>
        <v>4</v>
      </c>
      <c r="B192">
        <v>41502</v>
      </c>
      <c r="C192">
        <v>135</v>
      </c>
      <c r="D192">
        <v>79</v>
      </c>
      <c r="E192">
        <v>33</v>
      </c>
      <c r="F192">
        <v>1</v>
      </c>
      <c r="G192" s="10">
        <f t="shared" si="6"/>
        <v>24.444444444444443</v>
      </c>
    </row>
    <row r="193" spans="1:7">
      <c r="A193">
        <f t="shared" si="5"/>
        <v>4</v>
      </c>
      <c r="B193">
        <v>41503</v>
      </c>
      <c r="C193">
        <v>812</v>
      </c>
      <c r="D193">
        <v>548</v>
      </c>
      <c r="E193">
        <v>158</v>
      </c>
      <c r="F193">
        <v>18</v>
      </c>
      <c r="G193" s="10">
        <f t="shared" si="6"/>
        <v>19.458128078817733</v>
      </c>
    </row>
    <row r="194" spans="1:7">
      <c r="A194">
        <f t="shared" si="5"/>
        <v>4</v>
      </c>
      <c r="B194">
        <v>41601</v>
      </c>
      <c r="C194">
        <v>1502</v>
      </c>
      <c r="D194">
        <v>874</v>
      </c>
      <c r="E194">
        <v>354</v>
      </c>
      <c r="F194">
        <v>58</v>
      </c>
      <c r="G194" s="10">
        <f t="shared" si="6"/>
        <v>23.568575233022635</v>
      </c>
    </row>
    <row r="195" spans="1:7">
      <c r="A195">
        <f t="shared" ref="A195:A258" si="7">VALUE(MID(B195,1,1))</f>
        <v>5</v>
      </c>
      <c r="B195">
        <v>50101</v>
      </c>
      <c r="C195">
        <v>56730</v>
      </c>
      <c r="D195">
        <v>8729</v>
      </c>
      <c r="E195">
        <v>3657</v>
      </c>
      <c r="F195">
        <v>1359</v>
      </c>
      <c r="G195" s="10">
        <f t="shared" ref="G195:G258" si="8">100*E195/C195</f>
        <v>6.4463246959280802</v>
      </c>
    </row>
    <row r="196" spans="1:7">
      <c r="A196">
        <f t="shared" si="7"/>
        <v>5</v>
      </c>
      <c r="B196">
        <v>50102</v>
      </c>
      <c r="C196">
        <v>3516</v>
      </c>
      <c r="D196">
        <v>2344</v>
      </c>
      <c r="E196">
        <v>1267</v>
      </c>
      <c r="F196">
        <v>517</v>
      </c>
      <c r="G196" s="10">
        <f t="shared" si="8"/>
        <v>36.035267349260522</v>
      </c>
    </row>
    <row r="197" spans="1:7">
      <c r="A197">
        <f t="shared" si="7"/>
        <v>5</v>
      </c>
      <c r="B197">
        <v>50103</v>
      </c>
      <c r="C197">
        <v>1475</v>
      </c>
      <c r="D197">
        <v>905</v>
      </c>
      <c r="E197">
        <v>500</v>
      </c>
      <c r="F197">
        <v>213</v>
      </c>
      <c r="G197" s="10">
        <f t="shared" si="8"/>
        <v>33.898305084745765</v>
      </c>
    </row>
    <row r="198" spans="1:7">
      <c r="A198">
        <f t="shared" si="7"/>
        <v>5</v>
      </c>
      <c r="B198">
        <v>50104</v>
      </c>
      <c r="C198">
        <v>326</v>
      </c>
      <c r="D198">
        <v>238</v>
      </c>
      <c r="E198">
        <v>128</v>
      </c>
      <c r="F198">
        <v>40</v>
      </c>
      <c r="G198" s="10">
        <f t="shared" si="8"/>
        <v>39.263803680981596</v>
      </c>
    </row>
    <row r="199" spans="1:7">
      <c r="A199">
        <f t="shared" si="7"/>
        <v>5</v>
      </c>
      <c r="B199">
        <v>50201</v>
      </c>
      <c r="C199">
        <v>5288</v>
      </c>
      <c r="D199">
        <v>495</v>
      </c>
      <c r="E199">
        <v>0</v>
      </c>
      <c r="F199">
        <v>0</v>
      </c>
      <c r="G199" s="10">
        <f t="shared" si="8"/>
        <v>0</v>
      </c>
    </row>
    <row r="200" spans="1:7">
      <c r="A200">
        <f t="shared" si="7"/>
        <v>5</v>
      </c>
      <c r="B200">
        <v>50202</v>
      </c>
      <c r="C200">
        <v>1558</v>
      </c>
      <c r="D200">
        <v>1376</v>
      </c>
      <c r="E200">
        <v>439</v>
      </c>
      <c r="F200">
        <v>0</v>
      </c>
      <c r="G200" s="10">
        <f t="shared" si="8"/>
        <v>28.177150192554556</v>
      </c>
    </row>
    <row r="201" spans="1:7">
      <c r="A201">
        <f t="shared" si="7"/>
        <v>5</v>
      </c>
      <c r="B201">
        <v>50203</v>
      </c>
      <c r="C201">
        <v>10943</v>
      </c>
      <c r="D201">
        <v>2514</v>
      </c>
      <c r="E201">
        <v>505</v>
      </c>
      <c r="F201">
        <v>64</v>
      </c>
      <c r="G201" s="10">
        <f t="shared" si="8"/>
        <v>4.6148222608059948</v>
      </c>
    </row>
    <row r="202" spans="1:7">
      <c r="A202">
        <f t="shared" si="7"/>
        <v>5</v>
      </c>
      <c r="B202">
        <v>50301</v>
      </c>
      <c r="C202">
        <v>7221</v>
      </c>
      <c r="D202">
        <v>3134</v>
      </c>
      <c r="E202">
        <v>1302</v>
      </c>
      <c r="F202">
        <v>425</v>
      </c>
      <c r="G202" s="10">
        <f t="shared" si="8"/>
        <v>18.030743664312421</v>
      </c>
    </row>
    <row r="203" spans="1:7">
      <c r="A203">
        <f t="shared" si="7"/>
        <v>5</v>
      </c>
      <c r="B203">
        <v>50302</v>
      </c>
      <c r="C203">
        <v>2334</v>
      </c>
      <c r="D203">
        <v>1462</v>
      </c>
      <c r="E203">
        <v>643</v>
      </c>
      <c r="F203">
        <v>243</v>
      </c>
      <c r="G203" s="10">
        <f t="shared" si="8"/>
        <v>27.549271636675236</v>
      </c>
    </row>
    <row r="204" spans="1:7">
      <c r="A204">
        <f t="shared" si="7"/>
        <v>5</v>
      </c>
      <c r="B204">
        <v>50303</v>
      </c>
      <c r="C204">
        <v>1687</v>
      </c>
      <c r="D204">
        <v>223</v>
      </c>
      <c r="E204">
        <v>54</v>
      </c>
      <c r="F204">
        <v>0</v>
      </c>
      <c r="G204" s="10">
        <f t="shared" si="8"/>
        <v>3.200948429164197</v>
      </c>
    </row>
    <row r="205" spans="1:7">
      <c r="A205">
        <f t="shared" si="7"/>
        <v>5</v>
      </c>
      <c r="B205">
        <v>50401</v>
      </c>
      <c r="C205">
        <v>2552</v>
      </c>
      <c r="D205">
        <v>967</v>
      </c>
      <c r="E205">
        <v>503</v>
      </c>
      <c r="F205">
        <v>117</v>
      </c>
      <c r="G205" s="10">
        <f t="shared" si="8"/>
        <v>19.710031347962381</v>
      </c>
    </row>
    <row r="206" spans="1:7">
      <c r="A206">
        <f t="shared" si="7"/>
        <v>5</v>
      </c>
      <c r="B206">
        <v>50402</v>
      </c>
      <c r="C206">
        <v>3279</v>
      </c>
      <c r="D206">
        <v>882</v>
      </c>
      <c r="E206">
        <v>296</v>
      </c>
      <c r="F206">
        <v>53</v>
      </c>
      <c r="G206" s="10">
        <f t="shared" si="8"/>
        <v>9.0271424214699607</v>
      </c>
    </row>
    <row r="207" spans="1:7">
      <c r="A207">
        <f t="shared" si="7"/>
        <v>5</v>
      </c>
      <c r="B207">
        <v>50403</v>
      </c>
      <c r="C207">
        <v>5066</v>
      </c>
      <c r="D207">
        <v>2457</v>
      </c>
      <c r="E207">
        <v>1064</v>
      </c>
      <c r="F207">
        <v>301</v>
      </c>
      <c r="G207" s="10">
        <f t="shared" si="8"/>
        <v>21.002763521515988</v>
      </c>
    </row>
    <row r="208" spans="1:7">
      <c r="A208">
        <f t="shared" si="7"/>
        <v>5</v>
      </c>
      <c r="B208">
        <v>50404</v>
      </c>
      <c r="C208">
        <v>2390</v>
      </c>
      <c r="D208">
        <v>599</v>
      </c>
      <c r="E208">
        <v>210</v>
      </c>
      <c r="F208">
        <v>30</v>
      </c>
      <c r="G208" s="10">
        <f t="shared" si="8"/>
        <v>8.7866108786610884</v>
      </c>
    </row>
    <row r="209" spans="1:7">
      <c r="A209">
        <f t="shared" si="7"/>
        <v>5</v>
      </c>
      <c r="B209">
        <v>50405</v>
      </c>
      <c r="C209">
        <v>3210</v>
      </c>
      <c r="D209">
        <v>1736</v>
      </c>
      <c r="E209">
        <v>795</v>
      </c>
      <c r="F209">
        <v>205</v>
      </c>
      <c r="G209" s="10">
        <f t="shared" si="8"/>
        <v>24.766355140186917</v>
      </c>
    </row>
    <row r="210" spans="1:7">
      <c r="A210">
        <f t="shared" si="7"/>
        <v>5</v>
      </c>
      <c r="B210">
        <v>50501</v>
      </c>
      <c r="C210">
        <v>4021</v>
      </c>
      <c r="D210">
        <v>2110</v>
      </c>
      <c r="E210">
        <v>411</v>
      </c>
      <c r="F210">
        <v>33</v>
      </c>
      <c r="G210" s="10">
        <f t="shared" si="8"/>
        <v>10.221337975627954</v>
      </c>
    </row>
    <row r="211" spans="1:7">
      <c r="A211">
        <f t="shared" si="7"/>
        <v>5</v>
      </c>
      <c r="B211">
        <v>50502</v>
      </c>
      <c r="C211">
        <v>2254</v>
      </c>
      <c r="D211">
        <v>1156</v>
      </c>
      <c r="E211">
        <v>415</v>
      </c>
      <c r="F211">
        <v>90</v>
      </c>
      <c r="G211" s="10">
        <f t="shared" si="8"/>
        <v>18.411712511091395</v>
      </c>
    </row>
    <row r="212" spans="1:7">
      <c r="A212">
        <f t="shared" si="7"/>
        <v>5</v>
      </c>
      <c r="B212">
        <v>50601</v>
      </c>
      <c r="C212">
        <v>5872</v>
      </c>
      <c r="D212">
        <v>2164</v>
      </c>
      <c r="E212">
        <v>833</v>
      </c>
      <c r="F212">
        <v>287</v>
      </c>
      <c r="G212" s="10">
        <f t="shared" si="8"/>
        <v>14.185967302452315</v>
      </c>
    </row>
    <row r="213" spans="1:7">
      <c r="A213">
        <f t="shared" si="7"/>
        <v>5</v>
      </c>
      <c r="B213">
        <v>50602</v>
      </c>
      <c r="C213">
        <v>2407</v>
      </c>
      <c r="D213">
        <v>459</v>
      </c>
      <c r="E213">
        <v>78</v>
      </c>
      <c r="F213">
        <v>1</v>
      </c>
      <c r="G213" s="10">
        <f t="shared" si="8"/>
        <v>3.2405484004985459</v>
      </c>
    </row>
    <row r="214" spans="1:7">
      <c r="A214">
        <f t="shared" si="7"/>
        <v>5</v>
      </c>
      <c r="B214">
        <v>50701</v>
      </c>
      <c r="C214">
        <v>3490</v>
      </c>
      <c r="D214">
        <v>1808</v>
      </c>
      <c r="E214">
        <v>515</v>
      </c>
      <c r="F214">
        <v>103</v>
      </c>
      <c r="G214" s="10">
        <f t="shared" si="8"/>
        <v>14.756446991404012</v>
      </c>
    </row>
    <row r="215" spans="1:7">
      <c r="A215">
        <f t="shared" si="7"/>
        <v>5</v>
      </c>
      <c r="B215">
        <v>50702</v>
      </c>
      <c r="C215">
        <v>1478</v>
      </c>
      <c r="D215">
        <v>930</v>
      </c>
      <c r="E215">
        <v>313</v>
      </c>
      <c r="F215">
        <v>3</v>
      </c>
      <c r="G215" s="10">
        <f t="shared" si="8"/>
        <v>21.17726657645467</v>
      </c>
    </row>
    <row r="216" spans="1:7">
      <c r="A216">
        <f t="shared" si="7"/>
        <v>5</v>
      </c>
      <c r="B216">
        <v>50801</v>
      </c>
      <c r="C216">
        <v>14138</v>
      </c>
      <c r="D216">
        <v>2993</v>
      </c>
      <c r="E216">
        <v>1128</v>
      </c>
      <c r="F216">
        <v>371</v>
      </c>
      <c r="G216" s="10">
        <f t="shared" si="8"/>
        <v>7.9784976658650448</v>
      </c>
    </row>
    <row r="217" spans="1:7">
      <c r="A217">
        <f t="shared" si="7"/>
        <v>5</v>
      </c>
      <c r="B217">
        <v>50802</v>
      </c>
      <c r="C217">
        <v>2977</v>
      </c>
      <c r="D217">
        <v>696</v>
      </c>
      <c r="E217">
        <v>138</v>
      </c>
      <c r="F217">
        <v>20</v>
      </c>
      <c r="G217" s="10">
        <f t="shared" si="8"/>
        <v>4.635539133355727</v>
      </c>
    </row>
    <row r="218" spans="1:7">
      <c r="A218">
        <f t="shared" si="7"/>
        <v>5</v>
      </c>
      <c r="B218">
        <v>50901</v>
      </c>
      <c r="C218">
        <v>3330</v>
      </c>
      <c r="D218">
        <v>1144</v>
      </c>
      <c r="E218">
        <v>501</v>
      </c>
      <c r="F218">
        <v>70</v>
      </c>
      <c r="G218" s="10">
        <f t="shared" si="8"/>
        <v>15.045045045045045</v>
      </c>
    </row>
    <row r="219" spans="1:7">
      <c r="A219">
        <f t="shared" si="7"/>
        <v>5</v>
      </c>
      <c r="B219">
        <v>50902</v>
      </c>
      <c r="C219">
        <v>217</v>
      </c>
      <c r="D219">
        <v>98</v>
      </c>
      <c r="E219">
        <v>48</v>
      </c>
      <c r="F219">
        <v>7</v>
      </c>
      <c r="G219" s="10">
        <f t="shared" si="8"/>
        <v>22.119815668202765</v>
      </c>
    </row>
    <row r="220" spans="1:7">
      <c r="A220">
        <f t="shared" si="7"/>
        <v>5</v>
      </c>
      <c r="B220">
        <v>51001</v>
      </c>
      <c r="C220">
        <v>329</v>
      </c>
      <c r="D220">
        <v>186</v>
      </c>
      <c r="E220">
        <v>84</v>
      </c>
      <c r="F220">
        <v>21</v>
      </c>
      <c r="G220" s="10">
        <f t="shared" si="8"/>
        <v>25.531914893617021</v>
      </c>
    </row>
    <row r="221" spans="1:7">
      <c r="A221">
        <f t="shared" si="7"/>
        <v>5</v>
      </c>
      <c r="B221">
        <v>51002</v>
      </c>
      <c r="C221">
        <v>92</v>
      </c>
      <c r="D221">
        <v>42</v>
      </c>
      <c r="E221">
        <v>5</v>
      </c>
      <c r="F221">
        <v>2</v>
      </c>
      <c r="G221" s="10">
        <f t="shared" si="8"/>
        <v>5.4347826086956523</v>
      </c>
    </row>
    <row r="222" spans="1:7">
      <c r="A222">
        <f t="shared" si="7"/>
        <v>5</v>
      </c>
      <c r="B222">
        <v>51003</v>
      </c>
      <c r="C222">
        <v>339</v>
      </c>
      <c r="D222">
        <v>199</v>
      </c>
      <c r="E222">
        <v>53</v>
      </c>
      <c r="F222">
        <v>23</v>
      </c>
      <c r="G222" s="10">
        <f t="shared" si="8"/>
        <v>15.634218289085545</v>
      </c>
    </row>
    <row r="223" spans="1:7">
      <c r="A223">
        <f t="shared" si="7"/>
        <v>5</v>
      </c>
      <c r="B223">
        <v>51101</v>
      </c>
      <c r="C223">
        <v>5565</v>
      </c>
      <c r="D223">
        <v>3115</v>
      </c>
      <c r="E223">
        <v>1313</v>
      </c>
      <c r="F223">
        <v>515</v>
      </c>
      <c r="G223" s="10">
        <f t="shared" si="8"/>
        <v>23.593890386343215</v>
      </c>
    </row>
    <row r="224" spans="1:7">
      <c r="A224">
        <f t="shared" si="7"/>
        <v>5</v>
      </c>
      <c r="B224">
        <v>51102</v>
      </c>
      <c r="C224">
        <v>3185</v>
      </c>
      <c r="D224">
        <v>1510</v>
      </c>
      <c r="E224">
        <v>565</v>
      </c>
      <c r="F224">
        <v>185</v>
      </c>
      <c r="G224" s="10">
        <f t="shared" si="8"/>
        <v>17.739403453689167</v>
      </c>
    </row>
    <row r="225" spans="1:7">
      <c r="A225">
        <f t="shared" si="7"/>
        <v>5</v>
      </c>
      <c r="B225">
        <v>51103</v>
      </c>
      <c r="C225">
        <v>1545</v>
      </c>
      <c r="D225">
        <v>816</v>
      </c>
      <c r="E225">
        <v>364</v>
      </c>
      <c r="F225">
        <v>68</v>
      </c>
      <c r="G225" s="10">
        <f t="shared" si="8"/>
        <v>23.559870550161811</v>
      </c>
    </row>
    <row r="226" spans="1:7">
      <c r="A226">
        <f t="shared" si="7"/>
        <v>5</v>
      </c>
      <c r="B226">
        <v>51201</v>
      </c>
      <c r="C226">
        <v>10799</v>
      </c>
      <c r="D226">
        <v>3339</v>
      </c>
      <c r="E226">
        <v>1146</v>
      </c>
      <c r="F226">
        <v>166</v>
      </c>
      <c r="G226" s="10">
        <f t="shared" si="8"/>
        <v>10.612093712380776</v>
      </c>
    </row>
    <row r="227" spans="1:7">
      <c r="A227">
        <f t="shared" si="7"/>
        <v>5</v>
      </c>
      <c r="B227">
        <v>51202</v>
      </c>
      <c r="C227">
        <v>2818</v>
      </c>
      <c r="D227">
        <v>1482</v>
      </c>
      <c r="E227">
        <v>629</v>
      </c>
      <c r="F227">
        <v>126</v>
      </c>
      <c r="G227" s="10">
        <f t="shared" si="8"/>
        <v>22.320794889992904</v>
      </c>
    </row>
    <row r="228" spans="1:7">
      <c r="A228">
        <f t="shared" si="7"/>
        <v>5</v>
      </c>
      <c r="B228">
        <v>51203</v>
      </c>
      <c r="C228">
        <v>2344</v>
      </c>
      <c r="D228">
        <v>706</v>
      </c>
      <c r="E228">
        <v>405</v>
      </c>
      <c r="F228">
        <v>192</v>
      </c>
      <c r="G228" s="10">
        <f t="shared" si="8"/>
        <v>17.278156996587029</v>
      </c>
    </row>
    <row r="229" spans="1:7">
      <c r="A229">
        <f t="shared" si="7"/>
        <v>5</v>
      </c>
      <c r="B229">
        <v>51301</v>
      </c>
      <c r="C229">
        <v>725</v>
      </c>
      <c r="D229">
        <v>445</v>
      </c>
      <c r="E229">
        <v>72</v>
      </c>
      <c r="F229">
        <v>2</v>
      </c>
      <c r="G229" s="10">
        <f t="shared" si="8"/>
        <v>9.931034482758621</v>
      </c>
    </row>
    <row r="230" spans="1:7">
      <c r="A230">
        <f t="shared" si="7"/>
        <v>5</v>
      </c>
      <c r="B230">
        <v>51302</v>
      </c>
      <c r="C230">
        <v>1121</v>
      </c>
      <c r="D230">
        <v>540</v>
      </c>
      <c r="E230">
        <v>203</v>
      </c>
      <c r="F230">
        <v>44</v>
      </c>
      <c r="G230" s="10">
        <f t="shared" si="8"/>
        <v>18.108831400535237</v>
      </c>
    </row>
    <row r="231" spans="1:7">
      <c r="A231">
        <f t="shared" si="7"/>
        <v>5</v>
      </c>
      <c r="B231">
        <v>51401</v>
      </c>
      <c r="C231">
        <v>1590</v>
      </c>
      <c r="D231">
        <v>884</v>
      </c>
      <c r="E231">
        <v>451</v>
      </c>
      <c r="F231">
        <v>216</v>
      </c>
      <c r="G231" s="10">
        <f t="shared" si="8"/>
        <v>28.364779874213838</v>
      </c>
    </row>
    <row r="232" spans="1:7">
      <c r="A232">
        <f t="shared" si="7"/>
        <v>5</v>
      </c>
      <c r="B232">
        <v>51402</v>
      </c>
      <c r="C232">
        <v>456</v>
      </c>
      <c r="D232">
        <v>293</v>
      </c>
      <c r="E232">
        <v>170</v>
      </c>
      <c r="F232">
        <v>67</v>
      </c>
      <c r="G232" s="10">
        <f t="shared" si="8"/>
        <v>37.280701754385966</v>
      </c>
    </row>
    <row r="233" spans="1:7">
      <c r="A233">
        <f t="shared" si="7"/>
        <v>5</v>
      </c>
      <c r="B233">
        <v>51501</v>
      </c>
      <c r="C233">
        <v>12424</v>
      </c>
      <c r="D233">
        <v>2167</v>
      </c>
      <c r="E233">
        <v>745</v>
      </c>
      <c r="F233">
        <v>159</v>
      </c>
      <c r="G233" s="10">
        <f t="shared" si="8"/>
        <v>5.9964584674822925</v>
      </c>
    </row>
    <row r="234" spans="1:7">
      <c r="A234">
        <f t="shared" si="7"/>
        <v>5</v>
      </c>
      <c r="B234">
        <v>51601</v>
      </c>
      <c r="C234">
        <v>507</v>
      </c>
      <c r="D234">
        <v>208</v>
      </c>
      <c r="E234">
        <v>94</v>
      </c>
      <c r="F234">
        <v>30</v>
      </c>
      <c r="G234" s="10">
        <f t="shared" si="8"/>
        <v>18.54043392504931</v>
      </c>
    </row>
    <row r="235" spans="1:7">
      <c r="A235">
        <f t="shared" si="7"/>
        <v>6</v>
      </c>
      <c r="B235">
        <v>60101</v>
      </c>
      <c r="C235">
        <v>66115</v>
      </c>
      <c r="D235">
        <v>9903</v>
      </c>
      <c r="E235">
        <v>3802</v>
      </c>
      <c r="F235">
        <v>1311</v>
      </c>
      <c r="G235" s="10">
        <f t="shared" si="8"/>
        <v>5.750586099977312</v>
      </c>
    </row>
    <row r="236" spans="1:7">
      <c r="A236">
        <f t="shared" si="7"/>
        <v>6</v>
      </c>
      <c r="B236">
        <v>60201</v>
      </c>
      <c r="C236">
        <v>5218</v>
      </c>
      <c r="D236">
        <v>1790</v>
      </c>
      <c r="E236">
        <v>990</v>
      </c>
      <c r="F236">
        <v>449</v>
      </c>
      <c r="G236" s="10">
        <f t="shared" si="8"/>
        <v>18.972786508240706</v>
      </c>
    </row>
    <row r="237" spans="1:7">
      <c r="A237">
        <f t="shared" si="7"/>
        <v>6</v>
      </c>
      <c r="B237">
        <v>60202</v>
      </c>
      <c r="C237">
        <v>9904</v>
      </c>
      <c r="D237">
        <v>1328</v>
      </c>
      <c r="E237">
        <v>424</v>
      </c>
      <c r="F237">
        <v>123</v>
      </c>
      <c r="G237" s="10">
        <f t="shared" si="8"/>
        <v>4.2810985460420028</v>
      </c>
    </row>
    <row r="238" spans="1:7">
      <c r="A238">
        <f t="shared" si="7"/>
        <v>6</v>
      </c>
      <c r="B238">
        <v>60301</v>
      </c>
      <c r="C238">
        <v>25327</v>
      </c>
      <c r="D238">
        <v>3250</v>
      </c>
      <c r="E238">
        <v>1144</v>
      </c>
      <c r="F238">
        <v>299</v>
      </c>
      <c r="G238" s="10">
        <f t="shared" si="8"/>
        <v>4.5169187033600506</v>
      </c>
    </row>
    <row r="239" spans="1:7">
      <c r="A239">
        <f t="shared" si="7"/>
        <v>6</v>
      </c>
      <c r="B239">
        <v>60302</v>
      </c>
      <c r="C239">
        <v>4392</v>
      </c>
      <c r="D239">
        <v>995</v>
      </c>
      <c r="E239">
        <v>418</v>
      </c>
      <c r="F239">
        <v>157</v>
      </c>
      <c r="G239" s="10">
        <f t="shared" si="8"/>
        <v>9.5173041894353378</v>
      </c>
    </row>
    <row r="240" spans="1:7">
      <c r="A240">
        <f t="shared" si="7"/>
        <v>6</v>
      </c>
      <c r="B240">
        <v>60303</v>
      </c>
      <c r="C240">
        <v>13201</v>
      </c>
      <c r="D240">
        <v>2551</v>
      </c>
      <c r="E240">
        <v>718</v>
      </c>
      <c r="F240">
        <v>190</v>
      </c>
      <c r="G240" s="10">
        <f t="shared" si="8"/>
        <v>5.4389818953109614</v>
      </c>
    </row>
    <row r="241" spans="1:7">
      <c r="A241">
        <f t="shared" si="7"/>
        <v>6</v>
      </c>
      <c r="B241">
        <v>60401</v>
      </c>
      <c r="C241">
        <v>4332</v>
      </c>
      <c r="D241">
        <v>1042</v>
      </c>
      <c r="E241">
        <v>517</v>
      </c>
      <c r="F241">
        <v>242</v>
      </c>
      <c r="G241" s="10">
        <f t="shared" si="8"/>
        <v>11.934441366574331</v>
      </c>
    </row>
    <row r="242" spans="1:7">
      <c r="A242">
        <f t="shared" si="7"/>
        <v>6</v>
      </c>
      <c r="B242">
        <v>60402</v>
      </c>
      <c r="C242">
        <v>1356</v>
      </c>
      <c r="D242">
        <v>726</v>
      </c>
      <c r="E242">
        <v>396</v>
      </c>
      <c r="F242">
        <v>193</v>
      </c>
      <c r="G242" s="10">
        <f t="shared" si="8"/>
        <v>29.20353982300885</v>
      </c>
    </row>
    <row r="243" spans="1:7">
      <c r="A243">
        <f t="shared" si="7"/>
        <v>6</v>
      </c>
      <c r="B243">
        <v>60501</v>
      </c>
      <c r="C243">
        <v>8536</v>
      </c>
      <c r="D243">
        <v>1971</v>
      </c>
      <c r="E243">
        <v>951</v>
      </c>
      <c r="F243">
        <v>367</v>
      </c>
      <c r="G243" s="10">
        <f t="shared" si="8"/>
        <v>11.141049671977507</v>
      </c>
    </row>
    <row r="244" spans="1:7">
      <c r="A244">
        <f t="shared" si="7"/>
        <v>6</v>
      </c>
      <c r="B244">
        <v>60502</v>
      </c>
      <c r="C244">
        <v>2952</v>
      </c>
      <c r="D244">
        <v>1053</v>
      </c>
      <c r="E244">
        <v>555</v>
      </c>
      <c r="F244">
        <v>227</v>
      </c>
      <c r="G244" s="10">
        <f t="shared" si="8"/>
        <v>18.800813008130081</v>
      </c>
    </row>
    <row r="245" spans="1:7">
      <c r="A245">
        <f t="shared" si="7"/>
        <v>6</v>
      </c>
      <c r="B245">
        <v>60601</v>
      </c>
      <c r="C245">
        <v>5997</v>
      </c>
      <c r="D245">
        <v>1753</v>
      </c>
      <c r="E245">
        <v>657</v>
      </c>
      <c r="F245">
        <v>180</v>
      </c>
      <c r="G245" s="10">
        <f t="shared" si="8"/>
        <v>10.955477738869435</v>
      </c>
    </row>
    <row r="246" spans="1:7">
      <c r="A246">
        <f t="shared" si="7"/>
        <v>7</v>
      </c>
      <c r="B246">
        <v>70101</v>
      </c>
      <c r="C246">
        <v>421625</v>
      </c>
      <c r="D246">
        <v>51865</v>
      </c>
      <c r="E246">
        <v>24601</v>
      </c>
      <c r="F246">
        <v>13466</v>
      </c>
      <c r="G246" s="10">
        <f t="shared" si="8"/>
        <v>5.8348058108508747</v>
      </c>
    </row>
    <row r="247" spans="1:7">
      <c r="A247">
        <f t="shared" si="7"/>
        <v>7</v>
      </c>
      <c r="B247">
        <v>70102</v>
      </c>
      <c r="C247">
        <v>23887</v>
      </c>
      <c r="D247">
        <v>5448</v>
      </c>
      <c r="E247">
        <v>3009</v>
      </c>
      <c r="F247">
        <v>1807</v>
      </c>
      <c r="G247" s="10">
        <f t="shared" si="8"/>
        <v>12.596809980324025</v>
      </c>
    </row>
    <row r="248" spans="1:7">
      <c r="A248">
        <f t="shared" si="7"/>
        <v>7</v>
      </c>
      <c r="B248">
        <v>70103</v>
      </c>
      <c r="C248">
        <v>8522</v>
      </c>
      <c r="D248">
        <v>1548</v>
      </c>
      <c r="E248">
        <v>768</v>
      </c>
      <c r="F248">
        <v>408</v>
      </c>
      <c r="G248" s="10">
        <f t="shared" si="8"/>
        <v>9.0119690213564887</v>
      </c>
    </row>
    <row r="249" spans="1:7">
      <c r="A249">
        <f t="shared" si="7"/>
        <v>7</v>
      </c>
      <c r="B249">
        <v>70104</v>
      </c>
      <c r="C249">
        <v>40714</v>
      </c>
      <c r="D249">
        <v>5523</v>
      </c>
      <c r="E249">
        <v>2584</v>
      </c>
      <c r="F249">
        <v>1305</v>
      </c>
      <c r="G249" s="10">
        <f t="shared" si="8"/>
        <v>6.3467112049909122</v>
      </c>
    </row>
    <row r="250" spans="1:7">
      <c r="A250">
        <f t="shared" si="7"/>
        <v>7</v>
      </c>
      <c r="B250">
        <v>70105</v>
      </c>
      <c r="C250">
        <v>15568</v>
      </c>
      <c r="D250">
        <v>2346</v>
      </c>
      <c r="E250">
        <v>1116</v>
      </c>
      <c r="F250">
        <v>572</v>
      </c>
      <c r="G250" s="10">
        <f t="shared" si="8"/>
        <v>7.1685508735868444</v>
      </c>
    </row>
    <row r="251" spans="1:7">
      <c r="A251">
        <f t="shared" si="7"/>
        <v>7</v>
      </c>
      <c r="B251">
        <v>70201</v>
      </c>
      <c r="C251">
        <v>47624</v>
      </c>
      <c r="D251">
        <v>8307</v>
      </c>
      <c r="E251">
        <v>4534</v>
      </c>
      <c r="F251">
        <v>2590</v>
      </c>
      <c r="G251" s="10">
        <f t="shared" si="8"/>
        <v>9.520409877372753</v>
      </c>
    </row>
    <row r="252" spans="1:7">
      <c r="A252">
        <f t="shared" si="7"/>
        <v>7</v>
      </c>
      <c r="B252">
        <v>70202</v>
      </c>
      <c r="C252">
        <v>2190</v>
      </c>
      <c r="D252">
        <v>427</v>
      </c>
      <c r="E252">
        <v>250</v>
      </c>
      <c r="F252">
        <v>170</v>
      </c>
      <c r="G252" s="10">
        <f t="shared" si="8"/>
        <v>11.415525114155251</v>
      </c>
    </row>
    <row r="253" spans="1:7">
      <c r="A253">
        <f t="shared" si="7"/>
        <v>7</v>
      </c>
      <c r="B253">
        <v>70301</v>
      </c>
      <c r="C253">
        <v>288</v>
      </c>
      <c r="D253">
        <v>28</v>
      </c>
      <c r="E253">
        <v>13</v>
      </c>
      <c r="F253">
        <v>11</v>
      </c>
      <c r="G253" s="10">
        <f t="shared" si="8"/>
        <v>4.5138888888888893</v>
      </c>
    </row>
    <row r="254" spans="1:7">
      <c r="A254">
        <f t="shared" si="7"/>
        <v>7</v>
      </c>
      <c r="B254">
        <v>70302</v>
      </c>
      <c r="C254">
        <v>72</v>
      </c>
      <c r="D254">
        <v>10</v>
      </c>
      <c r="E254">
        <v>3</v>
      </c>
      <c r="F254">
        <v>3</v>
      </c>
      <c r="G254" s="10">
        <f t="shared" si="8"/>
        <v>4.166666666666667</v>
      </c>
    </row>
    <row r="255" spans="1:7">
      <c r="A255">
        <f t="shared" si="7"/>
        <v>7</v>
      </c>
      <c r="B255">
        <v>70303</v>
      </c>
      <c r="C255">
        <v>16</v>
      </c>
      <c r="D255">
        <v>4</v>
      </c>
      <c r="E255">
        <v>2</v>
      </c>
      <c r="F255">
        <v>2</v>
      </c>
      <c r="G255" s="10">
        <f t="shared" si="8"/>
        <v>12.5</v>
      </c>
    </row>
    <row r="256" spans="1:7">
      <c r="A256">
        <f t="shared" si="7"/>
        <v>7</v>
      </c>
      <c r="B256">
        <v>70401</v>
      </c>
      <c r="C256">
        <v>3948</v>
      </c>
      <c r="D256">
        <v>784</v>
      </c>
      <c r="E256">
        <v>429</v>
      </c>
      <c r="F256">
        <v>231</v>
      </c>
      <c r="G256" s="10">
        <f t="shared" si="8"/>
        <v>10.866261398176292</v>
      </c>
    </row>
    <row r="257" spans="1:7">
      <c r="A257">
        <f t="shared" si="7"/>
        <v>7</v>
      </c>
      <c r="B257">
        <v>70402</v>
      </c>
      <c r="C257">
        <v>4626</v>
      </c>
      <c r="D257">
        <v>785</v>
      </c>
      <c r="E257">
        <v>427</v>
      </c>
      <c r="F257">
        <v>279</v>
      </c>
      <c r="G257" s="10">
        <f t="shared" si="8"/>
        <v>9.2304366623432763</v>
      </c>
    </row>
    <row r="258" spans="1:7">
      <c r="A258">
        <f t="shared" si="7"/>
        <v>7</v>
      </c>
      <c r="B258">
        <v>70403</v>
      </c>
      <c r="C258">
        <v>13526</v>
      </c>
      <c r="D258">
        <v>2369</v>
      </c>
      <c r="E258">
        <v>1230</v>
      </c>
      <c r="F258">
        <v>710</v>
      </c>
      <c r="G258" s="10">
        <f t="shared" si="8"/>
        <v>9.0935975158953131</v>
      </c>
    </row>
    <row r="259" spans="1:7">
      <c r="A259">
        <f t="shared" ref="A259:A323" si="9">VALUE(MID(B259,1,1))</f>
        <v>7</v>
      </c>
      <c r="B259">
        <v>70404</v>
      </c>
      <c r="C259">
        <v>1881</v>
      </c>
      <c r="D259">
        <v>323</v>
      </c>
      <c r="E259">
        <v>191</v>
      </c>
      <c r="F259">
        <v>116</v>
      </c>
      <c r="G259" s="10">
        <f t="shared" ref="G259:G323" si="10">100*E259/C259</f>
        <v>10.15417331206805</v>
      </c>
    </row>
    <row r="260" spans="1:7">
      <c r="A260">
        <f t="shared" si="9"/>
        <v>7</v>
      </c>
      <c r="B260">
        <v>70501</v>
      </c>
      <c r="C260">
        <v>269</v>
      </c>
      <c r="D260">
        <v>62</v>
      </c>
      <c r="E260">
        <v>36</v>
      </c>
      <c r="F260">
        <v>24</v>
      </c>
      <c r="G260" s="10">
        <f t="shared" si="10"/>
        <v>13.382899628252789</v>
      </c>
    </row>
    <row r="261" spans="1:7">
      <c r="A261">
        <f t="shared" si="9"/>
        <v>7</v>
      </c>
      <c r="B261">
        <v>70502</v>
      </c>
      <c r="C261">
        <v>6504</v>
      </c>
      <c r="D261">
        <v>1186</v>
      </c>
      <c r="E261">
        <v>588</v>
      </c>
      <c r="F261">
        <v>368</v>
      </c>
      <c r="G261" s="10">
        <f t="shared" si="10"/>
        <v>9.0405904059040587</v>
      </c>
    </row>
    <row r="262" spans="1:7">
      <c r="A262">
        <f t="shared" si="9"/>
        <v>7</v>
      </c>
      <c r="B262">
        <v>70503</v>
      </c>
      <c r="C262">
        <v>313</v>
      </c>
      <c r="D262">
        <v>66</v>
      </c>
      <c r="E262">
        <v>37</v>
      </c>
      <c r="F262">
        <v>21</v>
      </c>
      <c r="G262" s="10">
        <f t="shared" si="10"/>
        <v>11.821086261980831</v>
      </c>
    </row>
    <row r="263" spans="1:7">
      <c r="A263">
        <f t="shared" si="9"/>
        <v>7</v>
      </c>
      <c r="B263">
        <v>70601</v>
      </c>
      <c r="C263">
        <v>4855</v>
      </c>
      <c r="D263">
        <v>608</v>
      </c>
      <c r="E263">
        <v>297</v>
      </c>
      <c r="F263">
        <v>154</v>
      </c>
      <c r="G263" s="10">
        <f t="shared" si="10"/>
        <v>6.11740473738414</v>
      </c>
    </row>
    <row r="264" spans="1:7">
      <c r="A264">
        <f t="shared" si="9"/>
        <v>7</v>
      </c>
      <c r="B264">
        <v>70602</v>
      </c>
      <c r="C264">
        <v>3794</v>
      </c>
      <c r="D264">
        <v>764</v>
      </c>
      <c r="E264">
        <v>419</v>
      </c>
      <c r="F264">
        <v>248</v>
      </c>
      <c r="G264" s="10">
        <f t="shared" si="10"/>
        <v>11.043753294675804</v>
      </c>
    </row>
    <row r="265" spans="1:7">
      <c r="A265">
        <f t="shared" si="9"/>
        <v>7</v>
      </c>
      <c r="B265">
        <v>70603</v>
      </c>
      <c r="C265">
        <v>1217</v>
      </c>
      <c r="D265">
        <v>243</v>
      </c>
      <c r="E265">
        <v>145</v>
      </c>
      <c r="F265">
        <v>100</v>
      </c>
      <c r="G265" s="10">
        <f t="shared" si="10"/>
        <v>11.914543960558751</v>
      </c>
    </row>
    <row r="266" spans="1:7">
      <c r="A266">
        <f t="shared" si="9"/>
        <v>7</v>
      </c>
      <c r="B266">
        <v>70701</v>
      </c>
      <c r="C266">
        <v>174</v>
      </c>
      <c r="D266">
        <v>39</v>
      </c>
      <c r="E266">
        <v>22</v>
      </c>
      <c r="F266">
        <v>18</v>
      </c>
      <c r="G266" s="10">
        <f t="shared" si="10"/>
        <v>12.64367816091954</v>
      </c>
    </row>
    <row r="267" spans="1:7">
      <c r="A267">
        <f t="shared" si="9"/>
        <v>7</v>
      </c>
      <c r="B267">
        <v>70702</v>
      </c>
      <c r="C267">
        <v>1038</v>
      </c>
      <c r="D267">
        <v>263</v>
      </c>
      <c r="E267">
        <v>140</v>
      </c>
      <c r="F267">
        <v>16</v>
      </c>
      <c r="G267" s="10">
        <f t="shared" si="10"/>
        <v>13.48747591522158</v>
      </c>
    </row>
    <row r="268" spans="1:7">
      <c r="A268">
        <f t="shared" si="9"/>
        <v>7</v>
      </c>
      <c r="B268">
        <v>70703</v>
      </c>
      <c r="C268">
        <v>4703</v>
      </c>
      <c r="D268">
        <v>1079</v>
      </c>
      <c r="E268">
        <v>596</v>
      </c>
      <c r="F268">
        <v>339</v>
      </c>
      <c r="G268" s="10">
        <f t="shared" si="10"/>
        <v>12.672762066765895</v>
      </c>
    </row>
    <row r="269" spans="1:7">
      <c r="A269">
        <f t="shared" si="9"/>
        <v>7</v>
      </c>
      <c r="B269">
        <v>70704</v>
      </c>
      <c r="C269">
        <v>165</v>
      </c>
      <c r="D269">
        <v>40</v>
      </c>
      <c r="E269">
        <v>21</v>
      </c>
      <c r="F269">
        <v>13</v>
      </c>
      <c r="G269" s="10">
        <f t="shared" si="10"/>
        <v>12.727272727272727</v>
      </c>
    </row>
    <row r="270" spans="1:7">
      <c r="A270">
        <f t="shared" si="9"/>
        <v>7</v>
      </c>
      <c r="B270">
        <v>70705</v>
      </c>
      <c r="C270">
        <v>260</v>
      </c>
      <c r="D270">
        <v>73</v>
      </c>
      <c r="E270">
        <v>39</v>
      </c>
      <c r="F270">
        <v>30</v>
      </c>
      <c r="G270" s="10">
        <f t="shared" si="10"/>
        <v>15</v>
      </c>
    </row>
    <row r="271" spans="1:7">
      <c r="A271">
        <f t="shared" si="9"/>
        <v>7</v>
      </c>
      <c r="B271">
        <v>70706</v>
      </c>
      <c r="C271">
        <v>2030</v>
      </c>
      <c r="D271">
        <v>285</v>
      </c>
      <c r="E271">
        <v>115</v>
      </c>
      <c r="F271">
        <v>57</v>
      </c>
      <c r="G271" s="10">
        <f t="shared" si="10"/>
        <v>5.6650246305418719</v>
      </c>
    </row>
    <row r="272" spans="1:7">
      <c r="A272">
        <f t="shared" si="9"/>
        <v>7</v>
      </c>
      <c r="B272">
        <v>70707</v>
      </c>
      <c r="C272">
        <v>224</v>
      </c>
      <c r="D272">
        <v>52</v>
      </c>
      <c r="E272">
        <v>25</v>
      </c>
      <c r="F272">
        <v>9</v>
      </c>
      <c r="G272" s="10">
        <f t="shared" si="10"/>
        <v>11.160714285714286</v>
      </c>
    </row>
    <row r="273" spans="1:7">
      <c r="A273">
        <f t="shared" si="9"/>
        <v>7</v>
      </c>
      <c r="B273">
        <v>70801</v>
      </c>
      <c r="C273">
        <v>442</v>
      </c>
      <c r="D273">
        <v>106</v>
      </c>
      <c r="E273">
        <v>39</v>
      </c>
      <c r="F273">
        <v>10</v>
      </c>
      <c r="G273" s="10">
        <f t="shared" si="10"/>
        <v>8.8235294117647065</v>
      </c>
    </row>
    <row r="274" spans="1:7">
      <c r="A274">
        <f t="shared" si="9"/>
        <v>7</v>
      </c>
      <c r="B274">
        <v>70802</v>
      </c>
      <c r="C274">
        <v>48</v>
      </c>
      <c r="D274">
        <v>20</v>
      </c>
      <c r="E274">
        <v>10</v>
      </c>
      <c r="F274">
        <v>3</v>
      </c>
      <c r="G274" s="10">
        <f t="shared" si="10"/>
        <v>20.833333333333332</v>
      </c>
    </row>
    <row r="275" spans="1:7">
      <c r="A275">
        <f t="shared" si="9"/>
        <v>7</v>
      </c>
      <c r="B275">
        <v>70803</v>
      </c>
      <c r="C275">
        <v>33</v>
      </c>
      <c r="D275">
        <v>5</v>
      </c>
      <c r="E275">
        <v>3</v>
      </c>
      <c r="F275">
        <v>0</v>
      </c>
      <c r="G275" s="10">
        <f t="shared" si="10"/>
        <v>9.0909090909090917</v>
      </c>
    </row>
    <row r="276" spans="1:7">
      <c r="A276">
        <f t="shared" si="9"/>
        <v>7</v>
      </c>
      <c r="B276">
        <v>70804</v>
      </c>
      <c r="C276">
        <v>16</v>
      </c>
      <c r="D276">
        <v>9</v>
      </c>
      <c r="E276">
        <v>7</v>
      </c>
      <c r="F276">
        <v>1</v>
      </c>
      <c r="G276" s="10">
        <f t="shared" si="10"/>
        <v>43.75</v>
      </c>
    </row>
    <row r="277" spans="1:7">
      <c r="A277">
        <f t="shared" si="9"/>
        <v>7</v>
      </c>
      <c r="B277">
        <v>70901</v>
      </c>
      <c r="C277">
        <v>493</v>
      </c>
      <c r="D277">
        <v>123</v>
      </c>
      <c r="E277">
        <v>61</v>
      </c>
      <c r="F277">
        <v>27</v>
      </c>
      <c r="G277" s="10">
        <f t="shared" si="10"/>
        <v>12.373225152129818</v>
      </c>
    </row>
    <row r="278" spans="1:7">
      <c r="A278">
        <f t="shared" si="9"/>
        <v>7</v>
      </c>
      <c r="B278">
        <v>70902</v>
      </c>
      <c r="C278">
        <v>220</v>
      </c>
      <c r="D278">
        <v>41</v>
      </c>
      <c r="E278">
        <v>19</v>
      </c>
      <c r="F278">
        <v>9</v>
      </c>
      <c r="G278" s="10">
        <f t="shared" si="10"/>
        <v>8.6363636363636367</v>
      </c>
    </row>
    <row r="279" spans="1:7">
      <c r="A279">
        <f t="shared" si="9"/>
        <v>7</v>
      </c>
      <c r="B279">
        <v>70903</v>
      </c>
      <c r="C279">
        <v>260</v>
      </c>
      <c r="D279">
        <v>49</v>
      </c>
      <c r="E279">
        <v>28</v>
      </c>
      <c r="F279">
        <v>15</v>
      </c>
      <c r="G279" s="10">
        <f t="shared" si="10"/>
        <v>10.76923076923077</v>
      </c>
    </row>
    <row r="280" spans="1:7">
      <c r="A280">
        <f t="shared" si="9"/>
        <v>7</v>
      </c>
      <c r="B280">
        <v>70904</v>
      </c>
      <c r="C280">
        <v>41</v>
      </c>
      <c r="D280">
        <v>10</v>
      </c>
      <c r="E280">
        <v>3</v>
      </c>
      <c r="F280">
        <v>0</v>
      </c>
      <c r="G280" s="10">
        <f t="shared" si="10"/>
        <v>7.3170731707317076</v>
      </c>
    </row>
    <row r="281" spans="1:7">
      <c r="A281">
        <f t="shared" si="9"/>
        <v>7</v>
      </c>
      <c r="B281">
        <v>71001</v>
      </c>
      <c r="C281">
        <v>32005</v>
      </c>
      <c r="D281">
        <v>4223</v>
      </c>
      <c r="E281">
        <v>1838</v>
      </c>
      <c r="F281">
        <v>908</v>
      </c>
      <c r="G281" s="10">
        <f t="shared" si="10"/>
        <v>5.7428526792688643</v>
      </c>
    </row>
    <row r="282" spans="1:7">
      <c r="A282">
        <f t="shared" si="9"/>
        <v>7</v>
      </c>
      <c r="B282">
        <v>71002</v>
      </c>
      <c r="C282">
        <v>3257</v>
      </c>
      <c r="D282">
        <v>610</v>
      </c>
      <c r="E282">
        <v>335</v>
      </c>
      <c r="F282">
        <v>197</v>
      </c>
      <c r="G282" s="10">
        <f t="shared" si="10"/>
        <v>10.285538839422781</v>
      </c>
    </row>
    <row r="283" spans="1:7">
      <c r="A283">
        <f t="shared" si="9"/>
        <v>7</v>
      </c>
      <c r="B283">
        <v>71003</v>
      </c>
      <c r="C283">
        <v>5322</v>
      </c>
      <c r="D283">
        <v>811</v>
      </c>
      <c r="E283">
        <v>402</v>
      </c>
      <c r="F283">
        <v>246</v>
      </c>
      <c r="G283" s="10">
        <f t="shared" si="10"/>
        <v>7.5535512965050735</v>
      </c>
    </row>
    <row r="284" spans="1:7">
      <c r="A284">
        <f t="shared" si="9"/>
        <v>7</v>
      </c>
      <c r="B284">
        <v>71004</v>
      </c>
      <c r="C284">
        <v>3045</v>
      </c>
      <c r="D284">
        <v>486</v>
      </c>
      <c r="E284">
        <v>243</v>
      </c>
      <c r="F284">
        <v>143</v>
      </c>
      <c r="G284" s="10">
        <f t="shared" si="10"/>
        <v>7.9802955665024626</v>
      </c>
    </row>
    <row r="285" spans="1:7">
      <c r="A285">
        <f t="shared" si="9"/>
        <v>7</v>
      </c>
      <c r="B285">
        <v>71005</v>
      </c>
      <c r="C285">
        <v>3413</v>
      </c>
      <c r="D285">
        <v>593</v>
      </c>
      <c r="E285">
        <v>324</v>
      </c>
      <c r="F285">
        <v>194</v>
      </c>
      <c r="G285" s="10">
        <f t="shared" si="10"/>
        <v>9.4931145619689428</v>
      </c>
    </row>
    <row r="286" spans="1:7">
      <c r="A286">
        <f t="shared" si="9"/>
        <v>7</v>
      </c>
      <c r="B286">
        <v>71101</v>
      </c>
      <c r="C286">
        <v>599</v>
      </c>
      <c r="D286">
        <v>148</v>
      </c>
      <c r="E286">
        <v>67</v>
      </c>
      <c r="F286">
        <v>32</v>
      </c>
      <c r="G286" s="10">
        <f t="shared" si="10"/>
        <v>11.185308848080133</v>
      </c>
    </row>
    <row r="287" spans="1:7">
      <c r="A287">
        <f t="shared" si="9"/>
        <v>7</v>
      </c>
      <c r="B287">
        <v>71102</v>
      </c>
      <c r="C287">
        <v>161</v>
      </c>
      <c r="D287">
        <v>40</v>
      </c>
      <c r="E287">
        <v>25</v>
      </c>
      <c r="F287">
        <v>15</v>
      </c>
      <c r="G287" s="10">
        <f t="shared" si="10"/>
        <v>15.527950310559007</v>
      </c>
    </row>
    <row r="288" spans="1:7">
      <c r="A288">
        <f t="shared" si="9"/>
        <v>7</v>
      </c>
      <c r="B288">
        <v>71103</v>
      </c>
      <c r="C288">
        <v>162</v>
      </c>
      <c r="D288">
        <v>41</v>
      </c>
      <c r="E288">
        <v>19</v>
      </c>
      <c r="F288">
        <v>11</v>
      </c>
      <c r="G288" s="10">
        <f t="shared" si="10"/>
        <v>11.728395061728396</v>
      </c>
    </row>
    <row r="289" spans="1:7">
      <c r="A289">
        <f t="shared" si="9"/>
        <v>7</v>
      </c>
      <c r="B289">
        <v>71104</v>
      </c>
      <c r="C289">
        <v>1517</v>
      </c>
      <c r="D289">
        <v>287</v>
      </c>
      <c r="E289">
        <v>134</v>
      </c>
      <c r="F289">
        <v>72</v>
      </c>
      <c r="G289" s="10">
        <f t="shared" si="10"/>
        <v>8.8332234673698089</v>
      </c>
    </row>
    <row r="290" spans="1:7">
      <c r="A290">
        <f t="shared" si="9"/>
        <v>7</v>
      </c>
      <c r="B290">
        <v>71105</v>
      </c>
      <c r="C290">
        <v>146</v>
      </c>
      <c r="D290">
        <v>32</v>
      </c>
      <c r="E290">
        <v>14</v>
      </c>
      <c r="F290">
        <v>12</v>
      </c>
      <c r="G290" s="10">
        <f t="shared" si="10"/>
        <v>9.5890410958904102</v>
      </c>
    </row>
    <row r="291" spans="1:7">
      <c r="A291">
        <f t="shared" si="9"/>
        <v>7</v>
      </c>
      <c r="B291">
        <v>71201</v>
      </c>
      <c r="C291">
        <v>16</v>
      </c>
      <c r="D291">
        <v>0</v>
      </c>
      <c r="E291">
        <v>0</v>
      </c>
      <c r="F291">
        <v>0</v>
      </c>
      <c r="G291" s="10">
        <f t="shared" si="10"/>
        <v>0</v>
      </c>
    </row>
    <row r="292" spans="1:7">
      <c r="A292">
        <f t="shared" si="9"/>
        <v>7</v>
      </c>
      <c r="B292">
        <v>71301</v>
      </c>
      <c r="C292">
        <v>585</v>
      </c>
      <c r="D292">
        <v>136</v>
      </c>
      <c r="E292">
        <v>52</v>
      </c>
      <c r="F292">
        <v>18</v>
      </c>
      <c r="G292" s="10">
        <f t="shared" si="10"/>
        <v>8.8888888888888893</v>
      </c>
    </row>
    <row r="293" spans="1:7">
      <c r="A293">
        <f t="shared" si="9"/>
        <v>7</v>
      </c>
      <c r="B293">
        <v>71302</v>
      </c>
      <c r="C293">
        <v>105</v>
      </c>
      <c r="D293">
        <v>24</v>
      </c>
      <c r="E293">
        <v>11</v>
      </c>
      <c r="F293">
        <v>4</v>
      </c>
      <c r="G293" s="10">
        <f t="shared" si="10"/>
        <v>10.476190476190476</v>
      </c>
    </row>
    <row r="294" spans="1:7">
      <c r="A294">
        <f t="shared" si="9"/>
        <v>7</v>
      </c>
      <c r="B294">
        <v>71401</v>
      </c>
      <c r="C294">
        <v>257</v>
      </c>
      <c r="D294">
        <v>51</v>
      </c>
      <c r="E294">
        <v>25</v>
      </c>
      <c r="F294">
        <v>16</v>
      </c>
      <c r="G294" s="10">
        <f t="shared" si="10"/>
        <v>9.7276264591439681</v>
      </c>
    </row>
    <row r="295" spans="1:7">
      <c r="A295">
        <f t="shared" si="9"/>
        <v>7</v>
      </c>
      <c r="B295">
        <v>71402</v>
      </c>
      <c r="C295">
        <v>354</v>
      </c>
      <c r="D295">
        <v>58</v>
      </c>
      <c r="E295">
        <v>27</v>
      </c>
      <c r="F295">
        <v>15</v>
      </c>
      <c r="G295" s="10">
        <f t="shared" si="10"/>
        <v>7.6271186440677967</v>
      </c>
    </row>
    <row r="296" spans="1:7">
      <c r="A296">
        <f t="shared" si="9"/>
        <v>7</v>
      </c>
      <c r="B296">
        <v>71403</v>
      </c>
      <c r="C296">
        <v>40</v>
      </c>
      <c r="D296">
        <v>8</v>
      </c>
      <c r="E296">
        <v>3</v>
      </c>
      <c r="F296">
        <v>1</v>
      </c>
      <c r="G296" s="10">
        <f t="shared" si="10"/>
        <v>7.5</v>
      </c>
    </row>
    <row r="297" spans="1:7">
      <c r="A297">
        <f t="shared" si="9"/>
        <v>7</v>
      </c>
      <c r="B297">
        <v>71501</v>
      </c>
      <c r="C297">
        <v>632</v>
      </c>
      <c r="D297">
        <v>172</v>
      </c>
      <c r="E297">
        <v>81</v>
      </c>
      <c r="F297">
        <v>61</v>
      </c>
      <c r="G297" s="10">
        <f t="shared" si="10"/>
        <v>12.816455696202532</v>
      </c>
    </row>
    <row r="298" spans="1:7">
      <c r="A298">
        <f t="shared" si="9"/>
        <v>7</v>
      </c>
      <c r="B298">
        <v>71502</v>
      </c>
      <c r="C298">
        <v>80</v>
      </c>
      <c r="D298">
        <v>24</v>
      </c>
      <c r="E298">
        <v>16</v>
      </c>
      <c r="F298">
        <v>13</v>
      </c>
      <c r="G298" s="10">
        <f t="shared" si="10"/>
        <v>20</v>
      </c>
    </row>
    <row r="299" spans="1:7">
      <c r="A299">
        <f t="shared" si="9"/>
        <v>7</v>
      </c>
      <c r="B299">
        <v>71503</v>
      </c>
      <c r="C299">
        <v>157</v>
      </c>
      <c r="D299">
        <v>46</v>
      </c>
      <c r="E299">
        <v>23</v>
      </c>
      <c r="F299">
        <v>7</v>
      </c>
      <c r="G299" s="10">
        <f t="shared" si="10"/>
        <v>14.64968152866242</v>
      </c>
    </row>
    <row r="300" spans="1:7">
      <c r="A300">
        <f t="shared" si="9"/>
        <v>8</v>
      </c>
      <c r="B300">
        <v>80101</v>
      </c>
      <c r="C300">
        <v>33095</v>
      </c>
      <c r="D300">
        <v>2845</v>
      </c>
      <c r="E300">
        <v>405</v>
      </c>
      <c r="F300">
        <v>79</v>
      </c>
      <c r="G300" s="10">
        <f t="shared" si="10"/>
        <v>1.2237498111497205</v>
      </c>
    </row>
    <row r="301" spans="1:7">
      <c r="A301">
        <f t="shared" si="9"/>
        <v>8</v>
      </c>
      <c r="B301">
        <v>80102</v>
      </c>
      <c r="C301">
        <v>402</v>
      </c>
      <c r="D301">
        <v>63</v>
      </c>
      <c r="E301">
        <v>18</v>
      </c>
      <c r="F301">
        <v>2</v>
      </c>
      <c r="G301" s="10">
        <f t="shared" si="10"/>
        <v>4.4776119402985071</v>
      </c>
    </row>
    <row r="302" spans="1:7">
      <c r="A302">
        <f t="shared" si="9"/>
        <v>8</v>
      </c>
      <c r="B302">
        <v>80201</v>
      </c>
      <c r="C302">
        <v>23337</v>
      </c>
      <c r="D302">
        <v>2251</v>
      </c>
      <c r="E302">
        <v>387</v>
      </c>
      <c r="F302">
        <v>67</v>
      </c>
      <c r="G302" s="10">
        <f t="shared" si="10"/>
        <v>1.658310836868492</v>
      </c>
    </row>
    <row r="303" spans="1:7">
      <c r="A303">
        <f t="shared" si="9"/>
        <v>8</v>
      </c>
      <c r="B303">
        <v>80202</v>
      </c>
      <c r="C303">
        <v>9284</v>
      </c>
      <c r="D303">
        <v>608</v>
      </c>
      <c r="E303">
        <v>71</v>
      </c>
      <c r="F303">
        <v>14</v>
      </c>
      <c r="G303" s="10">
        <f t="shared" si="10"/>
        <v>0.76475657044377421</v>
      </c>
    </row>
    <row r="304" spans="1:7">
      <c r="A304">
        <f t="shared" si="9"/>
        <v>8</v>
      </c>
      <c r="B304">
        <v>80301</v>
      </c>
      <c r="C304">
        <v>2213</v>
      </c>
      <c r="D304">
        <v>294</v>
      </c>
      <c r="E304">
        <v>68</v>
      </c>
      <c r="F304">
        <v>15</v>
      </c>
      <c r="G304" s="10">
        <f t="shared" si="10"/>
        <v>3.0727519204699503</v>
      </c>
    </row>
    <row r="305" spans="1:7">
      <c r="A305">
        <f t="shared" si="9"/>
        <v>8</v>
      </c>
      <c r="B305">
        <v>80302</v>
      </c>
      <c r="C305">
        <v>8467</v>
      </c>
      <c r="D305">
        <v>1435</v>
      </c>
      <c r="E305">
        <v>274</v>
      </c>
      <c r="F305">
        <v>41</v>
      </c>
      <c r="G305" s="10">
        <f t="shared" si="10"/>
        <v>3.2360930672020785</v>
      </c>
    </row>
    <row r="306" spans="1:7">
      <c r="A306">
        <f t="shared" si="9"/>
        <v>8</v>
      </c>
      <c r="B306">
        <v>80303</v>
      </c>
      <c r="C306">
        <v>1913</v>
      </c>
      <c r="D306">
        <v>353</v>
      </c>
      <c r="E306">
        <v>58</v>
      </c>
      <c r="F306">
        <v>0</v>
      </c>
      <c r="G306" s="10">
        <f t="shared" si="10"/>
        <v>3.0318870883429168</v>
      </c>
    </row>
    <row r="307" spans="1:7">
      <c r="A307">
        <f t="shared" si="9"/>
        <v>8</v>
      </c>
      <c r="B307">
        <v>80304</v>
      </c>
      <c r="C307">
        <v>5695</v>
      </c>
      <c r="D307">
        <v>1352</v>
      </c>
      <c r="E307">
        <v>316</v>
      </c>
      <c r="F307">
        <v>48</v>
      </c>
      <c r="G307" s="10">
        <f t="shared" si="10"/>
        <v>5.5487269534679546</v>
      </c>
    </row>
    <row r="308" spans="1:7">
      <c r="A308">
        <f t="shared" si="9"/>
        <v>8</v>
      </c>
      <c r="B308">
        <v>80401</v>
      </c>
      <c r="C308">
        <v>3233</v>
      </c>
      <c r="D308">
        <v>323</v>
      </c>
      <c r="E308">
        <v>72</v>
      </c>
      <c r="F308">
        <v>20</v>
      </c>
      <c r="G308" s="10">
        <f t="shared" si="10"/>
        <v>2.2270337148159602</v>
      </c>
    </row>
    <row r="309" spans="1:7">
      <c r="A309">
        <f t="shared" si="9"/>
        <v>8</v>
      </c>
      <c r="B309">
        <v>80402</v>
      </c>
      <c r="C309">
        <v>183</v>
      </c>
      <c r="D309">
        <v>18</v>
      </c>
      <c r="E309">
        <v>0</v>
      </c>
      <c r="F309">
        <v>0</v>
      </c>
      <c r="G309" s="10">
        <f t="shared" si="10"/>
        <v>0</v>
      </c>
    </row>
    <row r="310" spans="1:7">
      <c r="A310">
        <f t="shared" si="9"/>
        <v>8</v>
      </c>
      <c r="B310">
        <v>80501</v>
      </c>
      <c r="C310">
        <v>3548</v>
      </c>
      <c r="D310">
        <v>624</v>
      </c>
      <c r="E310">
        <v>99</v>
      </c>
      <c r="F310">
        <v>17</v>
      </c>
      <c r="G310" s="10">
        <f t="shared" si="10"/>
        <v>2.7903043968432919</v>
      </c>
    </row>
    <row r="311" spans="1:7">
      <c r="A311">
        <f t="shared" si="9"/>
        <v>8</v>
      </c>
      <c r="B311">
        <v>80601</v>
      </c>
      <c r="C311">
        <v>350</v>
      </c>
      <c r="D311">
        <v>74</v>
      </c>
      <c r="E311">
        <v>13</v>
      </c>
      <c r="F311">
        <v>5</v>
      </c>
      <c r="G311" s="10">
        <f t="shared" si="10"/>
        <v>3.7142857142857144</v>
      </c>
    </row>
    <row r="312" spans="1:7">
      <c r="A312">
        <f t="shared" si="9"/>
        <v>8</v>
      </c>
      <c r="B312">
        <v>80602</v>
      </c>
      <c r="C312">
        <v>1332</v>
      </c>
      <c r="D312">
        <v>259</v>
      </c>
      <c r="E312">
        <v>75</v>
      </c>
      <c r="F312">
        <v>16</v>
      </c>
      <c r="G312" s="10">
        <f t="shared" si="10"/>
        <v>5.6306306306306304</v>
      </c>
    </row>
    <row r="313" spans="1:7">
      <c r="A313">
        <f t="shared" si="9"/>
        <v>8</v>
      </c>
      <c r="B313">
        <v>80701</v>
      </c>
      <c r="C313">
        <v>1192</v>
      </c>
      <c r="D313">
        <v>134</v>
      </c>
      <c r="E313">
        <v>15</v>
      </c>
      <c r="F313">
        <v>2</v>
      </c>
      <c r="G313" s="10">
        <f t="shared" si="10"/>
        <v>1.2583892617449663</v>
      </c>
    </row>
    <row r="314" spans="1:7">
      <c r="A314">
        <f t="shared" si="9"/>
        <v>8</v>
      </c>
      <c r="B314">
        <v>80702</v>
      </c>
      <c r="C314">
        <v>1065</v>
      </c>
      <c r="D314">
        <v>122</v>
      </c>
      <c r="E314">
        <v>23</v>
      </c>
      <c r="F314">
        <v>0</v>
      </c>
      <c r="G314" s="10">
        <f t="shared" si="10"/>
        <v>2.15962441314554</v>
      </c>
    </row>
    <row r="315" spans="1:7">
      <c r="A315">
        <f t="shared" si="9"/>
        <v>8</v>
      </c>
      <c r="B315">
        <v>80801</v>
      </c>
      <c r="C315">
        <v>2366</v>
      </c>
      <c r="D315">
        <v>269</v>
      </c>
      <c r="E315">
        <v>39</v>
      </c>
      <c r="F315">
        <v>5</v>
      </c>
      <c r="G315" s="10">
        <f t="shared" si="10"/>
        <v>1.6483516483516483</v>
      </c>
    </row>
    <row r="316" spans="1:7">
      <c r="A316">
        <f t="shared" si="9"/>
        <v>8</v>
      </c>
      <c r="B316">
        <v>80802</v>
      </c>
      <c r="C316">
        <v>1149</v>
      </c>
      <c r="D316">
        <v>175</v>
      </c>
      <c r="E316">
        <v>16</v>
      </c>
      <c r="F316">
        <v>2</v>
      </c>
      <c r="G316" s="10">
        <f t="shared" si="10"/>
        <v>1.392515230635335</v>
      </c>
    </row>
    <row r="317" spans="1:7">
      <c r="A317">
        <f t="shared" si="9"/>
        <v>8</v>
      </c>
      <c r="B317">
        <v>80803</v>
      </c>
      <c r="C317">
        <v>834</v>
      </c>
      <c r="D317">
        <v>97</v>
      </c>
      <c r="E317">
        <v>8</v>
      </c>
      <c r="F317">
        <v>0</v>
      </c>
      <c r="G317" s="10">
        <f t="shared" si="10"/>
        <v>0.95923261390887293</v>
      </c>
    </row>
    <row r="318" spans="1:7">
      <c r="A318">
        <f t="shared" si="9"/>
        <v>9</v>
      </c>
      <c r="B318">
        <v>90101</v>
      </c>
      <c r="C318">
        <v>15132</v>
      </c>
      <c r="D318">
        <v>1570</v>
      </c>
      <c r="E318">
        <v>262</v>
      </c>
      <c r="F318">
        <v>58</v>
      </c>
      <c r="G318" s="10">
        <f t="shared" si="10"/>
        <v>1.7314300819455459</v>
      </c>
    </row>
    <row r="319" spans="1:7">
      <c r="A319">
        <f t="shared" si="9"/>
        <v>9</v>
      </c>
      <c r="B319">
        <v>90102</v>
      </c>
      <c r="C319">
        <v>1358</v>
      </c>
      <c r="D319">
        <v>237</v>
      </c>
      <c r="E319">
        <v>42</v>
      </c>
      <c r="F319">
        <v>3</v>
      </c>
      <c r="G319" s="10">
        <f t="shared" si="10"/>
        <v>3.0927835051546393</v>
      </c>
    </row>
    <row r="320" spans="1:7">
      <c r="A320">
        <f t="shared" si="9"/>
        <v>9</v>
      </c>
      <c r="B320">
        <v>90104</v>
      </c>
      <c r="C320">
        <v>437</v>
      </c>
      <c r="D320">
        <v>75</v>
      </c>
      <c r="E320">
        <v>16</v>
      </c>
      <c r="F320">
        <v>2</v>
      </c>
      <c r="G320" s="10">
        <f t="shared" si="10"/>
        <v>3.6613272311212817</v>
      </c>
    </row>
    <row r="321" spans="1:7">
      <c r="A321">
        <f t="shared" si="9"/>
        <v>9</v>
      </c>
      <c r="B321">
        <v>90201</v>
      </c>
      <c r="C321">
        <v>1247</v>
      </c>
      <c r="D321">
        <v>211</v>
      </c>
      <c r="E321">
        <v>38</v>
      </c>
      <c r="F321">
        <v>5</v>
      </c>
      <c r="G321" s="10">
        <f t="shared" si="10"/>
        <v>3.0473135525260626</v>
      </c>
    </row>
    <row r="322" spans="1:7">
      <c r="A322">
        <f t="shared" si="9"/>
        <v>9</v>
      </c>
      <c r="B322">
        <v>90202</v>
      </c>
      <c r="C322">
        <v>155</v>
      </c>
      <c r="D322">
        <v>18</v>
      </c>
      <c r="E322">
        <v>4</v>
      </c>
      <c r="F322">
        <v>1</v>
      </c>
      <c r="G322" s="10">
        <f t="shared" si="10"/>
        <v>2.5806451612903225</v>
      </c>
    </row>
    <row r="323" spans="1:7">
      <c r="A323">
        <f t="shared" si="9"/>
        <v>9</v>
      </c>
      <c r="B323">
        <v>90203</v>
      </c>
      <c r="C323">
        <v>1104</v>
      </c>
      <c r="D323">
        <v>194</v>
      </c>
      <c r="E323">
        <v>42</v>
      </c>
      <c r="F323">
        <v>7</v>
      </c>
      <c r="G323" s="10">
        <f t="shared" si="10"/>
        <v>3.8043478260869565</v>
      </c>
    </row>
    <row r="324" spans="1:7">
      <c r="A324">
        <f t="shared" ref="A324:A326" si="11">VALUE(MID(B324,1,1))</f>
        <v>9</v>
      </c>
      <c r="B324">
        <v>90302</v>
      </c>
      <c r="C324">
        <v>833</v>
      </c>
      <c r="D324">
        <v>142</v>
      </c>
      <c r="E324">
        <v>11</v>
      </c>
      <c r="F324">
        <v>4</v>
      </c>
      <c r="G324" s="10">
        <f t="shared" ref="G324:G326" si="12">100*E324/C324</f>
        <v>1.3205282112845138</v>
      </c>
    </row>
    <row r="325" spans="1:7">
      <c r="A325">
        <f t="shared" si="11"/>
        <v>9</v>
      </c>
      <c r="B325">
        <v>90303</v>
      </c>
      <c r="C325">
        <v>1101</v>
      </c>
      <c r="D325">
        <v>143</v>
      </c>
      <c r="E325">
        <v>22</v>
      </c>
      <c r="F325">
        <v>3</v>
      </c>
      <c r="G325" s="10">
        <f t="shared" si="12"/>
        <v>1.9981834695731153</v>
      </c>
    </row>
    <row r="326" spans="1:7">
      <c r="A326">
        <f t="shared" si="11"/>
        <v>9</v>
      </c>
      <c r="B326">
        <v>90401</v>
      </c>
      <c r="C326">
        <v>476</v>
      </c>
      <c r="D326">
        <v>100</v>
      </c>
      <c r="E326">
        <v>34</v>
      </c>
      <c r="F326">
        <v>11</v>
      </c>
      <c r="G326" s="10">
        <f t="shared" si="12"/>
        <v>7.1428571428571432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D69F-11B8-4226-BE73-76CBC498E52C}">
  <sheetPr codeName="Hoja3"/>
  <dimension ref="A1:D344"/>
  <sheetViews>
    <sheetView topLeftCell="A217" workbookViewId="0">
      <selection activeCell="C228" sqref="C228"/>
    </sheetView>
  </sheetViews>
  <sheetFormatPr baseColWidth="10" defaultRowHeight="14.4"/>
  <cols>
    <col min="3" max="4" width="57.109375" customWidth="1"/>
  </cols>
  <sheetData>
    <row r="1" spans="1:4" ht="15">
      <c r="A1" s="7" t="s">
        <v>5</v>
      </c>
      <c r="B1" s="7" t="s">
        <v>6</v>
      </c>
      <c r="C1" s="2" t="s">
        <v>362</v>
      </c>
      <c r="D1" s="2" t="s">
        <v>363</v>
      </c>
    </row>
    <row r="2" spans="1:4">
      <c r="A2" s="3">
        <v>10101</v>
      </c>
      <c r="B2" s="4" t="s">
        <v>7</v>
      </c>
      <c r="C2" s="14">
        <f>IFERROR(VLOOKUP(A2,datos_2016!$B$1:$G$330,6,FALSE),"")</f>
        <v>3.5945917867584858</v>
      </c>
      <c r="D2" s="14">
        <f>IFERROR(VLOOKUP(A2,datos_2024!$B$1:$G$322,6,FALSE),"")</f>
        <v>5.2751906949302541</v>
      </c>
    </row>
    <row r="3" spans="1:4">
      <c r="A3" s="5">
        <v>10102</v>
      </c>
      <c r="B3" s="6" t="s">
        <v>8</v>
      </c>
      <c r="C3" s="14">
        <f>IFERROR(VLOOKUP(A3,datos_2016!$B$1:$G$330,6,FALSE),"")</f>
        <v>11.469387755102041</v>
      </c>
      <c r="D3" s="14">
        <f>IFERROR(VLOOKUP(A3,datos_2024!$B$1:$G$322,6,FALSE),"")</f>
        <v>14.721723518850988</v>
      </c>
    </row>
    <row r="4" spans="1:4">
      <c r="A4" s="3">
        <v>10103</v>
      </c>
      <c r="B4" s="4" t="s">
        <v>9</v>
      </c>
      <c r="C4" s="14">
        <f>IFERROR(VLOOKUP(A4,datos_2016!$B$1:$G$330,6,FALSE),"")</f>
        <v>14.946236559139784</v>
      </c>
      <c r="D4" s="14">
        <f>IFERROR(VLOOKUP(A4,datos_2024!$B$1:$G$322,6,FALSE),"")</f>
        <v>13.786764705882353</v>
      </c>
    </row>
    <row r="5" spans="1:4">
      <c r="A5" s="5">
        <v>10201</v>
      </c>
      <c r="B5" s="6" t="s">
        <v>10</v>
      </c>
      <c r="C5" s="14">
        <f>IFERROR(VLOOKUP(A5,datos_2016!$B$1:$G$330,6,FALSE),"")</f>
        <v>10.771276595744681</v>
      </c>
      <c r="D5" s="14">
        <f>IFERROR(VLOOKUP(A5,datos_2024!$B$1:$G$322,6,FALSE),"")</f>
        <v>16.494133885438234</v>
      </c>
    </row>
    <row r="6" spans="1:4">
      <c r="A6" s="3">
        <v>10202</v>
      </c>
      <c r="B6" s="4" t="s">
        <v>11</v>
      </c>
      <c r="C6" s="14">
        <f>IFERROR(VLOOKUP(A6,datos_2016!$B$1:$G$330,6,FALSE),"")</f>
        <v>12.298136645962733</v>
      </c>
      <c r="D6" s="14">
        <f>IFERROR(VLOOKUP(A6,datos_2024!$B$1:$G$322,6,FALSE),"")</f>
        <v>14.458804523424879</v>
      </c>
    </row>
    <row r="7" spans="1:4">
      <c r="A7" s="5">
        <v>10301</v>
      </c>
      <c r="B7" s="6" t="s">
        <v>12</v>
      </c>
      <c r="C7" s="14">
        <f>IFERROR(VLOOKUP(A7,datos_2016!$B$1:$G$330,6,FALSE),"")</f>
        <v>13.682277318640955</v>
      </c>
      <c r="D7" s="14">
        <f>IFERROR(VLOOKUP(A7,datos_2024!$B$1:$G$322,6,FALSE),"")</f>
        <v>13.723459347488348</v>
      </c>
    </row>
    <row r="8" spans="1:4">
      <c r="A8" s="3">
        <v>10302</v>
      </c>
      <c r="B8" s="4" t="s">
        <v>13</v>
      </c>
      <c r="C8" s="14">
        <f>IFERROR(VLOOKUP(A8,datos_2016!$B$1:$G$330,6,FALSE),"")</f>
        <v>8.120868744098205</v>
      </c>
      <c r="D8" s="14">
        <f>IFERROR(VLOOKUP(A8,datos_2024!$B$1:$G$322,6,FALSE),"")</f>
        <v>7.8804347826086953</v>
      </c>
    </row>
    <row r="9" spans="1:4">
      <c r="A9" s="5">
        <v>10303</v>
      </c>
      <c r="B9" s="6" t="s">
        <v>14</v>
      </c>
      <c r="C9" s="14">
        <f>IFERROR(VLOOKUP(A9,datos_2016!$B$1:$G$330,6,FALSE),"")</f>
        <v>9.453125</v>
      </c>
      <c r="D9" s="14">
        <f>IFERROR(VLOOKUP(A9,datos_2024!$B$1:$G$322,6,FALSE),"")</f>
        <v>11.517467248908297</v>
      </c>
    </row>
    <row r="10" spans="1:4">
      <c r="A10" s="3">
        <v>10304</v>
      </c>
      <c r="B10" s="4" t="s">
        <v>15</v>
      </c>
      <c r="C10" s="14">
        <f>IFERROR(VLOOKUP(A10,datos_2016!$B$1:$G$330,6,FALSE),"")</f>
        <v>10.603715170278639</v>
      </c>
      <c r="D10" s="14">
        <f>IFERROR(VLOOKUP(A10,datos_2024!$B$1:$G$322,6,FALSE),"")</f>
        <v>10.427807486631016</v>
      </c>
    </row>
    <row r="11" spans="1:4">
      <c r="A11" s="5">
        <v>10401</v>
      </c>
      <c r="B11" s="6" t="s">
        <v>16</v>
      </c>
      <c r="C11" s="14">
        <f>IFERROR(VLOOKUP(A11,datos_2016!$B$1:$G$330,6,FALSE),"")</f>
        <v>8.9014084507042259</v>
      </c>
      <c r="D11" s="14">
        <f>IFERROR(VLOOKUP(A11,datos_2024!$B$1:$G$322,6,FALSE),"")</f>
        <v>10.861694424330196</v>
      </c>
    </row>
    <row r="12" spans="1:4">
      <c r="A12" s="3">
        <v>10402</v>
      </c>
      <c r="B12" s="4" t="s">
        <v>17</v>
      </c>
      <c r="C12" s="14">
        <f>IFERROR(VLOOKUP(A12,datos_2016!$B$1:$G$330,6,FALSE),"")</f>
        <v>8.5910652920962196</v>
      </c>
      <c r="D12" s="14">
        <f>IFERROR(VLOOKUP(A12,datos_2024!$B$1:$G$322,6,FALSE),"")</f>
        <v>12.475633528265107</v>
      </c>
    </row>
    <row r="13" spans="1:4">
      <c r="A13" s="5">
        <v>10403</v>
      </c>
      <c r="B13" s="6" t="s">
        <v>18</v>
      </c>
      <c r="C13" s="14">
        <f>IFERROR(VLOOKUP(A13,datos_2016!$B$1:$G$330,6,FALSE),"")</f>
        <v>5.0125313283208017</v>
      </c>
      <c r="D13" s="14">
        <f>IFERROR(VLOOKUP(A13,datos_2024!$B$1:$G$322,6,FALSE),"")</f>
        <v>13.740458015267176</v>
      </c>
    </row>
    <row r="14" spans="1:4">
      <c r="A14" s="3">
        <v>10404</v>
      </c>
      <c r="B14" s="4" t="s">
        <v>19</v>
      </c>
      <c r="C14" s="14">
        <f>IFERROR(VLOOKUP(A14,datos_2016!$B$1:$G$330,6,FALSE),"")</f>
        <v>10</v>
      </c>
      <c r="D14" s="14">
        <f>IFERROR(VLOOKUP(A14,datos_2024!$B$1:$G$322,6,FALSE),"")</f>
        <v>15.113122171945701</v>
      </c>
    </row>
    <row r="15" spans="1:4">
      <c r="A15" s="5">
        <v>10405</v>
      </c>
      <c r="B15" s="6" t="s">
        <v>20</v>
      </c>
      <c r="C15" s="14">
        <f>IFERROR(VLOOKUP(A15,datos_2016!$B$1:$G$330,6,FALSE),"")</f>
        <v>20.346820809248555</v>
      </c>
      <c r="D15" s="14">
        <f>IFERROR(VLOOKUP(A15,datos_2024!$B$1:$G$322,6,FALSE),"")</f>
        <v>13.503305004721435</v>
      </c>
    </row>
    <row r="16" spans="1:4">
      <c r="A16" s="3">
        <v>10501</v>
      </c>
      <c r="B16" s="4" t="s">
        <v>21</v>
      </c>
      <c r="C16" s="14">
        <f>IFERROR(VLOOKUP(A16,datos_2016!$B$1:$G$330,6,FALSE),"")</f>
        <v>4.2787000233808747</v>
      </c>
      <c r="D16" s="14">
        <f>IFERROR(VLOOKUP(A16,datos_2024!$B$1:$G$322,6,FALSE),"")</f>
        <v>6.2862374122673179</v>
      </c>
    </row>
    <row r="17" spans="1:4">
      <c r="A17" s="5">
        <v>10502</v>
      </c>
      <c r="B17" s="6" t="s">
        <v>22</v>
      </c>
      <c r="C17" s="14">
        <f>IFERROR(VLOOKUP(A17,datos_2016!$B$1:$G$330,6,FALSE),"")</f>
        <v>3.1968031968031969</v>
      </c>
      <c r="D17" s="14">
        <f>IFERROR(VLOOKUP(A17,datos_2024!$B$1:$G$322,6,FALSE),"")</f>
        <v>7.3277967757694187</v>
      </c>
    </row>
    <row r="18" spans="1:4">
      <c r="A18" s="3">
        <v>10601</v>
      </c>
      <c r="B18" s="4" t="s">
        <v>23</v>
      </c>
      <c r="C18" s="14">
        <f>IFERROR(VLOOKUP(A18,datos_2016!$B$1:$G$330,6,FALSE),"")</f>
        <v>8.7099424815119146</v>
      </c>
      <c r="D18" s="14">
        <f>IFERROR(VLOOKUP(A18,datos_2024!$B$1:$G$322,6,FALSE),"")</f>
        <v>15.743756786102063</v>
      </c>
    </row>
    <row r="19" spans="1:4">
      <c r="A19" s="5">
        <v>10602</v>
      </c>
      <c r="B19" s="6" t="s">
        <v>24</v>
      </c>
      <c r="C19" s="14">
        <f>IFERROR(VLOOKUP(A19,datos_2016!$B$1:$G$330,6,FALSE),"")</f>
        <v>11.366245694603904</v>
      </c>
      <c r="D19" s="14">
        <f>IFERROR(VLOOKUP(A19,datos_2024!$B$1:$G$322,6,FALSE),"")</f>
        <v>17.92242532322782</v>
      </c>
    </row>
    <row r="20" spans="1:4">
      <c r="A20" s="3">
        <v>10701</v>
      </c>
      <c r="B20" s="4" t="s">
        <v>25</v>
      </c>
      <c r="C20" s="14">
        <f>IFERROR(VLOOKUP(A20,datos_2016!$B$1:$G$330,6,FALSE),"")</f>
        <v>10.78129375525063</v>
      </c>
      <c r="D20" s="14">
        <f>IFERROR(VLOOKUP(A20,datos_2024!$B$1:$G$322,6,FALSE),"")</f>
        <v>15.914121292607348</v>
      </c>
    </row>
    <row r="21" spans="1:4">
      <c r="A21" s="5">
        <v>10702</v>
      </c>
      <c r="B21" s="6" t="s">
        <v>26</v>
      </c>
      <c r="C21" s="14">
        <f>IFERROR(VLOOKUP(A21,datos_2016!$B$1:$G$330,6,FALSE),"")</f>
        <v>17.571466037241017</v>
      </c>
      <c r="D21" s="14">
        <f>IFERROR(VLOOKUP(A21,datos_2024!$B$1:$G$322,6,FALSE),"")</f>
        <v>23.201438848920862</v>
      </c>
    </row>
    <row r="22" spans="1:4">
      <c r="A22" s="3">
        <v>10703</v>
      </c>
      <c r="B22" s="4" t="s">
        <v>27</v>
      </c>
      <c r="C22" s="14">
        <f>IFERROR(VLOOKUP(A22,datos_2016!$B$1:$G$330,6,FALSE),"")</f>
        <v>7.6761303890641432</v>
      </c>
      <c r="D22" s="14">
        <f>IFERROR(VLOOKUP(A22,datos_2024!$B$1:$G$322,6,FALSE),"")</f>
        <v>10.736842105263158</v>
      </c>
    </row>
    <row r="23" spans="1:4">
      <c r="A23" s="5">
        <v>10704</v>
      </c>
      <c r="B23" s="6" t="s">
        <v>28</v>
      </c>
      <c r="C23" s="14">
        <f>IFERROR(VLOOKUP(A23,datos_2016!$B$1:$G$330,6,FALSE),"")</f>
        <v>9.4226579520697165</v>
      </c>
      <c r="D23" s="14">
        <f>IFERROR(VLOOKUP(A23,datos_2024!$B$1:$G$322,6,FALSE),"")</f>
        <v>13.471698113207546</v>
      </c>
    </row>
    <row r="24" spans="1:4">
      <c r="A24" s="3">
        <v>10801</v>
      </c>
      <c r="B24" s="4" t="s">
        <v>29</v>
      </c>
      <c r="C24" s="14">
        <f>IFERROR(VLOOKUP(A24,datos_2016!$B$1:$G$330,6,FALSE),"")</f>
        <v>10.931899641577061</v>
      </c>
      <c r="D24" s="14">
        <f>IFERROR(VLOOKUP(A24,datos_2024!$B$1:$G$322,6,FALSE),"")</f>
        <v>15.688622754491018</v>
      </c>
    </row>
    <row r="25" spans="1:4">
      <c r="A25" s="5">
        <v>10901</v>
      </c>
      <c r="B25" s="6" t="s">
        <v>30</v>
      </c>
      <c r="C25" s="14">
        <f>IFERROR(VLOOKUP(A25,datos_2016!$B$1:$G$330,6,FALSE),"")</f>
        <v>11.878787878787879</v>
      </c>
      <c r="D25" s="14">
        <f>IFERROR(VLOOKUP(A25,datos_2024!$B$1:$G$322,6,FALSE),"")</f>
        <v>17.685185185185187</v>
      </c>
    </row>
    <row r="26" spans="1:4">
      <c r="A26" s="3">
        <v>10902</v>
      </c>
      <c r="B26" s="4" t="s">
        <v>31</v>
      </c>
      <c r="C26" s="14">
        <f>IFERROR(VLOOKUP(A26,datos_2016!$B$1:$G$330,6,FALSE),"")</f>
        <v>8.6715079026057236</v>
      </c>
      <c r="D26" s="14">
        <f>IFERROR(VLOOKUP(A26,datos_2024!$B$1:$G$322,6,FALSE),"")</f>
        <v>10.214681440443213</v>
      </c>
    </row>
    <row r="27" spans="1:4">
      <c r="A27" s="5">
        <v>10903</v>
      </c>
      <c r="B27" s="6" t="s">
        <v>32</v>
      </c>
      <c r="C27" s="14">
        <f>IFERROR(VLOOKUP(A27,datos_2016!$B$1:$G$330,6,FALSE),"")</f>
        <v>11.180904522613066</v>
      </c>
      <c r="D27" s="14">
        <f>IFERROR(VLOOKUP(A27,datos_2024!$B$1:$G$322,6,FALSE),"")</f>
        <v>19.057171514543629</v>
      </c>
    </row>
    <row r="28" spans="1:4">
      <c r="A28" s="3">
        <v>11001</v>
      </c>
      <c r="B28" s="4" t="s">
        <v>33</v>
      </c>
      <c r="C28" s="14">
        <f>IFERROR(VLOOKUP(A28,datos_2016!$B$1:$G$330,6,FALSE),"")</f>
        <v>1.6521739130434783</v>
      </c>
      <c r="D28" s="14">
        <f>IFERROR(VLOOKUP(A28,datos_2024!$B$1:$G$322,6,FALSE),"")</f>
        <v>5.3563111318118306</v>
      </c>
    </row>
    <row r="29" spans="1:4">
      <c r="A29" s="5">
        <v>11002</v>
      </c>
      <c r="B29" s="6" t="s">
        <v>34</v>
      </c>
      <c r="C29" s="14">
        <f>IFERROR(VLOOKUP(A29,datos_2016!$B$1:$G$330,6,FALSE),"")</f>
        <v>7.6045627376425857</v>
      </c>
      <c r="D29" s="14">
        <f>IFERROR(VLOOKUP(A29,datos_2024!$B$1:$G$322,6,FALSE),"")</f>
        <v>11.428571428571429</v>
      </c>
    </row>
    <row r="30" spans="1:4">
      <c r="A30" s="3">
        <v>11003</v>
      </c>
      <c r="B30" s="4" t="s">
        <v>35</v>
      </c>
      <c r="C30" s="14">
        <f>IFERROR(VLOOKUP(A30,datos_2016!$B$1:$G$330,6,FALSE),"")</f>
        <v>6.5554231227651965</v>
      </c>
      <c r="D30" s="14">
        <f>IFERROR(VLOOKUP(A30,datos_2024!$B$1:$G$322,6,FALSE),"")</f>
        <v>7.349896480331263</v>
      </c>
    </row>
    <row r="31" spans="1:4">
      <c r="A31" s="5">
        <v>20101</v>
      </c>
      <c r="B31" s="6" t="s">
        <v>36</v>
      </c>
      <c r="C31" s="14">
        <f>IFERROR(VLOOKUP(A31,datos_2016!$B$1:$G$330,6,FALSE),"")</f>
        <v>4.398383615961194</v>
      </c>
      <c r="D31" s="14">
        <f>IFERROR(VLOOKUP(A31,datos_2024!$B$1:$G$322,6,FALSE),"")</f>
        <v>5.9893116785158318</v>
      </c>
    </row>
    <row r="32" spans="1:4">
      <c r="A32" s="3">
        <v>20102</v>
      </c>
      <c r="B32" s="4" t="s">
        <v>37</v>
      </c>
      <c r="C32" s="14">
        <f>IFERROR(VLOOKUP(A32,datos_2016!$B$1:$G$330,6,FALSE),"")</f>
        <v>8.4018022793532996</v>
      </c>
      <c r="D32" s="14">
        <f>IFERROR(VLOOKUP(A32,datos_2024!$B$1:$G$322,6,FALSE),"")</f>
        <v>9.3836246550137989</v>
      </c>
    </row>
    <row r="33" spans="1:4">
      <c r="A33" s="5">
        <v>20103</v>
      </c>
      <c r="B33" s="6" t="s">
        <v>38</v>
      </c>
      <c r="C33" s="14">
        <f>IFERROR(VLOOKUP(A33,datos_2016!$B$1:$G$330,6,FALSE),"")</f>
        <v>10.552423900789178</v>
      </c>
      <c r="D33" s="14">
        <f>IFERROR(VLOOKUP(A33,datos_2024!$B$1:$G$322,6,FALSE),"")</f>
        <v>11.827665627963691</v>
      </c>
    </row>
    <row r="34" spans="1:4">
      <c r="A34" s="3">
        <v>20104</v>
      </c>
      <c r="B34" s="4" t="s">
        <v>39</v>
      </c>
      <c r="C34" s="14">
        <f>IFERROR(VLOOKUP(A34,datos_2016!$B$1:$G$330,6,FALSE),"")</f>
        <v>13.54872329338197</v>
      </c>
      <c r="D34" s="14">
        <f>IFERROR(VLOOKUP(A34,datos_2024!$B$1:$G$322,6,FALSE),"")</f>
        <v>16.934163118244349</v>
      </c>
    </row>
    <row r="35" spans="1:4">
      <c r="A35" s="5">
        <v>20105</v>
      </c>
      <c r="B35" s="6" t="s">
        <v>40</v>
      </c>
      <c r="C35" s="14">
        <f>IFERROR(VLOOKUP(A35,datos_2016!$B$1:$G$330,6,FALSE),"")</f>
        <v>7.7712815804350219</v>
      </c>
      <c r="D35" s="14">
        <f>IFERROR(VLOOKUP(A35,datos_2024!$B$1:$G$322,6,FALSE),"")</f>
        <v>7.5545089944739834</v>
      </c>
    </row>
    <row r="36" spans="1:4">
      <c r="A36" s="3">
        <v>20201</v>
      </c>
      <c r="B36" s="4" t="s">
        <v>41</v>
      </c>
      <c r="C36" s="14">
        <f>IFERROR(VLOOKUP(A36,datos_2016!$B$1:$G$330,6,FALSE),"")</f>
        <v>9.2137260199945956</v>
      </c>
      <c r="D36" s="14">
        <f>IFERROR(VLOOKUP(A36,datos_2024!$B$1:$G$322,6,FALSE),"")</f>
        <v>12.583608967291436</v>
      </c>
    </row>
    <row r="37" spans="1:4">
      <c r="A37" s="5">
        <v>20202</v>
      </c>
      <c r="B37" s="6" t="s">
        <v>42</v>
      </c>
      <c r="C37" s="14">
        <f>IFERROR(VLOOKUP(A37,datos_2016!$B$1:$G$330,6,FALSE),"")</f>
        <v>21.349009900990097</v>
      </c>
      <c r="D37" s="14">
        <f>IFERROR(VLOOKUP(A37,datos_2024!$B$1:$G$322,6,FALSE),"")</f>
        <v>16.355983162958509</v>
      </c>
    </row>
    <row r="38" spans="1:4">
      <c r="A38" s="3">
        <v>20203</v>
      </c>
      <c r="B38" s="4" t="s">
        <v>43</v>
      </c>
      <c r="C38" s="14">
        <f>IFERROR(VLOOKUP(A38,datos_2016!$B$1:$G$330,6,FALSE),"")</f>
        <v>13.340807174887892</v>
      </c>
      <c r="D38" s="14">
        <f>IFERROR(VLOOKUP(A38,datos_2024!$B$1:$G$322,6,FALSE),"")</f>
        <v>16.289592760180994</v>
      </c>
    </row>
    <row r="39" spans="1:4">
      <c r="A39" s="5">
        <v>20204</v>
      </c>
      <c r="B39" s="6" t="s">
        <v>44</v>
      </c>
      <c r="C39" s="14">
        <f>IFERROR(VLOOKUP(A39,datos_2016!$B$1:$G$330,6,FALSE),"")</f>
        <v>18.160831088880339</v>
      </c>
      <c r="D39" s="14">
        <f>IFERROR(VLOOKUP(A39,datos_2024!$B$1:$G$322,6,FALSE),"")</f>
        <v>16.159782115297322</v>
      </c>
    </row>
    <row r="40" spans="1:4">
      <c r="A40" s="3">
        <v>20205</v>
      </c>
      <c r="B40" s="4" t="s">
        <v>45</v>
      </c>
      <c r="C40" s="14">
        <f>IFERROR(VLOOKUP(A40,datos_2016!$B$1:$G$330,6,FALSE),"")</f>
        <v>18.974175035868004</v>
      </c>
      <c r="D40" s="14">
        <f>IFERROR(VLOOKUP(A40,datos_2024!$B$1:$G$322,6,FALSE),"")</f>
        <v>22.084998183799492</v>
      </c>
    </row>
    <row r="41" spans="1:4">
      <c r="A41" s="5">
        <v>20206</v>
      </c>
      <c r="B41" s="6" t="s">
        <v>46</v>
      </c>
      <c r="C41" s="14">
        <f>IFERROR(VLOOKUP(A41,datos_2016!$B$1:$G$330,6,FALSE),"")</f>
        <v>20.17067494181536</v>
      </c>
      <c r="D41" s="14">
        <f>IFERROR(VLOOKUP(A41,datos_2024!$B$1:$G$322,6,FALSE),"")</f>
        <v>21.864406779661017</v>
      </c>
    </row>
    <row r="42" spans="1:4">
      <c r="A42" s="3">
        <v>20301</v>
      </c>
      <c r="B42" s="4" t="s">
        <v>47</v>
      </c>
      <c r="C42" s="14">
        <f>IFERROR(VLOOKUP(A42,datos_2016!$B$1:$G$330,6,FALSE),"")</f>
        <v>26.058743169398905</v>
      </c>
      <c r="D42" s="14">
        <f>IFERROR(VLOOKUP(A42,datos_2024!$B$1:$G$322,6,FALSE),"")</f>
        <v>26.715945089757128</v>
      </c>
    </row>
    <row r="43" spans="1:4">
      <c r="A43" s="5">
        <v>20302</v>
      </c>
      <c r="B43" s="6" t="s">
        <v>48</v>
      </c>
      <c r="C43" s="14">
        <f>IFERROR(VLOOKUP(A43,datos_2016!$B$1:$G$330,6,FALSE),"")</f>
        <v>27.28358208955224</v>
      </c>
      <c r="D43" s="14">
        <f>IFERROR(VLOOKUP(A43,datos_2024!$B$1:$G$322,6,FALSE),"")</f>
        <v>30.045662100456621</v>
      </c>
    </row>
    <row r="44" spans="1:4">
      <c r="A44" s="3">
        <v>20303</v>
      </c>
      <c r="B44" s="4" t="s">
        <v>49</v>
      </c>
      <c r="C44" s="14">
        <f>IFERROR(VLOOKUP(A44,datos_2016!$B$1:$G$330,6,FALSE),"")</f>
        <v>30.680813439434129</v>
      </c>
      <c r="D44" s="14">
        <f>IFERROR(VLOOKUP(A44,datos_2024!$B$1:$G$322,6,FALSE),"")</f>
        <v>33.674082982561636</v>
      </c>
    </row>
    <row r="45" spans="1:4">
      <c r="A45" s="5">
        <v>20304</v>
      </c>
      <c r="B45" s="6" t="s">
        <v>50</v>
      </c>
      <c r="C45" s="14">
        <f>IFERROR(VLOOKUP(A45,datos_2016!$B$1:$G$330,6,FALSE),"")</f>
        <v>20.68230277185501</v>
      </c>
      <c r="D45" s="14">
        <f>IFERROR(VLOOKUP(A45,datos_2024!$B$1:$G$322,6,FALSE),"")</f>
        <v>26.198630136986303</v>
      </c>
    </row>
    <row r="46" spans="1:4">
      <c r="A46" s="3">
        <v>20305</v>
      </c>
      <c r="B46" s="4" t="s">
        <v>51</v>
      </c>
      <c r="C46" s="14">
        <f>IFERROR(VLOOKUP(A46,datos_2016!$B$1:$G$330,6,FALSE),"")</f>
        <v>17.478510028653297</v>
      </c>
      <c r="D46" s="14">
        <f>IFERROR(VLOOKUP(A46,datos_2024!$B$1:$G$322,6,FALSE),"")</f>
        <v>16.331658291457288</v>
      </c>
    </row>
    <row r="47" spans="1:4">
      <c r="A47" s="5">
        <v>20306</v>
      </c>
      <c r="B47" s="6" t="s">
        <v>52</v>
      </c>
      <c r="C47" s="14">
        <f>IFERROR(VLOOKUP(A47,datos_2016!$B$1:$G$330,6,FALSE),"")</f>
        <v>16.981132075471699</v>
      </c>
      <c r="D47" s="14" t="str">
        <f>IFERROR(VLOOKUP(A47,datos_2024!$B$1:$G$322,6,FALSE),"")</f>
        <v/>
      </c>
    </row>
    <row r="48" spans="1:4">
      <c r="A48" s="3">
        <v>20307</v>
      </c>
      <c r="B48" s="4" t="s">
        <v>53</v>
      </c>
      <c r="C48" s="14">
        <f>IFERROR(VLOOKUP(A48,datos_2016!$B$1:$G$330,6,FALSE),"")</f>
        <v>16.831683168316832</v>
      </c>
      <c r="D48" s="14">
        <f>IFERROR(VLOOKUP(A48,datos_2024!$B$1:$G$322,6,FALSE),"")</f>
        <v>23.076923076923077</v>
      </c>
    </row>
    <row r="49" spans="1:4">
      <c r="A49" s="5">
        <v>20308</v>
      </c>
      <c r="B49" s="6" t="s">
        <v>54</v>
      </c>
      <c r="C49" s="14">
        <f>IFERROR(VLOOKUP(A49,datos_2016!$B$1:$G$330,6,FALSE),"")</f>
        <v>49.63680387409201</v>
      </c>
      <c r="D49" s="14">
        <f>IFERROR(VLOOKUP(A49,datos_2024!$B$1:$G$322,6,FALSE),"")</f>
        <v>34.834437086092713</v>
      </c>
    </row>
    <row r="50" spans="1:4">
      <c r="A50" s="3">
        <v>20401</v>
      </c>
      <c r="B50" s="4" t="s">
        <v>55</v>
      </c>
      <c r="C50" s="14">
        <f>IFERROR(VLOOKUP(A50,datos_2016!$B$1:$G$330,6,FALSE),"")</f>
        <v>10.851387305207146</v>
      </c>
      <c r="D50" s="14">
        <f>IFERROR(VLOOKUP(A50,datos_2024!$B$1:$G$322,6,FALSE),"")</f>
        <v>15.907335907335908</v>
      </c>
    </row>
    <row r="51" spans="1:4">
      <c r="A51" s="5">
        <v>20402</v>
      </c>
      <c r="B51" s="6" t="s">
        <v>56</v>
      </c>
      <c r="C51" s="14">
        <f>IFERROR(VLOOKUP(A51,datos_2016!$B$1:$G$330,6,FALSE),"")</f>
        <v>13.030484160191273</v>
      </c>
      <c r="D51" s="14">
        <f>IFERROR(VLOOKUP(A51,datos_2024!$B$1:$G$322,6,FALSE),"")</f>
        <v>13.59322033898305</v>
      </c>
    </row>
    <row r="52" spans="1:4">
      <c r="A52" s="3">
        <v>20403</v>
      </c>
      <c r="B52" s="4" t="s">
        <v>57</v>
      </c>
      <c r="C52" s="14">
        <f>IFERROR(VLOOKUP(A52,datos_2016!$B$1:$G$330,6,FALSE),"")</f>
        <v>15.62944018186985</v>
      </c>
      <c r="D52" s="14">
        <f>IFERROR(VLOOKUP(A52,datos_2024!$B$1:$G$322,6,FALSE),"")</f>
        <v>13.857677902621722</v>
      </c>
    </row>
    <row r="53" spans="1:4">
      <c r="A53" s="5">
        <v>20404</v>
      </c>
      <c r="B53" s="6" t="s">
        <v>58</v>
      </c>
      <c r="C53" s="14">
        <f>IFERROR(VLOOKUP(A53,datos_2016!$B$1:$G$330,6,FALSE),"")</f>
        <v>12.147887323943662</v>
      </c>
      <c r="D53" s="14">
        <f>IFERROR(VLOOKUP(A53,datos_2024!$B$1:$G$322,6,FALSE),"")</f>
        <v>10.008779631255488</v>
      </c>
    </row>
    <row r="54" spans="1:4">
      <c r="A54" s="3">
        <v>20405</v>
      </c>
      <c r="B54" s="4" t="s">
        <v>59</v>
      </c>
      <c r="C54" s="14">
        <f>IFERROR(VLOOKUP(A54,datos_2016!$B$1:$G$330,6,FALSE),"")</f>
        <v>15.473684210526315</v>
      </c>
      <c r="D54" s="14">
        <f>IFERROR(VLOOKUP(A54,datos_2024!$B$1:$G$322,6,FALSE),"")</f>
        <v>10.843941537010844</v>
      </c>
    </row>
    <row r="55" spans="1:4">
      <c r="A55" s="5">
        <v>20501</v>
      </c>
      <c r="B55" s="6" t="s">
        <v>60</v>
      </c>
      <c r="C55" s="14">
        <f>IFERROR(VLOOKUP(A55,datos_2016!$B$1:$G$330,6,FALSE),"")</f>
        <v>18.426770969143849</v>
      </c>
      <c r="D55" s="14">
        <f>IFERROR(VLOOKUP(A55,datos_2024!$B$1:$G$322,6,FALSE),"")</f>
        <v>13.601645123384253</v>
      </c>
    </row>
    <row r="56" spans="1:4">
      <c r="A56" s="3">
        <v>20502</v>
      </c>
      <c r="B56" s="4" t="s">
        <v>61</v>
      </c>
      <c r="C56" s="14">
        <f>IFERROR(VLOOKUP(A56,datos_2016!$B$1:$G$330,6,FALSE),"")</f>
        <v>10.762032085561497</v>
      </c>
      <c r="D56" s="14">
        <f>IFERROR(VLOOKUP(A56,datos_2024!$B$1:$G$322,6,FALSE),"")</f>
        <v>12.969058591178406</v>
      </c>
    </row>
    <row r="57" spans="1:4">
      <c r="A57" s="5">
        <v>20503</v>
      </c>
      <c r="B57" s="6" t="s">
        <v>62</v>
      </c>
      <c r="C57" s="14">
        <f>IFERROR(VLOOKUP(A57,datos_2016!$B$1:$G$330,6,FALSE),"")</f>
        <v>16.726403823178018</v>
      </c>
      <c r="D57" s="14">
        <f>IFERROR(VLOOKUP(A57,datos_2024!$B$1:$G$322,6,FALSE),"")</f>
        <v>8.6816720257234721</v>
      </c>
    </row>
    <row r="58" spans="1:4">
      <c r="A58" s="3">
        <v>20601</v>
      </c>
      <c r="B58" s="4" t="s">
        <v>63</v>
      </c>
      <c r="C58" s="14">
        <f>IFERROR(VLOOKUP(A58,datos_2016!$B$1:$G$330,6,FALSE),"")</f>
        <v>18.863049095607234</v>
      </c>
      <c r="D58" s="14">
        <f>IFERROR(VLOOKUP(A58,datos_2024!$B$1:$G$322,6,FALSE),"")</f>
        <v>11.798582398109865</v>
      </c>
    </row>
    <row r="59" spans="1:4">
      <c r="A59" s="5">
        <v>20602</v>
      </c>
      <c r="B59" s="6" t="s">
        <v>64</v>
      </c>
      <c r="C59" s="14">
        <f>IFERROR(VLOOKUP(A59,datos_2016!$B$1:$G$330,6,FALSE),"")</f>
        <v>7.1890145395799676</v>
      </c>
      <c r="D59" s="14">
        <f>IFERROR(VLOOKUP(A59,datos_2024!$B$1:$G$322,6,FALSE),"")</f>
        <v>3.0808729139922977</v>
      </c>
    </row>
    <row r="60" spans="1:4">
      <c r="A60" s="3">
        <v>20603</v>
      </c>
      <c r="B60" s="4" t="s">
        <v>65</v>
      </c>
      <c r="C60" s="14">
        <f>IFERROR(VLOOKUP(A60,datos_2016!$B$1:$G$330,6,FALSE),"")</f>
        <v>14.206514206514207</v>
      </c>
      <c r="D60" s="14">
        <f>IFERROR(VLOOKUP(A60,datos_2024!$B$1:$G$322,6,FALSE),"")</f>
        <v>12.922252010723861</v>
      </c>
    </row>
    <row r="61" spans="1:4">
      <c r="A61" s="5">
        <v>20604</v>
      </c>
      <c r="B61" s="6" t="s">
        <v>66</v>
      </c>
      <c r="C61" s="14">
        <f>IFERROR(VLOOKUP(A61,datos_2016!$B$1:$G$330,6,FALSE),"")</f>
        <v>15.414012738853502</v>
      </c>
      <c r="D61" s="14">
        <f>IFERROR(VLOOKUP(A61,datos_2024!$B$1:$G$322,6,FALSE),"")</f>
        <v>9.3552465233881161</v>
      </c>
    </row>
    <row r="62" spans="1:4">
      <c r="A62" s="3">
        <v>20605</v>
      </c>
      <c r="B62" s="4" t="s">
        <v>67</v>
      </c>
      <c r="C62" s="14">
        <f>IFERROR(VLOOKUP(A62,datos_2016!$B$1:$G$330,6,FALSE),"")</f>
        <v>23.040752351097179</v>
      </c>
      <c r="D62" s="14">
        <f>IFERROR(VLOOKUP(A62,datos_2024!$B$1:$G$322,6,FALSE),"")</f>
        <v>17.235494880546074</v>
      </c>
    </row>
    <row r="63" spans="1:4">
      <c r="A63" s="5">
        <v>20606</v>
      </c>
      <c r="B63" s="6" t="s">
        <v>68</v>
      </c>
      <c r="C63" s="14">
        <f>IFERROR(VLOOKUP(A63,datos_2016!$B$1:$G$330,6,FALSE),"")</f>
        <v>8.8490770901194349</v>
      </c>
      <c r="D63" s="14">
        <f>IFERROR(VLOOKUP(A63,datos_2024!$B$1:$G$322,6,FALSE),"")</f>
        <v>5.9030837004405283</v>
      </c>
    </row>
    <row r="64" spans="1:4">
      <c r="A64" s="3">
        <v>20607</v>
      </c>
      <c r="B64" s="4" t="s">
        <v>69</v>
      </c>
      <c r="C64" s="14">
        <f>IFERROR(VLOOKUP(A64,datos_2016!$B$1:$G$330,6,FALSE),"")</f>
        <v>4.7864127637673697</v>
      </c>
      <c r="D64" s="14">
        <f>IFERROR(VLOOKUP(A64,datos_2024!$B$1:$G$322,6,FALSE),"")</f>
        <v>4.3417366946778708</v>
      </c>
    </row>
    <row r="65" spans="1:4">
      <c r="A65" s="5">
        <v>20608</v>
      </c>
      <c r="B65" s="6" t="s">
        <v>70</v>
      </c>
      <c r="C65" s="14">
        <f>IFERROR(VLOOKUP(A65,datos_2016!$B$1:$G$330,6,FALSE),"")</f>
        <v>7.2100313479623823</v>
      </c>
      <c r="D65" s="14">
        <f>IFERROR(VLOOKUP(A65,datos_2024!$B$1:$G$322,6,FALSE),"")</f>
        <v>9.4539527302363489</v>
      </c>
    </row>
    <row r="66" spans="1:4">
      <c r="A66" s="3">
        <v>20701</v>
      </c>
      <c r="B66" s="4" t="s">
        <v>71</v>
      </c>
      <c r="C66" s="14">
        <f>IFERROR(VLOOKUP(A66,datos_2016!$B$1:$G$330,6,FALSE),"")</f>
        <v>8.8835119253370198</v>
      </c>
      <c r="D66" s="14">
        <f>IFERROR(VLOOKUP(A66,datos_2024!$B$1:$G$322,6,FALSE),"")</f>
        <v>7.5648414985590779</v>
      </c>
    </row>
    <row r="67" spans="1:4">
      <c r="A67" s="5">
        <v>20702</v>
      </c>
      <c r="B67" s="6" t="s">
        <v>72</v>
      </c>
      <c r="C67" s="14">
        <f>IFERROR(VLOOKUP(A67,datos_2016!$B$1:$G$330,6,FALSE),"")</f>
        <v>14.70281543274244</v>
      </c>
      <c r="D67" s="14">
        <f>IFERROR(VLOOKUP(A67,datos_2024!$B$1:$G$322,6,FALSE),"")</f>
        <v>10.006027727546716</v>
      </c>
    </row>
    <row r="68" spans="1:4">
      <c r="A68" s="3">
        <v>20801</v>
      </c>
      <c r="B68" s="4" t="s">
        <v>73</v>
      </c>
      <c r="C68" s="14">
        <f>IFERROR(VLOOKUP(A68,datos_2016!$B$1:$G$330,6,FALSE),"")</f>
        <v>15.017125101514777</v>
      </c>
      <c r="D68" s="14">
        <f>IFERROR(VLOOKUP(A68,datos_2024!$B$1:$G$322,6,FALSE),"")</f>
        <v>16.016340678385738</v>
      </c>
    </row>
    <row r="69" spans="1:4">
      <c r="A69" s="5">
        <v>20802</v>
      </c>
      <c r="B69" s="6" t="s">
        <v>74</v>
      </c>
      <c r="C69" s="14">
        <f>IFERROR(VLOOKUP(A69,datos_2016!$B$1:$G$330,6,FALSE),"")</f>
        <v>28.9873417721519</v>
      </c>
      <c r="D69" s="14">
        <f>IFERROR(VLOOKUP(A69,datos_2024!$B$1:$G$322,6,FALSE),"")</f>
        <v>19.984773505900268</v>
      </c>
    </row>
    <row r="70" spans="1:4">
      <c r="A70" s="3">
        <v>20803</v>
      </c>
      <c r="B70" s="4" t="s">
        <v>75</v>
      </c>
      <c r="C70" s="14">
        <f>IFERROR(VLOOKUP(A70,datos_2016!$B$1:$G$330,6,FALSE),"")</f>
        <v>17.903930131004365</v>
      </c>
      <c r="D70" s="14">
        <f>IFERROR(VLOOKUP(A70,datos_2024!$B$1:$G$322,6,FALSE),"")</f>
        <v>17.556270096463024</v>
      </c>
    </row>
    <row r="71" spans="1:4">
      <c r="A71" s="5">
        <v>20804</v>
      </c>
      <c r="B71" s="6" t="s">
        <v>76</v>
      </c>
      <c r="C71" s="14">
        <f>IFERROR(VLOOKUP(A71,datos_2016!$B$1:$G$330,6,FALSE),"")</f>
        <v>21.523915461624028</v>
      </c>
      <c r="D71" s="14">
        <f>IFERROR(VLOOKUP(A71,datos_2024!$B$1:$G$322,6,FALSE),"")</f>
        <v>11.872986654394845</v>
      </c>
    </row>
    <row r="72" spans="1:4">
      <c r="A72" s="3">
        <v>20805</v>
      </c>
      <c r="B72" s="4" t="s">
        <v>77</v>
      </c>
      <c r="C72" s="14">
        <f>IFERROR(VLOOKUP(A72,datos_2016!$B$1:$G$330,6,FALSE),"")</f>
        <v>22.805805114029024</v>
      </c>
      <c r="D72" s="14" t="str">
        <f>IFERROR(VLOOKUP(A72,datos_2024!$B$1:$G$322,6,FALSE),"")</f>
        <v/>
      </c>
    </row>
    <row r="73" spans="1:4">
      <c r="A73" s="5">
        <v>20806</v>
      </c>
      <c r="B73" s="6" t="s">
        <v>78</v>
      </c>
      <c r="C73" s="14">
        <f>IFERROR(VLOOKUP(A73,datos_2016!$B$1:$G$330,6,FALSE),"")</f>
        <v>17.452688495043557</v>
      </c>
      <c r="D73" s="14" t="str">
        <f>IFERROR(VLOOKUP(A73,datos_2024!$B$1:$G$322,6,FALSE),"")</f>
        <v/>
      </c>
    </row>
    <row r="74" spans="1:4">
      <c r="A74" s="3">
        <v>20807</v>
      </c>
      <c r="B74" s="4" t="s">
        <v>79</v>
      </c>
      <c r="C74" s="14">
        <f>IFERROR(VLOOKUP(A74,datos_2016!$B$1:$G$330,6,FALSE),"")</f>
        <v>21.559322033898304</v>
      </c>
      <c r="D74" s="14">
        <f>IFERROR(VLOOKUP(A74,datos_2024!$B$1:$G$322,6,FALSE),"")</f>
        <v>21.143847487001732</v>
      </c>
    </row>
    <row r="75" spans="1:4">
      <c r="A75" s="5">
        <v>20901</v>
      </c>
      <c r="B75" s="6" t="s">
        <v>80</v>
      </c>
      <c r="C75" s="14">
        <f>IFERROR(VLOOKUP(A75,datos_2016!$B$1:$G$330,6,FALSE),"")</f>
        <v>13.606745879647374</v>
      </c>
      <c r="D75" s="14">
        <f>IFERROR(VLOOKUP(A75,datos_2024!$B$1:$G$322,6,FALSE),"")</f>
        <v>10.976478973627939</v>
      </c>
    </row>
    <row r="76" spans="1:4">
      <c r="A76" s="3">
        <v>20902</v>
      </c>
      <c r="B76" s="4" t="s">
        <v>81</v>
      </c>
      <c r="C76" s="14">
        <f>IFERROR(VLOOKUP(A76,datos_2016!$B$1:$G$330,6,FALSE),"")</f>
        <v>15.496062992125983</v>
      </c>
      <c r="D76" s="14">
        <f>IFERROR(VLOOKUP(A76,datos_2024!$B$1:$G$322,6,FALSE),"")</f>
        <v>11.313246162592382</v>
      </c>
    </row>
    <row r="77" spans="1:4">
      <c r="A77" s="5">
        <v>20903</v>
      </c>
      <c r="B77" s="6" t="s">
        <v>82</v>
      </c>
      <c r="C77" s="14">
        <f>IFERROR(VLOOKUP(A77,datos_2016!$B$1:$G$330,6,FALSE),"")</f>
        <v>22.351421188630489</v>
      </c>
      <c r="D77" s="14">
        <f>IFERROR(VLOOKUP(A77,datos_2024!$B$1:$G$322,6,FALSE),"")</f>
        <v>14.455569461827285</v>
      </c>
    </row>
    <row r="78" spans="1:4">
      <c r="A78" s="3">
        <v>20904</v>
      </c>
      <c r="B78" s="4" t="s">
        <v>83</v>
      </c>
      <c r="C78" s="14">
        <f>IFERROR(VLOOKUP(A78,datos_2016!$B$1:$G$330,6,FALSE),"")</f>
        <v>26.373626373626372</v>
      </c>
      <c r="D78" s="14">
        <f>IFERROR(VLOOKUP(A78,datos_2024!$B$1:$G$322,6,FALSE),"")</f>
        <v>12.698412698412698</v>
      </c>
    </row>
    <row r="79" spans="1:4">
      <c r="A79" s="5">
        <v>20905</v>
      </c>
      <c r="B79" s="6" t="s">
        <v>84</v>
      </c>
      <c r="C79" s="14">
        <f>IFERROR(VLOOKUP(A79,datos_2016!$B$1:$G$330,6,FALSE),"")</f>
        <v>21.340887629839472</v>
      </c>
      <c r="D79" s="14">
        <f>IFERROR(VLOOKUP(A79,datos_2024!$B$1:$G$322,6,FALSE),"")</f>
        <v>4.895104895104895</v>
      </c>
    </row>
    <row r="80" spans="1:4">
      <c r="A80" s="3">
        <v>21001</v>
      </c>
      <c r="B80" s="4" t="s">
        <v>85</v>
      </c>
      <c r="C80" s="14">
        <f>IFERROR(VLOOKUP(A80,datos_2016!$B$1:$G$330,6,FALSE),"")</f>
        <v>12.205270457697642</v>
      </c>
      <c r="D80" s="14">
        <f>IFERROR(VLOOKUP(A80,datos_2024!$B$1:$G$322,6,FALSE),"")</f>
        <v>10.360531309297913</v>
      </c>
    </row>
    <row r="81" spans="1:4">
      <c r="A81" s="5">
        <v>21002</v>
      </c>
      <c r="B81" s="6" t="s">
        <v>86</v>
      </c>
      <c r="C81" s="14">
        <f>IFERROR(VLOOKUP(A81,datos_2016!$B$1:$G$330,6,FALSE),"")</f>
        <v>8.8495575221238933</v>
      </c>
      <c r="D81" s="14">
        <f>IFERROR(VLOOKUP(A81,datos_2024!$B$1:$G$322,6,FALSE),"")</f>
        <v>8.3886255924170623</v>
      </c>
    </row>
    <row r="82" spans="1:4">
      <c r="A82" s="3">
        <v>21003</v>
      </c>
      <c r="B82" s="4" t="s">
        <v>87</v>
      </c>
      <c r="C82" s="14">
        <f>IFERROR(VLOOKUP(A82,datos_2016!$B$1:$G$330,6,FALSE),"")</f>
        <v>8.4259259259259256</v>
      </c>
      <c r="D82" s="14">
        <f>IFERROR(VLOOKUP(A82,datos_2024!$B$1:$G$322,6,FALSE),"")</f>
        <v>4.4212465459011359</v>
      </c>
    </row>
    <row r="83" spans="1:4">
      <c r="A83" s="5">
        <v>21004</v>
      </c>
      <c r="B83" s="6" t="s">
        <v>88</v>
      </c>
      <c r="C83" s="14">
        <f>IFERROR(VLOOKUP(A83,datos_2016!$B$1:$G$330,6,FALSE),"")</f>
        <v>27.13773681515617</v>
      </c>
      <c r="D83" s="14">
        <f>IFERROR(VLOOKUP(A83,datos_2024!$B$1:$G$322,6,FALSE),"")</f>
        <v>17.719568567026194</v>
      </c>
    </row>
    <row r="84" spans="1:4">
      <c r="A84" s="3">
        <v>21005</v>
      </c>
      <c r="B84" s="4" t="s">
        <v>89</v>
      </c>
      <c r="C84" s="14">
        <f>IFERROR(VLOOKUP(A84,datos_2016!$B$1:$G$330,6,FALSE),"")</f>
        <v>34.274586173320351</v>
      </c>
      <c r="D84" s="14">
        <f>IFERROR(VLOOKUP(A84,datos_2024!$B$1:$G$322,6,FALSE),"")</f>
        <v>13.370473537604457</v>
      </c>
    </row>
    <row r="85" spans="1:4">
      <c r="A85" s="5">
        <v>21006</v>
      </c>
      <c r="B85" s="6" t="s">
        <v>90</v>
      </c>
      <c r="C85" s="14">
        <f>IFERROR(VLOOKUP(A85,datos_2016!$B$1:$G$330,6,FALSE),"")</f>
        <v>10.849056603773585</v>
      </c>
      <c r="D85" s="14">
        <f>IFERROR(VLOOKUP(A85,datos_2024!$B$1:$G$322,6,FALSE),"")</f>
        <v>8.2278481012658222</v>
      </c>
    </row>
    <row r="86" spans="1:4">
      <c r="A86" s="3">
        <v>21101</v>
      </c>
      <c r="B86" s="4" t="s">
        <v>91</v>
      </c>
      <c r="C86" s="14">
        <f>IFERROR(VLOOKUP(A86,datos_2016!$B$1:$G$330,6,FALSE),"")</f>
        <v>5.8460180895654092</v>
      </c>
      <c r="D86" s="14">
        <f>IFERROR(VLOOKUP(A86,datos_2024!$B$1:$G$322,6,FALSE),"")</f>
        <v>6.7805565339908416</v>
      </c>
    </row>
    <row r="87" spans="1:4">
      <c r="A87" s="5">
        <v>21102</v>
      </c>
      <c r="B87" s="6" t="s">
        <v>92</v>
      </c>
      <c r="C87" s="14">
        <f>IFERROR(VLOOKUP(A87,datos_2016!$B$1:$G$330,6,FALSE),"")</f>
        <v>7.5908354547558439</v>
      </c>
      <c r="D87" s="14">
        <f>IFERROR(VLOOKUP(A87,datos_2024!$B$1:$G$322,6,FALSE),"")</f>
        <v>7.7682563338301041</v>
      </c>
    </row>
    <row r="88" spans="1:4">
      <c r="A88" s="3">
        <v>21103</v>
      </c>
      <c r="B88" s="4" t="s">
        <v>93</v>
      </c>
      <c r="C88" s="14">
        <f>IFERROR(VLOOKUP(A88,datos_2016!$B$1:$G$330,6,FALSE),"")</f>
        <v>5.4269175108538352</v>
      </c>
      <c r="D88" s="14">
        <f>IFERROR(VLOOKUP(A88,datos_2024!$B$1:$G$322,6,FALSE),"")</f>
        <v>8.6652690426275338</v>
      </c>
    </row>
    <row r="89" spans="1:4">
      <c r="A89" s="5">
        <v>21104</v>
      </c>
      <c r="B89" s="6" t="s">
        <v>94</v>
      </c>
      <c r="C89" s="14">
        <f>IFERROR(VLOOKUP(A89,datos_2016!$B$1:$G$330,6,FALSE),"")</f>
        <v>13.137032842582107</v>
      </c>
      <c r="D89" s="14">
        <f>IFERROR(VLOOKUP(A89,datos_2024!$B$1:$G$322,6,FALSE),"")</f>
        <v>8.6159062885326758</v>
      </c>
    </row>
    <row r="90" spans="1:4">
      <c r="A90" s="3">
        <v>21105</v>
      </c>
      <c r="B90" s="4" t="s">
        <v>95</v>
      </c>
      <c r="C90" s="14">
        <f>IFERROR(VLOOKUP(A90,datos_2016!$B$1:$G$330,6,FALSE),"")</f>
        <v>5.0556117290192111</v>
      </c>
      <c r="D90" s="14">
        <f>IFERROR(VLOOKUP(A90,datos_2024!$B$1:$G$322,6,FALSE),"")</f>
        <v>7.3858360766438764</v>
      </c>
    </row>
    <row r="91" spans="1:4">
      <c r="A91" s="5">
        <v>21201</v>
      </c>
      <c r="B91" s="6" t="s">
        <v>96</v>
      </c>
      <c r="C91" s="14">
        <f>IFERROR(VLOOKUP(A91,datos_2016!$B$1:$G$330,6,FALSE),"")</f>
        <v>17.039586919104991</v>
      </c>
      <c r="D91" s="14">
        <f>IFERROR(VLOOKUP(A91,datos_2024!$B$1:$G$322,6,FALSE),"")</f>
        <v>15.368744973248942</v>
      </c>
    </row>
    <row r="92" spans="1:4">
      <c r="A92" s="3">
        <v>21202</v>
      </c>
      <c r="B92" s="4" t="s">
        <v>97</v>
      </c>
      <c r="C92" s="14">
        <f>IFERROR(VLOOKUP(A92,datos_2016!$B$1:$G$330,6,FALSE),"")</f>
        <v>13.07381052044091</v>
      </c>
      <c r="D92" s="14">
        <f>IFERROR(VLOOKUP(A92,datos_2024!$B$1:$G$322,6,FALSE),"")</f>
        <v>19.189817647778728</v>
      </c>
    </row>
    <row r="93" spans="1:4">
      <c r="A93" s="5">
        <v>21203</v>
      </c>
      <c r="B93" s="6" t="s">
        <v>98</v>
      </c>
      <c r="C93" s="14">
        <f>IFERROR(VLOOKUP(A93,datos_2016!$B$1:$G$330,6,FALSE),"")</f>
        <v>14.589486119314826</v>
      </c>
      <c r="D93" s="14">
        <f>IFERROR(VLOOKUP(A93,datos_2024!$B$1:$G$322,6,FALSE),"")</f>
        <v>12.574850299401197</v>
      </c>
    </row>
    <row r="94" spans="1:4">
      <c r="A94" s="3">
        <v>21204</v>
      </c>
      <c r="B94" s="4" t="s">
        <v>99</v>
      </c>
      <c r="C94" s="14">
        <f>IFERROR(VLOOKUP(A94,datos_2016!$B$1:$G$330,6,FALSE),"")</f>
        <v>13.697164258962012</v>
      </c>
      <c r="D94" s="14" t="str">
        <f>IFERROR(VLOOKUP(A94,datos_2024!$B$1:$G$322,6,FALSE),"")</f>
        <v/>
      </c>
    </row>
    <row r="95" spans="1:4">
      <c r="A95" s="5">
        <v>21301</v>
      </c>
      <c r="B95" s="6" t="s">
        <v>100</v>
      </c>
      <c r="C95" s="14">
        <f>IFERROR(VLOOKUP(A95,datos_2016!$B$1:$G$330,6,FALSE),"")</f>
        <v>20.648259303721488</v>
      </c>
      <c r="D95" s="14">
        <f>IFERROR(VLOOKUP(A95,datos_2024!$B$1:$G$322,6,FALSE),"")</f>
        <v>13.41504937010555</v>
      </c>
    </row>
    <row r="96" spans="1:4">
      <c r="A96" s="3">
        <v>21302</v>
      </c>
      <c r="B96" s="4" t="s">
        <v>101</v>
      </c>
      <c r="C96" s="14">
        <f>IFERROR(VLOOKUP(A96,datos_2016!$B$1:$G$330,6,FALSE),"")</f>
        <v>29.422718808193668</v>
      </c>
      <c r="D96" s="14">
        <f>IFERROR(VLOOKUP(A96,datos_2024!$B$1:$G$322,6,FALSE),"")</f>
        <v>28.11606048222313</v>
      </c>
    </row>
    <row r="97" spans="1:4">
      <c r="A97" s="5">
        <v>21303</v>
      </c>
      <c r="B97" s="6" t="s">
        <v>102</v>
      </c>
      <c r="C97" s="14">
        <f>IFERROR(VLOOKUP(A97,datos_2016!$B$1:$G$330,6,FALSE),"")</f>
        <v>24.261943102522814</v>
      </c>
      <c r="D97" s="14">
        <f>IFERROR(VLOOKUP(A97,datos_2024!$B$1:$G$322,6,FALSE),"")</f>
        <v>19.240136385776911</v>
      </c>
    </row>
    <row r="98" spans="1:4">
      <c r="A98" s="3">
        <v>21304</v>
      </c>
      <c r="B98" s="4" t="s">
        <v>103</v>
      </c>
      <c r="C98" s="14">
        <f>IFERROR(VLOOKUP(A98,datos_2016!$B$1:$G$330,6,FALSE),"")</f>
        <v>16.701977401129945</v>
      </c>
      <c r="D98" s="14">
        <f>IFERROR(VLOOKUP(A98,datos_2024!$B$1:$G$322,6,FALSE),"")</f>
        <v>18.045352922389014</v>
      </c>
    </row>
    <row r="99" spans="1:4">
      <c r="A99" s="5">
        <v>21305</v>
      </c>
      <c r="B99" s="6" t="s">
        <v>104</v>
      </c>
      <c r="C99" s="14">
        <f>IFERROR(VLOOKUP(A99,datos_2016!$B$1:$G$330,6,FALSE),"")</f>
        <v>12.611822487282932</v>
      </c>
      <c r="D99" s="14">
        <f>IFERROR(VLOOKUP(A99,datos_2024!$B$1:$G$322,6,FALSE),"")</f>
        <v>10.498541869184836</v>
      </c>
    </row>
    <row r="100" spans="1:4">
      <c r="A100" s="3">
        <v>21306</v>
      </c>
      <c r="B100" s="4" t="s">
        <v>105</v>
      </c>
      <c r="C100" s="14">
        <f>IFERROR(VLOOKUP(A100,datos_2016!$B$1:$G$330,6,FALSE),"")</f>
        <v>11.452513966480447</v>
      </c>
      <c r="D100" s="14">
        <f>IFERROR(VLOOKUP(A100,datos_2024!$B$1:$G$322,6,FALSE),"")</f>
        <v>14.098972922502334</v>
      </c>
    </row>
    <row r="101" spans="1:4">
      <c r="A101" s="5">
        <v>21307</v>
      </c>
      <c r="B101" s="6" t="s">
        <v>106</v>
      </c>
      <c r="C101" s="14">
        <f>IFERROR(VLOOKUP(A101,datos_2016!$B$1:$G$330,6,FALSE),"")</f>
        <v>6.7415730337078648</v>
      </c>
      <c r="D101" s="14">
        <f>IFERROR(VLOOKUP(A101,datos_2024!$B$1:$G$322,6,FALSE),"")</f>
        <v>13.719512195121951</v>
      </c>
    </row>
    <row r="102" spans="1:4">
      <c r="A102" s="3">
        <v>21401</v>
      </c>
      <c r="B102" s="4" t="s">
        <v>107</v>
      </c>
      <c r="C102" s="14">
        <f>IFERROR(VLOOKUP(A102,datos_2016!$B$1:$G$330,6,FALSE),"")</f>
        <v>4.9785758008569676</v>
      </c>
      <c r="D102" s="14">
        <f>IFERROR(VLOOKUP(A102,datos_2024!$B$1:$G$322,6,FALSE),"")</f>
        <v>8.0180859080633002</v>
      </c>
    </row>
    <row r="103" spans="1:4">
      <c r="A103" s="5">
        <v>21402</v>
      </c>
      <c r="B103" s="6" t="s">
        <v>108</v>
      </c>
      <c r="C103" s="14">
        <f>IFERROR(VLOOKUP(A103,datos_2016!$B$1:$G$330,6,FALSE),"")</f>
        <v>6.4756233717901006</v>
      </c>
      <c r="D103" s="14">
        <f>IFERROR(VLOOKUP(A103,datos_2024!$B$1:$G$322,6,FALSE),"")</f>
        <v>6.8389353021177381</v>
      </c>
    </row>
    <row r="104" spans="1:4">
      <c r="A104" s="3">
        <v>21501</v>
      </c>
      <c r="B104" s="4" t="s">
        <v>109</v>
      </c>
      <c r="C104" s="14">
        <f>IFERROR(VLOOKUP(A104,datos_2016!$B$1:$G$330,6,FALSE),"")</f>
        <v>1.6786570743405276</v>
      </c>
      <c r="D104" s="14">
        <f>IFERROR(VLOOKUP(A104,datos_2024!$B$1:$G$322,6,FALSE),"")</f>
        <v>3.6576949620427883</v>
      </c>
    </row>
    <row r="105" spans="1:4">
      <c r="A105" s="5">
        <v>21502</v>
      </c>
      <c r="B105" s="6" t="s">
        <v>110</v>
      </c>
      <c r="C105" s="14">
        <f>IFERROR(VLOOKUP(A105,datos_2016!$B$1:$G$330,6,FALSE),"")</f>
        <v>2.7491408934707904</v>
      </c>
      <c r="D105" s="14">
        <f>IFERROR(VLOOKUP(A105,datos_2024!$B$1:$G$322,6,FALSE),"")</f>
        <v>2.3320895522388061</v>
      </c>
    </row>
    <row r="106" spans="1:4">
      <c r="A106" s="3">
        <v>21601</v>
      </c>
      <c r="B106" s="4" t="s">
        <v>111</v>
      </c>
      <c r="C106" s="14">
        <f>IFERROR(VLOOKUP(A106,datos_2016!$B$1:$G$330,6,FALSE),"")</f>
        <v>13.03205465055176</v>
      </c>
      <c r="D106" s="14">
        <f>IFERROR(VLOOKUP(A106,datos_2024!$B$1:$G$322,6,FALSE),"")</f>
        <v>12.049180327868852</v>
      </c>
    </row>
    <row r="107" spans="1:4">
      <c r="A107" s="5">
        <v>21602</v>
      </c>
      <c r="B107" s="6" t="s">
        <v>112</v>
      </c>
      <c r="C107" s="14">
        <f>IFERROR(VLOOKUP(A107,datos_2016!$B$1:$G$330,6,FALSE),"")</f>
        <v>25</v>
      </c>
      <c r="D107" s="14">
        <f>IFERROR(VLOOKUP(A107,datos_2024!$B$1:$G$322,6,FALSE),"")</f>
        <v>12.681159420289855</v>
      </c>
    </row>
    <row r="108" spans="1:4">
      <c r="A108" s="3">
        <v>21701</v>
      </c>
      <c r="B108" s="4" t="s">
        <v>113</v>
      </c>
      <c r="C108" s="14">
        <f>IFERROR(VLOOKUP(A108,datos_2016!$B$1:$G$330,6,FALSE),"")</f>
        <v>17.704644865652988</v>
      </c>
      <c r="D108" s="14">
        <f>IFERROR(VLOOKUP(A108,datos_2024!$B$1:$G$322,6,FALSE),"")</f>
        <v>12.610026789131267</v>
      </c>
    </row>
    <row r="109" spans="1:4">
      <c r="A109" s="5">
        <v>21702</v>
      </c>
      <c r="B109" s="6" t="s">
        <v>114</v>
      </c>
      <c r="C109" s="14">
        <f>IFERROR(VLOOKUP(A109,datos_2016!$B$1:$G$330,6,FALSE),"")</f>
        <v>18.575498575498575</v>
      </c>
      <c r="D109" s="14">
        <f>IFERROR(VLOOKUP(A109,datos_2024!$B$1:$G$322,6,FALSE),"")</f>
        <v>18.175979447655749</v>
      </c>
    </row>
    <row r="110" spans="1:4">
      <c r="A110" s="3">
        <v>21703</v>
      </c>
      <c r="B110" s="4" t="s">
        <v>115</v>
      </c>
      <c r="C110" s="14">
        <f>IFERROR(VLOOKUP(A110,datos_2016!$B$1:$G$330,6,FALSE),"")</f>
        <v>20.386266094420602</v>
      </c>
      <c r="D110" s="14">
        <f>IFERROR(VLOOKUP(A110,datos_2024!$B$1:$G$322,6,FALSE),"")</f>
        <v>17.315175097276263</v>
      </c>
    </row>
    <row r="111" spans="1:4">
      <c r="A111" s="5">
        <v>21801</v>
      </c>
      <c r="B111" s="6" t="s">
        <v>116</v>
      </c>
      <c r="C111" s="14">
        <f>IFERROR(VLOOKUP(A111,datos_2016!$B$1:$G$330,6,FALSE),"")</f>
        <v>41.666666666666664</v>
      </c>
      <c r="D111" s="14">
        <f>IFERROR(VLOOKUP(A111,datos_2024!$B$1:$G$322,6,FALSE),"")</f>
        <v>21.585609593604264</v>
      </c>
    </row>
    <row r="112" spans="1:4">
      <c r="A112" s="3">
        <v>21802</v>
      </c>
      <c r="B112" s="4" t="s">
        <v>117</v>
      </c>
      <c r="C112" s="14">
        <f>IFERROR(VLOOKUP(A112,datos_2016!$B$1:$G$330,6,FALSE),"")</f>
        <v>0</v>
      </c>
      <c r="D112" s="14">
        <f>IFERROR(VLOOKUP(A112,datos_2024!$B$1:$G$322,6,FALSE),"")</f>
        <v>21.593447505584511</v>
      </c>
    </row>
    <row r="113" spans="1:4">
      <c r="A113" s="5">
        <v>21803</v>
      </c>
      <c r="B113" s="6" t="s">
        <v>118</v>
      </c>
      <c r="C113" s="14">
        <f>IFERROR(VLOOKUP(A113,datos_2016!$B$1:$G$330,6,FALSE),"")</f>
        <v>30.666666666666668</v>
      </c>
      <c r="D113" s="14">
        <f>IFERROR(VLOOKUP(A113,datos_2024!$B$1:$G$322,6,FALSE),"")</f>
        <v>22.935779816513762</v>
      </c>
    </row>
    <row r="114" spans="1:4">
      <c r="A114" s="3">
        <v>21901</v>
      </c>
      <c r="B114" s="4" t="s">
        <v>119</v>
      </c>
      <c r="C114" s="14">
        <f>IFERROR(VLOOKUP(A114,datos_2016!$B$1:$G$330,6,FALSE),"")</f>
        <v>21.462264150943398</v>
      </c>
      <c r="D114" s="14">
        <f>IFERROR(VLOOKUP(A114,datos_2024!$B$1:$G$322,6,FALSE),"")</f>
        <v>22.772861356932154</v>
      </c>
    </row>
    <row r="115" spans="1:4">
      <c r="A115" s="5">
        <v>21902</v>
      </c>
      <c r="B115" s="6" t="s">
        <v>120</v>
      </c>
      <c r="C115" s="14">
        <f>IFERROR(VLOOKUP(A115,datos_2016!$B$1:$G$330,6,FALSE),"")</f>
        <v>14.871794871794872</v>
      </c>
      <c r="D115" s="14">
        <f>IFERROR(VLOOKUP(A115,datos_2024!$B$1:$G$322,6,FALSE),"")</f>
        <v>15.492957746478874</v>
      </c>
    </row>
    <row r="116" spans="1:4">
      <c r="A116" s="3">
        <v>22001</v>
      </c>
      <c r="B116" s="4" t="s">
        <v>121</v>
      </c>
      <c r="C116" s="14">
        <f>IFERROR(VLOOKUP(A116,datos_2016!$B$1:$G$330,6,FALSE),"")</f>
        <v>14.898944732605974</v>
      </c>
      <c r="D116" s="14">
        <f>IFERROR(VLOOKUP(A116,datos_2024!$B$1:$G$322,6,FALSE),"")</f>
        <v>13.913705935314081</v>
      </c>
    </row>
    <row r="117" spans="1:4">
      <c r="A117" s="5">
        <v>22002</v>
      </c>
      <c r="B117" s="6" t="s">
        <v>122</v>
      </c>
      <c r="C117" s="14">
        <f>IFERROR(VLOOKUP(A117,datos_2016!$B$1:$G$330,6,FALSE),"")</f>
        <v>8.0291970802919703</v>
      </c>
      <c r="D117" s="14">
        <f>IFERROR(VLOOKUP(A117,datos_2024!$B$1:$G$322,6,FALSE),"")</f>
        <v>10.483870967741936</v>
      </c>
    </row>
    <row r="118" spans="1:4">
      <c r="A118" s="3">
        <v>30101</v>
      </c>
      <c r="B118" s="4" t="s">
        <v>123</v>
      </c>
      <c r="C118" s="14">
        <f>IFERROR(VLOOKUP(A118,datos_2016!$B$1:$G$330,6,FALSE),"")</f>
        <v>4.6629897225871266</v>
      </c>
      <c r="D118" s="14">
        <f>IFERROR(VLOOKUP(A118,datos_2024!$B$1:$G$322,6,FALSE),"")</f>
        <v>5.6311734416722139</v>
      </c>
    </row>
    <row r="119" spans="1:4">
      <c r="A119" s="5">
        <v>30201</v>
      </c>
      <c r="B119" s="6" t="s">
        <v>124</v>
      </c>
      <c r="C119" s="14">
        <f>IFERROR(VLOOKUP(A119,datos_2016!$B$1:$G$330,6,FALSE),"")</f>
        <v>6.5300285986653952</v>
      </c>
      <c r="D119" s="14">
        <f>IFERROR(VLOOKUP(A119,datos_2024!$B$1:$G$322,6,FALSE),"")</f>
        <v>7.1010534529847833</v>
      </c>
    </row>
    <row r="120" spans="1:4">
      <c r="A120" s="3">
        <v>30202</v>
      </c>
      <c r="B120" s="4" t="s">
        <v>125</v>
      </c>
      <c r="C120" s="14">
        <f>IFERROR(VLOOKUP(A120,datos_2016!$B$1:$G$330,6,FALSE),"")</f>
        <v>6.1983471074380168</v>
      </c>
      <c r="D120" s="14">
        <f>IFERROR(VLOOKUP(A120,datos_2024!$B$1:$G$322,6,FALSE),"")</f>
        <v>11.326860841423947</v>
      </c>
    </row>
    <row r="121" spans="1:4">
      <c r="A121" s="5">
        <v>30203</v>
      </c>
      <c r="B121" s="6" t="s">
        <v>126</v>
      </c>
      <c r="C121" s="14">
        <f>IFERROR(VLOOKUP(A121,datos_2016!$B$1:$G$330,6,FALSE),"")</f>
        <v>3.5884133160397753</v>
      </c>
      <c r="D121" s="14">
        <f>IFERROR(VLOOKUP(A121,datos_2024!$B$1:$G$322,6,FALSE),"")</f>
        <v>8.5177733065057009</v>
      </c>
    </row>
    <row r="122" spans="1:4">
      <c r="A122" s="3">
        <v>30301</v>
      </c>
      <c r="B122" s="4" t="s">
        <v>127</v>
      </c>
      <c r="C122" s="14">
        <f>IFERROR(VLOOKUP(A122,datos_2016!$B$1:$G$330,6,FALSE),"")</f>
        <v>8.9652956298200515</v>
      </c>
      <c r="D122" s="14">
        <f>IFERROR(VLOOKUP(A122,datos_2024!$B$1:$G$322,6,FALSE),"")</f>
        <v>16.964054822860099</v>
      </c>
    </row>
    <row r="123" spans="1:4">
      <c r="A123" s="5">
        <v>30302</v>
      </c>
      <c r="B123" s="6" t="s">
        <v>128</v>
      </c>
      <c r="C123" s="14">
        <f>IFERROR(VLOOKUP(A123,datos_2016!$B$1:$G$330,6,FALSE),"")</f>
        <v>14.786488209050351</v>
      </c>
      <c r="D123" s="14">
        <f>IFERROR(VLOOKUP(A123,datos_2024!$B$1:$G$322,6,FALSE),"")</f>
        <v>16.298076923076923</v>
      </c>
    </row>
    <row r="124" spans="1:4">
      <c r="A124" s="3">
        <v>30303</v>
      </c>
      <c r="B124" s="4" t="s">
        <v>129</v>
      </c>
      <c r="C124" s="14">
        <f>IFERROR(VLOOKUP(A124,datos_2016!$B$1:$G$330,6,FALSE),"")</f>
        <v>13.898916967509026</v>
      </c>
      <c r="D124" s="14">
        <f>IFERROR(VLOOKUP(A124,datos_2024!$B$1:$G$322,6,FALSE),"")</f>
        <v>10.560068405301411</v>
      </c>
    </row>
    <row r="125" spans="1:4">
      <c r="A125" s="5">
        <v>30401</v>
      </c>
      <c r="B125" s="6" t="s">
        <v>130</v>
      </c>
      <c r="C125" s="14">
        <f>IFERROR(VLOOKUP(A125,datos_2016!$B$1:$G$330,6,FALSE),"")</f>
        <v>11.636079656384226</v>
      </c>
      <c r="D125" s="14">
        <f>IFERROR(VLOOKUP(A125,datos_2024!$B$1:$G$322,6,FALSE),"")</f>
        <v>11.427625041404438</v>
      </c>
    </row>
    <row r="126" spans="1:4">
      <c r="A126" s="3">
        <v>30402</v>
      </c>
      <c r="B126" s="4" t="s">
        <v>131</v>
      </c>
      <c r="C126" s="14">
        <f>IFERROR(VLOOKUP(A126,datos_2016!$B$1:$G$330,6,FALSE),"")</f>
        <v>20</v>
      </c>
      <c r="D126" s="14">
        <f>IFERROR(VLOOKUP(A126,datos_2024!$B$1:$G$322,6,FALSE),"")</f>
        <v>20.804953560371516</v>
      </c>
    </row>
    <row r="127" spans="1:4">
      <c r="A127" s="5">
        <v>30403</v>
      </c>
      <c r="B127" s="6" t="s">
        <v>132</v>
      </c>
      <c r="C127" s="14">
        <f>IFERROR(VLOOKUP(A127,datos_2016!$B$1:$G$330,6,FALSE),"")</f>
        <v>16.150442477876105</v>
      </c>
      <c r="D127" s="14">
        <f>IFERROR(VLOOKUP(A127,datos_2024!$B$1:$G$322,6,FALSE),"")</f>
        <v>16.007223772779511</v>
      </c>
    </row>
    <row r="128" spans="1:4">
      <c r="A128" s="3">
        <v>30404</v>
      </c>
      <c r="B128" s="4" t="s">
        <v>133</v>
      </c>
      <c r="C128" s="14">
        <f>IFERROR(VLOOKUP(A128,datos_2016!$B$1:$G$330,6,FALSE),"")</f>
        <v>15.042735042735043</v>
      </c>
      <c r="D128" s="14">
        <f>IFERROR(VLOOKUP(A128,datos_2024!$B$1:$G$322,6,FALSE),"")</f>
        <v>18.929016189290163</v>
      </c>
    </row>
    <row r="129" spans="1:4">
      <c r="A129" s="5">
        <v>30501</v>
      </c>
      <c r="B129" s="6" t="s">
        <v>134</v>
      </c>
      <c r="C129" s="14">
        <f>IFERROR(VLOOKUP(A129,datos_2016!$B$1:$G$330,6,FALSE),"")</f>
        <v>14.810153136144326</v>
      </c>
      <c r="D129" s="14">
        <f>IFERROR(VLOOKUP(A129,datos_2024!$B$1:$G$322,6,FALSE),"")</f>
        <v>12.700803212851406</v>
      </c>
    </row>
    <row r="130" spans="1:4">
      <c r="A130" s="3">
        <v>30502</v>
      </c>
      <c r="B130" s="4" t="s">
        <v>135</v>
      </c>
      <c r="C130" s="14">
        <f>IFERROR(VLOOKUP(A130,datos_2016!$B$1:$G$330,6,FALSE),"")</f>
        <v>16.7531504818384</v>
      </c>
      <c r="D130" s="14">
        <f>IFERROR(VLOOKUP(A130,datos_2024!$B$1:$G$322,6,FALSE),"")</f>
        <v>19.30879038317055</v>
      </c>
    </row>
    <row r="131" spans="1:4">
      <c r="A131" s="5">
        <v>30601</v>
      </c>
      <c r="B131" s="6" t="s">
        <v>136</v>
      </c>
      <c r="C131" s="14">
        <f>IFERROR(VLOOKUP(A131,datos_2016!$B$1:$G$330,6,FALSE),"")</f>
        <v>14.678899082568808</v>
      </c>
      <c r="D131" s="14">
        <f>IFERROR(VLOOKUP(A131,datos_2024!$B$1:$G$322,6,FALSE),"")</f>
        <v>12.507977026164646</v>
      </c>
    </row>
    <row r="132" spans="1:4">
      <c r="A132" s="3">
        <v>30602</v>
      </c>
      <c r="B132" s="4" t="s">
        <v>137</v>
      </c>
      <c r="C132" s="14">
        <f>IFERROR(VLOOKUP(A132,datos_2016!$B$1:$G$330,6,FALSE),"")</f>
        <v>17.863554757630162</v>
      </c>
      <c r="D132" s="14">
        <f>IFERROR(VLOOKUP(A132,datos_2024!$B$1:$G$322,6,FALSE),"")</f>
        <v>19.799498746867169</v>
      </c>
    </row>
    <row r="133" spans="1:4">
      <c r="A133" s="5">
        <v>30701</v>
      </c>
      <c r="B133" s="6" t="s">
        <v>138</v>
      </c>
      <c r="C133" s="14">
        <f>IFERROR(VLOOKUP(A133,datos_2016!$B$1:$G$330,6,FALSE),"")</f>
        <v>5.1048470264695771</v>
      </c>
      <c r="D133" s="14">
        <f>IFERROR(VLOOKUP(A133,datos_2024!$B$1:$G$322,6,FALSE),"")</f>
        <v>8.3206494165398279</v>
      </c>
    </row>
    <row r="134" spans="1:4">
      <c r="A134" s="3">
        <v>30702</v>
      </c>
      <c r="B134" s="4" t="s">
        <v>139</v>
      </c>
      <c r="C134" s="14">
        <f>IFERROR(VLOOKUP(A134,datos_2016!$B$1:$G$330,6,FALSE),"")</f>
        <v>15.838099428068631</v>
      </c>
      <c r="D134" s="14">
        <f>IFERROR(VLOOKUP(A134,datos_2024!$B$1:$G$322,6,FALSE),"")</f>
        <v>15.040183696900115</v>
      </c>
    </row>
    <row r="135" spans="1:4">
      <c r="A135" s="5">
        <v>30703</v>
      </c>
      <c r="B135" s="6" t="s">
        <v>140</v>
      </c>
      <c r="C135" s="14">
        <f>IFERROR(VLOOKUP(A135,datos_2016!$B$1:$G$330,6,FALSE),"")</f>
        <v>5.272407732864675</v>
      </c>
      <c r="D135" s="14">
        <f>IFERROR(VLOOKUP(A135,datos_2024!$B$1:$G$322,6,FALSE),"")</f>
        <v>9.1697645600991322</v>
      </c>
    </row>
    <row r="136" spans="1:4">
      <c r="A136" s="3">
        <v>30801</v>
      </c>
      <c r="B136" s="4" t="s">
        <v>141</v>
      </c>
      <c r="C136" s="14">
        <f>IFERROR(VLOOKUP(A136,datos_2016!$B$1:$G$330,6,FALSE),"")</f>
        <v>10.75768942235559</v>
      </c>
      <c r="D136" s="14">
        <f>IFERROR(VLOOKUP(A136,datos_2024!$B$1:$G$322,6,FALSE),"")</f>
        <v>11.155484558040468</v>
      </c>
    </row>
    <row r="137" spans="1:4">
      <c r="A137" s="5">
        <v>30802</v>
      </c>
      <c r="B137" s="6" t="s">
        <v>142</v>
      </c>
      <c r="C137" s="14">
        <f>IFERROR(VLOOKUP(A137,datos_2016!$B$1:$G$330,6,FALSE),"")</f>
        <v>12.210648148148149</v>
      </c>
      <c r="D137" s="14">
        <f>IFERROR(VLOOKUP(A137,datos_2024!$B$1:$G$322,6,FALSE),"")</f>
        <v>12.61119832548404</v>
      </c>
    </row>
    <row r="138" spans="1:4">
      <c r="A138" s="3">
        <v>30803</v>
      </c>
      <c r="B138" s="4" t="s">
        <v>143</v>
      </c>
      <c r="C138" s="14">
        <f>IFERROR(VLOOKUP(A138,datos_2016!$B$1:$G$330,6,FALSE),"")</f>
        <v>12.396694214876034</v>
      </c>
      <c r="D138" s="14">
        <f>IFERROR(VLOOKUP(A138,datos_2024!$B$1:$G$322,6,FALSE),"")</f>
        <v>13.606745879647374</v>
      </c>
    </row>
    <row r="139" spans="1:4">
      <c r="A139" s="5">
        <v>30901</v>
      </c>
      <c r="B139" s="6" t="s">
        <v>144</v>
      </c>
      <c r="C139" s="14">
        <f>IFERROR(VLOOKUP(A139,datos_2016!$B$1:$G$330,6,FALSE),"")</f>
        <v>3.8903240657850988</v>
      </c>
      <c r="D139" s="14">
        <f>IFERROR(VLOOKUP(A139,datos_2024!$B$1:$G$322,6,FALSE),"")</f>
        <v>5.0413130861991959</v>
      </c>
    </row>
    <row r="140" spans="1:4">
      <c r="A140" s="3">
        <v>30902</v>
      </c>
      <c r="B140" s="4" t="s">
        <v>145</v>
      </c>
      <c r="C140" s="14">
        <f>IFERROR(VLOOKUP(A140,datos_2016!$B$1:$G$330,6,FALSE),"")</f>
        <v>4.3766578249336874</v>
      </c>
      <c r="D140" s="14">
        <f>IFERROR(VLOOKUP(A140,datos_2024!$B$1:$G$322,6,FALSE),"")</f>
        <v>6.8090622877955429</v>
      </c>
    </row>
    <row r="141" spans="1:4">
      <c r="A141" s="5">
        <v>30903</v>
      </c>
      <c r="B141" s="6" t="s">
        <v>146</v>
      </c>
      <c r="C141" s="14">
        <f>IFERROR(VLOOKUP(A141,datos_2016!$B$1:$G$330,6,FALSE),"")</f>
        <v>3.9678943620946341</v>
      </c>
      <c r="D141" s="14">
        <f>IFERROR(VLOOKUP(A141,datos_2024!$B$1:$G$322,6,FALSE),"")</f>
        <v>4.747261195464155</v>
      </c>
    </row>
    <row r="142" spans="1:4">
      <c r="A142" s="3">
        <v>30904</v>
      </c>
      <c r="B142" s="4" t="s">
        <v>147</v>
      </c>
      <c r="C142" s="14">
        <f>IFERROR(VLOOKUP(A142,datos_2016!$B$1:$G$330,6,FALSE),"")</f>
        <v>5.9215955983493807</v>
      </c>
      <c r="D142" s="14">
        <f>IFERROR(VLOOKUP(A142,datos_2024!$B$1:$G$322,6,FALSE),"")</f>
        <v>6.3798795882695671</v>
      </c>
    </row>
    <row r="143" spans="1:4">
      <c r="A143" s="5">
        <v>30905</v>
      </c>
      <c r="B143" s="6" t="s">
        <v>148</v>
      </c>
      <c r="C143" s="14">
        <f>IFERROR(VLOOKUP(A143,datos_2016!$B$1:$G$330,6,FALSE),"")</f>
        <v>3.0338541666666665</v>
      </c>
      <c r="D143" s="14">
        <f>IFERROR(VLOOKUP(A143,datos_2024!$B$1:$G$322,6,FALSE),"")</f>
        <v>4.7064663146969901</v>
      </c>
    </row>
    <row r="144" spans="1:4">
      <c r="A144" s="3">
        <v>31001</v>
      </c>
      <c r="B144" s="4" t="s">
        <v>149</v>
      </c>
      <c r="C144" s="14">
        <f>IFERROR(VLOOKUP(A144,datos_2016!$B$1:$G$330,6,FALSE),"")</f>
        <v>5.7222177838140134</v>
      </c>
      <c r="D144" s="14">
        <f>IFERROR(VLOOKUP(A144,datos_2024!$B$1:$G$322,6,FALSE),"")</f>
        <v>7.1093549700634924</v>
      </c>
    </row>
    <row r="145" spans="1:4">
      <c r="A145" s="5">
        <v>31002</v>
      </c>
      <c r="B145" s="6" t="s">
        <v>150</v>
      </c>
      <c r="C145" s="14">
        <f>IFERROR(VLOOKUP(A145,datos_2016!$B$1:$G$330,6,FALSE),"")</f>
        <v>8.8405238828967647</v>
      </c>
      <c r="D145" s="14">
        <f>IFERROR(VLOOKUP(A145,datos_2024!$B$1:$G$322,6,FALSE),"")</f>
        <v>8.9172979797979792</v>
      </c>
    </row>
    <row r="146" spans="1:4">
      <c r="A146" s="3">
        <v>31003</v>
      </c>
      <c r="B146" s="4" t="s">
        <v>151</v>
      </c>
      <c r="C146" s="14">
        <f>IFERROR(VLOOKUP(A146,datos_2016!$B$1:$G$330,6,FALSE),"")</f>
        <v>7.0631755389861857</v>
      </c>
      <c r="D146" s="14">
        <f>IFERROR(VLOOKUP(A146,datos_2024!$B$1:$G$322,6,FALSE),"")</f>
        <v>5.4761319329797322</v>
      </c>
    </row>
    <row r="147" spans="1:4">
      <c r="A147" s="5">
        <v>31101</v>
      </c>
      <c r="B147" s="6" t="s">
        <v>152</v>
      </c>
      <c r="C147" s="14">
        <f>IFERROR(VLOOKUP(A147,datos_2016!$B$1:$G$330,6,FALSE),"")</f>
        <v>15.81532416502947</v>
      </c>
      <c r="D147" s="14">
        <f>IFERROR(VLOOKUP(A147,datos_2024!$B$1:$G$322,6,FALSE),"")</f>
        <v>18.584801762114537</v>
      </c>
    </row>
    <row r="148" spans="1:4">
      <c r="A148" s="3">
        <v>31201</v>
      </c>
      <c r="B148" s="4" t="s">
        <v>153</v>
      </c>
      <c r="C148" s="14">
        <f>IFERROR(VLOOKUP(A148,datos_2016!$B$1:$G$330,6,FALSE),"")</f>
        <v>6.3647128478389581</v>
      </c>
      <c r="D148" s="14">
        <f>IFERROR(VLOOKUP(A148,datos_2024!$B$1:$G$322,6,FALSE),"")</f>
        <v>6.0896605338170513</v>
      </c>
    </row>
    <row r="149" spans="1:4">
      <c r="A149" s="5">
        <v>31202</v>
      </c>
      <c r="B149" s="6" t="s">
        <v>154</v>
      </c>
      <c r="C149" s="14">
        <f>IFERROR(VLOOKUP(A149,datos_2016!$B$1:$G$330,6,FALSE),"")</f>
        <v>9.7697922515440769</v>
      </c>
      <c r="D149" s="14">
        <f>IFERROR(VLOOKUP(A149,datos_2024!$B$1:$G$322,6,FALSE),"")</f>
        <v>8.5912240184757511</v>
      </c>
    </row>
    <row r="150" spans="1:4">
      <c r="A150" s="3">
        <v>31203</v>
      </c>
      <c r="B150" s="4" t="s">
        <v>155</v>
      </c>
      <c r="C150" s="14">
        <f>IFERROR(VLOOKUP(A150,datos_2016!$B$1:$G$330,6,FALSE),"")</f>
        <v>10.921366163621922</v>
      </c>
      <c r="D150" s="14">
        <f>IFERROR(VLOOKUP(A150,datos_2024!$B$1:$G$322,6,FALSE),"")</f>
        <v>9.107089884307328</v>
      </c>
    </row>
    <row r="151" spans="1:4">
      <c r="A151" s="5">
        <v>31204</v>
      </c>
      <c r="B151" s="6" t="s">
        <v>156</v>
      </c>
      <c r="C151" s="14">
        <f>IFERROR(VLOOKUP(A151,datos_2016!$B$1:$G$330,6,FALSE),"")</f>
        <v>5.6026462683481499</v>
      </c>
      <c r="D151" s="14">
        <f>IFERROR(VLOOKUP(A151,datos_2024!$B$1:$G$322,6,FALSE),"")</f>
        <v>4.3036178765665642</v>
      </c>
    </row>
    <row r="152" spans="1:4">
      <c r="A152" s="3">
        <v>31205</v>
      </c>
      <c r="B152" s="4" t="s">
        <v>157</v>
      </c>
      <c r="C152" s="14">
        <f>IFERROR(VLOOKUP(A152,datos_2016!$B$1:$G$330,6,FALSE),"")</f>
        <v>6.3453598994794476</v>
      </c>
      <c r="D152" s="14">
        <f>IFERROR(VLOOKUP(A152,datos_2024!$B$1:$G$322,6,FALSE),"")</f>
        <v>5.7283042011652867</v>
      </c>
    </row>
    <row r="153" spans="1:4">
      <c r="A153" s="5">
        <v>31206</v>
      </c>
      <c r="B153" s="6" t="s">
        <v>158</v>
      </c>
      <c r="C153" s="14">
        <f>IFERROR(VLOOKUP(A153,datos_2016!$B$1:$G$330,6,FALSE),"")</f>
        <v>3.9094056549336411</v>
      </c>
      <c r="D153" s="14">
        <f>IFERROR(VLOOKUP(A153,datos_2024!$B$1:$G$322,6,FALSE),"")</f>
        <v>5.7066620760888274</v>
      </c>
    </row>
    <row r="154" spans="1:4">
      <c r="A154" s="12">
        <v>31301</v>
      </c>
      <c r="B154" s="13" t="s">
        <v>159</v>
      </c>
      <c r="C154" s="14">
        <f>IFERROR(VLOOKUP(A154,datos_2016!$B$1:$G$330,6,FALSE),"")</f>
        <v>6.8758473755568472</v>
      </c>
      <c r="D154" s="14">
        <f>IFERROR(VLOOKUP(A154,datos_2024!$B$1:$G$322,6,FALSE),"")</f>
        <v>7.2326435892477274</v>
      </c>
    </row>
    <row r="155" spans="1:4">
      <c r="A155" s="5">
        <v>31302</v>
      </c>
      <c r="B155" s="6" t="s">
        <v>160</v>
      </c>
      <c r="C155" s="14">
        <f>IFERROR(VLOOKUP(A155,datos_2016!$B$1:$G$330,6,FALSE),"")</f>
        <v>10.782241014799155</v>
      </c>
      <c r="D155" s="14">
        <f>IFERROR(VLOOKUP(A155,datos_2024!$B$1:$G$322,6,FALSE),"")</f>
        <v>16.508538899430739</v>
      </c>
    </row>
    <row r="156" spans="1:4">
      <c r="A156" s="3">
        <v>31303</v>
      </c>
      <c r="B156" s="4" t="s">
        <v>161</v>
      </c>
      <c r="C156" s="14">
        <f>IFERROR(VLOOKUP(A156,datos_2016!$B$1:$G$330,6,FALSE),"")</f>
        <v>12.794612794612794</v>
      </c>
      <c r="D156" s="14">
        <f>IFERROR(VLOOKUP(A156,datos_2024!$B$1:$G$322,6,FALSE),"")</f>
        <v>21.53846153846154</v>
      </c>
    </row>
    <row r="157" spans="1:4">
      <c r="A157" s="5">
        <v>31304</v>
      </c>
      <c r="B157" s="6" t="s">
        <v>162</v>
      </c>
      <c r="C157" s="14" t="str">
        <f>IFERROR(VLOOKUP(A157,datos_2016!$B$1:$G$330,6,FALSE),"")</f>
        <v/>
      </c>
      <c r="D157" s="14" t="str">
        <f>IFERROR(VLOOKUP(A157,datos_2024!$B$1:$G$322,6,FALSE),"")</f>
        <v/>
      </c>
    </row>
    <row r="158" spans="1:4">
      <c r="A158" s="3">
        <v>31401</v>
      </c>
      <c r="B158" s="4" t="s">
        <v>163</v>
      </c>
      <c r="C158" s="14">
        <f>IFERROR(VLOOKUP(A158,datos_2016!$B$1:$G$330,6,FALSE),"")</f>
        <v>7.8358208955223878</v>
      </c>
      <c r="D158" s="14">
        <f>IFERROR(VLOOKUP(A158,datos_2024!$B$1:$G$322,6,FALSE),"")</f>
        <v>8.045397225725095</v>
      </c>
    </row>
    <row r="159" spans="1:4">
      <c r="A159" s="5">
        <v>31402</v>
      </c>
      <c r="B159" s="6" t="s">
        <v>164</v>
      </c>
      <c r="C159" s="14">
        <f>IFERROR(VLOOKUP(A159,datos_2016!$B$1:$G$330,6,FALSE),"")</f>
        <v>19.314137819475899</v>
      </c>
      <c r="D159" s="14">
        <f>IFERROR(VLOOKUP(A159,datos_2024!$B$1:$G$322,6,FALSE),"")</f>
        <v>16.026658203744844</v>
      </c>
    </row>
    <row r="160" spans="1:4">
      <c r="A160" s="3">
        <v>31403</v>
      </c>
      <c r="B160" s="4" t="s">
        <v>165</v>
      </c>
      <c r="C160" s="14">
        <f>IFERROR(VLOOKUP(A160,datos_2016!$B$1:$G$330,6,FALSE),"")</f>
        <v>10.73224043715847</v>
      </c>
      <c r="D160" s="14">
        <f>IFERROR(VLOOKUP(A160,datos_2024!$B$1:$G$322,6,FALSE),"")</f>
        <v>11.593662628145387</v>
      </c>
    </row>
    <row r="161" spans="1:4">
      <c r="A161" s="5">
        <v>31404</v>
      </c>
      <c r="B161" s="6" t="s">
        <v>166</v>
      </c>
      <c r="C161" s="14">
        <f>IFERROR(VLOOKUP(A161,datos_2016!$B$1:$G$330,6,FALSE),"")</f>
        <v>19.453924914675767</v>
      </c>
      <c r="D161" s="14">
        <f>IFERROR(VLOOKUP(A161,datos_2024!$B$1:$G$322,6,FALSE),"")</f>
        <v>16.666666666666668</v>
      </c>
    </row>
    <row r="162" spans="1:4">
      <c r="A162" s="3">
        <v>31405</v>
      </c>
      <c r="B162" s="4" t="s">
        <v>167</v>
      </c>
      <c r="C162" s="14" t="str">
        <f>IFERROR(VLOOKUP(A162,datos_2016!$B$1:$G$330,6,FALSE),"")</f>
        <v/>
      </c>
      <c r="D162" s="14" t="str">
        <f>IFERROR(VLOOKUP(A162,datos_2024!$B$1:$G$322,6,FALSE),"")</f>
        <v/>
      </c>
    </row>
    <row r="163" spans="1:4">
      <c r="A163" s="5">
        <v>31501</v>
      </c>
      <c r="B163" s="6" t="s">
        <v>168</v>
      </c>
      <c r="C163" s="14">
        <f>IFERROR(VLOOKUP(A163,datos_2016!$B$1:$G$330,6,FALSE),"")</f>
        <v>17.094972067039105</v>
      </c>
      <c r="D163" s="14">
        <f>IFERROR(VLOOKUP(A163,datos_2024!$B$1:$G$322,6,FALSE),"")</f>
        <v>19.204801200300075</v>
      </c>
    </row>
    <row r="164" spans="1:4">
      <c r="A164" s="3">
        <v>31601</v>
      </c>
      <c r="B164" s="4" t="s">
        <v>169</v>
      </c>
      <c r="C164" s="14">
        <f>IFERROR(VLOOKUP(A164,datos_2016!$B$1:$G$330,6,FALSE),"")</f>
        <v>10.51862673484295</v>
      </c>
      <c r="D164" s="14">
        <f>IFERROR(VLOOKUP(A164,datos_2024!$B$1:$G$322,6,FALSE),"")</f>
        <v>12.165197857266287</v>
      </c>
    </row>
    <row r="165" spans="1:4">
      <c r="A165" s="5">
        <v>31602</v>
      </c>
      <c r="B165" s="6" t="s">
        <v>170</v>
      </c>
      <c r="C165" s="14">
        <f>IFERROR(VLOOKUP(A165,datos_2016!$B$1:$G$330,6,FALSE),"")</f>
        <v>4.536082474226804</v>
      </c>
      <c r="D165" s="14">
        <f>IFERROR(VLOOKUP(A165,datos_2024!$B$1:$G$322,6,FALSE),"")</f>
        <v>3.7354562155541946</v>
      </c>
    </row>
    <row r="166" spans="1:4">
      <c r="A166" s="3">
        <v>40101</v>
      </c>
      <c r="B166" s="4" t="s">
        <v>171</v>
      </c>
      <c r="C166" s="14">
        <f>IFERROR(VLOOKUP(A166,datos_2016!$B$1:$G$330,6,FALSE),"")</f>
        <v>5.3643631685351956</v>
      </c>
      <c r="D166" s="14">
        <f>IFERROR(VLOOKUP(A166,datos_2024!$B$1:$G$322,6,FALSE),"")</f>
        <v>7.4845558962156229</v>
      </c>
    </row>
    <row r="167" spans="1:4">
      <c r="A167" s="5">
        <v>40102</v>
      </c>
      <c r="B167" s="6" t="s">
        <v>172</v>
      </c>
      <c r="C167" s="14">
        <f>IFERROR(VLOOKUP(A167,datos_2016!$B$1:$G$330,6,FALSE),"")</f>
        <v>5.2192982456140351</v>
      </c>
      <c r="D167" s="14">
        <f>IFERROR(VLOOKUP(A167,datos_2024!$B$1:$G$322,6,FALSE),"")</f>
        <v>13.764337851929092</v>
      </c>
    </row>
    <row r="168" spans="1:4">
      <c r="A168" s="3">
        <v>40103</v>
      </c>
      <c r="B168" s="4" t="s">
        <v>173</v>
      </c>
      <c r="C168" s="14">
        <f>IFERROR(VLOOKUP(A168,datos_2016!$B$1:$G$330,6,FALSE),"")</f>
        <v>27.710843373493976</v>
      </c>
      <c r="D168" s="14">
        <f>IFERROR(VLOOKUP(A168,datos_2024!$B$1:$G$322,6,FALSE),"")</f>
        <v>18.9792663476874</v>
      </c>
    </row>
    <row r="169" spans="1:4">
      <c r="A169" s="5">
        <v>40104</v>
      </c>
      <c r="B169" s="6" t="s">
        <v>174</v>
      </c>
      <c r="C169" s="14">
        <f>IFERROR(VLOOKUP(A169,datos_2016!$B$1:$G$330,6,FALSE),"")</f>
        <v>1.4160919540229886</v>
      </c>
      <c r="D169" s="14">
        <f>IFERROR(VLOOKUP(A169,datos_2024!$B$1:$G$322,6,FALSE),"")</f>
        <v>15.566625155666252</v>
      </c>
    </row>
    <row r="170" spans="1:4">
      <c r="A170" s="3">
        <v>40201</v>
      </c>
      <c r="B170" s="4" t="s">
        <v>175</v>
      </c>
      <c r="C170" s="14">
        <f>IFERROR(VLOOKUP(A170,datos_2016!$B$1:$G$330,6,FALSE),"")</f>
        <v>16.091008771929825</v>
      </c>
      <c r="D170" s="14">
        <f>IFERROR(VLOOKUP(A170,datos_2024!$B$1:$G$322,6,FALSE),"")</f>
        <v>11.14007821117016</v>
      </c>
    </row>
    <row r="171" spans="1:4">
      <c r="A171" s="5">
        <v>40202</v>
      </c>
      <c r="B171" s="6" t="s">
        <v>176</v>
      </c>
      <c r="C171" s="14">
        <f>IFERROR(VLOOKUP(A171,datos_2016!$B$1:$G$330,6,FALSE),"")</f>
        <v>1.7518248175182483</v>
      </c>
      <c r="D171" s="14">
        <f>IFERROR(VLOOKUP(A171,datos_2024!$B$1:$G$322,6,FALSE),"")</f>
        <v>15.384615384615385</v>
      </c>
    </row>
    <row r="172" spans="1:4">
      <c r="A172" s="3">
        <v>40301</v>
      </c>
      <c r="B172" s="4" t="s">
        <v>177</v>
      </c>
      <c r="C172" s="14">
        <f>IFERROR(VLOOKUP(A172,datos_2016!$B$1:$G$330,6,FALSE),"")</f>
        <v>23.653566229985444</v>
      </c>
      <c r="D172" s="14">
        <f>IFERROR(VLOOKUP(A172,datos_2024!$B$1:$G$322,6,FALSE),"")</f>
        <v>31.352992194275803</v>
      </c>
    </row>
    <row r="173" spans="1:4">
      <c r="A173" s="5">
        <v>40302</v>
      </c>
      <c r="B173" s="6" t="s">
        <v>178</v>
      </c>
      <c r="C173" s="14">
        <f>IFERROR(VLOOKUP(A173,datos_2016!$B$1:$G$330,6,FALSE),"")</f>
        <v>29.515418502202643</v>
      </c>
      <c r="D173" s="14">
        <f>IFERROR(VLOOKUP(A173,datos_2024!$B$1:$G$322,6,FALSE),"")</f>
        <v>24.84375</v>
      </c>
    </row>
    <row r="174" spans="1:4">
      <c r="A174" s="3">
        <v>40401</v>
      </c>
      <c r="B174" s="4" t="s">
        <v>179</v>
      </c>
      <c r="C174" s="14">
        <f>IFERROR(VLOOKUP(A174,datos_2016!$B$1:$G$330,6,FALSE),"")</f>
        <v>8.7056128293241688</v>
      </c>
      <c r="D174" s="14">
        <f>IFERROR(VLOOKUP(A174,datos_2024!$B$1:$G$322,6,FALSE),"")</f>
        <v>16.772823779193207</v>
      </c>
    </row>
    <row r="175" spans="1:4">
      <c r="A175" s="5">
        <v>40402</v>
      </c>
      <c r="B175" s="6" t="s">
        <v>180</v>
      </c>
      <c r="C175" s="14">
        <f>IFERROR(VLOOKUP(A175,datos_2016!$B$1:$G$330,6,FALSE),"")</f>
        <v>29.18552036199095</v>
      </c>
      <c r="D175" s="14">
        <f>IFERROR(VLOOKUP(A175,datos_2024!$B$1:$G$322,6,FALSE),"")</f>
        <v>23.486238532110093</v>
      </c>
    </row>
    <row r="176" spans="1:4">
      <c r="A176" s="3">
        <v>40501</v>
      </c>
      <c r="B176" s="4" t="s">
        <v>181</v>
      </c>
      <c r="C176" s="14">
        <f>IFERROR(VLOOKUP(A176,datos_2016!$B$1:$G$330,6,FALSE),"")</f>
        <v>22.103386809269161</v>
      </c>
      <c r="D176" s="14">
        <f>IFERROR(VLOOKUP(A176,datos_2024!$B$1:$G$322,6,FALSE),"")</f>
        <v>21.686746987951807</v>
      </c>
    </row>
    <row r="177" spans="1:4">
      <c r="A177" s="5">
        <v>40502</v>
      </c>
      <c r="B177" s="6" t="s">
        <v>182</v>
      </c>
      <c r="C177" s="14">
        <f>IFERROR(VLOOKUP(A177,datos_2016!$B$1:$G$330,6,FALSE),"")</f>
        <v>50</v>
      </c>
      <c r="D177" s="14">
        <f>IFERROR(VLOOKUP(A177,datos_2024!$B$1:$G$322,6,FALSE),"")</f>
        <v>29.098360655737704</v>
      </c>
    </row>
    <row r="178" spans="1:4">
      <c r="A178" s="3">
        <v>40503</v>
      </c>
      <c r="B178" s="4" t="s">
        <v>183</v>
      </c>
      <c r="C178" s="14">
        <f>IFERROR(VLOOKUP(A178,datos_2016!$B$1:$G$330,6,FALSE),"")</f>
        <v>25.396825396825395</v>
      </c>
      <c r="D178" s="14">
        <f>IFERROR(VLOOKUP(A178,datos_2024!$B$1:$G$322,6,FALSE),"")</f>
        <v>68.965517241379317</v>
      </c>
    </row>
    <row r="179" spans="1:4">
      <c r="A179" s="5">
        <v>40504</v>
      </c>
      <c r="B179" s="6" t="s">
        <v>184</v>
      </c>
      <c r="C179" s="14">
        <f>IFERROR(VLOOKUP(A179,datos_2016!$B$1:$G$330,6,FALSE),"")</f>
        <v>1.7241379310344827</v>
      </c>
      <c r="D179" s="14">
        <f>IFERROR(VLOOKUP(A179,datos_2024!$B$1:$G$322,6,FALSE),"")</f>
        <v>20.3125</v>
      </c>
    </row>
    <row r="180" spans="1:4">
      <c r="A180" s="3">
        <v>40505</v>
      </c>
      <c r="B180" s="4" t="s">
        <v>185</v>
      </c>
      <c r="C180" s="14">
        <f>IFERROR(VLOOKUP(A180,datos_2016!$B$1:$G$330,6,FALSE),"")</f>
        <v>40.983606557377051</v>
      </c>
      <c r="D180" s="14">
        <f>IFERROR(VLOOKUP(A180,datos_2024!$B$1:$G$322,6,FALSE),"")</f>
        <v>24.365482233502537</v>
      </c>
    </row>
    <row r="181" spans="1:4">
      <c r="A181" s="5">
        <v>40601</v>
      </c>
      <c r="B181" s="6" t="s">
        <v>186</v>
      </c>
      <c r="C181" s="14">
        <f>IFERROR(VLOOKUP(A181,datos_2016!$B$1:$G$330,6,FALSE),"")</f>
        <v>26.315789473684209</v>
      </c>
      <c r="D181" s="14">
        <f>IFERROR(VLOOKUP(A181,datos_2024!$B$1:$G$322,6,FALSE),"")</f>
        <v>30.834512022630836</v>
      </c>
    </row>
    <row r="182" spans="1:4">
      <c r="A182" s="3">
        <v>40602</v>
      </c>
      <c r="B182" s="4" t="s">
        <v>187</v>
      </c>
      <c r="C182" s="14">
        <f>IFERROR(VLOOKUP(A182,datos_2016!$B$1:$G$330,6,FALSE),"")</f>
        <v>5.7021276595744679</v>
      </c>
      <c r="D182" s="14">
        <f>IFERROR(VLOOKUP(A182,datos_2024!$B$1:$G$322,6,FALSE),"")</f>
        <v>0</v>
      </c>
    </row>
    <row r="183" spans="1:4">
      <c r="A183" s="5">
        <v>40603</v>
      </c>
      <c r="B183" s="6" t="s">
        <v>188</v>
      </c>
      <c r="C183" s="14">
        <f>IFERROR(VLOOKUP(A183,datos_2016!$B$1:$G$330,6,FALSE),"")</f>
        <v>16.666666666666668</v>
      </c>
      <c r="D183" s="14">
        <f>IFERROR(VLOOKUP(A183,datos_2024!$B$1:$G$322,6,FALSE),"")</f>
        <v>31.071428571428573</v>
      </c>
    </row>
    <row r="184" spans="1:4">
      <c r="A184" s="3">
        <v>40701</v>
      </c>
      <c r="B184" s="4" t="s">
        <v>189</v>
      </c>
      <c r="C184" s="14">
        <f>IFERROR(VLOOKUP(A184,datos_2016!$B$1:$G$330,6,FALSE),"")</f>
        <v>8.8067659496230917</v>
      </c>
      <c r="D184" s="14">
        <f>IFERROR(VLOOKUP(A184,datos_2024!$B$1:$G$322,6,FALSE),"")</f>
        <v>7.9406068431245966</v>
      </c>
    </row>
    <row r="185" spans="1:4">
      <c r="A185" s="5">
        <v>40702</v>
      </c>
      <c r="B185" s="6" t="s">
        <v>190</v>
      </c>
      <c r="C185" s="14">
        <f>IFERROR(VLOOKUP(A185,datos_2016!$B$1:$G$330,6,FALSE),"")</f>
        <v>9.6373056994818658</v>
      </c>
      <c r="D185" s="14">
        <f>IFERROR(VLOOKUP(A185,datos_2024!$B$1:$G$322,6,FALSE),"")</f>
        <v>12.068965517241379</v>
      </c>
    </row>
    <row r="186" spans="1:4">
      <c r="A186" s="3">
        <v>40801</v>
      </c>
      <c r="B186" s="4" t="s">
        <v>191</v>
      </c>
      <c r="C186" s="14">
        <f>IFERROR(VLOOKUP(A186,datos_2016!$B$1:$G$330,6,FALSE),"")</f>
        <v>34.702926396689328</v>
      </c>
      <c r="D186" s="14">
        <f>IFERROR(VLOOKUP(A186,datos_2024!$B$1:$G$322,6,FALSE),"")</f>
        <v>17.435249526216044</v>
      </c>
    </row>
    <row r="187" spans="1:4">
      <c r="A187" s="5">
        <v>40802</v>
      </c>
      <c r="B187" s="6" t="s">
        <v>192</v>
      </c>
      <c r="C187" s="14">
        <f>IFERROR(VLOOKUP(A187,datos_2016!$B$1:$G$330,6,FALSE),"")</f>
        <v>33.519553072625698</v>
      </c>
      <c r="D187" s="14">
        <f>IFERROR(VLOOKUP(A187,datos_2024!$B$1:$G$322,6,FALSE),"")</f>
        <v>20.680628272251308</v>
      </c>
    </row>
    <row r="188" spans="1:4">
      <c r="A188" s="3">
        <v>40901</v>
      </c>
      <c r="B188" s="4" t="s">
        <v>193</v>
      </c>
      <c r="C188" s="14">
        <f>IFERROR(VLOOKUP(A188,datos_2016!$B$1:$G$330,6,FALSE),"")</f>
        <v>22.965879265091864</v>
      </c>
      <c r="D188" s="14">
        <f>IFERROR(VLOOKUP(A188,datos_2024!$B$1:$G$322,6,FALSE),"")</f>
        <v>16.655336505778383</v>
      </c>
    </row>
    <row r="189" spans="1:4">
      <c r="A189" s="5">
        <v>40902</v>
      </c>
      <c r="B189" s="6" t="s">
        <v>194</v>
      </c>
      <c r="C189" s="14">
        <f>IFERROR(VLOOKUP(A189,datos_2016!$B$1:$G$330,6,FALSE),"")</f>
        <v>14.393939393939394</v>
      </c>
      <c r="D189" s="14">
        <f>IFERROR(VLOOKUP(A189,datos_2024!$B$1:$G$322,6,FALSE),"")</f>
        <v>19.49685534591195</v>
      </c>
    </row>
    <row r="190" spans="1:4">
      <c r="A190" s="3">
        <v>40903</v>
      </c>
      <c r="B190" s="4" t="s">
        <v>195</v>
      </c>
      <c r="C190" s="14">
        <f>IFERROR(VLOOKUP(A190,datos_2016!$B$1:$G$330,6,FALSE),"")</f>
        <v>17.994100294985252</v>
      </c>
      <c r="D190" s="14">
        <f>IFERROR(VLOOKUP(A190,datos_2024!$B$1:$G$322,6,FALSE),"")</f>
        <v>19.420289855072465</v>
      </c>
    </row>
    <row r="191" spans="1:4">
      <c r="A191" s="5">
        <v>41001</v>
      </c>
      <c r="B191" s="6" t="s">
        <v>196</v>
      </c>
      <c r="C191" s="14">
        <f>IFERROR(VLOOKUP(A191,datos_2016!$B$1:$G$330,6,FALSE),"")</f>
        <v>9.9621689785624206</v>
      </c>
      <c r="D191" s="14">
        <f>IFERROR(VLOOKUP(A191,datos_2024!$B$1:$G$322,6,FALSE),"")</f>
        <v>28.085106382978722</v>
      </c>
    </row>
    <row r="192" spans="1:4">
      <c r="A192" s="3">
        <v>41101</v>
      </c>
      <c r="B192" s="4" t="s">
        <v>197</v>
      </c>
      <c r="C192" s="14">
        <f>IFERROR(VLOOKUP(A192,datos_2016!$B$1:$G$330,6,FALSE),"")</f>
        <v>0</v>
      </c>
      <c r="D192" s="14">
        <f>IFERROR(VLOOKUP(A192,datos_2024!$B$1:$G$322,6,FALSE),"")</f>
        <v>9.3816631130063968</v>
      </c>
    </row>
    <row r="193" spans="1:4">
      <c r="A193" s="5">
        <v>41201</v>
      </c>
      <c r="B193" s="6" t="s">
        <v>198</v>
      </c>
      <c r="C193" s="14">
        <f>IFERROR(VLOOKUP(A193,datos_2016!$B$1:$G$330,6,FALSE),"")</f>
        <v>25.355871886120998</v>
      </c>
      <c r="D193" s="14">
        <f>IFERROR(VLOOKUP(A193,datos_2024!$B$1:$G$322,6,FALSE),"")</f>
        <v>31.593038821954483</v>
      </c>
    </row>
    <row r="194" spans="1:4">
      <c r="A194" s="3">
        <v>41202</v>
      </c>
      <c r="B194" s="4" t="s">
        <v>199</v>
      </c>
      <c r="C194" s="14">
        <f>IFERROR(VLOOKUP(A194,datos_2016!$B$1:$G$330,6,FALSE),"")</f>
        <v>32.054794520547944</v>
      </c>
      <c r="D194" s="14">
        <f>IFERROR(VLOOKUP(A194,datos_2024!$B$1:$G$322,6,FALSE),"")</f>
        <v>0</v>
      </c>
    </row>
    <row r="195" spans="1:4">
      <c r="A195" s="5">
        <v>41301</v>
      </c>
      <c r="B195" s="6" t="s">
        <v>200</v>
      </c>
      <c r="C195" s="14">
        <f>IFERROR(VLOOKUP(A195,datos_2016!$B$1:$G$330,6,FALSE),"")</f>
        <v>2.1153846153846154</v>
      </c>
      <c r="D195" s="14">
        <f>IFERROR(VLOOKUP(A195,datos_2024!$B$1:$G$322,6,FALSE),"")</f>
        <v>16.439909297052154</v>
      </c>
    </row>
    <row r="196" spans="1:4">
      <c r="A196" s="3">
        <v>41401</v>
      </c>
      <c r="B196" s="4" t="s">
        <v>201</v>
      </c>
      <c r="C196" s="14">
        <f>IFERROR(VLOOKUP(A196,datos_2016!$B$1:$G$330,6,FALSE),"")</f>
        <v>15.485362095531586</v>
      </c>
      <c r="D196" s="14">
        <f>IFERROR(VLOOKUP(A196,datos_2024!$B$1:$G$322,6,FALSE),"")</f>
        <v>13.847675568743819</v>
      </c>
    </row>
    <row r="197" spans="1:4">
      <c r="A197" s="5">
        <v>41501</v>
      </c>
      <c r="B197" s="6" t="s">
        <v>202</v>
      </c>
      <c r="C197" s="14">
        <f>IFERROR(VLOOKUP(A197,datos_2016!$B$1:$G$330,6,FALSE),"")</f>
        <v>0</v>
      </c>
      <c r="D197" s="14">
        <f>IFERROR(VLOOKUP(A197,datos_2024!$B$1:$G$322,6,FALSE),"")</f>
        <v>19.463087248322147</v>
      </c>
    </row>
    <row r="198" spans="1:4">
      <c r="A198" s="3">
        <v>41502</v>
      </c>
      <c r="B198" s="4" t="s">
        <v>203</v>
      </c>
      <c r="C198" s="14">
        <f>IFERROR(VLOOKUP(A198,datos_2016!$B$1:$G$330,6,FALSE),"")</f>
        <v>0</v>
      </c>
      <c r="D198" s="14">
        <f>IFERROR(VLOOKUP(A198,datos_2024!$B$1:$G$322,6,FALSE),"")</f>
        <v>24.444444444444443</v>
      </c>
    </row>
    <row r="199" spans="1:4">
      <c r="A199" s="5">
        <v>41503</v>
      </c>
      <c r="B199" s="6" t="s">
        <v>204</v>
      </c>
      <c r="C199" s="14">
        <f>IFERROR(VLOOKUP(A199,datos_2016!$B$1:$G$330,6,FALSE),"")</f>
        <v>0</v>
      </c>
      <c r="D199" s="14">
        <f>IFERROR(VLOOKUP(A199,datos_2024!$B$1:$G$322,6,FALSE),"")</f>
        <v>19.458128078817733</v>
      </c>
    </row>
    <row r="200" spans="1:4">
      <c r="A200" s="3">
        <v>41601</v>
      </c>
      <c r="B200" s="4" t="s">
        <v>205</v>
      </c>
      <c r="C200" s="14">
        <f>IFERROR(VLOOKUP(A200,datos_2016!$B$1:$G$330,6,FALSE),"")</f>
        <v>3.8797284190106693</v>
      </c>
      <c r="D200" s="14">
        <f>IFERROR(VLOOKUP(A200,datos_2024!$B$1:$G$322,6,FALSE),"")</f>
        <v>23.568575233022635</v>
      </c>
    </row>
    <row r="201" spans="1:4">
      <c r="A201" s="5">
        <v>50101</v>
      </c>
      <c r="B201" s="6" t="s">
        <v>206</v>
      </c>
      <c r="C201" s="14">
        <f>IFERROR(VLOOKUP(A201,datos_2016!$B$1:$G$330,6,FALSE),"")</f>
        <v>3.907373669575223</v>
      </c>
      <c r="D201" s="14">
        <f>IFERROR(VLOOKUP(A201,datos_2024!$B$1:$G$322,6,FALSE),"")</f>
        <v>6.4463246959280802</v>
      </c>
    </row>
    <row r="202" spans="1:4">
      <c r="A202" s="3">
        <v>50102</v>
      </c>
      <c r="B202" s="4" t="s">
        <v>207</v>
      </c>
      <c r="C202" s="14">
        <f>IFERROR(VLOOKUP(A202,datos_2016!$B$1:$G$330,6,FALSE),"")</f>
        <v>21.969920377469773</v>
      </c>
      <c r="D202" s="14">
        <f>IFERROR(VLOOKUP(A202,datos_2024!$B$1:$G$322,6,FALSE),"")</f>
        <v>36.035267349260522</v>
      </c>
    </row>
    <row r="203" spans="1:4">
      <c r="A203" s="5">
        <v>50103</v>
      </c>
      <c r="B203" s="6" t="s">
        <v>208</v>
      </c>
      <c r="C203" s="14">
        <f>IFERROR(VLOOKUP(A203,datos_2016!$B$1:$G$330,6,FALSE),"")</f>
        <v>21.201890614449695</v>
      </c>
      <c r="D203" s="14">
        <f>IFERROR(VLOOKUP(A203,datos_2024!$B$1:$G$322,6,FALSE),"")</f>
        <v>33.898305084745765</v>
      </c>
    </row>
    <row r="204" spans="1:4">
      <c r="A204" s="3">
        <v>50104</v>
      </c>
      <c r="B204" s="4" t="s">
        <v>209</v>
      </c>
      <c r="C204" s="14">
        <f>IFERROR(VLOOKUP(A204,datos_2016!$B$1:$G$330,6,FALSE),"")</f>
        <v>34.265734265734267</v>
      </c>
      <c r="D204" s="14">
        <f>IFERROR(VLOOKUP(A204,datos_2024!$B$1:$G$322,6,FALSE),"")</f>
        <v>39.263803680981596</v>
      </c>
    </row>
    <row r="205" spans="1:4">
      <c r="A205" s="5">
        <v>50201</v>
      </c>
      <c r="B205" s="6" t="s">
        <v>210</v>
      </c>
      <c r="C205" s="14">
        <f>IFERROR(VLOOKUP(A205,datos_2016!$B$1:$G$330,6,FALSE),"")</f>
        <v>0</v>
      </c>
      <c r="D205" s="14">
        <f>IFERROR(VLOOKUP(A205,datos_2024!$B$1:$G$322,6,FALSE),"")</f>
        <v>0</v>
      </c>
    </row>
    <row r="206" spans="1:4">
      <c r="A206" s="3">
        <v>50202</v>
      </c>
      <c r="B206" s="4" t="s">
        <v>211</v>
      </c>
      <c r="C206" s="14">
        <f>IFERROR(VLOOKUP(A206,datos_2016!$B$1:$G$330,6,FALSE),"")</f>
        <v>26.437699680511184</v>
      </c>
      <c r="D206" s="14">
        <f>IFERROR(VLOOKUP(A206,datos_2024!$B$1:$G$322,6,FALSE),"")</f>
        <v>28.177150192554556</v>
      </c>
    </row>
    <row r="207" spans="1:4">
      <c r="A207" s="5">
        <v>50203</v>
      </c>
      <c r="B207" s="6" t="s">
        <v>212</v>
      </c>
      <c r="C207" s="14">
        <f>IFERROR(VLOOKUP(A207,datos_2016!$B$1:$G$330,6,FALSE),"")</f>
        <v>3.4633145202668034</v>
      </c>
      <c r="D207" s="14">
        <f>IFERROR(VLOOKUP(A207,datos_2024!$B$1:$G$322,6,FALSE),"")</f>
        <v>4.6148222608059948</v>
      </c>
    </row>
    <row r="208" spans="1:4">
      <c r="A208" s="30">
        <v>50204</v>
      </c>
      <c r="B208" s="4" t="s">
        <v>213</v>
      </c>
      <c r="C208" s="14" t="str">
        <f>IFERROR(VLOOKUP(A208,datos_2016!$B$1:$G$330,6,FALSE),"")</f>
        <v/>
      </c>
      <c r="D208" s="14" t="str">
        <f>IFERROR(VLOOKUP(A208,datos_2024!$B$1:$G$322,6,FALSE),"")</f>
        <v/>
      </c>
    </row>
    <row r="209" spans="1:4">
      <c r="A209" s="5">
        <v>50301</v>
      </c>
      <c r="B209" s="6" t="s">
        <v>214</v>
      </c>
      <c r="C209" s="14">
        <f>IFERROR(VLOOKUP(A209,datos_2016!$B$1:$G$330,6,FALSE),"")</f>
        <v>13.540332906530089</v>
      </c>
      <c r="D209" s="14">
        <f>IFERROR(VLOOKUP(A209,datos_2024!$B$1:$G$322,6,FALSE),"")</f>
        <v>18.030743664312421</v>
      </c>
    </row>
    <row r="210" spans="1:4">
      <c r="A210" s="3">
        <v>50302</v>
      </c>
      <c r="B210" s="4" t="s">
        <v>215</v>
      </c>
      <c r="C210" s="14">
        <f>IFERROR(VLOOKUP(A210,datos_2016!$B$1:$G$330,6,FALSE),"")</f>
        <v>11.842105263157896</v>
      </c>
      <c r="D210" s="14">
        <f>IFERROR(VLOOKUP(A210,datos_2024!$B$1:$G$322,6,FALSE),"")</f>
        <v>27.549271636675236</v>
      </c>
    </row>
    <row r="211" spans="1:4">
      <c r="A211" s="5">
        <v>50303</v>
      </c>
      <c r="B211" s="6" t="s">
        <v>216</v>
      </c>
      <c r="C211" s="14">
        <f>IFERROR(VLOOKUP(A211,datos_2016!$B$1:$G$330,6,FALSE),"")</f>
        <v>2.7027027027027026</v>
      </c>
      <c r="D211" s="14">
        <f>IFERROR(VLOOKUP(A211,datos_2024!$B$1:$G$322,6,FALSE),"")</f>
        <v>3.200948429164197</v>
      </c>
    </row>
    <row r="212" spans="1:4">
      <c r="A212" s="12">
        <v>50401</v>
      </c>
      <c r="B212" s="13" t="s">
        <v>217</v>
      </c>
      <c r="C212" s="14">
        <f>IFERROR(VLOOKUP(A212,datos_2016!$B$1:$G$330,6,FALSE),"")</f>
        <v>10.646312450436161</v>
      </c>
      <c r="D212" s="14">
        <f>IFERROR(VLOOKUP(A212,datos_2024!$B$1:$G$322,6,FALSE),"")</f>
        <v>19.710031347962381</v>
      </c>
    </row>
    <row r="213" spans="1:4">
      <c r="A213" s="5">
        <v>50402</v>
      </c>
      <c r="B213" s="6" t="s">
        <v>218</v>
      </c>
      <c r="C213" s="14">
        <f>IFERROR(VLOOKUP(A213,datos_2016!$B$1:$G$330,6,FALSE),"")</f>
        <v>12.124282337048294</v>
      </c>
      <c r="D213" s="14">
        <f>IFERROR(VLOOKUP(A213,datos_2024!$B$1:$G$322,6,FALSE),"")</f>
        <v>9.0271424214699607</v>
      </c>
    </row>
    <row r="214" spans="1:4">
      <c r="A214" s="3">
        <v>50403</v>
      </c>
      <c r="B214" s="4" t="s">
        <v>219</v>
      </c>
      <c r="C214" s="14">
        <f>IFERROR(VLOOKUP(A214,datos_2016!$B$1:$G$330,6,FALSE),"")</f>
        <v>18.377367313537526</v>
      </c>
      <c r="D214" s="14">
        <f>IFERROR(VLOOKUP(A214,datos_2024!$B$1:$G$322,6,FALSE),"")</f>
        <v>21.002763521515988</v>
      </c>
    </row>
    <row r="215" spans="1:4">
      <c r="A215" s="5">
        <v>50404</v>
      </c>
      <c r="B215" s="6" t="s">
        <v>220</v>
      </c>
      <c r="C215" s="14">
        <f>IFERROR(VLOOKUP(A215,datos_2016!$B$1:$G$330,6,FALSE),"")</f>
        <v>18.546365914786968</v>
      </c>
      <c r="D215" s="14">
        <f>IFERROR(VLOOKUP(A215,datos_2024!$B$1:$G$322,6,FALSE),"")</f>
        <v>8.7866108786610884</v>
      </c>
    </row>
    <row r="216" spans="1:4">
      <c r="A216" s="30">
        <v>50405</v>
      </c>
      <c r="B216" s="4" t="s">
        <v>221</v>
      </c>
      <c r="C216" s="14" t="str">
        <f>IFERROR(VLOOKUP(A216,datos_2016!$B$1:$G$330,6,FALSE),"")</f>
        <v/>
      </c>
      <c r="D216" s="14">
        <f>IFERROR(VLOOKUP(A216,datos_2024!$B$1:$G$322,6,FALSE),"")</f>
        <v>24.766355140186917</v>
      </c>
    </row>
    <row r="217" spans="1:4">
      <c r="A217" s="5">
        <v>50501</v>
      </c>
      <c r="B217" s="6" t="s">
        <v>222</v>
      </c>
      <c r="C217" s="14">
        <f>IFERROR(VLOOKUP(A217,datos_2016!$B$1:$G$330,6,FALSE),"")</f>
        <v>19.440914866581956</v>
      </c>
      <c r="D217" s="14">
        <f>IFERROR(VLOOKUP(A217,datos_2024!$B$1:$G$322,6,FALSE),"")</f>
        <v>10.221337975627954</v>
      </c>
    </row>
    <row r="218" spans="1:4">
      <c r="A218" s="3">
        <v>50502</v>
      </c>
      <c r="B218" s="4" t="s">
        <v>223</v>
      </c>
      <c r="C218" s="14">
        <f>IFERROR(VLOOKUP(A218,datos_2016!$B$1:$G$330,6,FALSE),"")</f>
        <v>30.515759312320917</v>
      </c>
      <c r="D218" s="14">
        <f>IFERROR(VLOOKUP(A218,datos_2024!$B$1:$G$322,6,FALSE),"")</f>
        <v>18.411712511091395</v>
      </c>
    </row>
    <row r="219" spans="1:4">
      <c r="A219" s="5">
        <v>50601</v>
      </c>
      <c r="B219" s="6" t="s">
        <v>224</v>
      </c>
      <c r="C219" s="14">
        <f>IFERROR(VLOOKUP(A219,datos_2016!$B$1:$G$330,6,FALSE),"")</f>
        <v>18.919427710843372</v>
      </c>
      <c r="D219" s="14">
        <f>IFERROR(VLOOKUP(A219,datos_2024!$B$1:$G$322,6,FALSE),"")</f>
        <v>14.185967302452315</v>
      </c>
    </row>
    <row r="220" spans="1:4">
      <c r="A220" s="3">
        <v>50602</v>
      </c>
      <c r="B220" s="4" t="s">
        <v>225</v>
      </c>
      <c r="C220" s="14">
        <f>IFERROR(VLOOKUP(A220,datos_2016!$B$1:$G$330,6,FALSE),"")</f>
        <v>20.123293703214443</v>
      </c>
      <c r="D220" s="14">
        <f>IFERROR(VLOOKUP(A220,datos_2024!$B$1:$G$322,6,FALSE),"")</f>
        <v>3.2405484004985459</v>
      </c>
    </row>
    <row r="221" spans="1:4">
      <c r="A221" s="5">
        <v>50701</v>
      </c>
      <c r="B221" s="6" t="s">
        <v>226</v>
      </c>
      <c r="C221" s="14">
        <f>IFERROR(VLOOKUP(A221,datos_2016!$B$1:$G$330,6,FALSE),"")</f>
        <v>15.977175463623395</v>
      </c>
      <c r="D221" s="14">
        <f>IFERROR(VLOOKUP(A221,datos_2024!$B$1:$G$322,6,FALSE),"")</f>
        <v>14.756446991404012</v>
      </c>
    </row>
    <row r="222" spans="1:4">
      <c r="A222" s="3">
        <v>50702</v>
      </c>
      <c r="B222" s="4" t="s">
        <v>227</v>
      </c>
      <c r="C222" s="14">
        <f>IFERROR(VLOOKUP(A222,datos_2016!$B$1:$G$330,6,FALSE),"")</f>
        <v>10.323089046493301</v>
      </c>
      <c r="D222" s="14">
        <f>IFERROR(VLOOKUP(A222,datos_2024!$B$1:$G$322,6,FALSE),"")</f>
        <v>21.17726657645467</v>
      </c>
    </row>
    <row r="223" spans="1:4">
      <c r="A223" s="5">
        <v>50801</v>
      </c>
      <c r="B223" s="6" t="s">
        <v>228</v>
      </c>
      <c r="C223" s="14">
        <f>IFERROR(VLOOKUP(A223,datos_2016!$B$1:$G$330,6,FALSE),"")</f>
        <v>11.808268229166666</v>
      </c>
      <c r="D223" s="14">
        <f>IFERROR(VLOOKUP(A223,datos_2024!$B$1:$G$322,6,FALSE),"")</f>
        <v>7.9784976658650448</v>
      </c>
    </row>
    <row r="224" spans="1:4">
      <c r="A224" s="3">
        <v>50802</v>
      </c>
      <c r="B224" s="4" t="s">
        <v>229</v>
      </c>
      <c r="C224" s="14">
        <f>IFERROR(VLOOKUP(A224,datos_2016!$B$1:$G$330,6,FALSE),"")</f>
        <v>4.9885132917623896</v>
      </c>
      <c r="D224" s="14">
        <f>IFERROR(VLOOKUP(A224,datos_2024!$B$1:$G$322,6,FALSE),"")</f>
        <v>4.635539133355727</v>
      </c>
    </row>
    <row r="225" spans="1:4">
      <c r="A225" s="5">
        <v>50901</v>
      </c>
      <c r="B225" s="6" t="s">
        <v>230</v>
      </c>
      <c r="C225" s="14">
        <f>IFERROR(VLOOKUP(A225,datos_2016!$B$1:$G$330,6,FALSE),"")</f>
        <v>21.900826446280991</v>
      </c>
      <c r="D225" s="14">
        <f>IFERROR(VLOOKUP(A225,datos_2024!$B$1:$G$322,6,FALSE),"")</f>
        <v>15.045045045045045</v>
      </c>
    </row>
    <row r="226" spans="1:4">
      <c r="A226" s="3">
        <v>50902</v>
      </c>
      <c r="B226" s="4" t="s">
        <v>231</v>
      </c>
      <c r="C226" s="14">
        <f>IFERROR(VLOOKUP(A226,datos_2016!$B$1:$G$330,6,FALSE),"")</f>
        <v>22.328244274809162</v>
      </c>
      <c r="D226" s="14">
        <f>IFERROR(VLOOKUP(A226,datos_2024!$B$1:$G$322,6,FALSE),"")</f>
        <v>22.119815668202765</v>
      </c>
    </row>
    <row r="227" spans="1:4">
      <c r="A227" s="5">
        <v>51001</v>
      </c>
      <c r="B227" s="6" t="s">
        <v>232</v>
      </c>
      <c r="C227" s="14">
        <f>IFERROR(VLOOKUP(A227,datos_2016!$B$1:$G$330,6,FALSE),"")</f>
        <v>16.304347826086957</v>
      </c>
      <c r="D227" s="14">
        <f>IFERROR(VLOOKUP(A227,datos_2024!$B$1:$G$322,6,FALSE),"")</f>
        <v>25.531914893617021</v>
      </c>
    </row>
    <row r="228" spans="1:4">
      <c r="A228" s="30">
        <v>51002</v>
      </c>
      <c r="B228" s="4" t="s">
        <v>233</v>
      </c>
      <c r="C228" s="14" t="str">
        <f>IFERROR(VLOOKUP(A228,datos_2016!$B$1:$G$330,6,FALSE),"")</f>
        <v/>
      </c>
      <c r="D228" s="14">
        <f>IFERROR(VLOOKUP(A228,datos_2024!$B$1:$G$322,6,FALSE),"")</f>
        <v>5.4347826086956523</v>
      </c>
    </row>
    <row r="229" spans="1:4">
      <c r="A229" s="5">
        <v>51003</v>
      </c>
      <c r="B229" s="6" t="s">
        <v>234</v>
      </c>
      <c r="C229" s="14">
        <f>IFERROR(VLOOKUP(A229,datos_2016!$B$1:$G$330,6,FALSE),"")</f>
        <v>9.5238095238095237</v>
      </c>
      <c r="D229" s="14">
        <f>IFERROR(VLOOKUP(A229,datos_2024!$B$1:$G$322,6,FALSE),"")</f>
        <v>15.634218289085545</v>
      </c>
    </row>
    <row r="230" spans="1:4">
      <c r="A230" s="3">
        <v>51101</v>
      </c>
      <c r="B230" s="4" t="s">
        <v>235</v>
      </c>
      <c r="C230" s="14">
        <f>IFERROR(VLOOKUP(A230,datos_2016!$B$1:$G$330,6,FALSE),"")</f>
        <v>9.3761743705373917</v>
      </c>
      <c r="D230" s="14">
        <f>IFERROR(VLOOKUP(A230,datos_2024!$B$1:$G$322,6,FALSE),"")</f>
        <v>23.593890386343215</v>
      </c>
    </row>
    <row r="231" spans="1:4">
      <c r="A231" s="5">
        <v>51102</v>
      </c>
      <c r="B231" s="6" t="s">
        <v>236</v>
      </c>
      <c r="C231" s="14">
        <f>IFERROR(VLOOKUP(A231,datos_2016!$B$1:$G$330,6,FALSE),"")</f>
        <v>13.92177969142447</v>
      </c>
      <c r="D231" s="14">
        <f>IFERROR(VLOOKUP(A231,datos_2024!$B$1:$G$322,6,FALSE),"")</f>
        <v>17.739403453689167</v>
      </c>
    </row>
    <row r="232" spans="1:4">
      <c r="A232" s="3">
        <v>51103</v>
      </c>
      <c r="B232" s="4" t="s">
        <v>237</v>
      </c>
      <c r="C232" s="14">
        <f>IFERROR(VLOOKUP(A232,datos_2016!$B$1:$G$330,6,FALSE),"")</f>
        <v>26.81451612903226</v>
      </c>
      <c r="D232" s="14">
        <f>IFERROR(VLOOKUP(A232,datos_2024!$B$1:$G$322,6,FALSE),"")</f>
        <v>23.559870550161811</v>
      </c>
    </row>
    <row r="233" spans="1:4">
      <c r="A233" s="5">
        <v>51201</v>
      </c>
      <c r="B233" s="6" t="s">
        <v>238</v>
      </c>
      <c r="C233" s="14">
        <f>IFERROR(VLOOKUP(A233,datos_2016!$B$1:$G$330,6,FALSE),"")</f>
        <v>7.934402508139395</v>
      </c>
      <c r="D233" s="14">
        <f>IFERROR(VLOOKUP(A233,datos_2024!$B$1:$G$322,6,FALSE),"")</f>
        <v>10.612093712380776</v>
      </c>
    </row>
    <row r="234" spans="1:4">
      <c r="A234" s="3">
        <v>51202</v>
      </c>
      <c r="B234" s="4" t="s">
        <v>239</v>
      </c>
      <c r="C234" s="14">
        <f>IFERROR(VLOOKUP(A234,datos_2016!$B$1:$G$330,6,FALSE),"")</f>
        <v>13.327076489910841</v>
      </c>
      <c r="D234" s="14">
        <f>IFERROR(VLOOKUP(A234,datos_2024!$B$1:$G$322,6,FALSE),"")</f>
        <v>22.320794889992904</v>
      </c>
    </row>
    <row r="235" spans="1:4">
      <c r="A235" s="5">
        <v>51203</v>
      </c>
      <c r="B235" s="6" t="s">
        <v>240</v>
      </c>
      <c r="C235" s="14">
        <f>IFERROR(VLOOKUP(A235,datos_2016!$B$1:$G$330,6,FALSE),"")</f>
        <v>4.8076923076923075</v>
      </c>
      <c r="D235" s="14">
        <f>IFERROR(VLOOKUP(A235,datos_2024!$B$1:$G$322,6,FALSE),"")</f>
        <v>17.278156996587029</v>
      </c>
    </row>
    <row r="236" spans="1:4">
      <c r="A236" s="3">
        <v>51204</v>
      </c>
      <c r="B236" s="4" t="s">
        <v>241</v>
      </c>
      <c r="C236" s="14" t="str">
        <f>IFERROR(VLOOKUP(A236,datos_2016!$B$1:$G$330,6,FALSE),"")</f>
        <v/>
      </c>
      <c r="D236" s="14" t="str">
        <f>IFERROR(VLOOKUP(A236,datos_2024!$B$1:$G$322,6,FALSE),"")</f>
        <v/>
      </c>
    </row>
    <row r="237" spans="1:4">
      <c r="A237" s="5">
        <v>51301</v>
      </c>
      <c r="B237" s="6" t="s">
        <v>242</v>
      </c>
      <c r="C237" s="14">
        <f>IFERROR(VLOOKUP(A237,datos_2016!$B$1:$G$330,6,FALSE),"")</f>
        <v>21.178343949044585</v>
      </c>
      <c r="D237" s="14">
        <f>IFERROR(VLOOKUP(A237,datos_2024!$B$1:$G$322,6,FALSE),"")</f>
        <v>9.931034482758621</v>
      </c>
    </row>
    <row r="238" spans="1:4">
      <c r="A238" s="3">
        <v>51302</v>
      </c>
      <c r="B238" s="4" t="s">
        <v>243</v>
      </c>
      <c r="C238" s="14">
        <f>IFERROR(VLOOKUP(A238,datos_2016!$B$1:$G$330,6,FALSE),"")</f>
        <v>19.174311926605505</v>
      </c>
      <c r="D238" s="14">
        <f>IFERROR(VLOOKUP(A238,datos_2024!$B$1:$G$322,6,FALSE),"")</f>
        <v>18.108831400535237</v>
      </c>
    </row>
    <row r="239" spans="1:4">
      <c r="A239" s="5">
        <v>51401</v>
      </c>
      <c r="B239" s="6" t="s">
        <v>244</v>
      </c>
      <c r="C239" s="14">
        <f>IFERROR(VLOOKUP(A239,datos_2016!$B$1:$G$330,6,FALSE),"")</f>
        <v>25.523012552301257</v>
      </c>
      <c r="D239" s="14">
        <f>IFERROR(VLOOKUP(A239,datos_2024!$B$1:$G$322,6,FALSE),"")</f>
        <v>28.364779874213838</v>
      </c>
    </row>
    <row r="240" spans="1:4">
      <c r="A240" s="3">
        <v>51402</v>
      </c>
      <c r="B240" s="4" t="s">
        <v>245</v>
      </c>
      <c r="C240" s="14">
        <f>IFERROR(VLOOKUP(A240,datos_2016!$B$1:$G$330,6,FALSE),"")</f>
        <v>40.705882352941174</v>
      </c>
      <c r="D240" s="14">
        <f>IFERROR(VLOOKUP(A240,datos_2024!$B$1:$G$322,6,FALSE),"")</f>
        <v>37.280701754385966</v>
      </c>
    </row>
    <row r="241" spans="1:4">
      <c r="A241" s="5">
        <v>51501</v>
      </c>
      <c r="B241" s="6" t="s">
        <v>246</v>
      </c>
      <c r="C241" s="14">
        <f>IFERROR(VLOOKUP(A241,datos_2016!$B$1:$G$330,6,FALSE),"")</f>
        <v>4.4338875692794932</v>
      </c>
      <c r="D241" s="14">
        <f>IFERROR(VLOOKUP(A241,datos_2024!$B$1:$G$322,6,FALSE),"")</f>
        <v>5.9964584674822925</v>
      </c>
    </row>
    <row r="242" spans="1:4">
      <c r="A242" s="3">
        <v>51601</v>
      </c>
      <c r="B242" s="4" t="s">
        <v>247</v>
      </c>
      <c r="C242" s="14">
        <f>IFERROR(VLOOKUP(A242,datos_2016!$B$1:$G$330,6,FALSE),"")</f>
        <v>12.444444444444445</v>
      </c>
      <c r="D242" s="14">
        <f>IFERROR(VLOOKUP(A242,datos_2024!$B$1:$G$322,6,FALSE),"")</f>
        <v>18.54043392504931</v>
      </c>
    </row>
    <row r="243" spans="1:4">
      <c r="A243" s="5">
        <v>60101</v>
      </c>
      <c r="B243" s="6" t="s">
        <v>248</v>
      </c>
      <c r="C243" s="14">
        <f>IFERROR(VLOOKUP(A243,datos_2016!$B$1:$G$330,6,FALSE),"")</f>
        <v>4.3276905188893053</v>
      </c>
      <c r="D243" s="14">
        <f>IFERROR(VLOOKUP(A243,datos_2024!$B$1:$G$322,6,FALSE),"")</f>
        <v>5.750586099977312</v>
      </c>
    </row>
    <row r="244" spans="1:4">
      <c r="A244" s="3">
        <v>60201</v>
      </c>
      <c r="B244" s="4" t="s">
        <v>249</v>
      </c>
      <c r="C244" s="14">
        <f>IFERROR(VLOOKUP(A244,datos_2016!$B$1:$G$330,6,FALSE),"")</f>
        <v>11.992309540975727</v>
      </c>
      <c r="D244" s="14">
        <f>IFERROR(VLOOKUP(A244,datos_2024!$B$1:$G$322,6,FALSE),"")</f>
        <v>18.972786508240706</v>
      </c>
    </row>
    <row r="245" spans="1:4">
      <c r="A245" s="5">
        <v>60202</v>
      </c>
      <c r="B245" s="6" t="s">
        <v>250</v>
      </c>
      <c r="C245" s="14">
        <f>IFERROR(VLOOKUP(A245,datos_2016!$B$1:$G$330,6,FALSE),"")</f>
        <v>3.1675711595968545</v>
      </c>
      <c r="D245" s="14">
        <f>IFERROR(VLOOKUP(A245,datos_2024!$B$1:$G$322,6,FALSE),"")</f>
        <v>4.2810985460420028</v>
      </c>
    </row>
    <row r="246" spans="1:4">
      <c r="A246" s="3">
        <v>60301</v>
      </c>
      <c r="B246" s="4" t="s">
        <v>251</v>
      </c>
      <c r="C246" s="14">
        <f>IFERROR(VLOOKUP(A246,datos_2016!$B$1:$G$330,6,FALSE),"")</f>
        <v>2.9177319897728982</v>
      </c>
      <c r="D246" s="14">
        <f>IFERROR(VLOOKUP(A246,datos_2024!$B$1:$G$322,6,FALSE),"")</f>
        <v>4.5169187033600506</v>
      </c>
    </row>
    <row r="247" spans="1:4">
      <c r="A247" s="5">
        <v>60302</v>
      </c>
      <c r="B247" s="6" t="s">
        <v>252</v>
      </c>
      <c r="C247" s="14">
        <f>IFERROR(VLOOKUP(A247,datos_2016!$B$1:$G$330,6,FALSE),"")</f>
        <v>6.0862214708368558</v>
      </c>
      <c r="D247" s="14">
        <f>IFERROR(VLOOKUP(A247,datos_2024!$B$1:$G$322,6,FALSE),"")</f>
        <v>9.5173041894353378</v>
      </c>
    </row>
    <row r="248" spans="1:4">
      <c r="A248" s="3">
        <v>60303</v>
      </c>
      <c r="B248" s="4" t="s">
        <v>253</v>
      </c>
      <c r="C248" s="14">
        <f>IFERROR(VLOOKUP(A248,datos_2016!$B$1:$G$330,6,FALSE),"")</f>
        <v>3.7666307083782811</v>
      </c>
      <c r="D248" s="14">
        <f>IFERROR(VLOOKUP(A248,datos_2024!$B$1:$G$322,6,FALSE),"")</f>
        <v>5.4389818953109614</v>
      </c>
    </row>
    <row r="249" spans="1:4">
      <c r="A249" s="5">
        <v>60401</v>
      </c>
      <c r="B249" s="6" t="s">
        <v>254</v>
      </c>
      <c r="C249" s="14">
        <f>IFERROR(VLOOKUP(A249,datos_2016!$B$1:$G$330,6,FALSE),"")</f>
        <v>8.6583924349881798</v>
      </c>
      <c r="D249" s="14">
        <f>IFERROR(VLOOKUP(A249,datos_2024!$B$1:$G$322,6,FALSE),"")</f>
        <v>11.934441366574331</v>
      </c>
    </row>
    <row r="250" spans="1:4">
      <c r="A250" s="3">
        <v>60402</v>
      </c>
      <c r="B250" s="4" t="s">
        <v>255</v>
      </c>
      <c r="C250" s="14">
        <f>IFERROR(VLOOKUP(A250,datos_2016!$B$1:$G$330,6,FALSE),"")</f>
        <v>4.7134935304990755</v>
      </c>
      <c r="D250" s="14">
        <f>IFERROR(VLOOKUP(A250,datos_2024!$B$1:$G$322,6,FALSE),"")</f>
        <v>29.20353982300885</v>
      </c>
    </row>
    <row r="251" spans="1:4">
      <c r="A251" s="5">
        <v>60501</v>
      </c>
      <c r="B251" s="6" t="s">
        <v>256</v>
      </c>
      <c r="C251" s="14">
        <f>IFERROR(VLOOKUP(A251,datos_2016!$B$1:$G$330,6,FALSE),"")</f>
        <v>12.235799207397623</v>
      </c>
      <c r="D251" s="14">
        <f>IFERROR(VLOOKUP(A251,datos_2024!$B$1:$G$322,6,FALSE),"")</f>
        <v>11.141049671977507</v>
      </c>
    </row>
    <row r="252" spans="1:4">
      <c r="A252" s="3">
        <v>60502</v>
      </c>
      <c r="B252" s="4" t="s">
        <v>257</v>
      </c>
      <c r="C252" s="14">
        <f>IFERROR(VLOOKUP(A252,datos_2016!$B$1:$G$330,6,FALSE),"")</f>
        <v>8.3365200764818361</v>
      </c>
      <c r="D252" s="14">
        <f>IFERROR(VLOOKUP(A252,datos_2024!$B$1:$G$322,6,FALSE),"")</f>
        <v>18.800813008130081</v>
      </c>
    </row>
    <row r="253" spans="1:4">
      <c r="A253" s="5">
        <v>60601</v>
      </c>
      <c r="B253" s="6" t="s">
        <v>158</v>
      </c>
      <c r="C253" s="14">
        <f>IFERROR(VLOOKUP(A253,datos_2016!$B$1:$G$330,6,FALSE),"")</f>
        <v>8.1223628691983123</v>
      </c>
      <c r="D253" s="14">
        <f>IFERROR(VLOOKUP(A253,datos_2024!$B$1:$G$322,6,FALSE),"")</f>
        <v>10.955477738869435</v>
      </c>
    </row>
    <row r="254" spans="1:4">
      <c r="A254" s="3">
        <v>70101</v>
      </c>
      <c r="B254" s="4" t="s">
        <v>258</v>
      </c>
      <c r="C254" s="14">
        <f>IFERROR(VLOOKUP(A254,datos_2016!$B$1:$G$330,6,FALSE),"")</f>
        <v>3.5991265485386368</v>
      </c>
      <c r="D254" s="14">
        <f>IFERROR(VLOOKUP(A254,datos_2024!$B$1:$G$322,6,FALSE),"")</f>
        <v>5.8348058108508747</v>
      </c>
    </row>
    <row r="255" spans="1:4">
      <c r="A255" s="5">
        <v>70102</v>
      </c>
      <c r="B255" s="6" t="s">
        <v>259</v>
      </c>
      <c r="C255" s="14">
        <f>IFERROR(VLOOKUP(A255,datos_2016!$B$1:$G$330,6,FALSE),"")</f>
        <v>7.691011709207312</v>
      </c>
      <c r="D255" s="14">
        <f>IFERROR(VLOOKUP(A255,datos_2024!$B$1:$G$322,6,FALSE),"")</f>
        <v>12.596809980324025</v>
      </c>
    </row>
    <row r="256" spans="1:4">
      <c r="A256" s="3">
        <v>70103</v>
      </c>
      <c r="B256" s="4" t="s">
        <v>260</v>
      </c>
      <c r="C256" s="14">
        <f>IFERROR(VLOOKUP(A256,datos_2016!$B$1:$G$330,6,FALSE),"")</f>
        <v>7.1809185485917277</v>
      </c>
      <c r="D256" s="14">
        <f>IFERROR(VLOOKUP(A256,datos_2024!$B$1:$G$322,6,FALSE),"")</f>
        <v>9.0119690213564887</v>
      </c>
    </row>
    <row r="257" spans="1:4">
      <c r="A257" s="5">
        <v>70104</v>
      </c>
      <c r="B257" s="6" t="s">
        <v>261</v>
      </c>
      <c r="C257" s="14">
        <f>IFERROR(VLOOKUP(A257,datos_2016!$B$1:$G$330,6,FALSE),"")</f>
        <v>4.0807193132348756</v>
      </c>
      <c r="D257" s="14">
        <f>IFERROR(VLOOKUP(A257,datos_2024!$B$1:$G$322,6,FALSE),"")</f>
        <v>6.3467112049909122</v>
      </c>
    </row>
    <row r="258" spans="1:4">
      <c r="A258" s="3">
        <v>70105</v>
      </c>
      <c r="B258" s="4" t="s">
        <v>262</v>
      </c>
      <c r="C258" s="14">
        <f>IFERROR(VLOOKUP(A258,datos_2016!$B$1:$G$330,6,FALSE),"")</f>
        <v>4.0084972753301926</v>
      </c>
      <c r="D258" s="14">
        <f>IFERROR(VLOOKUP(A258,datos_2024!$B$1:$G$322,6,FALSE),"")</f>
        <v>7.1685508735868444</v>
      </c>
    </row>
    <row r="259" spans="1:4">
      <c r="A259" s="5">
        <v>70201</v>
      </c>
      <c r="B259" s="6" t="s">
        <v>263</v>
      </c>
      <c r="C259" s="14">
        <f>IFERROR(VLOOKUP(A259,datos_2016!$B$1:$G$330,6,FALSE),"")</f>
        <v>5.3154834541669658</v>
      </c>
      <c r="D259" s="14">
        <f>IFERROR(VLOOKUP(A259,datos_2024!$B$1:$G$322,6,FALSE),"")</f>
        <v>9.520409877372753</v>
      </c>
    </row>
    <row r="260" spans="1:4">
      <c r="A260" s="3">
        <v>70202</v>
      </c>
      <c r="B260" s="4" t="s">
        <v>264</v>
      </c>
      <c r="C260" s="14">
        <f>IFERROR(VLOOKUP(A260,datos_2016!$B$1:$G$330,6,FALSE),"")</f>
        <v>4.6709129511677281</v>
      </c>
      <c r="D260" s="14">
        <f>IFERROR(VLOOKUP(A260,datos_2024!$B$1:$G$322,6,FALSE),"")</f>
        <v>11.415525114155251</v>
      </c>
    </row>
    <row r="261" spans="1:4">
      <c r="A261" s="5">
        <v>70301</v>
      </c>
      <c r="B261" s="6" t="s">
        <v>265</v>
      </c>
      <c r="C261" s="14">
        <f>IFERROR(VLOOKUP(A261,datos_2016!$B$1:$G$330,6,FALSE),"")</f>
        <v>3.2555540030739136</v>
      </c>
      <c r="D261" s="14">
        <f>IFERROR(VLOOKUP(A261,datos_2024!$B$1:$G$322,6,FALSE),"")</f>
        <v>4.5138888888888893</v>
      </c>
    </row>
    <row r="262" spans="1:4">
      <c r="A262" s="3">
        <v>70302</v>
      </c>
      <c r="B262" s="4" t="s">
        <v>266</v>
      </c>
      <c r="C262" s="14">
        <f>IFERROR(VLOOKUP(A262,datos_2016!$B$1:$G$330,6,FALSE),"")</f>
        <v>4.4419134396355355</v>
      </c>
      <c r="D262" s="14">
        <f>IFERROR(VLOOKUP(A262,datos_2024!$B$1:$G$322,6,FALSE),"")</f>
        <v>4.166666666666667</v>
      </c>
    </row>
    <row r="263" spans="1:4">
      <c r="A263" s="5">
        <v>70303</v>
      </c>
      <c r="B263" s="6" t="s">
        <v>267</v>
      </c>
      <c r="C263" s="14">
        <f>IFERROR(VLOOKUP(A263,datos_2016!$B$1:$G$330,6,FALSE),"")</f>
        <v>5.9021922428330527</v>
      </c>
      <c r="D263" s="14">
        <f>IFERROR(VLOOKUP(A263,datos_2024!$B$1:$G$322,6,FALSE),"")</f>
        <v>12.5</v>
      </c>
    </row>
    <row r="264" spans="1:4">
      <c r="A264" s="3">
        <v>70401</v>
      </c>
      <c r="B264" s="4" t="s">
        <v>268</v>
      </c>
      <c r="C264" s="14">
        <f>IFERROR(VLOOKUP(A264,datos_2016!$B$1:$G$330,6,FALSE),"")</f>
        <v>6.3859164653089406</v>
      </c>
      <c r="D264" s="14">
        <f>IFERROR(VLOOKUP(A264,datos_2024!$B$1:$G$322,6,FALSE),"")</f>
        <v>10.866261398176292</v>
      </c>
    </row>
    <row r="265" spans="1:4">
      <c r="A265" s="5">
        <v>70402</v>
      </c>
      <c r="B265" s="6" t="s">
        <v>269</v>
      </c>
      <c r="C265" s="14">
        <f>IFERROR(VLOOKUP(A265,datos_2016!$B$1:$G$330,6,FALSE),"")</f>
        <v>5.0875273522975926</v>
      </c>
      <c r="D265" s="14">
        <f>IFERROR(VLOOKUP(A265,datos_2024!$B$1:$G$322,6,FALSE),"")</f>
        <v>9.2304366623432763</v>
      </c>
    </row>
    <row r="266" spans="1:4">
      <c r="A266" s="3">
        <v>70403</v>
      </c>
      <c r="B266" s="4" t="s">
        <v>270</v>
      </c>
      <c r="C266" s="14">
        <f>IFERROR(VLOOKUP(A266,datos_2016!$B$1:$G$330,6,FALSE),"")</f>
        <v>4.490500863557858</v>
      </c>
      <c r="D266" s="14">
        <f>IFERROR(VLOOKUP(A266,datos_2024!$B$1:$G$322,6,FALSE),"")</f>
        <v>9.0935975158953131</v>
      </c>
    </row>
    <row r="267" spans="1:4">
      <c r="A267" s="5">
        <v>70404</v>
      </c>
      <c r="B267" s="6" t="s">
        <v>271</v>
      </c>
      <c r="C267" s="14">
        <f>IFERROR(VLOOKUP(A267,datos_2016!$B$1:$G$330,6,FALSE),"")</f>
        <v>4.7730829420970267</v>
      </c>
      <c r="D267" s="14">
        <f>IFERROR(VLOOKUP(A267,datos_2024!$B$1:$G$322,6,FALSE),"")</f>
        <v>10.15417331206805</v>
      </c>
    </row>
    <row r="268" spans="1:4">
      <c r="A268" s="3">
        <v>70501</v>
      </c>
      <c r="B268" s="4" t="s">
        <v>272</v>
      </c>
      <c r="C268" s="14">
        <f>IFERROR(VLOOKUP(A268,datos_2016!$B$1:$G$330,6,FALSE),"")</f>
        <v>3.8557993730407523</v>
      </c>
      <c r="D268" s="14">
        <f>IFERROR(VLOOKUP(A268,datos_2024!$B$1:$G$322,6,FALSE),"")</f>
        <v>13.382899628252789</v>
      </c>
    </row>
    <row r="269" spans="1:4">
      <c r="A269" s="5">
        <v>70502</v>
      </c>
      <c r="B269" s="6" t="s">
        <v>273</v>
      </c>
      <c r="C269" s="14">
        <f>IFERROR(VLOOKUP(A269,datos_2016!$B$1:$G$330,6,FALSE),"")</f>
        <v>6.344628695025234</v>
      </c>
      <c r="D269" s="14">
        <f>IFERROR(VLOOKUP(A269,datos_2024!$B$1:$G$322,6,FALSE),"")</f>
        <v>9.0405904059040587</v>
      </c>
    </row>
    <row r="270" spans="1:4">
      <c r="A270" s="3">
        <v>70503</v>
      </c>
      <c r="B270" s="4" t="s">
        <v>274</v>
      </c>
      <c r="C270" s="14">
        <f>IFERROR(VLOOKUP(A270,datos_2016!$B$1:$G$330,6,FALSE),"")</f>
        <v>4.5212765957446805</v>
      </c>
      <c r="D270" s="14">
        <f>IFERROR(VLOOKUP(A270,datos_2024!$B$1:$G$322,6,FALSE),"")</f>
        <v>11.821086261980831</v>
      </c>
    </row>
    <row r="271" spans="1:4">
      <c r="A271" s="5">
        <v>70601</v>
      </c>
      <c r="B271" s="6" t="s">
        <v>275</v>
      </c>
      <c r="C271" s="14">
        <f>IFERROR(VLOOKUP(A271,datos_2016!$B$1:$G$330,6,FALSE),"")</f>
        <v>2.6385224274406331</v>
      </c>
      <c r="D271" s="14">
        <f>IFERROR(VLOOKUP(A271,datos_2024!$B$1:$G$322,6,FALSE),"")</f>
        <v>6.11740473738414</v>
      </c>
    </row>
    <row r="272" spans="1:4">
      <c r="A272" s="3">
        <v>70602</v>
      </c>
      <c r="B272" s="4" t="s">
        <v>276</v>
      </c>
      <c r="C272" s="14">
        <f>IFERROR(VLOOKUP(A272,datos_2016!$B$1:$G$330,6,FALSE),"")</f>
        <v>6.7304286220332976</v>
      </c>
      <c r="D272" s="14">
        <f>IFERROR(VLOOKUP(A272,datos_2024!$B$1:$G$322,6,FALSE),"")</f>
        <v>11.043753294675804</v>
      </c>
    </row>
    <row r="273" spans="1:4">
      <c r="A273" s="5">
        <v>70603</v>
      </c>
      <c r="B273" s="6" t="s">
        <v>277</v>
      </c>
      <c r="C273" s="14">
        <f>IFERROR(VLOOKUP(A273,datos_2016!$B$1:$G$330,6,FALSE),"")</f>
        <v>4.791666666666667</v>
      </c>
      <c r="D273" s="14">
        <f>IFERROR(VLOOKUP(A273,datos_2024!$B$1:$G$322,6,FALSE),"")</f>
        <v>11.914543960558751</v>
      </c>
    </row>
    <row r="274" spans="1:4">
      <c r="A274" s="3">
        <v>70701</v>
      </c>
      <c r="B274" s="4" t="s">
        <v>278</v>
      </c>
      <c r="C274" s="14">
        <f>IFERROR(VLOOKUP(A274,datos_2016!$B$1:$G$330,6,FALSE),"")</f>
        <v>3.2509752925877762</v>
      </c>
      <c r="D274" s="14">
        <f>IFERROR(VLOOKUP(A274,datos_2024!$B$1:$G$322,6,FALSE),"")</f>
        <v>12.64367816091954</v>
      </c>
    </row>
    <row r="275" spans="1:4">
      <c r="A275" s="5">
        <v>70702</v>
      </c>
      <c r="B275" s="6" t="s">
        <v>279</v>
      </c>
      <c r="C275" s="14">
        <f>IFERROR(VLOOKUP(A275,datos_2016!$B$1:$G$330,6,FALSE),"")</f>
        <v>5.2793664760228776</v>
      </c>
      <c r="D275" s="14">
        <f>IFERROR(VLOOKUP(A275,datos_2024!$B$1:$G$322,6,FALSE),"")</f>
        <v>13.48747591522158</v>
      </c>
    </row>
    <row r="276" spans="1:4">
      <c r="A276" s="3">
        <v>70703</v>
      </c>
      <c r="B276" s="4" t="s">
        <v>280</v>
      </c>
      <c r="C276" s="14">
        <f>IFERROR(VLOOKUP(A276,datos_2016!$B$1:$G$330,6,FALSE),"")</f>
        <v>7.0765289785462695</v>
      </c>
      <c r="D276" s="14">
        <f>IFERROR(VLOOKUP(A276,datos_2024!$B$1:$G$322,6,FALSE),"")</f>
        <v>12.672762066765895</v>
      </c>
    </row>
    <row r="277" spans="1:4">
      <c r="A277" s="5">
        <v>70704</v>
      </c>
      <c r="B277" s="6" t="s">
        <v>281</v>
      </c>
      <c r="C277" s="14">
        <f>IFERROR(VLOOKUP(A277,datos_2016!$B$1:$G$330,6,FALSE),"")</f>
        <v>5.1908396946564883</v>
      </c>
      <c r="D277" s="14">
        <f>IFERROR(VLOOKUP(A277,datos_2024!$B$1:$G$322,6,FALSE),"")</f>
        <v>12.727272727272727</v>
      </c>
    </row>
    <row r="278" spans="1:4">
      <c r="A278" s="3">
        <v>70705</v>
      </c>
      <c r="B278" s="4" t="s">
        <v>282</v>
      </c>
      <c r="C278" s="14">
        <f>IFERROR(VLOOKUP(A278,datos_2016!$B$1:$G$330,6,FALSE),"")</f>
        <v>3.4653465346534653</v>
      </c>
      <c r="D278" s="14">
        <f>IFERROR(VLOOKUP(A278,datos_2024!$B$1:$G$322,6,FALSE),"")</f>
        <v>15</v>
      </c>
    </row>
    <row r="279" spans="1:4">
      <c r="A279" s="5">
        <v>70706</v>
      </c>
      <c r="B279" s="6" t="s">
        <v>283</v>
      </c>
      <c r="C279" s="14">
        <f>IFERROR(VLOOKUP(A279,datos_2016!$B$1:$G$330,6,FALSE),"")</f>
        <v>2.8701107996262181</v>
      </c>
      <c r="D279" s="14">
        <f>IFERROR(VLOOKUP(A279,datos_2024!$B$1:$G$322,6,FALSE),"")</f>
        <v>5.6650246305418719</v>
      </c>
    </row>
    <row r="280" spans="1:4">
      <c r="A280" s="3">
        <v>70707</v>
      </c>
      <c r="B280" s="4" t="s">
        <v>284</v>
      </c>
      <c r="C280" s="14">
        <f>IFERROR(VLOOKUP(A280,datos_2016!$B$1:$G$330,6,FALSE),"")</f>
        <v>3.7220843672456576</v>
      </c>
      <c r="D280" s="14">
        <f>IFERROR(VLOOKUP(A280,datos_2024!$B$1:$G$322,6,FALSE),"")</f>
        <v>11.160714285714286</v>
      </c>
    </row>
    <row r="281" spans="1:4">
      <c r="A281" s="5">
        <v>70801</v>
      </c>
      <c r="B281" s="6" t="s">
        <v>285</v>
      </c>
      <c r="C281" s="14">
        <f>IFERROR(VLOOKUP(A281,datos_2016!$B$1:$G$330,6,FALSE),"")</f>
        <v>6.7956795679567961</v>
      </c>
      <c r="D281" s="14">
        <f>IFERROR(VLOOKUP(A281,datos_2024!$B$1:$G$322,6,FALSE),"")</f>
        <v>8.8235294117647065</v>
      </c>
    </row>
    <row r="282" spans="1:4">
      <c r="A282" s="3">
        <v>70802</v>
      </c>
      <c r="B282" s="4" t="s">
        <v>286</v>
      </c>
      <c r="C282" s="14">
        <f>IFERROR(VLOOKUP(A282,datos_2016!$B$1:$G$330,6,FALSE),"")</f>
        <v>5.9615384615384617</v>
      </c>
      <c r="D282" s="14">
        <f>IFERROR(VLOOKUP(A282,datos_2024!$B$1:$G$322,6,FALSE),"")</f>
        <v>20.833333333333332</v>
      </c>
    </row>
    <row r="283" spans="1:4">
      <c r="A283" s="5">
        <v>70803</v>
      </c>
      <c r="B283" s="6" t="s">
        <v>287</v>
      </c>
      <c r="C283" s="14">
        <f>IFERROR(VLOOKUP(A283,datos_2016!$B$1:$G$330,6,FALSE),"")</f>
        <v>5.882352941176471</v>
      </c>
      <c r="D283" s="14">
        <f>IFERROR(VLOOKUP(A283,datos_2024!$B$1:$G$322,6,FALSE),"")</f>
        <v>9.0909090909090917</v>
      </c>
    </row>
    <row r="284" spans="1:4">
      <c r="A284" s="3">
        <v>70804</v>
      </c>
      <c r="B284" s="4" t="s">
        <v>288</v>
      </c>
      <c r="C284" s="14">
        <f>IFERROR(VLOOKUP(A284,datos_2016!$B$1:$G$330,6,FALSE),"")</f>
        <v>11.797752808988765</v>
      </c>
      <c r="D284" s="14">
        <f>IFERROR(VLOOKUP(A284,datos_2024!$B$1:$G$322,6,FALSE),"")</f>
        <v>43.75</v>
      </c>
    </row>
    <row r="285" spans="1:4">
      <c r="A285" s="5">
        <v>70805</v>
      </c>
      <c r="B285" s="6" t="s">
        <v>289</v>
      </c>
      <c r="C285" s="14" t="str">
        <f>IFERROR(VLOOKUP(A285,datos_2016!$B$1:$G$330,6,FALSE),"")</f>
        <v/>
      </c>
      <c r="D285" s="14" t="str">
        <f>IFERROR(VLOOKUP(A285,datos_2024!$B$1:$G$322,6,FALSE),"")</f>
        <v/>
      </c>
    </row>
    <row r="286" spans="1:4">
      <c r="A286" s="3">
        <v>70901</v>
      </c>
      <c r="B286" s="4" t="s">
        <v>290</v>
      </c>
      <c r="C286" s="14">
        <f>IFERROR(VLOOKUP(A286,datos_2016!$B$1:$G$330,6,FALSE),"")</f>
        <v>7.1120689655172411</v>
      </c>
      <c r="D286" s="14">
        <f>IFERROR(VLOOKUP(A286,datos_2024!$B$1:$G$322,6,FALSE),"")</f>
        <v>12.373225152129818</v>
      </c>
    </row>
    <row r="287" spans="1:4">
      <c r="A287" s="5">
        <v>70902</v>
      </c>
      <c r="B287" s="6" t="s">
        <v>291</v>
      </c>
      <c r="C287" s="14">
        <f>IFERROR(VLOOKUP(A287,datos_2016!$B$1:$G$330,6,FALSE),"")</f>
        <v>6.8231203824424167</v>
      </c>
      <c r="D287" s="14">
        <f>IFERROR(VLOOKUP(A287,datos_2024!$B$1:$G$322,6,FALSE),"")</f>
        <v>8.6363636363636367</v>
      </c>
    </row>
    <row r="288" spans="1:4">
      <c r="A288" s="3">
        <v>70903</v>
      </c>
      <c r="B288" s="4" t="s">
        <v>292</v>
      </c>
      <c r="C288" s="14">
        <f>IFERROR(VLOOKUP(A288,datos_2016!$B$1:$G$330,6,FALSE),"")</f>
        <v>5.2201012855473312</v>
      </c>
      <c r="D288" s="14">
        <f>IFERROR(VLOOKUP(A288,datos_2024!$B$1:$G$322,6,FALSE),"")</f>
        <v>10.76923076923077</v>
      </c>
    </row>
    <row r="289" spans="1:4">
      <c r="A289" s="5">
        <v>70904</v>
      </c>
      <c r="B289" s="6" t="s">
        <v>293</v>
      </c>
      <c r="C289" s="14">
        <f>IFERROR(VLOOKUP(A289,datos_2016!$B$1:$G$330,6,FALSE),"")</f>
        <v>10.591133004926109</v>
      </c>
      <c r="D289" s="14">
        <f>IFERROR(VLOOKUP(A289,datos_2024!$B$1:$G$322,6,FALSE),"")</f>
        <v>7.3170731707317076</v>
      </c>
    </row>
    <row r="290" spans="1:4">
      <c r="A290" s="3">
        <v>71001</v>
      </c>
      <c r="B290" s="4" t="s">
        <v>294</v>
      </c>
      <c r="C290" s="14">
        <f>IFERROR(VLOOKUP(A290,datos_2016!$B$1:$G$330,6,FALSE),"")</f>
        <v>3.1306940533377507</v>
      </c>
      <c r="D290" s="14">
        <f>IFERROR(VLOOKUP(A290,datos_2024!$B$1:$G$322,6,FALSE),"")</f>
        <v>5.7428526792688643</v>
      </c>
    </row>
    <row r="291" spans="1:4">
      <c r="A291" s="5">
        <v>71002</v>
      </c>
      <c r="B291" s="6" t="s">
        <v>295</v>
      </c>
      <c r="C291" s="14">
        <f>IFERROR(VLOOKUP(A291,datos_2016!$B$1:$G$330,6,FALSE),"")</f>
        <v>5.8174904942965782</v>
      </c>
      <c r="D291" s="14">
        <f>IFERROR(VLOOKUP(A291,datos_2024!$B$1:$G$322,6,FALSE),"")</f>
        <v>10.285538839422781</v>
      </c>
    </row>
    <row r="292" spans="1:4">
      <c r="A292" s="3">
        <v>71003</v>
      </c>
      <c r="B292" s="4" t="s">
        <v>296</v>
      </c>
      <c r="C292" s="14">
        <f>IFERROR(VLOOKUP(A292,datos_2016!$B$1:$G$330,6,FALSE),"")</f>
        <v>3.7574316290130798</v>
      </c>
      <c r="D292" s="14">
        <f>IFERROR(VLOOKUP(A292,datos_2024!$B$1:$G$322,6,FALSE),"")</f>
        <v>7.5535512965050735</v>
      </c>
    </row>
    <row r="293" spans="1:4">
      <c r="A293" s="5">
        <v>71004</v>
      </c>
      <c r="B293" s="6" t="s">
        <v>297</v>
      </c>
      <c r="C293" s="14">
        <f>IFERROR(VLOOKUP(A293,datos_2016!$B$1:$G$330,6,FALSE),"")</f>
        <v>5.0700741962077496</v>
      </c>
      <c r="D293" s="14">
        <f>IFERROR(VLOOKUP(A293,datos_2024!$B$1:$G$322,6,FALSE),"")</f>
        <v>7.9802955665024626</v>
      </c>
    </row>
    <row r="294" spans="1:4">
      <c r="A294" s="3">
        <v>71005</v>
      </c>
      <c r="B294" s="4" t="s">
        <v>298</v>
      </c>
      <c r="C294" s="14">
        <f>IFERROR(VLOOKUP(A294,datos_2016!$B$1:$G$330,6,FALSE),"")</f>
        <v>5.1418439716312054</v>
      </c>
      <c r="D294" s="14">
        <f>IFERROR(VLOOKUP(A294,datos_2024!$B$1:$G$322,6,FALSE),"")</f>
        <v>9.4931145619689428</v>
      </c>
    </row>
    <row r="295" spans="1:4">
      <c r="A295" s="5">
        <v>71101</v>
      </c>
      <c r="B295" s="6" t="s">
        <v>299</v>
      </c>
      <c r="C295" s="14">
        <f>IFERROR(VLOOKUP(A295,datos_2016!$B$1:$G$330,6,FALSE),"")</f>
        <v>5.2973675658108546</v>
      </c>
      <c r="D295" s="14">
        <f>IFERROR(VLOOKUP(A295,datos_2024!$B$1:$G$322,6,FALSE),"")</f>
        <v>11.185308848080133</v>
      </c>
    </row>
    <row r="296" spans="1:4">
      <c r="A296" s="3">
        <v>71102</v>
      </c>
      <c r="B296" s="4" t="s">
        <v>300</v>
      </c>
      <c r="C296" s="14">
        <f>IFERROR(VLOOKUP(A296,datos_2016!$B$1:$G$330,6,FALSE),"")</f>
        <v>3.8436050364479786</v>
      </c>
      <c r="D296" s="14">
        <f>IFERROR(VLOOKUP(A296,datos_2024!$B$1:$G$322,6,FALSE),"")</f>
        <v>15.527950310559007</v>
      </c>
    </row>
    <row r="297" spans="1:4">
      <c r="A297" s="5">
        <v>71103</v>
      </c>
      <c r="B297" s="6" t="s">
        <v>301</v>
      </c>
      <c r="C297" s="14">
        <f>IFERROR(VLOOKUP(A297,datos_2016!$B$1:$G$330,6,FALSE),"")</f>
        <v>3.7828947368421053</v>
      </c>
      <c r="D297" s="14">
        <f>IFERROR(VLOOKUP(A297,datos_2024!$B$1:$G$322,6,FALSE),"")</f>
        <v>11.728395061728396</v>
      </c>
    </row>
    <row r="298" spans="1:4">
      <c r="A298" s="3">
        <v>71104</v>
      </c>
      <c r="B298" s="4" t="s">
        <v>302</v>
      </c>
      <c r="C298" s="14">
        <f>IFERROR(VLOOKUP(A298,datos_2016!$B$1:$G$330,6,FALSE),"")</f>
        <v>4.9664075879330785</v>
      </c>
      <c r="D298" s="14">
        <f>IFERROR(VLOOKUP(A298,datos_2024!$B$1:$G$322,6,FALSE),"")</f>
        <v>8.8332234673698089</v>
      </c>
    </row>
    <row r="299" spans="1:4">
      <c r="A299" s="5">
        <v>71105</v>
      </c>
      <c r="B299" s="6" t="s">
        <v>303</v>
      </c>
      <c r="C299" s="14">
        <f>IFERROR(VLOOKUP(A299,datos_2016!$B$1:$G$330,6,FALSE),"")</f>
        <v>2.8907922912205568</v>
      </c>
      <c r="D299" s="14">
        <f>IFERROR(VLOOKUP(A299,datos_2024!$B$1:$G$322,6,FALSE),"")</f>
        <v>9.5890410958904102</v>
      </c>
    </row>
    <row r="300" spans="1:4">
      <c r="A300" s="3">
        <v>71106</v>
      </c>
      <c r="B300" s="4" t="s">
        <v>304</v>
      </c>
      <c r="C300" s="14">
        <f>IFERROR(VLOOKUP(A300,datos_2016!$B$1:$G$330,6,FALSE),"")</f>
        <v>5.2769070010449317</v>
      </c>
      <c r="D300" s="14" t="str">
        <f>IFERROR(VLOOKUP(A300,datos_2024!$B$1:$G$322,6,FALSE),"")</f>
        <v/>
      </c>
    </row>
    <row r="301" spans="1:4">
      <c r="A301" s="5">
        <v>71201</v>
      </c>
      <c r="B301" s="6" t="s">
        <v>305</v>
      </c>
      <c r="C301" s="14">
        <f>IFERROR(VLOOKUP(A301,datos_2016!$B$1:$G$330,6,FALSE),"")</f>
        <v>0</v>
      </c>
      <c r="D301" s="14">
        <f>IFERROR(VLOOKUP(A301,datos_2024!$B$1:$G$322,6,FALSE),"")</f>
        <v>0</v>
      </c>
    </row>
    <row r="302" spans="1:4">
      <c r="A302" s="3">
        <v>71301</v>
      </c>
      <c r="B302" s="4" t="s">
        <v>306</v>
      </c>
      <c r="C302" s="14">
        <f>IFERROR(VLOOKUP(A302,datos_2016!$B$1:$G$330,6,FALSE),"")</f>
        <v>5.3119730185497467</v>
      </c>
      <c r="D302" s="14">
        <f>IFERROR(VLOOKUP(A302,datos_2024!$B$1:$G$322,6,FALSE),"")</f>
        <v>8.8888888888888893</v>
      </c>
    </row>
    <row r="303" spans="1:4">
      <c r="A303" s="5">
        <v>71302</v>
      </c>
      <c r="B303" s="6" t="s">
        <v>307</v>
      </c>
      <c r="C303" s="14">
        <f>IFERROR(VLOOKUP(A303,datos_2016!$B$1:$G$330,6,FALSE),"")</f>
        <v>8.8871715610510051</v>
      </c>
      <c r="D303" s="14">
        <f>IFERROR(VLOOKUP(A303,datos_2024!$B$1:$G$322,6,FALSE),"")</f>
        <v>10.476190476190476</v>
      </c>
    </row>
    <row r="304" spans="1:4">
      <c r="A304" s="3">
        <v>71401</v>
      </c>
      <c r="B304" s="4" t="s">
        <v>308</v>
      </c>
      <c r="C304" s="14">
        <f>IFERROR(VLOOKUP(A304,datos_2016!$B$1:$G$330,6,FALSE),"")</f>
        <v>7.3772514187021958</v>
      </c>
      <c r="D304" s="14">
        <f>IFERROR(VLOOKUP(A304,datos_2024!$B$1:$G$322,6,FALSE),"")</f>
        <v>9.7276264591439681</v>
      </c>
    </row>
    <row r="305" spans="1:4">
      <c r="A305" s="5">
        <v>71402</v>
      </c>
      <c r="B305" s="6" t="s">
        <v>309</v>
      </c>
      <c r="C305" s="14">
        <f>IFERROR(VLOOKUP(A305,datos_2016!$B$1:$G$330,6,FALSE),"")</f>
        <v>5.7947468183049011</v>
      </c>
      <c r="D305" s="14">
        <f>IFERROR(VLOOKUP(A305,datos_2024!$B$1:$G$322,6,FALSE),"")</f>
        <v>7.6271186440677967</v>
      </c>
    </row>
    <row r="306" spans="1:4">
      <c r="A306" s="3">
        <v>71403</v>
      </c>
      <c r="B306" s="4" t="s">
        <v>310</v>
      </c>
      <c r="C306" s="14">
        <f>IFERROR(VLOOKUP(A306,datos_2016!$B$1:$G$330,6,FALSE),"")</f>
        <v>3.9951573849878934</v>
      </c>
      <c r="D306" s="14">
        <f>IFERROR(VLOOKUP(A306,datos_2024!$B$1:$G$322,6,FALSE),"")</f>
        <v>7.5</v>
      </c>
    </row>
    <row r="307" spans="1:4">
      <c r="A307" s="5">
        <v>71501</v>
      </c>
      <c r="B307" s="6" t="s">
        <v>311</v>
      </c>
      <c r="C307" s="14">
        <f>IFERROR(VLOOKUP(A307,datos_2016!$B$1:$G$330,6,FALSE),"")</f>
        <v>4.1925823542962455</v>
      </c>
      <c r="D307" s="14">
        <f>IFERROR(VLOOKUP(A307,datos_2024!$B$1:$G$322,6,FALSE),"")</f>
        <v>12.816455696202532</v>
      </c>
    </row>
    <row r="308" spans="1:4">
      <c r="A308" s="3">
        <v>71502</v>
      </c>
      <c r="B308" s="4" t="s">
        <v>312</v>
      </c>
      <c r="C308" s="14">
        <f>IFERROR(VLOOKUP(A308,datos_2016!$B$1:$G$330,6,FALSE),"")</f>
        <v>5.162738496071829</v>
      </c>
      <c r="D308" s="14">
        <f>IFERROR(VLOOKUP(A308,datos_2024!$B$1:$G$322,6,FALSE),"")</f>
        <v>20</v>
      </c>
    </row>
    <row r="309" spans="1:4">
      <c r="A309" s="5">
        <v>71503</v>
      </c>
      <c r="B309" s="6" t="s">
        <v>257</v>
      </c>
      <c r="C309" s="14">
        <f>IFERROR(VLOOKUP(A309,datos_2016!$B$1:$G$330,6,FALSE),"")</f>
        <v>6.2796208530805684</v>
      </c>
      <c r="D309" s="14">
        <f>IFERROR(VLOOKUP(A309,datos_2024!$B$1:$G$322,6,FALSE),"")</f>
        <v>14.64968152866242</v>
      </c>
    </row>
    <row r="310" spans="1:4">
      <c r="A310" s="3">
        <v>80101</v>
      </c>
      <c r="B310" s="4" t="s">
        <v>313</v>
      </c>
      <c r="C310" s="14">
        <f>IFERROR(VLOOKUP(A310,datos_2016!$B$1:$G$330,6,FALSE),"")</f>
        <v>1.2784368457780879</v>
      </c>
      <c r="D310" s="14">
        <f>IFERROR(VLOOKUP(A310,datos_2024!$B$1:$G$322,6,FALSE),"")</f>
        <v>1.2237498111497205</v>
      </c>
    </row>
    <row r="311" spans="1:4">
      <c r="A311" s="5">
        <v>80102</v>
      </c>
      <c r="B311" s="6" t="s">
        <v>300</v>
      </c>
      <c r="C311" s="14">
        <f>IFERROR(VLOOKUP(A311,datos_2016!$B$1:$G$330,6,FALSE),"")</f>
        <v>4.3795620437956204</v>
      </c>
      <c r="D311" s="14">
        <f>IFERROR(VLOOKUP(A311,datos_2024!$B$1:$G$322,6,FALSE),"")</f>
        <v>4.4776119402985071</v>
      </c>
    </row>
    <row r="312" spans="1:4">
      <c r="A312" s="3">
        <v>80201</v>
      </c>
      <c r="B312" s="4" t="s">
        <v>314</v>
      </c>
      <c r="C312" s="14">
        <f>IFERROR(VLOOKUP(A312,datos_2016!$B$1:$G$330,6,FALSE),"")</f>
        <v>0</v>
      </c>
      <c r="D312" s="14">
        <f>IFERROR(VLOOKUP(A312,datos_2024!$B$1:$G$322,6,FALSE),"")</f>
        <v>1.658310836868492</v>
      </c>
    </row>
    <row r="313" spans="1:4">
      <c r="A313" s="5">
        <v>80202</v>
      </c>
      <c r="B313" s="6" t="s">
        <v>315</v>
      </c>
      <c r="C313" s="14">
        <f>IFERROR(VLOOKUP(A313,datos_2016!$B$1:$G$330,6,FALSE),"")</f>
        <v>0</v>
      </c>
      <c r="D313" s="14">
        <f>IFERROR(VLOOKUP(A313,datos_2024!$B$1:$G$322,6,FALSE),"")</f>
        <v>0.76475657044377421</v>
      </c>
    </row>
    <row r="314" spans="1:4">
      <c r="A314" s="3">
        <v>80301</v>
      </c>
      <c r="B314" s="4" t="s">
        <v>316</v>
      </c>
      <c r="C314" s="14">
        <f>IFERROR(VLOOKUP(A314,datos_2016!$B$1:$G$330,6,FALSE),"")</f>
        <v>0.72337962962962965</v>
      </c>
      <c r="D314" s="14">
        <f>IFERROR(VLOOKUP(A314,datos_2024!$B$1:$G$322,6,FALSE),"")</f>
        <v>3.0727519204699503</v>
      </c>
    </row>
    <row r="315" spans="1:4">
      <c r="A315" s="5">
        <v>80302</v>
      </c>
      <c r="B315" s="6" t="s">
        <v>317</v>
      </c>
      <c r="C315" s="14">
        <f>IFERROR(VLOOKUP(A315,datos_2016!$B$1:$G$330,6,FALSE),"")</f>
        <v>1.4986274946212628</v>
      </c>
      <c r="D315" s="14">
        <f>IFERROR(VLOOKUP(A315,datos_2024!$B$1:$G$322,6,FALSE),"")</f>
        <v>3.2360930672020785</v>
      </c>
    </row>
    <row r="316" spans="1:4">
      <c r="A316" s="3">
        <v>80303</v>
      </c>
      <c r="B316" s="4" t="s">
        <v>318</v>
      </c>
      <c r="C316" s="14">
        <f>IFERROR(VLOOKUP(A316,datos_2016!$B$1:$G$330,6,FALSE),"")</f>
        <v>0.14306151645207441</v>
      </c>
      <c r="D316" s="14">
        <f>IFERROR(VLOOKUP(A316,datos_2024!$B$1:$G$322,6,FALSE),"")</f>
        <v>3.0318870883429168</v>
      </c>
    </row>
    <row r="317" spans="1:4">
      <c r="A317" s="5">
        <v>80304</v>
      </c>
      <c r="B317" s="6" t="s">
        <v>319</v>
      </c>
      <c r="C317" s="14">
        <f>IFERROR(VLOOKUP(A317,datos_2016!$B$1:$G$330,6,FALSE),"")</f>
        <v>1.113916530521313</v>
      </c>
      <c r="D317" s="14">
        <f>IFERROR(VLOOKUP(A317,datos_2024!$B$1:$G$322,6,FALSE),"")</f>
        <v>5.5487269534679546</v>
      </c>
    </row>
    <row r="318" spans="1:4">
      <c r="A318" s="3">
        <v>80401</v>
      </c>
      <c r="B318" s="4" t="s">
        <v>320</v>
      </c>
      <c r="C318" s="14">
        <f>IFERROR(VLOOKUP(A318,datos_2016!$B$1:$G$330,6,FALSE),"")</f>
        <v>6.5608187901850148E-2</v>
      </c>
      <c r="D318" s="14">
        <f>IFERROR(VLOOKUP(A318,datos_2024!$B$1:$G$322,6,FALSE),"")</f>
        <v>2.2270337148159602</v>
      </c>
    </row>
    <row r="319" spans="1:4">
      <c r="A319" s="31">
        <v>80402</v>
      </c>
      <c r="B319" s="6" t="s">
        <v>321</v>
      </c>
      <c r="C319" s="14" t="str">
        <f>IFERROR(VLOOKUP(A319,datos_2016!$B$1:$G$330,6,FALSE),"")</f>
        <v/>
      </c>
      <c r="D319" s="14">
        <f>IFERROR(VLOOKUP(A319,datos_2024!$B$1:$G$322,6,FALSE),"")</f>
        <v>0</v>
      </c>
    </row>
    <row r="320" spans="1:4">
      <c r="A320" s="3">
        <v>80501</v>
      </c>
      <c r="B320" s="4" t="s">
        <v>322</v>
      </c>
      <c r="C320" s="14">
        <f>IFERROR(VLOOKUP(A320,datos_2016!$B$1:$G$330,6,FALSE),"")</f>
        <v>0.54294862870666849</v>
      </c>
      <c r="D320" s="14">
        <f>IFERROR(VLOOKUP(A320,datos_2024!$B$1:$G$322,6,FALSE),"")</f>
        <v>2.7903043968432919</v>
      </c>
    </row>
    <row r="321" spans="1:4">
      <c r="A321" s="5">
        <v>80601</v>
      </c>
      <c r="B321" s="6" t="s">
        <v>323</v>
      </c>
      <c r="C321" s="14">
        <f>IFERROR(VLOOKUP(A321,datos_2016!$B$1:$G$330,6,FALSE),"")</f>
        <v>2.3391812865497075</v>
      </c>
      <c r="D321" s="14">
        <f>IFERROR(VLOOKUP(A321,datos_2024!$B$1:$G$322,6,FALSE),"")</f>
        <v>3.7142857142857144</v>
      </c>
    </row>
    <row r="322" spans="1:4">
      <c r="A322" s="3">
        <v>80602</v>
      </c>
      <c r="B322" s="4" t="s">
        <v>324</v>
      </c>
      <c r="C322" s="14">
        <f>IFERROR(VLOOKUP(A322,datos_2016!$B$1:$G$330,6,FALSE),"")</f>
        <v>3.2432432432432434</v>
      </c>
      <c r="D322" s="14">
        <f>IFERROR(VLOOKUP(A322,datos_2024!$B$1:$G$322,6,FALSE),"")</f>
        <v>5.6306306306306304</v>
      </c>
    </row>
    <row r="323" spans="1:4">
      <c r="A323" s="5">
        <v>80701</v>
      </c>
      <c r="B323" s="6" t="s">
        <v>325</v>
      </c>
      <c r="C323" s="14">
        <f>IFERROR(VLOOKUP(A323,datos_2016!$B$1:$G$330,6,FALSE),"")</f>
        <v>0.86058519793459554</v>
      </c>
      <c r="D323" s="14">
        <f>IFERROR(VLOOKUP(A323,datos_2024!$B$1:$G$322,6,FALSE),"")</f>
        <v>1.2583892617449663</v>
      </c>
    </row>
    <row r="324" spans="1:4">
      <c r="A324" s="3">
        <v>80702</v>
      </c>
      <c r="B324" s="4" t="s">
        <v>301</v>
      </c>
      <c r="C324" s="14">
        <f>IFERROR(VLOOKUP(A324,datos_2016!$B$1:$G$330,6,FALSE),"")</f>
        <v>2.2529069767441858</v>
      </c>
      <c r="D324" s="14">
        <f>IFERROR(VLOOKUP(A324,datos_2024!$B$1:$G$322,6,FALSE),"")</f>
        <v>2.15962441314554</v>
      </c>
    </row>
    <row r="325" spans="1:4">
      <c r="A325" s="5">
        <v>80703</v>
      </c>
      <c r="B325" s="6" t="s">
        <v>326</v>
      </c>
      <c r="C325" s="14" t="str">
        <f>IFERROR(VLOOKUP(A325,datos_2016!$B$1:$G$330,6,FALSE),"")</f>
        <v/>
      </c>
      <c r="D325" s="14" t="str">
        <f>IFERROR(VLOOKUP(A325,datos_2024!$B$1:$G$322,6,FALSE),"")</f>
        <v/>
      </c>
    </row>
    <row r="326" spans="1:4">
      <c r="A326" s="3">
        <v>80801</v>
      </c>
      <c r="B326" s="4" t="s">
        <v>327</v>
      </c>
      <c r="C326" s="14">
        <f>IFERROR(VLOOKUP(A326,datos_2016!$B$1:$G$330,6,FALSE),"")</f>
        <v>0.32530904359141183</v>
      </c>
      <c r="D326" s="14">
        <f>IFERROR(VLOOKUP(A326,datos_2024!$B$1:$G$322,6,FALSE),"")</f>
        <v>1.6483516483516483</v>
      </c>
    </row>
    <row r="327" spans="1:4">
      <c r="A327" s="5">
        <v>80802</v>
      </c>
      <c r="B327" s="6" t="s">
        <v>328</v>
      </c>
      <c r="C327" s="14">
        <f>IFERROR(VLOOKUP(A327,datos_2016!$B$1:$G$330,6,FALSE),"")</f>
        <v>0</v>
      </c>
      <c r="D327" s="14">
        <f>IFERROR(VLOOKUP(A327,datos_2024!$B$1:$G$322,6,FALSE),"")</f>
        <v>1.392515230635335</v>
      </c>
    </row>
    <row r="328" spans="1:4">
      <c r="A328" s="3">
        <v>80803</v>
      </c>
      <c r="B328" s="4" t="s">
        <v>329</v>
      </c>
      <c r="C328" s="14">
        <f>IFERROR(VLOOKUP(A328,datos_2016!$B$1:$G$330,6,FALSE),"")</f>
        <v>0</v>
      </c>
      <c r="D328" s="14">
        <f>IFERROR(VLOOKUP(A328,datos_2024!$B$1:$G$322,6,FALSE),"")</f>
        <v>0.95923261390887293</v>
      </c>
    </row>
    <row r="329" spans="1:4">
      <c r="A329" s="5">
        <v>80804</v>
      </c>
      <c r="B329" s="6" t="s">
        <v>330</v>
      </c>
      <c r="C329" s="14" t="str">
        <f>IFERROR(VLOOKUP(A329,datos_2016!$B$1:$G$330,6,FALSE),"")</f>
        <v/>
      </c>
      <c r="D329" s="14" t="str">
        <f>IFERROR(VLOOKUP(A329,datos_2024!$B$1:$G$322,6,FALSE),"")</f>
        <v/>
      </c>
    </row>
    <row r="330" spans="1:4">
      <c r="A330" s="3">
        <v>90101</v>
      </c>
      <c r="B330" s="4" t="s">
        <v>331</v>
      </c>
      <c r="C330" s="14">
        <f>IFERROR(VLOOKUP(A330,datos_2016!$B$1:$G$330,6,FALSE),"")</f>
        <v>2.0263942103022563</v>
      </c>
      <c r="D330" s="14">
        <f>IFERROR(VLOOKUP(A330,datos_2024!$B$1:$G$322,6,FALSE),"")</f>
        <v>1.7314300819455459</v>
      </c>
    </row>
    <row r="331" spans="1:4">
      <c r="A331" s="5">
        <v>90102</v>
      </c>
      <c r="B331" s="6" t="s">
        <v>332</v>
      </c>
      <c r="C331" s="14">
        <f>IFERROR(VLOOKUP(A331,datos_2016!$B$1:$G$330,6,FALSE),"")</f>
        <v>3.5126234906695939</v>
      </c>
      <c r="D331" s="14">
        <f>IFERROR(VLOOKUP(A331,datos_2024!$B$1:$G$322,6,FALSE),"")</f>
        <v>3.0927835051546393</v>
      </c>
    </row>
    <row r="332" spans="1:4">
      <c r="A332" s="3">
        <v>90103</v>
      </c>
      <c r="B332" s="4" t="s">
        <v>333</v>
      </c>
      <c r="C332" s="14" t="str">
        <f>IFERROR(VLOOKUP(A332,datos_2016!$B$1:$G$330,6,FALSE),"")</f>
        <v/>
      </c>
      <c r="D332" s="14" t="str">
        <f>IFERROR(VLOOKUP(A332,datos_2024!$B$1:$G$322,6,FALSE),"")</f>
        <v/>
      </c>
    </row>
    <row r="333" spans="1:4">
      <c r="A333" s="5">
        <v>90104</v>
      </c>
      <c r="B333" s="6" t="s">
        <v>334</v>
      </c>
      <c r="C333" s="14">
        <f>IFERROR(VLOOKUP(A333,datos_2016!$B$1:$G$330,6,FALSE),"")</f>
        <v>0.49504950495049505</v>
      </c>
      <c r="D333" s="14">
        <f>IFERROR(VLOOKUP(A333,datos_2024!$B$1:$G$322,6,FALSE),"")</f>
        <v>3.6613272311212817</v>
      </c>
    </row>
    <row r="334" spans="1:4">
      <c r="A334" s="3">
        <v>90201</v>
      </c>
      <c r="B334" s="4" t="s">
        <v>335</v>
      </c>
      <c r="C334" s="14">
        <f>IFERROR(VLOOKUP(A334,datos_2016!$B$1:$G$330,6,FALSE),"")</f>
        <v>4.1884816753926701</v>
      </c>
      <c r="D334" s="14">
        <f>IFERROR(VLOOKUP(A334,datos_2024!$B$1:$G$322,6,FALSE),"")</f>
        <v>3.0473135525260626</v>
      </c>
    </row>
    <row r="335" spans="1:4">
      <c r="A335" s="5">
        <v>90202</v>
      </c>
      <c r="B335" s="6" t="s">
        <v>298</v>
      </c>
      <c r="C335" s="14">
        <f>IFERROR(VLOOKUP(A335,datos_2016!$B$1:$G$330,6,FALSE),"")</f>
        <v>2.9411764705882355</v>
      </c>
      <c r="D335" s="14">
        <f>IFERROR(VLOOKUP(A335,datos_2024!$B$1:$G$322,6,FALSE),"")</f>
        <v>2.5806451612903225</v>
      </c>
    </row>
    <row r="336" spans="1:4">
      <c r="A336" s="3">
        <v>90203</v>
      </c>
      <c r="B336" s="4" t="s">
        <v>336</v>
      </c>
      <c r="C336" s="14">
        <f>IFERROR(VLOOKUP(A336,datos_2016!$B$1:$G$330,6,FALSE),"")</f>
        <v>3.9603960396039604</v>
      </c>
      <c r="D336" s="14" t="str">
        <f>IFERROR(VLOOKUP(A336,datos_2024!$B$1:$G$322,6,FALSE),"")</f>
        <v/>
      </c>
    </row>
    <row r="337" spans="1:4">
      <c r="A337" s="5">
        <v>90301</v>
      </c>
      <c r="B337" s="6" t="s">
        <v>337</v>
      </c>
      <c r="C337" s="14">
        <f>IFERROR(VLOOKUP(A337,datos_2016!$B$1:$G$330,6,FALSE),"")</f>
        <v>0</v>
      </c>
      <c r="D337" s="14" t="str">
        <f>IFERROR(VLOOKUP(A337,datos_2024!$B$1:$G$322,6,FALSE),"")</f>
        <v/>
      </c>
    </row>
    <row r="338" spans="1:4">
      <c r="A338" s="3">
        <v>90302</v>
      </c>
      <c r="B338" s="4" t="s">
        <v>338</v>
      </c>
      <c r="C338" s="14">
        <f>IFERROR(VLOOKUP(A338,datos_2016!$B$1:$G$330,6,FALSE),"")</f>
        <v>0.5376344086021505</v>
      </c>
      <c r="D338" s="14" t="str">
        <f>IFERROR(VLOOKUP(A338,datos_2024!$B$1:$G$322,6,FALSE),"")</f>
        <v/>
      </c>
    </row>
    <row r="339" spans="1:4">
      <c r="A339" s="5">
        <v>90303</v>
      </c>
      <c r="B339" s="6" t="s">
        <v>339</v>
      </c>
      <c r="C339" s="14">
        <f>IFERROR(VLOOKUP(A339,datos_2016!$B$1:$G$330,6,FALSE),"")</f>
        <v>0.39920159680638723</v>
      </c>
      <c r="D339" s="14" t="str">
        <f>IFERROR(VLOOKUP(A339,datos_2024!$B$1:$G$322,6,FALSE),"")</f>
        <v/>
      </c>
    </row>
    <row r="340" spans="1:4">
      <c r="A340" s="30">
        <v>90401</v>
      </c>
      <c r="B340" s="4" t="s">
        <v>340</v>
      </c>
      <c r="C340" s="14" t="str">
        <f>IFERROR(VLOOKUP(A340,datos_2016!$B$1:$G$330,6,FALSE),"")</f>
        <v/>
      </c>
      <c r="D340" s="14" t="str">
        <f>IFERROR(VLOOKUP(A340,datos_2024!$B$1:$G$322,6,FALSE),"")</f>
        <v/>
      </c>
    </row>
    <row r="341" spans="1:4">
      <c r="A341" s="5">
        <v>90402</v>
      </c>
      <c r="B341" s="6" t="s">
        <v>341</v>
      </c>
      <c r="C341" s="14" t="str">
        <f>IFERROR(VLOOKUP(A341,datos_2016!$B$1:$G$330,6,FALSE),"")</f>
        <v/>
      </c>
      <c r="D341" s="14" t="str">
        <f>IFERROR(VLOOKUP(A341,datos_2024!$B$1:$G$322,6,FALSE),"")</f>
        <v/>
      </c>
    </row>
    <row r="342" spans="1:4">
      <c r="A342" s="3">
        <v>90501</v>
      </c>
      <c r="B342" s="4" t="s">
        <v>342</v>
      </c>
      <c r="C342" s="14">
        <f>IFERROR(VLOOKUP(A342,datos_2016!$B$1:$G$330,6,FALSE),"")</f>
        <v>0</v>
      </c>
      <c r="D342" s="14" t="str">
        <f>IFERROR(VLOOKUP(A342,datos_2024!$B$1:$G$322,6,FALSE),"")</f>
        <v/>
      </c>
    </row>
    <row r="343" spans="1:4">
      <c r="A343" s="5">
        <v>90502</v>
      </c>
      <c r="B343" s="6" t="s">
        <v>343</v>
      </c>
      <c r="C343" s="14">
        <f>IFERROR(VLOOKUP(A343,datos_2016!$B$1:$G$330,6,FALSE),"")</f>
        <v>0</v>
      </c>
      <c r="D343" s="14" t="str">
        <f>IFERROR(VLOOKUP(A343,datos_2024!$B$1:$G$322,6,FALSE),"")</f>
        <v/>
      </c>
    </row>
    <row r="344" spans="1:4">
      <c r="A344" s="8">
        <v>90503</v>
      </c>
      <c r="B344" s="9" t="s">
        <v>344</v>
      </c>
      <c r="C344" s="14" t="str">
        <f>IFERROR(VLOOKUP(A344,datos_2016!$B$1:$G$330,6,FALSE),"")</f>
        <v/>
      </c>
      <c r="D344" s="14" t="str">
        <f>IFERROR(VLOOKUP(A344,datos_2024!$B$1:$G$322,6,FALSE),"")</f>
        <v/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26DF-1D4F-42D0-A68E-A73EF7A5DBA5}">
  <sheetPr codeName="Hoja4"/>
  <dimension ref="A1:D344"/>
  <sheetViews>
    <sheetView workbookViewId="0">
      <selection activeCell="D2" sqref="D2"/>
    </sheetView>
  </sheetViews>
  <sheetFormatPr baseColWidth="10" defaultRowHeight="14.4"/>
  <sheetData>
    <row r="1" spans="1:4" ht="15">
      <c r="A1" s="7" t="s">
        <v>5</v>
      </c>
      <c r="B1" s="7" t="s">
        <v>6</v>
      </c>
      <c r="C1" s="2" t="s">
        <v>364</v>
      </c>
      <c r="D1" s="2" t="s">
        <v>365</v>
      </c>
    </row>
    <row r="2" spans="1:4">
      <c r="A2" s="3">
        <v>10101</v>
      </c>
      <c r="B2" s="4" t="s">
        <v>7</v>
      </c>
      <c r="C2" s="21">
        <f>IFERROR(VLOOKUP(A2,datos_2016!$B$1:$G$330,4,FALSE),"")</f>
        <v>2422</v>
      </c>
      <c r="D2" s="21">
        <f>IFERROR(VLOOKUP(A2,datos_2024!$B$1:$G$322,4,FALSE),"")</f>
        <v>5007</v>
      </c>
    </row>
    <row r="3" spans="1:4">
      <c r="A3" s="5">
        <v>10102</v>
      </c>
      <c r="B3" s="6" t="s">
        <v>8</v>
      </c>
      <c r="C3" s="21">
        <f>IFERROR(VLOOKUP(A3,datos_2016!$B$1:$G$330,4,FALSE),"")</f>
        <v>281</v>
      </c>
      <c r="D3" s="21">
        <f>IFERROR(VLOOKUP(A3,datos_2024!$B$1:$G$322,4,FALSE),"")</f>
        <v>492</v>
      </c>
    </row>
    <row r="4" spans="1:4">
      <c r="A4" s="3">
        <v>10103</v>
      </c>
      <c r="B4" s="4" t="s">
        <v>9</v>
      </c>
      <c r="C4" s="21">
        <f>IFERROR(VLOOKUP(A4,datos_2016!$B$1:$G$330,4,FALSE),"")</f>
        <v>139</v>
      </c>
      <c r="D4" s="21">
        <f>IFERROR(VLOOKUP(A4,datos_2024!$B$1:$G$322,4,FALSE),"")</f>
        <v>300</v>
      </c>
    </row>
    <row r="5" spans="1:4">
      <c r="A5" s="5">
        <v>10201</v>
      </c>
      <c r="B5" s="6" t="s">
        <v>10</v>
      </c>
      <c r="C5" s="21">
        <f>IFERROR(VLOOKUP(A5,datos_2016!$B$1:$G$330,4,FALSE),"")</f>
        <v>81</v>
      </c>
      <c r="D5" s="21">
        <f>IFERROR(VLOOKUP(A5,datos_2024!$B$1:$G$322,4,FALSE),"")</f>
        <v>239</v>
      </c>
    </row>
    <row r="6" spans="1:4">
      <c r="A6" s="3">
        <v>10202</v>
      </c>
      <c r="B6" s="4" t="s">
        <v>11</v>
      </c>
      <c r="C6" s="21">
        <f>IFERROR(VLOOKUP(A6,datos_2016!$B$1:$G$330,4,FALSE),"")</f>
        <v>198</v>
      </c>
      <c r="D6" s="21">
        <f>IFERROR(VLOOKUP(A6,datos_2024!$B$1:$G$322,4,FALSE),"")</f>
        <v>358</v>
      </c>
    </row>
    <row r="7" spans="1:4">
      <c r="A7" s="5">
        <v>10301</v>
      </c>
      <c r="B7" s="6" t="s">
        <v>12</v>
      </c>
      <c r="C7" s="21">
        <f>IFERROR(VLOOKUP(A7,datos_2016!$B$1:$G$330,4,FALSE),"")</f>
        <v>149</v>
      </c>
      <c r="D7" s="21">
        <f>IFERROR(VLOOKUP(A7,datos_2024!$B$1:$G$322,4,FALSE),"")</f>
        <v>265</v>
      </c>
    </row>
    <row r="8" spans="1:4">
      <c r="A8" s="3">
        <v>10302</v>
      </c>
      <c r="B8" s="4" t="s">
        <v>13</v>
      </c>
      <c r="C8" s="21">
        <f>IFERROR(VLOOKUP(A8,datos_2016!$B$1:$G$330,4,FALSE),"")</f>
        <v>86</v>
      </c>
      <c r="D8" s="21">
        <f>IFERROR(VLOOKUP(A8,datos_2024!$B$1:$G$322,4,FALSE),"")</f>
        <v>116</v>
      </c>
    </row>
    <row r="9" spans="1:4">
      <c r="A9" s="5">
        <v>10303</v>
      </c>
      <c r="B9" s="6" t="s">
        <v>14</v>
      </c>
      <c r="C9" s="21">
        <f>IFERROR(VLOOKUP(A9,datos_2016!$B$1:$G$330,4,FALSE),"")</f>
        <v>121</v>
      </c>
      <c r="D9" s="21">
        <f>IFERROR(VLOOKUP(A9,datos_2024!$B$1:$G$322,4,FALSE),"")</f>
        <v>211</v>
      </c>
    </row>
    <row r="10" spans="1:4">
      <c r="A10" s="3">
        <v>10304</v>
      </c>
      <c r="B10" s="4" t="s">
        <v>15</v>
      </c>
      <c r="C10" s="21">
        <f>IFERROR(VLOOKUP(A10,datos_2016!$B$1:$G$330,4,FALSE),"")</f>
        <v>137</v>
      </c>
      <c r="D10" s="21">
        <f>IFERROR(VLOOKUP(A10,datos_2024!$B$1:$G$322,4,FALSE),"")</f>
        <v>156</v>
      </c>
    </row>
    <row r="11" spans="1:4">
      <c r="A11" s="5">
        <v>10401</v>
      </c>
      <c r="B11" s="6" t="s">
        <v>16</v>
      </c>
      <c r="C11" s="21">
        <f>IFERROR(VLOOKUP(A11,datos_2016!$B$1:$G$330,4,FALSE),"")</f>
        <v>158</v>
      </c>
      <c r="D11" s="21">
        <f>IFERROR(VLOOKUP(A11,datos_2024!$B$1:$G$322,4,FALSE),"")</f>
        <v>300</v>
      </c>
    </row>
    <row r="12" spans="1:4">
      <c r="A12" s="3">
        <v>10402</v>
      </c>
      <c r="B12" s="4" t="s">
        <v>17</v>
      </c>
      <c r="C12" s="21">
        <f>IFERROR(VLOOKUP(A12,datos_2016!$B$1:$G$330,4,FALSE),"")</f>
        <v>125</v>
      </c>
      <c r="D12" s="21">
        <f>IFERROR(VLOOKUP(A12,datos_2024!$B$1:$G$322,4,FALSE),"")</f>
        <v>256</v>
      </c>
    </row>
    <row r="13" spans="1:4">
      <c r="A13" s="5">
        <v>10403</v>
      </c>
      <c r="B13" s="6" t="s">
        <v>18</v>
      </c>
      <c r="C13" s="21">
        <f>IFERROR(VLOOKUP(A13,datos_2016!$B$1:$G$330,4,FALSE),"")</f>
        <v>40</v>
      </c>
      <c r="D13" s="21">
        <f>IFERROR(VLOOKUP(A13,datos_2024!$B$1:$G$322,4,FALSE),"")</f>
        <v>216</v>
      </c>
    </row>
    <row r="14" spans="1:4">
      <c r="A14" s="3">
        <v>10404</v>
      </c>
      <c r="B14" s="4" t="s">
        <v>19</v>
      </c>
      <c r="C14" s="21">
        <f>IFERROR(VLOOKUP(A14,datos_2016!$B$1:$G$330,4,FALSE),"")</f>
        <v>85</v>
      </c>
      <c r="D14" s="21">
        <f>IFERROR(VLOOKUP(A14,datos_2024!$B$1:$G$322,4,FALSE),"")</f>
        <v>167</v>
      </c>
    </row>
    <row r="15" spans="1:4">
      <c r="A15" s="5">
        <v>10405</v>
      </c>
      <c r="B15" s="6" t="s">
        <v>20</v>
      </c>
      <c r="C15" s="21">
        <f>IFERROR(VLOOKUP(A15,datos_2016!$B$1:$G$330,4,FALSE),"")</f>
        <v>176</v>
      </c>
      <c r="D15" s="21">
        <f>IFERROR(VLOOKUP(A15,datos_2024!$B$1:$G$322,4,FALSE),"")</f>
        <v>143</v>
      </c>
    </row>
    <row r="16" spans="1:4">
      <c r="A16" s="3">
        <v>10501</v>
      </c>
      <c r="B16" s="4" t="s">
        <v>21</v>
      </c>
      <c r="C16" s="21">
        <f>IFERROR(VLOOKUP(A16,datos_2016!$B$1:$G$330,4,FALSE),"")</f>
        <v>183</v>
      </c>
      <c r="D16" s="21">
        <f>IFERROR(VLOOKUP(A16,datos_2024!$B$1:$G$322,4,FALSE),"")</f>
        <v>412</v>
      </c>
    </row>
    <row r="17" spans="1:4">
      <c r="A17" s="5">
        <v>10502</v>
      </c>
      <c r="B17" s="6" t="s">
        <v>22</v>
      </c>
      <c r="C17" s="21">
        <f>IFERROR(VLOOKUP(A17,datos_2016!$B$1:$G$330,4,FALSE),"")</f>
        <v>32</v>
      </c>
      <c r="D17" s="21">
        <f>IFERROR(VLOOKUP(A17,datos_2024!$B$1:$G$322,4,FALSE),"")</f>
        <v>150</v>
      </c>
    </row>
    <row r="18" spans="1:4">
      <c r="A18" s="3">
        <v>10601</v>
      </c>
      <c r="B18" s="4" t="s">
        <v>23</v>
      </c>
      <c r="C18" s="21">
        <f>IFERROR(VLOOKUP(A18,datos_2016!$B$1:$G$330,4,FALSE),"")</f>
        <v>212</v>
      </c>
      <c r="D18" s="21">
        <f>IFERROR(VLOOKUP(A18,datos_2024!$B$1:$G$322,4,FALSE),"")</f>
        <v>580</v>
      </c>
    </row>
    <row r="19" spans="1:4">
      <c r="A19" s="5">
        <v>10602</v>
      </c>
      <c r="B19" s="6" t="s">
        <v>24</v>
      </c>
      <c r="C19" s="21">
        <f>IFERROR(VLOOKUP(A19,datos_2016!$B$1:$G$330,4,FALSE),"")</f>
        <v>198</v>
      </c>
      <c r="D19" s="21">
        <f>IFERROR(VLOOKUP(A19,datos_2024!$B$1:$G$322,4,FALSE),"")</f>
        <v>402</v>
      </c>
    </row>
    <row r="20" spans="1:4">
      <c r="A20" s="3">
        <v>10701</v>
      </c>
      <c r="B20" s="4" t="s">
        <v>25</v>
      </c>
      <c r="C20" s="21">
        <f>IFERROR(VLOOKUP(A20,datos_2016!$B$1:$G$330,4,FALSE),"")</f>
        <v>385</v>
      </c>
      <c r="D20" s="21">
        <f>IFERROR(VLOOKUP(A20,datos_2024!$B$1:$G$322,4,FALSE),"")</f>
        <v>719</v>
      </c>
    </row>
    <row r="21" spans="1:4">
      <c r="A21" s="5">
        <v>10702</v>
      </c>
      <c r="B21" s="6" t="s">
        <v>26</v>
      </c>
      <c r="C21" s="21">
        <f>IFERROR(VLOOKUP(A21,datos_2016!$B$1:$G$330,4,FALSE),"")</f>
        <v>670</v>
      </c>
      <c r="D21" s="21">
        <f>IFERROR(VLOOKUP(A21,datos_2024!$B$1:$G$322,4,FALSE),"")</f>
        <v>1677</v>
      </c>
    </row>
    <row r="22" spans="1:4">
      <c r="A22" s="3">
        <v>10703</v>
      </c>
      <c r="B22" s="4" t="s">
        <v>27</v>
      </c>
      <c r="C22" s="21">
        <f>IFERROR(VLOOKUP(A22,datos_2016!$B$1:$G$330,4,FALSE),"")</f>
        <v>73</v>
      </c>
      <c r="D22" s="21">
        <f>IFERROR(VLOOKUP(A22,datos_2024!$B$1:$G$322,4,FALSE),"")</f>
        <v>153</v>
      </c>
    </row>
    <row r="23" spans="1:4">
      <c r="A23" s="5">
        <v>10704</v>
      </c>
      <c r="B23" s="6" t="s">
        <v>28</v>
      </c>
      <c r="C23" s="21">
        <f>IFERROR(VLOOKUP(A23,datos_2016!$B$1:$G$330,4,FALSE),"")</f>
        <v>173</v>
      </c>
      <c r="D23" s="21">
        <f>IFERROR(VLOOKUP(A23,datos_2024!$B$1:$G$322,4,FALSE),"")</f>
        <v>357</v>
      </c>
    </row>
    <row r="24" spans="1:4">
      <c r="A24" s="3">
        <v>10801</v>
      </c>
      <c r="B24" s="4" t="s">
        <v>29</v>
      </c>
      <c r="C24" s="21">
        <f>IFERROR(VLOOKUP(A24,datos_2016!$B$1:$G$330,4,FALSE),"")</f>
        <v>244</v>
      </c>
      <c r="D24" s="21">
        <f>IFERROR(VLOOKUP(A24,datos_2024!$B$1:$G$322,4,FALSE),"")</f>
        <v>524</v>
      </c>
    </row>
    <row r="25" spans="1:4">
      <c r="A25" s="5">
        <v>10901</v>
      </c>
      <c r="B25" s="6" t="s">
        <v>30</v>
      </c>
      <c r="C25" s="21">
        <f>IFERROR(VLOOKUP(A25,datos_2016!$B$1:$G$330,4,FALSE),"")</f>
        <v>98</v>
      </c>
      <c r="D25" s="21">
        <f>IFERROR(VLOOKUP(A25,datos_2024!$B$1:$G$322,4,FALSE),"")</f>
        <v>191</v>
      </c>
    </row>
    <row r="26" spans="1:4">
      <c r="A26" s="3">
        <v>10902</v>
      </c>
      <c r="B26" s="4" t="s">
        <v>31</v>
      </c>
      <c r="C26" s="21">
        <f>IFERROR(VLOOKUP(A26,datos_2016!$B$1:$G$330,4,FALSE),"")</f>
        <v>203</v>
      </c>
      <c r="D26" s="21">
        <f>IFERROR(VLOOKUP(A26,datos_2024!$B$1:$G$322,4,FALSE),"")</f>
        <v>295</v>
      </c>
    </row>
    <row r="27" spans="1:4">
      <c r="A27" s="5">
        <v>10903</v>
      </c>
      <c r="B27" s="6" t="s">
        <v>32</v>
      </c>
      <c r="C27" s="21">
        <f>IFERROR(VLOOKUP(A27,datos_2016!$B$1:$G$330,4,FALSE),"")</f>
        <v>89</v>
      </c>
      <c r="D27" s="21">
        <f>IFERROR(VLOOKUP(A27,datos_2024!$B$1:$G$322,4,FALSE),"")</f>
        <v>190</v>
      </c>
    </row>
    <row r="28" spans="1:4">
      <c r="A28" s="3">
        <v>11001</v>
      </c>
      <c r="B28" s="4" t="s">
        <v>33</v>
      </c>
      <c r="C28" s="21">
        <f>IFERROR(VLOOKUP(A28,datos_2016!$B$1:$G$330,4,FALSE),"")</f>
        <v>19</v>
      </c>
      <c r="D28" s="21">
        <f>IFERROR(VLOOKUP(A28,datos_2024!$B$1:$G$322,4,FALSE),"")</f>
        <v>115</v>
      </c>
    </row>
    <row r="29" spans="1:4">
      <c r="A29" s="5">
        <v>11002</v>
      </c>
      <c r="B29" s="6" t="s">
        <v>34</v>
      </c>
      <c r="C29" s="21">
        <f>IFERROR(VLOOKUP(A29,datos_2016!$B$1:$G$330,4,FALSE),"")</f>
        <v>20</v>
      </c>
      <c r="D29" s="21">
        <f>IFERROR(VLOOKUP(A29,datos_2024!$B$1:$G$322,4,FALSE),"")</f>
        <v>8</v>
      </c>
    </row>
    <row r="30" spans="1:4">
      <c r="A30" s="3">
        <v>11003</v>
      </c>
      <c r="B30" s="4" t="s">
        <v>35</v>
      </c>
      <c r="C30" s="21">
        <f>IFERROR(VLOOKUP(A30,datos_2016!$B$1:$G$330,4,FALSE),"")</f>
        <v>55</v>
      </c>
      <c r="D30" s="21">
        <f>IFERROR(VLOOKUP(A30,datos_2024!$B$1:$G$322,4,FALSE),"")</f>
        <v>71</v>
      </c>
    </row>
    <row r="31" spans="1:4">
      <c r="A31" s="5">
        <v>20101</v>
      </c>
      <c r="B31" s="6" t="s">
        <v>36</v>
      </c>
      <c r="C31" s="21">
        <f>IFERROR(VLOOKUP(A31,datos_2016!$B$1:$G$330,4,FALSE),"")</f>
        <v>11026</v>
      </c>
      <c r="D31" s="21">
        <f>IFERROR(VLOOKUP(A31,datos_2024!$B$1:$G$322,4,FALSE),"")</f>
        <v>18660</v>
      </c>
    </row>
    <row r="32" spans="1:4">
      <c r="A32" s="3">
        <v>20102</v>
      </c>
      <c r="B32" s="4" t="s">
        <v>37</v>
      </c>
      <c r="C32" s="21">
        <f>IFERROR(VLOOKUP(A32,datos_2016!$B$1:$G$330,4,FALSE),"")</f>
        <v>317</v>
      </c>
      <c r="D32" s="21">
        <f>IFERROR(VLOOKUP(A32,datos_2024!$B$1:$G$322,4,FALSE),"")</f>
        <v>408</v>
      </c>
    </row>
    <row r="33" spans="1:4">
      <c r="A33" s="5">
        <v>20103</v>
      </c>
      <c r="B33" s="6" t="s">
        <v>38</v>
      </c>
      <c r="C33" s="21">
        <f>IFERROR(VLOOKUP(A33,datos_2016!$B$1:$G$330,4,FALSE),"")</f>
        <v>468</v>
      </c>
      <c r="D33" s="21">
        <f>IFERROR(VLOOKUP(A33,datos_2024!$B$1:$G$322,4,FALSE),"")</f>
        <v>873</v>
      </c>
    </row>
    <row r="34" spans="1:4">
      <c r="A34" s="3">
        <v>20104</v>
      </c>
      <c r="B34" s="4" t="s">
        <v>39</v>
      </c>
      <c r="C34" s="21">
        <f>IFERROR(VLOOKUP(A34,datos_2016!$B$1:$G$330,4,FALSE),"")</f>
        <v>780</v>
      </c>
      <c r="D34" s="21">
        <f>IFERROR(VLOOKUP(A34,datos_2024!$B$1:$G$322,4,FALSE),"")</f>
        <v>2068</v>
      </c>
    </row>
    <row r="35" spans="1:4">
      <c r="A35" s="5">
        <v>20105</v>
      </c>
      <c r="B35" s="6" t="s">
        <v>40</v>
      </c>
      <c r="C35" s="21">
        <f>IFERROR(VLOOKUP(A35,datos_2016!$B$1:$G$330,4,FALSE),"")</f>
        <v>20483</v>
      </c>
      <c r="D35" s="21">
        <f>IFERROR(VLOOKUP(A35,datos_2024!$B$1:$G$322,4,FALSE),"")</f>
        <v>23131</v>
      </c>
    </row>
    <row r="36" spans="1:4">
      <c r="A36" s="3">
        <v>20201</v>
      </c>
      <c r="B36" s="4" t="s">
        <v>41</v>
      </c>
      <c r="C36" s="21">
        <f>IFERROR(VLOOKUP(A36,datos_2016!$B$1:$G$330,4,FALSE),"")</f>
        <v>1705</v>
      </c>
      <c r="D36" s="21">
        <f>IFERROR(VLOOKUP(A36,datos_2024!$B$1:$G$322,4,FALSE),"")</f>
        <v>1712</v>
      </c>
    </row>
    <row r="37" spans="1:4">
      <c r="A37" s="5">
        <v>20202</v>
      </c>
      <c r="B37" s="6" t="s">
        <v>42</v>
      </c>
      <c r="C37" s="21">
        <f>IFERROR(VLOOKUP(A37,datos_2016!$B$1:$G$330,4,FALSE),"")</f>
        <v>690</v>
      </c>
      <c r="D37" s="21">
        <f>IFERROR(VLOOKUP(A37,datos_2024!$B$1:$G$322,4,FALSE),"")</f>
        <v>544</v>
      </c>
    </row>
    <row r="38" spans="1:4">
      <c r="A38" s="3">
        <v>20203</v>
      </c>
      <c r="B38" s="4" t="s">
        <v>43</v>
      </c>
      <c r="C38" s="21">
        <f>IFERROR(VLOOKUP(A38,datos_2016!$B$1:$G$330,4,FALSE),"")</f>
        <v>238</v>
      </c>
      <c r="D38" s="21">
        <f>IFERROR(VLOOKUP(A38,datos_2024!$B$1:$G$322,4,FALSE),"")</f>
        <v>216</v>
      </c>
    </row>
    <row r="39" spans="1:4">
      <c r="A39" s="5">
        <v>20204</v>
      </c>
      <c r="B39" s="6" t="s">
        <v>44</v>
      </c>
      <c r="C39" s="21">
        <f>IFERROR(VLOOKUP(A39,datos_2016!$B$1:$G$330,4,FALSE),"")</f>
        <v>472</v>
      </c>
      <c r="D39" s="21">
        <f>IFERROR(VLOOKUP(A39,datos_2024!$B$1:$G$322,4,FALSE),"")</f>
        <v>356</v>
      </c>
    </row>
    <row r="40" spans="1:4">
      <c r="A40" s="3">
        <v>20205</v>
      </c>
      <c r="B40" s="4" t="s">
        <v>45</v>
      </c>
      <c r="C40" s="21">
        <f>IFERROR(VLOOKUP(A40,datos_2016!$B$1:$G$330,4,FALSE),"")</f>
        <v>529</v>
      </c>
      <c r="D40" s="21">
        <f>IFERROR(VLOOKUP(A40,datos_2024!$B$1:$G$322,4,FALSE),"")</f>
        <v>608</v>
      </c>
    </row>
    <row r="41" spans="1:4">
      <c r="A41" s="5">
        <v>20206</v>
      </c>
      <c r="B41" s="6" t="s">
        <v>46</v>
      </c>
      <c r="C41" s="21">
        <f>IFERROR(VLOOKUP(A41,datos_2016!$B$1:$G$330,4,FALSE),"")</f>
        <v>260</v>
      </c>
      <c r="D41" s="21">
        <f>IFERROR(VLOOKUP(A41,datos_2024!$B$1:$G$322,4,FALSE),"")</f>
        <v>258</v>
      </c>
    </row>
    <row r="42" spans="1:4">
      <c r="A42" s="3">
        <v>20301</v>
      </c>
      <c r="B42" s="4" t="s">
        <v>47</v>
      </c>
      <c r="C42" s="21">
        <f>IFERROR(VLOOKUP(A42,datos_2016!$B$1:$G$330,4,FALSE),"")</f>
        <v>763</v>
      </c>
      <c r="D42" s="21">
        <f>IFERROR(VLOOKUP(A42,datos_2024!$B$1:$G$322,4,FALSE),"")</f>
        <v>759</v>
      </c>
    </row>
    <row r="43" spans="1:4">
      <c r="A43" s="5">
        <v>20302</v>
      </c>
      <c r="B43" s="6" t="s">
        <v>48</v>
      </c>
      <c r="C43" s="21">
        <f>IFERROR(VLOOKUP(A43,datos_2016!$B$1:$G$330,4,FALSE),"")</f>
        <v>914</v>
      </c>
      <c r="D43" s="21">
        <f>IFERROR(VLOOKUP(A43,datos_2024!$B$1:$G$322,4,FALSE),"")</f>
        <v>987</v>
      </c>
    </row>
    <row r="44" spans="1:4">
      <c r="A44" s="3">
        <v>20303</v>
      </c>
      <c r="B44" s="4" t="s">
        <v>49</v>
      </c>
      <c r="C44" s="21">
        <f>IFERROR(VLOOKUP(A44,datos_2016!$B$1:$G$330,4,FALSE),"")</f>
        <v>347</v>
      </c>
      <c r="D44" s="21">
        <f>IFERROR(VLOOKUP(A44,datos_2024!$B$1:$G$322,4,FALSE),"")</f>
        <v>560</v>
      </c>
    </row>
    <row r="45" spans="1:4">
      <c r="A45" s="5">
        <v>20304</v>
      </c>
      <c r="B45" s="6" t="s">
        <v>50</v>
      </c>
      <c r="C45" s="21">
        <f>IFERROR(VLOOKUP(A45,datos_2016!$B$1:$G$330,4,FALSE),"")</f>
        <v>194</v>
      </c>
      <c r="D45" s="21">
        <f>IFERROR(VLOOKUP(A45,datos_2024!$B$1:$G$322,4,FALSE),"")</f>
        <v>306</v>
      </c>
    </row>
    <row r="46" spans="1:4">
      <c r="A46" s="3">
        <v>20305</v>
      </c>
      <c r="B46" s="4" t="s">
        <v>51</v>
      </c>
      <c r="C46" s="21">
        <f>IFERROR(VLOOKUP(A46,datos_2016!$B$1:$G$330,4,FALSE),"")</f>
        <v>61</v>
      </c>
      <c r="D46" s="21">
        <f>IFERROR(VLOOKUP(A46,datos_2024!$B$1:$G$322,4,FALSE),"")</f>
        <v>65</v>
      </c>
    </row>
    <row r="47" spans="1:4">
      <c r="A47" s="5">
        <v>20306</v>
      </c>
      <c r="B47" s="6" t="s">
        <v>52</v>
      </c>
      <c r="C47" s="21">
        <f>IFERROR(VLOOKUP(A47,datos_2016!$B$1:$G$330,4,FALSE),"")</f>
        <v>63</v>
      </c>
      <c r="D47" s="21" t="str">
        <f>IFERROR(VLOOKUP(A47,datos_2024!$B$1:$G$322,4,FALSE),"")</f>
        <v/>
      </c>
    </row>
    <row r="48" spans="1:4">
      <c r="A48" s="3">
        <v>20307</v>
      </c>
      <c r="B48" s="4" t="s">
        <v>53</v>
      </c>
      <c r="C48" s="21">
        <f>IFERROR(VLOOKUP(A48,datos_2016!$B$1:$G$330,4,FALSE),"")</f>
        <v>17</v>
      </c>
      <c r="D48" s="21">
        <f>IFERROR(VLOOKUP(A48,datos_2024!$B$1:$G$322,4,FALSE),"")</f>
        <v>24</v>
      </c>
    </row>
    <row r="49" spans="1:4">
      <c r="A49" s="5">
        <v>20308</v>
      </c>
      <c r="B49" s="6" t="s">
        <v>54</v>
      </c>
      <c r="C49" s="21">
        <f>IFERROR(VLOOKUP(A49,datos_2016!$B$1:$G$330,4,FALSE),"")</f>
        <v>205</v>
      </c>
      <c r="D49" s="21">
        <f>IFERROR(VLOOKUP(A49,datos_2024!$B$1:$G$322,4,FALSE),"")</f>
        <v>526</v>
      </c>
    </row>
    <row r="50" spans="1:4">
      <c r="A50" s="3">
        <v>20401</v>
      </c>
      <c r="B50" s="4" t="s">
        <v>55</v>
      </c>
      <c r="C50" s="21">
        <f>IFERROR(VLOOKUP(A50,datos_2016!$B$1:$G$330,4,FALSE),"")</f>
        <v>571</v>
      </c>
      <c r="D50" s="21">
        <f>IFERROR(VLOOKUP(A50,datos_2024!$B$1:$G$322,4,FALSE),"")</f>
        <v>618</v>
      </c>
    </row>
    <row r="51" spans="1:4">
      <c r="A51" s="5">
        <v>20402</v>
      </c>
      <c r="B51" s="6" t="s">
        <v>56</v>
      </c>
      <c r="C51" s="21">
        <f>IFERROR(VLOOKUP(A51,datos_2016!$B$1:$G$330,4,FALSE),"")</f>
        <v>436</v>
      </c>
      <c r="D51" s="21">
        <f>IFERROR(VLOOKUP(A51,datos_2024!$B$1:$G$322,4,FALSE),"")</f>
        <v>401</v>
      </c>
    </row>
    <row r="52" spans="1:4">
      <c r="A52" s="3">
        <v>20403</v>
      </c>
      <c r="B52" s="4" t="s">
        <v>57</v>
      </c>
      <c r="C52" s="21">
        <f>IFERROR(VLOOKUP(A52,datos_2016!$B$1:$G$330,4,FALSE),"")</f>
        <v>550</v>
      </c>
      <c r="D52" s="21">
        <f>IFERROR(VLOOKUP(A52,datos_2024!$B$1:$G$322,4,FALSE),"")</f>
        <v>481</v>
      </c>
    </row>
    <row r="53" spans="1:4">
      <c r="A53" s="5">
        <v>20404</v>
      </c>
      <c r="B53" s="6" t="s">
        <v>58</v>
      </c>
      <c r="C53" s="21">
        <f>IFERROR(VLOOKUP(A53,datos_2016!$B$1:$G$330,4,FALSE),"")</f>
        <v>138</v>
      </c>
      <c r="D53" s="21">
        <f>IFERROR(VLOOKUP(A53,datos_2024!$B$1:$G$322,4,FALSE),"")</f>
        <v>114</v>
      </c>
    </row>
    <row r="54" spans="1:4">
      <c r="A54" s="3">
        <v>20405</v>
      </c>
      <c r="B54" s="4" t="s">
        <v>59</v>
      </c>
      <c r="C54" s="21">
        <f>IFERROR(VLOOKUP(A54,datos_2016!$B$1:$G$330,4,FALSE),"")</f>
        <v>294</v>
      </c>
      <c r="D54" s="21">
        <f>IFERROR(VLOOKUP(A54,datos_2024!$B$1:$G$322,4,FALSE),"")</f>
        <v>230</v>
      </c>
    </row>
    <row r="55" spans="1:4">
      <c r="A55" s="5">
        <v>20501</v>
      </c>
      <c r="B55" s="6" t="s">
        <v>60</v>
      </c>
      <c r="C55" s="21">
        <f>IFERROR(VLOOKUP(A55,datos_2016!$B$1:$G$330,4,FALSE),"")</f>
        <v>424</v>
      </c>
      <c r="D55" s="21">
        <f>IFERROR(VLOOKUP(A55,datos_2024!$B$1:$G$322,4,FALSE),"")</f>
        <v>463</v>
      </c>
    </row>
    <row r="56" spans="1:4">
      <c r="A56" s="3">
        <v>20502</v>
      </c>
      <c r="B56" s="4" t="s">
        <v>61</v>
      </c>
      <c r="C56" s="21">
        <f>IFERROR(VLOOKUP(A56,datos_2016!$B$1:$G$330,4,FALSE),"")</f>
        <v>161</v>
      </c>
      <c r="D56" s="21">
        <f>IFERROR(VLOOKUP(A56,datos_2024!$B$1:$G$322,4,FALSE),"")</f>
        <v>197</v>
      </c>
    </row>
    <row r="57" spans="1:4">
      <c r="A57" s="5">
        <v>20503</v>
      </c>
      <c r="B57" s="6" t="s">
        <v>62</v>
      </c>
      <c r="C57" s="21">
        <f>IFERROR(VLOOKUP(A57,datos_2016!$B$1:$G$330,4,FALSE),"")</f>
        <v>140</v>
      </c>
      <c r="D57" s="21">
        <f>IFERROR(VLOOKUP(A57,datos_2024!$B$1:$G$322,4,FALSE),"")</f>
        <v>108</v>
      </c>
    </row>
    <row r="58" spans="1:4">
      <c r="A58" s="3">
        <v>20601</v>
      </c>
      <c r="B58" s="4" t="s">
        <v>63</v>
      </c>
      <c r="C58" s="21">
        <f>IFERROR(VLOOKUP(A58,datos_2016!$B$1:$G$330,4,FALSE),"")</f>
        <v>1022</v>
      </c>
      <c r="D58" s="21">
        <f>IFERROR(VLOOKUP(A58,datos_2024!$B$1:$G$322,4,FALSE),"")</f>
        <v>799</v>
      </c>
    </row>
    <row r="59" spans="1:4">
      <c r="A59" s="5">
        <v>20602</v>
      </c>
      <c r="B59" s="6" t="s">
        <v>64</v>
      </c>
      <c r="C59" s="21">
        <f>IFERROR(VLOOKUP(A59,datos_2016!$B$1:$G$330,4,FALSE),"")</f>
        <v>178</v>
      </c>
      <c r="D59" s="21">
        <f>IFERROR(VLOOKUP(A59,datos_2024!$B$1:$G$322,4,FALSE),"")</f>
        <v>96</v>
      </c>
    </row>
    <row r="60" spans="1:4">
      <c r="A60" s="3">
        <v>20603</v>
      </c>
      <c r="B60" s="4" t="s">
        <v>65</v>
      </c>
      <c r="C60" s="21">
        <f>IFERROR(VLOOKUP(A60,datos_2016!$B$1:$G$330,4,FALSE),"")</f>
        <v>205</v>
      </c>
      <c r="D60" s="21">
        <f>IFERROR(VLOOKUP(A60,datos_2024!$B$1:$G$322,4,FALSE),"")</f>
        <v>241</v>
      </c>
    </row>
    <row r="61" spans="1:4">
      <c r="A61" s="5">
        <v>20604</v>
      </c>
      <c r="B61" s="6" t="s">
        <v>66</v>
      </c>
      <c r="C61" s="21">
        <f>IFERROR(VLOOKUP(A61,datos_2016!$B$1:$G$330,4,FALSE),"")</f>
        <v>121</v>
      </c>
      <c r="D61" s="21">
        <f>IFERROR(VLOOKUP(A61,datos_2024!$B$1:$G$322,4,FALSE),"")</f>
        <v>74</v>
      </c>
    </row>
    <row r="62" spans="1:4">
      <c r="A62" s="3">
        <v>20605</v>
      </c>
      <c r="B62" s="4" t="s">
        <v>67</v>
      </c>
      <c r="C62" s="21">
        <f>IFERROR(VLOOKUP(A62,datos_2016!$B$1:$G$330,4,FALSE),"")</f>
        <v>147</v>
      </c>
      <c r="D62" s="21">
        <f>IFERROR(VLOOKUP(A62,datos_2024!$B$1:$G$322,4,FALSE),"")</f>
        <v>101</v>
      </c>
    </row>
    <row r="63" spans="1:4">
      <c r="A63" s="5">
        <v>20606</v>
      </c>
      <c r="B63" s="6" t="s">
        <v>68</v>
      </c>
      <c r="C63" s="21">
        <f>IFERROR(VLOOKUP(A63,datos_2016!$B$1:$G$330,4,FALSE),"")</f>
        <v>163</v>
      </c>
      <c r="D63" s="21">
        <f>IFERROR(VLOOKUP(A63,datos_2024!$B$1:$G$322,4,FALSE),"")</f>
        <v>134</v>
      </c>
    </row>
    <row r="64" spans="1:4">
      <c r="A64" s="3">
        <v>20607</v>
      </c>
      <c r="B64" s="4" t="s">
        <v>69</v>
      </c>
      <c r="C64" s="21">
        <f>IFERROR(VLOOKUP(A64,datos_2016!$B$1:$G$330,4,FALSE),"")</f>
        <v>93</v>
      </c>
      <c r="D64" s="21">
        <f>IFERROR(VLOOKUP(A64,datos_2024!$B$1:$G$322,4,FALSE),"")</f>
        <v>155</v>
      </c>
    </row>
    <row r="65" spans="1:4">
      <c r="A65" s="5">
        <v>20608</v>
      </c>
      <c r="B65" s="6" t="s">
        <v>70</v>
      </c>
      <c r="C65" s="21">
        <f>IFERROR(VLOOKUP(A65,datos_2016!$B$1:$G$330,4,FALSE),"")</f>
        <v>115</v>
      </c>
      <c r="D65" s="21">
        <f>IFERROR(VLOOKUP(A65,datos_2024!$B$1:$G$322,4,FALSE),"")</f>
        <v>232</v>
      </c>
    </row>
    <row r="66" spans="1:4">
      <c r="A66" s="3">
        <v>20701</v>
      </c>
      <c r="B66" s="4" t="s">
        <v>71</v>
      </c>
      <c r="C66" s="21">
        <f>IFERROR(VLOOKUP(A66,datos_2016!$B$1:$G$330,4,FALSE),"")</f>
        <v>257</v>
      </c>
      <c r="D66" s="21">
        <f>IFERROR(VLOOKUP(A66,datos_2024!$B$1:$G$322,4,FALSE),"")</f>
        <v>315</v>
      </c>
    </row>
    <row r="67" spans="1:4">
      <c r="A67" s="5">
        <v>20702</v>
      </c>
      <c r="B67" s="6" t="s">
        <v>72</v>
      </c>
      <c r="C67" s="21">
        <f>IFERROR(VLOOKUP(A67,datos_2016!$B$1:$G$330,4,FALSE),"")</f>
        <v>141</v>
      </c>
      <c r="D67" s="21">
        <f>IFERROR(VLOOKUP(A67,datos_2024!$B$1:$G$322,4,FALSE),"")</f>
        <v>166</v>
      </c>
    </row>
    <row r="68" spans="1:4">
      <c r="A68" s="3">
        <v>20801</v>
      </c>
      <c r="B68" s="4" t="s">
        <v>73</v>
      </c>
      <c r="C68" s="21">
        <f>IFERROR(VLOOKUP(A68,datos_2016!$B$1:$G$330,4,FALSE),"")</f>
        <v>4253</v>
      </c>
      <c r="D68" s="21">
        <f>IFERROR(VLOOKUP(A68,datos_2024!$B$1:$G$322,4,FALSE),"")</f>
        <v>6469</v>
      </c>
    </row>
    <row r="69" spans="1:4">
      <c r="A69" s="5">
        <v>20802</v>
      </c>
      <c r="B69" s="6" t="s">
        <v>74</v>
      </c>
      <c r="C69" s="21">
        <f>IFERROR(VLOOKUP(A69,datos_2016!$B$1:$G$330,4,FALSE),"")</f>
        <v>687</v>
      </c>
      <c r="D69" s="21">
        <f>IFERROR(VLOOKUP(A69,datos_2024!$B$1:$G$322,4,FALSE),"")</f>
        <v>525</v>
      </c>
    </row>
    <row r="70" spans="1:4">
      <c r="A70" s="3">
        <v>20803</v>
      </c>
      <c r="B70" s="4" t="s">
        <v>75</v>
      </c>
      <c r="C70" s="21">
        <f>IFERROR(VLOOKUP(A70,datos_2016!$B$1:$G$330,4,FALSE),"")</f>
        <v>492</v>
      </c>
      <c r="D70" s="21">
        <f>IFERROR(VLOOKUP(A70,datos_2024!$B$1:$G$322,4,FALSE),"")</f>
        <v>546</v>
      </c>
    </row>
    <row r="71" spans="1:4">
      <c r="A71" s="5">
        <v>20804</v>
      </c>
      <c r="B71" s="6" t="s">
        <v>76</v>
      </c>
      <c r="C71" s="21">
        <f>IFERROR(VLOOKUP(A71,datos_2016!$B$1:$G$330,4,FALSE),"")</f>
        <v>387</v>
      </c>
      <c r="D71" s="21">
        <f>IFERROR(VLOOKUP(A71,datos_2024!$B$1:$G$322,4,FALSE),"")</f>
        <v>258</v>
      </c>
    </row>
    <row r="72" spans="1:4">
      <c r="A72" s="3">
        <v>20805</v>
      </c>
      <c r="B72" s="4" t="s">
        <v>77</v>
      </c>
      <c r="C72" s="21">
        <f>IFERROR(VLOOKUP(A72,datos_2016!$B$1:$G$330,4,FALSE),"")</f>
        <v>330</v>
      </c>
      <c r="D72" s="21" t="str">
        <f>IFERROR(VLOOKUP(A72,datos_2024!$B$1:$G$322,4,FALSE),"")</f>
        <v/>
      </c>
    </row>
    <row r="73" spans="1:4">
      <c r="A73" s="5">
        <v>20806</v>
      </c>
      <c r="B73" s="6" t="s">
        <v>78</v>
      </c>
      <c r="C73" s="21">
        <f>IFERROR(VLOOKUP(A73,datos_2016!$B$1:$G$330,4,FALSE),"")</f>
        <v>581</v>
      </c>
      <c r="D73" s="21" t="str">
        <f>IFERROR(VLOOKUP(A73,datos_2024!$B$1:$G$322,4,FALSE),"")</f>
        <v/>
      </c>
    </row>
    <row r="74" spans="1:4">
      <c r="A74" s="3">
        <v>20807</v>
      </c>
      <c r="B74" s="4" t="s">
        <v>79</v>
      </c>
      <c r="C74" s="21">
        <f>IFERROR(VLOOKUP(A74,datos_2016!$B$1:$G$330,4,FALSE),"")</f>
        <v>318</v>
      </c>
      <c r="D74" s="21">
        <f>IFERROR(VLOOKUP(A74,datos_2024!$B$1:$G$322,4,FALSE),"")</f>
        <v>366</v>
      </c>
    </row>
    <row r="75" spans="1:4">
      <c r="A75" s="5">
        <v>20901</v>
      </c>
      <c r="B75" s="6" t="s">
        <v>80</v>
      </c>
      <c r="C75" s="21">
        <f>IFERROR(VLOOKUP(A75,datos_2016!$B$1:$G$330,4,FALSE),"")</f>
        <v>355</v>
      </c>
      <c r="D75" s="21">
        <f>IFERROR(VLOOKUP(A75,datos_2024!$B$1:$G$322,4,FALSE),"")</f>
        <v>308</v>
      </c>
    </row>
    <row r="76" spans="1:4">
      <c r="A76" s="3">
        <v>20902</v>
      </c>
      <c r="B76" s="4" t="s">
        <v>81</v>
      </c>
      <c r="C76" s="21">
        <f>IFERROR(VLOOKUP(A76,datos_2016!$B$1:$G$330,4,FALSE),"")</f>
        <v>492</v>
      </c>
      <c r="D76" s="21">
        <f>IFERROR(VLOOKUP(A76,datos_2024!$B$1:$G$322,4,FALSE),"")</f>
        <v>398</v>
      </c>
    </row>
    <row r="77" spans="1:4">
      <c r="A77" s="5">
        <v>20903</v>
      </c>
      <c r="B77" s="6" t="s">
        <v>82</v>
      </c>
      <c r="C77" s="21">
        <f>IFERROR(VLOOKUP(A77,datos_2016!$B$1:$G$330,4,FALSE),"")</f>
        <v>346</v>
      </c>
      <c r="D77" s="21">
        <f>IFERROR(VLOOKUP(A77,datos_2024!$B$1:$G$322,4,FALSE),"")</f>
        <v>231</v>
      </c>
    </row>
    <row r="78" spans="1:4">
      <c r="A78" s="3">
        <v>20904</v>
      </c>
      <c r="B78" s="4" t="s">
        <v>83</v>
      </c>
      <c r="C78" s="21">
        <f>IFERROR(VLOOKUP(A78,datos_2016!$B$1:$G$330,4,FALSE),"")</f>
        <v>72</v>
      </c>
      <c r="D78" s="21">
        <f>IFERROR(VLOOKUP(A78,datos_2024!$B$1:$G$322,4,FALSE),"")</f>
        <v>32</v>
      </c>
    </row>
    <row r="79" spans="1:4">
      <c r="A79" s="5">
        <v>20905</v>
      </c>
      <c r="B79" s="6" t="s">
        <v>84</v>
      </c>
      <c r="C79" s="21">
        <f>IFERROR(VLOOKUP(A79,datos_2016!$B$1:$G$330,4,FALSE),"")</f>
        <v>452</v>
      </c>
      <c r="D79" s="21">
        <f>IFERROR(VLOOKUP(A79,datos_2024!$B$1:$G$322,4,FALSE),"")</f>
        <v>98</v>
      </c>
    </row>
    <row r="80" spans="1:4">
      <c r="A80" s="3">
        <v>21001</v>
      </c>
      <c r="B80" s="4" t="s">
        <v>85</v>
      </c>
      <c r="C80" s="21">
        <f>IFERROR(VLOOKUP(A80,datos_2016!$B$1:$G$330,4,FALSE),"")</f>
        <v>264</v>
      </c>
      <c r="D80" s="21">
        <f>IFERROR(VLOOKUP(A80,datos_2024!$B$1:$G$322,4,FALSE),"")</f>
        <v>273</v>
      </c>
    </row>
    <row r="81" spans="1:4">
      <c r="A81" s="5">
        <v>21002</v>
      </c>
      <c r="B81" s="6" t="s">
        <v>86</v>
      </c>
      <c r="C81" s="21">
        <f>IFERROR(VLOOKUP(A81,datos_2016!$B$1:$G$330,4,FALSE),"")</f>
        <v>120</v>
      </c>
      <c r="D81" s="21">
        <f>IFERROR(VLOOKUP(A81,datos_2024!$B$1:$G$322,4,FALSE),"")</f>
        <v>177</v>
      </c>
    </row>
    <row r="82" spans="1:4">
      <c r="A82" s="3">
        <v>21003</v>
      </c>
      <c r="B82" s="4" t="s">
        <v>87</v>
      </c>
      <c r="C82" s="21">
        <f>IFERROR(VLOOKUP(A82,datos_2016!$B$1:$G$330,4,FALSE),"")</f>
        <v>273</v>
      </c>
      <c r="D82" s="21">
        <f>IFERROR(VLOOKUP(A82,datos_2024!$B$1:$G$322,4,FALSE),"")</f>
        <v>144</v>
      </c>
    </row>
    <row r="83" spans="1:4">
      <c r="A83" s="5">
        <v>21004</v>
      </c>
      <c r="B83" s="6" t="s">
        <v>88</v>
      </c>
      <c r="C83" s="21">
        <f>IFERROR(VLOOKUP(A83,datos_2016!$B$1:$G$330,4,FALSE),"")</f>
        <v>530</v>
      </c>
      <c r="D83" s="21">
        <f>IFERROR(VLOOKUP(A83,datos_2024!$B$1:$G$322,4,FALSE),"")</f>
        <v>345</v>
      </c>
    </row>
    <row r="84" spans="1:4">
      <c r="A84" s="3">
        <v>21005</v>
      </c>
      <c r="B84" s="4" t="s">
        <v>89</v>
      </c>
      <c r="C84" s="21">
        <f>IFERROR(VLOOKUP(A84,datos_2016!$B$1:$G$330,4,FALSE),"")</f>
        <v>352</v>
      </c>
      <c r="D84" s="21">
        <f>IFERROR(VLOOKUP(A84,datos_2024!$B$1:$G$322,4,FALSE),"")</f>
        <v>144</v>
      </c>
    </row>
    <row r="85" spans="1:4">
      <c r="A85" s="5">
        <v>21006</v>
      </c>
      <c r="B85" s="6" t="s">
        <v>90</v>
      </c>
      <c r="C85" s="21">
        <f>IFERROR(VLOOKUP(A85,datos_2016!$B$1:$G$330,4,FALSE),"")</f>
        <v>69</v>
      </c>
      <c r="D85" s="21">
        <f>IFERROR(VLOOKUP(A85,datos_2024!$B$1:$G$322,4,FALSE),"")</f>
        <v>65</v>
      </c>
    </row>
    <row r="86" spans="1:4">
      <c r="A86" s="3">
        <v>21101</v>
      </c>
      <c r="B86" s="4" t="s">
        <v>91</v>
      </c>
      <c r="C86" s="21">
        <f>IFERROR(VLOOKUP(A86,datos_2016!$B$1:$G$330,4,FALSE),"")</f>
        <v>265</v>
      </c>
      <c r="D86" s="21">
        <f>IFERROR(VLOOKUP(A86,datos_2024!$B$1:$G$322,4,FALSE),"")</f>
        <v>385</v>
      </c>
    </row>
    <row r="87" spans="1:4">
      <c r="A87" s="5">
        <v>21102</v>
      </c>
      <c r="B87" s="6" t="s">
        <v>92</v>
      </c>
      <c r="C87" s="21">
        <f>IFERROR(VLOOKUP(A87,datos_2016!$B$1:$G$330,4,FALSE),"")</f>
        <v>328</v>
      </c>
      <c r="D87" s="21">
        <f>IFERROR(VLOOKUP(A87,datos_2024!$B$1:$G$322,4,FALSE),"")</f>
        <v>417</v>
      </c>
    </row>
    <row r="88" spans="1:4">
      <c r="A88" s="3">
        <v>21103</v>
      </c>
      <c r="B88" s="4" t="s">
        <v>93</v>
      </c>
      <c r="C88" s="21">
        <f>IFERROR(VLOOKUP(A88,datos_2016!$B$1:$G$330,4,FALSE),"")</f>
        <v>75</v>
      </c>
      <c r="D88" s="21">
        <f>IFERROR(VLOOKUP(A88,datos_2024!$B$1:$G$322,4,FALSE),"")</f>
        <v>124</v>
      </c>
    </row>
    <row r="89" spans="1:4">
      <c r="A89" s="5">
        <v>21104</v>
      </c>
      <c r="B89" s="6" t="s">
        <v>94</v>
      </c>
      <c r="C89" s="21">
        <f>IFERROR(VLOOKUP(A89,datos_2016!$B$1:$G$330,4,FALSE),"")</f>
        <v>696</v>
      </c>
      <c r="D89" s="21">
        <f>IFERROR(VLOOKUP(A89,datos_2024!$B$1:$G$322,4,FALSE),"")</f>
        <v>559</v>
      </c>
    </row>
    <row r="90" spans="1:4">
      <c r="A90" s="3">
        <v>21105</v>
      </c>
      <c r="B90" s="4" t="s">
        <v>95</v>
      </c>
      <c r="C90" s="21">
        <f>IFERROR(VLOOKUP(A90,datos_2016!$B$1:$G$330,4,FALSE),"")</f>
        <v>350</v>
      </c>
      <c r="D90" s="21">
        <f>IFERROR(VLOOKUP(A90,datos_2024!$B$1:$G$322,4,FALSE),"")</f>
        <v>875</v>
      </c>
    </row>
    <row r="91" spans="1:4">
      <c r="A91" s="5">
        <v>21201</v>
      </c>
      <c r="B91" s="6" t="s">
        <v>96</v>
      </c>
      <c r="C91" s="21">
        <f>IFERROR(VLOOKUP(A91,datos_2016!$B$1:$G$330,4,FALSE),"")</f>
        <v>1188</v>
      </c>
      <c r="D91" s="21">
        <f>IFERROR(VLOOKUP(A91,datos_2024!$B$1:$G$322,4,FALSE),"")</f>
        <v>4395</v>
      </c>
    </row>
    <row r="92" spans="1:4">
      <c r="A92" s="3">
        <v>21202</v>
      </c>
      <c r="B92" s="4" t="s">
        <v>97</v>
      </c>
      <c r="C92" s="21">
        <f>IFERROR(VLOOKUP(A92,datos_2016!$B$1:$G$330,4,FALSE),"")</f>
        <v>937</v>
      </c>
      <c r="D92" s="21">
        <f>IFERROR(VLOOKUP(A92,datos_2024!$B$1:$G$322,4,FALSE),"")</f>
        <v>1568</v>
      </c>
    </row>
    <row r="93" spans="1:4">
      <c r="A93" s="5">
        <v>21203</v>
      </c>
      <c r="B93" s="6" t="s">
        <v>98</v>
      </c>
      <c r="C93" s="21">
        <f>IFERROR(VLOOKUP(A93,datos_2016!$B$1:$G$330,4,FALSE),"")</f>
        <v>741</v>
      </c>
      <c r="D93" s="21">
        <f>IFERROR(VLOOKUP(A93,datos_2024!$B$1:$G$322,4,FALSE),"")</f>
        <v>630</v>
      </c>
    </row>
    <row r="94" spans="1:4">
      <c r="A94" s="3">
        <v>21204</v>
      </c>
      <c r="B94" s="4" t="s">
        <v>99</v>
      </c>
      <c r="C94" s="21">
        <f>IFERROR(VLOOKUP(A94,datos_2016!$B$1:$G$330,4,FALSE),"")</f>
        <v>256</v>
      </c>
      <c r="D94" s="21" t="str">
        <f>IFERROR(VLOOKUP(A94,datos_2024!$B$1:$G$322,4,FALSE),"")</f>
        <v/>
      </c>
    </row>
    <row r="95" spans="1:4">
      <c r="A95" s="5">
        <v>21301</v>
      </c>
      <c r="B95" s="6" t="s">
        <v>100</v>
      </c>
      <c r="C95" s="21">
        <f>IFERROR(VLOOKUP(A95,datos_2016!$B$1:$G$330,4,FALSE),"")</f>
        <v>1032</v>
      </c>
      <c r="D95" s="21">
        <f>IFERROR(VLOOKUP(A95,datos_2024!$B$1:$G$322,4,FALSE),"")</f>
        <v>788</v>
      </c>
    </row>
    <row r="96" spans="1:4">
      <c r="A96" s="3">
        <v>21302</v>
      </c>
      <c r="B96" s="4" t="s">
        <v>101</v>
      </c>
      <c r="C96" s="21">
        <f>IFERROR(VLOOKUP(A96,datos_2016!$B$1:$G$330,4,FALSE),"")</f>
        <v>632</v>
      </c>
      <c r="D96" s="21">
        <f>IFERROR(VLOOKUP(A96,datos_2024!$B$1:$G$322,4,FALSE),"")</f>
        <v>688</v>
      </c>
    </row>
    <row r="97" spans="1:4">
      <c r="A97" s="5">
        <v>21303</v>
      </c>
      <c r="B97" s="6" t="s">
        <v>102</v>
      </c>
      <c r="C97" s="21">
        <f>IFERROR(VLOOKUP(A97,datos_2016!$B$1:$G$330,4,FALSE),"")</f>
        <v>452</v>
      </c>
      <c r="D97" s="21">
        <f>IFERROR(VLOOKUP(A97,datos_2024!$B$1:$G$322,4,FALSE),"")</f>
        <v>395</v>
      </c>
    </row>
    <row r="98" spans="1:4">
      <c r="A98" s="3">
        <v>21304</v>
      </c>
      <c r="B98" s="4" t="s">
        <v>103</v>
      </c>
      <c r="C98" s="21">
        <f>IFERROR(VLOOKUP(A98,datos_2016!$B$1:$G$330,4,FALSE),"")</f>
        <v>473</v>
      </c>
      <c r="D98" s="21">
        <f>IFERROR(VLOOKUP(A98,datos_2024!$B$1:$G$322,4,FALSE),"")</f>
        <v>565</v>
      </c>
    </row>
    <row r="99" spans="1:4">
      <c r="A99" s="5">
        <v>21305</v>
      </c>
      <c r="B99" s="6" t="s">
        <v>104</v>
      </c>
      <c r="C99" s="21">
        <f>IFERROR(VLOOKUP(A99,datos_2016!$B$1:$G$330,4,FALSE),"")</f>
        <v>719</v>
      </c>
      <c r="D99" s="21">
        <f>IFERROR(VLOOKUP(A99,datos_2024!$B$1:$G$322,4,FALSE),"")</f>
        <v>756</v>
      </c>
    </row>
    <row r="100" spans="1:4">
      <c r="A100" s="3">
        <v>21306</v>
      </c>
      <c r="B100" s="4" t="s">
        <v>105</v>
      </c>
      <c r="C100" s="21">
        <f>IFERROR(VLOOKUP(A100,datos_2016!$B$1:$G$330,4,FALSE),"")</f>
        <v>205</v>
      </c>
      <c r="D100" s="21">
        <f>IFERROR(VLOOKUP(A100,datos_2024!$B$1:$G$322,4,FALSE),"")</f>
        <v>302</v>
      </c>
    </row>
    <row r="101" spans="1:4">
      <c r="A101" s="5">
        <v>21307</v>
      </c>
      <c r="B101" s="6" t="s">
        <v>106</v>
      </c>
      <c r="C101" s="21">
        <f>IFERROR(VLOOKUP(A101,datos_2016!$B$1:$G$330,4,FALSE),"")</f>
        <v>42</v>
      </c>
      <c r="D101" s="21">
        <f>IFERROR(VLOOKUP(A101,datos_2024!$B$1:$G$322,4,FALSE),"")</f>
        <v>90</v>
      </c>
    </row>
    <row r="102" spans="1:4">
      <c r="A102" s="3">
        <v>21401</v>
      </c>
      <c r="B102" s="4" t="s">
        <v>107</v>
      </c>
      <c r="C102" s="21">
        <f>IFERROR(VLOOKUP(A102,datos_2016!$B$1:$G$330,4,FALSE),"")</f>
        <v>244</v>
      </c>
      <c r="D102" s="21">
        <f>IFERROR(VLOOKUP(A102,datos_2024!$B$1:$G$322,4,FALSE),"")</f>
        <v>532</v>
      </c>
    </row>
    <row r="103" spans="1:4">
      <c r="A103" s="5">
        <v>21402</v>
      </c>
      <c r="B103" s="6" t="s">
        <v>108</v>
      </c>
      <c r="C103" s="21">
        <f>IFERROR(VLOOKUP(A103,datos_2016!$B$1:$G$330,4,FALSE),"")</f>
        <v>348</v>
      </c>
      <c r="D103" s="21">
        <f>IFERROR(VLOOKUP(A103,datos_2024!$B$1:$G$322,4,FALSE),"")</f>
        <v>352</v>
      </c>
    </row>
    <row r="104" spans="1:4">
      <c r="A104" s="3">
        <v>21501</v>
      </c>
      <c r="B104" s="4" t="s">
        <v>109</v>
      </c>
      <c r="C104" s="21">
        <f>IFERROR(VLOOKUP(A104,datos_2016!$B$1:$G$330,4,FALSE),"")</f>
        <v>14</v>
      </c>
      <c r="D104" s="21">
        <f>IFERROR(VLOOKUP(A104,datos_2024!$B$1:$G$322,4,FALSE),"")</f>
        <v>53</v>
      </c>
    </row>
    <row r="105" spans="1:4">
      <c r="A105" s="5">
        <v>21502</v>
      </c>
      <c r="B105" s="6" t="s">
        <v>110</v>
      </c>
      <c r="C105" s="21">
        <f>IFERROR(VLOOKUP(A105,datos_2016!$B$1:$G$330,4,FALSE),"")</f>
        <v>40</v>
      </c>
      <c r="D105" s="21">
        <f>IFERROR(VLOOKUP(A105,datos_2024!$B$1:$G$322,4,FALSE),"")</f>
        <v>50</v>
      </c>
    </row>
    <row r="106" spans="1:4">
      <c r="A106" s="3">
        <v>21601</v>
      </c>
      <c r="B106" s="4" t="s">
        <v>111</v>
      </c>
      <c r="C106" s="21">
        <f>IFERROR(VLOOKUP(A106,datos_2016!$B$1:$G$330,4,FALSE),"")</f>
        <v>248</v>
      </c>
      <c r="D106" s="21">
        <f>IFERROR(VLOOKUP(A106,datos_2024!$B$1:$G$322,4,FALSE),"")</f>
        <v>294</v>
      </c>
    </row>
    <row r="107" spans="1:4">
      <c r="A107" s="5">
        <v>21602</v>
      </c>
      <c r="B107" s="6" t="s">
        <v>112</v>
      </c>
      <c r="C107" s="21">
        <f>IFERROR(VLOOKUP(A107,datos_2016!$B$1:$G$330,4,FALSE),"")</f>
        <v>79</v>
      </c>
      <c r="D107" s="21">
        <f>IFERROR(VLOOKUP(A107,datos_2024!$B$1:$G$322,4,FALSE),"")</f>
        <v>70</v>
      </c>
    </row>
    <row r="108" spans="1:4">
      <c r="A108" s="3">
        <v>21701</v>
      </c>
      <c r="B108" s="4" t="s">
        <v>113</v>
      </c>
      <c r="C108" s="21">
        <f>IFERROR(VLOOKUP(A108,datos_2016!$B$1:$G$330,4,FALSE),"")</f>
        <v>850</v>
      </c>
      <c r="D108" s="21">
        <f>IFERROR(VLOOKUP(A108,datos_2024!$B$1:$G$322,4,FALSE),"")</f>
        <v>659</v>
      </c>
    </row>
    <row r="109" spans="1:4">
      <c r="A109" s="5">
        <v>21702</v>
      </c>
      <c r="B109" s="6" t="s">
        <v>114</v>
      </c>
      <c r="C109" s="21">
        <f>IFERROR(VLOOKUP(A109,datos_2016!$B$1:$G$330,4,FALSE),"")</f>
        <v>326</v>
      </c>
      <c r="D109" s="21">
        <f>IFERROR(VLOOKUP(A109,datos_2024!$B$1:$G$322,4,FALSE),"")</f>
        <v>283</v>
      </c>
    </row>
    <row r="110" spans="1:4">
      <c r="A110" s="3">
        <v>21703</v>
      </c>
      <c r="B110" s="4" t="s">
        <v>115</v>
      </c>
      <c r="C110" s="21">
        <f>IFERROR(VLOOKUP(A110,datos_2016!$B$1:$G$330,4,FALSE),"")</f>
        <v>95</v>
      </c>
      <c r="D110" s="21">
        <f>IFERROR(VLOOKUP(A110,datos_2024!$B$1:$G$322,4,FALSE),"")</f>
        <v>89</v>
      </c>
    </row>
    <row r="111" spans="1:4">
      <c r="A111" s="5">
        <v>21801</v>
      </c>
      <c r="B111" s="6" t="s">
        <v>116</v>
      </c>
      <c r="C111" s="21">
        <f>IFERROR(VLOOKUP(A111,datos_2016!$B$1:$G$330,4,FALSE),"")</f>
        <v>65</v>
      </c>
      <c r="D111" s="21">
        <f>IFERROR(VLOOKUP(A111,datos_2024!$B$1:$G$322,4,FALSE),"")</f>
        <v>324</v>
      </c>
    </row>
    <row r="112" spans="1:4">
      <c r="A112" s="3">
        <v>21802</v>
      </c>
      <c r="B112" s="4" t="s">
        <v>117</v>
      </c>
      <c r="C112" s="21">
        <f>IFERROR(VLOOKUP(A112,datos_2016!$B$1:$G$330,4,FALSE),"")</f>
        <v>0</v>
      </c>
      <c r="D112" s="21">
        <f>IFERROR(VLOOKUP(A112,datos_2024!$B$1:$G$322,4,FALSE),"")</f>
        <v>290</v>
      </c>
    </row>
    <row r="113" spans="1:4">
      <c r="A113" s="5">
        <v>21803</v>
      </c>
      <c r="B113" s="6" t="s">
        <v>118</v>
      </c>
      <c r="C113" s="21">
        <f>IFERROR(VLOOKUP(A113,datos_2016!$B$1:$G$330,4,FALSE),"")</f>
        <v>92</v>
      </c>
      <c r="D113" s="21">
        <f>IFERROR(VLOOKUP(A113,datos_2024!$B$1:$G$322,4,FALSE),"")</f>
        <v>75</v>
      </c>
    </row>
    <row r="114" spans="1:4">
      <c r="A114" s="3">
        <v>21901</v>
      </c>
      <c r="B114" s="4" t="s">
        <v>119</v>
      </c>
      <c r="C114" s="21">
        <f>IFERROR(VLOOKUP(A114,datos_2016!$B$1:$G$330,4,FALSE),"")</f>
        <v>273</v>
      </c>
      <c r="D114" s="21">
        <f>IFERROR(VLOOKUP(A114,datos_2024!$B$1:$G$322,4,FALSE),"")</f>
        <v>386</v>
      </c>
    </row>
    <row r="115" spans="1:4">
      <c r="A115" s="5">
        <v>21902</v>
      </c>
      <c r="B115" s="6" t="s">
        <v>120</v>
      </c>
      <c r="C115" s="21">
        <f>IFERROR(VLOOKUP(A115,datos_2016!$B$1:$G$330,4,FALSE),"")</f>
        <v>29</v>
      </c>
      <c r="D115" s="21">
        <f>IFERROR(VLOOKUP(A115,datos_2024!$B$1:$G$322,4,FALSE),"")</f>
        <v>44</v>
      </c>
    </row>
    <row r="116" spans="1:4">
      <c r="A116" s="3">
        <v>22001</v>
      </c>
      <c r="B116" s="4" t="s">
        <v>121</v>
      </c>
      <c r="C116" s="21">
        <f>IFERROR(VLOOKUP(A116,datos_2016!$B$1:$G$330,4,FALSE),"")</f>
        <v>1666</v>
      </c>
      <c r="D116" s="21">
        <f>IFERROR(VLOOKUP(A116,datos_2024!$B$1:$G$322,4,FALSE),"")</f>
        <v>2009</v>
      </c>
    </row>
    <row r="117" spans="1:4">
      <c r="A117" s="5">
        <v>22002</v>
      </c>
      <c r="B117" s="6" t="s">
        <v>122</v>
      </c>
      <c r="C117" s="21">
        <f>IFERROR(VLOOKUP(A117,datos_2016!$B$1:$G$330,4,FALSE),"")</f>
        <v>154</v>
      </c>
      <c r="D117" s="21">
        <f>IFERROR(VLOOKUP(A117,datos_2024!$B$1:$G$322,4,FALSE),"")</f>
        <v>234</v>
      </c>
    </row>
    <row r="118" spans="1:4">
      <c r="A118" s="3">
        <v>30101</v>
      </c>
      <c r="B118" s="4" t="s">
        <v>123</v>
      </c>
      <c r="C118" s="21">
        <f>IFERROR(VLOOKUP(A118,datos_2016!$B$1:$G$330,4,FALSE),"")</f>
        <v>9655</v>
      </c>
      <c r="D118" s="21">
        <f>IFERROR(VLOOKUP(A118,datos_2024!$B$1:$G$322,4,FALSE),"")</f>
        <v>14720</v>
      </c>
    </row>
    <row r="119" spans="1:4">
      <c r="A119" s="5">
        <v>30201</v>
      </c>
      <c r="B119" s="6" t="s">
        <v>124</v>
      </c>
      <c r="C119" s="21">
        <f>IFERROR(VLOOKUP(A119,datos_2016!$B$1:$G$330,4,FALSE),"")</f>
        <v>274</v>
      </c>
      <c r="D119" s="21">
        <f>IFERROR(VLOOKUP(A119,datos_2024!$B$1:$G$322,4,FALSE),"")</f>
        <v>364</v>
      </c>
    </row>
    <row r="120" spans="1:4">
      <c r="A120" s="3">
        <v>30202</v>
      </c>
      <c r="B120" s="4" t="s">
        <v>125</v>
      </c>
      <c r="C120" s="21">
        <f>IFERROR(VLOOKUP(A120,datos_2016!$B$1:$G$330,4,FALSE),"")</f>
        <v>45</v>
      </c>
      <c r="D120" s="21">
        <f>IFERROR(VLOOKUP(A120,datos_2024!$B$1:$G$322,4,FALSE),"")</f>
        <v>70</v>
      </c>
    </row>
    <row r="121" spans="1:4">
      <c r="A121" s="5">
        <v>30203</v>
      </c>
      <c r="B121" s="6" t="s">
        <v>126</v>
      </c>
      <c r="C121" s="21">
        <f>IFERROR(VLOOKUP(A121,datos_2016!$B$1:$G$330,4,FALSE),"")</f>
        <v>83</v>
      </c>
      <c r="D121" s="21">
        <f>IFERROR(VLOOKUP(A121,datos_2024!$B$1:$G$322,4,FALSE),"")</f>
        <v>127</v>
      </c>
    </row>
    <row r="122" spans="1:4">
      <c r="A122" s="3">
        <v>30301</v>
      </c>
      <c r="B122" s="4" t="s">
        <v>127</v>
      </c>
      <c r="C122" s="21">
        <f>IFERROR(VLOOKUP(A122,datos_2016!$B$1:$G$330,4,FALSE),"")</f>
        <v>279</v>
      </c>
      <c r="D122" s="21">
        <f>IFERROR(VLOOKUP(A122,datos_2024!$B$1:$G$322,4,FALSE),"")</f>
        <v>656</v>
      </c>
    </row>
    <row r="123" spans="1:4">
      <c r="A123" s="5">
        <v>30302</v>
      </c>
      <c r="B123" s="6" t="s">
        <v>128</v>
      </c>
      <c r="C123" s="21">
        <f>IFERROR(VLOOKUP(A123,datos_2016!$B$1:$G$330,4,FALSE),"")</f>
        <v>232</v>
      </c>
      <c r="D123" s="21">
        <f>IFERROR(VLOOKUP(A123,datos_2024!$B$1:$G$322,4,FALSE),"")</f>
        <v>339</v>
      </c>
    </row>
    <row r="124" spans="1:4">
      <c r="A124" s="3">
        <v>30303</v>
      </c>
      <c r="B124" s="4" t="s">
        <v>129</v>
      </c>
      <c r="C124" s="21">
        <f>IFERROR(VLOOKUP(A124,datos_2016!$B$1:$G$330,4,FALSE),"")</f>
        <v>154</v>
      </c>
      <c r="D124" s="21">
        <f>IFERROR(VLOOKUP(A124,datos_2024!$B$1:$G$322,4,FALSE),"")</f>
        <v>247</v>
      </c>
    </row>
    <row r="125" spans="1:4">
      <c r="A125" s="5">
        <v>30401</v>
      </c>
      <c r="B125" s="6" t="s">
        <v>130</v>
      </c>
      <c r="C125" s="21">
        <f>IFERROR(VLOOKUP(A125,datos_2016!$B$1:$G$330,4,FALSE),"")</f>
        <v>298</v>
      </c>
      <c r="D125" s="21">
        <f>IFERROR(VLOOKUP(A125,datos_2024!$B$1:$G$322,4,FALSE),"")</f>
        <v>345</v>
      </c>
    </row>
    <row r="126" spans="1:4">
      <c r="A126" s="3">
        <v>30402</v>
      </c>
      <c r="B126" s="4" t="s">
        <v>131</v>
      </c>
      <c r="C126" s="21">
        <f>IFERROR(VLOOKUP(A126,datos_2016!$B$1:$G$330,4,FALSE),"")</f>
        <v>185</v>
      </c>
      <c r="D126" s="21">
        <f>IFERROR(VLOOKUP(A126,datos_2024!$B$1:$G$322,4,FALSE),"")</f>
        <v>336</v>
      </c>
    </row>
    <row r="127" spans="1:4">
      <c r="A127" s="5">
        <v>30403</v>
      </c>
      <c r="B127" s="6" t="s">
        <v>132</v>
      </c>
      <c r="C127" s="21">
        <f>IFERROR(VLOOKUP(A127,datos_2016!$B$1:$G$330,4,FALSE),"")</f>
        <v>803</v>
      </c>
      <c r="D127" s="21">
        <f>IFERROR(VLOOKUP(A127,datos_2024!$B$1:$G$322,4,FALSE),"")</f>
        <v>975</v>
      </c>
    </row>
    <row r="128" spans="1:4">
      <c r="A128" s="3">
        <v>30404</v>
      </c>
      <c r="B128" s="4" t="s">
        <v>133</v>
      </c>
      <c r="C128" s="21">
        <f>IFERROR(VLOOKUP(A128,datos_2016!$B$1:$G$330,4,FALSE),"")</f>
        <v>176</v>
      </c>
      <c r="D128" s="21">
        <f>IFERROR(VLOOKUP(A128,datos_2024!$B$1:$G$322,4,FALSE),"")</f>
        <v>152</v>
      </c>
    </row>
    <row r="129" spans="1:4">
      <c r="A129" s="5">
        <v>30501</v>
      </c>
      <c r="B129" s="6" t="s">
        <v>134</v>
      </c>
      <c r="C129" s="21">
        <f>IFERROR(VLOOKUP(A129,datos_2016!$B$1:$G$330,4,FALSE),"")</f>
        <v>706</v>
      </c>
      <c r="D129" s="21">
        <f>IFERROR(VLOOKUP(A129,datos_2024!$B$1:$G$322,4,FALSE),"")</f>
        <v>506</v>
      </c>
    </row>
    <row r="130" spans="1:4">
      <c r="A130" s="3">
        <v>30502</v>
      </c>
      <c r="B130" s="4" t="s">
        <v>135</v>
      </c>
      <c r="C130" s="21">
        <f>IFERROR(VLOOKUP(A130,datos_2016!$B$1:$G$330,4,FALSE),"")</f>
        <v>226</v>
      </c>
      <c r="D130" s="21">
        <f>IFERROR(VLOOKUP(A130,datos_2024!$B$1:$G$322,4,FALSE),"")</f>
        <v>514</v>
      </c>
    </row>
    <row r="131" spans="1:4">
      <c r="A131" s="5">
        <v>30601</v>
      </c>
      <c r="B131" s="6" t="s">
        <v>136</v>
      </c>
      <c r="C131" s="21">
        <f>IFERROR(VLOOKUP(A131,datos_2016!$B$1:$G$330,4,FALSE),"")</f>
        <v>144</v>
      </c>
      <c r="D131" s="21">
        <f>IFERROR(VLOOKUP(A131,datos_2024!$B$1:$G$322,4,FALSE),"")</f>
        <v>196</v>
      </c>
    </row>
    <row r="132" spans="1:4">
      <c r="A132" s="3">
        <v>30602</v>
      </c>
      <c r="B132" s="4" t="s">
        <v>137</v>
      </c>
      <c r="C132" s="21">
        <f>IFERROR(VLOOKUP(A132,datos_2016!$B$1:$G$330,4,FALSE),"")</f>
        <v>199</v>
      </c>
      <c r="D132" s="21">
        <f>IFERROR(VLOOKUP(A132,datos_2024!$B$1:$G$322,4,FALSE),"")</f>
        <v>395</v>
      </c>
    </row>
    <row r="133" spans="1:4">
      <c r="A133" s="5">
        <v>30701</v>
      </c>
      <c r="B133" s="6" t="s">
        <v>138</v>
      </c>
      <c r="C133" s="21">
        <f>IFERROR(VLOOKUP(A133,datos_2016!$B$1:$G$330,4,FALSE),"")</f>
        <v>297</v>
      </c>
      <c r="D133" s="21">
        <f>IFERROR(VLOOKUP(A133,datos_2024!$B$1:$G$322,4,FALSE),"")</f>
        <v>492</v>
      </c>
    </row>
    <row r="134" spans="1:4">
      <c r="A134" s="3">
        <v>30702</v>
      </c>
      <c r="B134" s="4" t="s">
        <v>139</v>
      </c>
      <c r="C134" s="21">
        <f>IFERROR(VLOOKUP(A134,datos_2016!$B$1:$G$330,4,FALSE),"")</f>
        <v>360</v>
      </c>
      <c r="D134" s="21">
        <f>IFERROR(VLOOKUP(A134,datos_2024!$B$1:$G$322,4,FALSE),"")</f>
        <v>393</v>
      </c>
    </row>
    <row r="135" spans="1:4">
      <c r="A135" s="5">
        <v>30703</v>
      </c>
      <c r="B135" s="6" t="s">
        <v>140</v>
      </c>
      <c r="C135" s="21">
        <f>IFERROR(VLOOKUP(A135,datos_2016!$B$1:$G$330,4,FALSE),"")</f>
        <v>60</v>
      </c>
      <c r="D135" s="21">
        <f>IFERROR(VLOOKUP(A135,datos_2024!$B$1:$G$322,4,FALSE),"")</f>
        <v>74</v>
      </c>
    </row>
    <row r="136" spans="1:4">
      <c r="A136" s="3">
        <v>30801</v>
      </c>
      <c r="B136" s="4" t="s">
        <v>141</v>
      </c>
      <c r="C136" s="21">
        <f>IFERROR(VLOOKUP(A136,datos_2016!$B$1:$G$330,4,FALSE),"")</f>
        <v>717</v>
      </c>
      <c r="D136" s="21">
        <f>IFERROR(VLOOKUP(A136,datos_2024!$B$1:$G$322,4,FALSE),"")</f>
        <v>838</v>
      </c>
    </row>
    <row r="137" spans="1:4">
      <c r="A137" s="5">
        <v>30802</v>
      </c>
      <c r="B137" s="6" t="s">
        <v>142</v>
      </c>
      <c r="C137" s="21">
        <f>IFERROR(VLOOKUP(A137,datos_2016!$B$1:$G$330,4,FALSE),"")</f>
        <v>211</v>
      </c>
      <c r="D137" s="21">
        <f>IFERROR(VLOOKUP(A137,datos_2024!$B$1:$G$322,4,FALSE),"")</f>
        <v>241</v>
      </c>
    </row>
    <row r="138" spans="1:4">
      <c r="A138" s="3">
        <v>30803</v>
      </c>
      <c r="B138" s="4" t="s">
        <v>143</v>
      </c>
      <c r="C138" s="21">
        <f>IFERROR(VLOOKUP(A138,datos_2016!$B$1:$G$330,4,FALSE),"")</f>
        <v>240</v>
      </c>
      <c r="D138" s="21">
        <f>IFERROR(VLOOKUP(A138,datos_2024!$B$1:$G$322,4,FALSE),"")</f>
        <v>355</v>
      </c>
    </row>
    <row r="139" spans="1:4">
      <c r="A139" s="5">
        <v>30901</v>
      </c>
      <c r="B139" s="6" t="s">
        <v>144</v>
      </c>
      <c r="C139" s="21">
        <f>IFERROR(VLOOKUP(A139,datos_2016!$B$1:$G$330,4,FALSE),"")</f>
        <v>1521</v>
      </c>
      <c r="D139" s="21">
        <f>IFERROR(VLOOKUP(A139,datos_2024!$B$1:$G$322,4,FALSE),"")</f>
        <v>2709</v>
      </c>
    </row>
    <row r="140" spans="1:4">
      <c r="A140" s="3">
        <v>30902</v>
      </c>
      <c r="B140" s="4" t="s">
        <v>145</v>
      </c>
      <c r="C140" s="21">
        <f>IFERROR(VLOOKUP(A140,datos_2016!$B$1:$G$330,4,FALSE),"")</f>
        <v>627</v>
      </c>
      <c r="D140" s="21">
        <f>IFERROR(VLOOKUP(A140,datos_2024!$B$1:$G$322,4,FALSE),"")</f>
        <v>1103</v>
      </c>
    </row>
    <row r="141" spans="1:4">
      <c r="A141" s="5">
        <v>30903</v>
      </c>
      <c r="B141" s="6" t="s">
        <v>146</v>
      </c>
      <c r="C141" s="21">
        <f>IFERROR(VLOOKUP(A141,datos_2016!$B$1:$G$330,4,FALSE),"")</f>
        <v>613</v>
      </c>
      <c r="D141" s="21">
        <f>IFERROR(VLOOKUP(A141,datos_2024!$B$1:$G$322,4,FALSE),"")</f>
        <v>988</v>
      </c>
    </row>
    <row r="142" spans="1:4">
      <c r="A142" s="3">
        <v>30904</v>
      </c>
      <c r="B142" s="4" t="s">
        <v>147</v>
      </c>
      <c r="C142" s="21">
        <f>IFERROR(VLOOKUP(A142,datos_2016!$B$1:$G$330,4,FALSE),"")</f>
        <v>861</v>
      </c>
      <c r="D142" s="21">
        <f>IFERROR(VLOOKUP(A142,datos_2024!$B$1:$G$322,4,FALSE),"")</f>
        <v>1314</v>
      </c>
    </row>
    <row r="143" spans="1:4">
      <c r="A143" s="5">
        <v>30905</v>
      </c>
      <c r="B143" s="6" t="s">
        <v>148</v>
      </c>
      <c r="C143" s="21">
        <f>IFERROR(VLOOKUP(A143,datos_2016!$B$1:$G$330,4,FALSE),"")</f>
        <v>466</v>
      </c>
      <c r="D143" s="21">
        <f>IFERROR(VLOOKUP(A143,datos_2024!$B$1:$G$322,4,FALSE),"")</f>
        <v>1043</v>
      </c>
    </row>
    <row r="144" spans="1:4">
      <c r="A144" s="3">
        <v>31001</v>
      </c>
      <c r="B144" s="4" t="s">
        <v>149</v>
      </c>
      <c r="C144" s="21">
        <f>IFERROR(VLOOKUP(A144,datos_2016!$B$1:$G$330,4,FALSE),"")</f>
        <v>2865</v>
      </c>
      <c r="D144" s="21">
        <f>IFERROR(VLOOKUP(A144,datos_2024!$B$1:$G$322,4,FALSE),"")</f>
        <v>4714</v>
      </c>
    </row>
    <row r="145" spans="1:4">
      <c r="A145" s="5">
        <v>31002</v>
      </c>
      <c r="B145" s="6" t="s">
        <v>150</v>
      </c>
      <c r="C145" s="21">
        <f>IFERROR(VLOOKUP(A145,datos_2016!$B$1:$G$330,4,FALSE),"")</f>
        <v>459</v>
      </c>
      <c r="D145" s="21">
        <f>IFERROR(VLOOKUP(A145,datos_2024!$B$1:$G$322,4,FALSE),"")</f>
        <v>565</v>
      </c>
    </row>
    <row r="146" spans="1:4">
      <c r="A146" s="3">
        <v>31003</v>
      </c>
      <c r="B146" s="4" t="s">
        <v>151</v>
      </c>
      <c r="C146" s="21">
        <f>IFERROR(VLOOKUP(A146,datos_2016!$B$1:$G$330,4,FALSE),"")</f>
        <v>1222</v>
      </c>
      <c r="D146" s="21">
        <f>IFERROR(VLOOKUP(A146,datos_2024!$B$1:$G$322,4,FALSE),"")</f>
        <v>1559</v>
      </c>
    </row>
    <row r="147" spans="1:4">
      <c r="A147" s="5">
        <v>31101</v>
      </c>
      <c r="B147" s="6" t="s">
        <v>152</v>
      </c>
      <c r="C147" s="21">
        <f>IFERROR(VLOOKUP(A147,datos_2016!$B$1:$G$330,4,FALSE),"")</f>
        <v>322</v>
      </c>
      <c r="D147" s="21">
        <f>IFERROR(VLOOKUP(A147,datos_2024!$B$1:$G$322,4,FALSE),"")</f>
        <v>675</v>
      </c>
    </row>
    <row r="148" spans="1:4">
      <c r="A148" s="3">
        <v>31201</v>
      </c>
      <c r="B148" s="4" t="s">
        <v>153</v>
      </c>
      <c r="C148" s="21">
        <f>IFERROR(VLOOKUP(A148,datos_2016!$B$1:$G$330,4,FALSE),"")</f>
        <v>215</v>
      </c>
      <c r="D148" s="21">
        <f>IFERROR(VLOOKUP(A148,datos_2024!$B$1:$G$322,4,FALSE),"")</f>
        <v>235</v>
      </c>
    </row>
    <row r="149" spans="1:4">
      <c r="A149" s="5">
        <v>31202</v>
      </c>
      <c r="B149" s="6" t="s">
        <v>154</v>
      </c>
      <c r="C149" s="21">
        <f>IFERROR(VLOOKUP(A149,datos_2016!$B$1:$G$330,4,FALSE),"")</f>
        <v>174</v>
      </c>
      <c r="D149" s="21">
        <f>IFERROR(VLOOKUP(A149,datos_2024!$B$1:$G$322,4,FALSE),"")</f>
        <v>186</v>
      </c>
    </row>
    <row r="150" spans="1:4">
      <c r="A150" s="3">
        <v>31203</v>
      </c>
      <c r="B150" s="4" t="s">
        <v>155</v>
      </c>
      <c r="C150" s="21">
        <f>IFERROR(VLOOKUP(A150,datos_2016!$B$1:$G$330,4,FALSE),"")</f>
        <v>275</v>
      </c>
      <c r="D150" s="21">
        <f>IFERROR(VLOOKUP(A150,datos_2024!$B$1:$G$322,4,FALSE),"")</f>
        <v>307</v>
      </c>
    </row>
    <row r="151" spans="1:4">
      <c r="A151" s="5">
        <v>31204</v>
      </c>
      <c r="B151" s="6" t="s">
        <v>156</v>
      </c>
      <c r="C151" s="21">
        <f>IFERROR(VLOOKUP(A151,datos_2016!$B$1:$G$330,4,FALSE),"")</f>
        <v>271</v>
      </c>
      <c r="D151" s="21">
        <f>IFERROR(VLOOKUP(A151,datos_2024!$B$1:$G$322,4,FALSE),"")</f>
        <v>364</v>
      </c>
    </row>
    <row r="152" spans="1:4">
      <c r="A152" s="3">
        <v>31205</v>
      </c>
      <c r="B152" s="4" t="s">
        <v>157</v>
      </c>
      <c r="C152" s="21">
        <f>IFERROR(VLOOKUP(A152,datos_2016!$B$1:$G$330,4,FALSE),"")</f>
        <v>707</v>
      </c>
      <c r="D152" s="21">
        <f>IFERROR(VLOOKUP(A152,datos_2024!$B$1:$G$322,4,FALSE),"")</f>
        <v>934</v>
      </c>
    </row>
    <row r="153" spans="1:4">
      <c r="A153" s="5">
        <v>31206</v>
      </c>
      <c r="B153" s="6" t="s">
        <v>158</v>
      </c>
      <c r="C153" s="21">
        <f>IFERROR(VLOOKUP(A153,datos_2016!$B$1:$G$330,4,FALSE),"")</f>
        <v>271</v>
      </c>
      <c r="D153" s="21">
        <f>IFERROR(VLOOKUP(A153,datos_2024!$B$1:$G$322,4,FALSE),"")</f>
        <v>663</v>
      </c>
    </row>
    <row r="154" spans="1:4">
      <c r="A154" s="12">
        <v>31301</v>
      </c>
      <c r="B154" s="13" t="s">
        <v>159</v>
      </c>
      <c r="C154" s="21">
        <f>IFERROR(VLOOKUP(A154,datos_2016!$B$1:$G$330,4,FALSE),"")</f>
        <v>355</v>
      </c>
      <c r="D154" s="21">
        <f>IFERROR(VLOOKUP(A154,datos_2024!$B$1:$G$322,4,FALSE),"")</f>
        <v>374</v>
      </c>
    </row>
    <row r="155" spans="1:4">
      <c r="A155" s="5">
        <v>31302</v>
      </c>
      <c r="B155" s="6" t="s">
        <v>160</v>
      </c>
      <c r="C155" s="21">
        <f>IFERROR(VLOOKUP(A155,datos_2016!$B$1:$G$330,4,FALSE),"")</f>
        <v>51</v>
      </c>
      <c r="D155" s="21">
        <f>IFERROR(VLOOKUP(A155,datos_2024!$B$1:$G$322,4,FALSE),"")</f>
        <v>87</v>
      </c>
    </row>
    <row r="156" spans="1:4">
      <c r="A156" s="3">
        <v>31303</v>
      </c>
      <c r="B156" s="4" t="s">
        <v>161</v>
      </c>
      <c r="C156" s="21">
        <f>IFERROR(VLOOKUP(A156,datos_2016!$B$1:$G$330,4,FALSE),"")</f>
        <v>38</v>
      </c>
      <c r="D156" s="21">
        <f>IFERROR(VLOOKUP(A156,datos_2024!$B$1:$G$322,4,FALSE),"")</f>
        <v>70</v>
      </c>
    </row>
    <row r="157" spans="1:4">
      <c r="A157" s="5">
        <v>31304</v>
      </c>
      <c r="B157" s="6" t="s">
        <v>162</v>
      </c>
      <c r="C157" s="21" t="str">
        <f>IFERROR(VLOOKUP(A157,datos_2016!$B$1:$G$330,4,FALSE),"")</f>
        <v/>
      </c>
      <c r="D157" s="21" t="str">
        <f>IFERROR(VLOOKUP(A157,datos_2024!$B$1:$G$322,4,FALSE),"")</f>
        <v/>
      </c>
    </row>
    <row r="158" spans="1:4">
      <c r="A158" s="3">
        <v>31401</v>
      </c>
      <c r="B158" s="4" t="s">
        <v>163</v>
      </c>
      <c r="C158" s="21">
        <f>IFERROR(VLOOKUP(A158,datos_2016!$B$1:$G$330,4,FALSE),"")</f>
        <v>777</v>
      </c>
      <c r="D158" s="21">
        <f>IFERROR(VLOOKUP(A158,datos_2024!$B$1:$G$322,4,FALSE),"")</f>
        <v>957</v>
      </c>
    </row>
    <row r="159" spans="1:4">
      <c r="A159" s="5">
        <v>31402</v>
      </c>
      <c r="B159" s="6" t="s">
        <v>164</v>
      </c>
      <c r="C159" s="21">
        <f>IFERROR(VLOOKUP(A159,datos_2016!$B$1:$G$330,4,FALSE),"")</f>
        <v>597</v>
      </c>
      <c r="D159" s="21">
        <f>IFERROR(VLOOKUP(A159,datos_2024!$B$1:$G$322,4,FALSE),"")</f>
        <v>505</v>
      </c>
    </row>
    <row r="160" spans="1:4">
      <c r="A160" s="3">
        <v>31403</v>
      </c>
      <c r="B160" s="4" t="s">
        <v>165</v>
      </c>
      <c r="C160" s="21">
        <f>IFERROR(VLOOKUP(A160,datos_2016!$B$1:$G$330,4,FALSE),"")</f>
        <v>491</v>
      </c>
      <c r="D160" s="21">
        <f>IFERROR(VLOOKUP(A160,datos_2024!$B$1:$G$322,4,FALSE),"")</f>
        <v>622</v>
      </c>
    </row>
    <row r="161" spans="1:4">
      <c r="A161" s="5">
        <v>31404</v>
      </c>
      <c r="B161" s="6" t="s">
        <v>166</v>
      </c>
      <c r="C161" s="21">
        <f>IFERROR(VLOOKUP(A161,datos_2016!$B$1:$G$330,4,FALSE),"")</f>
        <v>57</v>
      </c>
      <c r="D161" s="21">
        <f>IFERROR(VLOOKUP(A161,datos_2024!$B$1:$G$322,4,FALSE),"")</f>
        <v>63</v>
      </c>
    </row>
    <row r="162" spans="1:4">
      <c r="A162" s="3">
        <v>31405</v>
      </c>
      <c r="B162" s="4" t="s">
        <v>167</v>
      </c>
      <c r="C162" s="21" t="str">
        <f>IFERROR(VLOOKUP(A162,datos_2016!$B$1:$G$330,4,FALSE),"")</f>
        <v/>
      </c>
      <c r="D162" s="21" t="str">
        <f>IFERROR(VLOOKUP(A162,datos_2024!$B$1:$G$322,4,FALSE),"")</f>
        <v/>
      </c>
    </row>
    <row r="163" spans="1:4">
      <c r="A163" s="5">
        <v>31501</v>
      </c>
      <c r="B163" s="6" t="s">
        <v>168</v>
      </c>
      <c r="C163" s="21">
        <f>IFERROR(VLOOKUP(A163,datos_2016!$B$1:$G$330,4,FALSE),"")</f>
        <v>153</v>
      </c>
      <c r="D163" s="21">
        <f>IFERROR(VLOOKUP(A163,datos_2024!$B$1:$G$322,4,FALSE),"")</f>
        <v>256</v>
      </c>
    </row>
    <row r="164" spans="1:4">
      <c r="A164" s="3">
        <v>31601</v>
      </c>
      <c r="B164" s="4" t="s">
        <v>169</v>
      </c>
      <c r="C164" s="21">
        <f>IFERROR(VLOOKUP(A164,datos_2016!$B$1:$G$330,4,FALSE),"")</f>
        <v>576</v>
      </c>
      <c r="D164" s="21">
        <f>IFERROR(VLOOKUP(A164,datos_2024!$B$1:$G$322,4,FALSE),"")</f>
        <v>704</v>
      </c>
    </row>
    <row r="165" spans="1:4">
      <c r="A165" s="5">
        <v>31602</v>
      </c>
      <c r="B165" s="6" t="s">
        <v>170</v>
      </c>
      <c r="C165" s="21">
        <f>IFERROR(VLOOKUP(A165,datos_2016!$B$1:$G$330,4,FALSE),"")</f>
        <v>220</v>
      </c>
      <c r="D165" s="21">
        <f>IFERROR(VLOOKUP(A165,datos_2024!$B$1:$G$322,4,FALSE),"")</f>
        <v>244</v>
      </c>
    </row>
    <row r="166" spans="1:4">
      <c r="A166" s="3">
        <v>40101</v>
      </c>
      <c r="B166" s="4" t="s">
        <v>171</v>
      </c>
      <c r="C166" s="21">
        <f>IFERROR(VLOOKUP(A166,datos_2016!$B$1:$G$330,4,FALSE),"")</f>
        <v>4670</v>
      </c>
      <c r="D166" s="21">
        <f>IFERROR(VLOOKUP(A166,datos_2024!$B$1:$G$322,4,FALSE),"")</f>
        <v>8178</v>
      </c>
    </row>
    <row r="167" spans="1:4">
      <c r="A167" s="5">
        <v>40102</v>
      </c>
      <c r="B167" s="6" t="s">
        <v>172</v>
      </c>
      <c r="C167" s="21">
        <f>IFERROR(VLOOKUP(A167,datos_2016!$B$1:$G$330,4,FALSE),"")</f>
        <v>238</v>
      </c>
      <c r="D167" s="21">
        <f>IFERROR(VLOOKUP(A167,datos_2024!$B$1:$G$322,4,FALSE),"")</f>
        <v>792</v>
      </c>
    </row>
    <row r="168" spans="1:4">
      <c r="A168" s="3">
        <v>40103</v>
      </c>
      <c r="B168" s="4" t="s">
        <v>173</v>
      </c>
      <c r="C168" s="21">
        <f>IFERROR(VLOOKUP(A168,datos_2016!$B$1:$G$330,4,FALSE),"")</f>
        <v>23</v>
      </c>
      <c r="D168" s="21">
        <f>IFERROR(VLOOKUP(A168,datos_2024!$B$1:$G$322,4,FALSE),"")</f>
        <v>119</v>
      </c>
    </row>
    <row r="169" spans="1:4">
      <c r="A169" s="5">
        <v>40104</v>
      </c>
      <c r="B169" s="6" t="s">
        <v>174</v>
      </c>
      <c r="C169" s="21">
        <f>IFERROR(VLOOKUP(A169,datos_2016!$B$1:$G$330,4,FALSE),"")</f>
        <v>154</v>
      </c>
      <c r="D169" s="21">
        <f>IFERROR(VLOOKUP(A169,datos_2024!$B$1:$G$322,4,FALSE),"")</f>
        <v>125</v>
      </c>
    </row>
    <row r="170" spans="1:4">
      <c r="A170" s="3">
        <v>40201</v>
      </c>
      <c r="B170" s="4" t="s">
        <v>175</v>
      </c>
      <c r="C170" s="21">
        <f>IFERROR(VLOOKUP(A170,datos_2016!$B$1:$G$330,4,FALSE),"")</f>
        <v>1174</v>
      </c>
      <c r="D170" s="21">
        <f>IFERROR(VLOOKUP(A170,datos_2024!$B$1:$G$322,4,FALSE),"")</f>
        <v>1111</v>
      </c>
    </row>
    <row r="171" spans="1:4">
      <c r="A171" s="5">
        <v>40202</v>
      </c>
      <c r="B171" s="6" t="s">
        <v>176</v>
      </c>
      <c r="C171" s="21">
        <f>IFERROR(VLOOKUP(A171,datos_2016!$B$1:$G$330,4,FALSE),"")</f>
        <v>12</v>
      </c>
      <c r="D171" s="21">
        <f>IFERROR(VLOOKUP(A171,datos_2024!$B$1:$G$322,4,FALSE),"")</f>
        <v>68</v>
      </c>
    </row>
    <row r="172" spans="1:4">
      <c r="A172" s="3">
        <v>40301</v>
      </c>
      <c r="B172" s="4" t="s">
        <v>177</v>
      </c>
      <c r="C172" s="21">
        <f>IFERROR(VLOOKUP(A172,datos_2016!$B$1:$G$330,4,FALSE),"")</f>
        <v>325</v>
      </c>
      <c r="D172" s="21">
        <f>IFERROR(VLOOKUP(A172,datos_2024!$B$1:$G$322,4,FALSE),"")</f>
        <v>723</v>
      </c>
    </row>
    <row r="173" spans="1:4">
      <c r="A173" s="5">
        <v>40302</v>
      </c>
      <c r="B173" s="6" t="s">
        <v>178</v>
      </c>
      <c r="C173" s="21">
        <f>IFERROR(VLOOKUP(A173,datos_2016!$B$1:$G$330,4,FALSE),"")</f>
        <v>67</v>
      </c>
      <c r="D173" s="21">
        <f>IFERROR(VLOOKUP(A173,datos_2024!$B$1:$G$322,4,FALSE),"")</f>
        <v>159</v>
      </c>
    </row>
    <row r="174" spans="1:4">
      <c r="A174" s="3">
        <v>40401</v>
      </c>
      <c r="B174" s="4" t="s">
        <v>179</v>
      </c>
      <c r="C174" s="21">
        <f>IFERROR(VLOOKUP(A174,datos_2016!$B$1:$G$330,4,FALSE),"")</f>
        <v>76</v>
      </c>
      <c r="D174" s="21">
        <f>IFERROR(VLOOKUP(A174,datos_2024!$B$1:$G$322,4,FALSE),"")</f>
        <v>158</v>
      </c>
    </row>
    <row r="175" spans="1:4">
      <c r="A175" s="5">
        <v>40402</v>
      </c>
      <c r="B175" s="6" t="s">
        <v>180</v>
      </c>
      <c r="C175" s="21">
        <f>IFERROR(VLOOKUP(A175,datos_2016!$B$1:$G$330,4,FALSE),"")</f>
        <v>129</v>
      </c>
      <c r="D175" s="21">
        <f>IFERROR(VLOOKUP(A175,datos_2024!$B$1:$G$322,4,FALSE),"")</f>
        <v>128</v>
      </c>
    </row>
    <row r="176" spans="1:4">
      <c r="A176" s="3">
        <v>40501</v>
      </c>
      <c r="B176" s="4" t="s">
        <v>181</v>
      </c>
      <c r="C176" s="21">
        <f>IFERROR(VLOOKUP(A176,datos_2016!$B$1:$G$330,4,FALSE),"")</f>
        <v>124</v>
      </c>
      <c r="D176" s="21">
        <f>IFERROR(VLOOKUP(A176,datos_2024!$B$1:$G$322,4,FALSE),"")</f>
        <v>144</v>
      </c>
    </row>
    <row r="177" spans="1:4">
      <c r="A177" s="5">
        <v>40502</v>
      </c>
      <c r="B177" s="6" t="s">
        <v>182</v>
      </c>
      <c r="C177" s="21">
        <f>IFERROR(VLOOKUP(A177,datos_2016!$B$1:$G$330,4,FALSE),"")</f>
        <v>14</v>
      </c>
      <c r="D177" s="21">
        <f>IFERROR(VLOOKUP(A177,datos_2024!$B$1:$G$322,4,FALSE),"")</f>
        <v>71</v>
      </c>
    </row>
    <row r="178" spans="1:4">
      <c r="A178" s="3">
        <v>40503</v>
      </c>
      <c r="B178" s="4" t="s">
        <v>183</v>
      </c>
      <c r="C178" s="21">
        <f>IFERROR(VLOOKUP(A178,datos_2016!$B$1:$G$330,4,FALSE),"")</f>
        <v>16</v>
      </c>
      <c r="D178" s="21">
        <f>IFERROR(VLOOKUP(A178,datos_2024!$B$1:$G$322,4,FALSE),"")</f>
        <v>40</v>
      </c>
    </row>
    <row r="179" spans="1:4">
      <c r="A179" s="5">
        <v>40504</v>
      </c>
      <c r="B179" s="6" t="s">
        <v>184</v>
      </c>
      <c r="C179" s="21">
        <f>IFERROR(VLOOKUP(A179,datos_2016!$B$1:$G$330,4,FALSE),"")</f>
        <v>1</v>
      </c>
      <c r="D179" s="21">
        <f>IFERROR(VLOOKUP(A179,datos_2024!$B$1:$G$322,4,FALSE),"")</f>
        <v>13</v>
      </c>
    </row>
    <row r="180" spans="1:4">
      <c r="A180" s="3">
        <v>40505</v>
      </c>
      <c r="B180" s="4" t="s">
        <v>185</v>
      </c>
      <c r="C180" s="21">
        <f>IFERROR(VLOOKUP(A180,datos_2016!$B$1:$G$330,4,FALSE),"")</f>
        <v>25</v>
      </c>
      <c r="D180" s="21">
        <f>IFERROR(VLOOKUP(A180,datos_2024!$B$1:$G$322,4,FALSE),"")</f>
        <v>48</v>
      </c>
    </row>
    <row r="181" spans="1:4">
      <c r="A181" s="5">
        <v>40601</v>
      </c>
      <c r="B181" s="6" t="s">
        <v>186</v>
      </c>
      <c r="C181" s="21">
        <f>IFERROR(VLOOKUP(A181,datos_2016!$B$1:$G$330,4,FALSE),"")</f>
        <v>45</v>
      </c>
      <c r="D181" s="21">
        <f>IFERROR(VLOOKUP(A181,datos_2024!$B$1:$G$322,4,FALSE),"")</f>
        <v>218</v>
      </c>
    </row>
    <row r="182" spans="1:4">
      <c r="A182" s="3">
        <v>40602</v>
      </c>
      <c r="B182" s="4" t="s">
        <v>187</v>
      </c>
      <c r="C182" s="21">
        <f>IFERROR(VLOOKUP(A182,datos_2016!$B$1:$G$330,4,FALSE),"")</f>
        <v>67</v>
      </c>
      <c r="D182" s="21">
        <f>IFERROR(VLOOKUP(A182,datos_2024!$B$1:$G$322,4,FALSE),"")</f>
        <v>0</v>
      </c>
    </row>
    <row r="183" spans="1:4">
      <c r="A183" s="5">
        <v>40603</v>
      </c>
      <c r="B183" s="6" t="s">
        <v>188</v>
      </c>
      <c r="C183" s="21">
        <f>IFERROR(VLOOKUP(A183,datos_2016!$B$1:$G$330,4,FALSE),"")</f>
        <v>1</v>
      </c>
      <c r="D183" s="21">
        <f>IFERROR(VLOOKUP(A183,datos_2024!$B$1:$G$322,4,FALSE),"")</f>
        <v>87</v>
      </c>
    </row>
    <row r="184" spans="1:4">
      <c r="A184" s="3">
        <v>40701</v>
      </c>
      <c r="B184" s="4" t="s">
        <v>189</v>
      </c>
      <c r="C184" s="21">
        <f>IFERROR(VLOOKUP(A184,datos_2016!$B$1:$G$330,4,FALSE),"")</f>
        <v>479</v>
      </c>
      <c r="D184" s="21">
        <f>IFERROR(VLOOKUP(A184,datos_2024!$B$1:$G$322,4,FALSE),"")</f>
        <v>492</v>
      </c>
    </row>
    <row r="185" spans="1:4">
      <c r="A185" s="5">
        <v>40702</v>
      </c>
      <c r="B185" s="6" t="s">
        <v>190</v>
      </c>
      <c r="C185" s="21">
        <f>IFERROR(VLOOKUP(A185,datos_2016!$B$1:$G$330,4,FALSE),"")</f>
        <v>93</v>
      </c>
      <c r="D185" s="21">
        <f>IFERROR(VLOOKUP(A185,datos_2024!$B$1:$G$322,4,FALSE),"")</f>
        <v>161</v>
      </c>
    </row>
    <row r="186" spans="1:4">
      <c r="A186" s="3">
        <v>40801</v>
      </c>
      <c r="B186" s="4" t="s">
        <v>191</v>
      </c>
      <c r="C186" s="21">
        <f>IFERROR(VLOOKUP(A186,datos_2016!$B$1:$G$330,4,FALSE),"")</f>
        <v>1174</v>
      </c>
      <c r="D186" s="21">
        <f>IFERROR(VLOOKUP(A186,datos_2024!$B$1:$G$322,4,FALSE),"")</f>
        <v>552</v>
      </c>
    </row>
    <row r="187" spans="1:4">
      <c r="A187" s="5">
        <v>40802</v>
      </c>
      <c r="B187" s="6" t="s">
        <v>192</v>
      </c>
      <c r="C187" s="21">
        <f>IFERROR(VLOOKUP(A187,datos_2016!$B$1:$G$330,4,FALSE),"")</f>
        <v>60</v>
      </c>
      <c r="D187" s="21">
        <f>IFERROR(VLOOKUP(A187,datos_2024!$B$1:$G$322,4,FALSE),"")</f>
        <v>79</v>
      </c>
    </row>
    <row r="188" spans="1:4">
      <c r="A188" s="3">
        <v>40901</v>
      </c>
      <c r="B188" s="4" t="s">
        <v>193</v>
      </c>
      <c r="C188" s="21">
        <f>IFERROR(VLOOKUP(A188,datos_2016!$B$1:$G$330,4,FALSE),"")</f>
        <v>175</v>
      </c>
      <c r="D188" s="21">
        <f>IFERROR(VLOOKUP(A188,datos_2024!$B$1:$G$322,4,FALSE),"")</f>
        <v>245</v>
      </c>
    </row>
    <row r="189" spans="1:4">
      <c r="A189" s="5">
        <v>40902</v>
      </c>
      <c r="B189" s="6" t="s">
        <v>194</v>
      </c>
      <c r="C189" s="21">
        <f>IFERROR(VLOOKUP(A189,datos_2016!$B$1:$G$330,4,FALSE),"")</f>
        <v>19</v>
      </c>
      <c r="D189" s="21">
        <f>IFERROR(VLOOKUP(A189,datos_2024!$B$1:$G$322,4,FALSE),"")</f>
        <v>31</v>
      </c>
    </row>
    <row r="190" spans="1:4">
      <c r="A190" s="3">
        <v>40903</v>
      </c>
      <c r="B190" s="4" t="s">
        <v>195</v>
      </c>
      <c r="C190" s="21">
        <f>IFERROR(VLOOKUP(A190,datos_2016!$B$1:$G$330,4,FALSE),"")</f>
        <v>61</v>
      </c>
      <c r="D190" s="21">
        <f>IFERROR(VLOOKUP(A190,datos_2024!$B$1:$G$322,4,FALSE),"")</f>
        <v>67</v>
      </c>
    </row>
    <row r="191" spans="1:4">
      <c r="A191" s="5">
        <v>41001</v>
      </c>
      <c r="B191" s="6" t="s">
        <v>196</v>
      </c>
      <c r="C191" s="21">
        <f>IFERROR(VLOOKUP(A191,datos_2016!$B$1:$G$330,4,FALSE),"")</f>
        <v>79</v>
      </c>
      <c r="D191" s="21">
        <f>IFERROR(VLOOKUP(A191,datos_2024!$B$1:$G$322,4,FALSE),"")</f>
        <v>462</v>
      </c>
    </row>
    <row r="192" spans="1:4">
      <c r="A192" s="3">
        <v>41101</v>
      </c>
      <c r="B192" s="4" t="s">
        <v>197</v>
      </c>
      <c r="C192" s="21">
        <f>IFERROR(VLOOKUP(A192,datos_2016!$B$1:$G$330,4,FALSE),"")</f>
        <v>0</v>
      </c>
      <c r="D192" s="21">
        <f>IFERROR(VLOOKUP(A192,datos_2024!$B$1:$G$322,4,FALSE),"")</f>
        <v>132</v>
      </c>
    </row>
    <row r="193" spans="1:4">
      <c r="A193" s="5">
        <v>41201</v>
      </c>
      <c r="B193" s="6" t="s">
        <v>198</v>
      </c>
      <c r="C193" s="21">
        <f>IFERROR(VLOOKUP(A193,datos_2016!$B$1:$G$330,4,FALSE),"")</f>
        <v>285</v>
      </c>
      <c r="D193" s="21">
        <f>IFERROR(VLOOKUP(A193,datos_2024!$B$1:$G$322,4,FALSE),"")</f>
        <v>472</v>
      </c>
    </row>
    <row r="194" spans="1:4">
      <c r="A194" s="3">
        <v>41202</v>
      </c>
      <c r="B194" s="4" t="s">
        <v>199</v>
      </c>
      <c r="C194" s="21">
        <f>IFERROR(VLOOKUP(A194,datos_2016!$B$1:$G$330,4,FALSE),"")</f>
        <v>117</v>
      </c>
      <c r="D194" s="21">
        <f>IFERROR(VLOOKUP(A194,datos_2024!$B$1:$G$322,4,FALSE),"")</f>
        <v>0</v>
      </c>
    </row>
    <row r="195" spans="1:4">
      <c r="A195" s="5">
        <v>41301</v>
      </c>
      <c r="B195" s="6" t="s">
        <v>200</v>
      </c>
      <c r="C195" s="21">
        <f>IFERROR(VLOOKUP(A195,datos_2016!$B$1:$G$330,4,FALSE),"")</f>
        <v>11</v>
      </c>
      <c r="D195" s="21">
        <f>IFERROR(VLOOKUP(A195,datos_2024!$B$1:$G$322,4,FALSE),"")</f>
        <v>145</v>
      </c>
    </row>
    <row r="196" spans="1:4">
      <c r="A196" s="3">
        <v>41401</v>
      </c>
      <c r="B196" s="4" t="s">
        <v>201</v>
      </c>
      <c r="C196" s="21">
        <f>IFERROR(VLOOKUP(A196,datos_2016!$B$1:$G$330,4,FALSE),"")</f>
        <v>201</v>
      </c>
      <c r="D196" s="21">
        <f>IFERROR(VLOOKUP(A196,datos_2024!$B$1:$G$322,4,FALSE),"")</f>
        <v>280</v>
      </c>
    </row>
    <row r="197" spans="1:4">
      <c r="A197" s="5">
        <v>41501</v>
      </c>
      <c r="B197" s="6" t="s">
        <v>202</v>
      </c>
      <c r="C197" s="21">
        <f>IFERROR(VLOOKUP(A197,datos_2016!$B$1:$G$330,4,FALSE),"")</f>
        <v>0</v>
      </c>
      <c r="D197" s="21">
        <f>IFERROR(VLOOKUP(A197,datos_2024!$B$1:$G$322,4,FALSE),"")</f>
        <v>29</v>
      </c>
    </row>
    <row r="198" spans="1:4">
      <c r="A198" s="3">
        <v>41502</v>
      </c>
      <c r="B198" s="4" t="s">
        <v>203</v>
      </c>
      <c r="C198" s="21">
        <f>IFERROR(VLOOKUP(A198,datos_2016!$B$1:$G$330,4,FALSE),"")</f>
        <v>0</v>
      </c>
      <c r="D198" s="21">
        <f>IFERROR(VLOOKUP(A198,datos_2024!$B$1:$G$322,4,FALSE),"")</f>
        <v>33</v>
      </c>
    </row>
    <row r="199" spans="1:4">
      <c r="A199" s="5">
        <v>41503</v>
      </c>
      <c r="B199" s="6" t="s">
        <v>204</v>
      </c>
      <c r="C199" s="21">
        <f>IFERROR(VLOOKUP(A199,datos_2016!$B$1:$G$330,4,FALSE),"")</f>
        <v>0</v>
      </c>
      <c r="D199" s="21">
        <f>IFERROR(VLOOKUP(A199,datos_2024!$B$1:$G$322,4,FALSE),"")</f>
        <v>158</v>
      </c>
    </row>
    <row r="200" spans="1:4">
      <c r="A200" s="3">
        <v>41601</v>
      </c>
      <c r="B200" s="4" t="s">
        <v>205</v>
      </c>
      <c r="C200" s="21">
        <f>IFERROR(VLOOKUP(A200,datos_2016!$B$1:$G$330,4,FALSE),"")</f>
        <v>40</v>
      </c>
      <c r="D200" s="21">
        <f>IFERROR(VLOOKUP(A200,datos_2024!$B$1:$G$322,4,FALSE),"")</f>
        <v>354</v>
      </c>
    </row>
    <row r="201" spans="1:4">
      <c r="A201" s="5">
        <v>50101</v>
      </c>
      <c r="B201" s="6" t="s">
        <v>206</v>
      </c>
      <c r="C201" s="21">
        <f>IFERROR(VLOOKUP(A201,datos_2016!$B$1:$G$330,4,FALSE),"")</f>
        <v>1630</v>
      </c>
      <c r="D201" s="21">
        <f>IFERROR(VLOOKUP(A201,datos_2024!$B$1:$G$322,4,FALSE),"")</f>
        <v>3657</v>
      </c>
    </row>
    <row r="202" spans="1:4">
      <c r="A202" s="3">
        <v>50102</v>
      </c>
      <c r="B202" s="4" t="s">
        <v>207</v>
      </c>
      <c r="C202" s="21">
        <f>IFERROR(VLOOKUP(A202,datos_2016!$B$1:$G$330,4,FALSE),"")</f>
        <v>745</v>
      </c>
      <c r="D202" s="21">
        <f>IFERROR(VLOOKUP(A202,datos_2024!$B$1:$G$322,4,FALSE),"")</f>
        <v>1267</v>
      </c>
    </row>
    <row r="203" spans="1:4">
      <c r="A203" s="5">
        <v>50103</v>
      </c>
      <c r="B203" s="6" t="s">
        <v>208</v>
      </c>
      <c r="C203" s="21">
        <f>IFERROR(VLOOKUP(A203,datos_2016!$B$1:$G$330,4,FALSE),"")</f>
        <v>314</v>
      </c>
      <c r="D203" s="21">
        <f>IFERROR(VLOOKUP(A203,datos_2024!$B$1:$G$322,4,FALSE),"")</f>
        <v>500</v>
      </c>
    </row>
    <row r="204" spans="1:4">
      <c r="A204" s="3">
        <v>50104</v>
      </c>
      <c r="B204" s="4" t="s">
        <v>209</v>
      </c>
      <c r="C204" s="21">
        <f>IFERROR(VLOOKUP(A204,datos_2016!$B$1:$G$330,4,FALSE),"")</f>
        <v>98</v>
      </c>
      <c r="D204" s="21">
        <f>IFERROR(VLOOKUP(A204,datos_2024!$B$1:$G$322,4,FALSE),"")</f>
        <v>128</v>
      </c>
    </row>
    <row r="205" spans="1:4">
      <c r="A205" s="5">
        <v>50201</v>
      </c>
      <c r="B205" s="6" t="s">
        <v>210</v>
      </c>
      <c r="C205" s="21">
        <f>IFERROR(VLOOKUP(A205,datos_2016!$B$1:$G$330,4,FALSE),"")</f>
        <v>0</v>
      </c>
      <c r="D205" s="21">
        <f>IFERROR(VLOOKUP(A205,datos_2024!$B$1:$G$322,4,FALSE),"")</f>
        <v>0</v>
      </c>
    </row>
    <row r="206" spans="1:4">
      <c r="A206" s="3">
        <v>50202</v>
      </c>
      <c r="B206" s="4" t="s">
        <v>211</v>
      </c>
      <c r="C206" s="21">
        <f>IFERROR(VLOOKUP(A206,datos_2016!$B$1:$G$330,4,FALSE),"")</f>
        <v>331</v>
      </c>
      <c r="D206" s="21">
        <f>IFERROR(VLOOKUP(A206,datos_2024!$B$1:$G$322,4,FALSE),"")</f>
        <v>439</v>
      </c>
    </row>
    <row r="207" spans="1:4">
      <c r="A207" s="5">
        <v>50203</v>
      </c>
      <c r="B207" s="6" t="s">
        <v>212</v>
      </c>
      <c r="C207" s="21">
        <f>IFERROR(VLOOKUP(A207,datos_2016!$B$1:$G$330,4,FALSE),"")</f>
        <v>270</v>
      </c>
      <c r="D207" s="21">
        <f>IFERROR(VLOOKUP(A207,datos_2024!$B$1:$G$322,4,FALSE),"")</f>
        <v>505</v>
      </c>
    </row>
    <row r="208" spans="1:4">
      <c r="A208" s="3">
        <v>50204</v>
      </c>
      <c r="B208" s="4" t="s">
        <v>213</v>
      </c>
      <c r="C208" s="21" t="str">
        <f>IFERROR(VLOOKUP(A208,datos_2016!$B$1:$G$330,4,FALSE),"")</f>
        <v/>
      </c>
      <c r="D208" s="21" t="str">
        <f>IFERROR(VLOOKUP(A208,datos_2024!$B$1:$G$322,4,FALSE),"")</f>
        <v/>
      </c>
    </row>
    <row r="209" spans="1:4">
      <c r="A209" s="5">
        <v>50301</v>
      </c>
      <c r="B209" s="6" t="s">
        <v>214</v>
      </c>
      <c r="C209" s="21">
        <f>IFERROR(VLOOKUP(A209,datos_2016!$B$1:$G$330,4,FALSE),"")</f>
        <v>846</v>
      </c>
      <c r="D209" s="21">
        <f>IFERROR(VLOOKUP(A209,datos_2024!$B$1:$G$322,4,FALSE),"")</f>
        <v>1302</v>
      </c>
    </row>
    <row r="210" spans="1:4">
      <c r="A210" s="3">
        <v>50302</v>
      </c>
      <c r="B210" s="4" t="s">
        <v>215</v>
      </c>
      <c r="C210" s="21">
        <f>IFERROR(VLOOKUP(A210,datos_2016!$B$1:$G$330,4,FALSE),"")</f>
        <v>270</v>
      </c>
      <c r="D210" s="21">
        <f>IFERROR(VLOOKUP(A210,datos_2024!$B$1:$G$322,4,FALSE),"")</f>
        <v>643</v>
      </c>
    </row>
    <row r="211" spans="1:4">
      <c r="A211" s="5">
        <v>50303</v>
      </c>
      <c r="B211" s="6" t="s">
        <v>216</v>
      </c>
      <c r="C211" s="21">
        <f>IFERROR(VLOOKUP(A211,datos_2016!$B$1:$G$330,4,FALSE),"")</f>
        <v>20</v>
      </c>
      <c r="D211" s="21">
        <f>IFERROR(VLOOKUP(A211,datos_2024!$B$1:$G$322,4,FALSE),"")</f>
        <v>54</v>
      </c>
    </row>
    <row r="212" spans="1:4">
      <c r="A212" s="12">
        <v>50401</v>
      </c>
      <c r="B212" s="13" t="s">
        <v>217</v>
      </c>
      <c r="C212" s="21">
        <f>IFERROR(VLOOKUP(A212,datos_2016!$B$1:$G$330,4,FALSE),"")</f>
        <v>537</v>
      </c>
      <c r="D212" s="21">
        <f>IFERROR(VLOOKUP(A212,datos_2024!$B$1:$G$322,4,FALSE),"")</f>
        <v>503</v>
      </c>
    </row>
    <row r="213" spans="1:4">
      <c r="A213" s="5">
        <v>50402</v>
      </c>
      <c r="B213" s="6" t="s">
        <v>218</v>
      </c>
      <c r="C213" s="21">
        <f>IFERROR(VLOOKUP(A213,datos_2016!$B$1:$G$330,4,FALSE),"")</f>
        <v>359</v>
      </c>
      <c r="D213" s="21">
        <f>IFERROR(VLOOKUP(A213,datos_2024!$B$1:$G$322,4,FALSE),"")</f>
        <v>296</v>
      </c>
    </row>
    <row r="214" spans="1:4">
      <c r="A214" s="3">
        <v>50403</v>
      </c>
      <c r="B214" s="4" t="s">
        <v>219</v>
      </c>
      <c r="C214" s="21">
        <f>IFERROR(VLOOKUP(A214,datos_2016!$B$1:$G$330,4,FALSE),"")</f>
        <v>786</v>
      </c>
      <c r="D214" s="21">
        <f>IFERROR(VLOOKUP(A214,datos_2024!$B$1:$G$322,4,FALSE),"")</f>
        <v>1064</v>
      </c>
    </row>
    <row r="215" spans="1:4">
      <c r="A215" s="5">
        <v>50404</v>
      </c>
      <c r="B215" s="6" t="s">
        <v>220</v>
      </c>
      <c r="C215" s="21">
        <f>IFERROR(VLOOKUP(A215,datos_2016!$B$1:$G$330,4,FALSE),"")</f>
        <v>296</v>
      </c>
      <c r="D215" s="21">
        <f>IFERROR(VLOOKUP(A215,datos_2024!$B$1:$G$322,4,FALSE),"")</f>
        <v>210</v>
      </c>
    </row>
    <row r="216" spans="1:4">
      <c r="A216" s="3">
        <v>50405</v>
      </c>
      <c r="B216" s="4" t="s">
        <v>221</v>
      </c>
      <c r="C216" s="21" t="str">
        <f>IFERROR(VLOOKUP(A216,datos_2016!$B$1:$G$330,4,FALSE),"")</f>
        <v/>
      </c>
      <c r="D216" s="21">
        <f>IFERROR(VLOOKUP(A216,datos_2024!$B$1:$G$322,4,FALSE),"")</f>
        <v>795</v>
      </c>
    </row>
    <row r="217" spans="1:4">
      <c r="A217" s="5">
        <v>50501</v>
      </c>
      <c r="B217" s="6" t="s">
        <v>222</v>
      </c>
      <c r="C217" s="21">
        <f>IFERROR(VLOOKUP(A217,datos_2016!$B$1:$G$330,4,FALSE),"")</f>
        <v>306</v>
      </c>
      <c r="D217" s="21">
        <f>IFERROR(VLOOKUP(A217,datos_2024!$B$1:$G$322,4,FALSE),"")</f>
        <v>411</v>
      </c>
    </row>
    <row r="218" spans="1:4">
      <c r="A218" s="3">
        <v>50502</v>
      </c>
      <c r="B218" s="4" t="s">
        <v>223</v>
      </c>
      <c r="C218" s="21">
        <f>IFERROR(VLOOKUP(A218,datos_2016!$B$1:$G$330,4,FALSE),"")</f>
        <v>426</v>
      </c>
      <c r="D218" s="21">
        <f>IFERROR(VLOOKUP(A218,datos_2024!$B$1:$G$322,4,FALSE),"")</f>
        <v>415</v>
      </c>
    </row>
    <row r="219" spans="1:4">
      <c r="A219" s="5">
        <v>50601</v>
      </c>
      <c r="B219" s="6" t="s">
        <v>224</v>
      </c>
      <c r="C219" s="21">
        <f>IFERROR(VLOOKUP(A219,datos_2016!$B$1:$G$330,4,FALSE),"")</f>
        <v>1005</v>
      </c>
      <c r="D219" s="21">
        <f>IFERROR(VLOOKUP(A219,datos_2024!$B$1:$G$322,4,FALSE),"")</f>
        <v>833</v>
      </c>
    </row>
    <row r="220" spans="1:4">
      <c r="A220" s="3">
        <v>50602</v>
      </c>
      <c r="B220" s="4" t="s">
        <v>225</v>
      </c>
      <c r="C220" s="21">
        <f>IFERROR(VLOOKUP(A220,datos_2016!$B$1:$G$330,4,FALSE),"")</f>
        <v>457</v>
      </c>
      <c r="D220" s="21">
        <f>IFERROR(VLOOKUP(A220,datos_2024!$B$1:$G$322,4,FALSE),"")</f>
        <v>78</v>
      </c>
    </row>
    <row r="221" spans="1:4">
      <c r="A221" s="5">
        <v>50701</v>
      </c>
      <c r="B221" s="6" t="s">
        <v>226</v>
      </c>
      <c r="C221" s="21">
        <f>IFERROR(VLOOKUP(A221,datos_2016!$B$1:$G$330,4,FALSE),"")</f>
        <v>448</v>
      </c>
      <c r="D221" s="21">
        <f>IFERROR(VLOOKUP(A221,datos_2024!$B$1:$G$322,4,FALSE),"")</f>
        <v>515</v>
      </c>
    </row>
    <row r="222" spans="1:4">
      <c r="A222" s="3">
        <v>50702</v>
      </c>
      <c r="B222" s="4" t="s">
        <v>227</v>
      </c>
      <c r="C222" s="21">
        <f>IFERROR(VLOOKUP(A222,datos_2016!$B$1:$G$330,4,FALSE),"")</f>
        <v>131</v>
      </c>
      <c r="D222" s="21">
        <f>IFERROR(VLOOKUP(A222,datos_2024!$B$1:$G$322,4,FALSE),"")</f>
        <v>313</v>
      </c>
    </row>
    <row r="223" spans="1:4">
      <c r="A223" s="5">
        <v>50801</v>
      </c>
      <c r="B223" s="6" t="s">
        <v>228</v>
      </c>
      <c r="C223" s="21">
        <f>IFERROR(VLOOKUP(A223,datos_2016!$B$1:$G$330,4,FALSE),"")</f>
        <v>1451</v>
      </c>
      <c r="D223" s="21">
        <f>IFERROR(VLOOKUP(A223,datos_2024!$B$1:$G$322,4,FALSE),"")</f>
        <v>1128</v>
      </c>
    </row>
    <row r="224" spans="1:4">
      <c r="A224" s="3">
        <v>50802</v>
      </c>
      <c r="B224" s="4" t="s">
        <v>229</v>
      </c>
      <c r="C224" s="21">
        <f>IFERROR(VLOOKUP(A224,datos_2016!$B$1:$G$330,4,FALSE),"")</f>
        <v>152</v>
      </c>
      <c r="D224" s="21">
        <f>IFERROR(VLOOKUP(A224,datos_2024!$B$1:$G$322,4,FALSE),"")</f>
        <v>138</v>
      </c>
    </row>
    <row r="225" spans="1:4">
      <c r="A225" s="5">
        <v>50901</v>
      </c>
      <c r="B225" s="6" t="s">
        <v>230</v>
      </c>
      <c r="C225" s="21">
        <f>IFERROR(VLOOKUP(A225,datos_2016!$B$1:$G$330,4,FALSE),"")</f>
        <v>265</v>
      </c>
      <c r="D225" s="21">
        <f>IFERROR(VLOOKUP(A225,datos_2024!$B$1:$G$322,4,FALSE),"")</f>
        <v>501</v>
      </c>
    </row>
    <row r="226" spans="1:4">
      <c r="A226" s="3">
        <v>50902</v>
      </c>
      <c r="B226" s="4" t="s">
        <v>231</v>
      </c>
      <c r="C226" s="21">
        <f>IFERROR(VLOOKUP(A226,datos_2016!$B$1:$G$330,4,FALSE),"")</f>
        <v>117</v>
      </c>
      <c r="D226" s="21">
        <f>IFERROR(VLOOKUP(A226,datos_2024!$B$1:$G$322,4,FALSE),"")</f>
        <v>48</v>
      </c>
    </row>
    <row r="227" spans="1:4">
      <c r="A227" s="5">
        <v>51001</v>
      </c>
      <c r="B227" s="6" t="s">
        <v>232</v>
      </c>
      <c r="C227" s="21">
        <f>IFERROR(VLOOKUP(A227,datos_2016!$B$1:$G$330,4,FALSE),"")</f>
        <v>90</v>
      </c>
      <c r="D227" s="21">
        <f>IFERROR(VLOOKUP(A227,datos_2024!$B$1:$G$322,4,FALSE),"")</f>
        <v>84</v>
      </c>
    </row>
    <row r="228" spans="1:4">
      <c r="A228" s="3">
        <v>51002</v>
      </c>
      <c r="B228" s="4" t="s">
        <v>233</v>
      </c>
      <c r="C228" s="21" t="str">
        <f>IFERROR(VLOOKUP(A228,datos_2016!$B$1:$G$330,4,FALSE),"")</f>
        <v/>
      </c>
      <c r="D228" s="21">
        <f>IFERROR(VLOOKUP(A228,datos_2024!$B$1:$G$322,4,FALSE),"")</f>
        <v>5</v>
      </c>
    </row>
    <row r="229" spans="1:4">
      <c r="A229" s="5">
        <v>51003</v>
      </c>
      <c r="B229" s="6" t="s">
        <v>234</v>
      </c>
      <c r="C229" s="21">
        <f>IFERROR(VLOOKUP(A229,datos_2016!$B$1:$G$330,4,FALSE),"")</f>
        <v>14</v>
      </c>
      <c r="D229" s="21">
        <f>IFERROR(VLOOKUP(A229,datos_2024!$B$1:$G$322,4,FALSE),"")</f>
        <v>53</v>
      </c>
    </row>
    <row r="230" spans="1:4">
      <c r="A230" s="3">
        <v>51101</v>
      </c>
      <c r="B230" s="4" t="s">
        <v>235</v>
      </c>
      <c r="C230" s="21">
        <f>IFERROR(VLOOKUP(A230,datos_2016!$B$1:$G$330,4,FALSE),"")</f>
        <v>499</v>
      </c>
      <c r="D230" s="21">
        <f>IFERROR(VLOOKUP(A230,datos_2024!$B$1:$G$322,4,FALSE),"")</f>
        <v>1313</v>
      </c>
    </row>
    <row r="231" spans="1:4">
      <c r="A231" s="5">
        <v>51102</v>
      </c>
      <c r="B231" s="6" t="s">
        <v>236</v>
      </c>
      <c r="C231" s="21">
        <f>IFERROR(VLOOKUP(A231,datos_2016!$B$1:$G$330,4,FALSE),"")</f>
        <v>388</v>
      </c>
      <c r="D231" s="21">
        <f>IFERROR(VLOOKUP(A231,datos_2024!$B$1:$G$322,4,FALSE),"")</f>
        <v>565</v>
      </c>
    </row>
    <row r="232" spans="1:4">
      <c r="A232" s="3">
        <v>51103</v>
      </c>
      <c r="B232" s="4" t="s">
        <v>237</v>
      </c>
      <c r="C232" s="21">
        <f>IFERROR(VLOOKUP(A232,datos_2016!$B$1:$G$330,4,FALSE),"")</f>
        <v>266</v>
      </c>
      <c r="D232" s="21">
        <f>IFERROR(VLOOKUP(A232,datos_2024!$B$1:$G$322,4,FALSE),"")</f>
        <v>364</v>
      </c>
    </row>
    <row r="233" spans="1:4">
      <c r="A233" s="5">
        <v>51201</v>
      </c>
      <c r="B233" s="6" t="s">
        <v>238</v>
      </c>
      <c r="C233" s="21">
        <f>IFERROR(VLOOKUP(A233,datos_2016!$B$1:$G$330,4,FALSE),"")</f>
        <v>658</v>
      </c>
      <c r="D233" s="21">
        <f>IFERROR(VLOOKUP(A233,datos_2024!$B$1:$G$322,4,FALSE),"")</f>
        <v>1146</v>
      </c>
    </row>
    <row r="234" spans="1:4">
      <c r="A234" s="3">
        <v>51202</v>
      </c>
      <c r="B234" s="4" t="s">
        <v>239</v>
      </c>
      <c r="C234" s="21">
        <f>IFERROR(VLOOKUP(A234,datos_2016!$B$1:$G$330,4,FALSE),"")</f>
        <v>284</v>
      </c>
      <c r="D234" s="21">
        <f>IFERROR(VLOOKUP(A234,datos_2024!$B$1:$G$322,4,FALSE),"")</f>
        <v>629</v>
      </c>
    </row>
    <row r="235" spans="1:4">
      <c r="A235" s="5">
        <v>51203</v>
      </c>
      <c r="B235" s="6" t="s">
        <v>240</v>
      </c>
      <c r="C235" s="21">
        <f>IFERROR(VLOOKUP(A235,datos_2016!$B$1:$G$330,4,FALSE),"")</f>
        <v>90</v>
      </c>
      <c r="D235" s="21">
        <f>IFERROR(VLOOKUP(A235,datos_2024!$B$1:$G$322,4,FALSE),"")</f>
        <v>405</v>
      </c>
    </row>
    <row r="236" spans="1:4">
      <c r="A236" s="3">
        <v>51204</v>
      </c>
      <c r="B236" s="4" t="s">
        <v>241</v>
      </c>
      <c r="C236" s="21" t="str">
        <f>IFERROR(VLOOKUP(A236,datos_2016!$B$1:$G$330,4,FALSE),"")</f>
        <v/>
      </c>
      <c r="D236" s="21" t="str">
        <f>IFERROR(VLOOKUP(A236,datos_2024!$B$1:$G$322,4,FALSE),"")</f>
        <v/>
      </c>
    </row>
    <row r="237" spans="1:4">
      <c r="A237" s="5">
        <v>51301</v>
      </c>
      <c r="B237" s="6" t="s">
        <v>242</v>
      </c>
      <c r="C237" s="21">
        <f>IFERROR(VLOOKUP(A237,datos_2016!$B$1:$G$330,4,FALSE),"")</f>
        <v>133</v>
      </c>
      <c r="D237" s="21">
        <f>IFERROR(VLOOKUP(A237,datos_2024!$B$1:$G$322,4,FALSE),"")</f>
        <v>72</v>
      </c>
    </row>
    <row r="238" spans="1:4">
      <c r="A238" s="3">
        <v>51302</v>
      </c>
      <c r="B238" s="4" t="s">
        <v>243</v>
      </c>
      <c r="C238" s="21">
        <f>IFERROR(VLOOKUP(A238,datos_2016!$B$1:$G$330,4,FALSE),"")</f>
        <v>209</v>
      </c>
      <c r="D238" s="21">
        <f>IFERROR(VLOOKUP(A238,datos_2024!$B$1:$G$322,4,FALSE),"")</f>
        <v>203</v>
      </c>
    </row>
    <row r="239" spans="1:4">
      <c r="A239" s="5">
        <v>51401</v>
      </c>
      <c r="B239" s="6" t="s">
        <v>244</v>
      </c>
      <c r="C239" s="21">
        <f>IFERROR(VLOOKUP(A239,datos_2016!$B$1:$G$330,4,FALSE),"")</f>
        <v>305</v>
      </c>
      <c r="D239" s="21">
        <f>IFERROR(VLOOKUP(A239,datos_2024!$B$1:$G$322,4,FALSE),"")</f>
        <v>451</v>
      </c>
    </row>
    <row r="240" spans="1:4">
      <c r="A240" s="3">
        <v>51402</v>
      </c>
      <c r="B240" s="4" t="s">
        <v>245</v>
      </c>
      <c r="C240" s="21">
        <f>IFERROR(VLOOKUP(A240,datos_2016!$B$1:$G$330,4,FALSE),"")</f>
        <v>173</v>
      </c>
      <c r="D240" s="21">
        <f>IFERROR(VLOOKUP(A240,datos_2024!$B$1:$G$322,4,FALSE),"")</f>
        <v>170</v>
      </c>
    </row>
    <row r="241" spans="1:4">
      <c r="A241" s="5">
        <v>51501</v>
      </c>
      <c r="B241" s="6" t="s">
        <v>246</v>
      </c>
      <c r="C241" s="21">
        <f>IFERROR(VLOOKUP(A241,datos_2016!$B$1:$G$330,4,FALSE),"")</f>
        <v>392</v>
      </c>
      <c r="D241" s="21">
        <f>IFERROR(VLOOKUP(A241,datos_2024!$B$1:$G$322,4,FALSE),"")</f>
        <v>745</v>
      </c>
    </row>
    <row r="242" spans="1:4">
      <c r="A242" s="3">
        <v>51601</v>
      </c>
      <c r="B242" s="4" t="s">
        <v>247</v>
      </c>
      <c r="C242" s="21">
        <f>IFERROR(VLOOKUP(A242,datos_2016!$B$1:$G$330,4,FALSE),"")</f>
        <v>28</v>
      </c>
      <c r="D242" s="21">
        <f>IFERROR(VLOOKUP(A242,datos_2024!$B$1:$G$322,4,FALSE),"")</f>
        <v>94</v>
      </c>
    </row>
    <row r="243" spans="1:4">
      <c r="A243" s="5">
        <v>60101</v>
      </c>
      <c r="B243" s="6" t="s">
        <v>248</v>
      </c>
      <c r="C243" s="21">
        <f>IFERROR(VLOOKUP(A243,datos_2016!$B$1:$G$330,4,FALSE),"")</f>
        <v>2196</v>
      </c>
      <c r="D243" s="21">
        <f>IFERROR(VLOOKUP(A243,datos_2024!$B$1:$G$322,4,FALSE),"")</f>
        <v>3802</v>
      </c>
    </row>
    <row r="244" spans="1:4">
      <c r="A244" s="3">
        <v>60201</v>
      </c>
      <c r="B244" s="4" t="s">
        <v>249</v>
      </c>
      <c r="C244" s="21">
        <f>IFERROR(VLOOKUP(A244,datos_2016!$B$1:$G$330,4,FALSE),"")</f>
        <v>499</v>
      </c>
      <c r="D244" s="21">
        <f>IFERROR(VLOOKUP(A244,datos_2024!$B$1:$G$322,4,FALSE),"")</f>
        <v>990</v>
      </c>
    </row>
    <row r="245" spans="1:4">
      <c r="A245" s="5">
        <v>60202</v>
      </c>
      <c r="B245" s="6" t="s">
        <v>250</v>
      </c>
      <c r="C245" s="21">
        <f>IFERROR(VLOOKUP(A245,datos_2016!$B$1:$G$330,4,FALSE),"")</f>
        <v>286</v>
      </c>
      <c r="D245" s="21">
        <f>IFERROR(VLOOKUP(A245,datos_2024!$B$1:$G$322,4,FALSE),"")</f>
        <v>424</v>
      </c>
    </row>
    <row r="246" spans="1:4">
      <c r="A246" s="3">
        <v>60301</v>
      </c>
      <c r="B246" s="4" t="s">
        <v>251</v>
      </c>
      <c r="C246" s="21">
        <f>IFERROR(VLOOKUP(A246,datos_2016!$B$1:$G$330,4,FALSE),"")</f>
        <v>582</v>
      </c>
      <c r="D246" s="21">
        <f>IFERROR(VLOOKUP(A246,datos_2024!$B$1:$G$322,4,FALSE),"")</f>
        <v>1144</v>
      </c>
    </row>
    <row r="247" spans="1:4">
      <c r="A247" s="5">
        <v>60302</v>
      </c>
      <c r="B247" s="6" t="s">
        <v>252</v>
      </c>
      <c r="C247" s="21">
        <f>IFERROR(VLOOKUP(A247,datos_2016!$B$1:$G$330,4,FALSE),"")</f>
        <v>216</v>
      </c>
      <c r="D247" s="21">
        <f>IFERROR(VLOOKUP(A247,datos_2024!$B$1:$G$322,4,FALSE),"")</f>
        <v>418</v>
      </c>
    </row>
    <row r="248" spans="1:4">
      <c r="A248" s="3">
        <v>60303</v>
      </c>
      <c r="B248" s="4" t="s">
        <v>253</v>
      </c>
      <c r="C248" s="21">
        <f>IFERROR(VLOOKUP(A248,datos_2016!$B$1:$G$330,4,FALSE),"")</f>
        <v>419</v>
      </c>
      <c r="D248" s="21">
        <f>IFERROR(VLOOKUP(A248,datos_2024!$B$1:$G$322,4,FALSE),"")</f>
        <v>718</v>
      </c>
    </row>
    <row r="249" spans="1:4">
      <c r="A249" s="5">
        <v>60401</v>
      </c>
      <c r="B249" s="6" t="s">
        <v>254</v>
      </c>
      <c r="C249" s="21">
        <f>IFERROR(VLOOKUP(A249,datos_2016!$B$1:$G$330,4,FALSE),"")</f>
        <v>293</v>
      </c>
      <c r="D249" s="21">
        <f>IFERROR(VLOOKUP(A249,datos_2024!$B$1:$G$322,4,FALSE),"")</f>
        <v>517</v>
      </c>
    </row>
    <row r="250" spans="1:4">
      <c r="A250" s="3">
        <v>60402</v>
      </c>
      <c r="B250" s="4" t="s">
        <v>255</v>
      </c>
      <c r="C250" s="21">
        <f>IFERROR(VLOOKUP(A250,datos_2016!$B$1:$G$330,4,FALSE),"")</f>
        <v>51</v>
      </c>
      <c r="D250" s="21">
        <f>IFERROR(VLOOKUP(A250,datos_2024!$B$1:$G$322,4,FALSE),"")</f>
        <v>396</v>
      </c>
    </row>
    <row r="251" spans="1:4">
      <c r="A251" s="5">
        <v>60501</v>
      </c>
      <c r="B251" s="6" t="s">
        <v>256</v>
      </c>
      <c r="C251" s="21">
        <f>IFERROR(VLOOKUP(A251,datos_2016!$B$1:$G$330,4,FALSE),"")</f>
        <v>741</v>
      </c>
      <c r="D251" s="21">
        <f>IFERROR(VLOOKUP(A251,datos_2024!$B$1:$G$322,4,FALSE),"")</f>
        <v>951</v>
      </c>
    </row>
    <row r="252" spans="1:4">
      <c r="A252" s="3">
        <v>60502</v>
      </c>
      <c r="B252" s="4" t="s">
        <v>257</v>
      </c>
      <c r="C252" s="21">
        <f>IFERROR(VLOOKUP(A252,datos_2016!$B$1:$G$330,4,FALSE),"")</f>
        <v>218</v>
      </c>
      <c r="D252" s="21">
        <f>IFERROR(VLOOKUP(A252,datos_2024!$B$1:$G$322,4,FALSE),"")</f>
        <v>555</v>
      </c>
    </row>
    <row r="253" spans="1:4">
      <c r="A253" s="5">
        <v>60601</v>
      </c>
      <c r="B253" s="6" t="s">
        <v>158</v>
      </c>
      <c r="C253" s="21">
        <f>IFERROR(VLOOKUP(A253,datos_2016!$B$1:$G$330,4,FALSE),"")</f>
        <v>385</v>
      </c>
      <c r="D253" s="21">
        <f>IFERROR(VLOOKUP(A253,datos_2024!$B$1:$G$322,4,FALSE),"")</f>
        <v>657</v>
      </c>
    </row>
    <row r="254" spans="1:4">
      <c r="A254" s="3">
        <v>70101</v>
      </c>
      <c r="B254" s="4" t="s">
        <v>258</v>
      </c>
      <c r="C254" s="21">
        <f>IFERROR(VLOOKUP(A254,datos_2016!$B$1:$G$330,4,FALSE),"")</f>
        <v>11653</v>
      </c>
      <c r="D254" s="21">
        <f>IFERROR(VLOOKUP(A254,datos_2024!$B$1:$G$322,4,FALSE),"")</f>
        <v>24601</v>
      </c>
    </row>
    <row r="255" spans="1:4">
      <c r="A255" s="5">
        <v>70102</v>
      </c>
      <c r="B255" s="6" t="s">
        <v>259</v>
      </c>
      <c r="C255" s="21">
        <f>IFERROR(VLOOKUP(A255,datos_2016!$B$1:$G$330,4,FALSE),"")</f>
        <v>913</v>
      </c>
      <c r="D255" s="21">
        <f>IFERROR(VLOOKUP(A255,datos_2024!$B$1:$G$322,4,FALSE),"")</f>
        <v>3009</v>
      </c>
    </row>
    <row r="256" spans="1:4">
      <c r="A256" s="3">
        <v>70103</v>
      </c>
      <c r="B256" s="4" t="s">
        <v>260</v>
      </c>
      <c r="C256" s="21">
        <f>IFERROR(VLOOKUP(A256,datos_2016!$B$1:$G$330,4,FALSE),"")</f>
        <v>283</v>
      </c>
      <c r="D256" s="21">
        <f>IFERROR(VLOOKUP(A256,datos_2024!$B$1:$G$322,4,FALSE),"")</f>
        <v>768</v>
      </c>
    </row>
    <row r="257" spans="1:4">
      <c r="A257" s="5">
        <v>70104</v>
      </c>
      <c r="B257" s="6" t="s">
        <v>261</v>
      </c>
      <c r="C257" s="21">
        <f>IFERROR(VLOOKUP(A257,datos_2016!$B$1:$G$330,4,FALSE),"")</f>
        <v>1003</v>
      </c>
      <c r="D257" s="21">
        <f>IFERROR(VLOOKUP(A257,datos_2024!$B$1:$G$322,4,FALSE),"")</f>
        <v>2584</v>
      </c>
    </row>
    <row r="258" spans="1:4">
      <c r="A258" s="3">
        <v>70105</v>
      </c>
      <c r="B258" s="4" t="s">
        <v>262</v>
      </c>
      <c r="C258" s="21">
        <f>IFERROR(VLOOKUP(A258,datos_2016!$B$1:$G$330,4,FALSE),"")</f>
        <v>434</v>
      </c>
      <c r="D258" s="21">
        <f>IFERROR(VLOOKUP(A258,datos_2024!$B$1:$G$322,4,FALSE),"")</f>
        <v>1116</v>
      </c>
    </row>
    <row r="259" spans="1:4">
      <c r="A259" s="5">
        <v>70201</v>
      </c>
      <c r="B259" s="6" t="s">
        <v>263</v>
      </c>
      <c r="C259" s="21">
        <f>IFERROR(VLOOKUP(A259,datos_2016!$B$1:$G$330,4,FALSE),"")</f>
        <v>1481</v>
      </c>
      <c r="D259" s="21">
        <f>IFERROR(VLOOKUP(A259,datos_2024!$B$1:$G$322,4,FALSE),"")</f>
        <v>4534</v>
      </c>
    </row>
    <row r="260" spans="1:4">
      <c r="A260" s="3">
        <v>70202</v>
      </c>
      <c r="B260" s="4" t="s">
        <v>264</v>
      </c>
      <c r="C260" s="21">
        <f>IFERROR(VLOOKUP(A260,datos_2016!$B$1:$G$330,4,FALSE),"")</f>
        <v>88</v>
      </c>
      <c r="D260" s="21">
        <f>IFERROR(VLOOKUP(A260,datos_2024!$B$1:$G$322,4,FALSE),"")</f>
        <v>250</v>
      </c>
    </row>
    <row r="261" spans="1:4">
      <c r="A261" s="5">
        <v>70301</v>
      </c>
      <c r="B261" s="6" t="s">
        <v>265</v>
      </c>
      <c r="C261" s="21">
        <f>IFERROR(VLOOKUP(A261,datos_2016!$B$1:$G$330,4,FALSE),"")</f>
        <v>233</v>
      </c>
      <c r="D261" s="21">
        <f>IFERROR(VLOOKUP(A261,datos_2024!$B$1:$G$322,4,FALSE),"")</f>
        <v>13</v>
      </c>
    </row>
    <row r="262" spans="1:4">
      <c r="A262" s="3">
        <v>70302</v>
      </c>
      <c r="B262" s="4" t="s">
        <v>266</v>
      </c>
      <c r="C262" s="21">
        <f>IFERROR(VLOOKUP(A262,datos_2016!$B$1:$G$330,4,FALSE),"")</f>
        <v>78</v>
      </c>
      <c r="D262" s="21">
        <f>IFERROR(VLOOKUP(A262,datos_2024!$B$1:$G$322,4,FALSE),"")</f>
        <v>3</v>
      </c>
    </row>
    <row r="263" spans="1:4">
      <c r="A263" s="5">
        <v>70303</v>
      </c>
      <c r="B263" s="6" t="s">
        <v>267</v>
      </c>
      <c r="C263" s="21">
        <f>IFERROR(VLOOKUP(A263,datos_2016!$B$1:$G$330,4,FALSE),"")</f>
        <v>35</v>
      </c>
      <c r="D263" s="21">
        <f>IFERROR(VLOOKUP(A263,datos_2024!$B$1:$G$322,4,FALSE),"")</f>
        <v>2</v>
      </c>
    </row>
    <row r="264" spans="1:4">
      <c r="A264" s="3">
        <v>70401</v>
      </c>
      <c r="B264" s="4" t="s">
        <v>268</v>
      </c>
      <c r="C264" s="21">
        <f>IFERROR(VLOOKUP(A264,datos_2016!$B$1:$G$330,4,FALSE),"")</f>
        <v>185</v>
      </c>
      <c r="D264" s="21">
        <f>IFERROR(VLOOKUP(A264,datos_2024!$B$1:$G$322,4,FALSE),"")</f>
        <v>429</v>
      </c>
    </row>
    <row r="265" spans="1:4">
      <c r="A265" s="5">
        <v>70402</v>
      </c>
      <c r="B265" s="6" t="s">
        <v>269</v>
      </c>
      <c r="C265" s="21">
        <f>IFERROR(VLOOKUP(A265,datos_2016!$B$1:$G$330,4,FALSE),"")</f>
        <v>186</v>
      </c>
      <c r="D265" s="21">
        <f>IFERROR(VLOOKUP(A265,datos_2024!$B$1:$G$322,4,FALSE),"")</f>
        <v>427</v>
      </c>
    </row>
    <row r="266" spans="1:4">
      <c r="A266" s="3">
        <v>70403</v>
      </c>
      <c r="B266" s="4" t="s">
        <v>270</v>
      </c>
      <c r="C266" s="21">
        <f>IFERROR(VLOOKUP(A266,datos_2016!$B$1:$G$330,4,FALSE),"")</f>
        <v>416</v>
      </c>
      <c r="D266" s="21">
        <f>IFERROR(VLOOKUP(A266,datos_2024!$B$1:$G$322,4,FALSE),"")</f>
        <v>1230</v>
      </c>
    </row>
    <row r="267" spans="1:4">
      <c r="A267" s="5">
        <v>70404</v>
      </c>
      <c r="B267" s="6" t="s">
        <v>271</v>
      </c>
      <c r="C267" s="21">
        <f>IFERROR(VLOOKUP(A267,datos_2016!$B$1:$G$330,4,FALSE),"")</f>
        <v>61</v>
      </c>
      <c r="D267" s="21">
        <f>IFERROR(VLOOKUP(A267,datos_2024!$B$1:$G$322,4,FALSE),"")</f>
        <v>191</v>
      </c>
    </row>
    <row r="268" spans="1:4">
      <c r="A268" s="3">
        <v>70501</v>
      </c>
      <c r="B268" s="4" t="s">
        <v>272</v>
      </c>
      <c r="C268" s="21">
        <f>IFERROR(VLOOKUP(A268,datos_2016!$B$1:$G$330,4,FALSE),"")</f>
        <v>123</v>
      </c>
      <c r="D268" s="21">
        <f>IFERROR(VLOOKUP(A268,datos_2024!$B$1:$G$322,4,FALSE),"")</f>
        <v>36</v>
      </c>
    </row>
    <row r="269" spans="1:4">
      <c r="A269" s="5">
        <v>70502</v>
      </c>
      <c r="B269" s="6" t="s">
        <v>273</v>
      </c>
      <c r="C269" s="21">
        <f>IFERROR(VLOOKUP(A269,datos_2016!$B$1:$G$330,4,FALSE),"")</f>
        <v>264</v>
      </c>
      <c r="D269" s="21">
        <f>IFERROR(VLOOKUP(A269,datos_2024!$B$1:$G$322,4,FALSE),"")</f>
        <v>588</v>
      </c>
    </row>
    <row r="270" spans="1:4">
      <c r="A270" s="3">
        <v>70503</v>
      </c>
      <c r="B270" s="4" t="s">
        <v>274</v>
      </c>
      <c r="C270" s="21">
        <f>IFERROR(VLOOKUP(A270,datos_2016!$B$1:$G$330,4,FALSE),"")</f>
        <v>153</v>
      </c>
      <c r="D270" s="21">
        <f>IFERROR(VLOOKUP(A270,datos_2024!$B$1:$G$322,4,FALSE),"")</f>
        <v>37</v>
      </c>
    </row>
    <row r="271" spans="1:4">
      <c r="A271" s="5">
        <v>70601</v>
      </c>
      <c r="B271" s="6" t="s">
        <v>275</v>
      </c>
      <c r="C271" s="21">
        <f>IFERROR(VLOOKUP(A271,datos_2016!$B$1:$G$330,4,FALSE),"")</f>
        <v>100</v>
      </c>
      <c r="D271" s="21">
        <f>IFERROR(VLOOKUP(A271,datos_2024!$B$1:$G$322,4,FALSE),"")</f>
        <v>297</v>
      </c>
    </row>
    <row r="272" spans="1:4">
      <c r="A272" s="3">
        <v>70602</v>
      </c>
      <c r="B272" s="4" t="s">
        <v>276</v>
      </c>
      <c r="C272" s="21">
        <f>IFERROR(VLOOKUP(A272,datos_2016!$B$1:$G$330,4,FALSE),"")</f>
        <v>190</v>
      </c>
      <c r="D272" s="21">
        <f>IFERROR(VLOOKUP(A272,datos_2024!$B$1:$G$322,4,FALSE),"")</f>
        <v>419</v>
      </c>
    </row>
    <row r="273" spans="1:4">
      <c r="A273" s="5">
        <v>70603</v>
      </c>
      <c r="B273" s="6" t="s">
        <v>277</v>
      </c>
      <c r="C273" s="21">
        <f>IFERROR(VLOOKUP(A273,datos_2016!$B$1:$G$330,4,FALSE),"")</f>
        <v>46</v>
      </c>
      <c r="D273" s="21">
        <f>IFERROR(VLOOKUP(A273,datos_2024!$B$1:$G$322,4,FALSE),"")</f>
        <v>145</v>
      </c>
    </row>
    <row r="274" spans="1:4">
      <c r="A274" s="3">
        <v>70701</v>
      </c>
      <c r="B274" s="4" t="s">
        <v>278</v>
      </c>
      <c r="C274" s="21">
        <f>IFERROR(VLOOKUP(A274,datos_2016!$B$1:$G$330,4,FALSE),"")</f>
        <v>25</v>
      </c>
      <c r="D274" s="21">
        <f>IFERROR(VLOOKUP(A274,datos_2024!$B$1:$G$322,4,FALSE),"")</f>
        <v>22</v>
      </c>
    </row>
    <row r="275" spans="1:4">
      <c r="A275" s="5">
        <v>70702</v>
      </c>
      <c r="B275" s="6" t="s">
        <v>279</v>
      </c>
      <c r="C275" s="21">
        <f>IFERROR(VLOOKUP(A275,datos_2016!$B$1:$G$330,4,FALSE),"")</f>
        <v>120</v>
      </c>
      <c r="D275" s="21">
        <f>IFERROR(VLOOKUP(A275,datos_2024!$B$1:$G$322,4,FALSE),"")</f>
        <v>140</v>
      </c>
    </row>
    <row r="276" spans="1:4">
      <c r="A276" s="3">
        <v>70703</v>
      </c>
      <c r="B276" s="4" t="s">
        <v>280</v>
      </c>
      <c r="C276" s="21">
        <f>IFERROR(VLOOKUP(A276,datos_2016!$B$1:$G$330,4,FALSE),"")</f>
        <v>221</v>
      </c>
      <c r="D276" s="21">
        <f>IFERROR(VLOOKUP(A276,datos_2024!$B$1:$G$322,4,FALSE),"")</f>
        <v>596</v>
      </c>
    </row>
    <row r="277" spans="1:4">
      <c r="A277" s="5">
        <v>70704</v>
      </c>
      <c r="B277" s="6" t="s">
        <v>281</v>
      </c>
      <c r="C277" s="21">
        <f>IFERROR(VLOOKUP(A277,datos_2016!$B$1:$G$330,4,FALSE),"")</f>
        <v>34</v>
      </c>
      <c r="D277" s="21">
        <f>IFERROR(VLOOKUP(A277,datos_2024!$B$1:$G$322,4,FALSE),"")</f>
        <v>21</v>
      </c>
    </row>
    <row r="278" spans="1:4">
      <c r="A278" s="3">
        <v>70705</v>
      </c>
      <c r="B278" s="4" t="s">
        <v>282</v>
      </c>
      <c r="C278" s="21">
        <f>IFERROR(VLOOKUP(A278,datos_2016!$B$1:$G$330,4,FALSE),"")</f>
        <v>49</v>
      </c>
      <c r="D278" s="21">
        <f>IFERROR(VLOOKUP(A278,datos_2024!$B$1:$G$322,4,FALSE),"")</f>
        <v>39</v>
      </c>
    </row>
    <row r="279" spans="1:4">
      <c r="A279" s="5">
        <v>70706</v>
      </c>
      <c r="B279" s="6" t="s">
        <v>283</v>
      </c>
      <c r="C279" s="21">
        <f>IFERROR(VLOOKUP(A279,datos_2016!$B$1:$G$330,4,FALSE),"")</f>
        <v>215</v>
      </c>
      <c r="D279" s="21">
        <f>IFERROR(VLOOKUP(A279,datos_2024!$B$1:$G$322,4,FALSE),"")</f>
        <v>115</v>
      </c>
    </row>
    <row r="280" spans="1:4">
      <c r="A280" s="3">
        <v>70707</v>
      </c>
      <c r="B280" s="4" t="s">
        <v>284</v>
      </c>
      <c r="C280" s="21">
        <f>IFERROR(VLOOKUP(A280,datos_2016!$B$1:$G$330,4,FALSE),"")</f>
        <v>30</v>
      </c>
      <c r="D280" s="21">
        <f>IFERROR(VLOOKUP(A280,datos_2024!$B$1:$G$322,4,FALSE),"")</f>
        <v>25</v>
      </c>
    </row>
    <row r="281" spans="1:4">
      <c r="A281" s="5">
        <v>70801</v>
      </c>
      <c r="B281" s="6" t="s">
        <v>285</v>
      </c>
      <c r="C281" s="21">
        <f>IFERROR(VLOOKUP(A281,datos_2016!$B$1:$G$330,4,FALSE),"")</f>
        <v>302</v>
      </c>
      <c r="D281" s="21">
        <f>IFERROR(VLOOKUP(A281,datos_2024!$B$1:$G$322,4,FALSE),"")</f>
        <v>39</v>
      </c>
    </row>
    <row r="282" spans="1:4">
      <c r="A282" s="3">
        <v>70802</v>
      </c>
      <c r="B282" s="4" t="s">
        <v>286</v>
      </c>
      <c r="C282" s="21">
        <f>IFERROR(VLOOKUP(A282,datos_2016!$B$1:$G$330,4,FALSE),"")</f>
        <v>31</v>
      </c>
      <c r="D282" s="21">
        <f>IFERROR(VLOOKUP(A282,datos_2024!$B$1:$G$322,4,FALSE),"")</f>
        <v>10</v>
      </c>
    </row>
    <row r="283" spans="1:4">
      <c r="A283" s="5">
        <v>70803</v>
      </c>
      <c r="B283" s="6" t="s">
        <v>287</v>
      </c>
      <c r="C283" s="21">
        <f>IFERROR(VLOOKUP(A283,datos_2016!$B$1:$G$330,4,FALSE),"")</f>
        <v>38</v>
      </c>
      <c r="D283" s="21">
        <f>IFERROR(VLOOKUP(A283,datos_2024!$B$1:$G$322,4,FALSE),"")</f>
        <v>3</v>
      </c>
    </row>
    <row r="284" spans="1:4">
      <c r="A284" s="3">
        <v>70804</v>
      </c>
      <c r="B284" s="4" t="s">
        <v>288</v>
      </c>
      <c r="C284" s="21">
        <f>IFERROR(VLOOKUP(A284,datos_2016!$B$1:$G$330,4,FALSE),"")</f>
        <v>42</v>
      </c>
      <c r="D284" s="21">
        <f>IFERROR(VLOOKUP(A284,datos_2024!$B$1:$G$322,4,FALSE),"")</f>
        <v>7</v>
      </c>
    </row>
    <row r="285" spans="1:4">
      <c r="A285" s="5">
        <v>70805</v>
      </c>
      <c r="B285" s="6" t="s">
        <v>289</v>
      </c>
      <c r="C285" s="21" t="str">
        <f>IFERROR(VLOOKUP(A285,datos_2016!$B$1:$G$330,4,FALSE),"")</f>
        <v/>
      </c>
      <c r="D285" s="21" t="str">
        <f>IFERROR(VLOOKUP(A285,datos_2024!$B$1:$G$322,4,FALSE),"")</f>
        <v/>
      </c>
    </row>
    <row r="286" spans="1:4">
      <c r="A286" s="3">
        <v>70901</v>
      </c>
      <c r="B286" s="4" t="s">
        <v>290</v>
      </c>
      <c r="C286" s="21">
        <f>IFERROR(VLOOKUP(A286,datos_2016!$B$1:$G$330,4,FALSE),"")</f>
        <v>198</v>
      </c>
      <c r="D286" s="21">
        <f>IFERROR(VLOOKUP(A286,datos_2024!$B$1:$G$322,4,FALSE),"")</f>
        <v>61</v>
      </c>
    </row>
    <row r="287" spans="1:4">
      <c r="A287" s="5">
        <v>70902</v>
      </c>
      <c r="B287" s="6" t="s">
        <v>291</v>
      </c>
      <c r="C287" s="21">
        <f>IFERROR(VLOOKUP(A287,datos_2016!$B$1:$G$330,4,FALSE),"")</f>
        <v>157</v>
      </c>
      <c r="D287" s="21">
        <f>IFERROR(VLOOKUP(A287,datos_2024!$B$1:$G$322,4,FALSE),"")</f>
        <v>19</v>
      </c>
    </row>
    <row r="288" spans="1:4">
      <c r="A288" s="3">
        <v>70903</v>
      </c>
      <c r="B288" s="4" t="s">
        <v>292</v>
      </c>
      <c r="C288" s="21">
        <f>IFERROR(VLOOKUP(A288,datos_2016!$B$1:$G$330,4,FALSE),"")</f>
        <v>134</v>
      </c>
      <c r="D288" s="21">
        <f>IFERROR(VLOOKUP(A288,datos_2024!$B$1:$G$322,4,FALSE),"")</f>
        <v>28</v>
      </c>
    </row>
    <row r="289" spans="1:4">
      <c r="A289" s="5">
        <v>70904</v>
      </c>
      <c r="B289" s="6" t="s">
        <v>293</v>
      </c>
      <c r="C289" s="21">
        <f>IFERROR(VLOOKUP(A289,datos_2016!$B$1:$G$330,4,FALSE),"")</f>
        <v>43</v>
      </c>
      <c r="D289" s="21">
        <f>IFERROR(VLOOKUP(A289,datos_2024!$B$1:$G$322,4,FALSE),"")</f>
        <v>3</v>
      </c>
    </row>
    <row r="290" spans="1:4">
      <c r="A290" s="3">
        <v>71001</v>
      </c>
      <c r="B290" s="4" t="s">
        <v>294</v>
      </c>
      <c r="C290" s="21">
        <f>IFERROR(VLOOKUP(A290,datos_2016!$B$1:$G$330,4,FALSE),"")</f>
        <v>756</v>
      </c>
      <c r="D290" s="21">
        <f>IFERROR(VLOOKUP(A290,datos_2024!$B$1:$G$322,4,FALSE),"")</f>
        <v>1838</v>
      </c>
    </row>
    <row r="291" spans="1:4">
      <c r="A291" s="5">
        <v>71002</v>
      </c>
      <c r="B291" s="6" t="s">
        <v>295</v>
      </c>
      <c r="C291" s="21">
        <f>IFERROR(VLOOKUP(A291,datos_2016!$B$1:$G$330,4,FALSE),"")</f>
        <v>153</v>
      </c>
      <c r="D291" s="21">
        <f>IFERROR(VLOOKUP(A291,datos_2024!$B$1:$G$322,4,FALSE),"")</f>
        <v>335</v>
      </c>
    </row>
    <row r="292" spans="1:4">
      <c r="A292" s="3">
        <v>71003</v>
      </c>
      <c r="B292" s="4" t="s">
        <v>296</v>
      </c>
      <c r="C292" s="21">
        <f>IFERROR(VLOOKUP(A292,datos_2016!$B$1:$G$330,4,FALSE),"")</f>
        <v>158</v>
      </c>
      <c r="D292" s="21">
        <f>IFERROR(VLOOKUP(A292,datos_2024!$B$1:$G$322,4,FALSE),"")</f>
        <v>402</v>
      </c>
    </row>
    <row r="293" spans="1:4">
      <c r="A293" s="5">
        <v>71004</v>
      </c>
      <c r="B293" s="6" t="s">
        <v>297</v>
      </c>
      <c r="C293" s="21">
        <f>IFERROR(VLOOKUP(A293,datos_2016!$B$1:$G$330,4,FALSE),"")</f>
        <v>123</v>
      </c>
      <c r="D293" s="21">
        <f>IFERROR(VLOOKUP(A293,datos_2024!$B$1:$G$322,4,FALSE),"")</f>
        <v>243</v>
      </c>
    </row>
    <row r="294" spans="1:4">
      <c r="A294" s="3">
        <v>71005</v>
      </c>
      <c r="B294" s="4" t="s">
        <v>298</v>
      </c>
      <c r="C294" s="21">
        <f>IFERROR(VLOOKUP(A294,datos_2016!$B$1:$G$330,4,FALSE),"")</f>
        <v>145</v>
      </c>
      <c r="D294" s="21">
        <f>IFERROR(VLOOKUP(A294,datos_2024!$B$1:$G$322,4,FALSE),"")</f>
        <v>324</v>
      </c>
    </row>
    <row r="295" spans="1:4">
      <c r="A295" s="5">
        <v>71101</v>
      </c>
      <c r="B295" s="6" t="s">
        <v>299</v>
      </c>
      <c r="C295" s="21">
        <f>IFERROR(VLOOKUP(A295,datos_2016!$B$1:$G$330,4,FALSE),"")</f>
        <v>163</v>
      </c>
      <c r="D295" s="21">
        <f>IFERROR(VLOOKUP(A295,datos_2024!$B$1:$G$322,4,FALSE),"")</f>
        <v>67</v>
      </c>
    </row>
    <row r="296" spans="1:4">
      <c r="A296" s="3">
        <v>71102</v>
      </c>
      <c r="B296" s="4" t="s">
        <v>300</v>
      </c>
      <c r="C296" s="21">
        <f>IFERROR(VLOOKUP(A296,datos_2016!$B$1:$G$330,4,FALSE),"")</f>
        <v>58</v>
      </c>
      <c r="D296" s="21">
        <f>IFERROR(VLOOKUP(A296,datos_2024!$B$1:$G$322,4,FALSE),"")</f>
        <v>25</v>
      </c>
    </row>
    <row r="297" spans="1:4">
      <c r="A297" s="5">
        <v>71103</v>
      </c>
      <c r="B297" s="6" t="s">
        <v>301</v>
      </c>
      <c r="C297" s="21">
        <f>IFERROR(VLOOKUP(A297,datos_2016!$B$1:$G$330,4,FALSE),"")</f>
        <v>46</v>
      </c>
      <c r="D297" s="21">
        <f>IFERROR(VLOOKUP(A297,datos_2024!$B$1:$G$322,4,FALSE),"")</f>
        <v>19</v>
      </c>
    </row>
    <row r="298" spans="1:4">
      <c r="A298" s="3">
        <v>71104</v>
      </c>
      <c r="B298" s="4" t="s">
        <v>302</v>
      </c>
      <c r="C298" s="21">
        <f>IFERROR(VLOOKUP(A298,datos_2016!$B$1:$G$330,4,FALSE),"")</f>
        <v>377</v>
      </c>
      <c r="D298" s="21">
        <f>IFERROR(VLOOKUP(A298,datos_2024!$B$1:$G$322,4,FALSE),"")</f>
        <v>134</v>
      </c>
    </row>
    <row r="299" spans="1:4">
      <c r="A299" s="5">
        <v>71105</v>
      </c>
      <c r="B299" s="6" t="s">
        <v>303</v>
      </c>
      <c r="C299" s="21">
        <f>IFERROR(VLOOKUP(A299,datos_2016!$B$1:$G$330,4,FALSE),"")</f>
        <v>27</v>
      </c>
      <c r="D299" s="21">
        <f>IFERROR(VLOOKUP(A299,datos_2024!$B$1:$G$322,4,FALSE),"")</f>
        <v>14</v>
      </c>
    </row>
    <row r="300" spans="1:4">
      <c r="A300" s="3">
        <v>71106</v>
      </c>
      <c r="B300" s="4" t="s">
        <v>304</v>
      </c>
      <c r="C300" s="21">
        <f>IFERROR(VLOOKUP(A300,datos_2016!$B$1:$G$330,4,FALSE),"")</f>
        <v>202</v>
      </c>
      <c r="D300" s="21" t="str">
        <f>IFERROR(VLOOKUP(A300,datos_2024!$B$1:$G$322,4,FALSE),"")</f>
        <v/>
      </c>
    </row>
    <row r="301" spans="1:4">
      <c r="A301" s="5">
        <v>71201</v>
      </c>
      <c r="B301" s="6" t="s">
        <v>305</v>
      </c>
      <c r="C301" s="21">
        <f>IFERROR(VLOOKUP(A301,datos_2016!$B$1:$G$330,4,FALSE),"")</f>
        <v>0</v>
      </c>
      <c r="D301" s="21">
        <f>IFERROR(VLOOKUP(A301,datos_2024!$B$1:$G$322,4,FALSE),"")</f>
        <v>0</v>
      </c>
    </row>
    <row r="302" spans="1:4">
      <c r="A302" s="3">
        <v>71301</v>
      </c>
      <c r="B302" s="4" t="s">
        <v>306</v>
      </c>
      <c r="C302" s="21">
        <f>IFERROR(VLOOKUP(A302,datos_2016!$B$1:$G$330,4,FALSE),"")</f>
        <v>189</v>
      </c>
      <c r="D302" s="21">
        <f>IFERROR(VLOOKUP(A302,datos_2024!$B$1:$G$322,4,FALSE),"")</f>
        <v>52</v>
      </c>
    </row>
    <row r="303" spans="1:4">
      <c r="A303" s="5">
        <v>71302</v>
      </c>
      <c r="B303" s="6" t="s">
        <v>307</v>
      </c>
      <c r="C303" s="21">
        <f>IFERROR(VLOOKUP(A303,datos_2016!$B$1:$G$330,4,FALSE),"")</f>
        <v>115</v>
      </c>
      <c r="D303" s="21">
        <f>IFERROR(VLOOKUP(A303,datos_2024!$B$1:$G$322,4,FALSE),"")</f>
        <v>11</v>
      </c>
    </row>
    <row r="304" spans="1:4">
      <c r="A304" s="3">
        <v>71401</v>
      </c>
      <c r="B304" s="4" t="s">
        <v>308</v>
      </c>
      <c r="C304" s="21">
        <f>IFERROR(VLOOKUP(A304,datos_2016!$B$1:$G$330,4,FALSE),"")</f>
        <v>299</v>
      </c>
      <c r="D304" s="21">
        <f>IFERROR(VLOOKUP(A304,datos_2024!$B$1:$G$322,4,FALSE),"")</f>
        <v>25</v>
      </c>
    </row>
    <row r="305" spans="1:4">
      <c r="A305" s="5">
        <v>71402</v>
      </c>
      <c r="B305" s="6" t="s">
        <v>309</v>
      </c>
      <c r="C305" s="21">
        <f>IFERROR(VLOOKUP(A305,datos_2016!$B$1:$G$330,4,FALSE),"")</f>
        <v>214</v>
      </c>
      <c r="D305" s="21">
        <f>IFERROR(VLOOKUP(A305,datos_2024!$B$1:$G$322,4,FALSE),"")</f>
        <v>27</v>
      </c>
    </row>
    <row r="306" spans="1:4">
      <c r="A306" s="3">
        <v>71403</v>
      </c>
      <c r="B306" s="4" t="s">
        <v>310</v>
      </c>
      <c r="C306" s="21">
        <f>IFERROR(VLOOKUP(A306,datos_2016!$B$1:$G$330,4,FALSE),"")</f>
        <v>33</v>
      </c>
      <c r="D306" s="21">
        <f>IFERROR(VLOOKUP(A306,datos_2024!$B$1:$G$322,4,FALSE),"")</f>
        <v>3</v>
      </c>
    </row>
    <row r="307" spans="1:4">
      <c r="A307" s="5">
        <v>71501</v>
      </c>
      <c r="B307" s="6" t="s">
        <v>311</v>
      </c>
      <c r="C307" s="21">
        <f>IFERROR(VLOOKUP(A307,datos_2016!$B$1:$G$330,4,FALSE),"")</f>
        <v>182</v>
      </c>
      <c r="D307" s="21">
        <f>IFERROR(VLOOKUP(A307,datos_2024!$B$1:$G$322,4,FALSE),"")</f>
        <v>81</v>
      </c>
    </row>
    <row r="308" spans="1:4">
      <c r="A308" s="3">
        <v>71502</v>
      </c>
      <c r="B308" s="4" t="s">
        <v>312</v>
      </c>
      <c r="C308" s="21">
        <f>IFERROR(VLOOKUP(A308,datos_2016!$B$1:$G$330,4,FALSE),"")</f>
        <v>46</v>
      </c>
      <c r="D308" s="21">
        <f>IFERROR(VLOOKUP(A308,datos_2024!$B$1:$G$322,4,FALSE),"")</f>
        <v>16</v>
      </c>
    </row>
    <row r="309" spans="1:4">
      <c r="A309" s="5">
        <v>71503</v>
      </c>
      <c r="B309" s="6" t="s">
        <v>257</v>
      </c>
      <c r="C309" s="21">
        <f>IFERROR(VLOOKUP(A309,datos_2016!$B$1:$G$330,4,FALSE),"")</f>
        <v>53</v>
      </c>
      <c r="D309" s="21">
        <f>IFERROR(VLOOKUP(A309,datos_2024!$B$1:$G$322,4,FALSE),"")</f>
        <v>23</v>
      </c>
    </row>
    <row r="310" spans="1:4">
      <c r="A310" s="3">
        <v>80101</v>
      </c>
      <c r="B310" s="4" t="s">
        <v>313</v>
      </c>
      <c r="C310" s="21">
        <f>IFERROR(VLOOKUP(A310,datos_2016!$B$1:$G$330,4,FALSE),"")</f>
        <v>458</v>
      </c>
      <c r="D310" s="21">
        <f>IFERROR(VLOOKUP(A310,datos_2024!$B$1:$G$322,4,FALSE),"")</f>
        <v>405</v>
      </c>
    </row>
    <row r="311" spans="1:4">
      <c r="A311" s="5">
        <v>80102</v>
      </c>
      <c r="B311" s="6" t="s">
        <v>300</v>
      </c>
      <c r="C311" s="21">
        <f>IFERROR(VLOOKUP(A311,datos_2016!$B$1:$G$330,4,FALSE),"")</f>
        <v>6</v>
      </c>
      <c r="D311" s="21">
        <f>IFERROR(VLOOKUP(A311,datos_2024!$B$1:$G$322,4,FALSE),"")</f>
        <v>18</v>
      </c>
    </row>
    <row r="312" spans="1:4">
      <c r="A312" s="3">
        <v>80201</v>
      </c>
      <c r="B312" s="4" t="s">
        <v>314</v>
      </c>
      <c r="C312" s="21">
        <f>IFERROR(VLOOKUP(A312,datos_2016!$B$1:$G$330,4,FALSE),"")</f>
        <v>0</v>
      </c>
      <c r="D312" s="21">
        <f>IFERROR(VLOOKUP(A312,datos_2024!$B$1:$G$322,4,FALSE),"")</f>
        <v>387</v>
      </c>
    </row>
    <row r="313" spans="1:4">
      <c r="A313" s="5">
        <v>80202</v>
      </c>
      <c r="B313" s="6" t="s">
        <v>315</v>
      </c>
      <c r="C313" s="21">
        <f>IFERROR(VLOOKUP(A313,datos_2016!$B$1:$G$330,4,FALSE),"")</f>
        <v>0</v>
      </c>
      <c r="D313" s="21">
        <f>IFERROR(VLOOKUP(A313,datos_2024!$B$1:$G$322,4,FALSE),"")</f>
        <v>71</v>
      </c>
    </row>
    <row r="314" spans="1:4">
      <c r="A314" s="3">
        <v>80301</v>
      </c>
      <c r="B314" s="4" t="s">
        <v>316</v>
      </c>
      <c r="C314" s="21">
        <f>IFERROR(VLOOKUP(A314,datos_2016!$B$1:$G$330,4,FALSE),"")</f>
        <v>25</v>
      </c>
      <c r="D314" s="21">
        <f>IFERROR(VLOOKUP(A314,datos_2024!$B$1:$G$322,4,FALSE),"")</f>
        <v>68</v>
      </c>
    </row>
    <row r="315" spans="1:4">
      <c r="A315" s="5">
        <v>80302</v>
      </c>
      <c r="B315" s="6" t="s">
        <v>317</v>
      </c>
      <c r="C315" s="21">
        <f>IFERROR(VLOOKUP(A315,datos_2016!$B$1:$G$330,4,FALSE),"")</f>
        <v>202</v>
      </c>
      <c r="D315" s="21">
        <f>IFERROR(VLOOKUP(A315,datos_2024!$B$1:$G$322,4,FALSE),"")</f>
        <v>274</v>
      </c>
    </row>
    <row r="316" spans="1:4">
      <c r="A316" s="3">
        <v>80303</v>
      </c>
      <c r="B316" s="4" t="s">
        <v>318</v>
      </c>
      <c r="C316" s="21">
        <f>IFERROR(VLOOKUP(A316,datos_2016!$B$1:$G$330,4,FALSE),"")</f>
        <v>3</v>
      </c>
      <c r="D316" s="21">
        <f>IFERROR(VLOOKUP(A316,datos_2024!$B$1:$G$322,4,FALSE),"")</f>
        <v>58</v>
      </c>
    </row>
    <row r="317" spans="1:4">
      <c r="A317" s="5">
        <v>80304</v>
      </c>
      <c r="B317" s="6" t="s">
        <v>319</v>
      </c>
      <c r="C317" s="21">
        <f>IFERROR(VLOOKUP(A317,datos_2016!$B$1:$G$330,4,FALSE),"")</f>
        <v>75</v>
      </c>
      <c r="D317" s="21">
        <f>IFERROR(VLOOKUP(A317,datos_2024!$B$1:$G$322,4,FALSE),"")</f>
        <v>316</v>
      </c>
    </row>
    <row r="318" spans="1:4">
      <c r="A318" s="3">
        <v>80401</v>
      </c>
      <c r="B318" s="4" t="s">
        <v>320</v>
      </c>
      <c r="C318" s="21">
        <f>IFERROR(VLOOKUP(A318,datos_2016!$B$1:$G$330,4,FALSE),"")</f>
        <v>5</v>
      </c>
      <c r="D318" s="21">
        <f>IFERROR(VLOOKUP(A318,datos_2024!$B$1:$G$322,4,FALSE),"")</f>
        <v>72</v>
      </c>
    </row>
    <row r="319" spans="1:4">
      <c r="A319" s="5">
        <v>80402</v>
      </c>
      <c r="B319" s="6" t="s">
        <v>321</v>
      </c>
      <c r="C319" s="21" t="str">
        <f>IFERROR(VLOOKUP(A319,datos_2016!$B$1:$G$330,4,FALSE),"")</f>
        <v/>
      </c>
      <c r="D319" s="21">
        <f>IFERROR(VLOOKUP(A319,datos_2024!$B$1:$G$322,4,FALSE),"")</f>
        <v>0</v>
      </c>
    </row>
    <row r="320" spans="1:4">
      <c r="A320" s="3">
        <v>80501</v>
      </c>
      <c r="B320" s="4" t="s">
        <v>322</v>
      </c>
      <c r="C320" s="21">
        <f>IFERROR(VLOOKUP(A320,datos_2016!$B$1:$G$330,4,FALSE),"")</f>
        <v>39</v>
      </c>
      <c r="D320" s="21">
        <f>IFERROR(VLOOKUP(A320,datos_2024!$B$1:$G$322,4,FALSE),"")</f>
        <v>99</v>
      </c>
    </row>
    <row r="321" spans="1:4">
      <c r="A321" s="5">
        <v>80601</v>
      </c>
      <c r="B321" s="6" t="s">
        <v>323</v>
      </c>
      <c r="C321" s="21">
        <f>IFERROR(VLOOKUP(A321,datos_2016!$B$1:$G$330,4,FALSE),"")</f>
        <v>4</v>
      </c>
      <c r="D321" s="21">
        <f>IFERROR(VLOOKUP(A321,datos_2024!$B$1:$G$322,4,FALSE),"")</f>
        <v>13</v>
      </c>
    </row>
    <row r="322" spans="1:4">
      <c r="A322" s="3">
        <v>80602</v>
      </c>
      <c r="B322" s="4" t="s">
        <v>324</v>
      </c>
      <c r="C322" s="21">
        <f>IFERROR(VLOOKUP(A322,datos_2016!$B$1:$G$330,4,FALSE),"")</f>
        <v>48</v>
      </c>
      <c r="D322" s="21">
        <f>IFERROR(VLOOKUP(A322,datos_2024!$B$1:$G$322,4,FALSE),"")</f>
        <v>75</v>
      </c>
    </row>
    <row r="323" spans="1:4">
      <c r="A323" s="5">
        <v>80701</v>
      </c>
      <c r="B323" s="6" t="s">
        <v>325</v>
      </c>
      <c r="C323" s="21">
        <f>IFERROR(VLOOKUP(A323,datos_2016!$B$1:$G$330,4,FALSE),"")</f>
        <v>15</v>
      </c>
      <c r="D323" s="21">
        <f>IFERROR(VLOOKUP(A323,datos_2024!$B$1:$G$322,4,FALSE),"")</f>
        <v>15</v>
      </c>
    </row>
    <row r="324" spans="1:4">
      <c r="A324" s="3">
        <v>80702</v>
      </c>
      <c r="B324" s="4" t="s">
        <v>301</v>
      </c>
      <c r="C324" s="21">
        <f>IFERROR(VLOOKUP(A324,datos_2016!$B$1:$G$330,4,FALSE),"")</f>
        <v>31</v>
      </c>
      <c r="D324" s="21">
        <f>IFERROR(VLOOKUP(A324,datos_2024!$B$1:$G$322,4,FALSE),"")</f>
        <v>23</v>
      </c>
    </row>
    <row r="325" spans="1:4">
      <c r="A325" s="5">
        <v>80703</v>
      </c>
      <c r="B325" s="6" t="s">
        <v>326</v>
      </c>
      <c r="C325" s="21" t="str">
        <f>IFERROR(VLOOKUP(A325,datos_2016!$B$1:$G$330,4,FALSE),"")</f>
        <v/>
      </c>
      <c r="D325" s="21" t="str">
        <f>IFERROR(VLOOKUP(A325,datos_2024!$B$1:$G$322,4,FALSE),"")</f>
        <v/>
      </c>
    </row>
    <row r="326" spans="1:4">
      <c r="A326" s="3">
        <v>80801</v>
      </c>
      <c r="B326" s="4" t="s">
        <v>327</v>
      </c>
      <c r="C326" s="21">
        <f>IFERROR(VLOOKUP(A326,datos_2016!$B$1:$G$330,4,FALSE),"")</f>
        <v>10</v>
      </c>
      <c r="D326" s="21">
        <f>IFERROR(VLOOKUP(A326,datos_2024!$B$1:$G$322,4,FALSE),"")</f>
        <v>39</v>
      </c>
    </row>
    <row r="327" spans="1:4">
      <c r="A327" s="5">
        <v>80802</v>
      </c>
      <c r="B327" s="6" t="s">
        <v>328</v>
      </c>
      <c r="C327" s="21">
        <f>IFERROR(VLOOKUP(A327,datos_2016!$B$1:$G$330,4,FALSE),"")</f>
        <v>0</v>
      </c>
      <c r="D327" s="21">
        <f>IFERROR(VLOOKUP(A327,datos_2024!$B$1:$G$322,4,FALSE),"")</f>
        <v>16</v>
      </c>
    </row>
    <row r="328" spans="1:4">
      <c r="A328" s="3">
        <v>80803</v>
      </c>
      <c r="B328" s="4" t="s">
        <v>329</v>
      </c>
      <c r="C328" s="21">
        <f>IFERROR(VLOOKUP(A328,datos_2016!$B$1:$G$330,4,FALSE),"")</f>
        <v>0</v>
      </c>
      <c r="D328" s="21">
        <f>IFERROR(VLOOKUP(A328,datos_2024!$B$1:$G$322,4,FALSE),"")</f>
        <v>8</v>
      </c>
    </row>
    <row r="329" spans="1:4">
      <c r="A329" s="5">
        <v>80804</v>
      </c>
      <c r="B329" s="6" t="s">
        <v>330</v>
      </c>
      <c r="C329" s="21" t="str">
        <f>IFERROR(VLOOKUP(A329,datos_2016!$B$1:$G$330,4,FALSE),"")</f>
        <v/>
      </c>
      <c r="D329" s="21" t="str">
        <f>IFERROR(VLOOKUP(A329,datos_2024!$B$1:$G$322,4,FALSE),"")</f>
        <v/>
      </c>
    </row>
    <row r="330" spans="1:4">
      <c r="A330" s="3">
        <v>90101</v>
      </c>
      <c r="B330" s="4" t="s">
        <v>331</v>
      </c>
      <c r="C330" s="21">
        <f>IFERROR(VLOOKUP(A330,datos_2016!$B$1:$G$330,4,FALSE),"")</f>
        <v>238</v>
      </c>
      <c r="D330" s="21">
        <f>IFERROR(VLOOKUP(A330,datos_2024!$B$1:$G$322,4,FALSE),"")</f>
        <v>262</v>
      </c>
    </row>
    <row r="331" spans="1:4">
      <c r="A331" s="5">
        <v>90102</v>
      </c>
      <c r="B331" s="6" t="s">
        <v>332</v>
      </c>
      <c r="C331" s="21">
        <f>IFERROR(VLOOKUP(A331,datos_2016!$B$1:$G$330,4,FALSE),"")</f>
        <v>32</v>
      </c>
      <c r="D331" s="21">
        <f>IFERROR(VLOOKUP(A331,datos_2024!$B$1:$G$322,4,FALSE),"")</f>
        <v>42</v>
      </c>
    </row>
    <row r="332" spans="1:4">
      <c r="A332" s="3">
        <v>90103</v>
      </c>
      <c r="B332" s="4" t="s">
        <v>333</v>
      </c>
      <c r="C332" s="21" t="str">
        <f>IFERROR(VLOOKUP(A332,datos_2016!$B$1:$G$330,4,FALSE),"")</f>
        <v/>
      </c>
      <c r="D332" s="21" t="str">
        <f>IFERROR(VLOOKUP(A332,datos_2024!$B$1:$G$322,4,FALSE),"")</f>
        <v/>
      </c>
    </row>
    <row r="333" spans="1:4">
      <c r="A333" s="5">
        <v>90104</v>
      </c>
      <c r="B333" s="6" t="s">
        <v>334</v>
      </c>
      <c r="C333" s="21">
        <f>IFERROR(VLOOKUP(A333,datos_2016!$B$1:$G$330,4,FALSE),"")</f>
        <v>1</v>
      </c>
      <c r="D333" s="21">
        <f>IFERROR(VLOOKUP(A333,datos_2024!$B$1:$G$322,4,FALSE),"")</f>
        <v>16</v>
      </c>
    </row>
    <row r="334" spans="1:4">
      <c r="A334" s="3">
        <v>90201</v>
      </c>
      <c r="B334" s="4" t="s">
        <v>335</v>
      </c>
      <c r="C334" s="21">
        <f>IFERROR(VLOOKUP(A334,datos_2016!$B$1:$G$330,4,FALSE),"")</f>
        <v>32</v>
      </c>
      <c r="D334" s="21">
        <f>IFERROR(VLOOKUP(A334,datos_2024!$B$1:$G$322,4,FALSE),"")</f>
        <v>38</v>
      </c>
    </row>
    <row r="335" spans="1:4">
      <c r="A335" s="5">
        <v>90202</v>
      </c>
      <c r="B335" s="6" t="s">
        <v>298</v>
      </c>
      <c r="C335" s="21">
        <f>IFERROR(VLOOKUP(A335,datos_2016!$B$1:$G$330,4,FALSE),"")</f>
        <v>3</v>
      </c>
      <c r="D335" s="21">
        <f>IFERROR(VLOOKUP(A335,datos_2024!$B$1:$G$322,4,FALSE),"")</f>
        <v>4</v>
      </c>
    </row>
    <row r="336" spans="1:4">
      <c r="A336" s="3">
        <v>90203</v>
      </c>
      <c r="B336" s="4" t="s">
        <v>336</v>
      </c>
      <c r="C336" s="21">
        <f>IFERROR(VLOOKUP(A336,datos_2016!$B$1:$G$330,4,FALSE),"")</f>
        <v>16</v>
      </c>
      <c r="D336" s="21" t="str">
        <f>IFERROR(VLOOKUP(A336,datos_2024!$B$1:$G$322,4,FALSE),"")</f>
        <v/>
      </c>
    </row>
    <row r="337" spans="1:4">
      <c r="A337" s="5">
        <v>90301</v>
      </c>
      <c r="B337" s="6" t="s">
        <v>337</v>
      </c>
      <c r="C337" s="21">
        <f>IFERROR(VLOOKUP(A337,datos_2016!$B$1:$G$330,4,FALSE),"")</f>
        <v>0</v>
      </c>
      <c r="D337" s="21" t="str">
        <f>IFERROR(VLOOKUP(A337,datos_2024!$B$1:$G$322,4,FALSE),"")</f>
        <v/>
      </c>
    </row>
    <row r="338" spans="1:4">
      <c r="A338" s="3">
        <v>90302</v>
      </c>
      <c r="B338" s="4" t="s">
        <v>338</v>
      </c>
      <c r="C338" s="21">
        <f>IFERROR(VLOOKUP(A338,datos_2016!$B$1:$G$330,4,FALSE),"")</f>
        <v>1</v>
      </c>
      <c r="D338" s="21" t="str">
        <f>IFERROR(VLOOKUP(A338,datos_2024!$B$1:$G$322,4,FALSE),"")</f>
        <v/>
      </c>
    </row>
    <row r="339" spans="1:4">
      <c r="A339" s="5">
        <v>90303</v>
      </c>
      <c r="B339" s="6" t="s">
        <v>339</v>
      </c>
      <c r="C339" s="21">
        <f>IFERROR(VLOOKUP(A339,datos_2016!$B$1:$G$330,4,FALSE),"")</f>
        <v>2</v>
      </c>
      <c r="D339" s="21" t="str">
        <f>IFERROR(VLOOKUP(A339,datos_2024!$B$1:$G$322,4,FALSE),"")</f>
        <v/>
      </c>
    </row>
    <row r="340" spans="1:4">
      <c r="A340" s="3">
        <v>90401</v>
      </c>
      <c r="B340" s="4" t="s">
        <v>340</v>
      </c>
      <c r="C340" s="21" t="str">
        <f>IFERROR(VLOOKUP(A340,datos_2016!$B$1:$G$330,4,FALSE),"")</f>
        <v/>
      </c>
      <c r="D340" s="21" t="str">
        <f>IFERROR(VLOOKUP(A340,datos_2024!$B$1:$G$322,4,FALSE),"")</f>
        <v/>
      </c>
    </row>
    <row r="341" spans="1:4">
      <c r="A341" s="5">
        <v>90402</v>
      </c>
      <c r="B341" s="6" t="s">
        <v>341</v>
      </c>
      <c r="C341" s="21" t="str">
        <f>IFERROR(VLOOKUP(A341,datos_2016!$B$1:$G$330,4,FALSE),"")</f>
        <v/>
      </c>
      <c r="D341" s="21" t="str">
        <f>IFERROR(VLOOKUP(A341,datos_2024!$B$1:$G$322,4,FALSE),"")</f>
        <v/>
      </c>
    </row>
    <row r="342" spans="1:4">
      <c r="A342" s="3">
        <v>90501</v>
      </c>
      <c r="B342" s="4" t="s">
        <v>342</v>
      </c>
      <c r="C342" s="21">
        <f>IFERROR(VLOOKUP(A342,datos_2016!$B$1:$G$330,4,FALSE),"")</f>
        <v>0</v>
      </c>
      <c r="D342" s="21" t="str">
        <f>IFERROR(VLOOKUP(A342,datos_2024!$B$1:$G$322,4,FALSE),"")</f>
        <v/>
      </c>
    </row>
    <row r="343" spans="1:4">
      <c r="A343" s="5">
        <v>90502</v>
      </c>
      <c r="B343" s="6" t="s">
        <v>343</v>
      </c>
      <c r="C343" s="21">
        <f>IFERROR(VLOOKUP(A343,datos_2016!$B$1:$G$330,4,FALSE),"")</f>
        <v>0</v>
      </c>
      <c r="D343" s="21" t="str">
        <f>IFERROR(VLOOKUP(A343,datos_2024!$B$1:$G$322,4,FALSE),"")</f>
        <v/>
      </c>
    </row>
    <row r="344" spans="1:4">
      <c r="A344" s="8">
        <v>90503</v>
      </c>
      <c r="B344" s="9" t="s">
        <v>344</v>
      </c>
      <c r="C344" s="21" t="str">
        <f>IFERROR(VLOOKUP(A344,datos_2016!$B$1:$G$330,4,FALSE),"")</f>
        <v/>
      </c>
      <c r="D344" s="21" t="str">
        <f>IFERROR(VLOOKUP(A344,datos_2024!$B$1:$G$322,4,FALSE),"")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177E-E103-4552-ADA2-A205C090E3E9}">
  <sheetPr codeName="Hoja5"/>
  <dimension ref="A1:D12"/>
  <sheetViews>
    <sheetView workbookViewId="0">
      <selection activeCell="D11" sqref="D11"/>
    </sheetView>
  </sheetViews>
  <sheetFormatPr baseColWidth="10" defaultRowHeight="14.4"/>
  <cols>
    <col min="3" max="3" width="12.44140625" bestFit="1" customWidth="1"/>
  </cols>
  <sheetData>
    <row r="1" spans="1:4" ht="15">
      <c r="A1" s="17" t="s">
        <v>353</v>
      </c>
      <c r="B1" s="17" t="s">
        <v>354</v>
      </c>
      <c r="C1" s="2" t="s">
        <v>346</v>
      </c>
      <c r="D1" s="2" t="s">
        <v>347</v>
      </c>
    </row>
    <row r="2" spans="1:4">
      <c r="A2" s="18">
        <v>1</v>
      </c>
      <c r="B2" s="19" t="s">
        <v>355</v>
      </c>
      <c r="C2" s="20">
        <v>6.136760557073127</v>
      </c>
      <c r="D2" s="20">
        <v>8.7133152089771304</v>
      </c>
    </row>
    <row r="3" spans="1:4">
      <c r="A3" s="18">
        <v>2</v>
      </c>
      <c r="B3" s="19" t="s">
        <v>356</v>
      </c>
      <c r="C3" s="20">
        <v>8.8189199077305496</v>
      </c>
      <c r="D3" s="20">
        <v>9.1148837625102708</v>
      </c>
    </row>
    <row r="4" spans="1:4">
      <c r="A4" s="18">
        <v>3</v>
      </c>
      <c r="B4" s="19" t="s">
        <v>123</v>
      </c>
      <c r="C4" s="20">
        <v>5.9476738447779596</v>
      </c>
      <c r="D4" s="20">
        <v>6.7610843552951687</v>
      </c>
    </row>
    <row r="5" spans="1:4">
      <c r="A5" s="18">
        <v>4</v>
      </c>
      <c r="B5" s="19" t="s">
        <v>171</v>
      </c>
      <c r="C5" s="20">
        <v>7.4058919803600656</v>
      </c>
      <c r="D5" s="20">
        <v>10.055427105438191</v>
      </c>
    </row>
    <row r="6" spans="1:4">
      <c r="A6" s="18">
        <v>5</v>
      </c>
      <c r="B6" s="19" t="s">
        <v>206</v>
      </c>
      <c r="C6" s="20">
        <v>9.8954848379412788</v>
      </c>
      <c r="D6" s="20">
        <v>11.504295451935825</v>
      </c>
    </row>
    <row r="7" spans="1:4">
      <c r="A7" s="18">
        <v>6</v>
      </c>
      <c r="B7" s="19" t="s">
        <v>248</v>
      </c>
      <c r="C7" s="20">
        <v>5.0553980932749294</v>
      </c>
      <c r="D7" s="20">
        <v>7.1757279576461004</v>
      </c>
    </row>
    <row r="8" spans="1:4">
      <c r="A8" s="18">
        <v>7</v>
      </c>
      <c r="B8" s="19" t="s">
        <v>357</v>
      </c>
      <c r="C8" s="20">
        <v>4.1202746729847926</v>
      </c>
      <c r="D8" s="20">
        <v>6.8500645877013557</v>
      </c>
    </row>
    <row r="9" spans="1:4">
      <c r="A9" s="18">
        <v>8</v>
      </c>
      <c r="B9" s="19" t="s">
        <v>358</v>
      </c>
      <c r="C9" s="20">
        <v>0.82852799093207152</v>
      </c>
      <c r="D9" s="20">
        <v>1.963715908406751</v>
      </c>
    </row>
    <row r="10" spans="1:4">
      <c r="A10" s="18">
        <v>9</v>
      </c>
      <c r="B10" s="19" t="s">
        <v>359</v>
      </c>
      <c r="C10" s="20">
        <v>2.1392838335966298</v>
      </c>
      <c r="D10" s="20">
        <v>2.1562972119214394</v>
      </c>
    </row>
    <row r="11" spans="1:4">
      <c r="A11" s="18">
        <v>10</v>
      </c>
      <c r="B11" s="19" t="s">
        <v>360</v>
      </c>
      <c r="C11" s="11">
        <v>3.5153090699017908</v>
      </c>
      <c r="D11" s="20">
        <v>5.3122087604846229</v>
      </c>
    </row>
    <row r="12" spans="1:4">
      <c r="A12" s="18">
        <v>11</v>
      </c>
      <c r="B12" s="19" t="s">
        <v>361</v>
      </c>
      <c r="C12" s="11">
        <v>6.4651298843756857</v>
      </c>
      <c r="D12" s="20">
        <v>7.9162964308718848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CBFF-4CF4-4F55-AE82-EAA0B460EA8A}">
  <sheetPr codeName="Hoja6"/>
  <dimension ref="A1:D12"/>
  <sheetViews>
    <sheetView tabSelected="1" workbookViewId="0">
      <selection activeCell="G13" sqref="G13"/>
    </sheetView>
  </sheetViews>
  <sheetFormatPr baseColWidth="10" defaultRowHeight="14.4"/>
  <cols>
    <col min="3" max="3" width="12.44140625" bestFit="1" customWidth="1"/>
  </cols>
  <sheetData>
    <row r="1" spans="1:4" ht="15">
      <c r="A1" s="17" t="s">
        <v>353</v>
      </c>
      <c r="B1" s="17" t="s">
        <v>354</v>
      </c>
      <c r="C1" s="2" t="s">
        <v>364</v>
      </c>
      <c r="D1" s="2" t="s">
        <v>365</v>
      </c>
    </row>
    <row r="2" spans="1:4">
      <c r="A2" s="18">
        <v>1</v>
      </c>
      <c r="B2" s="19" t="s">
        <v>355</v>
      </c>
      <c r="C2">
        <v>6852</v>
      </c>
      <c r="D2" s="32">
        <v>14070</v>
      </c>
    </row>
    <row r="3" spans="1:4">
      <c r="A3" s="18">
        <v>2</v>
      </c>
      <c r="B3" s="19" t="s">
        <v>356</v>
      </c>
      <c r="C3">
        <v>67975</v>
      </c>
      <c r="D3" s="32">
        <v>85646</v>
      </c>
    </row>
    <row r="4" spans="1:4">
      <c r="A4" s="18">
        <v>3</v>
      </c>
      <c r="B4" s="19" t="s">
        <v>123</v>
      </c>
      <c r="C4">
        <v>29528</v>
      </c>
      <c r="D4" s="32">
        <v>43576</v>
      </c>
    </row>
    <row r="5" spans="1:4">
      <c r="A5" s="18">
        <v>4</v>
      </c>
      <c r="B5" s="19" t="s">
        <v>171</v>
      </c>
      <c r="C5">
        <v>9955</v>
      </c>
      <c r="D5" s="32">
        <v>15874</v>
      </c>
    </row>
    <row r="6" spans="1:4">
      <c r="A6" s="18">
        <v>5</v>
      </c>
      <c r="B6" s="19" t="s">
        <v>206</v>
      </c>
      <c r="C6">
        <v>14789</v>
      </c>
      <c r="D6" s="32">
        <v>22042</v>
      </c>
    </row>
    <row r="7" spans="1:4">
      <c r="A7" s="18">
        <v>6</v>
      </c>
      <c r="B7" s="19" t="s">
        <v>248</v>
      </c>
      <c r="C7">
        <v>5886</v>
      </c>
      <c r="D7" s="32">
        <v>10572</v>
      </c>
    </row>
    <row r="8" spans="1:4">
      <c r="A8" s="18">
        <v>7</v>
      </c>
      <c r="B8" s="19" t="s">
        <v>357</v>
      </c>
      <c r="C8">
        <v>22903</v>
      </c>
      <c r="D8" s="32">
        <v>45446</v>
      </c>
    </row>
    <row r="9" spans="1:4">
      <c r="A9" s="18">
        <v>8</v>
      </c>
      <c r="B9" s="19" t="s">
        <v>358</v>
      </c>
      <c r="C9">
        <v>921</v>
      </c>
      <c r="D9" s="32">
        <v>1957</v>
      </c>
    </row>
    <row r="10" spans="1:4">
      <c r="A10" s="18">
        <v>9</v>
      </c>
      <c r="B10" s="19" t="s">
        <v>359</v>
      </c>
      <c r="C10">
        <v>325</v>
      </c>
      <c r="D10" s="32">
        <v>471</v>
      </c>
    </row>
    <row r="11" spans="1:4">
      <c r="A11" s="18">
        <v>10</v>
      </c>
      <c r="B11" s="19" t="s">
        <v>360</v>
      </c>
      <c r="C11" s="22">
        <v>1217</v>
      </c>
      <c r="D11" s="33">
        <v>2280</v>
      </c>
    </row>
    <row r="12" spans="1:4">
      <c r="A12" s="18">
        <v>11</v>
      </c>
      <c r="B12" s="19" t="s">
        <v>361</v>
      </c>
      <c r="C12" s="22">
        <v>159134</v>
      </c>
      <c r="D12" s="33">
        <v>239654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09471-ED8A-465B-B1E2-685008C3B9F6}">
  <dimension ref="A1:J2"/>
  <sheetViews>
    <sheetView workbookViewId="0">
      <selection activeCell="J23" sqref="J23"/>
    </sheetView>
  </sheetViews>
  <sheetFormatPr baseColWidth="10" defaultRowHeight="14.4"/>
  <sheetData>
    <row r="1" spans="1:10" ht="48">
      <c r="A1" s="23" t="s">
        <v>366</v>
      </c>
      <c r="B1" s="23" t="s">
        <v>367</v>
      </c>
      <c r="C1" s="24" t="s">
        <v>368</v>
      </c>
      <c r="D1" s="24" t="s">
        <v>369</v>
      </c>
      <c r="E1" s="25" t="s">
        <v>370</v>
      </c>
      <c r="F1" s="25" t="s">
        <v>371</v>
      </c>
      <c r="G1" s="26" t="s">
        <v>372</v>
      </c>
      <c r="H1" s="26" t="s">
        <v>373</v>
      </c>
      <c r="I1" s="27" t="s">
        <v>374</v>
      </c>
      <c r="J1" s="27" t="s">
        <v>375</v>
      </c>
    </row>
    <row r="2" spans="1:10" ht="15">
      <c r="A2" s="28">
        <v>8</v>
      </c>
      <c r="B2" s="2" t="s">
        <v>345</v>
      </c>
      <c r="C2" s="28">
        <v>0</v>
      </c>
      <c r="D2" s="28">
        <v>4.5999999999999996</v>
      </c>
      <c r="E2" s="28">
        <v>4.5999999999999996</v>
      </c>
      <c r="F2" s="28">
        <v>13.6</v>
      </c>
      <c r="G2" s="28">
        <v>13.6</v>
      </c>
      <c r="H2" s="28">
        <v>22.6</v>
      </c>
      <c r="I2" s="28">
        <v>22.6</v>
      </c>
      <c r="J2" s="28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CA5D-017E-410B-8EE1-D23E54D1F664}">
  <dimension ref="A1"/>
  <sheetViews>
    <sheetView workbookViewId="0">
      <selection activeCell="I26" sqref="I26"/>
    </sheetView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datos_2016</vt:lpstr>
      <vt:lpstr>datos_2024</vt:lpstr>
      <vt:lpstr>Indicador_MUN</vt:lpstr>
      <vt:lpstr>Absoluto_MUN</vt:lpstr>
      <vt:lpstr>Indicador_DEP</vt:lpstr>
      <vt:lpstr>Absoluto_DEP</vt:lpstr>
      <vt:lpstr>Umbral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Karina</cp:lastModifiedBy>
  <dcterms:created xsi:type="dcterms:W3CDTF">2026-05-24T20:47:41Z</dcterms:created>
  <dcterms:modified xsi:type="dcterms:W3CDTF">2026-06-05T05:09:20Z</dcterms:modified>
</cp:coreProperties>
</file>