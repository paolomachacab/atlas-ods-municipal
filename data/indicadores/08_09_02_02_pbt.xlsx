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DSN\Atlas2025\R_codes\Prueba_4\Input_indicadores\"/>
    </mc:Choice>
  </mc:AlternateContent>
  <xr:revisionPtr revIDLastSave="0" documentId="13_ncr:1_{638C4686-E81D-4EC3-AD0B-5DD8A19743FD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Datos Procesados" sheetId="15" r:id="rId1"/>
    <sheet name="Indicador_MUN" sheetId="2" r:id="rId2"/>
    <sheet name="Absoluto_MUN" sheetId="8" r:id="rId3"/>
    <sheet name="Indicador_DEP" sheetId="9" r:id="rId4"/>
    <sheet name="Absoluto_DEP " sheetId="10" r:id="rId5"/>
    <sheet name="Umbral" sheetId="11" r:id="rId6"/>
    <sheet name="Clasificación 2024" sheetId="12" r:id="rId7"/>
  </sheets>
  <externalReferences>
    <externalReference r:id="rId8"/>
  </externalReferences>
  <definedNames>
    <definedName name="_xlnm._FilterDatabase" localSheetId="6" hidden="1">'Clasificación 2024'!$A$1:$F$344</definedName>
    <definedName name="_xlnm._FilterDatabase">[1]Índice!$A$9:$J$26</definedName>
  </definedNames>
  <calcPr calcId="191029"/>
</workbook>
</file>

<file path=xl/calcChain.xml><?xml version="1.0" encoding="utf-8"?>
<calcChain xmlns="http://schemas.openxmlformats.org/spreadsheetml/2006/main">
  <c r="J6" i="15" l="1"/>
  <c r="P12" i="15"/>
  <c r="Q12" i="15"/>
  <c r="Q8" i="15"/>
  <c r="P8" i="15"/>
  <c r="N8" i="15"/>
  <c r="Q4" i="15"/>
  <c r="Q2" i="15"/>
  <c r="R2" i="15" s="1"/>
  <c r="F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D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J349" i="15"/>
  <c r="J350" i="15"/>
  <c r="J2" i="15"/>
  <c r="R11" i="15"/>
  <c r="O11" i="15"/>
  <c r="M2" i="15"/>
  <c r="I345" i="15"/>
  <c r="R8" i="15" l="1"/>
  <c r="L350" i="15"/>
  <c r="H345" i="15" l="1"/>
  <c r="J345" i="15" s="1"/>
  <c r="G345" i="15"/>
  <c r="F345" i="15"/>
  <c r="M10" i="15"/>
  <c r="O10" i="15" s="1"/>
  <c r="N10" i="15"/>
  <c r="P10" i="15"/>
  <c r="Q10" i="15"/>
  <c r="R10" i="15" s="1"/>
  <c r="M9" i="15"/>
  <c r="N9" i="15"/>
  <c r="P9" i="15"/>
  <c r="Q9" i="15"/>
  <c r="R9" i="15" s="1"/>
  <c r="M8" i="15"/>
  <c r="O8" i="15" s="1"/>
  <c r="M7" i="15"/>
  <c r="N7" i="15"/>
  <c r="P7" i="15"/>
  <c r="Q7" i="15"/>
  <c r="R7" i="15" s="1"/>
  <c r="M6" i="15"/>
  <c r="N6" i="15"/>
  <c r="P6" i="15"/>
  <c r="Q6" i="15"/>
  <c r="R6" i="15" s="1"/>
  <c r="M5" i="15"/>
  <c r="N5" i="15"/>
  <c r="P5" i="15"/>
  <c r="Q5" i="15"/>
  <c r="R5" i="15" s="1"/>
  <c r="M4" i="15"/>
  <c r="N4" i="15"/>
  <c r="P4" i="15"/>
  <c r="R4" i="15"/>
  <c r="M3" i="15"/>
  <c r="N3" i="15"/>
  <c r="P3" i="15"/>
  <c r="Q3" i="15"/>
  <c r="R3" i="15" s="1"/>
  <c r="P2" i="15"/>
  <c r="N2" i="15"/>
  <c r="O2" i="15" s="1"/>
  <c r="J344" i="15"/>
  <c r="J3" i="15"/>
  <c r="J4" i="15"/>
  <c r="J5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J119" i="15"/>
  <c r="J120" i="15"/>
  <c r="J121" i="15"/>
  <c r="J122" i="15"/>
  <c r="J123" i="15"/>
  <c r="J124" i="15"/>
  <c r="J125" i="15"/>
  <c r="J126" i="15"/>
  <c r="J127" i="15"/>
  <c r="J128" i="15"/>
  <c r="J129" i="15"/>
  <c r="J130" i="15"/>
  <c r="J131" i="15"/>
  <c r="J132" i="15"/>
  <c r="J133" i="15"/>
  <c r="J134" i="15"/>
  <c r="J135" i="15"/>
  <c r="J136" i="15"/>
  <c r="J137" i="15"/>
  <c r="J138" i="15"/>
  <c r="J139" i="15"/>
  <c r="J140" i="15"/>
  <c r="J141" i="15"/>
  <c r="J142" i="15"/>
  <c r="J143" i="15"/>
  <c r="J144" i="15"/>
  <c r="J145" i="15"/>
  <c r="J146" i="15"/>
  <c r="J147" i="15"/>
  <c r="J148" i="15"/>
  <c r="J149" i="15"/>
  <c r="J150" i="15"/>
  <c r="J151" i="15"/>
  <c r="J152" i="15"/>
  <c r="J153" i="15"/>
  <c r="J154" i="15"/>
  <c r="J155" i="15"/>
  <c r="J156" i="15"/>
  <c r="J158" i="15"/>
  <c r="J159" i="15"/>
  <c r="J160" i="15"/>
  <c r="J161" i="15"/>
  <c r="J162" i="15"/>
  <c r="J163" i="15"/>
  <c r="J164" i="15"/>
  <c r="J165" i="15"/>
  <c r="J166" i="15"/>
  <c r="J167" i="15"/>
  <c r="J168" i="15"/>
  <c r="J169" i="15"/>
  <c r="J170" i="15"/>
  <c r="J171" i="15"/>
  <c r="J172" i="15"/>
  <c r="J173" i="15"/>
  <c r="J174" i="15"/>
  <c r="J175" i="15"/>
  <c r="J176" i="15"/>
  <c r="J177" i="15"/>
  <c r="J178" i="15"/>
  <c r="J179" i="15"/>
  <c r="J180" i="15"/>
  <c r="J181" i="15"/>
  <c r="J182" i="15"/>
  <c r="J183" i="15"/>
  <c r="J184" i="15"/>
  <c r="J185" i="15"/>
  <c r="J186" i="15"/>
  <c r="J187" i="15"/>
  <c r="J188" i="15"/>
  <c r="J189" i="15"/>
  <c r="J190" i="15"/>
  <c r="J191" i="15"/>
  <c r="J192" i="15"/>
  <c r="J193" i="15"/>
  <c r="J194" i="15"/>
  <c r="J195" i="15"/>
  <c r="J196" i="15"/>
  <c r="J197" i="15"/>
  <c r="J198" i="15"/>
  <c r="J199" i="15"/>
  <c r="J200" i="15"/>
  <c r="J201" i="15"/>
  <c r="J202" i="15"/>
  <c r="J203" i="15"/>
  <c r="J204" i="15"/>
  <c r="J205" i="15"/>
  <c r="J206" i="15"/>
  <c r="J207" i="15"/>
  <c r="J208" i="15"/>
  <c r="J209" i="15"/>
  <c r="J210" i="15"/>
  <c r="J211" i="15"/>
  <c r="J212" i="15"/>
  <c r="J213" i="15"/>
  <c r="J214" i="15"/>
  <c r="J215" i="15"/>
  <c r="J217" i="15"/>
  <c r="J218" i="15"/>
  <c r="J219" i="15"/>
  <c r="J220" i="15"/>
  <c r="J221" i="15"/>
  <c r="J222" i="15"/>
  <c r="J223" i="15"/>
  <c r="J224" i="15"/>
  <c r="J225" i="15"/>
  <c r="J226" i="15"/>
  <c r="J227" i="15"/>
  <c r="J228" i="15"/>
  <c r="J229" i="15"/>
  <c r="J230" i="15"/>
  <c r="J231" i="15"/>
  <c r="J232" i="15"/>
  <c r="J233" i="15"/>
  <c r="J234" i="15"/>
  <c r="J235" i="15"/>
  <c r="J237" i="15"/>
  <c r="J238" i="15"/>
  <c r="J239" i="15"/>
  <c r="J240" i="15"/>
  <c r="J241" i="15"/>
  <c r="J242" i="15"/>
  <c r="J243" i="15"/>
  <c r="J244" i="15"/>
  <c r="J245" i="15"/>
  <c r="J246" i="15"/>
  <c r="J247" i="15"/>
  <c r="J248" i="15"/>
  <c r="J249" i="15"/>
  <c r="J250" i="15"/>
  <c r="J251" i="15"/>
  <c r="J252" i="15"/>
  <c r="J253" i="15"/>
  <c r="J254" i="15"/>
  <c r="J255" i="15"/>
  <c r="J256" i="15"/>
  <c r="J257" i="15"/>
  <c r="J258" i="15"/>
  <c r="J259" i="15"/>
  <c r="J260" i="15"/>
  <c r="J261" i="15"/>
  <c r="J262" i="15"/>
  <c r="J263" i="15"/>
  <c r="J264" i="15"/>
  <c r="J265" i="15"/>
  <c r="J266" i="15"/>
  <c r="J267" i="15"/>
  <c r="J268" i="15"/>
  <c r="J269" i="15"/>
  <c r="J270" i="15"/>
  <c r="J271" i="15"/>
  <c r="J272" i="15"/>
  <c r="J273" i="15"/>
  <c r="J274" i="15"/>
  <c r="J275" i="15"/>
  <c r="J276" i="15"/>
  <c r="J277" i="15"/>
  <c r="J278" i="15"/>
  <c r="J279" i="15"/>
  <c r="J280" i="15"/>
  <c r="J281" i="15"/>
  <c r="J282" i="15"/>
  <c r="J283" i="15"/>
  <c r="J284" i="15"/>
  <c r="J285" i="15"/>
  <c r="J286" i="15"/>
  <c r="J287" i="15"/>
  <c r="J288" i="15"/>
  <c r="J289" i="15"/>
  <c r="J290" i="15"/>
  <c r="J291" i="15"/>
  <c r="J292" i="15"/>
  <c r="J293" i="15"/>
  <c r="J294" i="15"/>
  <c r="J295" i="15"/>
  <c r="J296" i="15"/>
  <c r="J297" i="15"/>
  <c r="J298" i="15"/>
  <c r="J299" i="15"/>
  <c r="J300" i="15"/>
  <c r="J301" i="15"/>
  <c r="J302" i="15"/>
  <c r="J303" i="15"/>
  <c r="J304" i="15"/>
  <c r="J305" i="15"/>
  <c r="J306" i="15"/>
  <c r="J307" i="15"/>
  <c r="J308" i="15"/>
  <c r="J309" i="15"/>
  <c r="J310" i="15"/>
  <c r="J311" i="15"/>
  <c r="J312" i="15"/>
  <c r="J313" i="15"/>
  <c r="J314" i="15"/>
  <c r="J315" i="15"/>
  <c r="J316" i="15"/>
  <c r="J317" i="15"/>
  <c r="J318" i="15"/>
  <c r="J319" i="15"/>
  <c r="J320" i="15"/>
  <c r="J321" i="15"/>
  <c r="J322" i="15"/>
  <c r="J323" i="15"/>
  <c r="J324" i="15"/>
  <c r="J325" i="15"/>
  <c r="J326" i="15"/>
  <c r="J327" i="15"/>
  <c r="J328" i="15"/>
  <c r="J330" i="15"/>
  <c r="J331" i="15"/>
  <c r="J332" i="15"/>
  <c r="J333" i="15"/>
  <c r="J334" i="15"/>
  <c r="J335" i="15"/>
  <c r="J336" i="15"/>
  <c r="J337" i="15"/>
  <c r="J338" i="15"/>
  <c r="J339" i="15"/>
  <c r="J340" i="15"/>
  <c r="J341" i="15"/>
  <c r="J342" i="15"/>
  <c r="J343" i="15"/>
  <c r="N12" i="15" l="1"/>
  <c r="M12" i="15"/>
  <c r="O3" i="15"/>
  <c r="E345" i="15"/>
  <c r="E350" i="15"/>
  <c r="E349" i="15"/>
  <c r="O9" i="15"/>
  <c r="O7" i="15"/>
  <c r="O6" i="15"/>
  <c r="O5" i="15"/>
  <c r="O4" i="15"/>
  <c r="O12" i="15" l="1"/>
  <c r="R12" i="15"/>
  <c r="L349" i="15"/>
  <c r="G350" i="15"/>
  <c r="G349" i="15"/>
</calcChain>
</file>

<file path=xl/sharedStrings.xml><?xml version="1.0" encoding="utf-8"?>
<sst xmlns="http://schemas.openxmlformats.org/spreadsheetml/2006/main" count="2148" uniqueCount="506">
  <si>
    <t>Coipasa</t>
  </si>
  <si>
    <t>La Rivera</t>
  </si>
  <si>
    <t>Puerto Siles</t>
  </si>
  <si>
    <t>Departamento</t>
  </si>
  <si>
    <t>Bolpebra</t>
  </si>
  <si>
    <t>Todos Santos</t>
  </si>
  <si>
    <t>Huachacalla</t>
  </si>
  <si>
    <t>Tacachi</t>
  </si>
  <si>
    <t>Carangas</t>
  </si>
  <si>
    <t>San Pedro</t>
  </si>
  <si>
    <t>Trigal</t>
  </si>
  <si>
    <t>Sucre</t>
  </si>
  <si>
    <t>Nazacara de Pacajes</t>
  </si>
  <si>
    <t>San Pedro de Quemes</t>
  </si>
  <si>
    <t>Ingavi</t>
  </si>
  <si>
    <t>Tacobamba</t>
  </si>
  <si>
    <t>Mojinete</t>
  </si>
  <si>
    <t>Huacaraje</t>
  </si>
  <si>
    <t>Poroma</t>
  </si>
  <si>
    <t>Tolata</t>
  </si>
  <si>
    <t>Quirusillas</t>
  </si>
  <si>
    <t>Alalay</t>
  </si>
  <si>
    <t>Esmeralda</t>
  </si>
  <si>
    <t>Chipaya</t>
  </si>
  <si>
    <t>Santos Mercado</t>
  </si>
  <si>
    <t>Tahua</t>
  </si>
  <si>
    <t>Nueva Esperanza</t>
  </si>
  <si>
    <t>Chuquisaca</t>
  </si>
  <si>
    <t>Catacora</t>
  </si>
  <si>
    <t>San Agustín</t>
  </si>
  <si>
    <t>Calacoto</t>
  </si>
  <si>
    <t>Azurduy</t>
  </si>
  <si>
    <t>El Choro</t>
  </si>
  <si>
    <t>Huacaya</t>
  </si>
  <si>
    <t>Tinguipaya</t>
  </si>
  <si>
    <t>Santa Rosa</t>
  </si>
  <si>
    <t>Moro Moro</t>
  </si>
  <si>
    <t>Filadelfia</t>
  </si>
  <si>
    <t>Vila Vila</t>
  </si>
  <si>
    <t>Yotala</t>
  </si>
  <si>
    <t>Cruz de Machacamarca</t>
  </si>
  <si>
    <t>Pelechuco</t>
  </si>
  <si>
    <t>Ocurí</t>
  </si>
  <si>
    <t>La Paz</t>
  </si>
  <si>
    <t>San Ramón</t>
  </si>
  <si>
    <t>Antequera</t>
  </si>
  <si>
    <t>Ravelo</t>
  </si>
  <si>
    <t>Machacamarca</t>
  </si>
  <si>
    <t>Tacopaya</t>
  </si>
  <si>
    <t>Chacarilla</t>
  </si>
  <si>
    <t>Santiago de Machaca</t>
  </si>
  <si>
    <t>Cochabamba</t>
  </si>
  <si>
    <t>Pocoata</t>
  </si>
  <si>
    <t>Boyuibe</t>
  </si>
  <si>
    <t>Quiabaya</t>
  </si>
  <si>
    <t>Belén de Andamarca</t>
  </si>
  <si>
    <t>Omereque</t>
  </si>
  <si>
    <t>Oruro</t>
  </si>
  <si>
    <t>Saipina</t>
  </si>
  <si>
    <t>San Lorenzo</t>
  </si>
  <si>
    <t>San Antonio de Esmoruco</t>
  </si>
  <si>
    <t>Toro Toro</t>
  </si>
  <si>
    <t>Combaya</t>
  </si>
  <si>
    <t>Tapacarí</t>
  </si>
  <si>
    <t>San Joaquín</t>
  </si>
  <si>
    <t>Tarvita</t>
  </si>
  <si>
    <t>Cocapata</t>
  </si>
  <si>
    <t>Villa Libertad Licoma</t>
  </si>
  <si>
    <t>Potosi</t>
  </si>
  <si>
    <t>Pampa Aullagas</t>
  </si>
  <si>
    <t>La Asunta</t>
  </si>
  <si>
    <t>Villa Abecia</t>
  </si>
  <si>
    <t>Zudañez</t>
  </si>
  <si>
    <t>Cuevo</t>
  </si>
  <si>
    <t>Lagunillas</t>
  </si>
  <si>
    <t>San Javier</t>
  </si>
  <si>
    <t>Tarija</t>
  </si>
  <si>
    <t>Urubichá</t>
  </si>
  <si>
    <t>Caripuyo</t>
  </si>
  <si>
    <t>San Rafael</t>
  </si>
  <si>
    <t>Presto</t>
  </si>
  <si>
    <t>Bella Flor</t>
  </si>
  <si>
    <t>Caquiaviri</t>
  </si>
  <si>
    <t>Loreto</t>
  </si>
  <si>
    <t>Villa Alcalá</t>
  </si>
  <si>
    <t>Santa Cruz</t>
  </si>
  <si>
    <t>San Pablo de Lipez</t>
  </si>
  <si>
    <t>Incahuasi</t>
  </si>
  <si>
    <t>El Puente</t>
  </si>
  <si>
    <t>Las Carreras</t>
  </si>
  <si>
    <t>San Andrés de Machaca</t>
  </si>
  <si>
    <t>Okinawa Uno</t>
  </si>
  <si>
    <t>Beni</t>
  </si>
  <si>
    <t>Charaña</t>
  </si>
  <si>
    <t>Yanacachi</t>
  </si>
  <si>
    <t>Charagua</t>
  </si>
  <si>
    <t>Sicaya</t>
  </si>
  <si>
    <t>Waldo Ballivian</t>
  </si>
  <si>
    <t>Exaltación</t>
  </si>
  <si>
    <t>Icla</t>
  </si>
  <si>
    <t>Collana</t>
  </si>
  <si>
    <t>Ayata</t>
  </si>
  <si>
    <t>Pando</t>
  </si>
  <si>
    <t>Huatajata</t>
  </si>
  <si>
    <t>Arampampa</t>
  </si>
  <si>
    <t>Yunchará</t>
  </si>
  <si>
    <t>Padilla</t>
  </si>
  <si>
    <t>Malla</t>
  </si>
  <si>
    <t>Curva</t>
  </si>
  <si>
    <t>Bolivia</t>
  </si>
  <si>
    <t>Curahuara de Carangas</t>
  </si>
  <si>
    <t>Escara</t>
  </si>
  <si>
    <t>Mocomoco</t>
  </si>
  <si>
    <t>Desaguadero</t>
  </si>
  <si>
    <t>Cotagaita</t>
  </si>
  <si>
    <t>Porvenir</t>
  </si>
  <si>
    <t>Humanata</t>
  </si>
  <si>
    <t>Tomina</t>
  </si>
  <si>
    <t>Baures</t>
  </si>
  <si>
    <t>Colquechaca</t>
  </si>
  <si>
    <t>Atocha</t>
  </si>
  <si>
    <t>Sopachuy</t>
  </si>
  <si>
    <t>Mairana</t>
  </si>
  <si>
    <t>Taraco</t>
  </si>
  <si>
    <t>Puerto Acosta</t>
  </si>
  <si>
    <t>Toledo</t>
  </si>
  <si>
    <t>El Villar</t>
  </si>
  <si>
    <t>Eucaliptus</t>
  </si>
  <si>
    <t>Arque</t>
  </si>
  <si>
    <t>Monteagudo</t>
  </si>
  <si>
    <t>Tomave</t>
  </si>
  <si>
    <t>Puerto Rico</t>
  </si>
  <si>
    <t>Ichoca</t>
  </si>
  <si>
    <t>San Buenaventura</t>
  </si>
  <si>
    <t>San Pedro de Totora</t>
  </si>
  <si>
    <t>Tito Yupanqui</t>
  </si>
  <si>
    <t>Tarabuco</t>
  </si>
  <si>
    <t>Pazña</t>
  </si>
  <si>
    <t>Inquisivi</t>
  </si>
  <si>
    <t>Yamparáez</t>
  </si>
  <si>
    <t>Tipuani</t>
  </si>
  <si>
    <t>Gutiérrez</t>
  </si>
  <si>
    <t>Magdalena</t>
  </si>
  <si>
    <t>Camargo</t>
  </si>
  <si>
    <t>Turco</t>
  </si>
  <si>
    <t>Pasorapa</t>
  </si>
  <si>
    <t>Macharetí</t>
  </si>
  <si>
    <t>San Lucas</t>
  </si>
  <si>
    <t>Comanche</t>
  </si>
  <si>
    <t>Cajuata</t>
  </si>
  <si>
    <t>Villa Charcas</t>
  </si>
  <si>
    <t>Llica</t>
  </si>
  <si>
    <t>Santiago de Andamarca</t>
  </si>
  <si>
    <t>Anzaldo</t>
  </si>
  <si>
    <t>Villa Serrano</t>
  </si>
  <si>
    <t>Sacabamba</t>
  </si>
  <si>
    <t>San Benito</t>
  </si>
  <si>
    <t>Culpina</t>
  </si>
  <si>
    <t>Portachuelo</t>
  </si>
  <si>
    <t>Chua Cocani</t>
  </si>
  <si>
    <t>Pampa Grande</t>
  </si>
  <si>
    <t>Fernández Alonso</t>
  </si>
  <si>
    <t>Roboré</t>
  </si>
  <si>
    <t>Villa Rivero</t>
  </si>
  <si>
    <t>Buena Vista</t>
  </si>
  <si>
    <t>Puerto Quijarro</t>
  </si>
  <si>
    <t>Porco</t>
  </si>
  <si>
    <t>Mapiri</t>
  </si>
  <si>
    <t>Palca</t>
  </si>
  <si>
    <t>Acasio</t>
  </si>
  <si>
    <t>Mecapaca</t>
  </si>
  <si>
    <t>Tarata</t>
  </si>
  <si>
    <t>Sapahaqui</t>
  </si>
  <si>
    <t>Sabaya</t>
  </si>
  <si>
    <t>Achocalla</t>
  </si>
  <si>
    <t>Ckochas</t>
  </si>
  <si>
    <t>Santivañez</t>
  </si>
  <si>
    <t>Morochata</t>
  </si>
  <si>
    <t>El Alto</t>
  </si>
  <si>
    <t>Arani</t>
  </si>
  <si>
    <t>Totora</t>
  </si>
  <si>
    <t>Achacachi</t>
  </si>
  <si>
    <t>Aucapata</t>
  </si>
  <si>
    <t>Ancoraimes</t>
  </si>
  <si>
    <t>San Pedro de Tiquina</t>
  </si>
  <si>
    <t>Alto Beni</t>
  </si>
  <si>
    <t>Guaqui</t>
  </si>
  <si>
    <t>Huarina</t>
  </si>
  <si>
    <t>Porongo</t>
  </si>
  <si>
    <t>Santiago de Huata</t>
  </si>
  <si>
    <t>Corque</t>
  </si>
  <si>
    <t>Cairoma</t>
  </si>
  <si>
    <t>Samaipata</t>
  </si>
  <si>
    <t>Caraparí</t>
  </si>
  <si>
    <t>Ixiamas</t>
  </si>
  <si>
    <t>Villa Tunari</t>
  </si>
  <si>
    <t>Coro Coro</t>
  </si>
  <si>
    <t>Papel Pampa</t>
  </si>
  <si>
    <t>Yaco</t>
  </si>
  <si>
    <t>Puerto Pérez</t>
  </si>
  <si>
    <t>Teoponte</t>
  </si>
  <si>
    <t>San Miguel de Velasco</t>
  </si>
  <si>
    <t>Cliza</t>
  </si>
  <si>
    <t>Tacacoma</t>
  </si>
  <si>
    <t>Santa Ana de Yacuma</t>
  </si>
  <si>
    <t>Pojo</t>
  </si>
  <si>
    <t>Puerto Suarez</t>
  </si>
  <si>
    <t>Yocalla</t>
  </si>
  <si>
    <t>Poopó</t>
  </si>
  <si>
    <t>Comarapa</t>
  </si>
  <si>
    <t>Jesús de Machaca</t>
  </si>
  <si>
    <t>Independencia</t>
  </si>
  <si>
    <t>San Matías</t>
  </si>
  <si>
    <t>Colcapirhua</t>
  </si>
  <si>
    <t>San Andrés</t>
  </si>
  <si>
    <t>Huanuni</t>
  </si>
  <si>
    <t>Reyes</t>
  </si>
  <si>
    <t>Tiahuanacu</t>
  </si>
  <si>
    <t>Ayo Ayo</t>
  </si>
  <si>
    <t>Chaquí</t>
  </si>
  <si>
    <t>Coripata</t>
  </si>
  <si>
    <t>Camiri</t>
  </si>
  <si>
    <t>Escoma</t>
  </si>
  <si>
    <t>Entre Ríos</t>
  </si>
  <si>
    <t>Mizque</t>
  </si>
  <si>
    <t>San Carlos</t>
  </si>
  <si>
    <t>Chuma</t>
  </si>
  <si>
    <t>Soracachi</t>
  </si>
  <si>
    <t>Chayanta</t>
  </si>
  <si>
    <t>Colquencha</t>
  </si>
  <si>
    <t>Mineros</t>
  </si>
  <si>
    <t>Quime</t>
  </si>
  <si>
    <t>Umala</t>
  </si>
  <si>
    <t>Sorata</t>
  </si>
  <si>
    <t>Vitichi</t>
  </si>
  <si>
    <t>Uriondo</t>
  </si>
  <si>
    <t>Guanay</t>
  </si>
  <si>
    <t>Chimoré</t>
  </si>
  <si>
    <t>Vacas</t>
  </si>
  <si>
    <t>Cuatro Cañadas</t>
  </si>
  <si>
    <t>Punata</t>
  </si>
  <si>
    <t>Apolo</t>
  </si>
  <si>
    <t>Pocona</t>
  </si>
  <si>
    <t>Shinahota</t>
  </si>
  <si>
    <t>Viacha</t>
  </si>
  <si>
    <t>Chulumani</t>
  </si>
  <si>
    <t>Rurrenabaque</t>
  </si>
  <si>
    <t>Challapata</t>
  </si>
  <si>
    <t>Concepción</t>
  </si>
  <si>
    <t>Calamarca</t>
  </si>
  <si>
    <t>Cabezas</t>
  </si>
  <si>
    <t>Copacabana</t>
  </si>
  <si>
    <t>Aiquile</t>
  </si>
  <si>
    <t>Luribay</t>
  </si>
  <si>
    <t>Bermejo</t>
  </si>
  <si>
    <t>Pucarani</t>
  </si>
  <si>
    <t>Santa Rosa del Sara</t>
  </si>
  <si>
    <t>Vallegrande</t>
  </si>
  <si>
    <t>Palos Blancos</t>
  </si>
  <si>
    <t>Arbieto</t>
  </si>
  <si>
    <t>Caranavi</t>
  </si>
  <si>
    <t>Sica Sica</t>
  </si>
  <si>
    <t>San Ignacio</t>
  </si>
  <si>
    <t>Cotoca</t>
  </si>
  <si>
    <t>Uncía</t>
  </si>
  <si>
    <t>Puna</t>
  </si>
  <si>
    <t>Betanzos</t>
  </si>
  <si>
    <t>Laja</t>
  </si>
  <si>
    <t>Colquiri</t>
  </si>
  <si>
    <t>Capinota</t>
  </si>
  <si>
    <t>Puerto Villarroel</t>
  </si>
  <si>
    <t>Villa San Lorenzo</t>
  </si>
  <si>
    <t>Pailón</t>
  </si>
  <si>
    <t>Irupana</t>
  </si>
  <si>
    <t>Padcaya</t>
  </si>
  <si>
    <t>Colomi</t>
  </si>
  <si>
    <t>San Borja</t>
  </si>
  <si>
    <t>Batallas</t>
  </si>
  <si>
    <t>Yapacaní</t>
  </si>
  <si>
    <t>San Ignacio de Velasco</t>
  </si>
  <si>
    <t>Patacamaya</t>
  </si>
  <si>
    <t>Cobija</t>
  </si>
  <si>
    <t>Tiraque</t>
  </si>
  <si>
    <t>Tiquipaya</t>
  </si>
  <si>
    <t>Coroico</t>
  </si>
  <si>
    <t>San Julián</t>
  </si>
  <si>
    <t>Caracollo</t>
  </si>
  <si>
    <t>Guayaramerín</t>
  </si>
  <si>
    <t>Vinto</t>
  </si>
  <si>
    <t>Uyuni</t>
  </si>
  <si>
    <t>Tupiza</t>
  </si>
  <si>
    <t>El Torno</t>
  </si>
  <si>
    <t>Sipe Sipe</t>
  </si>
  <si>
    <t>Villazón</t>
  </si>
  <si>
    <t>La Guardia</t>
  </si>
  <si>
    <t>Llallagua</t>
  </si>
  <si>
    <t>Riberalta</t>
  </si>
  <si>
    <t>Yacuiba</t>
  </si>
  <si>
    <t>Warnes</t>
  </si>
  <si>
    <t>Quillacollo</t>
  </si>
  <si>
    <t>Montero</t>
  </si>
  <si>
    <t>Trinidad</t>
  </si>
  <si>
    <t>Potosí</t>
  </si>
  <si>
    <t>Sacaba</t>
  </si>
  <si>
    <t>Santa Cruz de la Sierra</t>
  </si>
  <si>
    <t>ODS</t>
  </si>
  <si>
    <t>id</t>
  </si>
  <si>
    <t>Villa Azurduy</t>
  </si>
  <si>
    <t>Villa Mojocoya</t>
  </si>
  <si>
    <t>San Pablo de Huacareta</t>
  </si>
  <si>
    <t>Nuestra Señora de La Paz</t>
  </si>
  <si>
    <t>Santiago de Callapa</t>
  </si>
  <si>
    <t>Puerto Mayor de Carabuco</t>
  </si>
  <si>
    <t>General Juan José Pérez (Charazani)</t>
  </si>
  <si>
    <t>San Pedro de Curahuara</t>
  </si>
  <si>
    <t>Toco</t>
  </si>
  <si>
    <t>TIOC-Raqaypampa</t>
  </si>
  <si>
    <t>Cuchumuela (Villa Gualberto Villarroel)</t>
  </si>
  <si>
    <t>Bolivar</t>
  </si>
  <si>
    <t>Santuario de Quillacas</t>
  </si>
  <si>
    <t>Choquecota</t>
  </si>
  <si>
    <t>Yunguyo del Litoral</t>
  </si>
  <si>
    <t>Salinas de Garcí Mendoza</t>
  </si>
  <si>
    <t>Santiago de Huari</t>
  </si>
  <si>
    <t>San Pedro de Macha</t>
  </si>
  <si>
    <t>Caiza "D"</t>
  </si>
  <si>
    <t>Villa Montes</t>
  </si>
  <si>
    <t>San Juan</t>
  </si>
  <si>
    <t>San José de Chiquitos</t>
  </si>
  <si>
    <t>Colpa Bélgica</t>
  </si>
  <si>
    <t>Postrervalle</t>
  </si>
  <si>
    <t>Pucará</t>
  </si>
  <si>
    <t>General Saavedra</t>
  </si>
  <si>
    <t>San Antonio de Lomerio</t>
  </si>
  <si>
    <t>El Carmen Rivero Tórrez</t>
  </si>
  <si>
    <t>Ascención de Guarayos</t>
  </si>
  <si>
    <t>Puerto Gonzalo Moreno</t>
  </si>
  <si>
    <t>Sena</t>
  </si>
  <si>
    <t>DEPARTAMENTO</t>
  </si>
  <si>
    <t>PROVINCIA</t>
  </si>
  <si>
    <t>MUNICIPIO</t>
  </si>
  <si>
    <t>Oropeza</t>
  </si>
  <si>
    <t>Zudáñez</t>
  </si>
  <si>
    <t>Hernando Siles</t>
  </si>
  <si>
    <t>Nor Cinti</t>
  </si>
  <si>
    <t>Belisario Boeto</t>
  </si>
  <si>
    <t>Sur Cinti</t>
  </si>
  <si>
    <t>Luis Calvo</t>
  </si>
  <si>
    <t>Villa Vaca Guzman</t>
  </si>
  <si>
    <t>Murillo</t>
  </si>
  <si>
    <t>Omasuyos</t>
  </si>
  <si>
    <t>Pacajes</t>
  </si>
  <si>
    <t>Camacho</t>
  </si>
  <si>
    <t>Muñecas</t>
  </si>
  <si>
    <t>Larecaja</t>
  </si>
  <si>
    <t>Franz Tamayo</t>
  </si>
  <si>
    <t>Loayza</t>
  </si>
  <si>
    <t>Sud Yungas</t>
  </si>
  <si>
    <t>Los Andes</t>
  </si>
  <si>
    <t>Aroma</t>
  </si>
  <si>
    <t>Nor Yungas</t>
  </si>
  <si>
    <t>Abel Iturralde</t>
  </si>
  <si>
    <t>Bautista Saavedra</t>
  </si>
  <si>
    <t>Manco Kapac</t>
  </si>
  <si>
    <t>Gualberto Villarroel</t>
  </si>
  <si>
    <t>Gualberto Villarroe</t>
  </si>
  <si>
    <t>General José Manuel Pando</t>
  </si>
  <si>
    <t>Cercado</t>
  </si>
  <si>
    <t>Campero</t>
  </si>
  <si>
    <t>Ayopaya</t>
  </si>
  <si>
    <t>Esteban Arze</t>
  </si>
  <si>
    <t>Germán Jordán</t>
  </si>
  <si>
    <t>Chapare</t>
  </si>
  <si>
    <t>Carrasco</t>
  </si>
  <si>
    <t>Abaroa</t>
  </si>
  <si>
    <t>Sajama</t>
  </si>
  <si>
    <t>Litoral</t>
  </si>
  <si>
    <t>Pantaleón Dalence</t>
  </si>
  <si>
    <t>Ladislao Cabrera</t>
  </si>
  <si>
    <t>Saucarí</t>
  </si>
  <si>
    <t>Tomás Barrón</t>
  </si>
  <si>
    <t>Sur Carangas</t>
  </si>
  <si>
    <t>Sebastián Pagador</t>
  </si>
  <si>
    <t>Mejillones</t>
  </si>
  <si>
    <t>Nor Carangas</t>
  </si>
  <si>
    <t>Huayllamarca (Santiago de Huayllamarca)</t>
  </si>
  <si>
    <t>Tomás Frías</t>
  </si>
  <si>
    <t>Belén de Urmiri</t>
  </si>
  <si>
    <t>Rafael Bustillo</t>
  </si>
  <si>
    <t>Chuquihuta - Ayllu Jucumani</t>
  </si>
  <si>
    <t>Cornelio Saavedra</t>
  </si>
  <si>
    <t>Chárcas</t>
  </si>
  <si>
    <t>San Pedro de Buena Vista</t>
  </si>
  <si>
    <t>Nor Chichas</t>
  </si>
  <si>
    <t>Alonso de Ibáñez</t>
  </si>
  <si>
    <t>Sacaca (Villa de Sacaca)</t>
  </si>
  <si>
    <t>Sur Chichas</t>
  </si>
  <si>
    <t>Nor Lipez</t>
  </si>
  <si>
    <t>Colcha ''K'' (Villa Martin)</t>
  </si>
  <si>
    <t>Sur Lipez</t>
  </si>
  <si>
    <t>José María Linares</t>
  </si>
  <si>
    <t>Antonio Quijarro</t>
  </si>
  <si>
    <t>TIOC-Jatun Ayllu Yura</t>
  </si>
  <si>
    <t>General Bilbao</t>
  </si>
  <si>
    <t>Daniel Campos</t>
  </si>
  <si>
    <t>Modesto Omiste</t>
  </si>
  <si>
    <t>Enrique Baldivieso</t>
  </si>
  <si>
    <t>Arce</t>
  </si>
  <si>
    <t>Gran Chaco</t>
  </si>
  <si>
    <t>Avilés</t>
  </si>
  <si>
    <t>Méndez</t>
  </si>
  <si>
    <t>O'Connor</t>
  </si>
  <si>
    <t>Andrés Ibáñez</t>
  </si>
  <si>
    <t>Velasco</t>
  </si>
  <si>
    <t>Ichilo</t>
  </si>
  <si>
    <t>Chiquitos</t>
  </si>
  <si>
    <t>Sara</t>
  </si>
  <si>
    <t>Cordillera</t>
  </si>
  <si>
    <t>Florida</t>
  </si>
  <si>
    <t>Obispo Santistéban</t>
  </si>
  <si>
    <t>Ñuflo De Chávez</t>
  </si>
  <si>
    <t>Angel Sandoval</t>
  </si>
  <si>
    <t>Manuel María Caballero</t>
  </si>
  <si>
    <t>Germán Busch</t>
  </si>
  <si>
    <t>Guarayos</t>
  </si>
  <si>
    <t>Vaca Diez</t>
  </si>
  <si>
    <t>General José Ballivián</t>
  </si>
  <si>
    <t>Yacuma</t>
  </si>
  <si>
    <t>Moxos</t>
  </si>
  <si>
    <t>Marbán</t>
  </si>
  <si>
    <t>Mamoré</t>
  </si>
  <si>
    <t>Iténez</t>
  </si>
  <si>
    <t>TIOC-Territorio Indigena Multiétnico</t>
  </si>
  <si>
    <t>Nicolás Suárez</t>
  </si>
  <si>
    <t>Manuripi</t>
  </si>
  <si>
    <t>Madre de Dios</t>
  </si>
  <si>
    <t>Abuná</t>
  </si>
  <si>
    <t>Santa Rosa del Abuná</t>
  </si>
  <si>
    <t>Federico Román</t>
  </si>
  <si>
    <t>Villa Nueva (Loma Alta)</t>
  </si>
  <si>
    <t>id_departamento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</si>
  <si>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</si>
  <si>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</si>
  <si>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</si>
  <si>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</si>
  <si>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</si>
  <si>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</si>
  <si>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</si>
  <si>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</si>
  <si>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</si>
  <si>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Codigo</t>
  </si>
  <si>
    <t>Municipio</t>
  </si>
  <si>
    <t>Mojocoya</t>
  </si>
  <si>
    <t>Alcalá</t>
  </si>
  <si>
    <t>Huacareta</t>
  </si>
  <si>
    <t>Villa Vaca Guzmán</t>
  </si>
  <si>
    <t>Huacaya (Autonomía Guaraní Chaqueño de Huacaya)</t>
  </si>
  <si>
    <t>Villa Ancoraimes</t>
  </si>
  <si>
    <t>Corocoro</t>
  </si>
  <si>
    <t>Waldo Ballivián</t>
  </si>
  <si>
    <t>Puerto Mayor de Guaqui</t>
  </si>
  <si>
    <t>La (Marka) San Andrés de Machaca</t>
  </si>
  <si>
    <t>Jesús de Machaka</t>
  </si>
  <si>
    <t>Sicasica</t>
  </si>
  <si>
    <t>Charazani</t>
  </si>
  <si>
    <t>Santiváñez</t>
  </si>
  <si>
    <t>Sipesipe</t>
  </si>
  <si>
    <t>Villa Gualberto Villarroel</t>
  </si>
  <si>
    <t>Bolívar</t>
  </si>
  <si>
    <t>Paria</t>
  </si>
  <si>
    <t>Salinas de Garci Mendoza (Autonomía Indígena Originario Campesina de Salinas)</t>
  </si>
  <si>
    <t>Uru Chipaya (Nación Originaria Uru Chipaya)</t>
  </si>
  <si>
    <t>Andamarca</t>
  </si>
  <si>
    <t>Santiago de Huayllamarca</t>
  </si>
  <si>
    <t>Urmiri</t>
  </si>
  <si>
    <t>Chuquihuta Ayllu Jucumani</t>
  </si>
  <si>
    <t>Sacaca</t>
  </si>
  <si>
    <t>Colcha "K"</t>
  </si>
  <si>
    <t>San Pablo</t>
  </si>
  <si>
    <t>San Miguel</t>
  </si>
  <si>
    <t>San José</t>
  </si>
  <si>
    <t>Charagua (Autonomía Guaraní Charagua Iyambae)</t>
  </si>
  <si>
    <t>Gutiérrez (Autonomía Indígena Kereimba Iyaambae)</t>
  </si>
  <si>
    <t>Moromoro</t>
  </si>
  <si>
    <t>Pampagrande</t>
  </si>
  <si>
    <t>Puerto Suárez</t>
  </si>
  <si>
    <t>Puerto Menor de Rurrenabaque</t>
  </si>
  <si>
    <t>Santa Ana</t>
  </si>
  <si>
    <t>TIOC-Territorio Indígena Multiétnico</t>
  </si>
  <si>
    <t>Villa Nueva</t>
  </si>
  <si>
    <t>sdg9_comunicación 2024</t>
  </si>
  <si>
    <t>Porcentaje del PIB que corresponde a turismo 2016</t>
  </si>
  <si>
    <t>Total Valor Agregado en millones de Bs. 2016</t>
  </si>
  <si>
    <t>na</t>
  </si>
  <si>
    <t>Porcentaje del PIB que corresponde a turismo 2025</t>
  </si>
  <si>
    <t xml:space="preserve">Porcentaje del PIB que corresponde a turismo </t>
  </si>
  <si>
    <t xml:space="preserve">promedio </t>
  </si>
  <si>
    <t xml:space="preserve">desviacion </t>
  </si>
  <si>
    <t>PIB turismo 2016 (en millones de Bs)</t>
  </si>
  <si>
    <t>PIB turismo 2025 (en millones de Bs)</t>
  </si>
  <si>
    <t>PIB turismo 2025 (En millones de Bs)</t>
  </si>
  <si>
    <t>PIB turismo 2016 (En millones de Bs)</t>
  </si>
  <si>
    <t>--</t>
  </si>
  <si>
    <t>Umbral 2024</t>
  </si>
  <si>
    <t>sdg8_09_02_02_pbt</t>
  </si>
  <si>
    <t>Total Valor Agregado en millones de Bs. 2025 (Preliminar)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</si>
</sst>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??_);_(@_)"/>
    <numFmt numFmtId="165" formatCode="0.0"/>
    <numFmt numFmtId="166" formatCode="#,##0.0"/>
    <numFmt numFmtId="167" formatCode="0.000"/>
  </numFmts>
  <fonts count="25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ECE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5">
    <xf numFmtId="0" fontId="0" fillId="0" borderId="0"/>
    <xf numFmtId="0" fontId="8" fillId="0" borderId="0"/>
    <xf numFmtId="0" fontId="12" fillId="0" borderId="0"/>
    <xf numFmtId="0" fontId="13" fillId="0" borderId="0"/>
    <xf numFmtId="0" fontId="16" fillId="0" borderId="0"/>
    <xf numFmtId="0" fontId="4" fillId="0" borderId="0"/>
    <xf numFmtId="0" fontId="3" fillId="0" borderId="0"/>
    <xf numFmtId="0" fontId="18" fillId="0" borderId="0"/>
    <xf numFmtId="0" fontId="19" fillId="0" borderId="0" applyNumberFormat="0" applyFill="0" applyBorder="0" applyAlignment="0" applyProtection="0"/>
    <xf numFmtId="0" fontId="3" fillId="0" borderId="0"/>
    <xf numFmtId="0" fontId="20" fillId="0" borderId="0"/>
    <xf numFmtId="0" fontId="3" fillId="0" borderId="0"/>
    <xf numFmtId="0" fontId="22" fillId="0" borderId="0"/>
    <xf numFmtId="0" fontId="2" fillId="0" borderId="0"/>
    <xf numFmtId="0" fontId="18" fillId="0" borderId="0"/>
    <xf numFmtId="0" fontId="19" fillId="0" borderId="0" applyNumberFormat="0" applyFill="0" applyBorder="0" applyAlignment="0" applyProtection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1" fillId="0" borderId="0"/>
  </cellStyleXfs>
  <cellXfs count="67">
    <xf numFmtId="0" fontId="0" fillId="0" borderId="0" xfId="0"/>
    <xf numFmtId="165" fontId="6" fillId="0" borderId="1" xfId="0" applyNumberFormat="1" applyFont="1" applyBorder="1"/>
    <xf numFmtId="0" fontId="7" fillId="0" borderId="0" xfId="0" applyFont="1"/>
    <xf numFmtId="0" fontId="6" fillId="0" borderId="0" xfId="0" applyFont="1"/>
    <xf numFmtId="165" fontId="6" fillId="0" borderId="0" xfId="0" applyNumberFormat="1" applyFont="1"/>
    <xf numFmtId="2" fontId="6" fillId="0" borderId="1" xfId="0" applyNumberFormat="1" applyFont="1" applyBorder="1"/>
    <xf numFmtId="164" fontId="6" fillId="0" borderId="2" xfId="0" applyNumberFormat="1" applyFont="1" applyBorder="1"/>
    <xf numFmtId="0" fontId="7" fillId="0" borderId="2" xfId="0" applyFont="1" applyBorder="1"/>
    <xf numFmtId="49" fontId="9" fillId="0" borderId="2" xfId="1" applyNumberFormat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6" fillId="0" borderId="2" xfId="1" applyFont="1" applyBorder="1"/>
    <xf numFmtId="0" fontId="0" fillId="0" borderId="0" xfId="0" applyAlignment="1">
      <alignment horizontal="center" vertical="center"/>
    </xf>
    <xf numFmtId="0" fontId="10" fillId="0" borderId="0" xfId="0" applyFont="1"/>
    <xf numFmtId="0" fontId="11" fillId="0" borderId="0" xfId="0" applyFont="1"/>
    <xf numFmtId="1" fontId="6" fillId="0" borderId="1" xfId="0" applyNumberFormat="1" applyFont="1" applyBorder="1"/>
    <xf numFmtId="0" fontId="12" fillId="0" borderId="0" xfId="2"/>
    <xf numFmtId="0" fontId="12" fillId="0" borderId="2" xfId="2" applyBorder="1"/>
    <xf numFmtId="2" fontId="12" fillId="0" borderId="2" xfId="2" applyNumberFormat="1" applyBorder="1"/>
    <xf numFmtId="1" fontId="12" fillId="0" borderId="2" xfId="2" applyNumberFormat="1" applyBorder="1"/>
    <xf numFmtId="0" fontId="14" fillId="2" borderId="2" xfId="3" applyFont="1" applyFill="1" applyBorder="1"/>
    <xf numFmtId="0" fontId="15" fillId="3" borderId="2" xfId="3" applyFont="1" applyFill="1" applyBorder="1" applyAlignment="1">
      <alignment horizontal="center" vertical="center" wrapText="1"/>
    </xf>
    <xf numFmtId="0" fontId="15" fillId="4" borderId="2" xfId="3" applyFont="1" applyFill="1" applyBorder="1" applyAlignment="1">
      <alignment horizontal="center" vertical="center" wrapText="1"/>
    </xf>
    <xf numFmtId="0" fontId="15" fillId="5" borderId="2" xfId="3" applyFont="1" applyFill="1" applyBorder="1" applyAlignment="1">
      <alignment horizontal="center" vertical="center" wrapText="1"/>
    </xf>
    <xf numFmtId="0" fontId="15" fillId="6" borderId="2" xfId="3" applyFont="1" applyFill="1" applyBorder="1" applyAlignment="1">
      <alignment horizontal="center" vertical="center" wrapText="1"/>
    </xf>
    <xf numFmtId="0" fontId="14" fillId="0" borderId="0" xfId="3" applyFont="1"/>
    <xf numFmtId="0" fontId="13" fillId="0" borderId="0" xfId="3"/>
    <xf numFmtId="0" fontId="5" fillId="0" borderId="0" xfId="4" applyFont="1" applyAlignment="1">
      <alignment horizontal="center" wrapText="1"/>
    </xf>
    <xf numFmtId="0" fontId="16" fillId="0" borderId="0" xfId="4" applyAlignment="1">
      <alignment vertical="center" wrapText="1"/>
    </xf>
    <xf numFmtId="0" fontId="16" fillId="0" borderId="0" xfId="4"/>
    <xf numFmtId="0" fontId="16" fillId="0" borderId="0" xfId="4" applyAlignment="1">
      <alignment horizontal="center"/>
    </xf>
    <xf numFmtId="2" fontId="4" fillId="0" borderId="2" xfId="5" applyNumberFormat="1" applyBorder="1"/>
    <xf numFmtId="2" fontId="0" fillId="0" borderId="0" xfId="0" applyNumberFormat="1"/>
    <xf numFmtId="0" fontId="6" fillId="7" borderId="2" xfId="1" applyFont="1" applyFill="1" applyBorder="1"/>
    <xf numFmtId="0" fontId="6" fillId="0" borderId="2" xfId="1" applyFont="1" applyBorder="1" applyAlignment="1">
      <alignment horizontal="center" vertical="center"/>
    </xf>
    <xf numFmtId="0" fontId="6" fillId="7" borderId="2" xfId="1" applyFont="1" applyFill="1" applyBorder="1" applyAlignment="1">
      <alignment horizontal="center" vertical="center"/>
    </xf>
    <xf numFmtId="0" fontId="13" fillId="0" borderId="2" xfId="3" applyBorder="1" applyAlignment="1">
      <alignment horizontal="center" vertical="center"/>
    </xf>
    <xf numFmtId="0" fontId="17" fillId="0" borderId="2" xfId="4" applyFont="1" applyBorder="1" applyAlignment="1">
      <alignment horizontal="center" vertical="center" wrapText="1"/>
    </xf>
    <xf numFmtId="0" fontId="5" fillId="0" borderId="2" xfId="4" applyFont="1" applyBorder="1" applyAlignment="1">
      <alignment horizontal="center" wrapText="1"/>
    </xf>
    <xf numFmtId="0" fontId="5" fillId="0" borderId="2" xfId="4" applyFont="1" applyBorder="1" applyAlignment="1">
      <alignment horizontal="center" vertical="center" wrapText="1"/>
    </xf>
    <xf numFmtId="0" fontId="16" fillId="0" borderId="2" xfId="4" applyBorder="1" applyAlignment="1">
      <alignment horizontal="center"/>
    </xf>
    <xf numFmtId="166" fontId="16" fillId="0" borderId="2" xfId="4" applyNumberFormat="1" applyBorder="1" applyAlignment="1">
      <alignment horizontal="center"/>
    </xf>
    <xf numFmtId="2" fontId="0" fillId="0" borderId="2" xfId="0" applyNumberFormat="1" applyBorder="1"/>
    <xf numFmtId="1" fontId="16" fillId="0" borderId="2" xfId="4" applyNumberFormat="1" applyBorder="1" applyAlignment="1">
      <alignment horizontal="center"/>
    </xf>
    <xf numFmtId="0" fontId="24" fillId="0" borderId="0" xfId="23"/>
    <xf numFmtId="167" fontId="24" fillId="0" borderId="0" xfId="23" applyNumberFormat="1"/>
    <xf numFmtId="0" fontId="24" fillId="0" borderId="2" xfId="23" applyBorder="1"/>
    <xf numFmtId="1" fontId="24" fillId="0" borderId="2" xfId="23" applyNumberFormat="1" applyBorder="1"/>
    <xf numFmtId="3" fontId="21" fillId="9" borderId="2" xfId="24" applyNumberFormat="1" applyFont="1" applyFill="1" applyBorder="1" applyAlignment="1">
      <alignment horizontal="right" vertical="center"/>
    </xf>
    <xf numFmtId="0" fontId="5" fillId="0" borderId="2" xfId="23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23" fillId="8" borderId="2" xfId="0" applyNumberFormat="1" applyFont="1" applyFill="1" applyBorder="1"/>
    <xf numFmtId="0" fontId="14" fillId="0" borderId="2" xfId="2" applyFont="1" applyBorder="1" applyAlignment="1">
      <alignment horizontal="center" vertical="center" wrapText="1"/>
    </xf>
    <xf numFmtId="0" fontId="6" fillId="0" borderId="2" xfId="23" applyFont="1" applyBorder="1"/>
    <xf numFmtId="2" fontId="24" fillId="0" borderId="2" xfId="23" applyNumberFormat="1" applyBorder="1"/>
    <xf numFmtId="1" fontId="21" fillId="9" borderId="2" xfId="24" applyNumberFormat="1" applyFont="1" applyFill="1" applyBorder="1" applyAlignment="1">
      <alignment vertical="center"/>
    </xf>
    <xf numFmtId="2" fontId="21" fillId="9" borderId="2" xfId="24" applyNumberFormat="1" applyFont="1" applyFill="1" applyBorder="1" applyAlignment="1">
      <alignment horizontal="right" vertical="center"/>
    </xf>
    <xf numFmtId="1" fontId="24" fillId="0" borderId="0" xfId="23" applyNumberFormat="1"/>
    <xf numFmtId="164" fontId="6" fillId="0" borderId="3" xfId="0" applyNumberFormat="1" applyFont="1" applyBorder="1"/>
    <xf numFmtId="0" fontId="24" fillId="0" borderId="4" xfId="23" applyBorder="1"/>
    <xf numFmtId="2" fontId="24" fillId="0" borderId="4" xfId="23" applyNumberFormat="1" applyBorder="1"/>
    <xf numFmtId="2" fontId="24" fillId="0" borderId="0" xfId="23" applyNumberFormat="1"/>
    <xf numFmtId="165" fontId="5" fillId="8" borderId="2" xfId="0" applyNumberFormat="1" applyFont="1" applyFill="1" applyBorder="1"/>
    <xf numFmtId="0" fontId="5" fillId="0" borderId="0" xfId="23" applyFont="1" applyAlignment="1">
      <alignment horizontal="center" vertical="center" wrapText="1"/>
    </xf>
    <xf numFmtId="0" fontId="5" fillId="0" borderId="5" xfId="23" applyFont="1" applyBorder="1" applyAlignment="1">
      <alignment horizontal="center" vertical="center" wrapText="1"/>
    </xf>
    <xf numFmtId="165" fontId="5" fillId="0" borderId="2" xfId="0" applyNumberFormat="1" applyFont="1" applyBorder="1"/>
    <xf numFmtId="2" fontId="6" fillId="8" borderId="2" xfId="0" applyNumberFormat="1" applyFont="1" applyFill="1" applyBorder="1"/>
  </cellXfs>
  <cellStyles count="25">
    <cellStyle name="Hipervínculo 2" xfId="8" xr:uid="{28FC412C-CE92-4F59-B2C7-968D802DCB91}"/>
    <cellStyle name="Hipervínculo 2 3" xfId="15" xr:uid="{53F9D827-3B1F-4C13-893C-A73F5EE70579}"/>
    <cellStyle name="Normal" xfId="0" builtinId="0"/>
    <cellStyle name="Normal 10" xfId="7" xr:uid="{D7BC16D8-A936-4593-9B51-BBE6068CEA82}"/>
    <cellStyle name="Normal 10 2" xfId="14" xr:uid="{02D21A70-5CA3-4E8B-A741-7CB5CD421560}"/>
    <cellStyle name="Normal 10 3 2" xfId="21" xr:uid="{37238064-62CB-4725-B5FA-8A66B30D5F8B}"/>
    <cellStyle name="Normal 10 6 2" xfId="17" xr:uid="{5A41C249-C54D-43CA-914E-9C8D90CC976F}"/>
    <cellStyle name="Normal 11 2 2" xfId="22" xr:uid="{B8936F1D-45CF-4FE0-801A-6D15C47BD08F}"/>
    <cellStyle name="Normal 11 5 2" xfId="18" xr:uid="{2E3077AB-9939-4605-AFCC-97364DBE3F0B}"/>
    <cellStyle name="Normal 12 2 2" xfId="13" xr:uid="{22D1DC53-69C1-4E30-86AE-A9F4B77F0F5A}"/>
    <cellStyle name="Normal 2" xfId="3" xr:uid="{9CF6B41A-6E56-4436-83D1-F2AA80A083C3}"/>
    <cellStyle name="Normal 2 2" xfId="4" xr:uid="{14BBE0BA-06FB-4ED2-9B39-8FCD5C417EA7}"/>
    <cellStyle name="Normal 3" xfId="1" xr:uid="{48D2FD1A-FB61-48EB-902A-C032017A9E2D}"/>
    <cellStyle name="Normal 3 2" xfId="9" xr:uid="{2AE236E4-AD16-45B6-8119-3C61D44B576A}"/>
    <cellStyle name="Normal 3 2 2" xfId="16" xr:uid="{07E45088-A9E9-4E05-A31C-9EED6A866E7B}"/>
    <cellStyle name="Normal 3 2 4 2 2" xfId="19" xr:uid="{9D1F881F-6AB7-4B04-A7CB-C47BFB5DCCF6}"/>
    <cellStyle name="Normal 3 3" xfId="10" xr:uid="{526EA533-1CC1-4ECE-BA73-F1D8CE76C0E2}"/>
    <cellStyle name="Normal 4" xfId="5" xr:uid="{FF2609E8-F576-4F8B-A9B4-2F97ED181307}"/>
    <cellStyle name="Normal 5" xfId="2" xr:uid="{F8E27D19-F470-41AC-B28A-CA4F26C3DC3D}"/>
    <cellStyle name="Normal 5 2" xfId="11" xr:uid="{479BFB1E-755B-4FC4-982C-471C603BD969}"/>
    <cellStyle name="Normal 5 4 2 2" xfId="20" xr:uid="{6DBBC31A-92BD-4E9A-9CE6-E50E9794C45A}"/>
    <cellStyle name="Normal 5 4 2 2 2" xfId="24" xr:uid="{C01CE7F6-F5EB-4DBD-8FCA-7C403258F733}"/>
    <cellStyle name="Normal 6" xfId="6" xr:uid="{C05B27E9-85B9-40FB-B5E7-238EF8AF6B6F}"/>
    <cellStyle name="Normal 7" xfId="12" xr:uid="{0A46CF35-032E-4790-812F-3F28A6CA4680}"/>
    <cellStyle name="Normal 8" xfId="23" xr:uid="{A36EE5FD-3799-45A3-92FC-E4F85651A353}"/>
  </cellStyles>
  <dxfs count="8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05;ndi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E27A8-263A-408A-BDF4-12F79B1CB5BE}">
  <dimension ref="A1:U350"/>
  <sheetViews>
    <sheetView topLeftCell="H1" zoomScale="80" zoomScaleNormal="80" workbookViewId="0">
      <selection activeCell="J7" sqref="J7"/>
    </sheetView>
  </sheetViews>
  <sheetFormatPr baseColWidth="10" defaultColWidth="11" defaultRowHeight="14.4" x14ac:dyDescent="0.3"/>
  <cols>
    <col min="1" max="1" width="8.69921875" style="43" customWidth="1"/>
    <col min="2" max="2" width="14" style="43" customWidth="1"/>
    <col min="3" max="3" width="15.69921875" style="43" customWidth="1"/>
    <col min="4" max="4" width="24.5" style="43" customWidth="1"/>
    <col min="5" max="5" width="14" style="43" customWidth="1"/>
    <col min="6" max="6" width="22.09765625" style="43" customWidth="1"/>
    <col min="7" max="7" width="21.69921875" style="43" customWidth="1"/>
    <col min="8" max="8" width="14" style="43" customWidth="1"/>
    <col min="9" max="9" width="22.09765625" style="43" customWidth="1"/>
    <col min="10" max="10" width="28.5" style="43" customWidth="1"/>
    <col min="11" max="12" width="11" style="43"/>
    <col min="13" max="13" width="19.8984375" style="43" customWidth="1"/>
    <col min="14" max="14" width="21.19921875" style="43" customWidth="1"/>
    <col min="15" max="15" width="11" style="43"/>
    <col min="16" max="16" width="25.3984375" style="43" customWidth="1"/>
    <col min="17" max="17" width="20.19921875" style="43" customWidth="1"/>
    <col min="18" max="18" width="16.8984375" style="43" customWidth="1"/>
    <col min="19" max="16384" width="11" style="43"/>
  </cols>
  <sheetData>
    <row r="1" spans="1:21" ht="74.25" customHeight="1" x14ac:dyDescent="0.3">
      <c r="A1" s="45" t="s">
        <v>306</v>
      </c>
      <c r="B1" s="48" t="s">
        <v>338</v>
      </c>
      <c r="C1" s="48" t="s">
        <v>339</v>
      </c>
      <c r="D1" s="48" t="s">
        <v>340</v>
      </c>
      <c r="E1" s="48" t="s">
        <v>491</v>
      </c>
      <c r="F1" s="48" t="s">
        <v>498</v>
      </c>
      <c r="G1" s="48" t="s">
        <v>492</v>
      </c>
      <c r="H1" s="48" t="s">
        <v>499</v>
      </c>
      <c r="I1" s="48" t="s">
        <v>505</v>
      </c>
      <c r="J1" s="48" t="s">
        <v>494</v>
      </c>
      <c r="L1" s="49" t="s">
        <v>3</v>
      </c>
      <c r="M1" s="48" t="s">
        <v>501</v>
      </c>
      <c r="N1" s="48" t="s">
        <v>492</v>
      </c>
      <c r="O1" s="48" t="s">
        <v>491</v>
      </c>
      <c r="P1" s="48" t="s">
        <v>500</v>
      </c>
      <c r="Q1" s="48" t="s">
        <v>505</v>
      </c>
      <c r="R1" s="48" t="s">
        <v>494</v>
      </c>
      <c r="S1" s="64"/>
      <c r="T1" s="63"/>
      <c r="U1" s="63"/>
    </row>
    <row r="2" spans="1:21" x14ac:dyDescent="0.3">
      <c r="A2" s="45">
        <v>10101</v>
      </c>
      <c r="B2" s="45" t="s">
        <v>27</v>
      </c>
      <c r="C2" s="45" t="s">
        <v>341</v>
      </c>
      <c r="D2" s="45" t="s">
        <v>11</v>
      </c>
      <c r="E2" s="54">
        <v>5.0999999999999996</v>
      </c>
      <c r="F2" s="46">
        <v>267.90300000000002</v>
      </c>
      <c r="G2" s="46">
        <v>5253</v>
      </c>
      <c r="H2" s="46">
        <v>664.13</v>
      </c>
      <c r="I2" s="46">
        <v>8866.49</v>
      </c>
      <c r="J2" s="54">
        <f>(H2/I2)*100</f>
        <v>7.4903372134858328</v>
      </c>
      <c r="L2" s="7" t="s">
        <v>27</v>
      </c>
      <c r="M2" s="51">
        <f>SUM(F2:F30)</f>
        <v>339.31100000000009</v>
      </c>
      <c r="N2" s="51">
        <f>SUM(G2:G30)</f>
        <v>10144</v>
      </c>
      <c r="O2" s="62">
        <f t="shared" ref="O2:O10" si="0">(M2/N2)*100</f>
        <v>3.3449428233438496</v>
      </c>
      <c r="P2" s="51">
        <f>SUM(H2:H30)</f>
        <v>862.73000000000025</v>
      </c>
      <c r="Q2" s="51">
        <f>SUM(I2:I30)</f>
        <v>20078.780000000002</v>
      </c>
      <c r="R2" s="65">
        <f>100*P2/Q2</f>
        <v>4.2967251994394093</v>
      </c>
      <c r="S2" s="57"/>
      <c r="T2" s="57"/>
      <c r="U2" s="61"/>
    </row>
    <row r="3" spans="1:21" x14ac:dyDescent="0.3">
      <c r="A3" s="45">
        <v>10102</v>
      </c>
      <c r="B3" s="45" t="s">
        <v>27</v>
      </c>
      <c r="C3" s="45" t="s">
        <v>341</v>
      </c>
      <c r="D3" s="45" t="s">
        <v>39</v>
      </c>
      <c r="E3" s="54">
        <v>0.9</v>
      </c>
      <c r="F3" s="46">
        <v>1.044</v>
      </c>
      <c r="G3" s="46">
        <v>116</v>
      </c>
      <c r="H3" s="46">
        <v>6.59</v>
      </c>
      <c r="I3" s="46">
        <v>246.02</v>
      </c>
      <c r="J3" s="54">
        <f t="shared" ref="J3:J66" si="1">(H3/I3)*100</f>
        <v>2.6786440126818958</v>
      </c>
      <c r="L3" s="7" t="s">
        <v>43</v>
      </c>
      <c r="M3" s="51">
        <f>+SUM(F31:F117)</f>
        <v>2470.3029999999994</v>
      </c>
      <c r="N3" s="51">
        <f>+SUM(G31:G117)</f>
        <v>49832</v>
      </c>
      <c r="O3" s="62">
        <f t="shared" si="0"/>
        <v>4.9572624016696087</v>
      </c>
      <c r="P3" s="51">
        <f>+SUM(H31:H117)</f>
        <v>4546.5700000000006</v>
      </c>
      <c r="Q3" s="51">
        <f>+SUM(I31:I117)</f>
        <v>107671.22999999992</v>
      </c>
      <c r="R3" s="65">
        <f t="shared" ref="R3:R12" si="2">100*P3/Q3</f>
        <v>4.2226414614191778</v>
      </c>
      <c r="S3" s="57"/>
      <c r="T3" s="57"/>
      <c r="U3" s="61"/>
    </row>
    <row r="4" spans="1:21" x14ac:dyDescent="0.3">
      <c r="A4" s="45">
        <v>10103</v>
      </c>
      <c r="B4" s="45" t="s">
        <v>27</v>
      </c>
      <c r="C4" s="45" t="s">
        <v>341</v>
      </c>
      <c r="D4" s="45" t="s">
        <v>18</v>
      </c>
      <c r="E4" s="54">
        <v>0.4</v>
      </c>
      <c r="F4" s="46">
        <v>0.56000000000000005</v>
      </c>
      <c r="G4" s="46">
        <v>140</v>
      </c>
      <c r="H4" s="46">
        <v>2.7</v>
      </c>
      <c r="I4" s="46">
        <v>274.36</v>
      </c>
      <c r="J4" s="54">
        <f t="shared" si="1"/>
        <v>0.98410847062253981</v>
      </c>
      <c r="L4" s="7" t="s">
        <v>51</v>
      </c>
      <c r="M4" s="51">
        <f>+SUM(F118:F165)</f>
        <v>1140.0719999999997</v>
      </c>
      <c r="N4" s="51">
        <f>+SUM(G118:G165)</f>
        <v>32553</v>
      </c>
      <c r="O4" s="62">
        <f t="shared" si="0"/>
        <v>3.5022025619758534</v>
      </c>
      <c r="P4" s="51">
        <f>+SUM(H118:H165)</f>
        <v>2995.5500000000011</v>
      </c>
      <c r="Q4" s="51">
        <f>+SUM(I118:I165)</f>
        <v>65237.36</v>
      </c>
      <c r="R4" s="65">
        <f t="shared" si="2"/>
        <v>4.5917707276934587</v>
      </c>
      <c r="S4" s="57"/>
      <c r="T4" s="57"/>
      <c r="U4" s="61"/>
    </row>
    <row r="5" spans="1:21" x14ac:dyDescent="0.3">
      <c r="A5" s="45">
        <v>10201</v>
      </c>
      <c r="B5" s="45" t="s">
        <v>27</v>
      </c>
      <c r="C5" s="45" t="s">
        <v>31</v>
      </c>
      <c r="D5" s="45" t="s">
        <v>307</v>
      </c>
      <c r="E5" s="54">
        <v>0.5</v>
      </c>
      <c r="F5" s="46">
        <v>0.54500000000000004</v>
      </c>
      <c r="G5" s="46">
        <v>109</v>
      </c>
      <c r="H5" s="46">
        <v>2.89</v>
      </c>
      <c r="I5" s="46">
        <v>227.09</v>
      </c>
      <c r="J5" s="54">
        <f t="shared" si="1"/>
        <v>1.2726231890439914</v>
      </c>
      <c r="L5" s="7" t="s">
        <v>57</v>
      </c>
      <c r="M5" s="51">
        <f>+SUM(F166:F200)</f>
        <v>189.28399999999999</v>
      </c>
      <c r="N5" s="51">
        <f>+SUM(G166:G200)</f>
        <v>9806</v>
      </c>
      <c r="O5" s="62">
        <f t="shared" si="0"/>
        <v>1.930287579033245</v>
      </c>
      <c r="P5" s="51">
        <f>+SUM(H166:H200)</f>
        <v>560.10000000000025</v>
      </c>
      <c r="Q5" s="51">
        <f>+SUM(I166:I200)</f>
        <v>19069.940000000002</v>
      </c>
      <c r="R5" s="65">
        <f t="shared" si="2"/>
        <v>2.9370831790765997</v>
      </c>
      <c r="S5" s="57"/>
      <c r="T5" s="57"/>
      <c r="U5" s="61"/>
    </row>
    <row r="6" spans="1:21" x14ac:dyDescent="0.3">
      <c r="A6" s="45">
        <v>10202</v>
      </c>
      <c r="B6" s="45" t="s">
        <v>27</v>
      </c>
      <c r="C6" s="45" t="s">
        <v>31</v>
      </c>
      <c r="D6" s="45" t="s">
        <v>65</v>
      </c>
      <c r="E6" s="54">
        <v>0.7</v>
      </c>
      <c r="F6" s="46">
        <v>0.92399999999999993</v>
      </c>
      <c r="G6" s="46">
        <v>132</v>
      </c>
      <c r="H6" s="46">
        <v>3.41</v>
      </c>
      <c r="I6" s="46">
        <v>287.02</v>
      </c>
      <c r="J6" s="54">
        <f>(H6/I6)*100</f>
        <v>1.1880705177339559</v>
      </c>
      <c r="L6" s="7" t="s">
        <v>68</v>
      </c>
      <c r="M6" s="51">
        <f>+SUM(F201:F242)</f>
        <v>490.11999999999995</v>
      </c>
      <c r="N6" s="51">
        <f>+SUM(G201:G242)</f>
        <v>15110</v>
      </c>
      <c r="O6" s="62">
        <f t="shared" si="0"/>
        <v>3.2436796823295824</v>
      </c>
      <c r="P6" s="51">
        <f>+SUM(H201:H242)</f>
        <v>862.87999999999977</v>
      </c>
      <c r="Q6" s="51">
        <f>+SUM(I201:I242)</f>
        <v>38643.990000000013</v>
      </c>
      <c r="R6" s="65">
        <f t="shared" si="2"/>
        <v>2.2328957232418274</v>
      </c>
      <c r="S6" s="57"/>
      <c r="T6" s="57"/>
      <c r="U6" s="61"/>
    </row>
    <row r="7" spans="1:21" x14ac:dyDescent="0.3">
      <c r="A7" s="45">
        <v>10301</v>
      </c>
      <c r="B7" s="45" t="s">
        <v>27</v>
      </c>
      <c r="C7" s="45" t="s">
        <v>342</v>
      </c>
      <c r="D7" s="45" t="s">
        <v>72</v>
      </c>
      <c r="E7" s="54">
        <v>12.7</v>
      </c>
      <c r="F7" s="46">
        <v>15.747999999999999</v>
      </c>
      <c r="G7" s="46">
        <v>124</v>
      </c>
      <c r="H7" s="46">
        <v>20.77</v>
      </c>
      <c r="I7" s="46">
        <v>257.86</v>
      </c>
      <c r="J7" s="54">
        <f t="shared" si="1"/>
        <v>8.054758396028852</v>
      </c>
      <c r="L7" s="7" t="s">
        <v>76</v>
      </c>
      <c r="M7" s="51">
        <f>+SUM(F243:F253)</f>
        <v>250.91999999999996</v>
      </c>
      <c r="N7" s="51">
        <f>+SUM(G243:G253)</f>
        <v>13575</v>
      </c>
      <c r="O7" s="62">
        <f t="shared" si="0"/>
        <v>1.8483977900552482</v>
      </c>
      <c r="P7" s="51">
        <f>+SUM(H243:H253)</f>
        <v>771.51</v>
      </c>
      <c r="Q7" s="51">
        <f>+SUM(I243:I253)</f>
        <v>25046.53</v>
      </c>
      <c r="R7" s="65">
        <f t="shared" si="2"/>
        <v>3.0803069327367902</v>
      </c>
      <c r="S7" s="57"/>
      <c r="T7" s="57"/>
      <c r="U7" s="61"/>
    </row>
    <row r="8" spans="1:21" x14ac:dyDescent="0.3">
      <c r="A8" s="45">
        <v>10302</v>
      </c>
      <c r="B8" s="45" t="s">
        <v>27</v>
      </c>
      <c r="C8" s="45" t="s">
        <v>342</v>
      </c>
      <c r="D8" s="45" t="s">
        <v>80</v>
      </c>
      <c r="E8" s="54">
        <v>0.5</v>
      </c>
      <c r="F8" s="46">
        <v>0.54500000000000004</v>
      </c>
      <c r="G8" s="46">
        <v>109</v>
      </c>
      <c r="H8" s="46">
        <v>2.98</v>
      </c>
      <c r="I8" s="46">
        <v>221.78</v>
      </c>
      <c r="J8" s="54">
        <f t="shared" si="1"/>
        <v>1.3436739110830553</v>
      </c>
      <c r="L8" s="7" t="s">
        <v>85</v>
      </c>
      <c r="M8" s="51">
        <f>+SUM(F254:F309)</f>
        <v>2318.4059999999999</v>
      </c>
      <c r="N8" s="51">
        <f>+SUM(G254:G309)</f>
        <v>57566</v>
      </c>
      <c r="O8" s="62">
        <f t="shared" si="0"/>
        <v>4.0273876941250046</v>
      </c>
      <c r="P8" s="51">
        <f>+SUM(H254:H309)</f>
        <v>5285.3</v>
      </c>
      <c r="Q8" s="51">
        <f>+SUM(I254:I309)</f>
        <v>138298.97999999998</v>
      </c>
      <c r="R8" s="65">
        <f>100*P8/Q8</f>
        <v>3.821647853078888</v>
      </c>
      <c r="S8" s="57"/>
      <c r="T8" s="57"/>
      <c r="U8" s="61"/>
    </row>
    <row r="9" spans="1:21" x14ac:dyDescent="0.3">
      <c r="A9" s="45">
        <v>10303</v>
      </c>
      <c r="B9" s="45" t="s">
        <v>27</v>
      </c>
      <c r="C9" s="45" t="s">
        <v>342</v>
      </c>
      <c r="D9" s="45" t="s">
        <v>308</v>
      </c>
      <c r="E9" s="54">
        <v>0.9</v>
      </c>
      <c r="F9" s="46">
        <v>0.95400000000000007</v>
      </c>
      <c r="G9" s="46">
        <v>106</v>
      </c>
      <c r="H9" s="46">
        <v>3.98</v>
      </c>
      <c r="I9" s="46">
        <v>248</v>
      </c>
      <c r="J9" s="54">
        <f t="shared" si="1"/>
        <v>1.6048387096774193</v>
      </c>
      <c r="L9" s="7" t="s">
        <v>92</v>
      </c>
      <c r="M9" s="51">
        <f>+SUM(F310:F329)</f>
        <v>258.08000000000004</v>
      </c>
      <c r="N9" s="51">
        <f>+SUM(G310:G329)</f>
        <v>6388</v>
      </c>
      <c r="O9" s="62">
        <f t="shared" si="0"/>
        <v>4.0400751408891677</v>
      </c>
      <c r="P9" s="51">
        <f>+SUM(H310:H329)</f>
        <v>461.93999999999994</v>
      </c>
      <c r="Q9" s="51">
        <f>+SUM(I310:I329)</f>
        <v>15450.549999999997</v>
      </c>
      <c r="R9" s="65">
        <f t="shared" si="2"/>
        <v>2.9897964797369672</v>
      </c>
      <c r="S9" s="57"/>
      <c r="T9" s="57"/>
      <c r="U9" s="61"/>
    </row>
    <row r="10" spans="1:21" x14ac:dyDescent="0.3">
      <c r="A10" s="45">
        <v>10304</v>
      </c>
      <c r="B10" s="45" t="s">
        <v>27</v>
      </c>
      <c r="C10" s="45" t="s">
        <v>342</v>
      </c>
      <c r="D10" s="45" t="s">
        <v>99</v>
      </c>
      <c r="E10" s="54">
        <v>0.9</v>
      </c>
      <c r="F10" s="46">
        <v>0.65700000000000003</v>
      </c>
      <c r="G10" s="46">
        <v>73</v>
      </c>
      <c r="H10" s="46">
        <v>4.17</v>
      </c>
      <c r="I10" s="46">
        <v>160.32</v>
      </c>
      <c r="J10" s="54">
        <f t="shared" si="1"/>
        <v>2.601047904191617</v>
      </c>
      <c r="L10" s="7" t="s">
        <v>102</v>
      </c>
      <c r="M10" s="51">
        <f>+SUM(F330:F344)</f>
        <v>34.661000000000001</v>
      </c>
      <c r="N10" s="51">
        <f>+SUM(G330:G344)</f>
        <v>1846</v>
      </c>
      <c r="O10" s="62">
        <f t="shared" si="0"/>
        <v>1.8776273022751897</v>
      </c>
      <c r="P10" s="51">
        <f>+SUM(H330:H344)</f>
        <v>147.98999999999998</v>
      </c>
      <c r="Q10" s="51">
        <f>+SUM(I330:I344)</f>
        <v>3725.8300000000004</v>
      </c>
      <c r="R10" s="65">
        <f>100*P10/Q10</f>
        <v>3.9720008696048925</v>
      </c>
      <c r="S10" s="57"/>
      <c r="T10" s="57"/>
      <c r="U10" s="61"/>
    </row>
    <row r="11" spans="1:21" x14ac:dyDescent="0.3">
      <c r="A11" s="45">
        <v>10401</v>
      </c>
      <c r="B11" s="45" t="s">
        <v>27</v>
      </c>
      <c r="C11" s="45" t="s">
        <v>117</v>
      </c>
      <c r="D11" s="45" t="s">
        <v>106</v>
      </c>
      <c r="E11" s="54">
        <v>0.5</v>
      </c>
      <c r="F11" s="46">
        <v>0.78500000000000003</v>
      </c>
      <c r="G11" s="46">
        <v>157</v>
      </c>
      <c r="H11" s="46">
        <v>10.24</v>
      </c>
      <c r="I11" s="46">
        <v>366.55</v>
      </c>
      <c r="J11" s="54">
        <f t="shared" si="1"/>
        <v>2.7936161505933708</v>
      </c>
      <c r="L11" s="45" t="s">
        <v>408</v>
      </c>
      <c r="M11" s="51">
        <v>67.272999999999996</v>
      </c>
      <c r="N11" s="46">
        <v>5704</v>
      </c>
      <c r="O11" s="62">
        <f>(M11/N11)*100</f>
        <v>1.1794004207573632</v>
      </c>
      <c r="P11" s="46">
        <v>257.87</v>
      </c>
      <c r="Q11" s="51">
        <v>10931.119999999999</v>
      </c>
      <c r="R11" s="65">
        <f>100*P11/Q11</f>
        <v>2.3590446358653097</v>
      </c>
      <c r="S11" s="57"/>
      <c r="T11" s="57"/>
      <c r="U11" s="61"/>
    </row>
    <row r="12" spans="1:21" x14ac:dyDescent="0.3">
      <c r="A12" s="45">
        <v>10402</v>
      </c>
      <c r="B12" s="45" t="s">
        <v>27</v>
      </c>
      <c r="C12" s="45" t="s">
        <v>117</v>
      </c>
      <c r="D12" s="45" t="s">
        <v>117</v>
      </c>
      <c r="E12" s="54">
        <v>1.1000000000000001</v>
      </c>
      <c r="F12" s="46">
        <v>0.93500000000000016</v>
      </c>
      <c r="G12" s="46">
        <v>85</v>
      </c>
      <c r="H12" s="46">
        <v>4.6399999999999997</v>
      </c>
      <c r="I12" s="46">
        <v>184.04</v>
      </c>
      <c r="J12" s="54">
        <f t="shared" si="1"/>
        <v>2.5211910454249078</v>
      </c>
      <c r="L12" s="7" t="s">
        <v>109</v>
      </c>
      <c r="M12" s="6">
        <f>SUM(M2:M10)</f>
        <v>7491.1569999999992</v>
      </c>
      <c r="N12" s="6">
        <f t="shared" ref="N12" si="3">SUM(N2:N10)</f>
        <v>196820</v>
      </c>
      <c r="O12" s="62">
        <f>(M12/N12)*100</f>
        <v>3.8060954171324046</v>
      </c>
      <c r="P12" s="6">
        <f>SUM(P2:P10)</f>
        <v>16494.570000000003</v>
      </c>
      <c r="Q12" s="58">
        <f>SUM(Q2:Q10)</f>
        <v>433223.18999999994</v>
      </c>
      <c r="R12" s="65">
        <f t="shared" si="2"/>
        <v>3.8074069857617743</v>
      </c>
      <c r="S12" s="57"/>
      <c r="T12" s="57"/>
      <c r="U12" s="61"/>
    </row>
    <row r="13" spans="1:21" x14ac:dyDescent="0.3">
      <c r="A13" s="45">
        <v>10403</v>
      </c>
      <c r="B13" s="45" t="s">
        <v>27</v>
      </c>
      <c r="C13" s="45" t="s">
        <v>117</v>
      </c>
      <c r="D13" s="45" t="s">
        <v>121</v>
      </c>
      <c r="E13" s="54">
        <v>0.8</v>
      </c>
      <c r="F13" s="46">
        <v>0.64</v>
      </c>
      <c r="G13" s="46">
        <v>80</v>
      </c>
      <c r="H13" s="46">
        <v>3.08</v>
      </c>
      <c r="I13" s="46">
        <v>158.84</v>
      </c>
      <c r="J13" s="54">
        <f t="shared" si="1"/>
        <v>1.9390581717451523</v>
      </c>
      <c r="Q13" s="59"/>
      <c r="R13" s="60"/>
    </row>
    <row r="14" spans="1:21" x14ac:dyDescent="0.3">
      <c r="A14" s="45">
        <v>10404</v>
      </c>
      <c r="B14" s="45" t="s">
        <v>27</v>
      </c>
      <c r="C14" s="45" t="s">
        <v>117</v>
      </c>
      <c r="D14" s="45" t="s">
        <v>84</v>
      </c>
      <c r="E14" s="54">
        <v>1</v>
      </c>
      <c r="F14" s="46">
        <v>0.56999999999999995</v>
      </c>
      <c r="G14" s="46">
        <v>57</v>
      </c>
      <c r="H14" s="46">
        <v>4.17</v>
      </c>
      <c r="I14" s="46">
        <v>113.16</v>
      </c>
      <c r="J14" s="54">
        <f t="shared" si="1"/>
        <v>3.6850477200424177</v>
      </c>
    </row>
    <row r="15" spans="1:21" x14ac:dyDescent="0.3">
      <c r="A15" s="45">
        <v>10405</v>
      </c>
      <c r="B15" s="45" t="s">
        <v>27</v>
      </c>
      <c r="C15" s="45" t="s">
        <v>117</v>
      </c>
      <c r="D15" s="45" t="s">
        <v>126</v>
      </c>
      <c r="E15" s="54">
        <v>0.5</v>
      </c>
      <c r="F15" s="46">
        <v>0.34499999999999997</v>
      </c>
      <c r="G15" s="46">
        <v>69</v>
      </c>
      <c r="H15" s="46">
        <v>1.61</v>
      </c>
      <c r="I15" s="46">
        <v>145.72</v>
      </c>
      <c r="J15" s="54">
        <f t="shared" si="1"/>
        <v>1.1048586329947847</v>
      </c>
    </row>
    <row r="16" spans="1:21" x14ac:dyDescent="0.3">
      <c r="A16" s="45">
        <v>10501</v>
      </c>
      <c r="B16" s="45" t="s">
        <v>27</v>
      </c>
      <c r="C16" s="45" t="s">
        <v>343</v>
      </c>
      <c r="D16" s="45" t="s">
        <v>129</v>
      </c>
      <c r="E16" s="54">
        <v>4.9000000000000004</v>
      </c>
      <c r="F16" s="46">
        <v>20.188000000000002</v>
      </c>
      <c r="G16" s="46">
        <v>412</v>
      </c>
      <c r="H16" s="46">
        <v>37.659999999999997</v>
      </c>
      <c r="I16" s="46">
        <v>793.09</v>
      </c>
      <c r="J16" s="54">
        <f t="shared" si="1"/>
        <v>4.7485153009116239</v>
      </c>
    </row>
    <row r="17" spans="1:10" x14ac:dyDescent="0.3">
      <c r="A17" s="45">
        <v>10502</v>
      </c>
      <c r="B17" s="45" t="s">
        <v>27</v>
      </c>
      <c r="C17" s="45" t="s">
        <v>343</v>
      </c>
      <c r="D17" s="45" t="s">
        <v>309</v>
      </c>
      <c r="E17" s="54">
        <v>0.6</v>
      </c>
      <c r="F17" s="46">
        <v>0.93</v>
      </c>
      <c r="G17" s="46">
        <v>155</v>
      </c>
      <c r="H17" s="46">
        <v>5.73</v>
      </c>
      <c r="I17" s="46">
        <v>319.14999999999998</v>
      </c>
      <c r="J17" s="54">
        <f t="shared" si="1"/>
        <v>1.7953940153532824</v>
      </c>
    </row>
    <row r="18" spans="1:10" x14ac:dyDescent="0.3">
      <c r="A18" s="45">
        <v>10601</v>
      </c>
      <c r="B18" s="45" t="s">
        <v>27</v>
      </c>
      <c r="C18" s="45" t="s">
        <v>139</v>
      </c>
      <c r="D18" s="45" t="s">
        <v>136</v>
      </c>
      <c r="E18" s="54">
        <v>0.6</v>
      </c>
      <c r="F18" s="46">
        <v>0.95399999999999996</v>
      </c>
      <c r="G18" s="46">
        <v>159</v>
      </c>
      <c r="H18" s="46">
        <v>17.829999999999998</v>
      </c>
      <c r="I18" s="46">
        <v>338.96</v>
      </c>
      <c r="J18" s="54">
        <f t="shared" si="1"/>
        <v>5.2602076941232001</v>
      </c>
    </row>
    <row r="19" spans="1:10" x14ac:dyDescent="0.3">
      <c r="A19" s="45">
        <v>10602</v>
      </c>
      <c r="B19" s="45" t="s">
        <v>27</v>
      </c>
      <c r="C19" s="45" t="s">
        <v>139</v>
      </c>
      <c r="D19" s="45" t="s">
        <v>139</v>
      </c>
      <c r="E19" s="54">
        <v>0.5</v>
      </c>
      <c r="F19" s="46">
        <v>0.5</v>
      </c>
      <c r="G19" s="46">
        <v>100</v>
      </c>
      <c r="H19" s="46">
        <v>3.08</v>
      </c>
      <c r="I19" s="46">
        <v>212.1</v>
      </c>
      <c r="J19" s="54">
        <f t="shared" si="1"/>
        <v>1.4521452145214522</v>
      </c>
    </row>
    <row r="20" spans="1:10" x14ac:dyDescent="0.3">
      <c r="A20" s="45">
        <v>10701</v>
      </c>
      <c r="B20" s="45" t="s">
        <v>27</v>
      </c>
      <c r="C20" s="45" t="s">
        <v>344</v>
      </c>
      <c r="D20" s="45" t="s">
        <v>143</v>
      </c>
      <c r="E20" s="54">
        <v>8.4</v>
      </c>
      <c r="F20" s="46">
        <v>17.808000000000003</v>
      </c>
      <c r="G20" s="46">
        <v>212</v>
      </c>
      <c r="H20" s="46">
        <v>19.579999999999998</v>
      </c>
      <c r="I20" s="46">
        <v>444.95</v>
      </c>
      <c r="J20" s="54">
        <f t="shared" si="1"/>
        <v>4.4004944375772554</v>
      </c>
    </row>
    <row r="21" spans="1:10" x14ac:dyDescent="0.3">
      <c r="A21" s="45">
        <v>10702</v>
      </c>
      <c r="B21" s="45" t="s">
        <v>27</v>
      </c>
      <c r="C21" s="45" t="s">
        <v>344</v>
      </c>
      <c r="D21" s="45" t="s">
        <v>147</v>
      </c>
      <c r="E21" s="54">
        <v>0.4</v>
      </c>
      <c r="F21" s="46">
        <v>1.2480000000000002</v>
      </c>
      <c r="G21" s="46">
        <v>312</v>
      </c>
      <c r="H21" s="46">
        <v>7.11</v>
      </c>
      <c r="I21" s="46">
        <v>1048.57</v>
      </c>
      <c r="J21" s="54">
        <f t="shared" si="1"/>
        <v>0.67806631889144264</v>
      </c>
    </row>
    <row r="22" spans="1:10" x14ac:dyDescent="0.3">
      <c r="A22" s="45">
        <v>10703</v>
      </c>
      <c r="B22" s="45" t="s">
        <v>27</v>
      </c>
      <c r="C22" s="45" t="s">
        <v>344</v>
      </c>
      <c r="D22" s="45" t="s">
        <v>87</v>
      </c>
      <c r="E22" s="54">
        <v>0.2</v>
      </c>
      <c r="F22" s="46">
        <v>0.21600000000000003</v>
      </c>
      <c r="G22" s="46">
        <v>108</v>
      </c>
      <c r="H22" s="46">
        <v>2.6</v>
      </c>
      <c r="I22" s="46">
        <v>228.72</v>
      </c>
      <c r="J22" s="54">
        <f t="shared" si="1"/>
        <v>1.1367611052815669</v>
      </c>
    </row>
    <row r="23" spans="1:10" x14ac:dyDescent="0.3">
      <c r="A23" s="45">
        <v>10704</v>
      </c>
      <c r="B23" s="45" t="s">
        <v>27</v>
      </c>
      <c r="C23" s="45" t="s">
        <v>344</v>
      </c>
      <c r="D23" s="45" t="s">
        <v>150</v>
      </c>
      <c r="E23" s="54">
        <v>0.4</v>
      </c>
      <c r="F23" s="46">
        <v>0.56000000000000005</v>
      </c>
      <c r="G23" s="46">
        <v>140</v>
      </c>
      <c r="H23" s="46">
        <v>2.89</v>
      </c>
      <c r="I23" s="46">
        <v>302.20999999999998</v>
      </c>
      <c r="J23" s="54">
        <f t="shared" si="1"/>
        <v>0.95628867343899948</v>
      </c>
    </row>
    <row r="24" spans="1:10" x14ac:dyDescent="0.3">
      <c r="A24" s="45">
        <v>10801</v>
      </c>
      <c r="B24" s="45" t="s">
        <v>27</v>
      </c>
      <c r="C24" s="45" t="s">
        <v>345</v>
      </c>
      <c r="D24" s="45" t="s">
        <v>154</v>
      </c>
      <c r="E24" s="54">
        <v>1.1000000000000001</v>
      </c>
      <c r="F24" s="46">
        <v>1.3310000000000002</v>
      </c>
      <c r="G24" s="46">
        <v>121</v>
      </c>
      <c r="H24" s="46">
        <v>8.9600000000000009</v>
      </c>
      <c r="I24" s="46">
        <v>228.1</v>
      </c>
      <c r="J24" s="54">
        <f t="shared" si="1"/>
        <v>3.9281017097764144</v>
      </c>
    </row>
    <row r="25" spans="1:10" x14ac:dyDescent="0.3">
      <c r="A25" s="45">
        <v>10901</v>
      </c>
      <c r="B25" s="45" t="s">
        <v>27</v>
      </c>
      <c r="C25" s="45" t="s">
        <v>346</v>
      </c>
      <c r="D25" s="45" t="s">
        <v>71</v>
      </c>
      <c r="E25" s="54">
        <v>1</v>
      </c>
      <c r="F25" s="46">
        <v>0.47</v>
      </c>
      <c r="G25" s="46">
        <v>47</v>
      </c>
      <c r="H25" s="46">
        <v>3.41</v>
      </c>
      <c r="I25" s="46">
        <v>89.4</v>
      </c>
      <c r="J25" s="54">
        <f t="shared" si="1"/>
        <v>3.8143176733780759</v>
      </c>
    </row>
    <row r="26" spans="1:10" x14ac:dyDescent="0.3">
      <c r="A26" s="45">
        <v>10902</v>
      </c>
      <c r="B26" s="45" t="s">
        <v>27</v>
      </c>
      <c r="C26" s="45" t="s">
        <v>346</v>
      </c>
      <c r="D26" s="45" t="s">
        <v>157</v>
      </c>
      <c r="E26" s="54">
        <v>0.3</v>
      </c>
      <c r="F26" s="46">
        <v>0.71399999999999997</v>
      </c>
      <c r="G26" s="46">
        <v>238</v>
      </c>
      <c r="H26" s="46">
        <v>5.07</v>
      </c>
      <c r="I26" s="46">
        <v>560.59</v>
      </c>
      <c r="J26" s="54">
        <f t="shared" si="1"/>
        <v>0.90440428833907138</v>
      </c>
    </row>
    <row r="27" spans="1:10" x14ac:dyDescent="0.3">
      <c r="A27" s="45">
        <v>10903</v>
      </c>
      <c r="B27" s="45" t="s">
        <v>27</v>
      </c>
      <c r="C27" s="45" t="s">
        <v>346</v>
      </c>
      <c r="D27" s="45" t="s">
        <v>89</v>
      </c>
      <c r="E27" s="54">
        <v>0.4</v>
      </c>
      <c r="F27" s="46">
        <v>0.252</v>
      </c>
      <c r="G27" s="46">
        <v>63</v>
      </c>
      <c r="H27" s="46">
        <v>1.42</v>
      </c>
      <c r="I27" s="46">
        <v>171.86</v>
      </c>
      <c r="J27" s="54">
        <f t="shared" si="1"/>
        <v>0.82625392761550098</v>
      </c>
    </row>
    <row r="28" spans="1:10" x14ac:dyDescent="0.3">
      <c r="A28" s="45">
        <v>11001</v>
      </c>
      <c r="B28" s="45" t="s">
        <v>27</v>
      </c>
      <c r="C28" s="45" t="s">
        <v>347</v>
      </c>
      <c r="D28" s="45" t="s">
        <v>348</v>
      </c>
      <c r="E28" s="54">
        <v>0.5</v>
      </c>
      <c r="F28" s="46">
        <v>0.92500000000000004</v>
      </c>
      <c r="G28" s="46">
        <v>185</v>
      </c>
      <c r="H28" s="46">
        <v>5.45</v>
      </c>
      <c r="I28" s="46">
        <v>359.97</v>
      </c>
      <c r="J28" s="54">
        <f t="shared" si="1"/>
        <v>1.5140150568102897</v>
      </c>
    </row>
    <row r="29" spans="1:10" x14ac:dyDescent="0.3">
      <c r="A29" s="45">
        <v>11002</v>
      </c>
      <c r="B29" s="45" t="s">
        <v>27</v>
      </c>
      <c r="C29" s="45" t="s">
        <v>347</v>
      </c>
      <c r="D29" s="45" t="s">
        <v>33</v>
      </c>
      <c r="E29" s="54">
        <v>0</v>
      </c>
      <c r="F29" s="46">
        <v>0</v>
      </c>
      <c r="G29" s="46">
        <v>1017</v>
      </c>
      <c r="H29" s="46">
        <v>0.75</v>
      </c>
      <c r="I29" s="46">
        <v>2568.9499999999998</v>
      </c>
      <c r="J29" s="54">
        <f t="shared" si="1"/>
        <v>2.9194807216956345E-2</v>
      </c>
    </row>
    <row r="30" spans="1:10" x14ac:dyDescent="0.3">
      <c r="A30" s="45">
        <v>11003</v>
      </c>
      <c r="B30" s="45" t="s">
        <v>27</v>
      </c>
      <c r="C30" s="45" t="s">
        <v>347</v>
      </c>
      <c r="D30" s="45" t="s">
        <v>146</v>
      </c>
      <c r="E30" s="54">
        <v>0.4</v>
      </c>
      <c r="F30" s="46">
        <v>1.06</v>
      </c>
      <c r="G30" s="46">
        <v>265</v>
      </c>
      <c r="H30" s="46">
        <v>5.83</v>
      </c>
      <c r="I30" s="46">
        <v>654.91</v>
      </c>
      <c r="J30" s="54">
        <f t="shared" si="1"/>
        <v>0.89019865325006498</v>
      </c>
    </row>
    <row r="31" spans="1:10" x14ac:dyDescent="0.3">
      <c r="A31" s="45">
        <v>20101</v>
      </c>
      <c r="B31" s="45" t="s">
        <v>43</v>
      </c>
      <c r="C31" s="45" t="s">
        <v>349</v>
      </c>
      <c r="D31" s="45" t="s">
        <v>310</v>
      </c>
      <c r="E31" s="54">
        <v>6.8</v>
      </c>
      <c r="F31" s="46">
        <v>1353.404</v>
      </c>
      <c r="G31" s="46">
        <v>19903</v>
      </c>
      <c r="H31" s="46">
        <v>1912.48</v>
      </c>
      <c r="I31" s="46">
        <v>46346.36</v>
      </c>
      <c r="J31" s="54">
        <f t="shared" si="1"/>
        <v>4.1264945078750523</v>
      </c>
    </row>
    <row r="32" spans="1:10" x14ac:dyDescent="0.3">
      <c r="A32" s="45">
        <v>20102</v>
      </c>
      <c r="B32" s="45" t="s">
        <v>43</v>
      </c>
      <c r="C32" s="45" t="s">
        <v>349</v>
      </c>
      <c r="D32" s="45" t="s">
        <v>168</v>
      </c>
      <c r="E32" s="54">
        <v>12.1</v>
      </c>
      <c r="F32" s="46">
        <v>29.765999999999998</v>
      </c>
      <c r="G32" s="46">
        <v>246</v>
      </c>
      <c r="H32" s="46">
        <v>5.64</v>
      </c>
      <c r="I32" s="46">
        <v>594.45000000000005</v>
      </c>
      <c r="J32" s="54">
        <f t="shared" si="1"/>
        <v>0.94877617966187211</v>
      </c>
    </row>
    <row r="33" spans="1:10" x14ac:dyDescent="0.3">
      <c r="A33" s="45">
        <v>20103</v>
      </c>
      <c r="B33" s="45" t="s">
        <v>43</v>
      </c>
      <c r="C33" s="45" t="s">
        <v>349</v>
      </c>
      <c r="D33" s="45" t="s">
        <v>170</v>
      </c>
      <c r="E33" s="54">
        <v>1.3</v>
      </c>
      <c r="F33" s="46">
        <v>2.4180000000000001</v>
      </c>
      <c r="G33" s="46">
        <v>186</v>
      </c>
      <c r="H33" s="46">
        <v>22.9</v>
      </c>
      <c r="I33" s="46">
        <v>397.36</v>
      </c>
      <c r="J33" s="54">
        <f t="shared" si="1"/>
        <v>5.7630360378498082</v>
      </c>
    </row>
    <row r="34" spans="1:10" x14ac:dyDescent="0.3">
      <c r="A34" s="45">
        <v>20104</v>
      </c>
      <c r="B34" s="45" t="s">
        <v>43</v>
      </c>
      <c r="C34" s="45" t="s">
        <v>349</v>
      </c>
      <c r="D34" s="45" t="s">
        <v>174</v>
      </c>
      <c r="E34" s="54">
        <v>1.5</v>
      </c>
      <c r="F34" s="46">
        <v>3.27</v>
      </c>
      <c r="G34" s="46">
        <v>218</v>
      </c>
      <c r="H34" s="46">
        <v>23</v>
      </c>
      <c r="I34" s="46">
        <v>484.92</v>
      </c>
      <c r="J34" s="54">
        <f t="shared" si="1"/>
        <v>4.7430504000659903</v>
      </c>
    </row>
    <row r="35" spans="1:10" x14ac:dyDescent="0.3">
      <c r="A35" s="45">
        <v>20105</v>
      </c>
      <c r="B35" s="45" t="s">
        <v>43</v>
      </c>
      <c r="C35" s="45" t="s">
        <v>349</v>
      </c>
      <c r="D35" s="45" t="s">
        <v>178</v>
      </c>
      <c r="E35" s="54">
        <v>3.4</v>
      </c>
      <c r="F35" s="46">
        <v>435.50599999999997</v>
      </c>
      <c r="G35" s="46">
        <v>12809</v>
      </c>
      <c r="H35" s="46">
        <v>1727.17</v>
      </c>
      <c r="I35" s="46">
        <v>25068.86</v>
      </c>
      <c r="J35" s="54">
        <f t="shared" si="1"/>
        <v>6.8897030020511512</v>
      </c>
    </row>
    <row r="36" spans="1:10" x14ac:dyDescent="0.3">
      <c r="A36" s="45">
        <v>20201</v>
      </c>
      <c r="B36" s="45" t="s">
        <v>43</v>
      </c>
      <c r="C36" s="45" t="s">
        <v>350</v>
      </c>
      <c r="D36" s="45" t="s">
        <v>181</v>
      </c>
      <c r="E36" s="54">
        <v>0.5</v>
      </c>
      <c r="F36" s="46">
        <v>2.3650000000000002</v>
      </c>
      <c r="G36" s="46">
        <v>473</v>
      </c>
      <c r="H36" s="46">
        <v>43.92</v>
      </c>
      <c r="I36" s="46">
        <v>1114.75</v>
      </c>
      <c r="J36" s="54">
        <f t="shared" si="1"/>
        <v>3.939896837856022</v>
      </c>
    </row>
    <row r="37" spans="1:10" x14ac:dyDescent="0.3">
      <c r="A37" s="45">
        <v>20202</v>
      </c>
      <c r="B37" s="45" t="s">
        <v>43</v>
      </c>
      <c r="C37" s="45" t="s">
        <v>350</v>
      </c>
      <c r="D37" s="45" t="s">
        <v>183</v>
      </c>
      <c r="E37" s="54">
        <v>0.3</v>
      </c>
      <c r="F37" s="46">
        <v>0.32400000000000001</v>
      </c>
      <c r="G37" s="46">
        <v>108</v>
      </c>
      <c r="H37" s="46">
        <v>2.0299999999999998</v>
      </c>
      <c r="I37" s="46">
        <v>213.86</v>
      </c>
      <c r="J37" s="54">
        <f t="shared" si="1"/>
        <v>0.94921911530908065</v>
      </c>
    </row>
    <row r="38" spans="1:10" x14ac:dyDescent="0.3">
      <c r="A38" s="45">
        <v>20203</v>
      </c>
      <c r="B38" s="45" t="s">
        <v>43</v>
      </c>
      <c r="C38" s="45" t="s">
        <v>350</v>
      </c>
      <c r="D38" s="45" t="s">
        <v>159</v>
      </c>
      <c r="E38" s="54">
        <v>57.6</v>
      </c>
      <c r="F38" s="46">
        <v>63.36</v>
      </c>
      <c r="G38" s="46">
        <v>110</v>
      </c>
      <c r="H38" s="46">
        <v>6.4</v>
      </c>
      <c r="I38" s="46">
        <v>228.02</v>
      </c>
      <c r="J38" s="54">
        <f t="shared" si="1"/>
        <v>2.8067713358477326</v>
      </c>
    </row>
    <row r="39" spans="1:10" x14ac:dyDescent="0.3">
      <c r="A39" s="45">
        <v>20204</v>
      </c>
      <c r="B39" s="45" t="s">
        <v>43</v>
      </c>
      <c r="C39" s="45" t="s">
        <v>350</v>
      </c>
      <c r="D39" s="45" t="s">
        <v>187</v>
      </c>
      <c r="E39" s="54">
        <v>0.5</v>
      </c>
      <c r="F39" s="46">
        <v>0.46500000000000002</v>
      </c>
      <c r="G39" s="46">
        <v>93</v>
      </c>
      <c r="H39" s="46">
        <v>1.61</v>
      </c>
      <c r="I39" s="46">
        <v>195.63</v>
      </c>
      <c r="J39" s="54">
        <f t="shared" si="1"/>
        <v>0.8229821602003784</v>
      </c>
    </row>
    <row r="40" spans="1:10" x14ac:dyDescent="0.3">
      <c r="A40" s="45">
        <v>20205</v>
      </c>
      <c r="B40" s="45" t="s">
        <v>43</v>
      </c>
      <c r="C40" s="45" t="s">
        <v>350</v>
      </c>
      <c r="D40" s="45" t="s">
        <v>189</v>
      </c>
      <c r="E40" s="54">
        <v>0.4</v>
      </c>
      <c r="F40" s="46">
        <v>0.33200000000000002</v>
      </c>
      <c r="G40" s="46">
        <v>83</v>
      </c>
      <c r="H40" s="46">
        <v>8.25</v>
      </c>
      <c r="I40" s="46">
        <v>129.74</v>
      </c>
      <c r="J40" s="54">
        <f t="shared" si="1"/>
        <v>6.3588715893325114</v>
      </c>
    </row>
    <row r="41" spans="1:10" x14ac:dyDescent="0.3">
      <c r="A41" s="45">
        <v>20206</v>
      </c>
      <c r="B41" s="45" t="s">
        <v>43</v>
      </c>
      <c r="C41" s="45" t="s">
        <v>350</v>
      </c>
      <c r="D41" s="45" t="s">
        <v>103</v>
      </c>
      <c r="E41" s="54">
        <v>58.4</v>
      </c>
      <c r="F41" s="46">
        <v>67.744</v>
      </c>
      <c r="G41" s="46">
        <v>116</v>
      </c>
      <c r="H41" s="46">
        <v>7.01</v>
      </c>
      <c r="I41" s="46">
        <v>248.06</v>
      </c>
      <c r="J41" s="54">
        <f t="shared" si="1"/>
        <v>2.8259292106748366</v>
      </c>
    </row>
    <row r="42" spans="1:10" x14ac:dyDescent="0.3">
      <c r="A42" s="45">
        <v>20301</v>
      </c>
      <c r="B42" s="45" t="s">
        <v>43</v>
      </c>
      <c r="C42" s="45" t="s">
        <v>351</v>
      </c>
      <c r="D42" s="45" t="s">
        <v>196</v>
      </c>
      <c r="E42" s="54">
        <v>0.3</v>
      </c>
      <c r="F42" s="46">
        <v>0.65700000000000003</v>
      </c>
      <c r="G42" s="46">
        <v>219</v>
      </c>
      <c r="H42" s="46">
        <v>3.79</v>
      </c>
      <c r="I42" s="46">
        <v>451.07</v>
      </c>
      <c r="J42" s="54">
        <f t="shared" si="1"/>
        <v>0.84022435542155316</v>
      </c>
    </row>
    <row r="43" spans="1:10" x14ac:dyDescent="0.3">
      <c r="A43" s="45">
        <v>20302</v>
      </c>
      <c r="B43" s="45" t="s">
        <v>43</v>
      </c>
      <c r="C43" s="45" t="s">
        <v>351</v>
      </c>
      <c r="D43" s="45" t="s">
        <v>82</v>
      </c>
      <c r="E43" s="54">
        <v>0.4</v>
      </c>
      <c r="F43" s="46">
        <v>0.46</v>
      </c>
      <c r="G43" s="46">
        <v>115</v>
      </c>
      <c r="H43" s="46">
        <v>2.98</v>
      </c>
      <c r="I43" s="46">
        <v>223.45</v>
      </c>
      <c r="J43" s="54">
        <f t="shared" si="1"/>
        <v>1.3336316849407026</v>
      </c>
    </row>
    <row r="44" spans="1:10" x14ac:dyDescent="0.3">
      <c r="A44" s="45">
        <v>20303</v>
      </c>
      <c r="B44" s="45" t="s">
        <v>43</v>
      </c>
      <c r="C44" s="45" t="s">
        <v>351</v>
      </c>
      <c r="D44" s="45" t="s">
        <v>30</v>
      </c>
      <c r="E44" s="54">
        <v>0.2</v>
      </c>
      <c r="F44" s="46">
        <v>0.26200000000000001</v>
      </c>
      <c r="G44" s="46">
        <v>131</v>
      </c>
      <c r="H44" s="46">
        <v>2.2200000000000002</v>
      </c>
      <c r="I44" s="46">
        <v>283.05</v>
      </c>
      <c r="J44" s="54">
        <f t="shared" si="1"/>
        <v>0.78431372549019607</v>
      </c>
    </row>
    <row r="45" spans="1:10" x14ac:dyDescent="0.3">
      <c r="A45" s="45">
        <v>20304</v>
      </c>
      <c r="B45" s="45" t="s">
        <v>43</v>
      </c>
      <c r="C45" s="45" t="s">
        <v>351</v>
      </c>
      <c r="D45" s="45" t="s">
        <v>148</v>
      </c>
      <c r="E45" s="54">
        <v>0.5</v>
      </c>
      <c r="F45" s="46">
        <v>0.18</v>
      </c>
      <c r="G45" s="46">
        <v>36</v>
      </c>
      <c r="H45" s="46">
        <v>1.04</v>
      </c>
      <c r="I45" s="46">
        <v>72.12</v>
      </c>
      <c r="J45" s="54">
        <f t="shared" si="1"/>
        <v>1.4420410427065999</v>
      </c>
    </row>
    <row r="46" spans="1:10" x14ac:dyDescent="0.3">
      <c r="A46" s="45">
        <v>20305</v>
      </c>
      <c r="B46" s="45" t="s">
        <v>43</v>
      </c>
      <c r="C46" s="45" t="s">
        <v>351</v>
      </c>
      <c r="D46" s="45" t="s">
        <v>93</v>
      </c>
      <c r="E46" s="54">
        <v>0.5</v>
      </c>
      <c r="F46" s="46">
        <v>0.19</v>
      </c>
      <c r="G46" s="46">
        <v>38</v>
      </c>
      <c r="H46" s="46">
        <v>1.23</v>
      </c>
      <c r="I46" s="46">
        <v>175.55</v>
      </c>
      <c r="J46" s="54">
        <f t="shared" si="1"/>
        <v>0.70065508402164622</v>
      </c>
    </row>
    <row r="47" spans="1:10" x14ac:dyDescent="0.3">
      <c r="A47" s="45">
        <v>20306</v>
      </c>
      <c r="B47" s="45" t="s">
        <v>43</v>
      </c>
      <c r="C47" s="45" t="s">
        <v>351</v>
      </c>
      <c r="D47" s="45" t="s">
        <v>97</v>
      </c>
      <c r="E47" s="54">
        <v>0.4</v>
      </c>
      <c r="F47" s="46">
        <v>0.23600000000000002</v>
      </c>
      <c r="G47" s="46">
        <v>59</v>
      </c>
      <c r="H47" s="46">
        <v>1.42</v>
      </c>
      <c r="I47" s="46">
        <v>133.27000000000001</v>
      </c>
      <c r="J47" s="54">
        <f t="shared" si="1"/>
        <v>1.0655061154048173</v>
      </c>
    </row>
    <row r="48" spans="1:10" x14ac:dyDescent="0.3">
      <c r="A48" s="45">
        <v>20307</v>
      </c>
      <c r="B48" s="45" t="s">
        <v>43</v>
      </c>
      <c r="C48" s="45" t="s">
        <v>351</v>
      </c>
      <c r="D48" s="45" t="s">
        <v>12</v>
      </c>
      <c r="E48" s="54">
        <v>2.7</v>
      </c>
      <c r="F48" s="46">
        <v>0.10800000000000001</v>
      </c>
      <c r="G48" s="46">
        <v>4</v>
      </c>
      <c r="H48" s="46">
        <v>1.1299999999999999</v>
      </c>
      <c r="I48" s="46">
        <v>13.89</v>
      </c>
      <c r="J48" s="54">
        <f t="shared" si="1"/>
        <v>8.135349172066233</v>
      </c>
    </row>
    <row r="49" spans="1:10" x14ac:dyDescent="0.3">
      <c r="A49" s="45">
        <v>20308</v>
      </c>
      <c r="B49" s="45" t="s">
        <v>43</v>
      </c>
      <c r="C49" s="45" t="s">
        <v>351</v>
      </c>
      <c r="D49" s="45" t="s">
        <v>311</v>
      </c>
      <c r="E49" s="54">
        <v>0.3</v>
      </c>
      <c r="F49" s="46">
        <v>0.19500000000000001</v>
      </c>
      <c r="G49" s="46">
        <v>65</v>
      </c>
      <c r="H49" s="46">
        <v>1.42</v>
      </c>
      <c r="I49" s="46">
        <v>136.75</v>
      </c>
      <c r="J49" s="54">
        <f t="shared" si="1"/>
        <v>1.0383912248628884</v>
      </c>
    </row>
    <row r="50" spans="1:10" x14ac:dyDescent="0.3">
      <c r="A50" s="45">
        <v>20401</v>
      </c>
      <c r="B50" s="45" t="s">
        <v>43</v>
      </c>
      <c r="C50" s="45" t="s">
        <v>352</v>
      </c>
      <c r="D50" s="45" t="s">
        <v>124</v>
      </c>
      <c r="E50" s="54">
        <v>0.4</v>
      </c>
      <c r="F50" s="46">
        <v>0.40800000000000003</v>
      </c>
      <c r="G50" s="46">
        <v>102</v>
      </c>
      <c r="H50" s="46">
        <v>7.01</v>
      </c>
      <c r="I50" s="46">
        <v>214.02</v>
      </c>
      <c r="J50" s="54">
        <f t="shared" si="1"/>
        <v>3.2753948229137464</v>
      </c>
    </row>
    <row r="51" spans="1:10" x14ac:dyDescent="0.3">
      <c r="A51" s="45">
        <v>20402</v>
      </c>
      <c r="B51" s="45" t="s">
        <v>43</v>
      </c>
      <c r="C51" s="45" t="s">
        <v>352</v>
      </c>
      <c r="D51" s="45" t="s">
        <v>112</v>
      </c>
      <c r="E51" s="54">
        <v>0.3</v>
      </c>
      <c r="F51" s="46">
        <v>0.42299999999999999</v>
      </c>
      <c r="G51" s="46">
        <v>141</v>
      </c>
      <c r="H51" s="46">
        <v>3.17</v>
      </c>
      <c r="I51" s="46">
        <v>304.55</v>
      </c>
      <c r="J51" s="54">
        <f t="shared" si="1"/>
        <v>1.0408799868658676</v>
      </c>
    </row>
    <row r="52" spans="1:10" x14ac:dyDescent="0.3">
      <c r="A52" s="45">
        <v>20403</v>
      </c>
      <c r="B52" s="45" t="s">
        <v>43</v>
      </c>
      <c r="C52" s="45" t="s">
        <v>352</v>
      </c>
      <c r="D52" s="45" t="s">
        <v>312</v>
      </c>
      <c r="E52" s="54">
        <v>0.1</v>
      </c>
      <c r="F52" s="46">
        <v>0.26300000000000001</v>
      </c>
      <c r="G52" s="46">
        <v>263</v>
      </c>
      <c r="H52" s="46">
        <v>1.84</v>
      </c>
      <c r="I52" s="46">
        <v>491.22</v>
      </c>
      <c r="J52" s="54">
        <f t="shared" si="1"/>
        <v>0.3745775823459957</v>
      </c>
    </row>
    <row r="53" spans="1:10" x14ac:dyDescent="0.3">
      <c r="A53" s="45">
        <v>20404</v>
      </c>
      <c r="B53" s="45" t="s">
        <v>43</v>
      </c>
      <c r="C53" s="45" t="s">
        <v>352</v>
      </c>
      <c r="D53" s="45" t="s">
        <v>116</v>
      </c>
      <c r="E53" s="54">
        <v>0.2</v>
      </c>
      <c r="F53" s="46">
        <v>8.8000000000000009E-2</v>
      </c>
      <c r="G53" s="46">
        <v>44</v>
      </c>
      <c r="H53" s="46">
        <v>0.47</v>
      </c>
      <c r="I53" s="46">
        <v>92.01</v>
      </c>
      <c r="J53" s="54">
        <f t="shared" si="1"/>
        <v>0.51081404195196167</v>
      </c>
    </row>
    <row r="54" spans="1:10" x14ac:dyDescent="0.3">
      <c r="A54" s="45">
        <v>20405</v>
      </c>
      <c r="B54" s="45" t="s">
        <v>43</v>
      </c>
      <c r="C54" s="45" t="s">
        <v>352</v>
      </c>
      <c r="D54" s="45" t="s">
        <v>222</v>
      </c>
      <c r="E54" s="54">
        <v>0.6</v>
      </c>
      <c r="F54" s="46">
        <v>0.32400000000000001</v>
      </c>
      <c r="G54" s="46">
        <v>54</v>
      </c>
      <c r="H54" s="46">
        <v>2.5099999999999998</v>
      </c>
      <c r="I54" s="46">
        <v>104.9</v>
      </c>
      <c r="J54" s="54">
        <f t="shared" si="1"/>
        <v>2.3927550047664439</v>
      </c>
    </row>
    <row r="55" spans="1:10" x14ac:dyDescent="0.3">
      <c r="A55" s="45">
        <v>20501</v>
      </c>
      <c r="B55" s="45" t="s">
        <v>43</v>
      </c>
      <c r="C55" s="45" t="s">
        <v>353</v>
      </c>
      <c r="D55" s="45" t="s">
        <v>226</v>
      </c>
      <c r="E55" s="54">
        <v>0.3</v>
      </c>
      <c r="F55" s="46">
        <v>0.34799999999999998</v>
      </c>
      <c r="G55" s="46">
        <v>116</v>
      </c>
      <c r="H55" s="46">
        <v>2.6</v>
      </c>
      <c r="I55" s="46">
        <v>209.09</v>
      </c>
      <c r="J55" s="54">
        <f t="shared" si="1"/>
        <v>1.2434836673202927</v>
      </c>
    </row>
    <row r="56" spans="1:10" x14ac:dyDescent="0.3">
      <c r="A56" s="45">
        <v>20502</v>
      </c>
      <c r="B56" s="45" t="s">
        <v>43</v>
      </c>
      <c r="C56" s="45" t="s">
        <v>353</v>
      </c>
      <c r="D56" s="45" t="s">
        <v>101</v>
      </c>
      <c r="E56" s="54">
        <v>0.2</v>
      </c>
      <c r="F56" s="46">
        <v>0.17400000000000002</v>
      </c>
      <c r="G56" s="46">
        <v>87</v>
      </c>
      <c r="H56" s="46">
        <v>1.23</v>
      </c>
      <c r="I56" s="46">
        <v>203.18</v>
      </c>
      <c r="J56" s="54">
        <f t="shared" si="1"/>
        <v>0.60537454473865537</v>
      </c>
    </row>
    <row r="57" spans="1:10" x14ac:dyDescent="0.3">
      <c r="A57" s="45">
        <v>20503</v>
      </c>
      <c r="B57" s="45" t="s">
        <v>43</v>
      </c>
      <c r="C57" s="45" t="s">
        <v>353</v>
      </c>
      <c r="D57" s="45" t="s">
        <v>182</v>
      </c>
      <c r="E57" s="54">
        <v>0.8</v>
      </c>
      <c r="F57" s="46">
        <v>0.32</v>
      </c>
      <c r="G57" s="46">
        <v>40</v>
      </c>
      <c r="H57" s="46">
        <v>1.84</v>
      </c>
      <c r="I57" s="46">
        <v>141.69999999999999</v>
      </c>
      <c r="J57" s="54">
        <f t="shared" si="1"/>
        <v>1.2985179957657025</v>
      </c>
    </row>
    <row r="58" spans="1:10" x14ac:dyDescent="0.3">
      <c r="A58" s="45">
        <v>20601</v>
      </c>
      <c r="B58" s="45" t="s">
        <v>43</v>
      </c>
      <c r="C58" s="45" t="s">
        <v>354</v>
      </c>
      <c r="D58" s="45" t="s">
        <v>233</v>
      </c>
      <c r="E58" s="54">
        <v>6.8</v>
      </c>
      <c r="F58" s="46">
        <v>44.608000000000004</v>
      </c>
      <c r="G58" s="46">
        <v>656</v>
      </c>
      <c r="H58" s="46">
        <v>43.92</v>
      </c>
      <c r="I58" s="46">
        <v>903.59</v>
      </c>
      <c r="J58" s="54">
        <f t="shared" si="1"/>
        <v>4.8606115605529059</v>
      </c>
    </row>
    <row r="59" spans="1:10" x14ac:dyDescent="0.3">
      <c r="A59" s="45">
        <v>20602</v>
      </c>
      <c r="B59" s="45" t="s">
        <v>43</v>
      </c>
      <c r="C59" s="45" t="s">
        <v>354</v>
      </c>
      <c r="D59" s="45" t="s">
        <v>236</v>
      </c>
      <c r="E59" s="54">
        <v>0.7</v>
      </c>
      <c r="F59" s="46">
        <v>3.1289999999999996</v>
      </c>
      <c r="G59" s="46">
        <v>447</v>
      </c>
      <c r="H59" s="46">
        <v>13.13</v>
      </c>
      <c r="I59" s="46">
        <v>1257.19</v>
      </c>
      <c r="J59" s="54">
        <f t="shared" si="1"/>
        <v>1.0443926534573136</v>
      </c>
    </row>
    <row r="60" spans="1:10" x14ac:dyDescent="0.3">
      <c r="A60" s="45">
        <v>20603</v>
      </c>
      <c r="B60" s="45" t="s">
        <v>43</v>
      </c>
      <c r="C60" s="45" t="s">
        <v>354</v>
      </c>
      <c r="D60" s="45" t="s">
        <v>203</v>
      </c>
      <c r="E60" s="54">
        <v>0.2</v>
      </c>
      <c r="F60" s="46">
        <v>0.68600000000000005</v>
      </c>
      <c r="G60" s="46">
        <v>343</v>
      </c>
      <c r="H60" s="46">
        <v>2.13</v>
      </c>
      <c r="I60" s="46">
        <v>954.97</v>
      </c>
      <c r="J60" s="54">
        <f t="shared" si="1"/>
        <v>0.22304365582164884</v>
      </c>
    </row>
    <row r="61" spans="1:10" x14ac:dyDescent="0.3">
      <c r="A61" s="45">
        <v>20604</v>
      </c>
      <c r="B61" s="45" t="s">
        <v>43</v>
      </c>
      <c r="C61" s="45" t="s">
        <v>354</v>
      </c>
      <c r="D61" s="45" t="s">
        <v>54</v>
      </c>
      <c r="E61" s="54">
        <v>0.1</v>
      </c>
      <c r="F61" s="46">
        <v>0.17199999999999999</v>
      </c>
      <c r="G61" s="46">
        <v>172</v>
      </c>
      <c r="H61" s="46">
        <v>0.47</v>
      </c>
      <c r="I61" s="46">
        <v>121.59</v>
      </c>
      <c r="J61" s="54">
        <f t="shared" si="1"/>
        <v>0.38654494613043833</v>
      </c>
    </row>
    <row r="62" spans="1:10" x14ac:dyDescent="0.3">
      <c r="A62" s="45">
        <v>20605</v>
      </c>
      <c r="B62" s="45" t="s">
        <v>43</v>
      </c>
      <c r="C62" s="45" t="s">
        <v>354</v>
      </c>
      <c r="D62" s="45" t="s">
        <v>62</v>
      </c>
      <c r="E62" s="54">
        <v>0.2</v>
      </c>
      <c r="F62" s="46">
        <v>5.4000000000000006E-2</v>
      </c>
      <c r="G62" s="46">
        <v>27</v>
      </c>
      <c r="H62" s="46">
        <v>0.37</v>
      </c>
      <c r="I62" s="46">
        <v>60.39</v>
      </c>
      <c r="J62" s="54">
        <f t="shared" si="1"/>
        <v>0.61268421924159633</v>
      </c>
    </row>
    <row r="63" spans="1:10" x14ac:dyDescent="0.3">
      <c r="A63" s="45">
        <v>20606</v>
      </c>
      <c r="B63" s="45" t="s">
        <v>43</v>
      </c>
      <c r="C63" s="45" t="s">
        <v>354</v>
      </c>
      <c r="D63" s="45" t="s">
        <v>140</v>
      </c>
      <c r="E63" s="54">
        <v>0.7</v>
      </c>
      <c r="F63" s="46">
        <v>2.6389999999999998</v>
      </c>
      <c r="G63" s="46">
        <v>377</v>
      </c>
      <c r="H63" s="46">
        <v>14.79</v>
      </c>
      <c r="I63" s="46">
        <v>519.49</v>
      </c>
      <c r="J63" s="54">
        <f t="shared" si="1"/>
        <v>2.8470230418294862</v>
      </c>
    </row>
    <row r="64" spans="1:10" x14ac:dyDescent="0.3">
      <c r="A64" s="45">
        <v>20607</v>
      </c>
      <c r="B64" s="45" t="s">
        <v>43</v>
      </c>
      <c r="C64" s="45" t="s">
        <v>354</v>
      </c>
      <c r="D64" s="45" t="s">
        <v>167</v>
      </c>
      <c r="E64" s="54">
        <v>0.8</v>
      </c>
      <c r="F64" s="46">
        <v>2.3920000000000003</v>
      </c>
      <c r="G64" s="46">
        <v>299</v>
      </c>
      <c r="H64" s="46">
        <v>27.69</v>
      </c>
      <c r="I64" s="46">
        <v>1103.23</v>
      </c>
      <c r="J64" s="54">
        <f t="shared" si="1"/>
        <v>2.5099027401357832</v>
      </c>
    </row>
    <row r="65" spans="1:10" x14ac:dyDescent="0.3">
      <c r="A65" s="45">
        <v>20608</v>
      </c>
      <c r="B65" s="45" t="s">
        <v>43</v>
      </c>
      <c r="C65" s="45" t="s">
        <v>354</v>
      </c>
      <c r="D65" s="45" t="s">
        <v>200</v>
      </c>
      <c r="E65" s="54">
        <v>0.6</v>
      </c>
      <c r="F65" s="46">
        <v>0.89399999999999991</v>
      </c>
      <c r="G65" s="46">
        <v>149</v>
      </c>
      <c r="H65" s="46">
        <v>4.45</v>
      </c>
      <c r="I65" s="46">
        <v>422.75</v>
      </c>
      <c r="J65" s="54">
        <f t="shared" si="1"/>
        <v>1.0526315789473684</v>
      </c>
    </row>
    <row r="66" spans="1:10" x14ac:dyDescent="0.3">
      <c r="A66" s="45">
        <v>20701</v>
      </c>
      <c r="B66" s="45" t="s">
        <v>43</v>
      </c>
      <c r="C66" s="45" t="s">
        <v>355</v>
      </c>
      <c r="D66" s="45" t="s">
        <v>241</v>
      </c>
      <c r="E66" s="54">
        <v>0.6</v>
      </c>
      <c r="F66" s="46">
        <v>1.4279999999999999</v>
      </c>
      <c r="G66" s="46">
        <v>238</v>
      </c>
      <c r="H66" s="46">
        <v>8.06</v>
      </c>
      <c r="I66" s="46">
        <v>653.32000000000005</v>
      </c>
      <c r="J66" s="54">
        <f t="shared" si="1"/>
        <v>1.2336986469111613</v>
      </c>
    </row>
    <row r="67" spans="1:10" x14ac:dyDescent="0.3">
      <c r="A67" s="45">
        <v>20702</v>
      </c>
      <c r="B67" s="45" t="s">
        <v>43</v>
      </c>
      <c r="C67" s="45" t="s">
        <v>355</v>
      </c>
      <c r="D67" s="45" t="s">
        <v>41</v>
      </c>
      <c r="E67" s="54">
        <v>0.3</v>
      </c>
      <c r="F67" s="46">
        <v>0.70200000000000007</v>
      </c>
      <c r="G67" s="46">
        <v>234</v>
      </c>
      <c r="H67" s="46">
        <v>9.0500000000000007</v>
      </c>
      <c r="I67" s="46">
        <v>721.26</v>
      </c>
      <c r="J67" s="54">
        <f t="shared" ref="J67:J130" si="4">(H67/I67)*100</f>
        <v>1.2547486343343595</v>
      </c>
    </row>
    <row r="68" spans="1:10" x14ac:dyDescent="0.3">
      <c r="A68" s="45">
        <v>20801</v>
      </c>
      <c r="B68" s="45" t="s">
        <v>43</v>
      </c>
      <c r="C68" s="45" t="s">
        <v>14</v>
      </c>
      <c r="D68" s="45" t="s">
        <v>244</v>
      </c>
      <c r="E68" s="54">
        <v>1.6</v>
      </c>
      <c r="F68" s="46">
        <v>29.408000000000001</v>
      </c>
      <c r="G68" s="46">
        <v>1838</v>
      </c>
      <c r="H68" s="46">
        <v>125.21</v>
      </c>
      <c r="I68" s="46">
        <v>3493.86</v>
      </c>
      <c r="J68" s="54">
        <f t="shared" si="4"/>
        <v>3.5837154322153717</v>
      </c>
    </row>
    <row r="69" spans="1:10" x14ac:dyDescent="0.3">
      <c r="A69" s="45">
        <v>20802</v>
      </c>
      <c r="B69" s="45" t="s">
        <v>43</v>
      </c>
      <c r="C69" s="45" t="s">
        <v>14</v>
      </c>
      <c r="D69" s="45" t="s">
        <v>186</v>
      </c>
      <c r="E69" s="54">
        <v>0.7</v>
      </c>
      <c r="F69" s="46">
        <v>0.56699999999999995</v>
      </c>
      <c r="G69" s="46">
        <v>81</v>
      </c>
      <c r="H69" s="46">
        <v>12.85</v>
      </c>
      <c r="I69" s="46">
        <v>159.28</v>
      </c>
      <c r="J69" s="54">
        <f t="shared" si="4"/>
        <v>8.0675539929683566</v>
      </c>
    </row>
    <row r="70" spans="1:10" x14ac:dyDescent="0.3">
      <c r="A70" s="45">
        <v>20803</v>
      </c>
      <c r="B70" s="45" t="s">
        <v>43</v>
      </c>
      <c r="C70" s="45" t="s">
        <v>14</v>
      </c>
      <c r="D70" s="45" t="s">
        <v>217</v>
      </c>
      <c r="E70" s="54">
        <v>46.8</v>
      </c>
      <c r="F70" s="46">
        <v>103.89599999999999</v>
      </c>
      <c r="G70" s="46">
        <v>222</v>
      </c>
      <c r="H70" s="46">
        <v>29.07</v>
      </c>
      <c r="I70" s="46">
        <v>403.57</v>
      </c>
      <c r="J70" s="54">
        <f t="shared" si="4"/>
        <v>7.2032113388011991</v>
      </c>
    </row>
    <row r="71" spans="1:10" x14ac:dyDescent="0.3">
      <c r="A71" s="45">
        <v>20804</v>
      </c>
      <c r="B71" s="45" t="s">
        <v>43</v>
      </c>
      <c r="C71" s="45" t="s">
        <v>14</v>
      </c>
      <c r="D71" s="45" t="s">
        <v>113</v>
      </c>
      <c r="E71" s="54">
        <v>28.3</v>
      </c>
      <c r="F71" s="46">
        <v>28.3</v>
      </c>
      <c r="G71" s="46">
        <v>100</v>
      </c>
      <c r="H71" s="46">
        <v>16.98</v>
      </c>
      <c r="I71" s="46">
        <v>203.84</v>
      </c>
      <c r="J71" s="54">
        <f t="shared" si="4"/>
        <v>8.3300627943485086</v>
      </c>
    </row>
    <row r="72" spans="1:10" x14ac:dyDescent="0.3">
      <c r="A72" s="45">
        <v>20805</v>
      </c>
      <c r="B72" s="45" t="s">
        <v>43</v>
      </c>
      <c r="C72" s="45" t="s">
        <v>14</v>
      </c>
      <c r="D72" s="45" t="s">
        <v>90</v>
      </c>
      <c r="E72" s="54">
        <v>0.3</v>
      </c>
      <c r="F72" s="46">
        <v>0.14699999999999999</v>
      </c>
      <c r="G72" s="46">
        <v>49</v>
      </c>
      <c r="H72" s="46">
        <v>1.23</v>
      </c>
      <c r="I72" s="46">
        <v>104.04</v>
      </c>
      <c r="J72" s="54">
        <f t="shared" si="4"/>
        <v>1.1822376009227218</v>
      </c>
    </row>
    <row r="73" spans="1:10" x14ac:dyDescent="0.3">
      <c r="A73" s="45">
        <v>20806</v>
      </c>
      <c r="B73" s="45" t="s">
        <v>43</v>
      </c>
      <c r="C73" s="45" t="s">
        <v>14</v>
      </c>
      <c r="D73" s="45" t="s">
        <v>210</v>
      </c>
      <c r="E73" s="54">
        <v>0.4</v>
      </c>
      <c r="F73" s="46">
        <v>0.58400000000000007</v>
      </c>
      <c r="G73" s="46">
        <v>146</v>
      </c>
      <c r="H73" s="46">
        <v>4.74</v>
      </c>
      <c r="I73" s="46">
        <v>286</v>
      </c>
      <c r="J73" s="54">
        <f t="shared" si="4"/>
        <v>1.6573426573426575</v>
      </c>
    </row>
    <row r="74" spans="1:10" x14ac:dyDescent="0.3">
      <c r="A74" s="45">
        <v>20807</v>
      </c>
      <c r="B74" s="45" t="s">
        <v>43</v>
      </c>
      <c r="C74" s="45" t="s">
        <v>14</v>
      </c>
      <c r="D74" s="45" t="s">
        <v>123</v>
      </c>
      <c r="E74" s="54">
        <v>0.2</v>
      </c>
      <c r="F74" s="46">
        <v>0.10200000000000001</v>
      </c>
      <c r="G74" s="46">
        <v>51</v>
      </c>
      <c r="H74" s="46">
        <v>0.66</v>
      </c>
      <c r="I74" s="46">
        <v>103.37</v>
      </c>
      <c r="J74" s="54">
        <f t="shared" si="4"/>
        <v>0.6384831188932959</v>
      </c>
    </row>
    <row r="75" spans="1:10" x14ac:dyDescent="0.3">
      <c r="A75" s="45">
        <v>20901</v>
      </c>
      <c r="B75" s="45" t="s">
        <v>43</v>
      </c>
      <c r="C75" s="45" t="s">
        <v>356</v>
      </c>
      <c r="D75" s="45" t="s">
        <v>253</v>
      </c>
      <c r="E75" s="54">
        <v>0.4</v>
      </c>
      <c r="F75" s="46">
        <v>0.5</v>
      </c>
      <c r="G75" s="46">
        <v>125</v>
      </c>
      <c r="H75" s="46">
        <v>2.2200000000000002</v>
      </c>
      <c r="I75" s="46">
        <v>240.2</v>
      </c>
      <c r="J75" s="54">
        <f t="shared" si="4"/>
        <v>0.92422980849292258</v>
      </c>
    </row>
    <row r="76" spans="1:10" x14ac:dyDescent="0.3">
      <c r="A76" s="45">
        <v>20902</v>
      </c>
      <c r="B76" s="45" t="s">
        <v>43</v>
      </c>
      <c r="C76" s="45" t="s">
        <v>356</v>
      </c>
      <c r="D76" s="45" t="s">
        <v>172</v>
      </c>
      <c r="E76" s="54">
        <v>0.3</v>
      </c>
      <c r="F76" s="46">
        <v>0.375</v>
      </c>
      <c r="G76" s="46">
        <v>125</v>
      </c>
      <c r="H76" s="46">
        <v>1.23</v>
      </c>
      <c r="I76" s="46">
        <v>265.38</v>
      </c>
      <c r="J76" s="54">
        <f t="shared" si="4"/>
        <v>0.46348632150124353</v>
      </c>
    </row>
    <row r="77" spans="1:10" x14ac:dyDescent="0.3">
      <c r="A77" s="45">
        <v>20903</v>
      </c>
      <c r="B77" s="45" t="s">
        <v>43</v>
      </c>
      <c r="C77" s="45" t="s">
        <v>356</v>
      </c>
      <c r="D77" s="45" t="s">
        <v>198</v>
      </c>
      <c r="E77" s="54">
        <v>0.3</v>
      </c>
      <c r="F77" s="46">
        <v>0.26700000000000002</v>
      </c>
      <c r="G77" s="46">
        <v>89</v>
      </c>
      <c r="H77" s="46">
        <v>1.84</v>
      </c>
      <c r="I77" s="46">
        <v>149.54</v>
      </c>
      <c r="J77" s="54">
        <f t="shared" si="4"/>
        <v>1.2304400160492177</v>
      </c>
    </row>
    <row r="78" spans="1:10" x14ac:dyDescent="0.3">
      <c r="A78" s="45">
        <v>20904</v>
      </c>
      <c r="B78" s="45" t="s">
        <v>43</v>
      </c>
      <c r="C78" s="45" t="s">
        <v>356</v>
      </c>
      <c r="D78" s="45" t="s">
        <v>107</v>
      </c>
      <c r="E78" s="54">
        <v>0.6</v>
      </c>
      <c r="F78" s="46">
        <v>0.29399999999999998</v>
      </c>
      <c r="G78" s="46">
        <v>49</v>
      </c>
      <c r="H78" s="46">
        <v>1.42</v>
      </c>
      <c r="I78" s="46">
        <v>93.99</v>
      </c>
      <c r="J78" s="54">
        <f t="shared" si="4"/>
        <v>1.5107990211724651</v>
      </c>
    </row>
    <row r="79" spans="1:10" x14ac:dyDescent="0.3">
      <c r="A79" s="45">
        <v>20905</v>
      </c>
      <c r="B79" s="45" t="s">
        <v>43</v>
      </c>
      <c r="C79" s="45" t="s">
        <v>356</v>
      </c>
      <c r="D79" s="45" t="s">
        <v>191</v>
      </c>
      <c r="E79" s="54">
        <v>0.1</v>
      </c>
      <c r="F79" s="46">
        <v>0.16699999999999998</v>
      </c>
      <c r="G79" s="46">
        <v>167</v>
      </c>
      <c r="H79" s="46">
        <v>1.61</v>
      </c>
      <c r="I79" s="46">
        <v>399.77</v>
      </c>
      <c r="J79" s="54">
        <f t="shared" si="4"/>
        <v>0.40273157065312565</v>
      </c>
    </row>
    <row r="80" spans="1:10" x14ac:dyDescent="0.3">
      <c r="A80" s="45">
        <v>21001</v>
      </c>
      <c r="B80" s="45" t="s">
        <v>43</v>
      </c>
      <c r="C80" s="45" t="s">
        <v>138</v>
      </c>
      <c r="D80" s="45" t="s">
        <v>138</v>
      </c>
      <c r="E80" s="54">
        <v>0.1</v>
      </c>
      <c r="F80" s="46">
        <v>0.34700000000000003</v>
      </c>
      <c r="G80" s="46">
        <v>347</v>
      </c>
      <c r="H80" s="46">
        <v>1.42</v>
      </c>
      <c r="I80" s="46">
        <v>462.93</v>
      </c>
      <c r="J80" s="54">
        <f t="shared" si="4"/>
        <v>0.30674184001900934</v>
      </c>
    </row>
    <row r="81" spans="1:10" x14ac:dyDescent="0.3">
      <c r="A81" s="45">
        <v>21002</v>
      </c>
      <c r="B81" s="45" t="s">
        <v>43</v>
      </c>
      <c r="C81" s="45" t="s">
        <v>138</v>
      </c>
      <c r="D81" s="45" t="s">
        <v>231</v>
      </c>
      <c r="E81" s="54">
        <v>0.4</v>
      </c>
      <c r="F81" s="46">
        <v>0.96400000000000008</v>
      </c>
      <c r="G81" s="46">
        <v>241</v>
      </c>
      <c r="H81" s="46">
        <v>4.55</v>
      </c>
      <c r="I81" s="46">
        <v>316.81</v>
      </c>
      <c r="J81" s="54">
        <f t="shared" si="4"/>
        <v>1.4361920393926959</v>
      </c>
    </row>
    <row r="82" spans="1:10" x14ac:dyDescent="0.3">
      <c r="A82" s="45">
        <v>21003</v>
      </c>
      <c r="B82" s="45" t="s">
        <v>43</v>
      </c>
      <c r="C82" s="45" t="s">
        <v>138</v>
      </c>
      <c r="D82" s="45" t="s">
        <v>149</v>
      </c>
      <c r="E82" s="54">
        <v>0.3</v>
      </c>
      <c r="F82" s="46">
        <v>0.43799999999999994</v>
      </c>
      <c r="G82" s="46">
        <v>146</v>
      </c>
      <c r="H82" s="46">
        <v>2.3199999999999998</v>
      </c>
      <c r="I82" s="46">
        <v>359.06</v>
      </c>
      <c r="J82" s="54">
        <f t="shared" si="4"/>
        <v>0.64613156575502695</v>
      </c>
    </row>
    <row r="83" spans="1:10" x14ac:dyDescent="0.3">
      <c r="A83" s="45">
        <v>21004</v>
      </c>
      <c r="B83" s="45" t="s">
        <v>43</v>
      </c>
      <c r="C83" s="45" t="s">
        <v>138</v>
      </c>
      <c r="D83" s="45" t="s">
        <v>268</v>
      </c>
      <c r="E83" s="54">
        <v>0.1</v>
      </c>
      <c r="F83" s="46">
        <v>0.98100000000000009</v>
      </c>
      <c r="G83" s="46">
        <v>981</v>
      </c>
      <c r="H83" s="46">
        <v>4.6399999999999997</v>
      </c>
      <c r="I83" s="46">
        <v>1971.83</v>
      </c>
      <c r="J83" s="54">
        <f t="shared" si="4"/>
        <v>0.2353144033714874</v>
      </c>
    </row>
    <row r="84" spans="1:10" x14ac:dyDescent="0.3">
      <c r="A84" s="45">
        <v>21005</v>
      </c>
      <c r="B84" s="45" t="s">
        <v>43</v>
      </c>
      <c r="C84" s="45" t="s">
        <v>138</v>
      </c>
      <c r="D84" s="45" t="s">
        <v>132</v>
      </c>
      <c r="E84" s="54">
        <v>0.2</v>
      </c>
      <c r="F84" s="46">
        <v>0.14800000000000002</v>
      </c>
      <c r="G84" s="46">
        <v>74</v>
      </c>
      <c r="H84" s="46">
        <v>0.94</v>
      </c>
      <c r="I84" s="46">
        <v>164.5</v>
      </c>
      <c r="J84" s="54">
        <f t="shared" si="4"/>
        <v>0.5714285714285714</v>
      </c>
    </row>
    <row r="85" spans="1:10" x14ac:dyDescent="0.3">
      <c r="A85" s="45">
        <v>21006</v>
      </c>
      <c r="B85" s="45" t="s">
        <v>43</v>
      </c>
      <c r="C85" s="45" t="s">
        <v>138</v>
      </c>
      <c r="D85" s="45" t="s">
        <v>67</v>
      </c>
      <c r="E85" s="54">
        <v>0.6</v>
      </c>
      <c r="F85" s="46">
        <v>0.34799999999999998</v>
      </c>
      <c r="G85" s="46">
        <v>58</v>
      </c>
      <c r="H85" s="46">
        <v>4.55</v>
      </c>
      <c r="I85" s="46">
        <v>116.42</v>
      </c>
      <c r="J85" s="54">
        <f t="shared" si="4"/>
        <v>3.9082631850197558</v>
      </c>
    </row>
    <row r="86" spans="1:10" x14ac:dyDescent="0.3">
      <c r="A86" s="45">
        <v>21101</v>
      </c>
      <c r="B86" s="45" t="s">
        <v>43</v>
      </c>
      <c r="C86" s="45" t="s">
        <v>357</v>
      </c>
      <c r="D86" s="45" t="s">
        <v>245</v>
      </c>
      <c r="E86" s="54">
        <v>0.9</v>
      </c>
      <c r="F86" s="46">
        <v>1.9709999999999999</v>
      </c>
      <c r="G86" s="46">
        <v>219</v>
      </c>
      <c r="H86" s="46">
        <v>8.58</v>
      </c>
      <c r="I86" s="46">
        <v>576.95000000000005</v>
      </c>
      <c r="J86" s="54">
        <f t="shared" si="4"/>
        <v>1.4871306005719733</v>
      </c>
    </row>
    <row r="87" spans="1:10" x14ac:dyDescent="0.3">
      <c r="A87" s="45">
        <v>21102</v>
      </c>
      <c r="B87" s="45" t="s">
        <v>43</v>
      </c>
      <c r="C87" s="45" t="s">
        <v>357</v>
      </c>
      <c r="D87" s="45" t="s">
        <v>273</v>
      </c>
      <c r="E87" s="54">
        <v>0.3</v>
      </c>
      <c r="F87" s="46">
        <v>0.88200000000000001</v>
      </c>
      <c r="G87" s="46">
        <v>294</v>
      </c>
      <c r="H87" s="46">
        <v>6.21</v>
      </c>
      <c r="I87" s="46">
        <v>929.54</v>
      </c>
      <c r="J87" s="54">
        <f t="shared" si="4"/>
        <v>0.66807237988682577</v>
      </c>
    </row>
    <row r="88" spans="1:10" x14ac:dyDescent="0.3">
      <c r="A88" s="45">
        <v>21103</v>
      </c>
      <c r="B88" s="45" t="s">
        <v>43</v>
      </c>
      <c r="C88" s="45" t="s">
        <v>357</v>
      </c>
      <c r="D88" s="45" t="s">
        <v>94</v>
      </c>
      <c r="E88" s="54">
        <v>0.6</v>
      </c>
      <c r="F88" s="46">
        <v>0.81</v>
      </c>
      <c r="G88" s="46">
        <v>135</v>
      </c>
      <c r="H88" s="46">
        <v>3.88</v>
      </c>
      <c r="I88" s="46">
        <v>310.73</v>
      </c>
      <c r="J88" s="54">
        <f t="shared" si="4"/>
        <v>1.2486724809319987</v>
      </c>
    </row>
    <row r="89" spans="1:10" x14ac:dyDescent="0.3">
      <c r="A89" s="45">
        <v>21104</v>
      </c>
      <c r="B89" s="45" t="s">
        <v>43</v>
      </c>
      <c r="C89" s="45" t="s">
        <v>357</v>
      </c>
      <c r="D89" s="45" t="s">
        <v>258</v>
      </c>
      <c r="E89" s="54">
        <v>0.6</v>
      </c>
      <c r="F89" s="46">
        <v>2.97</v>
      </c>
      <c r="G89" s="46">
        <v>495</v>
      </c>
      <c r="H89" s="46">
        <v>12.47</v>
      </c>
      <c r="I89" s="46">
        <v>1049.74</v>
      </c>
      <c r="J89" s="54">
        <f t="shared" si="4"/>
        <v>1.1879131975536801</v>
      </c>
    </row>
    <row r="90" spans="1:10" x14ac:dyDescent="0.3">
      <c r="A90" s="45">
        <v>21105</v>
      </c>
      <c r="B90" s="45" t="s">
        <v>43</v>
      </c>
      <c r="C90" s="45" t="s">
        <v>357</v>
      </c>
      <c r="D90" s="45" t="s">
        <v>70</v>
      </c>
      <c r="E90" s="54">
        <v>0.2</v>
      </c>
      <c r="F90" s="46">
        <v>0.87</v>
      </c>
      <c r="G90" s="46">
        <v>435</v>
      </c>
      <c r="H90" s="46">
        <v>5.35</v>
      </c>
      <c r="I90" s="46">
        <v>1016.22</v>
      </c>
      <c r="J90" s="54">
        <f t="shared" si="4"/>
        <v>0.52646080573104248</v>
      </c>
    </row>
    <row r="91" spans="1:10" x14ac:dyDescent="0.3">
      <c r="A91" s="45">
        <v>21201</v>
      </c>
      <c r="B91" s="45" t="s">
        <v>43</v>
      </c>
      <c r="C91" s="45" t="s">
        <v>358</v>
      </c>
      <c r="D91" s="45" t="s">
        <v>255</v>
      </c>
      <c r="E91" s="54">
        <v>0.4</v>
      </c>
      <c r="F91" s="46">
        <v>1.8440000000000001</v>
      </c>
      <c r="G91" s="46">
        <v>461</v>
      </c>
      <c r="H91" s="46">
        <v>20.11</v>
      </c>
      <c r="I91" s="46">
        <v>805.98</v>
      </c>
      <c r="J91" s="54">
        <f t="shared" si="4"/>
        <v>2.4950991339735475</v>
      </c>
    </row>
    <row r="92" spans="1:10" x14ac:dyDescent="0.3">
      <c r="A92" s="45">
        <v>21202</v>
      </c>
      <c r="B92" s="45" t="s">
        <v>43</v>
      </c>
      <c r="C92" s="45" t="s">
        <v>358</v>
      </c>
      <c r="D92" s="45" t="s">
        <v>267</v>
      </c>
      <c r="E92" s="54">
        <v>0.5</v>
      </c>
      <c r="F92" s="46">
        <v>1.08</v>
      </c>
      <c r="G92" s="46">
        <v>216</v>
      </c>
      <c r="H92" s="46">
        <v>6.92</v>
      </c>
      <c r="I92" s="46">
        <v>415.63</v>
      </c>
      <c r="J92" s="54">
        <f t="shared" si="4"/>
        <v>1.6649423766330631</v>
      </c>
    </row>
    <row r="93" spans="1:10" x14ac:dyDescent="0.3">
      <c r="A93" s="45">
        <v>21203</v>
      </c>
      <c r="B93" s="45" t="s">
        <v>43</v>
      </c>
      <c r="C93" s="45" t="s">
        <v>358</v>
      </c>
      <c r="D93" s="45" t="s">
        <v>277</v>
      </c>
      <c r="E93" s="54">
        <v>0.5</v>
      </c>
      <c r="F93" s="46">
        <v>0.96499999999999997</v>
      </c>
      <c r="G93" s="46">
        <v>193</v>
      </c>
      <c r="H93" s="46">
        <v>23.43</v>
      </c>
      <c r="I93" s="46">
        <v>383.69</v>
      </c>
      <c r="J93" s="54">
        <f t="shared" si="4"/>
        <v>6.1064922202819982</v>
      </c>
    </row>
    <row r="94" spans="1:10" x14ac:dyDescent="0.3">
      <c r="A94" s="45">
        <v>21204</v>
      </c>
      <c r="B94" s="45" t="s">
        <v>43</v>
      </c>
      <c r="C94" s="45" t="s">
        <v>358</v>
      </c>
      <c r="D94" s="45" t="s">
        <v>199</v>
      </c>
      <c r="E94" s="54">
        <v>0.6</v>
      </c>
      <c r="F94" s="46">
        <v>0.37199999999999994</v>
      </c>
      <c r="G94" s="46">
        <v>62</v>
      </c>
      <c r="H94" s="46">
        <v>3.69</v>
      </c>
      <c r="I94" s="46">
        <v>126.59</v>
      </c>
      <c r="J94" s="54">
        <f t="shared" si="4"/>
        <v>2.9149221897464255</v>
      </c>
    </row>
    <row r="95" spans="1:10" x14ac:dyDescent="0.3">
      <c r="A95" s="45">
        <v>21301</v>
      </c>
      <c r="B95" s="45" t="s">
        <v>43</v>
      </c>
      <c r="C95" s="45" t="s">
        <v>359</v>
      </c>
      <c r="D95" s="45" t="s">
        <v>261</v>
      </c>
      <c r="E95" s="54">
        <v>0.6</v>
      </c>
      <c r="F95" s="46">
        <v>1.8719999999999999</v>
      </c>
      <c r="G95" s="46">
        <v>312</v>
      </c>
      <c r="H95" s="46">
        <v>9.6199999999999992</v>
      </c>
      <c r="I95" s="46">
        <v>681.93</v>
      </c>
      <c r="J95" s="54">
        <f t="shared" si="4"/>
        <v>1.410701978208907</v>
      </c>
    </row>
    <row r="96" spans="1:10" x14ac:dyDescent="0.3">
      <c r="A96" s="45">
        <v>21302</v>
      </c>
      <c r="B96" s="45" t="s">
        <v>43</v>
      </c>
      <c r="C96" s="45" t="s">
        <v>359</v>
      </c>
      <c r="D96" s="45" t="s">
        <v>232</v>
      </c>
      <c r="E96" s="54">
        <v>0.1</v>
      </c>
      <c r="F96" s="46">
        <v>0.10700000000000001</v>
      </c>
      <c r="G96" s="46">
        <v>107</v>
      </c>
      <c r="H96" s="46">
        <v>0.75</v>
      </c>
      <c r="I96" s="46">
        <v>200.01</v>
      </c>
      <c r="J96" s="54">
        <f t="shared" si="4"/>
        <v>0.37498125093745316</v>
      </c>
    </row>
    <row r="97" spans="1:10" x14ac:dyDescent="0.3">
      <c r="A97" s="45">
        <v>21303</v>
      </c>
      <c r="B97" s="45" t="s">
        <v>43</v>
      </c>
      <c r="C97" s="45" t="s">
        <v>359</v>
      </c>
      <c r="D97" s="45" t="s">
        <v>218</v>
      </c>
      <c r="E97" s="54">
        <v>0.4</v>
      </c>
      <c r="F97" s="46">
        <v>0.33200000000000002</v>
      </c>
      <c r="G97" s="46">
        <v>83</v>
      </c>
      <c r="H97" s="46">
        <v>2.41</v>
      </c>
      <c r="I97" s="46">
        <v>184.9</v>
      </c>
      <c r="J97" s="54">
        <f t="shared" si="4"/>
        <v>1.3034072471606273</v>
      </c>
    </row>
    <row r="98" spans="1:10" x14ac:dyDescent="0.3">
      <c r="A98" s="45">
        <v>21304</v>
      </c>
      <c r="B98" s="45" t="s">
        <v>43</v>
      </c>
      <c r="C98" s="45" t="s">
        <v>359</v>
      </c>
      <c r="D98" s="45" t="s">
        <v>249</v>
      </c>
      <c r="E98" s="54">
        <v>0.3</v>
      </c>
      <c r="F98" s="46">
        <v>0.39899999999999997</v>
      </c>
      <c r="G98" s="46">
        <v>133</v>
      </c>
      <c r="H98" s="46">
        <v>1.84</v>
      </c>
      <c r="I98" s="46">
        <v>262.39999999999998</v>
      </c>
      <c r="J98" s="54">
        <f t="shared" si="4"/>
        <v>0.70121951219512202</v>
      </c>
    </row>
    <row r="99" spans="1:10" x14ac:dyDescent="0.3">
      <c r="A99" s="45">
        <v>21305</v>
      </c>
      <c r="B99" s="45" t="s">
        <v>43</v>
      </c>
      <c r="C99" s="45" t="s">
        <v>359</v>
      </c>
      <c r="D99" s="45" t="s">
        <v>280</v>
      </c>
      <c r="E99" s="54">
        <v>1.4</v>
      </c>
      <c r="F99" s="46">
        <v>3.2059999999999995</v>
      </c>
      <c r="G99" s="46">
        <v>229</v>
      </c>
      <c r="H99" s="46">
        <v>39.03</v>
      </c>
      <c r="I99" s="46">
        <v>507.51</v>
      </c>
      <c r="J99" s="54">
        <f t="shared" si="4"/>
        <v>7.6904888573624168</v>
      </c>
    </row>
    <row r="100" spans="1:10" x14ac:dyDescent="0.3">
      <c r="A100" s="45">
        <v>21306</v>
      </c>
      <c r="B100" s="45" t="s">
        <v>43</v>
      </c>
      <c r="C100" s="45" t="s">
        <v>359</v>
      </c>
      <c r="D100" s="45" t="s">
        <v>229</v>
      </c>
      <c r="E100" s="54">
        <v>0.4</v>
      </c>
      <c r="F100" s="46">
        <v>0.46</v>
      </c>
      <c r="G100" s="46">
        <v>115</v>
      </c>
      <c r="H100" s="46">
        <v>2.89</v>
      </c>
      <c r="I100" s="46">
        <v>212.26</v>
      </c>
      <c r="J100" s="54">
        <f t="shared" si="4"/>
        <v>1.3615377367379631</v>
      </c>
    </row>
    <row r="101" spans="1:10" x14ac:dyDescent="0.3">
      <c r="A101" s="45">
        <v>21307</v>
      </c>
      <c r="B101" s="45" t="s">
        <v>43</v>
      </c>
      <c r="C101" s="45" t="s">
        <v>359</v>
      </c>
      <c r="D101" s="45" t="s">
        <v>100</v>
      </c>
      <c r="E101" s="54">
        <v>0.6</v>
      </c>
      <c r="F101" s="46">
        <v>0.33</v>
      </c>
      <c r="G101" s="46">
        <v>55</v>
      </c>
      <c r="H101" s="46">
        <v>2.0299999999999998</v>
      </c>
      <c r="I101" s="46">
        <v>99.24</v>
      </c>
      <c r="J101" s="54">
        <f t="shared" si="4"/>
        <v>2.0455461507456669</v>
      </c>
    </row>
    <row r="102" spans="1:10" x14ac:dyDescent="0.3">
      <c r="A102" s="45">
        <v>21401</v>
      </c>
      <c r="B102" s="45" t="s">
        <v>43</v>
      </c>
      <c r="C102" s="45" t="s">
        <v>360</v>
      </c>
      <c r="D102" s="45" t="s">
        <v>284</v>
      </c>
      <c r="E102" s="54">
        <v>28</v>
      </c>
      <c r="F102" s="46">
        <v>92.12</v>
      </c>
      <c r="G102" s="46">
        <v>329</v>
      </c>
      <c r="H102" s="46">
        <v>49.56</v>
      </c>
      <c r="I102" s="46">
        <v>852.14</v>
      </c>
      <c r="J102" s="54">
        <f t="shared" si="4"/>
        <v>5.8159457366160492</v>
      </c>
    </row>
    <row r="103" spans="1:10" x14ac:dyDescent="0.3">
      <c r="A103" s="45">
        <v>21402</v>
      </c>
      <c r="B103" s="45" t="s">
        <v>43</v>
      </c>
      <c r="C103" s="45" t="s">
        <v>360</v>
      </c>
      <c r="D103" s="45" t="s">
        <v>220</v>
      </c>
      <c r="E103" s="54">
        <v>0.5</v>
      </c>
      <c r="F103" s="46">
        <v>0.995</v>
      </c>
      <c r="G103" s="46">
        <v>199</v>
      </c>
      <c r="H103" s="46">
        <v>4.45</v>
      </c>
      <c r="I103" s="46">
        <v>448.68</v>
      </c>
      <c r="J103" s="54">
        <f t="shared" si="4"/>
        <v>0.9917981635018277</v>
      </c>
    </row>
    <row r="104" spans="1:10" x14ac:dyDescent="0.3">
      <c r="A104" s="45">
        <v>21501</v>
      </c>
      <c r="B104" s="45" t="s">
        <v>43</v>
      </c>
      <c r="C104" s="45" t="s">
        <v>361</v>
      </c>
      <c r="D104" s="45" t="s">
        <v>194</v>
      </c>
      <c r="E104" s="54">
        <v>1</v>
      </c>
      <c r="F104" s="46">
        <v>1.1399999999999999</v>
      </c>
      <c r="G104" s="46">
        <v>114</v>
      </c>
      <c r="H104" s="46">
        <v>6.59</v>
      </c>
      <c r="I104" s="46">
        <v>300.82</v>
      </c>
      <c r="J104" s="54">
        <f t="shared" si="4"/>
        <v>2.1906788112492523</v>
      </c>
    </row>
    <row r="105" spans="1:10" x14ac:dyDescent="0.3">
      <c r="A105" s="45">
        <v>21502</v>
      </c>
      <c r="B105" s="45" t="s">
        <v>43</v>
      </c>
      <c r="C105" s="45" t="s">
        <v>361</v>
      </c>
      <c r="D105" s="45" t="s">
        <v>133</v>
      </c>
      <c r="E105" s="54">
        <v>1.5</v>
      </c>
      <c r="F105" s="46">
        <v>1.6950000000000001</v>
      </c>
      <c r="G105" s="46">
        <v>113</v>
      </c>
      <c r="H105" s="46">
        <v>18.11</v>
      </c>
      <c r="I105" s="46">
        <v>229.85</v>
      </c>
      <c r="J105" s="54">
        <f t="shared" si="4"/>
        <v>7.8790515553621931</v>
      </c>
    </row>
    <row r="106" spans="1:10" x14ac:dyDescent="0.3">
      <c r="A106" s="45">
        <v>21601</v>
      </c>
      <c r="B106" s="45" t="s">
        <v>43</v>
      </c>
      <c r="C106" s="45" t="s">
        <v>362</v>
      </c>
      <c r="D106" s="45" t="s">
        <v>313</v>
      </c>
      <c r="E106" s="54">
        <v>0.5</v>
      </c>
      <c r="F106" s="46">
        <v>0.59</v>
      </c>
      <c r="G106" s="46">
        <v>118</v>
      </c>
      <c r="H106" s="46">
        <v>3.27</v>
      </c>
      <c r="I106" s="46">
        <v>219.53</v>
      </c>
      <c r="J106" s="54">
        <f t="shared" si="4"/>
        <v>1.4895458479478887</v>
      </c>
    </row>
    <row r="107" spans="1:10" x14ac:dyDescent="0.3">
      <c r="A107" s="45">
        <v>21602</v>
      </c>
      <c r="B107" s="45" t="s">
        <v>43</v>
      </c>
      <c r="C107" s="45" t="s">
        <v>362</v>
      </c>
      <c r="D107" s="45" t="s">
        <v>108</v>
      </c>
      <c r="E107" s="54">
        <v>0.5</v>
      </c>
      <c r="F107" s="46">
        <v>0.16500000000000001</v>
      </c>
      <c r="G107" s="46">
        <v>33</v>
      </c>
      <c r="H107" s="46">
        <v>1.04</v>
      </c>
      <c r="I107" s="46">
        <v>70.25</v>
      </c>
      <c r="J107" s="54">
        <f t="shared" si="4"/>
        <v>1.4804270462633451</v>
      </c>
    </row>
    <row r="108" spans="1:10" x14ac:dyDescent="0.3">
      <c r="A108" s="45">
        <v>21701</v>
      </c>
      <c r="B108" s="45" t="s">
        <v>43</v>
      </c>
      <c r="C108" s="45" t="s">
        <v>363</v>
      </c>
      <c r="D108" s="45" t="s">
        <v>251</v>
      </c>
      <c r="E108" s="54">
        <v>47.1</v>
      </c>
      <c r="F108" s="46">
        <v>128.583</v>
      </c>
      <c r="G108" s="46">
        <v>273</v>
      </c>
      <c r="H108" s="46">
        <v>52.88</v>
      </c>
      <c r="I108" s="46">
        <v>473.68</v>
      </c>
      <c r="J108" s="54">
        <f t="shared" si="4"/>
        <v>11.16365478804256</v>
      </c>
    </row>
    <row r="109" spans="1:10" x14ac:dyDescent="0.3">
      <c r="A109" s="45">
        <v>21702</v>
      </c>
      <c r="B109" s="45" t="s">
        <v>43</v>
      </c>
      <c r="C109" s="45" t="s">
        <v>363</v>
      </c>
      <c r="D109" s="45" t="s">
        <v>184</v>
      </c>
      <c r="E109" s="54">
        <v>26.5</v>
      </c>
      <c r="F109" s="46">
        <v>15.635</v>
      </c>
      <c r="G109" s="46">
        <v>59</v>
      </c>
      <c r="H109" s="46">
        <v>18.73</v>
      </c>
      <c r="I109" s="46">
        <v>148.87</v>
      </c>
      <c r="J109" s="54">
        <f t="shared" si="4"/>
        <v>12.581446899979849</v>
      </c>
    </row>
    <row r="110" spans="1:10" x14ac:dyDescent="0.3">
      <c r="A110" s="45">
        <v>21703</v>
      </c>
      <c r="B110" s="45" t="s">
        <v>43</v>
      </c>
      <c r="C110" s="45" t="s">
        <v>363</v>
      </c>
      <c r="D110" s="45" t="s">
        <v>135</v>
      </c>
      <c r="E110" s="54">
        <v>0.5</v>
      </c>
      <c r="F110" s="46">
        <v>0.16500000000000001</v>
      </c>
      <c r="G110" s="46">
        <v>33</v>
      </c>
      <c r="H110" s="46">
        <v>2.7</v>
      </c>
      <c r="I110" s="46">
        <v>63.69</v>
      </c>
      <c r="J110" s="54">
        <f t="shared" si="4"/>
        <v>4.239284032030147</v>
      </c>
    </row>
    <row r="111" spans="1:10" x14ac:dyDescent="0.3">
      <c r="A111" s="45">
        <v>21801</v>
      </c>
      <c r="B111" s="45" t="s">
        <v>43</v>
      </c>
      <c r="C111" s="45" t="s">
        <v>364</v>
      </c>
      <c r="D111" s="45" t="s">
        <v>314</v>
      </c>
      <c r="E111" s="54">
        <v>0.1</v>
      </c>
      <c r="F111" s="46">
        <v>0.10400000000000001</v>
      </c>
      <c r="G111" s="46">
        <v>104</v>
      </c>
      <c r="H111" s="46">
        <v>0.94</v>
      </c>
      <c r="I111" s="46">
        <v>209.48</v>
      </c>
      <c r="J111" s="54">
        <f t="shared" si="4"/>
        <v>0.44873018903952644</v>
      </c>
    </row>
    <row r="112" spans="1:10" x14ac:dyDescent="0.3">
      <c r="A112" s="45">
        <v>21802</v>
      </c>
      <c r="B112" s="45" t="s">
        <v>43</v>
      </c>
      <c r="C112" s="45" t="s">
        <v>365</v>
      </c>
      <c r="D112" s="45" t="s">
        <v>197</v>
      </c>
      <c r="E112" s="54">
        <v>0.2</v>
      </c>
      <c r="F112" s="46">
        <v>0.16400000000000003</v>
      </c>
      <c r="G112" s="46">
        <v>82</v>
      </c>
      <c r="H112" s="46">
        <v>0.85</v>
      </c>
      <c r="I112" s="46">
        <v>151.58000000000001</v>
      </c>
      <c r="J112" s="54">
        <f t="shared" si="4"/>
        <v>0.56075999472225879</v>
      </c>
    </row>
    <row r="113" spans="1:10" x14ac:dyDescent="0.3">
      <c r="A113" s="45">
        <v>21803</v>
      </c>
      <c r="B113" s="45" t="s">
        <v>43</v>
      </c>
      <c r="C113" s="45" t="s">
        <v>365</v>
      </c>
      <c r="D113" s="45" t="s">
        <v>49</v>
      </c>
      <c r="E113" s="54">
        <v>0.3</v>
      </c>
      <c r="F113" s="46">
        <v>5.7000000000000002E-2</v>
      </c>
      <c r="G113" s="46">
        <v>19</v>
      </c>
      <c r="H113" s="46">
        <v>0.37</v>
      </c>
      <c r="I113" s="46">
        <v>41.23</v>
      </c>
      <c r="J113" s="54">
        <f t="shared" si="4"/>
        <v>0.8974048023284017</v>
      </c>
    </row>
    <row r="114" spans="1:10" x14ac:dyDescent="0.3">
      <c r="A114" s="45">
        <v>21901</v>
      </c>
      <c r="B114" s="45" t="s">
        <v>43</v>
      </c>
      <c r="C114" s="45" t="s">
        <v>366</v>
      </c>
      <c r="D114" s="45" t="s">
        <v>50</v>
      </c>
      <c r="E114" s="54">
        <v>0.7</v>
      </c>
      <c r="F114" s="46">
        <v>0.37799999999999995</v>
      </c>
      <c r="G114" s="46">
        <v>54</v>
      </c>
      <c r="H114" s="46">
        <v>2.89</v>
      </c>
      <c r="I114" s="46">
        <v>108.34</v>
      </c>
      <c r="J114" s="54">
        <f t="shared" si="4"/>
        <v>2.6675281521137162</v>
      </c>
    </row>
    <row r="115" spans="1:10" x14ac:dyDescent="0.3">
      <c r="A115" s="45">
        <v>21902</v>
      </c>
      <c r="B115" s="45" t="s">
        <v>43</v>
      </c>
      <c r="C115" s="45" t="s">
        <v>366</v>
      </c>
      <c r="D115" s="45" t="s">
        <v>28</v>
      </c>
      <c r="E115" s="54">
        <v>0.1</v>
      </c>
      <c r="F115" s="46">
        <v>0.02</v>
      </c>
      <c r="G115" s="46">
        <v>20</v>
      </c>
      <c r="H115" s="46">
        <v>0.28000000000000003</v>
      </c>
      <c r="I115" s="46">
        <v>42.53</v>
      </c>
      <c r="J115" s="54">
        <f t="shared" si="4"/>
        <v>0.65835880554902426</v>
      </c>
    </row>
    <row r="116" spans="1:10" x14ac:dyDescent="0.3">
      <c r="A116" s="45">
        <v>22001</v>
      </c>
      <c r="B116" s="45" t="s">
        <v>43</v>
      </c>
      <c r="C116" s="45" t="s">
        <v>260</v>
      </c>
      <c r="D116" s="45" t="s">
        <v>260</v>
      </c>
      <c r="E116" s="54">
        <v>2.5</v>
      </c>
      <c r="F116" s="46">
        <v>21.074999999999999</v>
      </c>
      <c r="G116" s="46">
        <v>843</v>
      </c>
      <c r="H116" s="46">
        <v>93.25</v>
      </c>
      <c r="I116" s="46">
        <v>1772.12</v>
      </c>
      <c r="J116" s="54">
        <f t="shared" si="4"/>
        <v>5.2620590027763363</v>
      </c>
    </row>
    <row r="117" spans="1:10" x14ac:dyDescent="0.3">
      <c r="A117" s="45">
        <v>22002</v>
      </c>
      <c r="B117" s="45" t="s">
        <v>43</v>
      </c>
      <c r="C117" s="45" t="s">
        <v>260</v>
      </c>
      <c r="D117" s="45" t="s">
        <v>185</v>
      </c>
      <c r="E117" s="54">
        <v>0.4</v>
      </c>
      <c r="F117" s="46">
        <v>0.82</v>
      </c>
      <c r="G117" s="46">
        <v>205</v>
      </c>
      <c r="H117" s="46">
        <v>3.6</v>
      </c>
      <c r="I117" s="46">
        <v>491.12</v>
      </c>
      <c r="J117" s="54">
        <f t="shared" si="4"/>
        <v>0.73301840690666231</v>
      </c>
    </row>
    <row r="118" spans="1:10" x14ac:dyDescent="0.3">
      <c r="A118" s="45">
        <v>30101</v>
      </c>
      <c r="B118" s="45" t="s">
        <v>51</v>
      </c>
      <c r="C118" s="45" t="s">
        <v>367</v>
      </c>
      <c r="D118" s="45" t="s">
        <v>51</v>
      </c>
      <c r="E118" s="54">
        <v>4.2</v>
      </c>
      <c r="F118" s="46">
        <v>644.322</v>
      </c>
      <c r="G118" s="46">
        <v>15341</v>
      </c>
      <c r="H118" s="46">
        <v>1811.21</v>
      </c>
      <c r="I118" s="46">
        <v>29789.02</v>
      </c>
      <c r="J118" s="54">
        <f t="shared" si="4"/>
        <v>6.0801261672925131</v>
      </c>
    </row>
    <row r="119" spans="1:10" x14ac:dyDescent="0.3">
      <c r="A119" s="45">
        <v>30201</v>
      </c>
      <c r="B119" s="45" t="s">
        <v>51</v>
      </c>
      <c r="C119" s="45" t="s">
        <v>368</v>
      </c>
      <c r="D119" s="45" t="s">
        <v>252</v>
      </c>
      <c r="E119" s="54">
        <v>7.5</v>
      </c>
      <c r="F119" s="46">
        <v>18.975000000000001</v>
      </c>
      <c r="G119" s="46">
        <v>253</v>
      </c>
      <c r="H119" s="46">
        <v>14.32</v>
      </c>
      <c r="I119" s="46">
        <v>528.41999999999996</v>
      </c>
      <c r="J119" s="54">
        <f t="shared" si="4"/>
        <v>2.7099655577003143</v>
      </c>
    </row>
    <row r="120" spans="1:10" x14ac:dyDescent="0.3">
      <c r="A120" s="45">
        <v>30202</v>
      </c>
      <c r="B120" s="45" t="s">
        <v>51</v>
      </c>
      <c r="C120" s="45" t="s">
        <v>368</v>
      </c>
      <c r="D120" s="45" t="s">
        <v>145</v>
      </c>
      <c r="E120" s="54">
        <v>0.5</v>
      </c>
      <c r="F120" s="46">
        <v>0.41</v>
      </c>
      <c r="G120" s="46">
        <v>82</v>
      </c>
      <c r="H120" s="46">
        <v>2.79</v>
      </c>
      <c r="I120" s="46">
        <v>161.88999999999999</v>
      </c>
      <c r="J120" s="54">
        <f t="shared" si="4"/>
        <v>1.7233924269565757</v>
      </c>
    </row>
    <row r="121" spans="1:10" x14ac:dyDescent="0.3">
      <c r="A121" s="45">
        <v>30203</v>
      </c>
      <c r="B121" s="45" t="s">
        <v>51</v>
      </c>
      <c r="C121" s="45" t="s">
        <v>368</v>
      </c>
      <c r="D121" s="45" t="s">
        <v>56</v>
      </c>
      <c r="E121" s="54">
        <v>0.4</v>
      </c>
      <c r="F121" s="46">
        <v>0.40800000000000003</v>
      </c>
      <c r="G121" s="46">
        <v>102</v>
      </c>
      <c r="H121" s="46">
        <v>1.61</v>
      </c>
      <c r="I121" s="46">
        <v>216.74</v>
      </c>
      <c r="J121" s="54">
        <f t="shared" si="4"/>
        <v>0.74282550521362001</v>
      </c>
    </row>
    <row r="122" spans="1:10" x14ac:dyDescent="0.3">
      <c r="A122" s="45">
        <v>30301</v>
      </c>
      <c r="B122" s="45" t="s">
        <v>51</v>
      </c>
      <c r="C122" s="45" t="s">
        <v>369</v>
      </c>
      <c r="D122" s="45" t="s">
        <v>211</v>
      </c>
      <c r="E122" s="56">
        <v>9.3000000000000007</v>
      </c>
      <c r="F122" s="46">
        <v>15.066000000000001</v>
      </c>
      <c r="G122" s="55">
        <v>162</v>
      </c>
      <c r="H122" s="47">
        <v>5.45</v>
      </c>
      <c r="I122" s="46">
        <v>477.33</v>
      </c>
      <c r="J122" s="54">
        <f t="shared" si="4"/>
        <v>1.1417677497747891</v>
      </c>
    </row>
    <row r="123" spans="1:10" x14ac:dyDescent="0.3">
      <c r="A123" s="45">
        <v>30302</v>
      </c>
      <c r="B123" s="45" t="s">
        <v>51</v>
      </c>
      <c r="C123" s="45" t="s">
        <v>369</v>
      </c>
      <c r="D123" s="45" t="s">
        <v>177</v>
      </c>
      <c r="E123" s="54">
        <v>0.4</v>
      </c>
      <c r="F123" s="46">
        <v>0.5</v>
      </c>
      <c r="G123" s="46">
        <v>125</v>
      </c>
      <c r="H123" s="46">
        <v>2.89</v>
      </c>
      <c r="I123" s="46">
        <v>267.81</v>
      </c>
      <c r="J123" s="54">
        <f t="shared" si="4"/>
        <v>1.0791232590269222</v>
      </c>
    </row>
    <row r="124" spans="1:10" x14ac:dyDescent="0.3">
      <c r="A124" s="45">
        <v>30303</v>
      </c>
      <c r="B124" s="45" t="s">
        <v>51</v>
      </c>
      <c r="C124" s="45" t="s">
        <v>369</v>
      </c>
      <c r="D124" s="45" t="s">
        <v>66</v>
      </c>
      <c r="E124" s="54">
        <v>0.1</v>
      </c>
      <c r="F124" s="46">
        <v>0.22700000000000004</v>
      </c>
      <c r="G124" s="46">
        <v>227</v>
      </c>
      <c r="H124" s="46">
        <v>1.51</v>
      </c>
      <c r="I124" s="46">
        <v>604.70000000000005</v>
      </c>
      <c r="J124" s="54">
        <f t="shared" si="4"/>
        <v>0.24971060029766826</v>
      </c>
    </row>
    <row r="125" spans="1:10" x14ac:dyDescent="0.3">
      <c r="A125" s="45">
        <v>30401</v>
      </c>
      <c r="B125" s="45" t="s">
        <v>51</v>
      </c>
      <c r="C125" s="45" t="s">
        <v>370</v>
      </c>
      <c r="D125" s="45" t="s">
        <v>171</v>
      </c>
      <c r="E125" s="54">
        <v>1</v>
      </c>
      <c r="F125" s="46">
        <v>1.27</v>
      </c>
      <c r="G125" s="46">
        <v>127</v>
      </c>
      <c r="H125" s="46">
        <v>5.45</v>
      </c>
      <c r="I125" s="46">
        <v>253.39</v>
      </c>
      <c r="J125" s="54">
        <f t="shared" si="4"/>
        <v>2.1508346817159318</v>
      </c>
    </row>
    <row r="126" spans="1:10" x14ac:dyDescent="0.3">
      <c r="A126" s="45">
        <v>30402</v>
      </c>
      <c r="B126" s="45" t="s">
        <v>51</v>
      </c>
      <c r="C126" s="45" t="s">
        <v>370</v>
      </c>
      <c r="D126" s="45" t="s">
        <v>153</v>
      </c>
      <c r="E126" s="54">
        <v>0.7</v>
      </c>
      <c r="F126" s="46">
        <v>0.35699999999999998</v>
      </c>
      <c r="G126" s="46">
        <v>51</v>
      </c>
      <c r="H126" s="46">
        <v>1.94</v>
      </c>
      <c r="I126" s="46">
        <v>108.92</v>
      </c>
      <c r="J126" s="54">
        <f t="shared" si="4"/>
        <v>1.7811237605582078</v>
      </c>
    </row>
    <row r="127" spans="1:10" x14ac:dyDescent="0.3">
      <c r="A127" s="45">
        <v>30403</v>
      </c>
      <c r="B127" s="45" t="s">
        <v>51</v>
      </c>
      <c r="C127" s="45" t="s">
        <v>370</v>
      </c>
      <c r="D127" s="45" t="s">
        <v>259</v>
      </c>
      <c r="E127" s="54">
        <v>2.2000000000000002</v>
      </c>
      <c r="F127" s="46">
        <v>3.718</v>
      </c>
      <c r="G127" s="46">
        <v>169</v>
      </c>
      <c r="H127" s="46">
        <v>21.67</v>
      </c>
      <c r="I127" s="46">
        <v>330.16</v>
      </c>
      <c r="J127" s="54">
        <f t="shared" si="4"/>
        <v>6.5634843712139563</v>
      </c>
    </row>
    <row r="128" spans="1:10" x14ac:dyDescent="0.3">
      <c r="A128" s="45">
        <v>30404</v>
      </c>
      <c r="B128" s="45" t="s">
        <v>51</v>
      </c>
      <c r="C128" s="45" t="s">
        <v>370</v>
      </c>
      <c r="D128" s="45" t="s">
        <v>155</v>
      </c>
      <c r="E128" s="54">
        <v>1.1000000000000001</v>
      </c>
      <c r="F128" s="46">
        <v>0.35200000000000004</v>
      </c>
      <c r="G128" s="46">
        <v>32</v>
      </c>
      <c r="H128" s="46">
        <v>1.42</v>
      </c>
      <c r="I128" s="46">
        <v>64.61</v>
      </c>
      <c r="J128" s="54">
        <f t="shared" si="4"/>
        <v>2.1978021978021975</v>
      </c>
    </row>
    <row r="129" spans="1:10" x14ac:dyDescent="0.3">
      <c r="A129" s="45">
        <v>30501</v>
      </c>
      <c r="B129" s="45" t="s">
        <v>51</v>
      </c>
      <c r="C129" s="45" t="s">
        <v>179</v>
      </c>
      <c r="D129" s="45" t="s">
        <v>179</v>
      </c>
      <c r="E129" s="54">
        <v>0.8</v>
      </c>
      <c r="F129" s="46">
        <v>0.84800000000000009</v>
      </c>
      <c r="G129" s="46">
        <v>106</v>
      </c>
      <c r="H129" s="46">
        <v>6.3</v>
      </c>
      <c r="I129" s="46">
        <v>214.6</v>
      </c>
      <c r="J129" s="54">
        <f t="shared" si="4"/>
        <v>2.9356943150046595</v>
      </c>
    </row>
    <row r="130" spans="1:10" x14ac:dyDescent="0.3">
      <c r="A130" s="45">
        <v>30502</v>
      </c>
      <c r="B130" s="45" t="s">
        <v>51</v>
      </c>
      <c r="C130" s="45" t="s">
        <v>179</v>
      </c>
      <c r="D130" s="45" t="s">
        <v>238</v>
      </c>
      <c r="E130" s="54">
        <v>0.4</v>
      </c>
      <c r="F130" s="46">
        <v>0.34</v>
      </c>
      <c r="G130" s="46">
        <v>85</v>
      </c>
      <c r="H130" s="46">
        <v>1.75</v>
      </c>
      <c r="I130" s="46">
        <v>173.87</v>
      </c>
      <c r="J130" s="54">
        <f t="shared" si="4"/>
        <v>1.0064991085293609</v>
      </c>
    </row>
    <row r="131" spans="1:10" x14ac:dyDescent="0.3">
      <c r="A131" s="45">
        <v>30601</v>
      </c>
      <c r="B131" s="45" t="s">
        <v>51</v>
      </c>
      <c r="C131" s="45" t="s">
        <v>128</v>
      </c>
      <c r="D131" s="45" t="s">
        <v>128</v>
      </c>
      <c r="E131" s="54">
        <v>0.4</v>
      </c>
      <c r="F131" s="46">
        <v>0.28800000000000003</v>
      </c>
      <c r="G131" s="46">
        <v>72</v>
      </c>
      <c r="H131" s="46">
        <v>1.84</v>
      </c>
      <c r="I131" s="46">
        <v>174.62</v>
      </c>
      <c r="J131" s="54">
        <f t="shared" ref="J131:J194" si="5">(H131/I131)*100</f>
        <v>1.0537166418508761</v>
      </c>
    </row>
    <row r="132" spans="1:10" x14ac:dyDescent="0.3">
      <c r="A132" s="45">
        <v>30602</v>
      </c>
      <c r="B132" s="45" t="s">
        <v>51</v>
      </c>
      <c r="C132" s="45" t="s">
        <v>128</v>
      </c>
      <c r="D132" s="45" t="s">
        <v>48</v>
      </c>
      <c r="E132" s="54">
        <v>0.2</v>
      </c>
      <c r="F132" s="46">
        <v>0.158</v>
      </c>
      <c r="G132" s="46">
        <v>79</v>
      </c>
      <c r="H132" s="46">
        <v>0.75</v>
      </c>
      <c r="I132" s="46">
        <v>168.37</v>
      </c>
      <c r="J132" s="54">
        <f t="shared" si="5"/>
        <v>0.44544752628140405</v>
      </c>
    </row>
    <row r="133" spans="1:10" x14ac:dyDescent="0.3">
      <c r="A133" s="45">
        <v>30701</v>
      </c>
      <c r="B133" s="45" t="s">
        <v>51</v>
      </c>
      <c r="C133" s="45" t="s">
        <v>269</v>
      </c>
      <c r="D133" s="45" t="s">
        <v>269</v>
      </c>
      <c r="E133" s="54">
        <v>0.7</v>
      </c>
      <c r="F133" s="46">
        <v>1.6519999999999999</v>
      </c>
      <c r="G133" s="46">
        <v>236</v>
      </c>
      <c r="H133" s="46">
        <v>7.49</v>
      </c>
      <c r="I133" s="46">
        <v>483.53</v>
      </c>
      <c r="J133" s="54">
        <f t="shared" si="5"/>
        <v>1.5490248795317769</v>
      </c>
    </row>
    <row r="134" spans="1:10" x14ac:dyDescent="0.3">
      <c r="A134" s="45">
        <v>30702</v>
      </c>
      <c r="B134" s="45" t="s">
        <v>51</v>
      </c>
      <c r="C134" s="45" t="s">
        <v>269</v>
      </c>
      <c r="D134" s="45" t="s">
        <v>176</v>
      </c>
      <c r="E134" s="54">
        <v>0.3</v>
      </c>
      <c r="F134" s="46">
        <v>0.42299999999999999</v>
      </c>
      <c r="G134" s="46">
        <v>141</v>
      </c>
      <c r="H134" s="46">
        <v>1.23</v>
      </c>
      <c r="I134" s="46">
        <v>318.31</v>
      </c>
      <c r="J134" s="54">
        <f t="shared" si="5"/>
        <v>0.3864157582231158</v>
      </c>
    </row>
    <row r="135" spans="1:10" x14ac:dyDescent="0.3">
      <c r="A135" s="45">
        <v>30703</v>
      </c>
      <c r="B135" s="45" t="s">
        <v>51</v>
      </c>
      <c r="C135" s="45" t="s">
        <v>269</v>
      </c>
      <c r="D135" s="45" t="s">
        <v>96</v>
      </c>
      <c r="E135" s="54">
        <v>0.2</v>
      </c>
      <c r="F135" s="46">
        <v>0.13800000000000001</v>
      </c>
      <c r="G135" s="46">
        <v>69</v>
      </c>
      <c r="H135" s="46">
        <v>0.56000000000000005</v>
      </c>
      <c r="I135" s="46">
        <v>124.18</v>
      </c>
      <c r="J135" s="54">
        <f t="shared" si="5"/>
        <v>0.45095828635851182</v>
      </c>
    </row>
    <row r="136" spans="1:10" x14ac:dyDescent="0.3">
      <c r="A136" s="45">
        <v>30801</v>
      </c>
      <c r="B136" s="45" t="s">
        <v>51</v>
      </c>
      <c r="C136" s="45" t="s">
        <v>371</v>
      </c>
      <c r="D136" s="45" t="s">
        <v>202</v>
      </c>
      <c r="E136" s="54">
        <v>4.7</v>
      </c>
      <c r="F136" s="46">
        <v>19.504999999999999</v>
      </c>
      <c r="G136" s="46">
        <v>415</v>
      </c>
      <c r="H136" s="46">
        <v>19.3</v>
      </c>
      <c r="I136" s="46">
        <v>856.52</v>
      </c>
      <c r="J136" s="54">
        <f t="shared" si="5"/>
        <v>2.2533040676224725</v>
      </c>
    </row>
    <row r="137" spans="1:10" x14ac:dyDescent="0.3">
      <c r="A137" s="45">
        <v>30802</v>
      </c>
      <c r="B137" s="45" t="s">
        <v>51</v>
      </c>
      <c r="C137" s="45" t="s">
        <v>371</v>
      </c>
      <c r="D137" s="45" t="s">
        <v>315</v>
      </c>
      <c r="E137" s="54">
        <v>0.3</v>
      </c>
      <c r="F137" s="46">
        <v>0.21899999999999997</v>
      </c>
      <c r="G137" s="46">
        <v>73</v>
      </c>
      <c r="H137" s="46">
        <v>1.04</v>
      </c>
      <c r="I137" s="46">
        <v>152.80000000000001</v>
      </c>
      <c r="J137" s="54">
        <f t="shared" si="5"/>
        <v>0.68062827225130884</v>
      </c>
    </row>
    <row r="138" spans="1:10" x14ac:dyDescent="0.3">
      <c r="A138" s="45">
        <v>30803</v>
      </c>
      <c r="B138" s="45" t="s">
        <v>51</v>
      </c>
      <c r="C138" s="45" t="s">
        <v>371</v>
      </c>
      <c r="D138" s="45" t="s">
        <v>19</v>
      </c>
      <c r="E138" s="54">
        <v>1.3</v>
      </c>
      <c r="F138" s="46">
        <v>1.365</v>
      </c>
      <c r="G138" s="46">
        <v>105</v>
      </c>
      <c r="H138" s="46">
        <v>6.83</v>
      </c>
      <c r="I138" s="46">
        <v>246</v>
      </c>
      <c r="J138" s="54">
        <f t="shared" si="5"/>
        <v>2.7764227642276422</v>
      </c>
    </row>
    <row r="139" spans="1:10" x14ac:dyDescent="0.3">
      <c r="A139" s="45">
        <v>30901</v>
      </c>
      <c r="B139" s="45" t="s">
        <v>51</v>
      </c>
      <c r="C139" s="45" t="s">
        <v>299</v>
      </c>
      <c r="D139" s="45" t="s">
        <v>299</v>
      </c>
      <c r="E139" s="54">
        <v>3.3</v>
      </c>
      <c r="F139" s="46">
        <v>71.543999999999997</v>
      </c>
      <c r="G139" s="46">
        <v>2168</v>
      </c>
      <c r="H139" s="46">
        <v>229.94</v>
      </c>
      <c r="I139" s="46">
        <v>4477.37</v>
      </c>
      <c r="J139" s="54">
        <f t="shared" si="5"/>
        <v>5.1356041604781373</v>
      </c>
    </row>
    <row r="140" spans="1:10" x14ac:dyDescent="0.3">
      <c r="A140" s="45">
        <v>30902</v>
      </c>
      <c r="B140" s="45" t="s">
        <v>51</v>
      </c>
      <c r="C140" s="45" t="s">
        <v>299</v>
      </c>
      <c r="D140" s="45" t="s">
        <v>292</v>
      </c>
      <c r="E140" s="54">
        <v>3</v>
      </c>
      <c r="F140" s="46">
        <v>19.920000000000002</v>
      </c>
      <c r="G140" s="46">
        <v>664</v>
      </c>
      <c r="H140" s="46">
        <v>26.41</v>
      </c>
      <c r="I140" s="46">
        <v>1377.58</v>
      </c>
      <c r="J140" s="54">
        <f t="shared" si="5"/>
        <v>1.9171300396347217</v>
      </c>
    </row>
    <row r="141" spans="1:10" x14ac:dyDescent="0.3">
      <c r="A141" s="45">
        <v>30903</v>
      </c>
      <c r="B141" s="45" t="s">
        <v>51</v>
      </c>
      <c r="C141" s="45" t="s">
        <v>299</v>
      </c>
      <c r="D141" s="45" t="s">
        <v>283</v>
      </c>
      <c r="E141" s="54">
        <v>3.4</v>
      </c>
      <c r="F141" s="46">
        <v>27.777999999999999</v>
      </c>
      <c r="G141" s="46">
        <v>817</v>
      </c>
      <c r="H141" s="46">
        <v>74.459999999999994</v>
      </c>
      <c r="I141" s="46">
        <v>1782.01</v>
      </c>
      <c r="J141" s="54">
        <f t="shared" si="5"/>
        <v>4.178427730484116</v>
      </c>
    </row>
    <row r="142" spans="1:10" x14ac:dyDescent="0.3">
      <c r="A142" s="45">
        <v>30904</v>
      </c>
      <c r="B142" s="45" t="s">
        <v>51</v>
      </c>
      <c r="C142" s="45" t="s">
        <v>299</v>
      </c>
      <c r="D142" s="45" t="s">
        <v>288</v>
      </c>
      <c r="E142" s="54">
        <v>3.1</v>
      </c>
      <c r="F142" s="46">
        <v>23.125999999999998</v>
      </c>
      <c r="G142" s="46">
        <v>746</v>
      </c>
      <c r="H142" s="46">
        <v>33.479999999999997</v>
      </c>
      <c r="I142" s="46">
        <v>1567.01</v>
      </c>
      <c r="J142" s="54">
        <f t="shared" si="5"/>
        <v>2.13655305326705</v>
      </c>
    </row>
    <row r="143" spans="1:10" x14ac:dyDescent="0.3">
      <c r="A143" s="45">
        <v>30905</v>
      </c>
      <c r="B143" s="45" t="s">
        <v>51</v>
      </c>
      <c r="C143" s="45" t="s">
        <v>299</v>
      </c>
      <c r="D143" s="45" t="s">
        <v>213</v>
      </c>
      <c r="E143" s="54">
        <v>2.8</v>
      </c>
      <c r="F143" s="46">
        <v>30.351999999999997</v>
      </c>
      <c r="G143" s="46">
        <v>1084</v>
      </c>
      <c r="H143" s="46">
        <v>56.63</v>
      </c>
      <c r="I143" s="46">
        <v>2296.08</v>
      </c>
      <c r="J143" s="54">
        <f t="shared" si="5"/>
        <v>2.4663774781366508</v>
      </c>
    </row>
    <row r="144" spans="1:10" x14ac:dyDescent="0.3">
      <c r="A144" s="45">
        <v>31001</v>
      </c>
      <c r="B144" s="45" t="s">
        <v>51</v>
      </c>
      <c r="C144" s="45" t="s">
        <v>372</v>
      </c>
      <c r="D144" s="45" t="s">
        <v>303</v>
      </c>
      <c r="E144" s="54">
        <v>2.9</v>
      </c>
      <c r="F144" s="46">
        <v>66.844999999999999</v>
      </c>
      <c r="G144" s="46">
        <v>2305</v>
      </c>
      <c r="H144" s="46">
        <v>302.99</v>
      </c>
      <c r="I144" s="46">
        <v>4541.12</v>
      </c>
      <c r="J144" s="54">
        <f t="shared" si="5"/>
        <v>6.6721425551405824</v>
      </c>
    </row>
    <row r="145" spans="1:10" x14ac:dyDescent="0.3">
      <c r="A145" s="45">
        <v>31002</v>
      </c>
      <c r="B145" s="45" t="s">
        <v>51</v>
      </c>
      <c r="C145" s="45" t="s">
        <v>372</v>
      </c>
      <c r="D145" s="45" t="s">
        <v>275</v>
      </c>
      <c r="E145" s="54">
        <v>6.2</v>
      </c>
      <c r="F145" s="46">
        <v>14.88</v>
      </c>
      <c r="G145" s="46">
        <v>240</v>
      </c>
      <c r="H145" s="46">
        <v>4.17</v>
      </c>
      <c r="I145" s="46">
        <v>557.14</v>
      </c>
      <c r="J145" s="54">
        <f t="shared" si="5"/>
        <v>0.74846537674552172</v>
      </c>
    </row>
    <row r="146" spans="1:10" x14ac:dyDescent="0.3">
      <c r="A146" s="45">
        <v>31003</v>
      </c>
      <c r="B146" s="45" t="s">
        <v>51</v>
      </c>
      <c r="C146" s="45" t="s">
        <v>372</v>
      </c>
      <c r="D146" s="45" t="s">
        <v>195</v>
      </c>
      <c r="E146" s="54">
        <v>2.2999999999999998</v>
      </c>
      <c r="F146" s="46">
        <v>31.003999999999998</v>
      </c>
      <c r="G146" s="46">
        <v>1348</v>
      </c>
      <c r="H146" s="46">
        <v>113.07</v>
      </c>
      <c r="I146" s="46">
        <v>2130</v>
      </c>
      <c r="J146" s="54">
        <f t="shared" si="5"/>
        <v>5.3084507042253515</v>
      </c>
    </row>
    <row r="147" spans="1:10" x14ac:dyDescent="0.3">
      <c r="A147" s="45">
        <v>31101</v>
      </c>
      <c r="B147" s="45" t="s">
        <v>51</v>
      </c>
      <c r="C147" s="45" t="s">
        <v>63</v>
      </c>
      <c r="D147" s="45" t="s">
        <v>63</v>
      </c>
      <c r="E147" s="54">
        <v>8</v>
      </c>
      <c r="F147" s="46">
        <v>15.92</v>
      </c>
      <c r="G147" s="46">
        <v>199</v>
      </c>
      <c r="H147" s="46">
        <v>5.54</v>
      </c>
      <c r="I147" s="46">
        <v>441.04</v>
      </c>
      <c r="J147" s="54">
        <f t="shared" si="5"/>
        <v>1.2561218937057863</v>
      </c>
    </row>
    <row r="148" spans="1:10" x14ac:dyDescent="0.3">
      <c r="A148" s="45">
        <v>31201</v>
      </c>
      <c r="B148" s="45" t="s">
        <v>51</v>
      </c>
      <c r="C148" s="45" t="s">
        <v>373</v>
      </c>
      <c r="D148" s="45" t="s">
        <v>180</v>
      </c>
      <c r="E148" s="54">
        <v>0.5</v>
      </c>
      <c r="F148" s="46">
        <v>0.87</v>
      </c>
      <c r="G148" s="46">
        <v>174</v>
      </c>
      <c r="H148" s="46">
        <v>6.4</v>
      </c>
      <c r="I148" s="46">
        <v>381.34</v>
      </c>
      <c r="J148" s="54">
        <f t="shared" si="5"/>
        <v>1.6782923375465466</v>
      </c>
    </row>
    <row r="149" spans="1:10" x14ac:dyDescent="0.3">
      <c r="A149" s="45">
        <v>31202</v>
      </c>
      <c r="B149" s="45" t="s">
        <v>51</v>
      </c>
      <c r="C149" s="45" t="s">
        <v>373</v>
      </c>
      <c r="D149" s="45" t="s">
        <v>205</v>
      </c>
      <c r="E149" s="54">
        <v>0.3</v>
      </c>
      <c r="F149" s="46">
        <v>0.435</v>
      </c>
      <c r="G149" s="46">
        <v>145</v>
      </c>
      <c r="H149" s="46">
        <v>2.0299999999999998</v>
      </c>
      <c r="I149" s="46">
        <v>284.39999999999998</v>
      </c>
      <c r="J149" s="54">
        <f t="shared" si="5"/>
        <v>0.71378340365682136</v>
      </c>
    </row>
    <row r="150" spans="1:10" x14ac:dyDescent="0.3">
      <c r="A150" s="45">
        <v>31203</v>
      </c>
      <c r="B150" s="45" t="s">
        <v>51</v>
      </c>
      <c r="C150" s="45" t="s">
        <v>373</v>
      </c>
      <c r="D150" s="45" t="s">
        <v>242</v>
      </c>
      <c r="E150" s="54">
        <v>0.2</v>
      </c>
      <c r="F150" s="46">
        <v>0.26200000000000001</v>
      </c>
      <c r="G150" s="46">
        <v>131</v>
      </c>
      <c r="H150" s="46">
        <v>1.32</v>
      </c>
      <c r="I150" s="46">
        <v>304.02999999999997</v>
      </c>
      <c r="J150" s="54">
        <f t="shared" si="5"/>
        <v>0.43416768082097168</v>
      </c>
    </row>
    <row r="151" spans="1:10" x14ac:dyDescent="0.3">
      <c r="A151" s="45">
        <v>31204</v>
      </c>
      <c r="B151" s="45" t="s">
        <v>51</v>
      </c>
      <c r="C151" s="45" t="s">
        <v>373</v>
      </c>
      <c r="D151" s="45" t="s">
        <v>237</v>
      </c>
      <c r="E151" s="54">
        <v>3.6</v>
      </c>
      <c r="F151" s="46">
        <v>16.776</v>
      </c>
      <c r="G151" s="46">
        <v>466</v>
      </c>
      <c r="H151" s="46">
        <v>21.43</v>
      </c>
      <c r="I151" s="46">
        <v>943.36</v>
      </c>
      <c r="J151" s="54">
        <f t="shared" si="5"/>
        <v>2.2716672320217097</v>
      </c>
    </row>
    <row r="152" spans="1:10" x14ac:dyDescent="0.3">
      <c r="A152" s="45">
        <v>31205</v>
      </c>
      <c r="B152" s="45" t="s">
        <v>51</v>
      </c>
      <c r="C152" s="45" t="s">
        <v>373</v>
      </c>
      <c r="D152" s="45" t="s">
        <v>270</v>
      </c>
      <c r="E152" s="54">
        <v>1.8</v>
      </c>
      <c r="F152" s="46">
        <v>20.052</v>
      </c>
      <c r="G152" s="46">
        <v>1114</v>
      </c>
      <c r="H152" s="46">
        <v>54.73</v>
      </c>
      <c r="I152" s="46">
        <v>2513.5100000000002</v>
      </c>
      <c r="J152" s="54">
        <f t="shared" si="5"/>
        <v>2.1774331512506415</v>
      </c>
    </row>
    <row r="153" spans="1:10" x14ac:dyDescent="0.3">
      <c r="A153" s="45">
        <v>31206</v>
      </c>
      <c r="B153" s="45" t="s">
        <v>51</v>
      </c>
      <c r="C153" s="45" t="s">
        <v>373</v>
      </c>
      <c r="D153" s="45" t="s">
        <v>223</v>
      </c>
      <c r="E153" s="54">
        <v>1.9</v>
      </c>
      <c r="F153" s="46">
        <v>18.809999999999999</v>
      </c>
      <c r="G153" s="46">
        <v>990</v>
      </c>
      <c r="H153" s="46">
        <v>39.51</v>
      </c>
      <c r="I153" s="46">
        <v>1976.25</v>
      </c>
      <c r="J153" s="54">
        <f t="shared" si="5"/>
        <v>1.9992409867172674</v>
      </c>
    </row>
    <row r="154" spans="1:10" x14ac:dyDescent="0.3">
      <c r="A154" s="45">
        <v>31301</v>
      </c>
      <c r="B154" s="45" t="s">
        <v>51</v>
      </c>
      <c r="C154" s="45" t="s">
        <v>224</v>
      </c>
      <c r="D154" s="45" t="s">
        <v>224</v>
      </c>
      <c r="E154" s="54">
        <v>3.7</v>
      </c>
      <c r="F154" s="46">
        <v>17.02</v>
      </c>
      <c r="G154" s="46">
        <v>460</v>
      </c>
      <c r="H154" s="46">
        <v>15.6</v>
      </c>
      <c r="I154" s="46">
        <v>902.34</v>
      </c>
      <c r="J154" s="54">
        <f t="shared" si="5"/>
        <v>1.7288383536139369</v>
      </c>
    </row>
    <row r="155" spans="1:10" x14ac:dyDescent="0.3">
      <c r="A155" s="45">
        <v>31302</v>
      </c>
      <c r="B155" s="45" t="s">
        <v>51</v>
      </c>
      <c r="C155" s="45" t="s">
        <v>224</v>
      </c>
      <c r="D155" s="45" t="s">
        <v>38</v>
      </c>
      <c r="E155" s="54">
        <v>0.6</v>
      </c>
      <c r="F155" s="46">
        <v>0.252</v>
      </c>
      <c r="G155" s="46">
        <v>42</v>
      </c>
      <c r="H155" s="46">
        <v>1.42</v>
      </c>
      <c r="I155" s="46">
        <v>95.64</v>
      </c>
      <c r="J155" s="54">
        <f t="shared" si="5"/>
        <v>1.4847344207444582</v>
      </c>
    </row>
    <row r="156" spans="1:10" x14ac:dyDescent="0.3">
      <c r="A156" s="45">
        <v>31303</v>
      </c>
      <c r="B156" s="45" t="s">
        <v>51</v>
      </c>
      <c r="C156" s="45" t="s">
        <v>224</v>
      </c>
      <c r="D156" s="45" t="s">
        <v>21</v>
      </c>
      <c r="E156" s="54">
        <v>0.2</v>
      </c>
      <c r="F156" s="46">
        <v>9.8000000000000004E-2</v>
      </c>
      <c r="G156" s="46">
        <v>49</v>
      </c>
      <c r="H156" s="46">
        <v>0.47</v>
      </c>
      <c r="I156" s="46">
        <v>107.57</v>
      </c>
      <c r="J156" s="54">
        <f t="shared" si="5"/>
        <v>0.43692479315794364</v>
      </c>
    </row>
    <row r="157" spans="1:10" x14ac:dyDescent="0.3">
      <c r="A157" s="45">
        <v>31304</v>
      </c>
      <c r="B157" s="45" t="s">
        <v>51</v>
      </c>
      <c r="C157" s="45" t="s">
        <v>224</v>
      </c>
      <c r="D157" s="45" t="s">
        <v>316</v>
      </c>
      <c r="E157" s="54"/>
      <c r="F157" s="46"/>
      <c r="G157" s="46"/>
      <c r="H157" s="46"/>
      <c r="I157" s="46" t="s">
        <v>502</v>
      </c>
      <c r="J157" s="54"/>
    </row>
    <row r="158" spans="1:10" x14ac:dyDescent="0.3">
      <c r="A158" s="45">
        <v>31401</v>
      </c>
      <c r="B158" s="45" t="s">
        <v>51</v>
      </c>
      <c r="C158" s="45" t="s">
        <v>240</v>
      </c>
      <c r="D158" s="45" t="s">
        <v>240</v>
      </c>
      <c r="E158" s="54">
        <v>4.5999999999999996</v>
      </c>
      <c r="F158" s="46">
        <v>19.043999999999997</v>
      </c>
      <c r="G158" s="46">
        <v>414</v>
      </c>
      <c r="H158" s="46">
        <v>48.8</v>
      </c>
      <c r="I158" s="46">
        <v>846.15</v>
      </c>
      <c r="J158" s="54">
        <f t="shared" si="5"/>
        <v>5.7672989422679191</v>
      </c>
    </row>
    <row r="159" spans="1:10" x14ac:dyDescent="0.3">
      <c r="A159" s="45">
        <v>31402</v>
      </c>
      <c r="B159" s="45" t="s">
        <v>51</v>
      </c>
      <c r="C159" s="45" t="s">
        <v>240</v>
      </c>
      <c r="D159" s="45" t="s">
        <v>163</v>
      </c>
      <c r="E159" s="54">
        <v>0.7</v>
      </c>
      <c r="F159" s="46">
        <v>0.46899999999999997</v>
      </c>
      <c r="G159" s="46">
        <v>67</v>
      </c>
      <c r="H159" s="46">
        <v>2.41</v>
      </c>
      <c r="I159" s="46">
        <v>136.1</v>
      </c>
      <c r="J159" s="54">
        <f t="shared" si="5"/>
        <v>1.7707567964731816</v>
      </c>
    </row>
    <row r="160" spans="1:10" x14ac:dyDescent="0.3">
      <c r="A160" s="45">
        <v>31403</v>
      </c>
      <c r="B160" s="45" t="s">
        <v>51</v>
      </c>
      <c r="C160" s="45" t="s">
        <v>240</v>
      </c>
      <c r="D160" s="45" t="s">
        <v>156</v>
      </c>
      <c r="E160" s="54">
        <v>0.6</v>
      </c>
      <c r="F160" s="46">
        <v>0.98399999999999987</v>
      </c>
      <c r="G160" s="46">
        <v>164</v>
      </c>
      <c r="H160" s="46">
        <v>4.17</v>
      </c>
      <c r="I160" s="46">
        <v>374.09</v>
      </c>
      <c r="J160" s="54">
        <f t="shared" si="5"/>
        <v>1.1147050175091555</v>
      </c>
    </row>
    <row r="161" spans="1:10" x14ac:dyDescent="0.3">
      <c r="A161" s="45">
        <v>31404</v>
      </c>
      <c r="B161" s="45" t="s">
        <v>51</v>
      </c>
      <c r="C161" s="45" t="s">
        <v>240</v>
      </c>
      <c r="D161" s="45" t="s">
        <v>7</v>
      </c>
      <c r="E161" s="54">
        <v>0.7</v>
      </c>
      <c r="F161" s="46">
        <v>8.3999999999999991E-2</v>
      </c>
      <c r="G161" s="46">
        <v>12</v>
      </c>
      <c r="H161" s="46">
        <v>0.66</v>
      </c>
      <c r="I161" s="46">
        <v>23.41</v>
      </c>
      <c r="J161" s="54">
        <f t="shared" si="5"/>
        <v>2.8193079880392995</v>
      </c>
    </row>
    <row r="162" spans="1:10" x14ac:dyDescent="0.3">
      <c r="A162" s="45">
        <v>31405</v>
      </c>
      <c r="B162" s="45" t="s">
        <v>51</v>
      </c>
      <c r="C162" s="45" t="s">
        <v>240</v>
      </c>
      <c r="D162" s="45" t="s">
        <v>317</v>
      </c>
      <c r="E162" s="54">
        <v>1.2</v>
      </c>
      <c r="F162" s="46">
        <v>0.28799999999999998</v>
      </c>
      <c r="G162" s="46">
        <v>24</v>
      </c>
      <c r="H162" s="46">
        <v>1.61</v>
      </c>
      <c r="I162" s="46">
        <v>48.38</v>
      </c>
      <c r="J162" s="54">
        <f t="shared" si="5"/>
        <v>3.3278214138073587</v>
      </c>
    </row>
    <row r="163" spans="1:10" x14ac:dyDescent="0.3">
      <c r="A163" s="45">
        <v>31501</v>
      </c>
      <c r="B163" s="45" t="s">
        <v>51</v>
      </c>
      <c r="C163" s="45" t="s">
        <v>318</v>
      </c>
      <c r="D163" s="45" t="s">
        <v>318</v>
      </c>
      <c r="E163" s="54">
        <v>0.2</v>
      </c>
      <c r="F163" s="46">
        <v>0.114</v>
      </c>
      <c r="G163" s="46">
        <v>57</v>
      </c>
      <c r="H163" s="46">
        <v>0.85</v>
      </c>
      <c r="I163" s="46">
        <v>129.5</v>
      </c>
      <c r="J163" s="54">
        <f t="shared" si="5"/>
        <v>0.65637065637065639</v>
      </c>
    </row>
    <row r="164" spans="1:10" x14ac:dyDescent="0.3">
      <c r="A164" s="45">
        <v>31601</v>
      </c>
      <c r="B164" s="45" t="s">
        <v>51</v>
      </c>
      <c r="C164" s="45" t="s">
        <v>282</v>
      </c>
      <c r="D164" s="45" t="s">
        <v>282</v>
      </c>
      <c r="E164" s="54">
        <v>6.6</v>
      </c>
      <c r="F164" s="46">
        <v>15.84</v>
      </c>
      <c r="G164" s="46">
        <v>240</v>
      </c>
      <c r="H164" s="46">
        <v>2.0299999999999998</v>
      </c>
      <c r="I164" s="46">
        <v>488.59</v>
      </c>
      <c r="J164" s="54">
        <f t="shared" si="5"/>
        <v>0.41548128287521235</v>
      </c>
    </row>
    <row r="165" spans="1:10" x14ac:dyDescent="0.3">
      <c r="A165" s="45">
        <v>31602</v>
      </c>
      <c r="B165" s="45" t="s">
        <v>51</v>
      </c>
      <c r="C165" s="45" t="s">
        <v>282</v>
      </c>
      <c r="D165" s="45" t="s">
        <v>243</v>
      </c>
      <c r="E165" s="54">
        <v>4.4000000000000004</v>
      </c>
      <c r="F165" s="46">
        <v>16.763999999999999</v>
      </c>
      <c r="G165" s="46">
        <v>381</v>
      </c>
      <c r="H165" s="46">
        <v>28.07</v>
      </c>
      <c r="I165" s="46">
        <v>797.56</v>
      </c>
      <c r="J165" s="54">
        <f t="shared" si="5"/>
        <v>3.5194844275038868</v>
      </c>
    </row>
    <row r="166" spans="1:10" x14ac:dyDescent="0.3">
      <c r="A166" s="45">
        <v>40101</v>
      </c>
      <c r="B166" s="45" t="s">
        <v>57</v>
      </c>
      <c r="C166" s="45" t="s">
        <v>367</v>
      </c>
      <c r="D166" s="45" t="s">
        <v>57</v>
      </c>
      <c r="E166" s="56">
        <v>3.3</v>
      </c>
      <c r="F166" s="46">
        <v>161.69999999999999</v>
      </c>
      <c r="G166" s="55">
        <v>4900</v>
      </c>
      <c r="H166" s="47">
        <v>460.32</v>
      </c>
      <c r="I166" s="46">
        <v>10455.969999999999</v>
      </c>
      <c r="J166" s="54">
        <f t="shared" si="5"/>
        <v>4.4024609864029829</v>
      </c>
    </row>
    <row r="167" spans="1:10" x14ac:dyDescent="0.3">
      <c r="A167" s="45">
        <v>40102</v>
      </c>
      <c r="B167" s="45" t="s">
        <v>57</v>
      </c>
      <c r="C167" s="45" t="s">
        <v>367</v>
      </c>
      <c r="D167" s="45" t="s">
        <v>286</v>
      </c>
      <c r="E167" s="54">
        <v>2.2000000000000002</v>
      </c>
      <c r="F167" s="46">
        <v>6.4240000000000013</v>
      </c>
      <c r="G167" s="46">
        <v>292</v>
      </c>
      <c r="H167" s="46">
        <v>15.22</v>
      </c>
      <c r="I167" s="46">
        <v>617.77</v>
      </c>
      <c r="J167" s="54">
        <f t="shared" si="5"/>
        <v>2.4637000825549964</v>
      </c>
    </row>
    <row r="168" spans="1:10" x14ac:dyDescent="0.3">
      <c r="A168" s="45">
        <v>40103</v>
      </c>
      <c r="B168" s="45" t="s">
        <v>57</v>
      </c>
      <c r="C168" s="45" t="s">
        <v>367</v>
      </c>
      <c r="D168" s="45" t="s">
        <v>32</v>
      </c>
      <c r="E168" s="54">
        <v>0.2</v>
      </c>
      <c r="F168" s="46">
        <v>0.16600000000000001</v>
      </c>
      <c r="G168" s="46">
        <v>83</v>
      </c>
      <c r="H168" s="46">
        <v>0.94</v>
      </c>
      <c r="I168" s="46">
        <v>177.54</v>
      </c>
      <c r="J168" s="54">
        <f t="shared" si="5"/>
        <v>0.52945815027599419</v>
      </c>
    </row>
    <row r="169" spans="1:10" x14ac:dyDescent="0.3">
      <c r="A169" s="45">
        <v>40104</v>
      </c>
      <c r="B169" s="45" t="s">
        <v>57</v>
      </c>
      <c r="C169" s="45" t="s">
        <v>367</v>
      </c>
      <c r="D169" s="45" t="s">
        <v>227</v>
      </c>
      <c r="E169" s="54">
        <v>0.3</v>
      </c>
      <c r="F169" s="46">
        <v>0.53400000000000003</v>
      </c>
      <c r="G169" s="46">
        <v>178</v>
      </c>
      <c r="H169" s="46">
        <v>1.75</v>
      </c>
      <c r="I169" s="46">
        <v>427.61</v>
      </c>
      <c r="J169" s="54">
        <f t="shared" si="5"/>
        <v>0.40925142068707465</v>
      </c>
    </row>
    <row r="170" spans="1:10" x14ac:dyDescent="0.3">
      <c r="A170" s="45">
        <v>40201</v>
      </c>
      <c r="B170" s="45" t="s">
        <v>57</v>
      </c>
      <c r="C170" s="45" t="s">
        <v>374</v>
      </c>
      <c r="D170" s="45" t="s">
        <v>247</v>
      </c>
      <c r="E170" s="54">
        <v>2.1</v>
      </c>
      <c r="F170" s="46">
        <v>6.9720000000000004</v>
      </c>
      <c r="G170" s="46">
        <v>332</v>
      </c>
      <c r="H170" s="46">
        <v>36.090000000000003</v>
      </c>
      <c r="I170" s="46">
        <v>629.21</v>
      </c>
      <c r="J170" s="54">
        <f t="shared" si="5"/>
        <v>5.7357638944072722</v>
      </c>
    </row>
    <row r="171" spans="1:10" x14ac:dyDescent="0.3">
      <c r="A171" s="45">
        <v>40202</v>
      </c>
      <c r="B171" s="45" t="s">
        <v>57</v>
      </c>
      <c r="C171" s="45" t="s">
        <v>374</v>
      </c>
      <c r="D171" s="45" t="s">
        <v>319</v>
      </c>
      <c r="E171" s="54">
        <v>0.6</v>
      </c>
      <c r="F171" s="46">
        <v>0.28799999999999998</v>
      </c>
      <c r="G171" s="46">
        <v>48</v>
      </c>
      <c r="H171" s="46">
        <v>1.32</v>
      </c>
      <c r="I171" s="46">
        <v>83.61</v>
      </c>
      <c r="J171" s="54">
        <f t="shared" si="5"/>
        <v>1.5787585217079299</v>
      </c>
    </row>
    <row r="172" spans="1:10" x14ac:dyDescent="0.3">
      <c r="A172" s="45">
        <v>40301</v>
      </c>
      <c r="B172" s="45" t="s">
        <v>57</v>
      </c>
      <c r="C172" s="45" t="s">
        <v>8</v>
      </c>
      <c r="D172" s="45" t="s">
        <v>190</v>
      </c>
      <c r="E172" s="54">
        <v>0.4</v>
      </c>
      <c r="F172" s="46">
        <v>0.33600000000000002</v>
      </c>
      <c r="G172" s="46">
        <v>84</v>
      </c>
      <c r="H172" s="46">
        <v>2.3199999999999998</v>
      </c>
      <c r="I172" s="46">
        <v>187.47</v>
      </c>
      <c r="J172" s="54">
        <f t="shared" si="5"/>
        <v>1.2375313383474689</v>
      </c>
    </row>
    <row r="173" spans="1:10" x14ac:dyDescent="0.3">
      <c r="A173" s="45">
        <v>40302</v>
      </c>
      <c r="B173" s="45" t="s">
        <v>57</v>
      </c>
      <c r="C173" s="45" t="s">
        <v>8</v>
      </c>
      <c r="D173" s="45" t="s">
        <v>320</v>
      </c>
      <c r="E173" s="54">
        <v>0.3</v>
      </c>
      <c r="F173" s="46">
        <v>6.8999999999999992E-2</v>
      </c>
      <c r="G173" s="46">
        <v>23</v>
      </c>
      <c r="H173" s="46">
        <v>0.47</v>
      </c>
      <c r="I173" s="46">
        <v>49.52</v>
      </c>
      <c r="J173" s="54">
        <f t="shared" si="5"/>
        <v>0.9491114701130855</v>
      </c>
    </row>
    <row r="174" spans="1:10" x14ac:dyDescent="0.3">
      <c r="A174" s="45">
        <v>40401</v>
      </c>
      <c r="B174" s="45" t="s">
        <v>57</v>
      </c>
      <c r="C174" s="45" t="s">
        <v>375</v>
      </c>
      <c r="D174" s="45" t="s">
        <v>110</v>
      </c>
      <c r="E174" s="54">
        <v>0.2</v>
      </c>
      <c r="F174" s="46">
        <v>0.13400000000000001</v>
      </c>
      <c r="G174" s="46">
        <v>67</v>
      </c>
      <c r="H174" s="46">
        <v>0.85</v>
      </c>
      <c r="I174" s="46">
        <v>142.69</v>
      </c>
      <c r="J174" s="54">
        <f t="shared" si="5"/>
        <v>0.59569696544957595</v>
      </c>
    </row>
    <row r="175" spans="1:10" x14ac:dyDescent="0.3">
      <c r="A175" s="45">
        <v>40402</v>
      </c>
      <c r="B175" s="45" t="s">
        <v>57</v>
      </c>
      <c r="C175" s="45" t="s">
        <v>375</v>
      </c>
      <c r="D175" s="45" t="s">
        <v>144</v>
      </c>
      <c r="E175" s="54">
        <v>0.4</v>
      </c>
      <c r="F175" s="46">
        <v>0.35200000000000004</v>
      </c>
      <c r="G175" s="46">
        <v>88</v>
      </c>
      <c r="H175" s="46">
        <v>1.84</v>
      </c>
      <c r="I175" s="46">
        <v>173.04</v>
      </c>
      <c r="J175" s="54">
        <f t="shared" si="5"/>
        <v>1.0633379565418402</v>
      </c>
    </row>
    <row r="176" spans="1:10" x14ac:dyDescent="0.3">
      <c r="A176" s="45">
        <v>40501</v>
      </c>
      <c r="B176" s="45" t="s">
        <v>57</v>
      </c>
      <c r="C176" s="45" t="s">
        <v>376</v>
      </c>
      <c r="D176" s="45" t="s">
        <v>6</v>
      </c>
      <c r="E176" s="54">
        <v>1.1000000000000001</v>
      </c>
      <c r="F176" s="46">
        <v>0.15400000000000003</v>
      </c>
      <c r="G176" s="46">
        <v>14</v>
      </c>
      <c r="H176" s="46">
        <v>0.85</v>
      </c>
      <c r="I176" s="46">
        <v>29.05</v>
      </c>
      <c r="J176" s="54">
        <f t="shared" si="5"/>
        <v>2.9259896729776247</v>
      </c>
    </row>
    <row r="177" spans="1:10" x14ac:dyDescent="0.3">
      <c r="A177" s="45">
        <v>40502</v>
      </c>
      <c r="B177" s="45" t="s">
        <v>57</v>
      </c>
      <c r="C177" s="45" t="s">
        <v>376</v>
      </c>
      <c r="D177" s="45" t="s">
        <v>111</v>
      </c>
      <c r="E177" s="54">
        <v>0.3</v>
      </c>
      <c r="F177" s="46">
        <v>0.12</v>
      </c>
      <c r="G177" s="46">
        <v>40</v>
      </c>
      <c r="H177" s="46">
        <v>1.94</v>
      </c>
      <c r="I177" s="46">
        <v>86.91</v>
      </c>
      <c r="J177" s="54">
        <f t="shared" si="5"/>
        <v>2.2321942239097914</v>
      </c>
    </row>
    <row r="178" spans="1:10" x14ac:dyDescent="0.3">
      <c r="A178" s="45">
        <v>40503</v>
      </c>
      <c r="B178" s="45" t="s">
        <v>57</v>
      </c>
      <c r="C178" s="45" t="s">
        <v>376</v>
      </c>
      <c r="D178" s="45" t="s">
        <v>40</v>
      </c>
      <c r="E178" s="54">
        <v>0.2</v>
      </c>
      <c r="F178" s="46">
        <v>7.0000000000000007E-2</v>
      </c>
      <c r="G178" s="46">
        <v>35</v>
      </c>
      <c r="H178" s="46">
        <v>0.75</v>
      </c>
      <c r="I178" s="46">
        <v>79.05</v>
      </c>
      <c r="J178" s="54">
        <f t="shared" si="5"/>
        <v>0.94876660341555974</v>
      </c>
    </row>
    <row r="179" spans="1:10" x14ac:dyDescent="0.3">
      <c r="A179" s="45">
        <v>40504</v>
      </c>
      <c r="B179" s="45" t="s">
        <v>57</v>
      </c>
      <c r="C179" s="45" t="s">
        <v>376</v>
      </c>
      <c r="D179" s="45" t="s">
        <v>321</v>
      </c>
      <c r="E179" s="54">
        <v>0</v>
      </c>
      <c r="F179" s="46">
        <v>0</v>
      </c>
      <c r="G179" s="46">
        <v>6</v>
      </c>
      <c r="H179" s="46">
        <v>0.75</v>
      </c>
      <c r="I179" s="46">
        <v>13.03</v>
      </c>
      <c r="J179" s="54">
        <f t="shared" si="5"/>
        <v>5.7559478127398309</v>
      </c>
    </row>
    <row r="180" spans="1:10" x14ac:dyDescent="0.3">
      <c r="A180" s="45">
        <v>40505</v>
      </c>
      <c r="B180" s="45" t="s">
        <v>57</v>
      </c>
      <c r="C180" s="45" t="s">
        <v>376</v>
      </c>
      <c r="D180" s="45" t="s">
        <v>22</v>
      </c>
      <c r="E180" s="54">
        <v>0.2</v>
      </c>
      <c r="F180" s="46">
        <v>4.6000000000000006E-2</v>
      </c>
      <c r="G180" s="46">
        <v>23</v>
      </c>
      <c r="H180" s="46">
        <v>0.47</v>
      </c>
      <c r="I180" s="46">
        <v>44.57</v>
      </c>
      <c r="J180" s="54">
        <f t="shared" si="5"/>
        <v>1.0545209782364819</v>
      </c>
    </row>
    <row r="181" spans="1:10" x14ac:dyDescent="0.3">
      <c r="A181" s="45">
        <v>40601</v>
      </c>
      <c r="B181" s="45" t="s">
        <v>57</v>
      </c>
      <c r="C181" s="45" t="s">
        <v>208</v>
      </c>
      <c r="D181" s="45" t="s">
        <v>208</v>
      </c>
      <c r="E181" s="54">
        <v>0.1</v>
      </c>
      <c r="F181" s="46">
        <v>0.43</v>
      </c>
      <c r="G181" s="46">
        <v>430</v>
      </c>
      <c r="H181" s="46">
        <v>3.27</v>
      </c>
      <c r="I181" s="46">
        <v>1046.02</v>
      </c>
      <c r="J181" s="54">
        <f t="shared" si="5"/>
        <v>0.31261352555400468</v>
      </c>
    </row>
    <row r="182" spans="1:10" x14ac:dyDescent="0.3">
      <c r="A182" s="45">
        <v>40602</v>
      </c>
      <c r="B182" s="45" t="s">
        <v>57</v>
      </c>
      <c r="C182" s="45" t="s">
        <v>208</v>
      </c>
      <c r="D182" s="45" t="s">
        <v>137</v>
      </c>
      <c r="E182" s="54">
        <v>0.5</v>
      </c>
      <c r="F182" s="46">
        <v>0.48499999999999999</v>
      </c>
      <c r="G182" s="46">
        <v>97</v>
      </c>
      <c r="H182" s="46">
        <v>1.75</v>
      </c>
      <c r="I182" s="46">
        <v>165.15</v>
      </c>
      <c r="J182" s="54">
        <f t="shared" si="5"/>
        <v>1.0596427490160458</v>
      </c>
    </row>
    <row r="183" spans="1:10" x14ac:dyDescent="0.3">
      <c r="A183" s="45">
        <v>40603</v>
      </c>
      <c r="B183" s="45" t="s">
        <v>57</v>
      </c>
      <c r="C183" s="45" t="s">
        <v>208</v>
      </c>
      <c r="D183" s="45" t="s">
        <v>45</v>
      </c>
      <c r="E183" s="54">
        <v>0</v>
      </c>
      <c r="F183" s="46">
        <v>0</v>
      </c>
      <c r="G183" s="46">
        <v>773</v>
      </c>
      <c r="H183" s="46">
        <v>0.28000000000000003</v>
      </c>
      <c r="I183" s="46">
        <v>885.52</v>
      </c>
      <c r="J183" s="54">
        <f t="shared" si="5"/>
        <v>3.1619839190532122E-2</v>
      </c>
    </row>
    <row r="184" spans="1:10" x14ac:dyDescent="0.3">
      <c r="A184" s="45">
        <v>40701</v>
      </c>
      <c r="B184" s="45" t="s">
        <v>57</v>
      </c>
      <c r="C184" s="45" t="s">
        <v>377</v>
      </c>
      <c r="D184" s="45" t="s">
        <v>215</v>
      </c>
      <c r="E184" s="54">
        <v>0.7</v>
      </c>
      <c r="F184" s="46">
        <v>7</v>
      </c>
      <c r="G184" s="46">
        <v>1000</v>
      </c>
      <c r="H184" s="46">
        <v>11.28</v>
      </c>
      <c r="I184" s="46">
        <v>1185.68</v>
      </c>
      <c r="J184" s="54">
        <f t="shared" si="5"/>
        <v>0.95135281020174067</v>
      </c>
    </row>
    <row r="185" spans="1:10" x14ac:dyDescent="0.3">
      <c r="A185" s="45">
        <v>40702</v>
      </c>
      <c r="B185" s="45" t="s">
        <v>57</v>
      </c>
      <c r="C185" s="45" t="s">
        <v>377</v>
      </c>
      <c r="D185" s="45" t="s">
        <v>47</v>
      </c>
      <c r="E185" s="54">
        <v>1.1000000000000001</v>
      </c>
      <c r="F185" s="46">
        <v>0.63800000000000001</v>
      </c>
      <c r="G185" s="46">
        <v>58</v>
      </c>
      <c r="H185" s="46">
        <v>2.2200000000000002</v>
      </c>
      <c r="I185" s="46">
        <v>119.65</v>
      </c>
      <c r="J185" s="54">
        <f t="shared" si="5"/>
        <v>1.8554116172168826</v>
      </c>
    </row>
    <row r="186" spans="1:10" x14ac:dyDescent="0.3">
      <c r="A186" s="45">
        <v>40801</v>
      </c>
      <c r="B186" s="45" t="s">
        <v>57</v>
      </c>
      <c r="C186" s="45" t="s">
        <v>378</v>
      </c>
      <c r="D186" s="45" t="s">
        <v>322</v>
      </c>
      <c r="E186" s="54">
        <v>0.2</v>
      </c>
      <c r="F186" s="46">
        <v>0.34</v>
      </c>
      <c r="G186" s="46">
        <v>170</v>
      </c>
      <c r="H186" s="46">
        <v>1.51</v>
      </c>
      <c r="I186" s="46">
        <v>331.28</v>
      </c>
      <c r="J186" s="54">
        <f t="shared" si="5"/>
        <v>0.45580777589954125</v>
      </c>
    </row>
    <row r="187" spans="1:10" x14ac:dyDescent="0.3">
      <c r="A187" s="45">
        <v>40802</v>
      </c>
      <c r="B187" s="45" t="s">
        <v>57</v>
      </c>
      <c r="C187" s="45" t="s">
        <v>378</v>
      </c>
      <c r="D187" s="45" t="s">
        <v>69</v>
      </c>
      <c r="E187" s="54">
        <v>0.3</v>
      </c>
      <c r="F187" s="46">
        <v>0.12299999999999998</v>
      </c>
      <c r="G187" s="46">
        <v>41</v>
      </c>
      <c r="H187" s="46">
        <v>0.47</v>
      </c>
      <c r="I187" s="46">
        <v>93.5</v>
      </c>
      <c r="J187" s="54">
        <f t="shared" si="5"/>
        <v>0.50267379679144386</v>
      </c>
    </row>
    <row r="188" spans="1:10" x14ac:dyDescent="0.3">
      <c r="A188" s="45">
        <v>40901</v>
      </c>
      <c r="B188" s="45" t="s">
        <v>57</v>
      </c>
      <c r="C188" s="45" t="s">
        <v>173</v>
      </c>
      <c r="D188" s="45" t="s">
        <v>173</v>
      </c>
      <c r="E188" s="54">
        <v>0.9</v>
      </c>
      <c r="F188" s="46">
        <v>0.495</v>
      </c>
      <c r="G188" s="46">
        <v>55</v>
      </c>
      <c r="H188" s="46">
        <v>3.27</v>
      </c>
      <c r="I188" s="46">
        <v>114.16</v>
      </c>
      <c r="J188" s="54">
        <f t="shared" si="5"/>
        <v>2.8644008409250179</v>
      </c>
    </row>
    <row r="189" spans="1:10" x14ac:dyDescent="0.3">
      <c r="A189" s="45">
        <v>40902</v>
      </c>
      <c r="B189" s="45" t="s">
        <v>57</v>
      </c>
      <c r="C189" s="45" t="s">
        <v>173</v>
      </c>
      <c r="D189" s="45" t="s">
        <v>0</v>
      </c>
      <c r="E189" s="54">
        <v>0.1</v>
      </c>
      <c r="F189" s="46">
        <v>1.2000000000000002E-2</v>
      </c>
      <c r="G189" s="46">
        <v>12</v>
      </c>
      <c r="H189" s="46">
        <v>0.09</v>
      </c>
      <c r="I189" s="46">
        <v>24.17</v>
      </c>
      <c r="J189" s="54">
        <f t="shared" si="5"/>
        <v>0.37236243276789405</v>
      </c>
    </row>
    <row r="190" spans="1:10" x14ac:dyDescent="0.3">
      <c r="A190" s="45">
        <v>40903</v>
      </c>
      <c r="B190" s="45" t="s">
        <v>57</v>
      </c>
      <c r="C190" s="45" t="s">
        <v>173</v>
      </c>
      <c r="D190" s="45" t="s">
        <v>23</v>
      </c>
      <c r="E190" s="54">
        <v>0.2</v>
      </c>
      <c r="F190" s="46">
        <v>0.03</v>
      </c>
      <c r="G190" s="46">
        <v>15</v>
      </c>
      <c r="H190" s="46">
        <v>0.18</v>
      </c>
      <c r="I190" s="46">
        <v>30.97</v>
      </c>
      <c r="J190" s="54">
        <f t="shared" si="5"/>
        <v>0.58120762027768802</v>
      </c>
    </row>
    <row r="191" spans="1:10" x14ac:dyDescent="0.3">
      <c r="A191" s="45">
        <v>41001</v>
      </c>
      <c r="B191" s="45" t="s">
        <v>57</v>
      </c>
      <c r="C191" s="45" t="s">
        <v>379</v>
      </c>
      <c r="D191" s="45" t="s">
        <v>125</v>
      </c>
      <c r="E191" s="54">
        <v>0.3</v>
      </c>
      <c r="F191" s="46">
        <v>0.33600000000000002</v>
      </c>
      <c r="G191" s="46">
        <v>112</v>
      </c>
      <c r="H191" s="46">
        <v>2.0299999999999998</v>
      </c>
      <c r="I191" s="46">
        <v>234.88</v>
      </c>
      <c r="J191" s="54">
        <f t="shared" si="5"/>
        <v>0.86427111716621241</v>
      </c>
    </row>
    <row r="192" spans="1:10" x14ac:dyDescent="0.3">
      <c r="A192" s="45">
        <v>41101</v>
      </c>
      <c r="B192" s="45" t="s">
        <v>57</v>
      </c>
      <c r="C192" s="45" t="s">
        <v>380</v>
      </c>
      <c r="D192" s="45" t="s">
        <v>127</v>
      </c>
      <c r="E192" s="54">
        <v>0.7</v>
      </c>
      <c r="F192" s="46">
        <v>0.36399999999999999</v>
      </c>
      <c r="G192" s="46">
        <v>52</v>
      </c>
      <c r="H192" s="46">
        <v>1.42</v>
      </c>
      <c r="I192" s="46">
        <v>104.01</v>
      </c>
      <c r="J192" s="54">
        <f t="shared" si="5"/>
        <v>1.3652533410249013</v>
      </c>
    </row>
    <row r="193" spans="1:10" x14ac:dyDescent="0.3">
      <c r="A193" s="45">
        <v>41201</v>
      </c>
      <c r="B193" s="45" t="s">
        <v>57</v>
      </c>
      <c r="C193" s="45" t="s">
        <v>381</v>
      </c>
      <c r="D193" s="45" t="s">
        <v>152</v>
      </c>
      <c r="E193" s="54">
        <v>0.3</v>
      </c>
      <c r="F193" s="46">
        <v>0.183</v>
      </c>
      <c r="G193" s="46">
        <v>61</v>
      </c>
      <c r="H193" s="46">
        <v>0.75</v>
      </c>
      <c r="I193" s="46">
        <v>128.9</v>
      </c>
      <c r="J193" s="54">
        <f t="shared" si="5"/>
        <v>0.58184639255236614</v>
      </c>
    </row>
    <row r="194" spans="1:10" x14ac:dyDescent="0.3">
      <c r="A194" s="45">
        <v>41202</v>
      </c>
      <c r="B194" s="45" t="s">
        <v>57</v>
      </c>
      <c r="C194" s="45" t="s">
        <v>381</v>
      </c>
      <c r="D194" s="45" t="s">
        <v>55</v>
      </c>
      <c r="E194" s="54">
        <v>0.3</v>
      </c>
      <c r="F194" s="46">
        <v>8.1000000000000003E-2</v>
      </c>
      <c r="G194" s="46">
        <v>27</v>
      </c>
      <c r="H194" s="46">
        <v>0.47</v>
      </c>
      <c r="I194" s="46">
        <v>59.77</v>
      </c>
      <c r="J194" s="54">
        <f t="shared" si="5"/>
        <v>0.78634766605320383</v>
      </c>
    </row>
    <row r="195" spans="1:10" x14ac:dyDescent="0.3">
      <c r="A195" s="45">
        <v>41301</v>
      </c>
      <c r="B195" s="45" t="s">
        <v>57</v>
      </c>
      <c r="C195" s="45" t="s">
        <v>134</v>
      </c>
      <c r="D195" s="45" t="s">
        <v>134</v>
      </c>
      <c r="E195" s="54">
        <v>0.2</v>
      </c>
      <c r="F195" s="46">
        <v>0.1</v>
      </c>
      <c r="G195" s="46">
        <v>50</v>
      </c>
      <c r="H195" s="46">
        <v>0.85</v>
      </c>
      <c r="I195" s="46">
        <v>103.06</v>
      </c>
      <c r="J195" s="54">
        <f t="shared" ref="J195:J258" si="6">(H195/I195)*100</f>
        <v>0.82476227440326022</v>
      </c>
    </row>
    <row r="196" spans="1:10" x14ac:dyDescent="0.3">
      <c r="A196" s="45">
        <v>41401</v>
      </c>
      <c r="B196" s="45" t="s">
        <v>57</v>
      </c>
      <c r="C196" s="45" t="s">
        <v>382</v>
      </c>
      <c r="D196" s="45" t="s">
        <v>323</v>
      </c>
      <c r="E196" s="54">
        <v>0.2</v>
      </c>
      <c r="F196" s="46">
        <v>1.0960000000000001</v>
      </c>
      <c r="G196" s="46">
        <v>548</v>
      </c>
      <c r="H196" s="46">
        <v>2.41</v>
      </c>
      <c r="I196" s="46">
        <v>1052.06</v>
      </c>
      <c r="J196" s="54">
        <f t="shared" si="6"/>
        <v>0.22907438739235408</v>
      </c>
    </row>
    <row r="197" spans="1:10" x14ac:dyDescent="0.3">
      <c r="A197" s="45">
        <v>41501</v>
      </c>
      <c r="B197" s="45" t="s">
        <v>57</v>
      </c>
      <c r="C197" s="45" t="s">
        <v>383</v>
      </c>
      <c r="D197" s="45" t="s">
        <v>1</v>
      </c>
      <c r="E197" s="54">
        <v>0.1</v>
      </c>
      <c r="F197" s="46">
        <v>1.1000000000000001E-2</v>
      </c>
      <c r="G197" s="46">
        <v>11</v>
      </c>
      <c r="H197" s="46">
        <v>0.09</v>
      </c>
      <c r="I197" s="46">
        <v>24.67</v>
      </c>
      <c r="J197" s="54">
        <f t="shared" si="6"/>
        <v>0.36481556546412647</v>
      </c>
    </row>
    <row r="198" spans="1:10" x14ac:dyDescent="0.3">
      <c r="A198" s="45">
        <v>41502</v>
      </c>
      <c r="B198" s="45" t="s">
        <v>57</v>
      </c>
      <c r="C198" s="45" t="s">
        <v>383</v>
      </c>
      <c r="D198" s="45" t="s">
        <v>5</v>
      </c>
      <c r="E198" s="54">
        <v>0.2</v>
      </c>
      <c r="F198" s="46">
        <v>1.6E-2</v>
      </c>
      <c r="G198" s="46">
        <v>8</v>
      </c>
      <c r="H198" s="46">
        <v>0.09</v>
      </c>
      <c r="I198" s="46">
        <v>17.3</v>
      </c>
      <c r="J198" s="54">
        <f t="shared" si="6"/>
        <v>0.52023121387283233</v>
      </c>
    </row>
    <row r="199" spans="1:10" x14ac:dyDescent="0.3">
      <c r="A199" s="45">
        <v>41503</v>
      </c>
      <c r="B199" s="45" t="s">
        <v>57</v>
      </c>
      <c r="C199" s="45" t="s">
        <v>383</v>
      </c>
      <c r="D199" s="45" t="s">
        <v>8</v>
      </c>
      <c r="E199" s="54">
        <v>0.5</v>
      </c>
      <c r="F199" s="46">
        <v>5.5E-2</v>
      </c>
      <c r="G199" s="46">
        <v>11</v>
      </c>
      <c r="H199" s="46">
        <v>1.1299999999999999</v>
      </c>
      <c r="I199" s="46">
        <v>23.39</v>
      </c>
      <c r="J199" s="54">
        <f t="shared" si="6"/>
        <v>4.831124412141941</v>
      </c>
    </row>
    <row r="200" spans="1:10" x14ac:dyDescent="0.3">
      <c r="A200" s="45">
        <v>41601</v>
      </c>
      <c r="B200" s="45" t="s">
        <v>57</v>
      </c>
      <c r="C200" s="45" t="s">
        <v>384</v>
      </c>
      <c r="D200" s="45" t="s">
        <v>385</v>
      </c>
      <c r="E200" s="54">
        <v>0.2</v>
      </c>
      <c r="F200" s="46">
        <v>0.124</v>
      </c>
      <c r="G200" s="46">
        <v>62</v>
      </c>
      <c r="H200" s="46">
        <v>0.66</v>
      </c>
      <c r="I200" s="46">
        <v>128.76</v>
      </c>
      <c r="J200" s="54">
        <f t="shared" si="6"/>
        <v>0.5125815470643057</v>
      </c>
    </row>
    <row r="201" spans="1:10" x14ac:dyDescent="0.3">
      <c r="A201" s="45">
        <v>50101</v>
      </c>
      <c r="B201" s="45" t="s">
        <v>302</v>
      </c>
      <c r="C201" s="45" t="s">
        <v>386</v>
      </c>
      <c r="D201" s="45" t="s">
        <v>302</v>
      </c>
      <c r="E201" s="54">
        <v>5.4</v>
      </c>
      <c r="F201" s="46">
        <v>233.172</v>
      </c>
      <c r="G201" s="46">
        <v>4318</v>
      </c>
      <c r="H201" s="46">
        <v>372.28</v>
      </c>
      <c r="I201" s="46">
        <v>11473.39</v>
      </c>
      <c r="J201" s="54">
        <f t="shared" si="6"/>
        <v>3.2447254037385638</v>
      </c>
    </row>
    <row r="202" spans="1:10" x14ac:dyDescent="0.3">
      <c r="A202" s="45">
        <v>50102</v>
      </c>
      <c r="B202" s="45" t="s">
        <v>302</v>
      </c>
      <c r="C202" s="45" t="s">
        <v>386</v>
      </c>
      <c r="D202" s="45" t="s">
        <v>34</v>
      </c>
      <c r="E202" s="54">
        <v>2</v>
      </c>
      <c r="F202" s="46">
        <v>4.5199999999999996</v>
      </c>
      <c r="G202" s="46">
        <v>226</v>
      </c>
      <c r="H202" s="46">
        <v>4.6399999999999997</v>
      </c>
      <c r="I202" s="46">
        <v>481.69</v>
      </c>
      <c r="J202" s="54">
        <f t="shared" si="6"/>
        <v>0.96327513546056598</v>
      </c>
    </row>
    <row r="203" spans="1:10" x14ac:dyDescent="0.3">
      <c r="A203" s="45">
        <v>50103</v>
      </c>
      <c r="B203" s="45" t="s">
        <v>302</v>
      </c>
      <c r="C203" s="45" t="s">
        <v>386</v>
      </c>
      <c r="D203" s="45" t="s">
        <v>207</v>
      </c>
      <c r="E203" s="54">
        <v>0.7</v>
      </c>
      <c r="F203" s="46">
        <v>0.5109999999999999</v>
      </c>
      <c r="G203" s="46">
        <v>73</v>
      </c>
      <c r="H203" s="46">
        <v>3.08</v>
      </c>
      <c r="I203" s="46">
        <v>150.22</v>
      </c>
      <c r="J203" s="54">
        <f t="shared" si="6"/>
        <v>2.0503261882572228</v>
      </c>
    </row>
    <row r="204" spans="1:10" x14ac:dyDescent="0.3">
      <c r="A204" s="45">
        <v>50104</v>
      </c>
      <c r="B204" s="45" t="s">
        <v>302</v>
      </c>
      <c r="C204" s="45" t="s">
        <v>386</v>
      </c>
      <c r="D204" s="45" t="s">
        <v>387</v>
      </c>
      <c r="E204" s="54">
        <v>0.2</v>
      </c>
      <c r="F204" s="46">
        <v>5.4000000000000006E-2</v>
      </c>
      <c r="G204" s="46">
        <v>27</v>
      </c>
      <c r="H204" s="46">
        <v>1.94</v>
      </c>
      <c r="I204" s="46">
        <v>75.34</v>
      </c>
      <c r="J204" s="54">
        <f t="shared" si="6"/>
        <v>2.5749933634191664</v>
      </c>
    </row>
    <row r="205" spans="1:10" x14ac:dyDescent="0.3">
      <c r="A205" s="45">
        <v>50201</v>
      </c>
      <c r="B205" s="45" t="s">
        <v>302</v>
      </c>
      <c r="C205" s="45" t="s">
        <v>388</v>
      </c>
      <c r="D205" s="45" t="s">
        <v>264</v>
      </c>
      <c r="E205" s="54">
        <v>3.1</v>
      </c>
      <c r="F205" s="46">
        <v>5.27</v>
      </c>
      <c r="G205" s="46">
        <v>170</v>
      </c>
      <c r="H205" s="46">
        <v>9.5299999999999994</v>
      </c>
      <c r="I205" s="46">
        <v>354.03</v>
      </c>
      <c r="J205" s="54">
        <f t="shared" si="6"/>
        <v>2.6918622715589073</v>
      </c>
    </row>
    <row r="206" spans="1:10" x14ac:dyDescent="0.3">
      <c r="A206" s="45">
        <v>50202</v>
      </c>
      <c r="B206" s="45" t="s">
        <v>302</v>
      </c>
      <c r="C206" s="45" t="s">
        <v>388</v>
      </c>
      <c r="D206" s="45" t="s">
        <v>228</v>
      </c>
      <c r="E206" s="54">
        <v>0.5</v>
      </c>
      <c r="F206" s="46">
        <v>0.59</v>
      </c>
      <c r="G206" s="46">
        <v>118</v>
      </c>
      <c r="H206" s="46">
        <v>3.41</v>
      </c>
      <c r="I206" s="46">
        <v>277.43</v>
      </c>
      <c r="J206" s="54">
        <f t="shared" si="6"/>
        <v>1.2291388818801141</v>
      </c>
    </row>
    <row r="207" spans="1:10" x14ac:dyDescent="0.3">
      <c r="A207" s="45">
        <v>50203</v>
      </c>
      <c r="B207" s="45" t="s">
        <v>302</v>
      </c>
      <c r="C207" s="45" t="s">
        <v>388</v>
      </c>
      <c r="D207" s="45" t="s">
        <v>295</v>
      </c>
      <c r="E207" s="54">
        <v>2.5</v>
      </c>
      <c r="F207" s="46">
        <v>12.65</v>
      </c>
      <c r="G207" s="46">
        <v>506</v>
      </c>
      <c r="H207" s="46">
        <v>55.58</v>
      </c>
      <c r="I207" s="46">
        <v>997.02</v>
      </c>
      <c r="J207" s="54">
        <f t="shared" si="6"/>
        <v>5.5746123447874663</v>
      </c>
    </row>
    <row r="208" spans="1:10" x14ac:dyDescent="0.3">
      <c r="A208" s="45">
        <v>50204</v>
      </c>
      <c r="B208" s="45" t="s">
        <v>302</v>
      </c>
      <c r="C208" s="45" t="s">
        <v>388</v>
      </c>
      <c r="D208" s="45" t="s">
        <v>389</v>
      </c>
      <c r="E208" s="54">
        <v>0.3</v>
      </c>
      <c r="F208" s="46">
        <v>0.183</v>
      </c>
      <c r="G208" s="46">
        <v>61</v>
      </c>
      <c r="H208" s="46">
        <v>1.23</v>
      </c>
      <c r="I208" s="46">
        <v>145.80000000000001</v>
      </c>
      <c r="J208" s="54">
        <f t="shared" si="6"/>
        <v>0.84362139917695467</v>
      </c>
    </row>
    <row r="209" spans="1:10" x14ac:dyDescent="0.3">
      <c r="A209" s="45">
        <v>50301</v>
      </c>
      <c r="B209" s="45" t="s">
        <v>302</v>
      </c>
      <c r="C209" s="45" t="s">
        <v>390</v>
      </c>
      <c r="D209" s="45" t="s">
        <v>266</v>
      </c>
      <c r="E209" s="54">
        <v>2.2000000000000002</v>
      </c>
      <c r="F209" s="46">
        <v>5.83</v>
      </c>
      <c r="G209" s="46">
        <v>265</v>
      </c>
      <c r="H209" s="46">
        <v>10.62</v>
      </c>
      <c r="I209" s="46">
        <v>577.74</v>
      </c>
      <c r="J209" s="54">
        <f t="shared" si="6"/>
        <v>1.8381971128881502</v>
      </c>
    </row>
    <row r="210" spans="1:10" x14ac:dyDescent="0.3">
      <c r="A210" s="45">
        <v>50302</v>
      </c>
      <c r="B210" s="45" t="s">
        <v>302</v>
      </c>
      <c r="C210" s="45" t="s">
        <v>390</v>
      </c>
      <c r="D210" s="45" t="s">
        <v>219</v>
      </c>
      <c r="E210" s="54">
        <v>0.7</v>
      </c>
      <c r="F210" s="46">
        <v>0.57399999999999995</v>
      </c>
      <c r="G210" s="46">
        <v>82</v>
      </c>
      <c r="H210" s="46">
        <v>8.77</v>
      </c>
      <c r="I210" s="46">
        <v>164.81</v>
      </c>
      <c r="J210" s="54">
        <f t="shared" si="6"/>
        <v>5.3212790486014194</v>
      </c>
    </row>
    <row r="211" spans="1:10" x14ac:dyDescent="0.3">
      <c r="A211" s="45">
        <v>50303</v>
      </c>
      <c r="B211" s="45" t="s">
        <v>302</v>
      </c>
      <c r="C211" s="45" t="s">
        <v>390</v>
      </c>
      <c r="D211" s="45" t="s">
        <v>15</v>
      </c>
      <c r="E211" s="54">
        <v>0.2</v>
      </c>
      <c r="F211" s="46">
        <v>0.23400000000000001</v>
      </c>
      <c r="G211" s="46">
        <v>117</v>
      </c>
      <c r="H211" s="46">
        <v>1.23</v>
      </c>
      <c r="I211" s="46">
        <v>309.7</v>
      </c>
      <c r="J211" s="54">
        <f t="shared" si="6"/>
        <v>0.39715854052308686</v>
      </c>
    </row>
    <row r="212" spans="1:10" x14ac:dyDescent="0.3">
      <c r="A212" s="45">
        <v>50401</v>
      </c>
      <c r="B212" s="45" t="s">
        <v>302</v>
      </c>
      <c r="C212" s="45" t="s">
        <v>228</v>
      </c>
      <c r="D212" s="45" t="s">
        <v>119</v>
      </c>
      <c r="E212" s="54">
        <v>1.5</v>
      </c>
      <c r="F212" s="46">
        <v>5.19</v>
      </c>
      <c r="G212" s="46">
        <v>346</v>
      </c>
      <c r="H212" s="46">
        <v>9.6199999999999992</v>
      </c>
      <c r="I212" s="46">
        <v>989.87</v>
      </c>
      <c r="J212" s="54">
        <f t="shared" si="6"/>
        <v>0.97184478769939475</v>
      </c>
    </row>
    <row r="213" spans="1:10" x14ac:dyDescent="0.3">
      <c r="A213" s="45">
        <v>50402</v>
      </c>
      <c r="B213" s="45" t="s">
        <v>302</v>
      </c>
      <c r="C213" s="45" t="s">
        <v>228</v>
      </c>
      <c r="D213" s="45" t="s">
        <v>46</v>
      </c>
      <c r="E213" s="54">
        <v>2.6</v>
      </c>
      <c r="F213" s="46">
        <v>3.016</v>
      </c>
      <c r="G213" s="46">
        <v>116</v>
      </c>
      <c r="H213" s="46">
        <v>3.41</v>
      </c>
      <c r="I213" s="46">
        <v>353.29</v>
      </c>
      <c r="J213" s="54">
        <f t="shared" si="6"/>
        <v>0.9652127147669054</v>
      </c>
    </row>
    <row r="214" spans="1:10" x14ac:dyDescent="0.3">
      <c r="A214" s="45">
        <v>50403</v>
      </c>
      <c r="B214" s="45" t="s">
        <v>302</v>
      </c>
      <c r="C214" s="45" t="s">
        <v>228</v>
      </c>
      <c r="D214" s="45" t="s">
        <v>52</v>
      </c>
      <c r="E214" s="54">
        <v>2.1</v>
      </c>
      <c r="F214" s="46">
        <v>4.3260000000000005</v>
      </c>
      <c r="G214" s="46">
        <v>206</v>
      </c>
      <c r="H214" s="46">
        <v>4.83</v>
      </c>
      <c r="I214" s="46">
        <v>446.45</v>
      </c>
      <c r="J214" s="54">
        <f t="shared" si="6"/>
        <v>1.081868070332624</v>
      </c>
    </row>
    <row r="215" spans="1:10" x14ac:dyDescent="0.3">
      <c r="A215" s="45">
        <v>50404</v>
      </c>
      <c r="B215" s="45" t="s">
        <v>302</v>
      </c>
      <c r="C215" s="45" t="s">
        <v>228</v>
      </c>
      <c r="D215" s="45" t="s">
        <v>42</v>
      </c>
      <c r="E215" s="54">
        <v>0.3</v>
      </c>
      <c r="F215" s="46">
        <v>0.375</v>
      </c>
      <c r="G215" s="46">
        <v>125</v>
      </c>
      <c r="H215" s="46">
        <v>2.89</v>
      </c>
      <c r="I215" s="46">
        <v>271.26</v>
      </c>
      <c r="J215" s="54">
        <f t="shared" si="6"/>
        <v>1.0653985106539852</v>
      </c>
    </row>
    <row r="216" spans="1:10" x14ac:dyDescent="0.3">
      <c r="A216" s="45">
        <v>50405</v>
      </c>
      <c r="B216" s="45" t="s">
        <v>302</v>
      </c>
      <c r="C216" s="45" t="s">
        <v>228</v>
      </c>
      <c r="D216" s="45" t="s">
        <v>324</v>
      </c>
      <c r="E216" s="54"/>
      <c r="F216" s="46"/>
      <c r="G216" s="46"/>
      <c r="H216" s="46" t="s">
        <v>493</v>
      </c>
      <c r="I216" s="46" t="s">
        <v>502</v>
      </c>
      <c r="J216" s="54"/>
    </row>
    <row r="217" spans="1:10" x14ac:dyDescent="0.3">
      <c r="A217" s="45">
        <v>50501</v>
      </c>
      <c r="B217" s="45" t="s">
        <v>302</v>
      </c>
      <c r="C217" s="45" t="s">
        <v>391</v>
      </c>
      <c r="D217" s="45" t="s">
        <v>392</v>
      </c>
      <c r="E217" s="54">
        <v>2</v>
      </c>
      <c r="F217" s="46">
        <v>4.78</v>
      </c>
      <c r="G217" s="46">
        <v>239</v>
      </c>
      <c r="H217" s="46">
        <v>4.93</v>
      </c>
      <c r="I217" s="46">
        <v>479.94</v>
      </c>
      <c r="J217" s="54">
        <f t="shared" si="6"/>
        <v>1.0272117348001832</v>
      </c>
    </row>
    <row r="218" spans="1:10" x14ac:dyDescent="0.3">
      <c r="A218" s="45">
        <v>50502</v>
      </c>
      <c r="B218" s="45" t="s">
        <v>302</v>
      </c>
      <c r="C218" s="45" t="s">
        <v>391</v>
      </c>
      <c r="D218" s="45" t="s">
        <v>61</v>
      </c>
      <c r="E218" s="54">
        <v>24.9</v>
      </c>
      <c r="F218" s="46">
        <v>18.675000000000001</v>
      </c>
      <c r="G218" s="46">
        <v>75</v>
      </c>
      <c r="H218" s="46">
        <v>4.07</v>
      </c>
      <c r="I218" s="46">
        <v>70.17</v>
      </c>
      <c r="J218" s="54">
        <f t="shared" si="6"/>
        <v>5.8001995154624488</v>
      </c>
    </row>
    <row r="219" spans="1:10" x14ac:dyDescent="0.3">
      <c r="A219" s="45">
        <v>50601</v>
      </c>
      <c r="B219" s="45" t="s">
        <v>302</v>
      </c>
      <c r="C219" s="45" t="s">
        <v>393</v>
      </c>
      <c r="D219" s="45" t="s">
        <v>114</v>
      </c>
      <c r="E219" s="54">
        <v>2.5</v>
      </c>
      <c r="F219" s="46">
        <v>6.15</v>
      </c>
      <c r="G219" s="46">
        <v>246</v>
      </c>
      <c r="H219" s="46">
        <v>16.79</v>
      </c>
      <c r="I219" s="46">
        <v>601.6</v>
      </c>
      <c r="J219" s="54">
        <f t="shared" si="6"/>
        <v>2.7908909574468082</v>
      </c>
    </row>
    <row r="220" spans="1:10" x14ac:dyDescent="0.3">
      <c r="A220" s="45">
        <v>50602</v>
      </c>
      <c r="B220" s="45" t="s">
        <v>302</v>
      </c>
      <c r="C220" s="45" t="s">
        <v>393</v>
      </c>
      <c r="D220" s="45" t="s">
        <v>234</v>
      </c>
      <c r="E220" s="54">
        <v>1.4</v>
      </c>
      <c r="F220" s="46">
        <v>0.89599999999999991</v>
      </c>
      <c r="G220" s="46">
        <v>64</v>
      </c>
      <c r="H220" s="46">
        <v>5.17</v>
      </c>
      <c r="I220" s="46">
        <v>136.61000000000001</v>
      </c>
      <c r="J220" s="54">
        <f t="shared" si="6"/>
        <v>3.7844960105409555</v>
      </c>
    </row>
    <row r="221" spans="1:10" x14ac:dyDescent="0.3">
      <c r="A221" s="45">
        <v>50701</v>
      </c>
      <c r="B221" s="45" t="s">
        <v>302</v>
      </c>
      <c r="C221" s="45" t="s">
        <v>394</v>
      </c>
      <c r="D221" s="45" t="s">
        <v>395</v>
      </c>
      <c r="E221" s="54">
        <v>0.4</v>
      </c>
      <c r="F221" s="46">
        <v>0.61599999999999999</v>
      </c>
      <c r="G221" s="46">
        <v>154</v>
      </c>
      <c r="H221" s="46">
        <v>3.98</v>
      </c>
      <c r="I221" s="46">
        <v>348.31</v>
      </c>
      <c r="J221" s="54">
        <f t="shared" si="6"/>
        <v>1.1426602738939451</v>
      </c>
    </row>
    <row r="222" spans="1:10" x14ac:dyDescent="0.3">
      <c r="A222" s="45">
        <v>50702</v>
      </c>
      <c r="B222" s="45" t="s">
        <v>302</v>
      </c>
      <c r="C222" s="45" t="s">
        <v>394</v>
      </c>
      <c r="D222" s="45" t="s">
        <v>78</v>
      </c>
      <c r="E222" s="54">
        <v>0.3</v>
      </c>
      <c r="F222" s="46">
        <v>0.192</v>
      </c>
      <c r="G222" s="46">
        <v>64</v>
      </c>
      <c r="H222" s="46">
        <v>1.75</v>
      </c>
      <c r="I222" s="46">
        <v>140.27000000000001</v>
      </c>
      <c r="J222" s="54">
        <f t="shared" si="6"/>
        <v>1.2475939259998574</v>
      </c>
    </row>
    <row r="223" spans="1:10" x14ac:dyDescent="0.3">
      <c r="A223" s="45">
        <v>50801</v>
      </c>
      <c r="B223" s="45" t="s">
        <v>302</v>
      </c>
      <c r="C223" s="45" t="s">
        <v>396</v>
      </c>
      <c r="D223" s="45" t="s">
        <v>290</v>
      </c>
      <c r="E223" s="54">
        <v>4.4000000000000004</v>
      </c>
      <c r="F223" s="46">
        <v>24.948</v>
      </c>
      <c r="G223" s="46">
        <v>567</v>
      </c>
      <c r="H223" s="46">
        <v>93.62</v>
      </c>
      <c r="I223" s="46">
        <v>1441.1</v>
      </c>
      <c r="J223" s="54">
        <f t="shared" si="6"/>
        <v>6.4964263409895224</v>
      </c>
    </row>
    <row r="224" spans="1:10" x14ac:dyDescent="0.3">
      <c r="A224" s="45">
        <v>50802</v>
      </c>
      <c r="B224" s="45" t="s">
        <v>302</v>
      </c>
      <c r="C224" s="45" t="s">
        <v>396</v>
      </c>
      <c r="D224" s="45" t="s">
        <v>120</v>
      </c>
      <c r="E224" s="54">
        <v>0.3</v>
      </c>
      <c r="F224" s="46">
        <v>1.8959999999999999</v>
      </c>
      <c r="G224" s="46">
        <v>632</v>
      </c>
      <c r="H224" s="46">
        <v>6.3</v>
      </c>
      <c r="I224" s="46">
        <v>1395.55</v>
      </c>
      <c r="J224" s="54">
        <f t="shared" si="6"/>
        <v>0.45143491813263587</v>
      </c>
    </row>
    <row r="225" spans="1:10" x14ac:dyDescent="0.3">
      <c r="A225" s="45">
        <v>50901</v>
      </c>
      <c r="B225" s="45" t="s">
        <v>302</v>
      </c>
      <c r="C225" s="45" t="s">
        <v>397</v>
      </c>
      <c r="D225" s="45" t="s">
        <v>398</v>
      </c>
      <c r="E225" s="54">
        <v>0</v>
      </c>
      <c r="F225" s="46">
        <v>0</v>
      </c>
      <c r="G225" s="46">
        <v>4249</v>
      </c>
      <c r="H225" s="46">
        <v>19.059999999999999</v>
      </c>
      <c r="I225" s="46">
        <v>11388.31</v>
      </c>
      <c r="J225" s="54">
        <f t="shared" si="6"/>
        <v>0.16736460458136457</v>
      </c>
    </row>
    <row r="226" spans="1:10" x14ac:dyDescent="0.3">
      <c r="A226" s="45">
        <v>50902</v>
      </c>
      <c r="B226" s="45" t="s">
        <v>302</v>
      </c>
      <c r="C226" s="45" t="s">
        <v>397</v>
      </c>
      <c r="D226" s="45" t="s">
        <v>13</v>
      </c>
      <c r="E226" s="54">
        <v>1.1000000000000001</v>
      </c>
      <c r="F226" s="46">
        <v>8.8000000000000009E-2</v>
      </c>
      <c r="G226" s="46">
        <v>8</v>
      </c>
      <c r="H226" s="46">
        <v>0.37</v>
      </c>
      <c r="I226" s="46">
        <v>18.41</v>
      </c>
      <c r="J226" s="54">
        <f t="shared" si="6"/>
        <v>2.0097772949483979</v>
      </c>
    </row>
    <row r="227" spans="1:10" x14ac:dyDescent="0.3">
      <c r="A227" s="45">
        <v>51001</v>
      </c>
      <c r="B227" s="45" t="s">
        <v>302</v>
      </c>
      <c r="C227" s="45" t="s">
        <v>399</v>
      </c>
      <c r="D227" s="45" t="s">
        <v>86</v>
      </c>
      <c r="E227" s="54">
        <v>1.9</v>
      </c>
      <c r="F227" s="46">
        <v>0.56999999999999995</v>
      </c>
      <c r="G227" s="46">
        <v>30</v>
      </c>
      <c r="H227" s="46">
        <v>3.41</v>
      </c>
      <c r="I227" s="46">
        <v>107.32</v>
      </c>
      <c r="J227" s="54">
        <f t="shared" si="6"/>
        <v>3.1774133432724567</v>
      </c>
    </row>
    <row r="228" spans="1:10" x14ac:dyDescent="0.3">
      <c r="A228" s="45">
        <v>51002</v>
      </c>
      <c r="B228" s="45" t="s">
        <v>302</v>
      </c>
      <c r="C228" s="45" t="s">
        <v>399</v>
      </c>
      <c r="D228" s="45" t="s">
        <v>16</v>
      </c>
      <c r="E228" s="54">
        <v>0</v>
      </c>
      <c r="F228" s="46">
        <v>0</v>
      </c>
      <c r="G228" s="46">
        <v>10</v>
      </c>
      <c r="H228" s="46">
        <v>0.18</v>
      </c>
      <c r="I228" s="46">
        <v>22.92</v>
      </c>
      <c r="J228" s="54">
        <f t="shared" si="6"/>
        <v>0.78534031413612559</v>
      </c>
    </row>
    <row r="229" spans="1:10" x14ac:dyDescent="0.3">
      <c r="A229" s="45">
        <v>51003</v>
      </c>
      <c r="B229" s="45" t="s">
        <v>302</v>
      </c>
      <c r="C229" s="45" t="s">
        <v>399</v>
      </c>
      <c r="D229" s="45" t="s">
        <v>60</v>
      </c>
      <c r="E229" s="54">
        <v>0.9</v>
      </c>
      <c r="F229" s="46">
        <v>9.9000000000000005E-2</v>
      </c>
      <c r="G229" s="46">
        <v>11</v>
      </c>
      <c r="H229" s="46">
        <v>0.75</v>
      </c>
      <c r="I229" s="46">
        <v>20.58</v>
      </c>
      <c r="J229" s="54">
        <f t="shared" si="6"/>
        <v>3.6443148688046647</v>
      </c>
    </row>
    <row r="230" spans="1:10" x14ac:dyDescent="0.3">
      <c r="A230" s="45">
        <v>51101</v>
      </c>
      <c r="B230" s="45" t="s">
        <v>302</v>
      </c>
      <c r="C230" s="45" t="s">
        <v>400</v>
      </c>
      <c r="D230" s="45" t="s">
        <v>265</v>
      </c>
      <c r="E230" s="54">
        <v>2.5</v>
      </c>
      <c r="F230" s="46">
        <v>4.1500000000000004</v>
      </c>
      <c r="G230" s="46">
        <v>166</v>
      </c>
      <c r="H230" s="46">
        <v>3.08</v>
      </c>
      <c r="I230" s="46">
        <v>345.8</v>
      </c>
      <c r="J230" s="54">
        <f t="shared" si="6"/>
        <v>0.89068825910931171</v>
      </c>
    </row>
    <row r="231" spans="1:10" x14ac:dyDescent="0.3">
      <c r="A231" s="45">
        <v>51102</v>
      </c>
      <c r="B231" s="45" t="s">
        <v>302</v>
      </c>
      <c r="C231" s="45" t="s">
        <v>400</v>
      </c>
      <c r="D231" s="45" t="s">
        <v>325</v>
      </c>
      <c r="E231" s="54">
        <v>0.5</v>
      </c>
      <c r="F231" s="46">
        <v>0.73499999999999999</v>
      </c>
      <c r="G231" s="46">
        <v>147</v>
      </c>
      <c r="H231" s="46">
        <v>4.93</v>
      </c>
      <c r="I231" s="46">
        <v>420.48</v>
      </c>
      <c r="J231" s="54">
        <f t="shared" si="6"/>
        <v>1.1724695585996954</v>
      </c>
    </row>
    <row r="232" spans="1:10" x14ac:dyDescent="0.3">
      <c r="A232" s="45">
        <v>51103</v>
      </c>
      <c r="B232" s="45" t="s">
        <v>302</v>
      </c>
      <c r="C232" s="45" t="s">
        <v>400</v>
      </c>
      <c r="D232" s="45" t="s">
        <v>175</v>
      </c>
      <c r="E232" s="54">
        <v>0.4</v>
      </c>
      <c r="F232" s="46">
        <v>0.55600000000000005</v>
      </c>
      <c r="G232" s="46">
        <v>139</v>
      </c>
      <c r="H232" s="46">
        <v>2.98</v>
      </c>
      <c r="I232" s="46">
        <v>291.11</v>
      </c>
      <c r="J232" s="54">
        <f t="shared" si="6"/>
        <v>1.0236680292672873</v>
      </c>
    </row>
    <row r="233" spans="1:10" x14ac:dyDescent="0.3">
      <c r="A233" s="45">
        <v>51201</v>
      </c>
      <c r="B233" s="45" t="s">
        <v>302</v>
      </c>
      <c r="C233" s="45" t="s">
        <v>401</v>
      </c>
      <c r="D233" s="45" t="s">
        <v>289</v>
      </c>
      <c r="E233" s="54">
        <v>29.1</v>
      </c>
      <c r="F233" s="46">
        <v>123.09300000000002</v>
      </c>
      <c r="G233" s="46">
        <v>423</v>
      </c>
      <c r="H233" s="46">
        <v>79.77</v>
      </c>
      <c r="I233" s="46">
        <v>882.63</v>
      </c>
      <c r="J233" s="54">
        <f t="shared" si="6"/>
        <v>9.0377621426871961</v>
      </c>
    </row>
    <row r="234" spans="1:10" x14ac:dyDescent="0.3">
      <c r="A234" s="45">
        <v>51202</v>
      </c>
      <c r="B234" s="45" t="s">
        <v>302</v>
      </c>
      <c r="C234" s="45" t="s">
        <v>401</v>
      </c>
      <c r="D234" s="45" t="s">
        <v>130</v>
      </c>
      <c r="E234" s="54">
        <v>0.6</v>
      </c>
      <c r="F234" s="46">
        <v>0.77399999999999991</v>
      </c>
      <c r="G234" s="46">
        <v>129</v>
      </c>
      <c r="H234" s="46">
        <v>4.74</v>
      </c>
      <c r="I234" s="46">
        <v>465.37</v>
      </c>
      <c r="J234" s="54">
        <f t="shared" si="6"/>
        <v>1.0185443840385069</v>
      </c>
    </row>
    <row r="235" spans="1:10" x14ac:dyDescent="0.3">
      <c r="A235" s="45">
        <v>51203</v>
      </c>
      <c r="B235" s="45" t="s">
        <v>302</v>
      </c>
      <c r="C235" s="45" t="s">
        <v>401</v>
      </c>
      <c r="D235" s="45" t="s">
        <v>166</v>
      </c>
      <c r="E235" s="54">
        <v>0.2</v>
      </c>
      <c r="F235" s="46">
        <v>0.91600000000000004</v>
      </c>
      <c r="G235" s="46">
        <v>458</v>
      </c>
      <c r="H235" s="46">
        <v>5.26</v>
      </c>
      <c r="I235" s="46">
        <v>1773.39</v>
      </c>
      <c r="J235" s="54">
        <f t="shared" si="6"/>
        <v>0.29660706330812736</v>
      </c>
    </row>
    <row r="236" spans="1:10" x14ac:dyDescent="0.3">
      <c r="A236" s="45">
        <v>51204</v>
      </c>
      <c r="B236" s="45" t="s">
        <v>302</v>
      </c>
      <c r="C236" s="45"/>
      <c r="D236" s="45" t="s">
        <v>402</v>
      </c>
      <c r="E236" s="54"/>
      <c r="F236" s="46"/>
      <c r="G236" s="46"/>
      <c r="H236" s="46" t="s">
        <v>493</v>
      </c>
      <c r="I236" s="46" t="s">
        <v>502</v>
      </c>
      <c r="J236" s="54"/>
    </row>
    <row r="237" spans="1:10" x14ac:dyDescent="0.3">
      <c r="A237" s="45">
        <v>51301</v>
      </c>
      <c r="B237" s="45" t="s">
        <v>302</v>
      </c>
      <c r="C237" s="45" t="s">
        <v>403</v>
      </c>
      <c r="D237" s="45" t="s">
        <v>104</v>
      </c>
      <c r="E237" s="54">
        <v>0.4</v>
      </c>
      <c r="F237" s="46">
        <v>9.6000000000000016E-2</v>
      </c>
      <c r="G237" s="46">
        <v>24</v>
      </c>
      <c r="H237" s="46">
        <v>0.66</v>
      </c>
      <c r="I237" s="46">
        <v>52.47</v>
      </c>
      <c r="J237" s="54">
        <f t="shared" si="6"/>
        <v>1.257861635220126</v>
      </c>
    </row>
    <row r="238" spans="1:10" x14ac:dyDescent="0.3">
      <c r="A238" s="45">
        <v>51302</v>
      </c>
      <c r="B238" s="45" t="s">
        <v>302</v>
      </c>
      <c r="C238" s="45" t="s">
        <v>403</v>
      </c>
      <c r="D238" s="45" t="s">
        <v>169</v>
      </c>
      <c r="E238" s="54">
        <v>0.6</v>
      </c>
      <c r="F238" s="46">
        <v>0.28199999999999997</v>
      </c>
      <c r="G238" s="46">
        <v>47</v>
      </c>
      <c r="H238" s="46">
        <v>1.61</v>
      </c>
      <c r="I238" s="46">
        <v>99.73</v>
      </c>
      <c r="J238" s="54">
        <f t="shared" si="6"/>
        <v>1.6143587686754237</v>
      </c>
    </row>
    <row r="239" spans="1:10" x14ac:dyDescent="0.3">
      <c r="A239" s="45">
        <v>51401</v>
      </c>
      <c r="B239" s="45" t="s">
        <v>302</v>
      </c>
      <c r="C239" s="45" t="s">
        <v>404</v>
      </c>
      <c r="D239" s="45" t="s">
        <v>151</v>
      </c>
      <c r="E239" s="54">
        <v>0.5</v>
      </c>
      <c r="F239" s="46">
        <v>0.23</v>
      </c>
      <c r="G239" s="46">
        <v>46</v>
      </c>
      <c r="H239" s="46">
        <v>1.51</v>
      </c>
      <c r="I239" s="46">
        <v>87.22</v>
      </c>
      <c r="J239" s="54">
        <f t="shared" si="6"/>
        <v>1.7312542994725979</v>
      </c>
    </row>
    <row r="240" spans="1:10" x14ac:dyDescent="0.3">
      <c r="A240" s="45">
        <v>51402</v>
      </c>
      <c r="B240" s="45" t="s">
        <v>302</v>
      </c>
      <c r="C240" s="45" t="s">
        <v>404</v>
      </c>
      <c r="D240" s="45" t="s">
        <v>25</v>
      </c>
      <c r="E240" s="54">
        <v>0.5</v>
      </c>
      <c r="F240" s="46">
        <v>8.5000000000000006E-2</v>
      </c>
      <c r="G240" s="46">
        <v>17</v>
      </c>
      <c r="H240" s="46">
        <v>0.47</v>
      </c>
      <c r="I240" s="46">
        <v>36.15</v>
      </c>
      <c r="J240" s="54">
        <f t="shared" si="6"/>
        <v>1.3001383125864452</v>
      </c>
    </row>
    <row r="241" spans="1:10" x14ac:dyDescent="0.3">
      <c r="A241" s="45">
        <v>51501</v>
      </c>
      <c r="B241" s="45" t="s">
        <v>302</v>
      </c>
      <c r="C241" s="45" t="s">
        <v>405</v>
      </c>
      <c r="D241" s="45" t="s">
        <v>293</v>
      </c>
      <c r="E241" s="54">
        <v>6</v>
      </c>
      <c r="F241" s="46">
        <v>23.7</v>
      </c>
      <c r="G241" s="46">
        <v>395</v>
      </c>
      <c r="H241" s="46">
        <v>103.11</v>
      </c>
      <c r="I241" s="46">
        <v>908.37</v>
      </c>
      <c r="J241" s="54">
        <f t="shared" si="6"/>
        <v>11.35110142342878</v>
      </c>
    </row>
    <row r="242" spans="1:10" x14ac:dyDescent="0.3">
      <c r="A242" s="45">
        <v>51601</v>
      </c>
      <c r="B242" s="45" t="s">
        <v>302</v>
      </c>
      <c r="C242" s="45" t="s">
        <v>406</v>
      </c>
      <c r="D242" s="45" t="s">
        <v>29</v>
      </c>
      <c r="E242" s="54">
        <v>0.7</v>
      </c>
      <c r="F242" s="46">
        <v>9.799999999999999E-2</v>
      </c>
      <c r="G242" s="46">
        <v>14</v>
      </c>
      <c r="H242" s="46">
        <v>1.32</v>
      </c>
      <c r="I242" s="46">
        <v>42.14</v>
      </c>
      <c r="J242" s="54">
        <f t="shared" si="6"/>
        <v>3.1324157570004751</v>
      </c>
    </row>
    <row r="243" spans="1:10" x14ac:dyDescent="0.3">
      <c r="A243" s="45">
        <v>60101</v>
      </c>
      <c r="B243" s="45" t="s">
        <v>76</v>
      </c>
      <c r="C243" s="45" t="s">
        <v>367</v>
      </c>
      <c r="D243" s="45" t="s">
        <v>76</v>
      </c>
      <c r="E243" s="54">
        <v>3.3</v>
      </c>
      <c r="F243" s="46">
        <v>118.50299999999999</v>
      </c>
      <c r="G243" s="46">
        <v>3591</v>
      </c>
      <c r="H243" s="46">
        <v>324.27999999999997</v>
      </c>
      <c r="I243" s="46">
        <v>6007.45</v>
      </c>
      <c r="J243" s="54">
        <f t="shared" si="6"/>
        <v>5.397964194458547</v>
      </c>
    </row>
    <row r="244" spans="1:10" x14ac:dyDescent="0.3">
      <c r="A244" s="45">
        <v>60201</v>
      </c>
      <c r="B244" s="45" t="s">
        <v>76</v>
      </c>
      <c r="C244" s="45" t="s">
        <v>407</v>
      </c>
      <c r="D244" s="45" t="s">
        <v>274</v>
      </c>
      <c r="E244" s="54">
        <v>0.7</v>
      </c>
      <c r="F244" s="46">
        <v>2.0299999999999998</v>
      </c>
      <c r="G244" s="46">
        <v>290</v>
      </c>
      <c r="H244" s="46">
        <v>9.15</v>
      </c>
      <c r="I244" s="46">
        <v>597.57000000000005</v>
      </c>
      <c r="J244" s="54">
        <f t="shared" si="6"/>
        <v>1.531201365530398</v>
      </c>
    </row>
    <row r="245" spans="1:10" x14ac:dyDescent="0.3">
      <c r="A245" s="45">
        <v>60202</v>
      </c>
      <c r="B245" s="45" t="s">
        <v>76</v>
      </c>
      <c r="C245" s="45" t="s">
        <v>407</v>
      </c>
      <c r="D245" s="45" t="s">
        <v>254</v>
      </c>
      <c r="E245" s="54">
        <v>4</v>
      </c>
      <c r="F245" s="46">
        <v>25.84</v>
      </c>
      <c r="G245" s="46">
        <v>646</v>
      </c>
      <c r="H245" s="46">
        <v>75.319999999999993</v>
      </c>
      <c r="I245" s="46">
        <v>1166.47</v>
      </c>
      <c r="J245" s="54">
        <f t="shared" si="6"/>
        <v>6.4570884806295918</v>
      </c>
    </row>
    <row r="246" spans="1:10" x14ac:dyDescent="0.3">
      <c r="A246" s="45">
        <v>60301</v>
      </c>
      <c r="B246" s="45" t="s">
        <v>76</v>
      </c>
      <c r="C246" s="45" t="s">
        <v>408</v>
      </c>
      <c r="D246" s="45" t="s">
        <v>297</v>
      </c>
      <c r="E246" s="54">
        <v>1.7</v>
      </c>
      <c r="F246" s="46">
        <v>35.003</v>
      </c>
      <c r="G246" s="46">
        <v>2059</v>
      </c>
      <c r="H246" s="46">
        <v>146.27000000000001</v>
      </c>
      <c r="I246" s="46">
        <v>4003.24</v>
      </c>
      <c r="J246" s="54">
        <f t="shared" si="6"/>
        <v>3.653790429751901</v>
      </c>
    </row>
    <row r="247" spans="1:10" x14ac:dyDescent="0.3">
      <c r="A247" s="45">
        <v>60302</v>
      </c>
      <c r="B247" s="45" t="s">
        <v>76</v>
      </c>
      <c r="C247" s="45" t="s">
        <v>408</v>
      </c>
      <c r="D247" s="45" t="s">
        <v>193</v>
      </c>
      <c r="E247" s="54">
        <v>0.8</v>
      </c>
      <c r="F247" s="46">
        <v>4.28</v>
      </c>
      <c r="G247" s="46">
        <v>535</v>
      </c>
      <c r="H247" s="46">
        <v>29.31</v>
      </c>
      <c r="I247" s="46">
        <v>1088.97</v>
      </c>
      <c r="J247" s="54">
        <f t="shared" si="6"/>
        <v>2.6915342020441333</v>
      </c>
    </row>
    <row r="248" spans="1:10" x14ac:dyDescent="0.3">
      <c r="A248" s="45">
        <v>60303</v>
      </c>
      <c r="B248" s="45" t="s">
        <v>76</v>
      </c>
      <c r="C248" s="45" t="s">
        <v>408</v>
      </c>
      <c r="D248" s="45" t="s">
        <v>326</v>
      </c>
      <c r="E248" s="54">
        <v>0.9</v>
      </c>
      <c r="F248" s="46">
        <v>27.99</v>
      </c>
      <c r="G248" s="46">
        <v>3110</v>
      </c>
      <c r="H248" s="46">
        <v>82.29</v>
      </c>
      <c r="I248" s="46">
        <v>5838.91</v>
      </c>
      <c r="J248" s="54">
        <f t="shared" si="6"/>
        <v>1.4093383867879452</v>
      </c>
    </row>
    <row r="249" spans="1:10" x14ac:dyDescent="0.3">
      <c r="A249" s="45">
        <v>60401</v>
      </c>
      <c r="B249" s="45" t="s">
        <v>76</v>
      </c>
      <c r="C249" s="45" t="s">
        <v>409</v>
      </c>
      <c r="D249" s="45" t="s">
        <v>235</v>
      </c>
      <c r="E249" s="54">
        <v>0.5</v>
      </c>
      <c r="F249" s="46">
        <v>1.575</v>
      </c>
      <c r="G249" s="46">
        <v>315</v>
      </c>
      <c r="H249" s="46">
        <v>33.049999999999997</v>
      </c>
      <c r="I249" s="46">
        <v>555.03</v>
      </c>
      <c r="J249" s="54">
        <f t="shared" si="6"/>
        <v>5.9546330828964198</v>
      </c>
    </row>
    <row r="250" spans="1:10" x14ac:dyDescent="0.3">
      <c r="A250" s="45">
        <v>60402</v>
      </c>
      <c r="B250" s="45" t="s">
        <v>76</v>
      </c>
      <c r="C250" s="45" t="s">
        <v>409</v>
      </c>
      <c r="D250" s="45" t="s">
        <v>105</v>
      </c>
      <c r="E250" s="54">
        <v>0.3</v>
      </c>
      <c r="F250" s="46">
        <v>0.35100000000000003</v>
      </c>
      <c r="G250" s="46">
        <v>117</v>
      </c>
      <c r="H250" s="46">
        <v>1.61</v>
      </c>
      <c r="I250" s="46">
        <v>145.22</v>
      </c>
      <c r="J250" s="54">
        <f t="shared" si="6"/>
        <v>1.1086627186337972</v>
      </c>
    </row>
    <row r="251" spans="1:10" x14ac:dyDescent="0.3">
      <c r="A251" s="45">
        <v>60501</v>
      </c>
      <c r="B251" s="45" t="s">
        <v>76</v>
      </c>
      <c r="C251" s="45" t="s">
        <v>410</v>
      </c>
      <c r="D251" s="45" t="s">
        <v>271</v>
      </c>
      <c r="E251" s="54">
        <v>6</v>
      </c>
      <c r="F251" s="46">
        <v>17.16</v>
      </c>
      <c r="G251" s="46">
        <v>286</v>
      </c>
      <c r="H251" s="46">
        <v>38.56</v>
      </c>
      <c r="I251" s="46">
        <v>583.66999999999996</v>
      </c>
      <c r="J251" s="54">
        <f t="shared" si="6"/>
        <v>6.6064728356776961</v>
      </c>
    </row>
    <row r="252" spans="1:10" x14ac:dyDescent="0.3">
      <c r="A252" s="45">
        <v>60502</v>
      </c>
      <c r="B252" s="45" t="s">
        <v>76</v>
      </c>
      <c r="C252" s="45" t="s">
        <v>410</v>
      </c>
      <c r="D252" s="45" t="s">
        <v>88</v>
      </c>
      <c r="E252" s="54">
        <v>0.2</v>
      </c>
      <c r="F252" s="46">
        <v>0.94</v>
      </c>
      <c r="G252" s="46">
        <v>470</v>
      </c>
      <c r="H252" s="46">
        <v>4.45</v>
      </c>
      <c r="I252" s="46">
        <v>723.55</v>
      </c>
      <c r="J252" s="54">
        <f t="shared" si="6"/>
        <v>0.61502314974777139</v>
      </c>
    </row>
    <row r="253" spans="1:10" x14ac:dyDescent="0.3">
      <c r="A253" s="45">
        <v>60601</v>
      </c>
      <c r="B253" s="45" t="s">
        <v>76</v>
      </c>
      <c r="C253" s="45" t="s">
        <v>411</v>
      </c>
      <c r="D253" s="45" t="s">
        <v>223</v>
      </c>
      <c r="E253" s="54">
        <v>0.8</v>
      </c>
      <c r="F253" s="46">
        <v>17.248000000000001</v>
      </c>
      <c r="G253" s="46">
        <v>2156</v>
      </c>
      <c r="H253" s="46">
        <v>27.22</v>
      </c>
      <c r="I253" s="46">
        <v>4336.45</v>
      </c>
      <c r="J253" s="54">
        <f t="shared" si="6"/>
        <v>0.62770238328586747</v>
      </c>
    </row>
    <row r="254" spans="1:10" x14ac:dyDescent="0.3">
      <c r="A254" s="45">
        <v>70101</v>
      </c>
      <c r="B254" s="45" t="s">
        <v>85</v>
      </c>
      <c r="C254" s="45" t="s">
        <v>412</v>
      </c>
      <c r="D254" s="45" t="s">
        <v>304</v>
      </c>
      <c r="E254" s="54">
        <v>5.8</v>
      </c>
      <c r="F254" s="46">
        <v>1511.19</v>
      </c>
      <c r="G254" s="46">
        <v>26055</v>
      </c>
      <c r="H254" s="46">
        <v>3764.54</v>
      </c>
      <c r="I254" s="46">
        <v>59088.89</v>
      </c>
      <c r="J254" s="54">
        <f t="shared" si="6"/>
        <v>6.3709776914069636</v>
      </c>
    </row>
    <row r="255" spans="1:10" x14ac:dyDescent="0.3">
      <c r="A255" s="45">
        <v>70102</v>
      </c>
      <c r="B255" s="45" t="s">
        <v>85</v>
      </c>
      <c r="C255" s="45" t="s">
        <v>412</v>
      </c>
      <c r="D255" s="45" t="s">
        <v>263</v>
      </c>
      <c r="E255" s="54">
        <v>3</v>
      </c>
      <c r="F255" s="46">
        <v>25.35</v>
      </c>
      <c r="G255" s="46">
        <v>845</v>
      </c>
      <c r="H255" s="46">
        <v>88.17</v>
      </c>
      <c r="I255" s="46">
        <v>2120.33</v>
      </c>
      <c r="J255" s="54">
        <f t="shared" si="6"/>
        <v>4.1583149792720944</v>
      </c>
    </row>
    <row r="256" spans="1:10" x14ac:dyDescent="0.3">
      <c r="A256" s="45">
        <v>70103</v>
      </c>
      <c r="B256" s="45" t="s">
        <v>85</v>
      </c>
      <c r="C256" s="45" t="s">
        <v>412</v>
      </c>
      <c r="D256" s="45" t="s">
        <v>188</v>
      </c>
      <c r="E256" s="54">
        <v>1.4</v>
      </c>
      <c r="F256" s="46">
        <v>2.7439999999999998</v>
      </c>
      <c r="G256" s="46">
        <v>196</v>
      </c>
      <c r="H256" s="46">
        <v>17.54</v>
      </c>
      <c r="I256" s="46">
        <v>462.31</v>
      </c>
      <c r="J256" s="54">
        <f t="shared" si="6"/>
        <v>3.7939910449698253</v>
      </c>
    </row>
    <row r="257" spans="1:10" x14ac:dyDescent="0.3">
      <c r="A257" s="45">
        <v>70104</v>
      </c>
      <c r="B257" s="45" t="s">
        <v>85</v>
      </c>
      <c r="C257" s="45" t="s">
        <v>412</v>
      </c>
      <c r="D257" s="45" t="s">
        <v>294</v>
      </c>
      <c r="E257" s="54">
        <v>4</v>
      </c>
      <c r="F257" s="46">
        <v>52.96</v>
      </c>
      <c r="G257" s="46">
        <v>1324</v>
      </c>
      <c r="H257" s="46">
        <v>158.75</v>
      </c>
      <c r="I257" s="46">
        <v>2988.1</v>
      </c>
      <c r="J257" s="54">
        <f t="shared" si="6"/>
        <v>5.3127405374652792</v>
      </c>
    </row>
    <row r="258" spans="1:10" x14ac:dyDescent="0.3">
      <c r="A258" s="45">
        <v>70105</v>
      </c>
      <c r="B258" s="45" t="s">
        <v>85</v>
      </c>
      <c r="C258" s="45" t="s">
        <v>412</v>
      </c>
      <c r="D258" s="45" t="s">
        <v>291</v>
      </c>
      <c r="E258" s="54">
        <v>5.6</v>
      </c>
      <c r="F258" s="46">
        <v>28.167999999999996</v>
      </c>
      <c r="G258" s="46">
        <v>503</v>
      </c>
      <c r="H258" s="46">
        <v>74.08</v>
      </c>
      <c r="I258" s="46">
        <v>1145.82</v>
      </c>
      <c r="J258" s="54">
        <f t="shared" si="6"/>
        <v>6.4652388682341035</v>
      </c>
    </row>
    <row r="259" spans="1:10" x14ac:dyDescent="0.3">
      <c r="A259" s="45">
        <v>70201</v>
      </c>
      <c r="B259" s="45" t="s">
        <v>85</v>
      </c>
      <c r="C259" s="45" t="s">
        <v>298</v>
      </c>
      <c r="D259" s="45" t="s">
        <v>298</v>
      </c>
      <c r="E259" s="54">
        <v>2</v>
      </c>
      <c r="F259" s="46">
        <v>54.38</v>
      </c>
      <c r="G259" s="46">
        <v>2719</v>
      </c>
      <c r="H259" s="46">
        <v>154.76</v>
      </c>
      <c r="I259" s="46">
        <v>6671.48</v>
      </c>
      <c r="J259" s="54">
        <f t="shared" ref="J259:J322" si="7">(H259/I259)*100</f>
        <v>2.3197251584356096</v>
      </c>
    </row>
    <row r="260" spans="1:10" x14ac:dyDescent="0.3">
      <c r="A260" s="45">
        <v>70202</v>
      </c>
      <c r="B260" s="45" t="s">
        <v>85</v>
      </c>
      <c r="C260" s="45" t="s">
        <v>298</v>
      </c>
      <c r="D260" s="45" t="s">
        <v>91</v>
      </c>
      <c r="E260" s="54">
        <v>0.3</v>
      </c>
      <c r="F260" s="46">
        <v>1.8719999999999999</v>
      </c>
      <c r="G260" s="46">
        <v>624</v>
      </c>
      <c r="H260" s="46">
        <v>3.41</v>
      </c>
      <c r="I260" s="46">
        <v>1585.96</v>
      </c>
      <c r="J260" s="54">
        <f t="shared" si="7"/>
        <v>0.21501172791243162</v>
      </c>
    </row>
    <row r="261" spans="1:10" x14ac:dyDescent="0.3">
      <c r="A261" s="45">
        <v>70301</v>
      </c>
      <c r="B261" s="45" t="s">
        <v>85</v>
      </c>
      <c r="C261" s="45" t="s">
        <v>413</v>
      </c>
      <c r="D261" s="45" t="s">
        <v>279</v>
      </c>
      <c r="E261" s="54">
        <v>5.2</v>
      </c>
      <c r="F261" s="46">
        <v>36.347999999999999</v>
      </c>
      <c r="G261" s="46">
        <v>699</v>
      </c>
      <c r="H261" s="46">
        <v>104.53</v>
      </c>
      <c r="I261" s="46">
        <v>1668.1</v>
      </c>
      <c r="J261" s="54">
        <f t="shared" si="7"/>
        <v>6.2664108866374928</v>
      </c>
    </row>
    <row r="262" spans="1:10" x14ac:dyDescent="0.3">
      <c r="A262" s="45">
        <v>70302</v>
      </c>
      <c r="B262" s="45" t="s">
        <v>85</v>
      </c>
      <c r="C262" s="45" t="s">
        <v>413</v>
      </c>
      <c r="D262" s="45" t="s">
        <v>201</v>
      </c>
      <c r="E262" s="54">
        <v>23.8</v>
      </c>
      <c r="F262" s="46">
        <v>44.744000000000007</v>
      </c>
      <c r="G262" s="46">
        <v>188</v>
      </c>
      <c r="H262" s="46">
        <v>6.21</v>
      </c>
      <c r="I262" s="46">
        <v>406.41</v>
      </c>
      <c r="J262" s="54">
        <f t="shared" si="7"/>
        <v>1.5280135823429539</v>
      </c>
    </row>
    <row r="263" spans="1:10" x14ac:dyDescent="0.3">
      <c r="A263" s="45">
        <v>70303</v>
      </c>
      <c r="B263" s="45" t="s">
        <v>85</v>
      </c>
      <c r="C263" s="45" t="s">
        <v>413</v>
      </c>
      <c r="D263" s="45" t="s">
        <v>79</v>
      </c>
      <c r="E263" s="54">
        <v>1</v>
      </c>
      <c r="F263" s="46">
        <v>0.93</v>
      </c>
      <c r="G263" s="46">
        <v>93</v>
      </c>
      <c r="H263" s="46">
        <v>4.3600000000000003</v>
      </c>
      <c r="I263" s="46">
        <v>218.18</v>
      </c>
      <c r="J263" s="54">
        <f t="shared" si="7"/>
        <v>1.9983499862498855</v>
      </c>
    </row>
    <row r="264" spans="1:10" x14ac:dyDescent="0.3">
      <c r="A264" s="45">
        <v>70401</v>
      </c>
      <c r="B264" s="45" t="s">
        <v>85</v>
      </c>
      <c r="C264" s="45" t="s">
        <v>414</v>
      </c>
      <c r="D264" s="45" t="s">
        <v>164</v>
      </c>
      <c r="E264" s="54">
        <v>1.3</v>
      </c>
      <c r="F264" s="46">
        <v>3.0030000000000001</v>
      </c>
      <c r="G264" s="46">
        <v>231</v>
      </c>
      <c r="H264" s="46">
        <v>16.170000000000002</v>
      </c>
      <c r="I264" s="46">
        <v>540.92999999999995</v>
      </c>
      <c r="J264" s="54">
        <f t="shared" si="7"/>
        <v>2.9892962120791977</v>
      </c>
    </row>
    <row r="265" spans="1:10" x14ac:dyDescent="0.3">
      <c r="A265" s="45">
        <v>70402</v>
      </c>
      <c r="B265" s="45" t="s">
        <v>85</v>
      </c>
      <c r="C265" s="45" t="s">
        <v>414</v>
      </c>
      <c r="D265" s="45" t="s">
        <v>225</v>
      </c>
      <c r="E265" s="54">
        <v>4.8</v>
      </c>
      <c r="F265" s="46">
        <v>19.151999999999997</v>
      </c>
      <c r="G265" s="46">
        <v>399</v>
      </c>
      <c r="H265" s="46">
        <v>25.75</v>
      </c>
      <c r="I265" s="46">
        <v>1004.93</v>
      </c>
      <c r="J265" s="54">
        <f t="shared" si="7"/>
        <v>2.5623675280865337</v>
      </c>
    </row>
    <row r="266" spans="1:10" x14ac:dyDescent="0.3">
      <c r="A266" s="45">
        <v>70403</v>
      </c>
      <c r="B266" s="45" t="s">
        <v>85</v>
      </c>
      <c r="C266" s="45" t="s">
        <v>414</v>
      </c>
      <c r="D266" s="45" t="s">
        <v>278</v>
      </c>
      <c r="E266" s="54">
        <v>2</v>
      </c>
      <c r="F266" s="46">
        <v>27.44</v>
      </c>
      <c r="G266" s="46">
        <v>1372</v>
      </c>
      <c r="H266" s="46">
        <v>86.89</v>
      </c>
      <c r="I266" s="46">
        <v>4306.93</v>
      </c>
      <c r="J266" s="54">
        <f t="shared" si="7"/>
        <v>2.0174463016580253</v>
      </c>
    </row>
    <row r="267" spans="1:10" x14ac:dyDescent="0.3">
      <c r="A267" s="45">
        <v>70404</v>
      </c>
      <c r="B267" s="45" t="s">
        <v>85</v>
      </c>
      <c r="C267" s="45" t="s">
        <v>414</v>
      </c>
      <c r="D267" s="45" t="s">
        <v>327</v>
      </c>
      <c r="E267" s="54">
        <v>0.3</v>
      </c>
      <c r="F267" s="46">
        <v>1.1789999999999998</v>
      </c>
      <c r="G267" s="46">
        <v>393</v>
      </c>
      <c r="H267" s="46">
        <v>3.69</v>
      </c>
      <c r="I267" s="46">
        <v>1062.1300000000001</v>
      </c>
      <c r="J267" s="54">
        <f t="shared" si="7"/>
        <v>0.34741509984653474</v>
      </c>
    </row>
    <row r="268" spans="1:10" x14ac:dyDescent="0.3">
      <c r="A268" s="45">
        <v>70501</v>
      </c>
      <c r="B268" s="45" t="s">
        <v>85</v>
      </c>
      <c r="C268" s="45" t="s">
        <v>415</v>
      </c>
      <c r="D268" s="45" t="s">
        <v>328</v>
      </c>
      <c r="E268" s="54">
        <v>10.1</v>
      </c>
      <c r="F268" s="46">
        <v>85.244</v>
      </c>
      <c r="G268" s="46">
        <v>844</v>
      </c>
      <c r="H268" s="46">
        <v>49.94</v>
      </c>
      <c r="I268" s="46">
        <v>1508.93</v>
      </c>
      <c r="J268" s="54">
        <f t="shared" si="7"/>
        <v>3.3096300027171566</v>
      </c>
    </row>
    <row r="269" spans="1:10" x14ac:dyDescent="0.3">
      <c r="A269" s="45">
        <v>70502</v>
      </c>
      <c r="B269" s="45" t="s">
        <v>85</v>
      </c>
      <c r="C269" s="45" t="s">
        <v>415</v>
      </c>
      <c r="D269" s="45" t="s">
        <v>272</v>
      </c>
      <c r="E269" s="54">
        <v>1.1000000000000001</v>
      </c>
      <c r="F269" s="46">
        <v>21.626000000000005</v>
      </c>
      <c r="G269" s="46">
        <v>1966</v>
      </c>
      <c r="H269" s="46">
        <v>44.77</v>
      </c>
      <c r="I269" s="46">
        <v>5396.98</v>
      </c>
      <c r="J269" s="54">
        <f t="shared" si="7"/>
        <v>0.82953800088197482</v>
      </c>
    </row>
    <row r="270" spans="1:10" x14ac:dyDescent="0.3">
      <c r="A270" s="45">
        <v>70503</v>
      </c>
      <c r="B270" s="45" t="s">
        <v>85</v>
      </c>
      <c r="C270" s="45" t="s">
        <v>415</v>
      </c>
      <c r="D270" s="45" t="s">
        <v>162</v>
      </c>
      <c r="E270" s="54">
        <v>2.7</v>
      </c>
      <c r="F270" s="46">
        <v>5.1029999999999998</v>
      </c>
      <c r="G270" s="46">
        <v>189</v>
      </c>
      <c r="H270" s="46">
        <v>39.130000000000003</v>
      </c>
      <c r="I270" s="46">
        <v>410.71</v>
      </c>
      <c r="J270" s="54">
        <f t="shared" si="7"/>
        <v>9.5274037642131919</v>
      </c>
    </row>
    <row r="271" spans="1:10" x14ac:dyDescent="0.3">
      <c r="A271" s="45">
        <v>70601</v>
      </c>
      <c r="B271" s="45" t="s">
        <v>85</v>
      </c>
      <c r="C271" s="45" t="s">
        <v>416</v>
      </c>
      <c r="D271" s="45" t="s">
        <v>158</v>
      </c>
      <c r="E271" s="54">
        <v>0.6</v>
      </c>
      <c r="F271" s="46">
        <v>3.1259999999999994</v>
      </c>
      <c r="G271" s="46">
        <v>521</v>
      </c>
      <c r="H271" s="46">
        <v>13.13</v>
      </c>
      <c r="I271" s="46">
        <v>1424.46</v>
      </c>
      <c r="J271" s="54">
        <f t="shared" si="7"/>
        <v>0.92175280457155695</v>
      </c>
    </row>
    <row r="272" spans="1:10" x14ac:dyDescent="0.3">
      <c r="A272" s="45">
        <v>70602</v>
      </c>
      <c r="B272" s="45" t="s">
        <v>85</v>
      </c>
      <c r="C272" s="45" t="s">
        <v>416</v>
      </c>
      <c r="D272" s="45" t="s">
        <v>256</v>
      </c>
      <c r="E272" s="54">
        <v>0.2</v>
      </c>
      <c r="F272" s="46">
        <v>1.8680000000000001</v>
      </c>
      <c r="G272" s="46">
        <v>934</v>
      </c>
      <c r="H272" s="46">
        <v>6.59</v>
      </c>
      <c r="I272" s="46">
        <v>2496.21</v>
      </c>
      <c r="J272" s="54">
        <f t="shared" si="7"/>
        <v>0.26400022434009957</v>
      </c>
    </row>
    <row r="273" spans="1:10" x14ac:dyDescent="0.3">
      <c r="A273" s="45">
        <v>70603</v>
      </c>
      <c r="B273" s="45" t="s">
        <v>85</v>
      </c>
      <c r="C273" s="45" t="s">
        <v>416</v>
      </c>
      <c r="D273" s="45" t="s">
        <v>329</v>
      </c>
      <c r="E273" s="54">
        <v>0.5</v>
      </c>
      <c r="F273" s="46">
        <v>1.395</v>
      </c>
      <c r="G273" s="46">
        <v>279</v>
      </c>
      <c r="H273" s="46">
        <v>3.08</v>
      </c>
      <c r="I273" s="46">
        <v>815.3</v>
      </c>
      <c r="J273" s="54">
        <f t="shared" si="7"/>
        <v>0.37777505212805101</v>
      </c>
    </row>
    <row r="274" spans="1:10" x14ac:dyDescent="0.3">
      <c r="A274" s="45">
        <v>70701</v>
      </c>
      <c r="B274" s="45" t="s">
        <v>85</v>
      </c>
      <c r="C274" s="45" t="s">
        <v>417</v>
      </c>
      <c r="D274" s="45" t="s">
        <v>74</v>
      </c>
      <c r="E274" s="54">
        <v>0.1</v>
      </c>
      <c r="F274" s="46">
        <v>0.46100000000000002</v>
      </c>
      <c r="G274" s="46">
        <v>461</v>
      </c>
      <c r="H274" s="46">
        <v>2.3199999999999998</v>
      </c>
      <c r="I274" s="46">
        <v>1550.84</v>
      </c>
      <c r="J274" s="54">
        <f t="shared" si="7"/>
        <v>0.14959634778571612</v>
      </c>
    </row>
    <row r="275" spans="1:10" x14ac:dyDescent="0.3">
      <c r="A275" s="45">
        <v>70702</v>
      </c>
      <c r="B275" s="45" t="s">
        <v>85</v>
      </c>
      <c r="C275" s="45" t="s">
        <v>417</v>
      </c>
      <c r="D275" s="45" t="s">
        <v>95</v>
      </c>
      <c r="E275" s="54">
        <v>2.9</v>
      </c>
      <c r="F275" s="46">
        <v>16.646000000000001</v>
      </c>
      <c r="G275" s="46">
        <v>574</v>
      </c>
      <c r="H275" s="46">
        <v>14.03</v>
      </c>
      <c r="I275" s="46">
        <v>1707.01</v>
      </c>
      <c r="J275" s="54">
        <f t="shared" si="7"/>
        <v>0.82190496833644788</v>
      </c>
    </row>
    <row r="276" spans="1:10" x14ac:dyDescent="0.3">
      <c r="A276" s="45">
        <v>70703</v>
      </c>
      <c r="B276" s="45" t="s">
        <v>85</v>
      </c>
      <c r="C276" s="45" t="s">
        <v>417</v>
      </c>
      <c r="D276" s="45" t="s">
        <v>250</v>
      </c>
      <c r="E276" s="54">
        <v>1.5</v>
      </c>
      <c r="F276" s="46">
        <v>19.350000000000001</v>
      </c>
      <c r="G276" s="46">
        <v>1290</v>
      </c>
      <c r="H276" s="46">
        <v>15.88</v>
      </c>
      <c r="I276" s="46">
        <v>3890.43</v>
      </c>
      <c r="J276" s="54">
        <f t="shared" si="7"/>
        <v>0.40818110080376724</v>
      </c>
    </row>
    <row r="277" spans="1:10" x14ac:dyDescent="0.3">
      <c r="A277" s="45">
        <v>70704</v>
      </c>
      <c r="B277" s="45" t="s">
        <v>85</v>
      </c>
      <c r="C277" s="45" t="s">
        <v>417</v>
      </c>
      <c r="D277" s="45" t="s">
        <v>73</v>
      </c>
      <c r="E277" s="54">
        <v>1.4</v>
      </c>
      <c r="F277" s="46">
        <v>0.61599999999999999</v>
      </c>
      <c r="G277" s="46">
        <v>44</v>
      </c>
      <c r="H277" s="46">
        <v>3.79</v>
      </c>
      <c r="I277" s="46">
        <v>107.18</v>
      </c>
      <c r="J277" s="54">
        <f t="shared" si="7"/>
        <v>3.5361074827393169</v>
      </c>
    </row>
    <row r="278" spans="1:10" x14ac:dyDescent="0.3">
      <c r="A278" s="45">
        <v>70705</v>
      </c>
      <c r="B278" s="45" t="s">
        <v>85</v>
      </c>
      <c r="C278" s="45" t="s">
        <v>417</v>
      </c>
      <c r="D278" s="45" t="s">
        <v>141</v>
      </c>
      <c r="E278" s="54">
        <v>0.3</v>
      </c>
      <c r="F278" s="46">
        <v>0.78</v>
      </c>
      <c r="G278" s="46">
        <v>260</v>
      </c>
      <c r="H278" s="46">
        <v>3.08</v>
      </c>
      <c r="I278" s="46">
        <v>631.59</v>
      </c>
      <c r="J278" s="54">
        <f t="shared" si="7"/>
        <v>0.48765813264934527</v>
      </c>
    </row>
    <row r="279" spans="1:10" x14ac:dyDescent="0.3">
      <c r="A279" s="45">
        <v>70706</v>
      </c>
      <c r="B279" s="45" t="s">
        <v>85</v>
      </c>
      <c r="C279" s="45" t="s">
        <v>417</v>
      </c>
      <c r="D279" s="45" t="s">
        <v>221</v>
      </c>
      <c r="E279" s="54">
        <v>7.2</v>
      </c>
      <c r="F279" s="46">
        <v>28.944000000000003</v>
      </c>
      <c r="G279" s="46">
        <v>402</v>
      </c>
      <c r="H279" s="46">
        <v>53.4</v>
      </c>
      <c r="I279" s="46">
        <v>910.58</v>
      </c>
      <c r="J279" s="54">
        <f t="shared" si="7"/>
        <v>5.8643941224274627</v>
      </c>
    </row>
    <row r="280" spans="1:10" x14ac:dyDescent="0.3">
      <c r="A280" s="45">
        <v>70707</v>
      </c>
      <c r="B280" s="45" t="s">
        <v>85</v>
      </c>
      <c r="C280" s="45" t="s">
        <v>417</v>
      </c>
      <c r="D280" s="45" t="s">
        <v>53</v>
      </c>
      <c r="E280" s="54">
        <v>1.9</v>
      </c>
      <c r="F280" s="46">
        <v>0.89300000000000002</v>
      </c>
      <c r="G280" s="46">
        <v>47</v>
      </c>
      <c r="H280" s="46">
        <v>4.93</v>
      </c>
      <c r="I280" s="46">
        <v>102.66</v>
      </c>
      <c r="J280" s="54">
        <f t="shared" si="7"/>
        <v>4.8022598870056497</v>
      </c>
    </row>
    <row r="281" spans="1:10" x14ac:dyDescent="0.3">
      <c r="A281" s="45">
        <v>70801</v>
      </c>
      <c r="B281" s="45" t="s">
        <v>85</v>
      </c>
      <c r="C281" s="45" t="s">
        <v>257</v>
      </c>
      <c r="D281" s="45" t="s">
        <v>257</v>
      </c>
      <c r="E281" s="54">
        <v>1.4</v>
      </c>
      <c r="F281" s="46">
        <v>3.7239999999999998</v>
      </c>
      <c r="G281" s="46">
        <v>266</v>
      </c>
      <c r="H281" s="46">
        <v>23.09</v>
      </c>
      <c r="I281" s="46">
        <v>604.66</v>
      </c>
      <c r="J281" s="54">
        <f t="shared" si="7"/>
        <v>3.8186749578275401</v>
      </c>
    </row>
    <row r="282" spans="1:10" x14ac:dyDescent="0.3">
      <c r="A282" s="45">
        <v>70802</v>
      </c>
      <c r="B282" s="45" t="s">
        <v>85</v>
      </c>
      <c r="C282" s="45" t="s">
        <v>257</v>
      </c>
      <c r="D282" s="45" t="s">
        <v>10</v>
      </c>
      <c r="E282" s="54">
        <v>0.4</v>
      </c>
      <c r="F282" s="46">
        <v>0.19600000000000001</v>
      </c>
      <c r="G282" s="46">
        <v>49</v>
      </c>
      <c r="H282" s="46">
        <v>0.85</v>
      </c>
      <c r="I282" s="46">
        <v>114.39</v>
      </c>
      <c r="J282" s="54">
        <f t="shared" si="7"/>
        <v>0.74307194684850075</v>
      </c>
    </row>
    <row r="283" spans="1:10" x14ac:dyDescent="0.3">
      <c r="A283" s="45">
        <v>70803</v>
      </c>
      <c r="B283" s="45" t="s">
        <v>85</v>
      </c>
      <c r="C283" s="45" t="s">
        <v>257</v>
      </c>
      <c r="D283" s="45" t="s">
        <v>36</v>
      </c>
      <c r="E283" s="54">
        <v>0.2</v>
      </c>
      <c r="F283" s="46">
        <v>0.20400000000000001</v>
      </c>
      <c r="G283" s="46">
        <v>102</v>
      </c>
      <c r="H283" s="46">
        <v>0.47</v>
      </c>
      <c r="I283" s="46">
        <v>287.75</v>
      </c>
      <c r="J283" s="54">
        <f t="shared" si="7"/>
        <v>0.16333622936576889</v>
      </c>
    </row>
    <row r="284" spans="1:10" x14ac:dyDescent="0.3">
      <c r="A284" s="45">
        <v>70804</v>
      </c>
      <c r="B284" s="45" t="s">
        <v>85</v>
      </c>
      <c r="C284" s="45" t="s">
        <v>257</v>
      </c>
      <c r="D284" s="45" t="s">
        <v>330</v>
      </c>
      <c r="E284" s="54">
        <v>0.3</v>
      </c>
      <c r="F284" s="46">
        <v>0.126</v>
      </c>
      <c r="G284" s="46">
        <v>42</v>
      </c>
      <c r="H284" s="46">
        <v>0.75</v>
      </c>
      <c r="I284" s="46">
        <v>103.08</v>
      </c>
      <c r="J284" s="54">
        <f t="shared" si="7"/>
        <v>0.72759022118742722</v>
      </c>
    </row>
    <row r="285" spans="1:10" x14ac:dyDescent="0.3">
      <c r="A285" s="45">
        <v>70805</v>
      </c>
      <c r="B285" s="45" t="s">
        <v>85</v>
      </c>
      <c r="C285" s="45" t="s">
        <v>257</v>
      </c>
      <c r="D285" s="45" t="s">
        <v>331</v>
      </c>
      <c r="E285" s="54">
        <v>0.6</v>
      </c>
      <c r="F285" s="46">
        <v>0.21</v>
      </c>
      <c r="G285" s="46">
        <v>35</v>
      </c>
      <c r="H285" s="46">
        <v>0.94</v>
      </c>
      <c r="I285" s="46">
        <v>89.35</v>
      </c>
      <c r="J285" s="54">
        <f t="shared" si="7"/>
        <v>1.0520425293788473</v>
      </c>
    </row>
    <row r="286" spans="1:10" x14ac:dyDescent="0.3">
      <c r="A286" s="45">
        <v>70901</v>
      </c>
      <c r="B286" s="45" t="s">
        <v>85</v>
      </c>
      <c r="C286" s="45" t="s">
        <v>418</v>
      </c>
      <c r="D286" s="45" t="s">
        <v>192</v>
      </c>
      <c r="E286" s="54">
        <v>23</v>
      </c>
      <c r="F286" s="46">
        <v>61.64</v>
      </c>
      <c r="G286" s="46">
        <v>268</v>
      </c>
      <c r="H286" s="46">
        <v>24.09</v>
      </c>
      <c r="I286" s="46">
        <v>574.5</v>
      </c>
      <c r="J286" s="54">
        <f t="shared" si="7"/>
        <v>4.1932114882506522</v>
      </c>
    </row>
    <row r="287" spans="1:10" x14ac:dyDescent="0.3">
      <c r="A287" s="45">
        <v>70902</v>
      </c>
      <c r="B287" s="45" t="s">
        <v>85</v>
      </c>
      <c r="C287" s="45" t="s">
        <v>418</v>
      </c>
      <c r="D287" s="45" t="s">
        <v>160</v>
      </c>
      <c r="E287" s="54">
        <v>0.8</v>
      </c>
      <c r="F287" s="46">
        <v>1.5760000000000003</v>
      </c>
      <c r="G287" s="46">
        <v>197</v>
      </c>
      <c r="H287" s="46">
        <v>7.58</v>
      </c>
      <c r="I287" s="46">
        <v>411.66</v>
      </c>
      <c r="J287" s="54">
        <f t="shared" si="7"/>
        <v>1.8413253655929649</v>
      </c>
    </row>
    <row r="288" spans="1:10" x14ac:dyDescent="0.3">
      <c r="A288" s="45">
        <v>70903</v>
      </c>
      <c r="B288" s="45" t="s">
        <v>85</v>
      </c>
      <c r="C288" s="45" t="s">
        <v>418</v>
      </c>
      <c r="D288" s="45" t="s">
        <v>122</v>
      </c>
      <c r="E288" s="54">
        <v>0.8</v>
      </c>
      <c r="F288" s="46">
        <v>1.7760000000000002</v>
      </c>
      <c r="G288" s="46">
        <v>222</v>
      </c>
      <c r="H288" s="46">
        <v>10.81</v>
      </c>
      <c r="I288" s="46">
        <v>530.94000000000005</v>
      </c>
      <c r="J288" s="54">
        <f t="shared" si="7"/>
        <v>2.0360116020642631</v>
      </c>
    </row>
    <row r="289" spans="1:10" x14ac:dyDescent="0.3">
      <c r="A289" s="45">
        <v>70904</v>
      </c>
      <c r="B289" s="45" t="s">
        <v>85</v>
      </c>
      <c r="C289" s="45" t="s">
        <v>418</v>
      </c>
      <c r="D289" s="45" t="s">
        <v>20</v>
      </c>
      <c r="E289" s="54">
        <v>1.1000000000000001</v>
      </c>
      <c r="F289" s="46">
        <v>0.39600000000000002</v>
      </c>
      <c r="G289" s="46">
        <v>36</v>
      </c>
      <c r="H289" s="46">
        <v>1.75</v>
      </c>
      <c r="I289" s="46">
        <v>90.11</v>
      </c>
      <c r="J289" s="54">
        <f t="shared" si="7"/>
        <v>1.94207080235268</v>
      </c>
    </row>
    <row r="290" spans="1:10" x14ac:dyDescent="0.3">
      <c r="A290" s="45">
        <v>71001</v>
      </c>
      <c r="B290" s="45" t="s">
        <v>85</v>
      </c>
      <c r="C290" s="45" t="s">
        <v>419</v>
      </c>
      <c r="D290" s="45" t="s">
        <v>300</v>
      </c>
      <c r="E290" s="54">
        <v>3.4</v>
      </c>
      <c r="F290" s="46">
        <v>64.463999999999999</v>
      </c>
      <c r="G290" s="46">
        <v>1896</v>
      </c>
      <c r="H290" s="46">
        <v>178.29</v>
      </c>
      <c r="I290" s="46">
        <v>4177.78</v>
      </c>
      <c r="J290" s="54">
        <f t="shared" si="7"/>
        <v>4.2675775172460018</v>
      </c>
    </row>
    <row r="291" spans="1:10" x14ac:dyDescent="0.3">
      <c r="A291" s="45">
        <v>71002</v>
      </c>
      <c r="B291" s="45" t="s">
        <v>85</v>
      </c>
      <c r="C291" s="45" t="s">
        <v>419</v>
      </c>
      <c r="D291" s="45" t="s">
        <v>332</v>
      </c>
      <c r="E291" s="54">
        <v>0.3</v>
      </c>
      <c r="F291" s="46">
        <v>1.659</v>
      </c>
      <c r="G291" s="46">
        <v>553</v>
      </c>
      <c r="H291" s="46">
        <v>2.7</v>
      </c>
      <c r="I291" s="46">
        <v>1422.16</v>
      </c>
      <c r="J291" s="54">
        <f t="shared" si="7"/>
        <v>0.1898520560274512</v>
      </c>
    </row>
    <row r="292" spans="1:10" x14ac:dyDescent="0.3">
      <c r="A292" s="45">
        <v>71003</v>
      </c>
      <c r="B292" s="45" t="s">
        <v>85</v>
      </c>
      <c r="C292" s="45" t="s">
        <v>419</v>
      </c>
      <c r="D292" s="45" t="s">
        <v>230</v>
      </c>
      <c r="E292" s="54">
        <v>1.1000000000000001</v>
      </c>
      <c r="F292" s="46">
        <v>8.1180000000000003</v>
      </c>
      <c r="G292" s="46">
        <v>738</v>
      </c>
      <c r="H292" s="46">
        <v>12.18</v>
      </c>
      <c r="I292" s="46">
        <v>1989.21</v>
      </c>
      <c r="J292" s="54">
        <f t="shared" si="7"/>
        <v>0.61230337671739032</v>
      </c>
    </row>
    <row r="293" spans="1:10" x14ac:dyDescent="0.3">
      <c r="A293" s="45">
        <v>71004</v>
      </c>
      <c r="B293" s="45" t="s">
        <v>85</v>
      </c>
      <c r="C293" s="45" t="s">
        <v>419</v>
      </c>
      <c r="D293" s="45" t="s">
        <v>161</v>
      </c>
      <c r="E293" s="54">
        <v>0.2</v>
      </c>
      <c r="F293" s="46">
        <v>1.9280000000000002</v>
      </c>
      <c r="G293" s="46">
        <v>964</v>
      </c>
      <c r="H293" s="46">
        <v>3.41</v>
      </c>
      <c r="I293" s="46">
        <v>2758.82</v>
      </c>
      <c r="J293" s="54">
        <f t="shared" si="7"/>
        <v>0.12360356964209336</v>
      </c>
    </row>
    <row r="294" spans="1:10" x14ac:dyDescent="0.3">
      <c r="A294" s="45">
        <v>71005</v>
      </c>
      <c r="B294" s="45" t="s">
        <v>85</v>
      </c>
      <c r="C294" s="45" t="s">
        <v>419</v>
      </c>
      <c r="D294" s="45" t="s">
        <v>9</v>
      </c>
      <c r="E294" s="54">
        <v>0.2</v>
      </c>
      <c r="F294" s="46">
        <v>2.472</v>
      </c>
      <c r="G294" s="46">
        <v>1236</v>
      </c>
      <c r="H294" s="46">
        <v>7.01</v>
      </c>
      <c r="I294" s="46">
        <v>2999.94</v>
      </c>
      <c r="J294" s="54">
        <f t="shared" si="7"/>
        <v>0.23367134009346854</v>
      </c>
    </row>
    <row r="295" spans="1:10" x14ac:dyDescent="0.3">
      <c r="A295" s="45">
        <v>71101</v>
      </c>
      <c r="B295" s="45" t="s">
        <v>85</v>
      </c>
      <c r="C295" s="45" t="s">
        <v>420</v>
      </c>
      <c r="D295" s="45" t="s">
        <v>248</v>
      </c>
      <c r="E295" s="54">
        <v>19.2</v>
      </c>
      <c r="F295" s="46">
        <v>63.552</v>
      </c>
      <c r="G295" s="46">
        <v>331</v>
      </c>
      <c r="H295" s="46">
        <v>39.03</v>
      </c>
      <c r="I295" s="46">
        <v>657.82</v>
      </c>
      <c r="J295" s="54">
        <f t="shared" si="7"/>
        <v>5.933234015384147</v>
      </c>
    </row>
    <row r="296" spans="1:10" x14ac:dyDescent="0.3">
      <c r="A296" s="45">
        <v>71102</v>
      </c>
      <c r="B296" s="45" t="s">
        <v>85</v>
      </c>
      <c r="C296" s="45" t="s">
        <v>420</v>
      </c>
      <c r="D296" s="45" t="s">
        <v>75</v>
      </c>
      <c r="E296" s="54">
        <v>1.2</v>
      </c>
      <c r="F296" s="46">
        <v>2.532</v>
      </c>
      <c r="G296" s="46">
        <v>211</v>
      </c>
      <c r="H296" s="46">
        <v>17.170000000000002</v>
      </c>
      <c r="I296" s="46">
        <v>496.8</v>
      </c>
      <c r="J296" s="54">
        <f t="shared" si="7"/>
        <v>3.4561191626409018</v>
      </c>
    </row>
    <row r="297" spans="1:10" x14ac:dyDescent="0.3">
      <c r="A297" s="45">
        <v>71103</v>
      </c>
      <c r="B297" s="45" t="s">
        <v>85</v>
      </c>
      <c r="C297" s="45" t="s">
        <v>420</v>
      </c>
      <c r="D297" s="45" t="s">
        <v>44</v>
      </c>
      <c r="E297" s="54">
        <v>2.8</v>
      </c>
      <c r="F297" s="46">
        <v>2.2400000000000002</v>
      </c>
      <c r="G297" s="46">
        <v>80</v>
      </c>
      <c r="H297" s="46">
        <v>18.73</v>
      </c>
      <c r="I297" s="46">
        <v>181.39</v>
      </c>
      <c r="J297" s="54">
        <f t="shared" si="7"/>
        <v>10.325817299740891</v>
      </c>
    </row>
    <row r="298" spans="1:10" x14ac:dyDescent="0.3">
      <c r="A298" s="45">
        <v>71104</v>
      </c>
      <c r="B298" s="45" t="s">
        <v>85</v>
      </c>
      <c r="C298" s="45" t="s">
        <v>420</v>
      </c>
      <c r="D298" s="45" t="s">
        <v>285</v>
      </c>
      <c r="E298" s="54">
        <v>0.9</v>
      </c>
      <c r="F298" s="46">
        <v>23.157000000000004</v>
      </c>
      <c r="G298" s="46">
        <v>2573</v>
      </c>
      <c r="H298" s="46">
        <v>10.57</v>
      </c>
      <c r="I298" s="46">
        <v>6456.53</v>
      </c>
      <c r="J298" s="54">
        <f t="shared" si="7"/>
        <v>0.16371022824953962</v>
      </c>
    </row>
    <row r="299" spans="1:10" x14ac:dyDescent="0.3">
      <c r="A299" s="45">
        <v>71105</v>
      </c>
      <c r="B299" s="45" t="s">
        <v>85</v>
      </c>
      <c r="C299" s="45" t="s">
        <v>420</v>
      </c>
      <c r="D299" s="45" t="s">
        <v>333</v>
      </c>
      <c r="E299" s="54">
        <v>0.4</v>
      </c>
      <c r="F299" s="46">
        <v>0.41200000000000003</v>
      </c>
      <c r="G299" s="46">
        <v>103</v>
      </c>
      <c r="H299" s="46">
        <v>2.0299999999999998</v>
      </c>
      <c r="I299" s="46">
        <v>205.95</v>
      </c>
      <c r="J299" s="54">
        <f t="shared" si="7"/>
        <v>0.98567613498421935</v>
      </c>
    </row>
    <row r="300" spans="1:10" x14ac:dyDescent="0.3">
      <c r="A300" s="45">
        <v>71106</v>
      </c>
      <c r="B300" s="45" t="s">
        <v>85</v>
      </c>
      <c r="C300" s="45" t="s">
        <v>420</v>
      </c>
      <c r="D300" s="45" t="s">
        <v>239</v>
      </c>
      <c r="E300" s="54">
        <v>1.1000000000000001</v>
      </c>
      <c r="F300" s="46">
        <v>21.538</v>
      </c>
      <c r="G300" s="46">
        <v>1958</v>
      </c>
      <c r="H300" s="46">
        <v>10.81</v>
      </c>
      <c r="I300" s="46">
        <v>4678.3999999999996</v>
      </c>
      <c r="J300" s="54">
        <f t="shared" si="7"/>
        <v>0.231061901504788</v>
      </c>
    </row>
    <row r="301" spans="1:10" x14ac:dyDescent="0.3">
      <c r="A301" s="45">
        <v>71201</v>
      </c>
      <c r="B301" s="45" t="s">
        <v>85</v>
      </c>
      <c r="C301" s="45" t="s">
        <v>421</v>
      </c>
      <c r="D301" s="45" t="s">
        <v>212</v>
      </c>
      <c r="E301" s="54">
        <v>0.9</v>
      </c>
      <c r="F301" s="46">
        <v>1.494</v>
      </c>
      <c r="G301" s="46">
        <v>166</v>
      </c>
      <c r="H301" s="46">
        <v>7.96</v>
      </c>
      <c r="I301" s="46">
        <v>357.52</v>
      </c>
      <c r="J301" s="54">
        <f t="shared" si="7"/>
        <v>2.2264488699932872</v>
      </c>
    </row>
    <row r="302" spans="1:10" x14ac:dyDescent="0.3">
      <c r="A302" s="45">
        <v>71301</v>
      </c>
      <c r="B302" s="45" t="s">
        <v>85</v>
      </c>
      <c r="C302" s="45" t="s">
        <v>422</v>
      </c>
      <c r="D302" s="45" t="s">
        <v>209</v>
      </c>
      <c r="E302" s="54">
        <v>0.8</v>
      </c>
      <c r="F302" s="46">
        <v>1.76</v>
      </c>
      <c r="G302" s="46">
        <v>220</v>
      </c>
      <c r="H302" s="46">
        <v>10.52</v>
      </c>
      <c r="I302" s="46">
        <v>478.43</v>
      </c>
      <c r="J302" s="54">
        <f t="shared" si="7"/>
        <v>2.1988587672177746</v>
      </c>
    </row>
    <row r="303" spans="1:10" x14ac:dyDescent="0.3">
      <c r="A303" s="45">
        <v>71302</v>
      </c>
      <c r="B303" s="45" t="s">
        <v>85</v>
      </c>
      <c r="C303" s="45" t="s">
        <v>422</v>
      </c>
      <c r="D303" s="45" t="s">
        <v>58</v>
      </c>
      <c r="E303" s="54">
        <v>1.2</v>
      </c>
      <c r="F303" s="46">
        <v>1.1159999999999999</v>
      </c>
      <c r="G303" s="46">
        <v>93</v>
      </c>
      <c r="H303" s="46">
        <v>5.54</v>
      </c>
      <c r="I303" s="46">
        <v>224.55</v>
      </c>
      <c r="J303" s="54">
        <f t="shared" si="7"/>
        <v>2.467156535292808</v>
      </c>
    </row>
    <row r="304" spans="1:10" x14ac:dyDescent="0.3">
      <c r="A304" s="45">
        <v>71401</v>
      </c>
      <c r="B304" s="45" t="s">
        <v>85</v>
      </c>
      <c r="C304" s="45" t="s">
        <v>423</v>
      </c>
      <c r="D304" s="45" t="s">
        <v>206</v>
      </c>
      <c r="E304" s="54">
        <v>6</v>
      </c>
      <c r="F304" s="46">
        <v>28.32</v>
      </c>
      <c r="G304" s="46">
        <v>472</v>
      </c>
      <c r="H304" s="46">
        <v>32.83</v>
      </c>
      <c r="I304" s="46">
        <v>1237.47</v>
      </c>
      <c r="J304" s="54">
        <f t="shared" si="7"/>
        <v>2.6529936079258487</v>
      </c>
    </row>
    <row r="305" spans="1:10" x14ac:dyDescent="0.3">
      <c r="A305" s="45">
        <v>71402</v>
      </c>
      <c r="B305" s="45" t="s">
        <v>85</v>
      </c>
      <c r="C305" s="45" t="s">
        <v>423</v>
      </c>
      <c r="D305" s="45" t="s">
        <v>165</v>
      </c>
      <c r="E305" s="54">
        <v>3.4</v>
      </c>
      <c r="F305" s="46">
        <v>5.5419999999999989</v>
      </c>
      <c r="G305" s="46">
        <v>163</v>
      </c>
      <c r="H305" s="46">
        <v>40.64</v>
      </c>
      <c r="I305" s="46">
        <v>345.53</v>
      </c>
      <c r="J305" s="54">
        <f t="shared" si="7"/>
        <v>11.761641536190782</v>
      </c>
    </row>
    <row r="306" spans="1:10" x14ac:dyDescent="0.3">
      <c r="A306" s="45">
        <v>71403</v>
      </c>
      <c r="B306" s="45" t="s">
        <v>85</v>
      </c>
      <c r="C306" s="45" t="s">
        <v>423</v>
      </c>
      <c r="D306" s="45" t="s">
        <v>334</v>
      </c>
      <c r="E306" s="54">
        <v>1.6</v>
      </c>
      <c r="F306" s="46">
        <v>1.2160000000000002</v>
      </c>
      <c r="G306" s="46">
        <v>76</v>
      </c>
      <c r="H306" s="46">
        <v>10.43</v>
      </c>
      <c r="I306" s="46">
        <v>148.77000000000001</v>
      </c>
      <c r="J306" s="54">
        <f t="shared" si="7"/>
        <v>7.0108220743429444</v>
      </c>
    </row>
    <row r="307" spans="1:10" x14ac:dyDescent="0.3">
      <c r="A307" s="45">
        <v>71501</v>
      </c>
      <c r="B307" s="45" t="s">
        <v>85</v>
      </c>
      <c r="C307" s="45" t="s">
        <v>424</v>
      </c>
      <c r="D307" s="45" t="s">
        <v>335</v>
      </c>
      <c r="E307" s="54">
        <v>4.3</v>
      </c>
      <c r="F307" s="46">
        <v>19.823</v>
      </c>
      <c r="G307" s="46">
        <v>461</v>
      </c>
      <c r="H307" s="46">
        <v>33.58</v>
      </c>
      <c r="I307" s="46">
        <v>1059</v>
      </c>
      <c r="J307" s="54">
        <f t="shared" si="7"/>
        <v>3.1709159584513689</v>
      </c>
    </row>
    <row r="308" spans="1:10" x14ac:dyDescent="0.3">
      <c r="A308" s="45">
        <v>71502</v>
      </c>
      <c r="B308" s="45" t="s">
        <v>85</v>
      </c>
      <c r="C308" s="45" t="s">
        <v>424</v>
      </c>
      <c r="D308" s="45" t="s">
        <v>77</v>
      </c>
      <c r="E308" s="54">
        <v>0.9</v>
      </c>
      <c r="F308" s="46">
        <v>0.63900000000000001</v>
      </c>
      <c r="G308" s="46">
        <v>71</v>
      </c>
      <c r="H308" s="46">
        <v>4.45</v>
      </c>
      <c r="I308" s="46">
        <v>155.34</v>
      </c>
      <c r="J308" s="54">
        <f t="shared" si="7"/>
        <v>2.8646839191451012</v>
      </c>
    </row>
    <row r="309" spans="1:10" x14ac:dyDescent="0.3">
      <c r="A309" s="45">
        <v>71503</v>
      </c>
      <c r="B309" s="45" t="s">
        <v>85</v>
      </c>
      <c r="C309" s="45" t="s">
        <v>424</v>
      </c>
      <c r="D309" s="45" t="s">
        <v>88</v>
      </c>
      <c r="E309" s="54">
        <v>0.2</v>
      </c>
      <c r="F309" s="46">
        <v>1.0640000000000001</v>
      </c>
      <c r="G309" s="46">
        <v>532</v>
      </c>
      <c r="H309" s="46">
        <v>4.17</v>
      </c>
      <c r="I309" s="46">
        <v>1237.75</v>
      </c>
      <c r="J309" s="54">
        <f t="shared" si="7"/>
        <v>0.33690163603312462</v>
      </c>
    </row>
    <row r="310" spans="1:10" x14ac:dyDescent="0.3">
      <c r="A310" s="45">
        <v>80101</v>
      </c>
      <c r="B310" s="45" t="s">
        <v>92</v>
      </c>
      <c r="C310" s="45" t="s">
        <v>367</v>
      </c>
      <c r="D310" s="45" t="s">
        <v>301</v>
      </c>
      <c r="E310" s="54">
        <v>4.3</v>
      </c>
      <c r="F310" s="46">
        <v>69.057999999999993</v>
      </c>
      <c r="G310" s="46">
        <v>1606</v>
      </c>
      <c r="H310" s="46">
        <v>127.02</v>
      </c>
      <c r="I310" s="46">
        <v>3215.37</v>
      </c>
      <c r="J310" s="54">
        <f t="shared" si="7"/>
        <v>3.9504007314865786</v>
      </c>
    </row>
    <row r="311" spans="1:10" x14ac:dyDescent="0.3">
      <c r="A311" s="45">
        <v>80102</v>
      </c>
      <c r="B311" s="45" t="s">
        <v>92</v>
      </c>
      <c r="C311" s="45" t="s">
        <v>367</v>
      </c>
      <c r="D311" s="45" t="s">
        <v>75</v>
      </c>
      <c r="E311" s="54">
        <v>0.3</v>
      </c>
      <c r="F311" s="46">
        <v>0.42299999999999999</v>
      </c>
      <c r="G311" s="46">
        <v>141</v>
      </c>
      <c r="H311" s="46">
        <v>1.84</v>
      </c>
      <c r="I311" s="46">
        <v>325.60000000000002</v>
      </c>
      <c r="J311" s="54">
        <f t="shared" si="7"/>
        <v>0.56511056511056512</v>
      </c>
    </row>
    <row r="312" spans="1:10" x14ac:dyDescent="0.3">
      <c r="A312" s="45">
        <v>80201</v>
      </c>
      <c r="B312" s="45" t="s">
        <v>92</v>
      </c>
      <c r="C312" s="45" t="s">
        <v>425</v>
      </c>
      <c r="D312" s="45" t="s">
        <v>296</v>
      </c>
      <c r="E312" s="54">
        <v>2.9</v>
      </c>
      <c r="F312" s="46">
        <v>34.945</v>
      </c>
      <c r="G312" s="46">
        <v>1205</v>
      </c>
      <c r="H312" s="46">
        <v>112.55</v>
      </c>
      <c r="I312" s="46">
        <v>3135.69</v>
      </c>
      <c r="J312" s="54">
        <f t="shared" si="7"/>
        <v>3.5893216485047943</v>
      </c>
    </row>
    <row r="313" spans="1:10" x14ac:dyDescent="0.3">
      <c r="A313" s="45">
        <v>80202</v>
      </c>
      <c r="B313" s="45" t="s">
        <v>92</v>
      </c>
      <c r="C313" s="45" t="s">
        <v>425</v>
      </c>
      <c r="D313" s="45" t="s">
        <v>287</v>
      </c>
      <c r="E313" s="54">
        <v>4.5999999999999996</v>
      </c>
      <c r="F313" s="46">
        <v>26.403999999999996</v>
      </c>
      <c r="G313" s="46">
        <v>574</v>
      </c>
      <c r="H313" s="46">
        <v>65.88</v>
      </c>
      <c r="I313" s="46">
        <v>2084.94</v>
      </c>
      <c r="J313" s="54">
        <f t="shared" si="7"/>
        <v>3.1598031598031593</v>
      </c>
    </row>
    <row r="314" spans="1:10" x14ac:dyDescent="0.3">
      <c r="A314" s="45">
        <v>80301</v>
      </c>
      <c r="B314" s="45" t="s">
        <v>92</v>
      </c>
      <c r="C314" s="45" t="s">
        <v>426</v>
      </c>
      <c r="D314" s="45" t="s">
        <v>216</v>
      </c>
      <c r="E314" s="54">
        <v>0.9</v>
      </c>
      <c r="F314" s="46">
        <v>1.6470000000000002</v>
      </c>
      <c r="G314" s="46">
        <v>183</v>
      </c>
      <c r="H314" s="46">
        <v>7.68</v>
      </c>
      <c r="I314" s="46">
        <v>432.97</v>
      </c>
      <c r="J314" s="54">
        <f t="shared" si="7"/>
        <v>1.7737949511513498</v>
      </c>
    </row>
    <row r="315" spans="1:10" x14ac:dyDescent="0.3">
      <c r="A315" s="45">
        <v>80302</v>
      </c>
      <c r="B315" s="45" t="s">
        <v>92</v>
      </c>
      <c r="C315" s="45" t="s">
        <v>426</v>
      </c>
      <c r="D315" s="45" t="s">
        <v>276</v>
      </c>
      <c r="E315" s="54">
        <v>3.8</v>
      </c>
      <c r="F315" s="46">
        <v>19.95</v>
      </c>
      <c r="G315" s="46">
        <v>525</v>
      </c>
      <c r="H315" s="46">
        <v>29.26</v>
      </c>
      <c r="I315" s="46">
        <v>1177.8900000000001</v>
      </c>
      <c r="J315" s="54">
        <f t="shared" si="7"/>
        <v>2.4841029298151778</v>
      </c>
    </row>
    <row r="316" spans="1:10" x14ac:dyDescent="0.3">
      <c r="A316" s="45">
        <v>80303</v>
      </c>
      <c r="B316" s="45" t="s">
        <v>92</v>
      </c>
      <c r="C316" s="45" t="s">
        <v>426</v>
      </c>
      <c r="D316" s="45" t="s">
        <v>35</v>
      </c>
      <c r="E316" s="54">
        <v>1.1000000000000001</v>
      </c>
      <c r="F316" s="46">
        <v>1.639</v>
      </c>
      <c r="G316" s="46">
        <v>149</v>
      </c>
      <c r="H316" s="46">
        <v>6.59</v>
      </c>
      <c r="I316" s="46">
        <v>366.58</v>
      </c>
      <c r="J316" s="54">
        <f t="shared" si="7"/>
        <v>1.7976976376234384</v>
      </c>
    </row>
    <row r="317" spans="1:10" x14ac:dyDescent="0.3">
      <c r="A317" s="45">
        <v>80304</v>
      </c>
      <c r="B317" s="45" t="s">
        <v>92</v>
      </c>
      <c r="C317" s="45" t="s">
        <v>426</v>
      </c>
      <c r="D317" s="45" t="s">
        <v>246</v>
      </c>
      <c r="E317" s="56">
        <v>24.7</v>
      </c>
      <c r="F317" s="46">
        <v>82.745000000000005</v>
      </c>
      <c r="G317" s="55">
        <v>335</v>
      </c>
      <c r="H317" s="47">
        <v>42.07</v>
      </c>
      <c r="I317" s="46">
        <v>623.24</v>
      </c>
      <c r="J317" s="54">
        <f t="shared" si="7"/>
        <v>6.7502085873820672</v>
      </c>
    </row>
    <row r="318" spans="1:10" x14ac:dyDescent="0.3">
      <c r="A318" s="45">
        <v>80401</v>
      </c>
      <c r="B318" s="45" t="s">
        <v>92</v>
      </c>
      <c r="C318" s="45" t="s">
        <v>427</v>
      </c>
      <c r="D318" s="45" t="s">
        <v>204</v>
      </c>
      <c r="E318" s="54">
        <v>2.4</v>
      </c>
      <c r="F318" s="46">
        <v>7.0079999999999991</v>
      </c>
      <c r="G318" s="46">
        <v>292</v>
      </c>
      <c r="H318" s="46">
        <v>18.73</v>
      </c>
      <c r="I318" s="46">
        <v>729.05</v>
      </c>
      <c r="J318" s="54">
        <f t="shared" si="7"/>
        <v>2.5690967697688776</v>
      </c>
    </row>
    <row r="319" spans="1:10" x14ac:dyDescent="0.3">
      <c r="A319" s="45">
        <v>80402</v>
      </c>
      <c r="B319" s="45" t="s">
        <v>92</v>
      </c>
      <c r="C319" s="45" t="s">
        <v>427</v>
      </c>
      <c r="D319" s="45" t="s">
        <v>98</v>
      </c>
      <c r="E319" s="54">
        <v>0.7</v>
      </c>
      <c r="F319" s="46">
        <v>0.71399999999999997</v>
      </c>
      <c r="G319" s="46">
        <v>102</v>
      </c>
      <c r="H319" s="46">
        <v>4.26</v>
      </c>
      <c r="I319" s="46">
        <v>267.36</v>
      </c>
      <c r="J319" s="54">
        <f t="shared" si="7"/>
        <v>1.5933572710951522</v>
      </c>
    </row>
    <row r="320" spans="1:10" x14ac:dyDescent="0.3">
      <c r="A320" s="45">
        <v>80501</v>
      </c>
      <c r="B320" s="45" t="s">
        <v>92</v>
      </c>
      <c r="C320" s="45" t="s">
        <v>428</v>
      </c>
      <c r="D320" s="45" t="s">
        <v>262</v>
      </c>
      <c r="E320" s="54">
        <v>2.2999999999999998</v>
      </c>
      <c r="F320" s="46">
        <v>7.3369999999999997</v>
      </c>
      <c r="G320" s="46">
        <v>319</v>
      </c>
      <c r="H320" s="46">
        <v>16.55</v>
      </c>
      <c r="I320" s="46">
        <v>652.25</v>
      </c>
      <c r="J320" s="54">
        <f t="shared" si="7"/>
        <v>2.5373706400919893</v>
      </c>
    </row>
    <row r="321" spans="1:10" x14ac:dyDescent="0.3">
      <c r="A321" s="45">
        <v>80601</v>
      </c>
      <c r="B321" s="45" t="s">
        <v>92</v>
      </c>
      <c r="C321" s="45" t="s">
        <v>429</v>
      </c>
      <c r="D321" s="45" t="s">
        <v>83</v>
      </c>
      <c r="E321" s="54">
        <v>0.3</v>
      </c>
      <c r="F321" s="46">
        <v>0.23399999999999999</v>
      </c>
      <c r="G321" s="46">
        <v>78</v>
      </c>
      <c r="H321" s="46">
        <v>1.23</v>
      </c>
      <c r="I321" s="46">
        <v>171.35</v>
      </c>
      <c r="J321" s="54">
        <f t="shared" si="7"/>
        <v>0.71782900496060698</v>
      </c>
    </row>
    <row r="322" spans="1:10" x14ac:dyDescent="0.3">
      <c r="A322" s="45">
        <v>80602</v>
      </c>
      <c r="B322" s="45" t="s">
        <v>92</v>
      </c>
      <c r="C322" s="45" t="s">
        <v>429</v>
      </c>
      <c r="D322" s="45" t="s">
        <v>214</v>
      </c>
      <c r="E322" s="54">
        <v>0.4</v>
      </c>
      <c r="F322" s="46">
        <v>1.1200000000000001</v>
      </c>
      <c r="G322" s="46">
        <v>280</v>
      </c>
      <c r="H322" s="46">
        <v>4.6399999999999997</v>
      </c>
      <c r="I322" s="46">
        <v>640.98</v>
      </c>
      <c r="J322" s="54">
        <f t="shared" si="7"/>
        <v>0.72389154107772469</v>
      </c>
    </row>
    <row r="323" spans="1:10" x14ac:dyDescent="0.3">
      <c r="A323" s="45">
        <v>80701</v>
      </c>
      <c r="B323" s="45" t="s">
        <v>92</v>
      </c>
      <c r="C323" s="45" t="s">
        <v>430</v>
      </c>
      <c r="D323" s="45" t="s">
        <v>64</v>
      </c>
      <c r="E323" s="54">
        <v>1.1000000000000001</v>
      </c>
      <c r="F323" s="46">
        <v>1.0780000000000001</v>
      </c>
      <c r="G323" s="46">
        <v>98</v>
      </c>
      <c r="H323" s="46">
        <v>4.83</v>
      </c>
      <c r="I323" s="46">
        <v>237.33</v>
      </c>
      <c r="J323" s="54">
        <f t="shared" ref="J323:J343" si="8">(H323/I323)*100</f>
        <v>2.0351409429907723</v>
      </c>
    </row>
    <row r="324" spans="1:10" x14ac:dyDescent="0.3">
      <c r="A324" s="45">
        <v>80702</v>
      </c>
      <c r="B324" s="45" t="s">
        <v>92</v>
      </c>
      <c r="C324" s="45" t="s">
        <v>430</v>
      </c>
      <c r="D324" s="45" t="s">
        <v>44</v>
      </c>
      <c r="E324" s="54">
        <v>0.8</v>
      </c>
      <c r="F324" s="46">
        <v>1.024</v>
      </c>
      <c r="G324" s="46">
        <v>128</v>
      </c>
      <c r="H324" s="46">
        <v>3.08</v>
      </c>
      <c r="I324" s="46">
        <v>333.72</v>
      </c>
      <c r="J324" s="54">
        <f t="shared" si="8"/>
        <v>0.92292940189380301</v>
      </c>
    </row>
    <row r="325" spans="1:10" x14ac:dyDescent="0.3">
      <c r="A325" s="45">
        <v>80703</v>
      </c>
      <c r="B325" s="45" t="s">
        <v>92</v>
      </c>
      <c r="C325" s="45" t="s">
        <v>430</v>
      </c>
      <c r="D325" s="45" t="s">
        <v>2</v>
      </c>
      <c r="E325" s="54">
        <v>0.1</v>
      </c>
      <c r="F325" s="46">
        <v>0.02</v>
      </c>
      <c r="G325" s="46">
        <v>20</v>
      </c>
      <c r="H325" s="46">
        <v>0.09</v>
      </c>
      <c r="I325" s="46">
        <v>46.13</v>
      </c>
      <c r="J325" s="54">
        <f t="shared" si="8"/>
        <v>0.19510080208107519</v>
      </c>
    </row>
    <row r="326" spans="1:10" x14ac:dyDescent="0.3">
      <c r="A326" s="45">
        <v>80801</v>
      </c>
      <c r="B326" s="45" t="s">
        <v>92</v>
      </c>
      <c r="C326" s="45" t="s">
        <v>431</v>
      </c>
      <c r="D326" s="45" t="s">
        <v>142</v>
      </c>
      <c r="E326" s="54">
        <v>1.1000000000000001</v>
      </c>
      <c r="F326" s="46">
        <v>1.694</v>
      </c>
      <c r="G326" s="46">
        <v>154</v>
      </c>
      <c r="H326" s="46">
        <v>10.43</v>
      </c>
      <c r="I326" s="46">
        <v>330.34</v>
      </c>
      <c r="J326" s="54">
        <f t="shared" si="8"/>
        <v>3.1573530302112975</v>
      </c>
    </row>
    <row r="327" spans="1:10" x14ac:dyDescent="0.3">
      <c r="A327" s="45">
        <v>80802</v>
      </c>
      <c r="B327" s="45" t="s">
        <v>92</v>
      </c>
      <c r="C327" s="45" t="s">
        <v>431</v>
      </c>
      <c r="D327" s="45" t="s">
        <v>118</v>
      </c>
      <c r="E327" s="54">
        <v>0.6</v>
      </c>
      <c r="F327" s="46">
        <v>0.73199999999999998</v>
      </c>
      <c r="G327" s="46">
        <v>122</v>
      </c>
      <c r="H327" s="46">
        <v>3.79</v>
      </c>
      <c r="I327" s="46">
        <v>478.22</v>
      </c>
      <c r="J327" s="54">
        <f t="shared" si="8"/>
        <v>0.79252227008489806</v>
      </c>
    </row>
    <row r="328" spans="1:10" x14ac:dyDescent="0.3">
      <c r="A328" s="45">
        <v>80803</v>
      </c>
      <c r="B328" s="45" t="s">
        <v>92</v>
      </c>
      <c r="C328" s="45" t="s">
        <v>431</v>
      </c>
      <c r="D328" s="45" t="s">
        <v>17</v>
      </c>
      <c r="E328" s="54">
        <v>0.4</v>
      </c>
      <c r="F328" s="46">
        <v>0.308</v>
      </c>
      <c r="G328" s="46">
        <v>77</v>
      </c>
      <c r="H328" s="46">
        <v>1.42</v>
      </c>
      <c r="I328" s="46">
        <v>201.54</v>
      </c>
      <c r="J328" s="54">
        <f t="shared" si="8"/>
        <v>0.70457477423836457</v>
      </c>
    </row>
    <row r="329" spans="1:10" x14ac:dyDescent="0.3">
      <c r="A329" s="45">
        <v>80901</v>
      </c>
      <c r="B329" s="45" t="s">
        <v>92</v>
      </c>
      <c r="C329" s="45"/>
      <c r="D329" s="45" t="s">
        <v>432</v>
      </c>
      <c r="E329" s="54"/>
      <c r="F329" s="46"/>
      <c r="G329" s="46"/>
      <c r="H329" s="46"/>
      <c r="I329" s="46" t="s">
        <v>502</v>
      </c>
      <c r="J329" s="54"/>
    </row>
    <row r="330" spans="1:10" x14ac:dyDescent="0.3">
      <c r="A330" s="45">
        <v>90101</v>
      </c>
      <c r="B330" s="45" t="s">
        <v>102</v>
      </c>
      <c r="C330" s="45" t="s">
        <v>433</v>
      </c>
      <c r="D330" s="45" t="s">
        <v>281</v>
      </c>
      <c r="E330" s="54">
        <v>3.6</v>
      </c>
      <c r="F330" s="46">
        <v>27.972000000000001</v>
      </c>
      <c r="G330" s="46">
        <v>777</v>
      </c>
      <c r="H330" s="46">
        <v>79.349999999999994</v>
      </c>
      <c r="I330" s="46">
        <v>1421.1</v>
      </c>
      <c r="J330" s="54">
        <f t="shared" si="8"/>
        <v>5.5837027654633733</v>
      </c>
    </row>
    <row r="331" spans="1:10" x14ac:dyDescent="0.3">
      <c r="A331" s="45">
        <v>90102</v>
      </c>
      <c r="B331" s="45" t="s">
        <v>102</v>
      </c>
      <c r="C331" s="45" t="s">
        <v>433</v>
      </c>
      <c r="D331" s="45" t="s">
        <v>115</v>
      </c>
      <c r="E331" s="54">
        <v>1.5</v>
      </c>
      <c r="F331" s="46">
        <v>1.8149999999999999</v>
      </c>
      <c r="G331" s="46">
        <v>121</v>
      </c>
      <c r="H331" s="46">
        <v>16.260000000000002</v>
      </c>
      <c r="I331" s="46">
        <v>248.3</v>
      </c>
      <c r="J331" s="54">
        <f t="shared" si="8"/>
        <v>6.5485300040273859</v>
      </c>
    </row>
    <row r="332" spans="1:10" x14ac:dyDescent="0.3">
      <c r="A332" s="45">
        <v>90103</v>
      </c>
      <c r="B332" s="45" t="s">
        <v>102</v>
      </c>
      <c r="C332" s="45" t="s">
        <v>433</v>
      </c>
      <c r="D332" s="45" t="s">
        <v>4</v>
      </c>
      <c r="E332" s="54">
        <v>0.1</v>
      </c>
      <c r="F332" s="46">
        <v>8.2000000000000017E-2</v>
      </c>
      <c r="G332" s="46">
        <v>82</v>
      </c>
      <c r="H332" s="46">
        <v>0.56000000000000005</v>
      </c>
      <c r="I332" s="46">
        <v>178.59</v>
      </c>
      <c r="J332" s="54">
        <f t="shared" si="8"/>
        <v>0.3135673889915449</v>
      </c>
    </row>
    <row r="333" spans="1:10" x14ac:dyDescent="0.3">
      <c r="A333" s="45">
        <v>90104</v>
      </c>
      <c r="B333" s="45" t="s">
        <v>102</v>
      </c>
      <c r="C333" s="45" t="s">
        <v>433</v>
      </c>
      <c r="D333" s="45" t="s">
        <v>81</v>
      </c>
      <c r="E333" s="54">
        <v>0.4</v>
      </c>
      <c r="F333" s="46">
        <v>0.38400000000000006</v>
      </c>
      <c r="G333" s="46">
        <v>96</v>
      </c>
      <c r="H333" s="46">
        <v>3.79</v>
      </c>
      <c r="I333" s="46">
        <v>196.27</v>
      </c>
      <c r="J333" s="54">
        <f t="shared" si="8"/>
        <v>1.9310133999082897</v>
      </c>
    </row>
    <row r="334" spans="1:10" x14ac:dyDescent="0.3">
      <c r="A334" s="45">
        <v>90201</v>
      </c>
      <c r="B334" s="45" t="s">
        <v>102</v>
      </c>
      <c r="C334" s="45" t="s">
        <v>434</v>
      </c>
      <c r="D334" s="45" t="s">
        <v>131</v>
      </c>
      <c r="E334" s="54">
        <v>1.2</v>
      </c>
      <c r="F334" s="46">
        <v>1.1399999999999999</v>
      </c>
      <c r="G334" s="46">
        <v>95</v>
      </c>
      <c r="H334" s="46">
        <v>10.43</v>
      </c>
      <c r="I334" s="46">
        <v>207.73</v>
      </c>
      <c r="J334" s="54">
        <f t="shared" si="8"/>
        <v>5.0209406441053286</v>
      </c>
    </row>
    <row r="335" spans="1:10" x14ac:dyDescent="0.3">
      <c r="A335" s="45">
        <v>90202</v>
      </c>
      <c r="B335" s="45" t="s">
        <v>102</v>
      </c>
      <c r="C335" s="45" t="s">
        <v>434</v>
      </c>
      <c r="D335" s="45" t="s">
        <v>9</v>
      </c>
      <c r="E335" s="54">
        <v>0.3</v>
      </c>
      <c r="F335" s="46">
        <v>0.10199999999999999</v>
      </c>
      <c r="G335" s="46">
        <v>34</v>
      </c>
      <c r="H335" s="46">
        <v>1.32</v>
      </c>
      <c r="I335" s="46">
        <v>94.36</v>
      </c>
      <c r="J335" s="54">
        <f t="shared" si="8"/>
        <v>1.3988978380669777</v>
      </c>
    </row>
    <row r="336" spans="1:10" x14ac:dyDescent="0.3">
      <c r="A336" s="45">
        <v>90203</v>
      </c>
      <c r="B336" s="45" t="s">
        <v>102</v>
      </c>
      <c r="C336" s="45" t="s">
        <v>434</v>
      </c>
      <c r="D336" s="45" t="s">
        <v>37</v>
      </c>
      <c r="E336" s="54">
        <v>0.2</v>
      </c>
      <c r="F336" s="46">
        <v>0.29799999999999999</v>
      </c>
      <c r="G336" s="46">
        <v>149</v>
      </c>
      <c r="H336" s="46">
        <v>2.7</v>
      </c>
      <c r="I336" s="46">
        <v>296.17</v>
      </c>
      <c r="J336" s="54">
        <f t="shared" si="8"/>
        <v>0.91163858594725999</v>
      </c>
    </row>
    <row r="337" spans="1:12" x14ac:dyDescent="0.3">
      <c r="A337" s="45">
        <v>90301</v>
      </c>
      <c r="B337" s="45" t="s">
        <v>102</v>
      </c>
      <c r="C337" s="45" t="s">
        <v>435</v>
      </c>
      <c r="D337" s="45" t="s">
        <v>336</v>
      </c>
      <c r="E337" s="54">
        <v>0.6</v>
      </c>
      <c r="F337" s="46">
        <v>0.53400000000000003</v>
      </c>
      <c r="G337" s="46">
        <v>89</v>
      </c>
      <c r="H337" s="46">
        <v>7.49</v>
      </c>
      <c r="I337" s="46">
        <v>206.55</v>
      </c>
      <c r="J337" s="54">
        <f t="shared" si="8"/>
        <v>3.6262406197046717</v>
      </c>
    </row>
    <row r="338" spans="1:12" x14ac:dyDescent="0.3">
      <c r="A338" s="45">
        <v>90302</v>
      </c>
      <c r="B338" s="45" t="s">
        <v>102</v>
      </c>
      <c r="C338" s="45" t="s">
        <v>435</v>
      </c>
      <c r="D338" s="45" t="s">
        <v>59</v>
      </c>
      <c r="E338" s="54">
        <v>0.6</v>
      </c>
      <c r="F338" s="46">
        <v>0.68399999999999994</v>
      </c>
      <c r="G338" s="46">
        <v>114</v>
      </c>
      <c r="H338" s="46">
        <v>4.07</v>
      </c>
      <c r="I338" s="46">
        <v>243.96</v>
      </c>
      <c r="J338" s="54">
        <f t="shared" si="8"/>
        <v>1.6683062797179866</v>
      </c>
    </row>
    <row r="339" spans="1:12" x14ac:dyDescent="0.3">
      <c r="A339" s="45">
        <v>90303</v>
      </c>
      <c r="B339" s="45" t="s">
        <v>102</v>
      </c>
      <c r="C339" s="45" t="s">
        <v>435</v>
      </c>
      <c r="D339" s="45" t="s">
        <v>337</v>
      </c>
      <c r="E339" s="54">
        <v>0.9</v>
      </c>
      <c r="F339" s="46">
        <v>0.79200000000000004</v>
      </c>
      <c r="G339" s="46">
        <v>88</v>
      </c>
      <c r="H339" s="46">
        <v>12.85</v>
      </c>
      <c r="I339" s="46">
        <v>198.96</v>
      </c>
      <c r="J339" s="54">
        <f t="shared" si="8"/>
        <v>6.4585846401286684</v>
      </c>
    </row>
    <row r="340" spans="1:12" x14ac:dyDescent="0.3">
      <c r="A340" s="45">
        <v>90401</v>
      </c>
      <c r="B340" s="45" t="s">
        <v>102</v>
      </c>
      <c r="C340" s="45" t="s">
        <v>436</v>
      </c>
      <c r="D340" s="45" t="s">
        <v>437</v>
      </c>
      <c r="E340" s="54">
        <v>0.4</v>
      </c>
      <c r="F340" s="46">
        <v>0.20800000000000002</v>
      </c>
      <c r="G340" s="46">
        <v>52</v>
      </c>
      <c r="H340" s="46">
        <v>2.2200000000000002</v>
      </c>
      <c r="I340" s="46">
        <v>103.76</v>
      </c>
      <c r="J340" s="54">
        <f t="shared" si="8"/>
        <v>2.1395528141865845</v>
      </c>
    </row>
    <row r="341" spans="1:12" x14ac:dyDescent="0.3">
      <c r="A341" s="45">
        <v>90402</v>
      </c>
      <c r="B341" s="45" t="s">
        <v>102</v>
      </c>
      <c r="C341" s="45" t="s">
        <v>436</v>
      </c>
      <c r="D341" s="45" t="s">
        <v>14</v>
      </c>
      <c r="E341" s="54">
        <v>0.4</v>
      </c>
      <c r="F341" s="46">
        <v>0.08</v>
      </c>
      <c r="G341" s="46">
        <v>20</v>
      </c>
      <c r="H341" s="46">
        <v>0.85</v>
      </c>
      <c r="I341" s="46">
        <v>37.04</v>
      </c>
      <c r="J341" s="54">
        <f t="shared" si="8"/>
        <v>2.2948164146868248</v>
      </c>
    </row>
    <row r="342" spans="1:12" x14ac:dyDescent="0.3">
      <c r="A342" s="45">
        <v>90501</v>
      </c>
      <c r="B342" s="45" t="s">
        <v>102</v>
      </c>
      <c r="C342" s="45" t="s">
        <v>438</v>
      </c>
      <c r="D342" s="45" t="s">
        <v>26</v>
      </c>
      <c r="E342" s="54">
        <v>0.6</v>
      </c>
      <c r="F342" s="46">
        <v>0.23399999999999999</v>
      </c>
      <c r="G342" s="46">
        <v>39</v>
      </c>
      <c r="H342" s="46">
        <v>3.03</v>
      </c>
      <c r="I342" s="46">
        <v>127.34</v>
      </c>
      <c r="J342" s="54">
        <f t="shared" si="8"/>
        <v>2.3794565729542954</v>
      </c>
    </row>
    <row r="343" spans="1:12" x14ac:dyDescent="0.3">
      <c r="A343" s="45">
        <v>90502</v>
      </c>
      <c r="B343" s="45" t="s">
        <v>102</v>
      </c>
      <c r="C343" s="45" t="s">
        <v>438</v>
      </c>
      <c r="D343" s="45" t="s">
        <v>439</v>
      </c>
      <c r="E343" s="54">
        <v>0.5</v>
      </c>
      <c r="F343" s="46">
        <v>0.26</v>
      </c>
      <c r="G343" s="46">
        <v>52</v>
      </c>
      <c r="H343" s="46">
        <v>2.3199999999999998</v>
      </c>
      <c r="I343" s="46">
        <v>90.25</v>
      </c>
      <c r="J343" s="54">
        <f t="shared" si="8"/>
        <v>2.5706371191135733</v>
      </c>
    </row>
    <row r="344" spans="1:12" x14ac:dyDescent="0.3">
      <c r="A344" s="45">
        <v>90503</v>
      </c>
      <c r="B344" s="45" t="s">
        <v>102</v>
      </c>
      <c r="C344" s="45" t="s">
        <v>438</v>
      </c>
      <c r="D344" s="45" t="s">
        <v>24</v>
      </c>
      <c r="E344" s="54">
        <v>0.2</v>
      </c>
      <c r="F344" s="46">
        <v>7.6000000000000012E-2</v>
      </c>
      <c r="G344" s="46">
        <v>38</v>
      </c>
      <c r="H344" s="46">
        <v>0.75</v>
      </c>
      <c r="I344" s="46">
        <v>75.45</v>
      </c>
      <c r="J344" s="54">
        <f>(H344/I344)*100</f>
        <v>0.99403578528827041</v>
      </c>
    </row>
    <row r="345" spans="1:12" x14ac:dyDescent="0.3">
      <c r="D345" s="53" t="s">
        <v>408</v>
      </c>
      <c r="E345" s="54">
        <f>(F345/G345)*100</f>
        <v>1.1794004207573632</v>
      </c>
      <c r="F345" s="54">
        <f t="shared" ref="F345" si="9">SUM(F246:F248)</f>
        <v>67.272999999999996</v>
      </c>
      <c r="G345" s="54">
        <f>SUM(G246:G248)</f>
        <v>5704</v>
      </c>
      <c r="H345" s="46">
        <f>SUM(H246:H248)</f>
        <v>257.87</v>
      </c>
      <c r="I345" s="54">
        <f>SUM(I246:I248)</f>
        <v>10931.119999999999</v>
      </c>
      <c r="J345" s="54">
        <f>(H345/I345)*100</f>
        <v>2.3590446358653097</v>
      </c>
    </row>
    <row r="348" spans="1:12" x14ac:dyDescent="0.3">
      <c r="D348" s="43">
        <v>2016</v>
      </c>
      <c r="G348" s="44"/>
      <c r="H348" s="44"/>
      <c r="J348" s="44"/>
      <c r="K348" s="44"/>
    </row>
    <row r="349" spans="1:12" x14ac:dyDescent="0.3">
      <c r="D349" s="43" t="s">
        <v>496</v>
      </c>
      <c r="E349" s="44">
        <f>AVERAGE(E1:E345)</f>
        <v>2.6231747071198752</v>
      </c>
      <c r="G349" s="44">
        <f>E349+E350</f>
        <v>9.5932128816549689</v>
      </c>
      <c r="H349" s="44"/>
      <c r="J349" s="43">
        <f>AVERAGE(J1:J345)</f>
        <v>2.4031791720215345</v>
      </c>
      <c r="K349" s="44"/>
      <c r="L349" s="43">
        <f>J349+J350</f>
        <v>4.6895141978301389</v>
      </c>
    </row>
    <row r="350" spans="1:12" x14ac:dyDescent="0.3">
      <c r="D350" s="43" t="s">
        <v>497</v>
      </c>
      <c r="E350" s="44">
        <f>STDEV(E1:E345)</f>
        <v>6.9700381745350937</v>
      </c>
      <c r="G350" s="44">
        <f>E349-E350</f>
        <v>-4.3468634674152185</v>
      </c>
      <c r="J350" s="43">
        <f>STDEV(J1:J345)</f>
        <v>2.2863350258086044</v>
      </c>
      <c r="L350" s="43">
        <f>J349-J350</f>
        <v>0.11684414621293016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E1010"/>
  <sheetViews>
    <sheetView topLeftCell="A324" workbookViewId="0">
      <selection activeCell="D5" sqref="D5"/>
    </sheetView>
  </sheetViews>
  <sheetFormatPr baseColWidth="10" defaultColWidth="12.59765625" defaultRowHeight="15" customHeight="1" x14ac:dyDescent="0.25"/>
  <cols>
    <col min="1" max="1" width="12.59765625" style="11"/>
    <col min="2" max="2" width="11.69921875" customWidth="1"/>
    <col min="3" max="3" width="22.59765625" customWidth="1"/>
    <col min="4" max="4" width="22.09765625" customWidth="1"/>
    <col min="5" max="24" width="9.3984375" customWidth="1"/>
  </cols>
  <sheetData>
    <row r="1" spans="1:5" ht="95.25" customHeight="1" x14ac:dyDescent="0.25">
      <c r="A1" s="8" t="s">
        <v>306</v>
      </c>
      <c r="B1" s="9" t="s">
        <v>340</v>
      </c>
      <c r="C1" s="48" t="s">
        <v>491</v>
      </c>
      <c r="D1" s="48" t="s">
        <v>494</v>
      </c>
    </row>
    <row r="2" spans="1:5" ht="14.4" x14ac:dyDescent="0.3">
      <c r="A2" s="33">
        <v>10101</v>
      </c>
      <c r="B2" s="10" t="s">
        <v>11</v>
      </c>
      <c r="C2" s="1">
        <v>5.0999999999999996</v>
      </c>
      <c r="D2" s="5">
        <v>7.4903372134858328</v>
      </c>
      <c r="E2" s="31"/>
    </row>
    <row r="3" spans="1:5" ht="14.4" x14ac:dyDescent="0.3">
      <c r="A3" s="33">
        <v>10102</v>
      </c>
      <c r="B3" s="10" t="s">
        <v>39</v>
      </c>
      <c r="C3" s="1">
        <v>0.9</v>
      </c>
      <c r="D3" s="5">
        <v>2.6786440126818958</v>
      </c>
      <c r="E3" s="31"/>
    </row>
    <row r="4" spans="1:5" ht="14.4" x14ac:dyDescent="0.3">
      <c r="A4" s="33">
        <v>10103</v>
      </c>
      <c r="B4" s="10" t="s">
        <v>18</v>
      </c>
      <c r="C4" s="1">
        <v>0.4</v>
      </c>
      <c r="D4" s="5">
        <v>0.98410847062253981</v>
      </c>
      <c r="E4" s="31"/>
    </row>
    <row r="5" spans="1:5" ht="14.4" x14ac:dyDescent="0.3">
      <c r="A5" s="33">
        <v>10201</v>
      </c>
      <c r="B5" s="10" t="s">
        <v>307</v>
      </c>
      <c r="C5" s="1">
        <v>0.5</v>
      </c>
      <c r="D5" s="5">
        <v>1.2726231890439914</v>
      </c>
      <c r="E5" s="31"/>
    </row>
    <row r="6" spans="1:5" ht="14.4" x14ac:dyDescent="0.3">
      <c r="A6" s="33">
        <v>10202</v>
      </c>
      <c r="B6" s="10" t="s">
        <v>65</v>
      </c>
      <c r="C6" s="1">
        <v>0.7</v>
      </c>
      <c r="D6" s="5">
        <v>1.1880705177339559</v>
      </c>
      <c r="E6" s="31"/>
    </row>
    <row r="7" spans="1:5" ht="14.4" x14ac:dyDescent="0.3">
      <c r="A7" s="33">
        <v>10301</v>
      </c>
      <c r="B7" s="10" t="s">
        <v>72</v>
      </c>
      <c r="C7" s="1">
        <v>12.7</v>
      </c>
      <c r="D7" s="5">
        <v>8.054758396028852</v>
      </c>
      <c r="E7" s="31"/>
    </row>
    <row r="8" spans="1:5" ht="14.4" x14ac:dyDescent="0.3">
      <c r="A8" s="33">
        <v>10302</v>
      </c>
      <c r="B8" s="10" t="s">
        <v>80</v>
      </c>
      <c r="C8" s="1">
        <v>0.5</v>
      </c>
      <c r="D8" s="5">
        <v>1.3436739110830553</v>
      </c>
      <c r="E8" s="31"/>
    </row>
    <row r="9" spans="1:5" ht="14.4" x14ac:dyDescent="0.3">
      <c r="A9" s="33">
        <v>10303</v>
      </c>
      <c r="B9" s="10" t="s">
        <v>308</v>
      </c>
      <c r="C9" s="1">
        <v>0.9</v>
      </c>
      <c r="D9" s="5">
        <v>1.6048387096774193</v>
      </c>
      <c r="E9" s="31"/>
    </row>
    <row r="10" spans="1:5" ht="14.4" x14ac:dyDescent="0.3">
      <c r="A10" s="33">
        <v>10304</v>
      </c>
      <c r="B10" s="10" t="s">
        <v>99</v>
      </c>
      <c r="C10" s="1">
        <v>0.9</v>
      </c>
      <c r="D10" s="5">
        <v>2.601047904191617</v>
      </c>
      <c r="E10" s="31"/>
    </row>
    <row r="11" spans="1:5" ht="14.4" x14ac:dyDescent="0.3">
      <c r="A11" s="33">
        <v>10401</v>
      </c>
      <c r="B11" s="10" t="s">
        <v>106</v>
      </c>
      <c r="C11" s="1">
        <v>0.5</v>
      </c>
      <c r="D11" s="5">
        <v>2.7936161505933708</v>
      </c>
      <c r="E11" s="31"/>
    </row>
    <row r="12" spans="1:5" ht="14.4" x14ac:dyDescent="0.3">
      <c r="A12" s="33">
        <v>10402</v>
      </c>
      <c r="B12" s="10" t="s">
        <v>117</v>
      </c>
      <c r="C12" s="1">
        <v>1.1000000000000001</v>
      </c>
      <c r="D12" s="5">
        <v>2.5211910454249078</v>
      </c>
      <c r="E12" s="31"/>
    </row>
    <row r="13" spans="1:5" ht="14.4" x14ac:dyDescent="0.3">
      <c r="A13" s="33">
        <v>10403</v>
      </c>
      <c r="B13" s="10" t="s">
        <v>121</v>
      </c>
      <c r="C13" s="1">
        <v>0.8</v>
      </c>
      <c r="D13" s="5">
        <v>1.9390581717451523</v>
      </c>
      <c r="E13" s="31"/>
    </row>
    <row r="14" spans="1:5" ht="14.4" x14ac:dyDescent="0.3">
      <c r="A14" s="33">
        <v>10404</v>
      </c>
      <c r="B14" s="10" t="s">
        <v>84</v>
      </c>
      <c r="C14" s="1">
        <v>1</v>
      </c>
      <c r="D14" s="5">
        <v>3.6850477200424177</v>
      </c>
      <c r="E14" s="31"/>
    </row>
    <row r="15" spans="1:5" ht="14.4" x14ac:dyDescent="0.3">
      <c r="A15" s="33">
        <v>10405</v>
      </c>
      <c r="B15" s="10" t="s">
        <v>126</v>
      </c>
      <c r="C15" s="1">
        <v>0.5</v>
      </c>
      <c r="D15" s="5">
        <v>1.1048586329947847</v>
      </c>
      <c r="E15" s="31"/>
    </row>
    <row r="16" spans="1:5" ht="14.4" x14ac:dyDescent="0.3">
      <c r="A16" s="33">
        <v>10501</v>
      </c>
      <c r="B16" s="10" t="s">
        <v>129</v>
      </c>
      <c r="C16" s="1">
        <v>4.9000000000000004</v>
      </c>
      <c r="D16" s="5">
        <v>4.7485153009116239</v>
      </c>
      <c r="E16" s="31"/>
    </row>
    <row r="17" spans="1:5" ht="14.4" x14ac:dyDescent="0.3">
      <c r="A17" s="33">
        <v>10502</v>
      </c>
      <c r="B17" s="10" t="s">
        <v>309</v>
      </c>
      <c r="C17" s="1">
        <v>0.6</v>
      </c>
      <c r="D17" s="5">
        <v>1.7953940153532824</v>
      </c>
      <c r="E17" s="31"/>
    </row>
    <row r="18" spans="1:5" ht="14.4" x14ac:dyDescent="0.3">
      <c r="A18" s="33">
        <v>10601</v>
      </c>
      <c r="B18" s="10" t="s">
        <v>136</v>
      </c>
      <c r="C18" s="1">
        <v>0.6</v>
      </c>
      <c r="D18" s="5">
        <v>5.2602076941232001</v>
      </c>
      <c r="E18" s="31"/>
    </row>
    <row r="19" spans="1:5" ht="14.4" x14ac:dyDescent="0.3">
      <c r="A19" s="33">
        <v>10602</v>
      </c>
      <c r="B19" s="10" t="s">
        <v>139</v>
      </c>
      <c r="C19" s="1">
        <v>0.5</v>
      </c>
      <c r="D19" s="5">
        <v>1.4521452145214522</v>
      </c>
      <c r="E19" s="31"/>
    </row>
    <row r="20" spans="1:5" ht="14.4" x14ac:dyDescent="0.3">
      <c r="A20" s="33">
        <v>10701</v>
      </c>
      <c r="B20" s="10" t="s">
        <v>143</v>
      </c>
      <c r="C20" s="1">
        <v>8.4</v>
      </c>
      <c r="D20" s="5">
        <v>4.4004944375772554</v>
      </c>
      <c r="E20" s="31"/>
    </row>
    <row r="21" spans="1:5" ht="15.75" customHeight="1" x14ac:dyDescent="0.3">
      <c r="A21" s="33">
        <v>10702</v>
      </c>
      <c r="B21" s="10" t="s">
        <v>147</v>
      </c>
      <c r="C21" s="1">
        <v>0.4</v>
      </c>
      <c r="D21" s="5">
        <v>0.67806631889144264</v>
      </c>
      <c r="E21" s="31"/>
    </row>
    <row r="22" spans="1:5" ht="15.75" customHeight="1" x14ac:dyDescent="0.3">
      <c r="A22" s="33">
        <v>10703</v>
      </c>
      <c r="B22" s="10" t="s">
        <v>87</v>
      </c>
      <c r="C22" s="1">
        <v>0.2</v>
      </c>
      <c r="D22" s="5">
        <v>1.1367611052815669</v>
      </c>
      <c r="E22" s="31"/>
    </row>
    <row r="23" spans="1:5" ht="15.75" customHeight="1" x14ac:dyDescent="0.3">
      <c r="A23" s="33">
        <v>10704</v>
      </c>
      <c r="B23" s="10" t="s">
        <v>150</v>
      </c>
      <c r="C23" s="1">
        <v>0.4</v>
      </c>
      <c r="D23" s="5">
        <v>0.95628867343899948</v>
      </c>
      <c r="E23" s="31"/>
    </row>
    <row r="24" spans="1:5" ht="15.75" customHeight="1" x14ac:dyDescent="0.3">
      <c r="A24" s="33">
        <v>10801</v>
      </c>
      <c r="B24" s="10" t="s">
        <v>154</v>
      </c>
      <c r="C24" s="1">
        <v>1.1000000000000001</v>
      </c>
      <c r="D24" s="5">
        <v>3.9281017097764144</v>
      </c>
      <c r="E24" s="31"/>
    </row>
    <row r="25" spans="1:5" ht="15.75" customHeight="1" x14ac:dyDescent="0.3">
      <c r="A25" s="33">
        <v>10901</v>
      </c>
      <c r="B25" s="10" t="s">
        <v>71</v>
      </c>
      <c r="C25" s="1">
        <v>1</v>
      </c>
      <c r="D25" s="5">
        <v>3.8143176733780759</v>
      </c>
      <c r="E25" s="31"/>
    </row>
    <row r="26" spans="1:5" ht="15.75" customHeight="1" x14ac:dyDescent="0.3">
      <c r="A26" s="33">
        <v>10902</v>
      </c>
      <c r="B26" s="10" t="s">
        <v>157</v>
      </c>
      <c r="C26" s="1">
        <v>0.3</v>
      </c>
      <c r="D26" s="5">
        <v>0.90440428833907138</v>
      </c>
      <c r="E26" s="31"/>
    </row>
    <row r="27" spans="1:5" ht="15.75" customHeight="1" x14ac:dyDescent="0.3">
      <c r="A27" s="33">
        <v>10903</v>
      </c>
      <c r="B27" s="10" t="s">
        <v>89</v>
      </c>
      <c r="C27" s="1">
        <v>0.4</v>
      </c>
      <c r="D27" s="5">
        <v>0.82625392761550098</v>
      </c>
      <c r="E27" s="31"/>
    </row>
    <row r="28" spans="1:5" ht="15.75" customHeight="1" x14ac:dyDescent="0.3">
      <c r="A28" s="33">
        <v>11001</v>
      </c>
      <c r="B28" s="10" t="s">
        <v>348</v>
      </c>
      <c r="C28" s="1">
        <v>0.5</v>
      </c>
      <c r="D28" s="5">
        <v>1.5140150568102897</v>
      </c>
      <c r="E28" s="31"/>
    </row>
    <row r="29" spans="1:5" ht="15.75" customHeight="1" x14ac:dyDescent="0.3">
      <c r="A29" s="33">
        <v>11002</v>
      </c>
      <c r="B29" s="10" t="s">
        <v>33</v>
      </c>
      <c r="C29" s="1">
        <v>0</v>
      </c>
      <c r="D29" s="5">
        <v>2.9194807216956345E-2</v>
      </c>
      <c r="E29" s="31"/>
    </row>
    <row r="30" spans="1:5" ht="15.75" customHeight="1" x14ac:dyDescent="0.3">
      <c r="A30" s="33">
        <v>11003</v>
      </c>
      <c r="B30" s="10" t="s">
        <v>146</v>
      </c>
      <c r="C30" s="1">
        <v>0.4</v>
      </c>
      <c r="D30" s="5">
        <v>0.89019865325006498</v>
      </c>
      <c r="E30" s="31"/>
    </row>
    <row r="31" spans="1:5" ht="15.75" customHeight="1" x14ac:dyDescent="0.3">
      <c r="A31" s="33">
        <v>20101</v>
      </c>
      <c r="B31" s="10" t="s">
        <v>310</v>
      </c>
      <c r="C31" s="1">
        <v>6.8</v>
      </c>
      <c r="D31" s="5">
        <v>4.1264945078750523</v>
      </c>
      <c r="E31" s="31"/>
    </row>
    <row r="32" spans="1:5" ht="15.75" customHeight="1" x14ac:dyDescent="0.3">
      <c r="A32" s="33">
        <v>20102</v>
      </c>
      <c r="B32" s="10" t="s">
        <v>168</v>
      </c>
      <c r="C32" s="1">
        <v>12.1</v>
      </c>
      <c r="D32" s="5">
        <v>0.94877617966187211</v>
      </c>
      <c r="E32" s="31"/>
    </row>
    <row r="33" spans="1:5" ht="15.75" customHeight="1" x14ac:dyDescent="0.3">
      <c r="A33" s="33">
        <v>20103</v>
      </c>
      <c r="B33" s="10" t="s">
        <v>170</v>
      </c>
      <c r="C33" s="1">
        <v>1.3</v>
      </c>
      <c r="D33" s="5">
        <v>5.7630360378498082</v>
      </c>
      <c r="E33" s="31"/>
    </row>
    <row r="34" spans="1:5" ht="15.75" customHeight="1" x14ac:dyDescent="0.3">
      <c r="A34" s="33">
        <v>20104</v>
      </c>
      <c r="B34" s="10" t="s">
        <v>174</v>
      </c>
      <c r="C34" s="1">
        <v>1.5</v>
      </c>
      <c r="D34" s="5">
        <v>4.7430504000659903</v>
      </c>
      <c r="E34" s="31"/>
    </row>
    <row r="35" spans="1:5" ht="15.75" customHeight="1" x14ac:dyDescent="0.3">
      <c r="A35" s="33">
        <v>20105</v>
      </c>
      <c r="B35" s="10" t="s">
        <v>178</v>
      </c>
      <c r="C35" s="1">
        <v>3.4</v>
      </c>
      <c r="D35" s="5">
        <v>6.8897030020511512</v>
      </c>
      <c r="E35" s="31"/>
    </row>
    <row r="36" spans="1:5" ht="15.75" customHeight="1" x14ac:dyDescent="0.3">
      <c r="A36" s="33">
        <v>20201</v>
      </c>
      <c r="B36" s="10" t="s">
        <v>181</v>
      </c>
      <c r="C36" s="1">
        <v>0.5</v>
      </c>
      <c r="D36" s="5">
        <v>3.939896837856022</v>
      </c>
      <c r="E36" s="31"/>
    </row>
    <row r="37" spans="1:5" ht="15.75" customHeight="1" x14ac:dyDescent="0.3">
      <c r="A37" s="33">
        <v>20202</v>
      </c>
      <c r="B37" s="10" t="s">
        <v>183</v>
      </c>
      <c r="C37" s="1">
        <v>0.3</v>
      </c>
      <c r="D37" s="5">
        <v>0.94921911530908065</v>
      </c>
      <c r="E37" s="31"/>
    </row>
    <row r="38" spans="1:5" ht="15.75" customHeight="1" x14ac:dyDescent="0.3">
      <c r="A38" s="33">
        <v>20203</v>
      </c>
      <c r="B38" s="10" t="s">
        <v>159</v>
      </c>
      <c r="C38" s="1">
        <v>57.6</v>
      </c>
      <c r="D38" s="5">
        <v>2.8067713358477326</v>
      </c>
      <c r="E38" s="31"/>
    </row>
    <row r="39" spans="1:5" ht="15.75" customHeight="1" x14ac:dyDescent="0.3">
      <c r="A39" s="33">
        <v>20204</v>
      </c>
      <c r="B39" s="10" t="s">
        <v>187</v>
      </c>
      <c r="C39" s="1">
        <v>0.5</v>
      </c>
      <c r="D39" s="5">
        <v>0.8229821602003784</v>
      </c>
      <c r="E39" s="31"/>
    </row>
    <row r="40" spans="1:5" ht="15.75" customHeight="1" x14ac:dyDescent="0.3">
      <c r="A40" s="33">
        <v>20205</v>
      </c>
      <c r="B40" s="10" t="s">
        <v>189</v>
      </c>
      <c r="C40" s="1">
        <v>0.4</v>
      </c>
      <c r="D40" s="5">
        <v>6.3588715893325114</v>
      </c>
      <c r="E40" s="31"/>
    </row>
    <row r="41" spans="1:5" ht="15.75" customHeight="1" x14ac:dyDescent="0.3">
      <c r="A41" s="33">
        <v>20206</v>
      </c>
      <c r="B41" s="10" t="s">
        <v>103</v>
      </c>
      <c r="C41" s="1">
        <v>58.4</v>
      </c>
      <c r="D41" s="5">
        <v>2.8259292106748366</v>
      </c>
      <c r="E41" s="31"/>
    </row>
    <row r="42" spans="1:5" ht="15.75" customHeight="1" x14ac:dyDescent="0.3">
      <c r="A42" s="33">
        <v>20301</v>
      </c>
      <c r="B42" s="10" t="s">
        <v>196</v>
      </c>
      <c r="C42" s="1">
        <v>0.3</v>
      </c>
      <c r="D42" s="5">
        <v>0.84022435542155316</v>
      </c>
      <c r="E42" s="31"/>
    </row>
    <row r="43" spans="1:5" ht="15.75" customHeight="1" x14ac:dyDescent="0.3">
      <c r="A43" s="33">
        <v>20302</v>
      </c>
      <c r="B43" s="10" t="s">
        <v>82</v>
      </c>
      <c r="C43" s="1">
        <v>0.4</v>
      </c>
      <c r="D43" s="5">
        <v>1.3336316849407026</v>
      </c>
      <c r="E43" s="31"/>
    </row>
    <row r="44" spans="1:5" ht="15.75" customHeight="1" x14ac:dyDescent="0.3">
      <c r="A44" s="33">
        <v>20303</v>
      </c>
      <c r="B44" s="10" t="s">
        <v>30</v>
      </c>
      <c r="C44" s="1">
        <v>0.2</v>
      </c>
      <c r="D44" s="5">
        <v>0.78431372549019607</v>
      </c>
      <c r="E44" s="31"/>
    </row>
    <row r="45" spans="1:5" ht="15.75" customHeight="1" x14ac:dyDescent="0.3">
      <c r="A45" s="33">
        <v>20304</v>
      </c>
      <c r="B45" s="10" t="s">
        <v>148</v>
      </c>
      <c r="C45" s="1">
        <v>0.5</v>
      </c>
      <c r="D45" s="5">
        <v>1.4420410427065999</v>
      </c>
      <c r="E45" s="31"/>
    </row>
    <row r="46" spans="1:5" ht="15.75" customHeight="1" x14ac:dyDescent="0.3">
      <c r="A46" s="33">
        <v>20305</v>
      </c>
      <c r="B46" s="10" t="s">
        <v>93</v>
      </c>
      <c r="C46" s="1">
        <v>0.5</v>
      </c>
      <c r="D46" s="5">
        <v>0.70065508402164622</v>
      </c>
      <c r="E46" s="31"/>
    </row>
    <row r="47" spans="1:5" ht="15.75" customHeight="1" x14ac:dyDescent="0.3">
      <c r="A47" s="33">
        <v>20306</v>
      </c>
      <c r="B47" s="10" t="s">
        <v>97</v>
      </c>
      <c r="C47" s="1">
        <v>0.4</v>
      </c>
      <c r="D47" s="5">
        <v>1.0655061154048173</v>
      </c>
      <c r="E47" s="31"/>
    </row>
    <row r="48" spans="1:5" ht="15.75" customHeight="1" x14ac:dyDescent="0.3">
      <c r="A48" s="33">
        <v>20307</v>
      </c>
      <c r="B48" s="10" t="s">
        <v>12</v>
      </c>
      <c r="C48" s="1">
        <v>2.7</v>
      </c>
      <c r="D48" s="5">
        <v>8.135349172066233</v>
      </c>
      <c r="E48" s="31"/>
    </row>
    <row r="49" spans="1:5" ht="15.75" customHeight="1" x14ac:dyDescent="0.3">
      <c r="A49" s="33">
        <v>20308</v>
      </c>
      <c r="B49" s="10" t="s">
        <v>311</v>
      </c>
      <c r="C49" s="1">
        <v>0.3</v>
      </c>
      <c r="D49" s="5">
        <v>1.0383912248628884</v>
      </c>
      <c r="E49" s="31"/>
    </row>
    <row r="50" spans="1:5" ht="15.75" customHeight="1" x14ac:dyDescent="0.3">
      <c r="A50" s="33">
        <v>20401</v>
      </c>
      <c r="B50" s="10" t="s">
        <v>124</v>
      </c>
      <c r="C50" s="1">
        <v>0.4</v>
      </c>
      <c r="D50" s="5">
        <v>3.2753948229137464</v>
      </c>
      <c r="E50" s="31"/>
    </row>
    <row r="51" spans="1:5" ht="15.75" customHeight="1" x14ac:dyDescent="0.3">
      <c r="A51" s="33">
        <v>20402</v>
      </c>
      <c r="B51" s="10" t="s">
        <v>112</v>
      </c>
      <c r="C51" s="1">
        <v>0.3</v>
      </c>
      <c r="D51" s="5">
        <v>1.0408799868658676</v>
      </c>
      <c r="E51" s="31"/>
    </row>
    <row r="52" spans="1:5" ht="15.75" customHeight="1" x14ac:dyDescent="0.3">
      <c r="A52" s="33">
        <v>20403</v>
      </c>
      <c r="B52" s="10" t="s">
        <v>312</v>
      </c>
      <c r="C52" s="1">
        <v>0.1</v>
      </c>
      <c r="D52" s="5">
        <v>0.3745775823459957</v>
      </c>
      <c r="E52" s="31"/>
    </row>
    <row r="53" spans="1:5" ht="15.75" customHeight="1" x14ac:dyDescent="0.3">
      <c r="A53" s="33">
        <v>20404</v>
      </c>
      <c r="B53" s="10" t="s">
        <v>116</v>
      </c>
      <c r="C53" s="1">
        <v>0.2</v>
      </c>
      <c r="D53" s="5">
        <v>0.51081404195196167</v>
      </c>
      <c r="E53" s="31"/>
    </row>
    <row r="54" spans="1:5" ht="15.75" customHeight="1" x14ac:dyDescent="0.3">
      <c r="A54" s="33">
        <v>20405</v>
      </c>
      <c r="B54" s="10" t="s">
        <v>222</v>
      </c>
      <c r="C54" s="1">
        <v>0.6</v>
      </c>
      <c r="D54" s="5">
        <v>2.3927550047664439</v>
      </c>
      <c r="E54" s="31"/>
    </row>
    <row r="55" spans="1:5" ht="15.75" customHeight="1" x14ac:dyDescent="0.3">
      <c r="A55" s="33">
        <v>20501</v>
      </c>
      <c r="B55" s="10" t="s">
        <v>226</v>
      </c>
      <c r="C55" s="1">
        <v>0.3</v>
      </c>
      <c r="D55" s="5">
        <v>1.2434836673202927</v>
      </c>
      <c r="E55" s="31"/>
    </row>
    <row r="56" spans="1:5" ht="15.75" customHeight="1" x14ac:dyDescent="0.3">
      <c r="A56" s="33">
        <v>20502</v>
      </c>
      <c r="B56" s="10" t="s">
        <v>101</v>
      </c>
      <c r="C56" s="1">
        <v>0.2</v>
      </c>
      <c r="D56" s="5">
        <v>0.60537454473865537</v>
      </c>
      <c r="E56" s="31"/>
    </row>
    <row r="57" spans="1:5" ht="15.75" customHeight="1" x14ac:dyDescent="0.3">
      <c r="A57" s="33">
        <v>20503</v>
      </c>
      <c r="B57" s="10" t="s">
        <v>182</v>
      </c>
      <c r="C57" s="1">
        <v>0.8</v>
      </c>
      <c r="D57" s="5">
        <v>1.2985179957657025</v>
      </c>
      <c r="E57" s="31"/>
    </row>
    <row r="58" spans="1:5" ht="15.75" customHeight="1" x14ac:dyDescent="0.3">
      <c r="A58" s="33">
        <v>20601</v>
      </c>
      <c r="B58" s="10" t="s">
        <v>233</v>
      </c>
      <c r="C58" s="1">
        <v>6.8</v>
      </c>
      <c r="D58" s="5">
        <v>4.8606115605529059</v>
      </c>
      <c r="E58" s="31"/>
    </row>
    <row r="59" spans="1:5" ht="15.75" customHeight="1" x14ac:dyDescent="0.3">
      <c r="A59" s="33">
        <v>20602</v>
      </c>
      <c r="B59" s="10" t="s">
        <v>236</v>
      </c>
      <c r="C59" s="1">
        <v>0.7</v>
      </c>
      <c r="D59" s="5">
        <v>1.0443926534573136</v>
      </c>
      <c r="E59" s="31"/>
    </row>
    <row r="60" spans="1:5" ht="15.75" customHeight="1" x14ac:dyDescent="0.3">
      <c r="A60" s="33">
        <v>20603</v>
      </c>
      <c r="B60" s="10" t="s">
        <v>203</v>
      </c>
      <c r="C60" s="1">
        <v>0.2</v>
      </c>
      <c r="D60" s="5">
        <v>0.22304365582164884</v>
      </c>
      <c r="E60" s="31"/>
    </row>
    <row r="61" spans="1:5" ht="15.75" customHeight="1" x14ac:dyDescent="0.3">
      <c r="A61" s="33">
        <v>20604</v>
      </c>
      <c r="B61" s="10" t="s">
        <v>54</v>
      </c>
      <c r="C61" s="1">
        <v>0.1</v>
      </c>
      <c r="D61" s="5">
        <v>0.38654494613043833</v>
      </c>
      <c r="E61" s="31"/>
    </row>
    <row r="62" spans="1:5" ht="15.75" customHeight="1" x14ac:dyDescent="0.3">
      <c r="A62" s="33">
        <v>20605</v>
      </c>
      <c r="B62" s="10" t="s">
        <v>62</v>
      </c>
      <c r="C62" s="1">
        <v>0.2</v>
      </c>
      <c r="D62" s="5">
        <v>0.61268421924159633</v>
      </c>
      <c r="E62" s="31"/>
    </row>
    <row r="63" spans="1:5" ht="15.75" customHeight="1" x14ac:dyDescent="0.3">
      <c r="A63" s="33">
        <v>20606</v>
      </c>
      <c r="B63" s="10" t="s">
        <v>140</v>
      </c>
      <c r="C63" s="1">
        <v>0.7</v>
      </c>
      <c r="D63" s="5">
        <v>2.8470230418294862</v>
      </c>
      <c r="E63" s="31"/>
    </row>
    <row r="64" spans="1:5" ht="15.75" customHeight="1" x14ac:dyDescent="0.3">
      <c r="A64" s="33">
        <v>20607</v>
      </c>
      <c r="B64" s="10" t="s">
        <v>167</v>
      </c>
      <c r="C64" s="1">
        <v>0.8</v>
      </c>
      <c r="D64" s="5">
        <v>2.5099027401357832</v>
      </c>
      <c r="E64" s="31"/>
    </row>
    <row r="65" spans="1:5" ht="15.75" customHeight="1" x14ac:dyDescent="0.3">
      <c r="A65" s="33">
        <v>20608</v>
      </c>
      <c r="B65" s="10" t="s">
        <v>200</v>
      </c>
      <c r="C65" s="1">
        <v>0.6</v>
      </c>
      <c r="D65" s="5">
        <v>1.0526315789473684</v>
      </c>
      <c r="E65" s="31"/>
    </row>
    <row r="66" spans="1:5" ht="15.75" customHeight="1" x14ac:dyDescent="0.3">
      <c r="A66" s="33">
        <v>20701</v>
      </c>
      <c r="B66" s="10" t="s">
        <v>241</v>
      </c>
      <c r="C66" s="1">
        <v>0.6</v>
      </c>
      <c r="D66" s="5">
        <v>1.2336986469111613</v>
      </c>
      <c r="E66" s="31"/>
    </row>
    <row r="67" spans="1:5" ht="15.75" customHeight="1" x14ac:dyDescent="0.3">
      <c r="A67" s="33">
        <v>20702</v>
      </c>
      <c r="B67" s="10" t="s">
        <v>41</v>
      </c>
      <c r="C67" s="1">
        <v>0.3</v>
      </c>
      <c r="D67" s="5">
        <v>1.2547486343343595</v>
      </c>
      <c r="E67" s="31"/>
    </row>
    <row r="68" spans="1:5" ht="15.75" customHeight="1" x14ac:dyDescent="0.3">
      <c r="A68" s="33">
        <v>20801</v>
      </c>
      <c r="B68" s="10" t="s">
        <v>244</v>
      </c>
      <c r="C68" s="1">
        <v>1.6</v>
      </c>
      <c r="D68" s="5">
        <v>3.5837154322153717</v>
      </c>
      <c r="E68" s="31"/>
    </row>
    <row r="69" spans="1:5" ht="15.75" customHeight="1" x14ac:dyDescent="0.3">
      <c r="A69" s="33">
        <v>20802</v>
      </c>
      <c r="B69" s="10" t="s">
        <v>186</v>
      </c>
      <c r="C69" s="1">
        <v>0.7</v>
      </c>
      <c r="D69" s="5">
        <v>8.0675539929683566</v>
      </c>
      <c r="E69" s="31"/>
    </row>
    <row r="70" spans="1:5" ht="15.75" customHeight="1" x14ac:dyDescent="0.3">
      <c r="A70" s="33">
        <v>20803</v>
      </c>
      <c r="B70" s="10" t="s">
        <v>217</v>
      </c>
      <c r="C70" s="1">
        <v>46.8</v>
      </c>
      <c r="D70" s="5">
        <v>7.2032113388011991</v>
      </c>
      <c r="E70" s="31"/>
    </row>
    <row r="71" spans="1:5" ht="15.75" customHeight="1" x14ac:dyDescent="0.3">
      <c r="A71" s="33">
        <v>20804</v>
      </c>
      <c r="B71" s="10" t="s">
        <v>113</v>
      </c>
      <c r="C71" s="1">
        <v>28.3</v>
      </c>
      <c r="D71" s="5">
        <v>8.3300627943485086</v>
      </c>
      <c r="E71" s="31"/>
    </row>
    <row r="72" spans="1:5" ht="15.75" customHeight="1" x14ac:dyDescent="0.3">
      <c r="A72" s="33">
        <v>20805</v>
      </c>
      <c r="B72" s="10" t="s">
        <v>90</v>
      </c>
      <c r="C72" s="1">
        <v>0.3</v>
      </c>
      <c r="D72" s="5">
        <v>1.1822376009227218</v>
      </c>
      <c r="E72" s="31"/>
    </row>
    <row r="73" spans="1:5" ht="15.75" customHeight="1" x14ac:dyDescent="0.3">
      <c r="A73" s="33">
        <v>20806</v>
      </c>
      <c r="B73" s="10" t="s">
        <v>210</v>
      </c>
      <c r="C73" s="1">
        <v>0.4</v>
      </c>
      <c r="D73" s="5">
        <v>1.6573426573426575</v>
      </c>
      <c r="E73" s="31"/>
    </row>
    <row r="74" spans="1:5" ht="15.75" customHeight="1" x14ac:dyDescent="0.3">
      <c r="A74" s="33">
        <v>20807</v>
      </c>
      <c r="B74" s="10" t="s">
        <v>123</v>
      </c>
      <c r="C74" s="1">
        <v>0.2</v>
      </c>
      <c r="D74" s="5">
        <v>0.6384831188932959</v>
      </c>
      <c r="E74" s="31"/>
    </row>
    <row r="75" spans="1:5" ht="15.75" customHeight="1" x14ac:dyDescent="0.3">
      <c r="A75" s="33">
        <v>20901</v>
      </c>
      <c r="B75" s="10" t="s">
        <v>253</v>
      </c>
      <c r="C75" s="1">
        <v>0.4</v>
      </c>
      <c r="D75" s="5">
        <v>0.92422980849292258</v>
      </c>
      <c r="E75" s="31"/>
    </row>
    <row r="76" spans="1:5" ht="15.75" customHeight="1" x14ac:dyDescent="0.3">
      <c r="A76" s="33">
        <v>20902</v>
      </c>
      <c r="B76" s="10" t="s">
        <v>172</v>
      </c>
      <c r="C76" s="1">
        <v>0.3</v>
      </c>
      <c r="D76" s="5">
        <v>0.46348632150124353</v>
      </c>
      <c r="E76" s="31"/>
    </row>
    <row r="77" spans="1:5" ht="15.75" customHeight="1" x14ac:dyDescent="0.3">
      <c r="A77" s="33">
        <v>20903</v>
      </c>
      <c r="B77" s="10" t="s">
        <v>198</v>
      </c>
      <c r="C77" s="1">
        <v>0.3</v>
      </c>
      <c r="D77" s="5">
        <v>1.2304400160492177</v>
      </c>
      <c r="E77" s="31"/>
    </row>
    <row r="78" spans="1:5" ht="15.75" customHeight="1" x14ac:dyDescent="0.3">
      <c r="A78" s="33">
        <v>20904</v>
      </c>
      <c r="B78" s="10" t="s">
        <v>107</v>
      </c>
      <c r="C78" s="1">
        <v>0.6</v>
      </c>
      <c r="D78" s="5">
        <v>1.5107990211724651</v>
      </c>
      <c r="E78" s="31"/>
    </row>
    <row r="79" spans="1:5" ht="15.75" customHeight="1" x14ac:dyDescent="0.3">
      <c r="A79" s="33">
        <v>20905</v>
      </c>
      <c r="B79" s="10" t="s">
        <v>191</v>
      </c>
      <c r="C79" s="1">
        <v>0.1</v>
      </c>
      <c r="D79" s="5">
        <v>0.40273157065312565</v>
      </c>
      <c r="E79" s="31"/>
    </row>
    <row r="80" spans="1:5" ht="15.75" customHeight="1" x14ac:dyDescent="0.3">
      <c r="A80" s="33">
        <v>21001</v>
      </c>
      <c r="B80" s="10" t="s">
        <v>138</v>
      </c>
      <c r="C80" s="1">
        <v>0.1</v>
      </c>
      <c r="D80" s="5">
        <v>0.30674184001900934</v>
      </c>
      <c r="E80" s="31"/>
    </row>
    <row r="81" spans="1:5" ht="15.75" customHeight="1" x14ac:dyDescent="0.3">
      <c r="A81" s="33">
        <v>21002</v>
      </c>
      <c r="B81" s="10" t="s">
        <v>231</v>
      </c>
      <c r="C81" s="1">
        <v>0.4</v>
      </c>
      <c r="D81" s="5">
        <v>1.4361920393926959</v>
      </c>
      <c r="E81" s="31"/>
    </row>
    <row r="82" spans="1:5" ht="15.75" customHeight="1" x14ac:dyDescent="0.3">
      <c r="A82" s="33">
        <v>21003</v>
      </c>
      <c r="B82" s="10" t="s">
        <v>149</v>
      </c>
      <c r="C82" s="1">
        <v>0.3</v>
      </c>
      <c r="D82" s="5">
        <v>0.64613156575502695</v>
      </c>
      <c r="E82" s="31"/>
    </row>
    <row r="83" spans="1:5" ht="15.75" customHeight="1" x14ac:dyDescent="0.3">
      <c r="A83" s="33">
        <v>21004</v>
      </c>
      <c r="B83" s="10" t="s">
        <v>268</v>
      </c>
      <c r="C83" s="1">
        <v>0.1</v>
      </c>
      <c r="D83" s="5">
        <v>0.2353144033714874</v>
      </c>
      <c r="E83" s="31"/>
    </row>
    <row r="84" spans="1:5" ht="15.75" customHeight="1" x14ac:dyDescent="0.3">
      <c r="A84" s="33">
        <v>21005</v>
      </c>
      <c r="B84" s="10" t="s">
        <v>132</v>
      </c>
      <c r="C84" s="1">
        <v>0.2</v>
      </c>
      <c r="D84" s="5">
        <v>0.5714285714285714</v>
      </c>
      <c r="E84" s="31"/>
    </row>
    <row r="85" spans="1:5" ht="15.75" customHeight="1" x14ac:dyDescent="0.3">
      <c r="A85" s="33">
        <v>21006</v>
      </c>
      <c r="B85" s="10" t="s">
        <v>67</v>
      </c>
      <c r="C85" s="1">
        <v>0.6</v>
      </c>
      <c r="D85" s="5">
        <v>3.9082631850197558</v>
      </c>
      <c r="E85" s="31"/>
    </row>
    <row r="86" spans="1:5" ht="15.75" customHeight="1" x14ac:dyDescent="0.3">
      <c r="A86" s="33">
        <v>21101</v>
      </c>
      <c r="B86" s="10" t="s">
        <v>245</v>
      </c>
      <c r="C86" s="1">
        <v>0.9</v>
      </c>
      <c r="D86" s="5">
        <v>1.4871306005719733</v>
      </c>
      <c r="E86" s="31"/>
    </row>
    <row r="87" spans="1:5" ht="15.75" customHeight="1" x14ac:dyDescent="0.3">
      <c r="A87" s="33">
        <v>21102</v>
      </c>
      <c r="B87" s="10" t="s">
        <v>273</v>
      </c>
      <c r="C87" s="1">
        <v>0.3</v>
      </c>
      <c r="D87" s="5">
        <v>0.66807237988682577</v>
      </c>
      <c r="E87" s="31"/>
    </row>
    <row r="88" spans="1:5" ht="15.75" customHeight="1" x14ac:dyDescent="0.3">
      <c r="A88" s="33">
        <v>21103</v>
      </c>
      <c r="B88" s="10" t="s">
        <v>94</v>
      </c>
      <c r="C88" s="1">
        <v>0.6</v>
      </c>
      <c r="D88" s="5">
        <v>1.2486724809319987</v>
      </c>
      <c r="E88" s="31"/>
    </row>
    <row r="89" spans="1:5" ht="15.75" customHeight="1" x14ac:dyDescent="0.3">
      <c r="A89" s="33">
        <v>21104</v>
      </c>
      <c r="B89" s="10" t="s">
        <v>258</v>
      </c>
      <c r="C89" s="1">
        <v>0.6</v>
      </c>
      <c r="D89" s="5">
        <v>1.1879131975536801</v>
      </c>
      <c r="E89" s="31"/>
    </row>
    <row r="90" spans="1:5" ht="15.75" customHeight="1" x14ac:dyDescent="0.3">
      <c r="A90" s="33">
        <v>21105</v>
      </c>
      <c r="B90" s="10" t="s">
        <v>70</v>
      </c>
      <c r="C90" s="1">
        <v>0.2</v>
      </c>
      <c r="D90" s="5">
        <v>0.52646080573104248</v>
      </c>
      <c r="E90" s="31"/>
    </row>
    <row r="91" spans="1:5" ht="15.75" customHeight="1" x14ac:dyDescent="0.3">
      <c r="A91" s="33">
        <v>21201</v>
      </c>
      <c r="B91" s="10" t="s">
        <v>255</v>
      </c>
      <c r="C91" s="1">
        <v>0.4</v>
      </c>
      <c r="D91" s="5">
        <v>2.4950991339735475</v>
      </c>
      <c r="E91" s="31"/>
    </row>
    <row r="92" spans="1:5" ht="15.75" customHeight="1" x14ac:dyDescent="0.3">
      <c r="A92" s="33">
        <v>21202</v>
      </c>
      <c r="B92" s="10" t="s">
        <v>267</v>
      </c>
      <c r="C92" s="1">
        <v>0.5</v>
      </c>
      <c r="D92" s="5">
        <v>1.6649423766330631</v>
      </c>
      <c r="E92" s="31"/>
    </row>
    <row r="93" spans="1:5" ht="15.75" customHeight="1" x14ac:dyDescent="0.3">
      <c r="A93" s="33">
        <v>21203</v>
      </c>
      <c r="B93" s="10" t="s">
        <v>277</v>
      </c>
      <c r="C93" s="1">
        <v>0.5</v>
      </c>
      <c r="D93" s="5">
        <v>6.1064922202819982</v>
      </c>
      <c r="E93" s="31"/>
    </row>
    <row r="94" spans="1:5" ht="15.75" customHeight="1" x14ac:dyDescent="0.3">
      <c r="A94" s="33">
        <v>21204</v>
      </c>
      <c r="B94" s="10" t="s">
        <v>199</v>
      </c>
      <c r="C94" s="1">
        <v>0.6</v>
      </c>
      <c r="D94" s="5">
        <v>2.9149221897464255</v>
      </c>
      <c r="E94" s="31"/>
    </row>
    <row r="95" spans="1:5" ht="15.75" customHeight="1" x14ac:dyDescent="0.3">
      <c r="A95" s="33">
        <v>21301</v>
      </c>
      <c r="B95" s="10" t="s">
        <v>261</v>
      </c>
      <c r="C95" s="1">
        <v>0.6</v>
      </c>
      <c r="D95" s="5">
        <v>1.410701978208907</v>
      </c>
      <c r="E95" s="31"/>
    </row>
    <row r="96" spans="1:5" ht="15.75" customHeight="1" x14ac:dyDescent="0.3">
      <c r="A96" s="33">
        <v>21302</v>
      </c>
      <c r="B96" s="10" t="s">
        <v>232</v>
      </c>
      <c r="C96" s="1">
        <v>0.1</v>
      </c>
      <c r="D96" s="5">
        <v>0.37498125093745316</v>
      </c>
      <c r="E96" s="31"/>
    </row>
    <row r="97" spans="1:5" ht="15.75" customHeight="1" x14ac:dyDescent="0.3">
      <c r="A97" s="33">
        <v>21303</v>
      </c>
      <c r="B97" s="10" t="s">
        <v>218</v>
      </c>
      <c r="C97" s="1">
        <v>0.4</v>
      </c>
      <c r="D97" s="5">
        <v>1.3034072471606273</v>
      </c>
      <c r="E97" s="31"/>
    </row>
    <row r="98" spans="1:5" ht="15.75" customHeight="1" x14ac:dyDescent="0.3">
      <c r="A98" s="33">
        <v>21304</v>
      </c>
      <c r="B98" s="10" t="s">
        <v>249</v>
      </c>
      <c r="C98" s="1">
        <v>0.3</v>
      </c>
      <c r="D98" s="5">
        <v>0.70121951219512202</v>
      </c>
      <c r="E98" s="31"/>
    </row>
    <row r="99" spans="1:5" ht="15.75" customHeight="1" x14ac:dyDescent="0.3">
      <c r="A99" s="33">
        <v>21305</v>
      </c>
      <c r="B99" s="10" t="s">
        <v>280</v>
      </c>
      <c r="C99" s="1">
        <v>1.4</v>
      </c>
      <c r="D99" s="5">
        <v>7.6904888573624168</v>
      </c>
      <c r="E99" s="31"/>
    </row>
    <row r="100" spans="1:5" ht="15.75" customHeight="1" x14ac:dyDescent="0.3">
      <c r="A100" s="33">
        <v>21306</v>
      </c>
      <c r="B100" s="10" t="s">
        <v>229</v>
      </c>
      <c r="C100" s="1">
        <v>0.4</v>
      </c>
      <c r="D100" s="5">
        <v>1.3615377367379631</v>
      </c>
      <c r="E100" s="31"/>
    </row>
    <row r="101" spans="1:5" ht="15.75" customHeight="1" x14ac:dyDescent="0.3">
      <c r="A101" s="33">
        <v>21307</v>
      </c>
      <c r="B101" s="10" t="s">
        <v>100</v>
      </c>
      <c r="C101" s="1">
        <v>0.6</v>
      </c>
      <c r="D101" s="5">
        <v>2.0455461507456669</v>
      </c>
      <c r="E101" s="31"/>
    </row>
    <row r="102" spans="1:5" ht="15.75" customHeight="1" x14ac:dyDescent="0.3">
      <c r="A102" s="33">
        <v>21401</v>
      </c>
      <c r="B102" s="10" t="s">
        <v>284</v>
      </c>
      <c r="C102" s="1">
        <v>28</v>
      </c>
      <c r="D102" s="5">
        <v>5.8159457366160492</v>
      </c>
      <c r="E102" s="31"/>
    </row>
    <row r="103" spans="1:5" ht="15.75" customHeight="1" x14ac:dyDescent="0.3">
      <c r="A103" s="33">
        <v>21402</v>
      </c>
      <c r="B103" s="10" t="s">
        <v>220</v>
      </c>
      <c r="C103" s="1">
        <v>0.5</v>
      </c>
      <c r="D103" s="5">
        <v>0.9917981635018277</v>
      </c>
      <c r="E103" s="31"/>
    </row>
    <row r="104" spans="1:5" ht="15.75" customHeight="1" x14ac:dyDescent="0.3">
      <c r="A104" s="33">
        <v>21501</v>
      </c>
      <c r="B104" s="10" t="s">
        <v>194</v>
      </c>
      <c r="C104" s="1">
        <v>1</v>
      </c>
      <c r="D104" s="5">
        <v>2.1906788112492523</v>
      </c>
      <c r="E104" s="31"/>
    </row>
    <row r="105" spans="1:5" ht="15.75" customHeight="1" x14ac:dyDescent="0.3">
      <c r="A105" s="33">
        <v>21502</v>
      </c>
      <c r="B105" s="10" t="s">
        <v>133</v>
      </c>
      <c r="C105" s="1">
        <v>1.5</v>
      </c>
      <c r="D105" s="5">
        <v>7.8790515553621931</v>
      </c>
      <c r="E105" s="31"/>
    </row>
    <row r="106" spans="1:5" ht="15.75" customHeight="1" x14ac:dyDescent="0.3">
      <c r="A106" s="33">
        <v>21601</v>
      </c>
      <c r="B106" s="10" t="s">
        <v>313</v>
      </c>
      <c r="C106" s="1">
        <v>0.5</v>
      </c>
      <c r="D106" s="5">
        <v>1.4895458479478887</v>
      </c>
      <c r="E106" s="31"/>
    </row>
    <row r="107" spans="1:5" ht="15.75" customHeight="1" x14ac:dyDescent="0.3">
      <c r="A107" s="33">
        <v>21602</v>
      </c>
      <c r="B107" s="10" t="s">
        <v>108</v>
      </c>
      <c r="C107" s="1">
        <v>0.5</v>
      </c>
      <c r="D107" s="5">
        <v>1.4804270462633451</v>
      </c>
      <c r="E107" s="31"/>
    </row>
    <row r="108" spans="1:5" ht="15.75" customHeight="1" x14ac:dyDescent="0.3">
      <c r="A108" s="33">
        <v>21701</v>
      </c>
      <c r="B108" s="10" t="s">
        <v>251</v>
      </c>
      <c r="C108" s="1">
        <v>47.1</v>
      </c>
      <c r="D108" s="5">
        <v>11.16365478804256</v>
      </c>
      <c r="E108" s="31"/>
    </row>
    <row r="109" spans="1:5" ht="15.75" customHeight="1" x14ac:dyDescent="0.3">
      <c r="A109" s="33">
        <v>21702</v>
      </c>
      <c r="B109" s="10" t="s">
        <v>184</v>
      </c>
      <c r="C109" s="1">
        <v>26.5</v>
      </c>
      <c r="D109" s="5">
        <v>12.581446899979849</v>
      </c>
      <c r="E109" s="31"/>
    </row>
    <row r="110" spans="1:5" ht="15.75" customHeight="1" x14ac:dyDescent="0.3">
      <c r="A110" s="33">
        <v>21703</v>
      </c>
      <c r="B110" s="10" t="s">
        <v>135</v>
      </c>
      <c r="C110" s="1">
        <v>0.5</v>
      </c>
      <c r="D110" s="5">
        <v>4.239284032030147</v>
      </c>
      <c r="E110" s="31"/>
    </row>
    <row r="111" spans="1:5" ht="15.75" customHeight="1" x14ac:dyDescent="0.3">
      <c r="A111" s="33">
        <v>21801</v>
      </c>
      <c r="B111" s="10" t="s">
        <v>314</v>
      </c>
      <c r="C111" s="1">
        <v>0.1</v>
      </c>
      <c r="D111" s="5">
        <v>0.44873018903952644</v>
      </c>
      <c r="E111" s="31"/>
    </row>
    <row r="112" spans="1:5" ht="15.75" customHeight="1" x14ac:dyDescent="0.3">
      <c r="A112" s="33">
        <v>21802</v>
      </c>
      <c r="B112" s="10" t="s">
        <v>197</v>
      </c>
      <c r="C112" s="1">
        <v>0.2</v>
      </c>
      <c r="D112" s="5">
        <v>0.56075999472225879</v>
      </c>
      <c r="E112" s="31"/>
    </row>
    <row r="113" spans="1:5" ht="15.75" customHeight="1" x14ac:dyDescent="0.3">
      <c r="A113" s="33">
        <v>21803</v>
      </c>
      <c r="B113" s="10" t="s">
        <v>49</v>
      </c>
      <c r="C113" s="1">
        <v>0.3</v>
      </c>
      <c r="D113" s="5">
        <v>0.8974048023284017</v>
      </c>
      <c r="E113" s="31"/>
    </row>
    <row r="114" spans="1:5" ht="15.75" customHeight="1" x14ac:dyDescent="0.3">
      <c r="A114" s="33">
        <v>21901</v>
      </c>
      <c r="B114" s="10" t="s">
        <v>50</v>
      </c>
      <c r="C114" s="1">
        <v>0.7</v>
      </c>
      <c r="D114" s="5">
        <v>2.6675281521137162</v>
      </c>
      <c r="E114" s="31"/>
    </row>
    <row r="115" spans="1:5" ht="15.75" customHeight="1" x14ac:dyDescent="0.3">
      <c r="A115" s="33">
        <v>21902</v>
      </c>
      <c r="B115" s="10" t="s">
        <v>28</v>
      </c>
      <c r="C115" s="1">
        <v>0.1</v>
      </c>
      <c r="D115" s="5">
        <v>0.65835880554902426</v>
      </c>
      <c r="E115" s="31"/>
    </row>
    <row r="116" spans="1:5" ht="15.75" customHeight="1" x14ac:dyDescent="0.3">
      <c r="A116" s="33">
        <v>22001</v>
      </c>
      <c r="B116" s="10" t="s">
        <v>260</v>
      </c>
      <c r="C116" s="1">
        <v>2.5</v>
      </c>
      <c r="D116" s="5">
        <v>5.2620590027763363</v>
      </c>
      <c r="E116" s="31"/>
    </row>
    <row r="117" spans="1:5" ht="15.75" customHeight="1" x14ac:dyDescent="0.3">
      <c r="A117" s="33">
        <v>22002</v>
      </c>
      <c r="B117" s="10" t="s">
        <v>185</v>
      </c>
      <c r="C117" s="1">
        <v>0.4</v>
      </c>
      <c r="D117" s="5">
        <v>0.73301840690666231</v>
      </c>
      <c r="E117" s="31"/>
    </row>
    <row r="118" spans="1:5" ht="15.75" customHeight="1" x14ac:dyDescent="0.3">
      <c r="A118" s="33">
        <v>30101</v>
      </c>
      <c r="B118" s="10" t="s">
        <v>51</v>
      </c>
      <c r="C118" s="1">
        <v>4.2</v>
      </c>
      <c r="D118" s="5">
        <v>6.0801261672925131</v>
      </c>
      <c r="E118" s="31"/>
    </row>
    <row r="119" spans="1:5" ht="15.75" customHeight="1" x14ac:dyDescent="0.3">
      <c r="A119" s="33">
        <v>30201</v>
      </c>
      <c r="B119" s="10" t="s">
        <v>252</v>
      </c>
      <c r="C119" s="1">
        <v>7.5</v>
      </c>
      <c r="D119" s="5">
        <v>2.7099655577003143</v>
      </c>
      <c r="E119" s="31"/>
    </row>
    <row r="120" spans="1:5" ht="15.75" customHeight="1" x14ac:dyDescent="0.3">
      <c r="A120" s="33">
        <v>30202</v>
      </c>
      <c r="B120" s="10" t="s">
        <v>145</v>
      </c>
      <c r="C120" s="1">
        <v>0.5</v>
      </c>
      <c r="D120" s="5">
        <v>1.7233924269565757</v>
      </c>
      <c r="E120" s="31"/>
    </row>
    <row r="121" spans="1:5" ht="15.75" customHeight="1" x14ac:dyDescent="0.3">
      <c r="A121" s="33">
        <v>30203</v>
      </c>
      <c r="B121" s="10" t="s">
        <v>56</v>
      </c>
      <c r="C121" s="1">
        <v>0.4</v>
      </c>
      <c r="D121" s="5">
        <v>0.74282550521362001</v>
      </c>
      <c r="E121" s="31"/>
    </row>
    <row r="122" spans="1:5" ht="15.75" customHeight="1" x14ac:dyDescent="0.3">
      <c r="A122" s="33">
        <v>30301</v>
      </c>
      <c r="B122" s="10" t="s">
        <v>211</v>
      </c>
      <c r="C122" s="1">
        <v>9.3000000000000007</v>
      </c>
      <c r="D122" s="5">
        <v>1.1417677497747891</v>
      </c>
      <c r="E122" s="31"/>
    </row>
    <row r="123" spans="1:5" ht="15.75" customHeight="1" x14ac:dyDescent="0.3">
      <c r="A123" s="33">
        <v>30302</v>
      </c>
      <c r="B123" s="10" t="s">
        <v>177</v>
      </c>
      <c r="C123" s="1">
        <v>0.4</v>
      </c>
      <c r="D123" s="5">
        <v>1.0791232590269222</v>
      </c>
      <c r="E123" s="31"/>
    </row>
    <row r="124" spans="1:5" ht="15.75" customHeight="1" x14ac:dyDescent="0.3">
      <c r="A124" s="33">
        <v>30303</v>
      </c>
      <c r="B124" s="10" t="s">
        <v>66</v>
      </c>
      <c r="C124" s="1">
        <v>0.1</v>
      </c>
      <c r="D124" s="5">
        <v>0.24971060029766826</v>
      </c>
      <c r="E124" s="31"/>
    </row>
    <row r="125" spans="1:5" ht="15.75" customHeight="1" x14ac:dyDescent="0.3">
      <c r="A125" s="33">
        <v>30401</v>
      </c>
      <c r="B125" s="10" t="s">
        <v>171</v>
      </c>
      <c r="C125" s="1">
        <v>1</v>
      </c>
      <c r="D125" s="5">
        <v>2.1508346817159318</v>
      </c>
      <c r="E125" s="31"/>
    </row>
    <row r="126" spans="1:5" ht="15.75" customHeight="1" x14ac:dyDescent="0.3">
      <c r="A126" s="33">
        <v>30402</v>
      </c>
      <c r="B126" s="10" t="s">
        <v>153</v>
      </c>
      <c r="C126" s="1">
        <v>0.7</v>
      </c>
      <c r="D126" s="5">
        <v>1.7811237605582078</v>
      </c>
      <c r="E126" s="31"/>
    </row>
    <row r="127" spans="1:5" ht="15.75" customHeight="1" x14ac:dyDescent="0.3">
      <c r="A127" s="33">
        <v>30403</v>
      </c>
      <c r="B127" s="10" t="s">
        <v>259</v>
      </c>
      <c r="C127" s="1">
        <v>2.2000000000000002</v>
      </c>
      <c r="D127" s="5">
        <v>6.5634843712139563</v>
      </c>
      <c r="E127" s="31"/>
    </row>
    <row r="128" spans="1:5" ht="15.75" customHeight="1" x14ac:dyDescent="0.3">
      <c r="A128" s="33">
        <v>30404</v>
      </c>
      <c r="B128" s="10" t="s">
        <v>155</v>
      </c>
      <c r="C128" s="1">
        <v>1.1000000000000001</v>
      </c>
      <c r="D128" s="5">
        <v>2.1978021978021975</v>
      </c>
      <c r="E128" s="31"/>
    </row>
    <row r="129" spans="1:5" ht="15.75" customHeight="1" x14ac:dyDescent="0.3">
      <c r="A129" s="33">
        <v>30501</v>
      </c>
      <c r="B129" s="10" t="s">
        <v>179</v>
      </c>
      <c r="C129" s="1">
        <v>0.8</v>
      </c>
      <c r="D129" s="5">
        <v>2.9356943150046595</v>
      </c>
      <c r="E129" s="31"/>
    </row>
    <row r="130" spans="1:5" ht="15.75" customHeight="1" x14ac:dyDescent="0.3">
      <c r="A130" s="33">
        <v>30502</v>
      </c>
      <c r="B130" s="10" t="s">
        <v>238</v>
      </c>
      <c r="C130" s="1">
        <v>0.4</v>
      </c>
      <c r="D130" s="5">
        <v>1.0064991085293609</v>
      </c>
      <c r="E130" s="31"/>
    </row>
    <row r="131" spans="1:5" ht="15.75" customHeight="1" x14ac:dyDescent="0.3">
      <c r="A131" s="33">
        <v>30601</v>
      </c>
      <c r="B131" s="10" t="s">
        <v>128</v>
      </c>
      <c r="C131" s="1">
        <v>0.4</v>
      </c>
      <c r="D131" s="5">
        <v>1.0537166418508761</v>
      </c>
      <c r="E131" s="31"/>
    </row>
    <row r="132" spans="1:5" ht="15.75" customHeight="1" x14ac:dyDescent="0.3">
      <c r="A132" s="33">
        <v>30602</v>
      </c>
      <c r="B132" s="10" t="s">
        <v>48</v>
      </c>
      <c r="C132" s="1">
        <v>0.2</v>
      </c>
      <c r="D132" s="5">
        <v>0.44544752628140405</v>
      </c>
      <c r="E132" s="31"/>
    </row>
    <row r="133" spans="1:5" ht="15.75" customHeight="1" x14ac:dyDescent="0.3">
      <c r="A133" s="33">
        <v>30701</v>
      </c>
      <c r="B133" s="10" t="s">
        <v>269</v>
      </c>
      <c r="C133" s="1">
        <v>0.7</v>
      </c>
      <c r="D133" s="5">
        <v>1.5490248795317769</v>
      </c>
      <c r="E133" s="31"/>
    </row>
    <row r="134" spans="1:5" ht="15.75" customHeight="1" x14ac:dyDescent="0.3">
      <c r="A134" s="33">
        <v>30702</v>
      </c>
      <c r="B134" s="10" t="s">
        <v>176</v>
      </c>
      <c r="C134" s="1">
        <v>0.3</v>
      </c>
      <c r="D134" s="5">
        <v>0.3864157582231158</v>
      </c>
      <c r="E134" s="31"/>
    </row>
    <row r="135" spans="1:5" ht="15.75" customHeight="1" x14ac:dyDescent="0.3">
      <c r="A135" s="33">
        <v>30703</v>
      </c>
      <c r="B135" s="10" t="s">
        <v>96</v>
      </c>
      <c r="C135" s="1">
        <v>0.2</v>
      </c>
      <c r="D135" s="5">
        <v>0.45095828635851182</v>
      </c>
      <c r="E135" s="31"/>
    </row>
    <row r="136" spans="1:5" ht="15.75" customHeight="1" x14ac:dyDescent="0.3">
      <c r="A136" s="33">
        <v>30801</v>
      </c>
      <c r="B136" s="10" t="s">
        <v>202</v>
      </c>
      <c r="C136" s="1">
        <v>4.7</v>
      </c>
      <c r="D136" s="5">
        <v>2.2533040676224725</v>
      </c>
      <c r="E136" s="31"/>
    </row>
    <row r="137" spans="1:5" ht="15.75" customHeight="1" x14ac:dyDescent="0.3">
      <c r="A137" s="33">
        <v>30802</v>
      </c>
      <c r="B137" s="10" t="s">
        <v>315</v>
      </c>
      <c r="C137" s="1">
        <v>0.3</v>
      </c>
      <c r="D137" s="5">
        <v>0.68062827225130884</v>
      </c>
      <c r="E137" s="31"/>
    </row>
    <row r="138" spans="1:5" ht="15.75" customHeight="1" x14ac:dyDescent="0.3">
      <c r="A138" s="33">
        <v>30803</v>
      </c>
      <c r="B138" s="10" t="s">
        <v>19</v>
      </c>
      <c r="C138" s="1">
        <v>1.3</v>
      </c>
      <c r="D138" s="5">
        <v>2.7764227642276422</v>
      </c>
      <c r="E138" s="31"/>
    </row>
    <row r="139" spans="1:5" ht="15.75" customHeight="1" x14ac:dyDescent="0.3">
      <c r="A139" s="33">
        <v>30901</v>
      </c>
      <c r="B139" s="10" t="s">
        <v>299</v>
      </c>
      <c r="C139" s="1">
        <v>3.3</v>
      </c>
      <c r="D139" s="5">
        <v>5.1356041604781373</v>
      </c>
      <c r="E139" s="31"/>
    </row>
    <row r="140" spans="1:5" ht="15.75" customHeight="1" x14ac:dyDescent="0.3">
      <c r="A140" s="33">
        <v>30902</v>
      </c>
      <c r="B140" s="10" t="s">
        <v>292</v>
      </c>
      <c r="C140" s="1">
        <v>3</v>
      </c>
      <c r="D140" s="5">
        <v>1.9171300396347217</v>
      </c>
      <c r="E140" s="31"/>
    </row>
    <row r="141" spans="1:5" ht="15.75" customHeight="1" x14ac:dyDescent="0.3">
      <c r="A141" s="33">
        <v>30903</v>
      </c>
      <c r="B141" s="10" t="s">
        <v>283</v>
      </c>
      <c r="C141" s="1">
        <v>3.4</v>
      </c>
      <c r="D141" s="5">
        <v>4.178427730484116</v>
      </c>
      <c r="E141" s="31"/>
    </row>
    <row r="142" spans="1:5" ht="15.75" customHeight="1" x14ac:dyDescent="0.3">
      <c r="A142" s="33">
        <v>30904</v>
      </c>
      <c r="B142" s="10" t="s">
        <v>288</v>
      </c>
      <c r="C142" s="1">
        <v>3.1</v>
      </c>
      <c r="D142" s="5">
        <v>2.13655305326705</v>
      </c>
      <c r="E142" s="31"/>
    </row>
    <row r="143" spans="1:5" ht="15.75" customHeight="1" x14ac:dyDescent="0.3">
      <c r="A143" s="33">
        <v>30905</v>
      </c>
      <c r="B143" s="10" t="s">
        <v>213</v>
      </c>
      <c r="C143" s="1">
        <v>2.8</v>
      </c>
      <c r="D143" s="5">
        <v>2.4663774781366508</v>
      </c>
      <c r="E143" s="31"/>
    </row>
    <row r="144" spans="1:5" ht="15.75" customHeight="1" x14ac:dyDescent="0.3">
      <c r="A144" s="33">
        <v>31001</v>
      </c>
      <c r="B144" s="10" t="s">
        <v>303</v>
      </c>
      <c r="C144" s="1">
        <v>2.9</v>
      </c>
      <c r="D144" s="5">
        <v>6.6721425551405824</v>
      </c>
      <c r="E144" s="31"/>
    </row>
    <row r="145" spans="1:5" ht="15.75" customHeight="1" x14ac:dyDescent="0.3">
      <c r="A145" s="33">
        <v>31002</v>
      </c>
      <c r="B145" s="10" t="s">
        <v>275</v>
      </c>
      <c r="C145" s="1">
        <v>6.2</v>
      </c>
      <c r="D145" s="5">
        <v>0.74846537674552172</v>
      </c>
      <c r="E145" s="31"/>
    </row>
    <row r="146" spans="1:5" ht="15.75" customHeight="1" x14ac:dyDescent="0.3">
      <c r="A146" s="33">
        <v>31003</v>
      </c>
      <c r="B146" s="10" t="s">
        <v>195</v>
      </c>
      <c r="C146" s="1">
        <v>2.2999999999999998</v>
      </c>
      <c r="D146" s="5">
        <v>5.3084507042253515</v>
      </c>
      <c r="E146" s="31"/>
    </row>
    <row r="147" spans="1:5" ht="15.75" customHeight="1" x14ac:dyDescent="0.3">
      <c r="A147" s="33">
        <v>31101</v>
      </c>
      <c r="B147" s="10" t="s">
        <v>63</v>
      </c>
      <c r="C147" s="1">
        <v>8</v>
      </c>
      <c r="D147" s="5">
        <v>1.2561218937057863</v>
      </c>
      <c r="E147" s="31"/>
    </row>
    <row r="148" spans="1:5" ht="15.75" customHeight="1" x14ac:dyDescent="0.3">
      <c r="A148" s="33">
        <v>31201</v>
      </c>
      <c r="B148" s="10" t="s">
        <v>180</v>
      </c>
      <c r="C148" s="1">
        <v>0.5</v>
      </c>
      <c r="D148" s="5">
        <v>1.6782923375465466</v>
      </c>
      <c r="E148" s="31"/>
    </row>
    <row r="149" spans="1:5" ht="15.75" customHeight="1" x14ac:dyDescent="0.3">
      <c r="A149" s="33">
        <v>31202</v>
      </c>
      <c r="B149" s="10" t="s">
        <v>205</v>
      </c>
      <c r="C149" s="1">
        <v>0.3</v>
      </c>
      <c r="D149" s="5">
        <v>0.71378340365682136</v>
      </c>
      <c r="E149" s="31"/>
    </row>
    <row r="150" spans="1:5" ht="15.75" customHeight="1" x14ac:dyDescent="0.3">
      <c r="A150" s="33">
        <v>31203</v>
      </c>
      <c r="B150" s="10" t="s">
        <v>242</v>
      </c>
      <c r="C150" s="1">
        <v>0.2</v>
      </c>
      <c r="D150" s="5">
        <v>0.43416768082097168</v>
      </c>
      <c r="E150" s="31"/>
    </row>
    <row r="151" spans="1:5" ht="15.75" customHeight="1" x14ac:dyDescent="0.3">
      <c r="A151" s="33">
        <v>31204</v>
      </c>
      <c r="B151" s="10" t="s">
        <v>237</v>
      </c>
      <c r="C151" s="1">
        <v>3.6</v>
      </c>
      <c r="D151" s="5">
        <v>2.2716672320217097</v>
      </c>
      <c r="E151" s="31"/>
    </row>
    <row r="152" spans="1:5" ht="15.75" customHeight="1" x14ac:dyDescent="0.3">
      <c r="A152" s="33">
        <v>31205</v>
      </c>
      <c r="B152" s="10" t="s">
        <v>270</v>
      </c>
      <c r="C152" s="1">
        <v>1.8</v>
      </c>
      <c r="D152" s="5">
        <v>2.1774331512506415</v>
      </c>
      <c r="E152" s="31"/>
    </row>
    <row r="153" spans="1:5" ht="15.75" customHeight="1" x14ac:dyDescent="0.3">
      <c r="A153" s="33">
        <v>31206</v>
      </c>
      <c r="B153" s="10" t="s">
        <v>223</v>
      </c>
      <c r="C153" s="1">
        <v>1.9</v>
      </c>
      <c r="D153" s="5">
        <v>1.9992409867172674</v>
      </c>
      <c r="E153" s="31"/>
    </row>
    <row r="154" spans="1:5" ht="15.75" customHeight="1" x14ac:dyDescent="0.3">
      <c r="A154" s="33">
        <v>31301</v>
      </c>
      <c r="B154" s="10" t="s">
        <v>224</v>
      </c>
      <c r="C154" s="1">
        <v>3.7</v>
      </c>
      <c r="D154" s="5">
        <v>1.7288383536139369</v>
      </c>
      <c r="E154" s="31"/>
    </row>
    <row r="155" spans="1:5" ht="15.75" customHeight="1" x14ac:dyDescent="0.3">
      <c r="A155" s="33">
        <v>31302</v>
      </c>
      <c r="B155" s="10" t="s">
        <v>38</v>
      </c>
      <c r="C155" s="1">
        <v>0.6</v>
      </c>
      <c r="D155" s="5">
        <v>1.4847344207444582</v>
      </c>
      <c r="E155" s="31"/>
    </row>
    <row r="156" spans="1:5" ht="15.75" customHeight="1" x14ac:dyDescent="0.3">
      <c r="A156" s="33">
        <v>31303</v>
      </c>
      <c r="B156" s="10" t="s">
        <v>21</v>
      </c>
      <c r="C156" s="1">
        <v>0.2</v>
      </c>
      <c r="D156" s="5">
        <v>0.43692479315794364</v>
      </c>
      <c r="E156" s="31"/>
    </row>
    <row r="157" spans="1:5" ht="15.75" customHeight="1" x14ac:dyDescent="0.3">
      <c r="A157" s="34">
        <v>31304</v>
      </c>
      <c r="B157" s="10" t="s">
        <v>316</v>
      </c>
      <c r="C157" s="1"/>
      <c r="D157" s="5"/>
      <c r="E157" s="31"/>
    </row>
    <row r="158" spans="1:5" ht="15.75" customHeight="1" x14ac:dyDescent="0.3">
      <c r="A158" s="33">
        <v>31401</v>
      </c>
      <c r="B158" s="10" t="s">
        <v>240</v>
      </c>
      <c r="C158" s="1">
        <v>4.5999999999999996</v>
      </c>
      <c r="D158" s="5">
        <v>5.7672989422679191</v>
      </c>
      <c r="E158" s="31"/>
    </row>
    <row r="159" spans="1:5" ht="15.75" customHeight="1" x14ac:dyDescent="0.3">
      <c r="A159" s="33">
        <v>31402</v>
      </c>
      <c r="B159" s="10" t="s">
        <v>163</v>
      </c>
      <c r="C159" s="1">
        <v>0.7</v>
      </c>
      <c r="D159" s="5">
        <v>1.7707567964731816</v>
      </c>
      <c r="E159" s="31"/>
    </row>
    <row r="160" spans="1:5" ht="15.75" customHeight="1" x14ac:dyDescent="0.3">
      <c r="A160" s="33">
        <v>31403</v>
      </c>
      <c r="B160" s="10" t="s">
        <v>156</v>
      </c>
      <c r="C160" s="1">
        <v>0.6</v>
      </c>
      <c r="D160" s="5">
        <v>1.1147050175091555</v>
      </c>
      <c r="E160" s="31"/>
    </row>
    <row r="161" spans="1:5" ht="15.75" customHeight="1" x14ac:dyDescent="0.3">
      <c r="A161" s="33">
        <v>31404</v>
      </c>
      <c r="B161" s="10" t="s">
        <v>7</v>
      </c>
      <c r="C161" s="1">
        <v>0.7</v>
      </c>
      <c r="D161" s="5">
        <v>2.8193079880392995</v>
      </c>
      <c r="E161" s="31"/>
    </row>
    <row r="162" spans="1:5" ht="15.75" customHeight="1" x14ac:dyDescent="0.3">
      <c r="A162" s="33">
        <v>31405</v>
      </c>
      <c r="B162" s="10" t="s">
        <v>317</v>
      </c>
      <c r="C162" s="1">
        <v>1.2</v>
      </c>
      <c r="D162" s="5">
        <v>3.3278214138073587</v>
      </c>
      <c r="E162" s="31"/>
    </row>
    <row r="163" spans="1:5" ht="15.75" customHeight="1" x14ac:dyDescent="0.3">
      <c r="A163" s="33">
        <v>31501</v>
      </c>
      <c r="B163" s="10" t="s">
        <v>318</v>
      </c>
      <c r="C163" s="1">
        <v>0.2</v>
      </c>
      <c r="D163" s="5">
        <v>0.65637065637065639</v>
      </c>
      <c r="E163" s="31"/>
    </row>
    <row r="164" spans="1:5" ht="15.75" customHeight="1" x14ac:dyDescent="0.3">
      <c r="A164" s="33">
        <v>31601</v>
      </c>
      <c r="B164" s="10" t="s">
        <v>282</v>
      </c>
      <c r="C164" s="1">
        <v>6.6</v>
      </c>
      <c r="D164" s="5">
        <v>0.41548128287521235</v>
      </c>
      <c r="E164" s="31"/>
    </row>
    <row r="165" spans="1:5" ht="15.75" customHeight="1" x14ac:dyDescent="0.3">
      <c r="A165" s="33">
        <v>31602</v>
      </c>
      <c r="B165" s="10" t="s">
        <v>243</v>
      </c>
      <c r="C165" s="1">
        <v>4.4000000000000004</v>
      </c>
      <c r="D165" s="5">
        <v>3.5194844275038868</v>
      </c>
      <c r="E165" s="31"/>
    </row>
    <row r="166" spans="1:5" ht="15.75" customHeight="1" x14ac:dyDescent="0.3">
      <c r="A166" s="33">
        <v>40101</v>
      </c>
      <c r="B166" s="10" t="s">
        <v>57</v>
      </c>
      <c r="C166" s="1">
        <v>3.3</v>
      </c>
      <c r="D166" s="5">
        <v>4.4024609864029829</v>
      </c>
      <c r="E166" s="31"/>
    </row>
    <row r="167" spans="1:5" ht="15.75" customHeight="1" x14ac:dyDescent="0.3">
      <c r="A167" s="33">
        <v>40102</v>
      </c>
      <c r="B167" s="10" t="s">
        <v>286</v>
      </c>
      <c r="C167" s="1">
        <v>2.2000000000000002</v>
      </c>
      <c r="D167" s="5">
        <v>2.4637000825549964</v>
      </c>
      <c r="E167" s="31"/>
    </row>
    <row r="168" spans="1:5" ht="15.75" customHeight="1" x14ac:dyDescent="0.3">
      <c r="A168" s="33">
        <v>40103</v>
      </c>
      <c r="B168" s="10" t="s">
        <v>32</v>
      </c>
      <c r="C168" s="1">
        <v>0.2</v>
      </c>
      <c r="D168" s="5">
        <v>0.52945815027599419</v>
      </c>
      <c r="E168" s="31"/>
    </row>
    <row r="169" spans="1:5" ht="15.75" customHeight="1" x14ac:dyDescent="0.3">
      <c r="A169" s="33">
        <v>40104</v>
      </c>
      <c r="B169" s="10" t="s">
        <v>227</v>
      </c>
      <c r="C169" s="1">
        <v>0.3</v>
      </c>
      <c r="D169" s="5">
        <v>0.40925142068707465</v>
      </c>
      <c r="E169" s="31"/>
    </row>
    <row r="170" spans="1:5" ht="15.75" customHeight="1" x14ac:dyDescent="0.3">
      <c r="A170" s="33">
        <v>40201</v>
      </c>
      <c r="B170" s="10" t="s">
        <v>247</v>
      </c>
      <c r="C170" s="1">
        <v>2.1</v>
      </c>
      <c r="D170" s="5">
        <v>5.7357638944072722</v>
      </c>
      <c r="E170" s="31"/>
    </row>
    <row r="171" spans="1:5" ht="15.75" customHeight="1" x14ac:dyDescent="0.3">
      <c r="A171" s="33">
        <v>40202</v>
      </c>
      <c r="B171" s="10" t="s">
        <v>319</v>
      </c>
      <c r="C171" s="1">
        <v>0.6</v>
      </c>
      <c r="D171" s="5">
        <v>1.5787585217079299</v>
      </c>
      <c r="E171" s="31"/>
    </row>
    <row r="172" spans="1:5" ht="15.75" customHeight="1" x14ac:dyDescent="0.3">
      <c r="A172" s="33">
        <v>40301</v>
      </c>
      <c r="B172" s="10" t="s">
        <v>190</v>
      </c>
      <c r="C172" s="1">
        <v>0.4</v>
      </c>
      <c r="D172" s="5">
        <v>1.2375313383474689</v>
      </c>
      <c r="E172" s="31"/>
    </row>
    <row r="173" spans="1:5" ht="15.75" customHeight="1" x14ac:dyDescent="0.3">
      <c r="A173" s="33">
        <v>40302</v>
      </c>
      <c r="B173" s="10" t="s">
        <v>320</v>
      </c>
      <c r="C173" s="1">
        <v>0.3</v>
      </c>
      <c r="D173" s="5">
        <v>0.9491114701130855</v>
      </c>
      <c r="E173" s="31"/>
    </row>
    <row r="174" spans="1:5" ht="15.75" customHeight="1" x14ac:dyDescent="0.3">
      <c r="A174" s="33">
        <v>40401</v>
      </c>
      <c r="B174" s="10" t="s">
        <v>110</v>
      </c>
      <c r="C174" s="1">
        <v>0.2</v>
      </c>
      <c r="D174" s="5">
        <v>0.59569696544957595</v>
      </c>
      <c r="E174" s="31"/>
    </row>
    <row r="175" spans="1:5" ht="15.75" customHeight="1" x14ac:dyDescent="0.3">
      <c r="A175" s="33">
        <v>40402</v>
      </c>
      <c r="B175" s="10" t="s">
        <v>144</v>
      </c>
      <c r="C175" s="1">
        <v>0.4</v>
      </c>
      <c r="D175" s="5">
        <v>1.0633379565418402</v>
      </c>
      <c r="E175" s="31"/>
    </row>
    <row r="176" spans="1:5" ht="15.75" customHeight="1" x14ac:dyDescent="0.3">
      <c r="A176" s="33">
        <v>40501</v>
      </c>
      <c r="B176" s="10" t="s">
        <v>6</v>
      </c>
      <c r="C176" s="1">
        <v>1.1000000000000001</v>
      </c>
      <c r="D176" s="5">
        <v>2.9259896729776247</v>
      </c>
      <c r="E176" s="31"/>
    </row>
    <row r="177" spans="1:5" ht="15.75" customHeight="1" x14ac:dyDescent="0.3">
      <c r="A177" s="33">
        <v>40502</v>
      </c>
      <c r="B177" s="10" t="s">
        <v>111</v>
      </c>
      <c r="C177" s="1">
        <v>0.3</v>
      </c>
      <c r="D177" s="5">
        <v>2.2321942239097914</v>
      </c>
      <c r="E177" s="31"/>
    </row>
    <row r="178" spans="1:5" ht="15.75" customHeight="1" x14ac:dyDescent="0.3">
      <c r="A178" s="33">
        <v>40503</v>
      </c>
      <c r="B178" s="10" t="s">
        <v>40</v>
      </c>
      <c r="C178" s="1">
        <v>0.2</v>
      </c>
      <c r="D178" s="5">
        <v>0.94876660341555974</v>
      </c>
      <c r="E178" s="31"/>
    </row>
    <row r="179" spans="1:5" ht="15.75" customHeight="1" x14ac:dyDescent="0.3">
      <c r="A179" s="33">
        <v>40504</v>
      </c>
      <c r="B179" s="10" t="s">
        <v>321</v>
      </c>
      <c r="C179" s="1">
        <v>0</v>
      </c>
      <c r="D179" s="5">
        <v>5.7559478127398309</v>
      </c>
      <c r="E179" s="31"/>
    </row>
    <row r="180" spans="1:5" ht="15.75" customHeight="1" x14ac:dyDescent="0.3">
      <c r="A180" s="33">
        <v>40505</v>
      </c>
      <c r="B180" s="10" t="s">
        <v>22</v>
      </c>
      <c r="C180" s="1">
        <v>0.2</v>
      </c>
      <c r="D180" s="5">
        <v>1.0545209782364819</v>
      </c>
      <c r="E180" s="31"/>
    </row>
    <row r="181" spans="1:5" ht="15.75" customHeight="1" x14ac:dyDescent="0.3">
      <c r="A181" s="33">
        <v>40601</v>
      </c>
      <c r="B181" s="10" t="s">
        <v>208</v>
      </c>
      <c r="C181" s="1">
        <v>0.1</v>
      </c>
      <c r="D181" s="5">
        <v>0.31261352555400468</v>
      </c>
      <c r="E181" s="31"/>
    </row>
    <row r="182" spans="1:5" ht="15.75" customHeight="1" x14ac:dyDescent="0.3">
      <c r="A182" s="33">
        <v>40602</v>
      </c>
      <c r="B182" s="10" t="s">
        <v>137</v>
      </c>
      <c r="C182" s="1">
        <v>0.5</v>
      </c>
      <c r="D182" s="5">
        <v>1.0596427490160458</v>
      </c>
      <c r="E182" s="31"/>
    </row>
    <row r="183" spans="1:5" ht="15.75" customHeight="1" x14ac:dyDescent="0.3">
      <c r="A183" s="33">
        <v>40603</v>
      </c>
      <c r="B183" s="10" t="s">
        <v>45</v>
      </c>
      <c r="C183" s="1">
        <v>0</v>
      </c>
      <c r="D183" s="5">
        <v>3.1619839190532122E-2</v>
      </c>
      <c r="E183" s="31"/>
    </row>
    <row r="184" spans="1:5" ht="15.75" customHeight="1" x14ac:dyDescent="0.3">
      <c r="A184" s="33">
        <v>40701</v>
      </c>
      <c r="B184" s="10" t="s">
        <v>215</v>
      </c>
      <c r="C184" s="1">
        <v>0.7</v>
      </c>
      <c r="D184" s="5">
        <v>0.95135281020174067</v>
      </c>
      <c r="E184" s="31"/>
    </row>
    <row r="185" spans="1:5" ht="15.75" customHeight="1" x14ac:dyDescent="0.3">
      <c r="A185" s="33">
        <v>40702</v>
      </c>
      <c r="B185" s="10" t="s">
        <v>47</v>
      </c>
      <c r="C185" s="1">
        <v>1.1000000000000001</v>
      </c>
      <c r="D185" s="5">
        <v>1.8554116172168826</v>
      </c>
      <c r="E185" s="31"/>
    </row>
    <row r="186" spans="1:5" ht="15.75" customHeight="1" x14ac:dyDescent="0.3">
      <c r="A186" s="33">
        <v>40801</v>
      </c>
      <c r="B186" s="10" t="s">
        <v>322</v>
      </c>
      <c r="C186" s="1">
        <v>0.2</v>
      </c>
      <c r="D186" s="5">
        <v>0.45580777589954125</v>
      </c>
      <c r="E186" s="31"/>
    </row>
    <row r="187" spans="1:5" ht="15.75" customHeight="1" x14ac:dyDescent="0.3">
      <c r="A187" s="33">
        <v>40802</v>
      </c>
      <c r="B187" s="10" t="s">
        <v>69</v>
      </c>
      <c r="C187" s="1">
        <v>0.3</v>
      </c>
      <c r="D187" s="5">
        <v>0.50267379679144386</v>
      </c>
      <c r="E187" s="31"/>
    </row>
    <row r="188" spans="1:5" ht="15.75" customHeight="1" x14ac:dyDescent="0.3">
      <c r="A188" s="33">
        <v>40901</v>
      </c>
      <c r="B188" s="10" t="s">
        <v>173</v>
      </c>
      <c r="C188" s="1">
        <v>0.9</v>
      </c>
      <c r="D188" s="5">
        <v>2.8644008409250179</v>
      </c>
      <c r="E188" s="31"/>
    </row>
    <row r="189" spans="1:5" ht="15.75" customHeight="1" x14ac:dyDescent="0.3">
      <c r="A189" s="33">
        <v>40902</v>
      </c>
      <c r="B189" s="10" t="s">
        <v>0</v>
      </c>
      <c r="C189" s="1">
        <v>0.1</v>
      </c>
      <c r="D189" s="5">
        <v>0.37236243276789405</v>
      </c>
      <c r="E189" s="31"/>
    </row>
    <row r="190" spans="1:5" ht="15.75" customHeight="1" x14ac:dyDescent="0.3">
      <c r="A190" s="33">
        <v>40903</v>
      </c>
      <c r="B190" s="10" t="s">
        <v>23</v>
      </c>
      <c r="C190" s="1">
        <v>0.2</v>
      </c>
      <c r="D190" s="5">
        <v>0.58120762027768802</v>
      </c>
      <c r="E190" s="31"/>
    </row>
    <row r="191" spans="1:5" ht="15.75" customHeight="1" x14ac:dyDescent="0.3">
      <c r="A191" s="33">
        <v>41001</v>
      </c>
      <c r="B191" s="10" t="s">
        <v>125</v>
      </c>
      <c r="C191" s="1">
        <v>0.3</v>
      </c>
      <c r="D191" s="5">
        <v>0.86427111716621241</v>
      </c>
      <c r="E191" s="31"/>
    </row>
    <row r="192" spans="1:5" ht="15.75" customHeight="1" x14ac:dyDescent="0.3">
      <c r="A192" s="33">
        <v>41101</v>
      </c>
      <c r="B192" s="10" t="s">
        <v>127</v>
      </c>
      <c r="C192" s="1">
        <v>0.7</v>
      </c>
      <c r="D192" s="5">
        <v>1.3652533410249013</v>
      </c>
      <c r="E192" s="31"/>
    </row>
    <row r="193" spans="1:5" ht="15.75" customHeight="1" x14ac:dyDescent="0.3">
      <c r="A193" s="33">
        <v>41201</v>
      </c>
      <c r="B193" s="10" t="s">
        <v>152</v>
      </c>
      <c r="C193" s="1">
        <v>0.3</v>
      </c>
      <c r="D193" s="5">
        <v>0.58184639255236614</v>
      </c>
      <c r="E193" s="31"/>
    </row>
    <row r="194" spans="1:5" ht="15.75" customHeight="1" x14ac:dyDescent="0.3">
      <c r="A194" s="33">
        <v>41202</v>
      </c>
      <c r="B194" s="10" t="s">
        <v>55</v>
      </c>
      <c r="C194" s="1">
        <v>0.3</v>
      </c>
      <c r="D194" s="5">
        <v>0.78634766605320383</v>
      </c>
      <c r="E194" s="31"/>
    </row>
    <row r="195" spans="1:5" ht="15.75" customHeight="1" x14ac:dyDescent="0.3">
      <c r="A195" s="33">
        <v>41301</v>
      </c>
      <c r="B195" s="10" t="s">
        <v>134</v>
      </c>
      <c r="C195" s="1">
        <v>0.2</v>
      </c>
      <c r="D195" s="5">
        <v>0.82476227440326022</v>
      </c>
      <c r="E195" s="31"/>
    </row>
    <row r="196" spans="1:5" ht="15.75" customHeight="1" x14ac:dyDescent="0.3">
      <c r="A196" s="33">
        <v>41401</v>
      </c>
      <c r="B196" s="10" t="s">
        <v>323</v>
      </c>
      <c r="C196" s="1">
        <v>0.2</v>
      </c>
      <c r="D196" s="5">
        <v>0.22907438739235408</v>
      </c>
      <c r="E196" s="31"/>
    </row>
    <row r="197" spans="1:5" ht="15.75" customHeight="1" x14ac:dyDescent="0.3">
      <c r="A197" s="33">
        <v>41501</v>
      </c>
      <c r="B197" s="10" t="s">
        <v>1</v>
      </c>
      <c r="C197" s="1">
        <v>0.1</v>
      </c>
      <c r="D197" s="5">
        <v>0.36481556546412647</v>
      </c>
      <c r="E197" s="31"/>
    </row>
    <row r="198" spans="1:5" ht="15.75" customHeight="1" x14ac:dyDescent="0.3">
      <c r="A198" s="33">
        <v>41502</v>
      </c>
      <c r="B198" s="10" t="s">
        <v>5</v>
      </c>
      <c r="C198" s="1">
        <v>0.2</v>
      </c>
      <c r="D198" s="5">
        <v>0.52023121387283233</v>
      </c>
      <c r="E198" s="31"/>
    </row>
    <row r="199" spans="1:5" ht="15.75" customHeight="1" x14ac:dyDescent="0.3">
      <c r="A199" s="33">
        <v>41503</v>
      </c>
      <c r="B199" s="10" t="s">
        <v>8</v>
      </c>
      <c r="C199" s="1">
        <v>0.5</v>
      </c>
      <c r="D199" s="5">
        <v>4.831124412141941</v>
      </c>
      <c r="E199" s="31"/>
    </row>
    <row r="200" spans="1:5" ht="15.75" customHeight="1" x14ac:dyDescent="0.3">
      <c r="A200" s="33">
        <v>41601</v>
      </c>
      <c r="B200" s="10" t="s">
        <v>385</v>
      </c>
      <c r="C200" s="1">
        <v>0.2</v>
      </c>
      <c r="D200" s="5">
        <v>0.5125815470643057</v>
      </c>
      <c r="E200" s="31"/>
    </row>
    <row r="201" spans="1:5" ht="15.75" customHeight="1" x14ac:dyDescent="0.3">
      <c r="A201" s="33">
        <v>50101</v>
      </c>
      <c r="B201" s="10" t="s">
        <v>302</v>
      </c>
      <c r="C201" s="1">
        <v>5.4</v>
      </c>
      <c r="D201" s="5">
        <v>3.2447254037385638</v>
      </c>
      <c r="E201" s="31"/>
    </row>
    <row r="202" spans="1:5" ht="15.75" customHeight="1" x14ac:dyDescent="0.3">
      <c r="A202" s="33">
        <v>50102</v>
      </c>
      <c r="B202" s="10" t="s">
        <v>34</v>
      </c>
      <c r="C202" s="1">
        <v>2</v>
      </c>
      <c r="D202" s="5">
        <v>0.96327513546056598</v>
      </c>
      <c r="E202" s="31"/>
    </row>
    <row r="203" spans="1:5" ht="15.75" customHeight="1" x14ac:dyDescent="0.3">
      <c r="A203" s="33">
        <v>50103</v>
      </c>
      <c r="B203" s="10" t="s">
        <v>207</v>
      </c>
      <c r="C203" s="1">
        <v>0.7</v>
      </c>
      <c r="D203" s="5">
        <v>2.0503261882572228</v>
      </c>
      <c r="E203" s="31"/>
    </row>
    <row r="204" spans="1:5" ht="15.75" customHeight="1" x14ac:dyDescent="0.3">
      <c r="A204" s="33">
        <v>50104</v>
      </c>
      <c r="B204" s="10" t="s">
        <v>387</v>
      </c>
      <c r="C204" s="1">
        <v>0.2</v>
      </c>
      <c r="D204" s="5">
        <v>2.5749933634191664</v>
      </c>
      <c r="E204" s="31"/>
    </row>
    <row r="205" spans="1:5" ht="15.75" customHeight="1" x14ac:dyDescent="0.3">
      <c r="A205" s="33">
        <v>50201</v>
      </c>
      <c r="B205" s="10" t="s">
        <v>264</v>
      </c>
      <c r="C205" s="1">
        <v>3.1</v>
      </c>
      <c r="D205" s="5">
        <v>2.6918622715589073</v>
      </c>
      <c r="E205" s="31"/>
    </row>
    <row r="206" spans="1:5" ht="15.75" customHeight="1" x14ac:dyDescent="0.3">
      <c r="A206" s="33">
        <v>50202</v>
      </c>
      <c r="B206" s="10" t="s">
        <v>228</v>
      </c>
      <c r="C206" s="1">
        <v>0.5</v>
      </c>
      <c r="D206" s="5">
        <v>1.2291388818801141</v>
      </c>
      <c r="E206" s="31"/>
    </row>
    <row r="207" spans="1:5" ht="15.75" customHeight="1" x14ac:dyDescent="0.3">
      <c r="A207" s="33">
        <v>50203</v>
      </c>
      <c r="B207" s="10" t="s">
        <v>295</v>
      </c>
      <c r="C207" s="1">
        <v>2.5</v>
      </c>
      <c r="D207" s="5">
        <v>5.5746123447874663</v>
      </c>
      <c r="E207" s="31"/>
    </row>
    <row r="208" spans="1:5" ht="15.75" customHeight="1" x14ac:dyDescent="0.3">
      <c r="A208" s="33">
        <v>50204</v>
      </c>
      <c r="B208" s="10" t="s">
        <v>389</v>
      </c>
      <c r="C208" s="1">
        <v>0.3</v>
      </c>
      <c r="D208" s="5">
        <v>0.84362139917695467</v>
      </c>
      <c r="E208" s="31"/>
    </row>
    <row r="209" spans="1:5" ht="15.75" customHeight="1" x14ac:dyDescent="0.3">
      <c r="A209" s="33">
        <v>50301</v>
      </c>
      <c r="B209" s="10" t="s">
        <v>266</v>
      </c>
      <c r="C209" s="1">
        <v>2.2000000000000002</v>
      </c>
      <c r="D209" s="5">
        <v>1.8381971128881502</v>
      </c>
      <c r="E209" s="31"/>
    </row>
    <row r="210" spans="1:5" ht="15.75" customHeight="1" x14ac:dyDescent="0.3">
      <c r="A210" s="33">
        <v>50302</v>
      </c>
      <c r="B210" s="10" t="s">
        <v>219</v>
      </c>
      <c r="C210" s="1">
        <v>0.7</v>
      </c>
      <c r="D210" s="5">
        <v>5.3212790486014194</v>
      </c>
      <c r="E210" s="31"/>
    </row>
    <row r="211" spans="1:5" ht="15.75" customHeight="1" x14ac:dyDescent="0.3">
      <c r="A211" s="33">
        <v>50303</v>
      </c>
      <c r="B211" s="10" t="s">
        <v>15</v>
      </c>
      <c r="C211" s="1">
        <v>0.2</v>
      </c>
      <c r="D211" s="5">
        <v>0.39715854052308686</v>
      </c>
      <c r="E211" s="31"/>
    </row>
    <row r="212" spans="1:5" ht="15.75" customHeight="1" x14ac:dyDescent="0.3">
      <c r="A212" s="33">
        <v>50401</v>
      </c>
      <c r="B212" s="10" t="s">
        <v>119</v>
      </c>
      <c r="C212" s="1">
        <v>1.5</v>
      </c>
      <c r="D212" s="5">
        <v>0.97184478769939475</v>
      </c>
      <c r="E212" s="31"/>
    </row>
    <row r="213" spans="1:5" ht="15.75" customHeight="1" x14ac:dyDescent="0.3">
      <c r="A213" s="33">
        <v>50402</v>
      </c>
      <c r="B213" s="10" t="s">
        <v>46</v>
      </c>
      <c r="C213" s="1">
        <v>2.6</v>
      </c>
      <c r="D213" s="5">
        <v>0.9652127147669054</v>
      </c>
      <c r="E213" s="31"/>
    </row>
    <row r="214" spans="1:5" ht="15.75" customHeight="1" x14ac:dyDescent="0.3">
      <c r="A214" s="33">
        <v>50403</v>
      </c>
      <c r="B214" s="10" t="s">
        <v>52</v>
      </c>
      <c r="C214" s="1">
        <v>2.1</v>
      </c>
      <c r="D214" s="5">
        <v>1.081868070332624</v>
      </c>
      <c r="E214" s="31"/>
    </row>
    <row r="215" spans="1:5" ht="15.75" customHeight="1" x14ac:dyDescent="0.3">
      <c r="A215" s="33">
        <v>50404</v>
      </c>
      <c r="B215" s="10" t="s">
        <v>42</v>
      </c>
      <c r="C215" s="1">
        <v>0.3</v>
      </c>
      <c r="D215" s="5">
        <v>1.0653985106539852</v>
      </c>
      <c r="E215" s="31"/>
    </row>
    <row r="216" spans="1:5" ht="15.75" customHeight="1" x14ac:dyDescent="0.3">
      <c r="A216" s="33">
        <v>50405</v>
      </c>
      <c r="B216" s="32" t="s">
        <v>324</v>
      </c>
      <c r="C216" s="1"/>
      <c r="D216" s="5"/>
      <c r="E216" s="31"/>
    </row>
    <row r="217" spans="1:5" ht="15.75" customHeight="1" x14ac:dyDescent="0.3">
      <c r="A217" s="33">
        <v>50501</v>
      </c>
      <c r="B217" s="10" t="s">
        <v>392</v>
      </c>
      <c r="C217" s="1">
        <v>2</v>
      </c>
      <c r="D217" s="5">
        <v>1.0272117348001832</v>
      </c>
      <c r="E217" s="31"/>
    </row>
    <row r="218" spans="1:5" ht="15.75" customHeight="1" x14ac:dyDescent="0.3">
      <c r="A218" s="33">
        <v>50502</v>
      </c>
      <c r="B218" s="10" t="s">
        <v>61</v>
      </c>
      <c r="C218" s="1">
        <v>24.9</v>
      </c>
      <c r="D218" s="5">
        <v>5.8001995154624488</v>
      </c>
      <c r="E218" s="31"/>
    </row>
    <row r="219" spans="1:5" ht="15.75" customHeight="1" x14ac:dyDescent="0.3">
      <c r="A219" s="33">
        <v>50601</v>
      </c>
      <c r="B219" s="10" t="s">
        <v>114</v>
      </c>
      <c r="C219" s="1">
        <v>2.5</v>
      </c>
      <c r="D219" s="5">
        <v>2.7908909574468082</v>
      </c>
      <c r="E219" s="31"/>
    </row>
    <row r="220" spans="1:5" ht="15.75" customHeight="1" x14ac:dyDescent="0.3">
      <c r="A220" s="33">
        <v>50602</v>
      </c>
      <c r="B220" s="10" t="s">
        <v>234</v>
      </c>
      <c r="C220" s="1">
        <v>1.4</v>
      </c>
      <c r="D220" s="5">
        <v>3.7844960105409555</v>
      </c>
      <c r="E220" s="31"/>
    </row>
    <row r="221" spans="1:5" ht="15.75" customHeight="1" x14ac:dyDescent="0.3">
      <c r="A221" s="33">
        <v>50701</v>
      </c>
      <c r="B221" s="10" t="s">
        <v>395</v>
      </c>
      <c r="C221" s="1">
        <v>0.4</v>
      </c>
      <c r="D221" s="5">
        <v>1.1426602738939451</v>
      </c>
      <c r="E221" s="31"/>
    </row>
    <row r="222" spans="1:5" ht="15.75" customHeight="1" x14ac:dyDescent="0.3">
      <c r="A222" s="33">
        <v>50702</v>
      </c>
      <c r="B222" s="10" t="s">
        <v>78</v>
      </c>
      <c r="C222" s="1">
        <v>0.3</v>
      </c>
      <c r="D222" s="5">
        <v>1.2475939259998574</v>
      </c>
      <c r="E222" s="31"/>
    </row>
    <row r="223" spans="1:5" ht="15.75" customHeight="1" x14ac:dyDescent="0.3">
      <c r="A223" s="33">
        <v>50801</v>
      </c>
      <c r="B223" s="10" t="s">
        <v>290</v>
      </c>
      <c r="C223" s="1">
        <v>4.4000000000000004</v>
      </c>
      <c r="D223" s="5">
        <v>6.4964263409895224</v>
      </c>
      <c r="E223" s="31"/>
    </row>
    <row r="224" spans="1:5" ht="15.75" customHeight="1" x14ac:dyDescent="0.3">
      <c r="A224" s="33">
        <v>50802</v>
      </c>
      <c r="B224" s="10" t="s">
        <v>120</v>
      </c>
      <c r="C224" s="1">
        <v>0.3</v>
      </c>
      <c r="D224" s="5">
        <v>0.45143491813263587</v>
      </c>
      <c r="E224" s="31"/>
    </row>
    <row r="225" spans="1:5" ht="15.75" customHeight="1" x14ac:dyDescent="0.3">
      <c r="A225" s="33">
        <v>50901</v>
      </c>
      <c r="B225" s="10" t="s">
        <v>398</v>
      </c>
      <c r="C225" s="1">
        <v>0</v>
      </c>
      <c r="D225" s="5">
        <v>0.16736460458136457</v>
      </c>
      <c r="E225" s="31"/>
    </row>
    <row r="226" spans="1:5" ht="15.75" customHeight="1" x14ac:dyDescent="0.3">
      <c r="A226" s="33">
        <v>50902</v>
      </c>
      <c r="B226" s="10" t="s">
        <v>13</v>
      </c>
      <c r="C226" s="1">
        <v>1.1000000000000001</v>
      </c>
      <c r="D226" s="5">
        <v>2.0097772949483979</v>
      </c>
      <c r="E226" s="31"/>
    </row>
    <row r="227" spans="1:5" ht="15.75" customHeight="1" x14ac:dyDescent="0.3">
      <c r="A227" s="33">
        <v>51001</v>
      </c>
      <c r="B227" s="10" t="s">
        <v>86</v>
      </c>
      <c r="C227" s="1">
        <v>1.9</v>
      </c>
      <c r="D227" s="5">
        <v>3.1774133432724567</v>
      </c>
      <c r="E227" s="31"/>
    </row>
    <row r="228" spans="1:5" ht="15.75" customHeight="1" x14ac:dyDescent="0.3">
      <c r="A228" s="33">
        <v>51002</v>
      </c>
      <c r="B228" s="10" t="s">
        <v>16</v>
      </c>
      <c r="C228" s="1">
        <v>0</v>
      </c>
      <c r="D228" s="5">
        <v>0.78534031413612559</v>
      </c>
      <c r="E228" s="31"/>
    </row>
    <row r="229" spans="1:5" ht="15.75" customHeight="1" x14ac:dyDescent="0.3">
      <c r="A229" s="33">
        <v>51003</v>
      </c>
      <c r="B229" s="10" t="s">
        <v>60</v>
      </c>
      <c r="C229" s="1">
        <v>0.9</v>
      </c>
      <c r="D229" s="5">
        <v>3.6443148688046647</v>
      </c>
      <c r="E229" s="31"/>
    </row>
    <row r="230" spans="1:5" ht="15.75" customHeight="1" x14ac:dyDescent="0.3">
      <c r="A230" s="33">
        <v>51101</v>
      </c>
      <c r="B230" s="10" t="s">
        <v>265</v>
      </c>
      <c r="C230" s="1">
        <v>2.5</v>
      </c>
      <c r="D230" s="5">
        <v>0.89068825910931171</v>
      </c>
      <c r="E230" s="31"/>
    </row>
    <row r="231" spans="1:5" ht="15.75" customHeight="1" x14ac:dyDescent="0.3">
      <c r="A231" s="33">
        <v>51102</v>
      </c>
      <c r="B231" s="10" t="s">
        <v>325</v>
      </c>
      <c r="C231" s="1">
        <v>0.5</v>
      </c>
      <c r="D231" s="5">
        <v>1.1724695585996954</v>
      </c>
      <c r="E231" s="31"/>
    </row>
    <row r="232" spans="1:5" ht="15.75" customHeight="1" x14ac:dyDescent="0.3">
      <c r="A232" s="33">
        <v>51103</v>
      </c>
      <c r="B232" s="10" t="s">
        <v>175</v>
      </c>
      <c r="C232" s="1">
        <v>0.4</v>
      </c>
      <c r="D232" s="5">
        <v>1.0236680292672873</v>
      </c>
      <c r="E232" s="31"/>
    </row>
    <row r="233" spans="1:5" ht="15.75" customHeight="1" x14ac:dyDescent="0.3">
      <c r="A233" s="33">
        <v>51201</v>
      </c>
      <c r="B233" s="10" t="s">
        <v>289</v>
      </c>
      <c r="C233" s="1">
        <v>29.1</v>
      </c>
      <c r="D233" s="5">
        <v>9.0377621426871961</v>
      </c>
      <c r="E233" s="31"/>
    </row>
    <row r="234" spans="1:5" ht="15.75" customHeight="1" x14ac:dyDescent="0.3">
      <c r="A234" s="33">
        <v>51202</v>
      </c>
      <c r="B234" s="10" t="s">
        <v>130</v>
      </c>
      <c r="C234" s="1">
        <v>0.6</v>
      </c>
      <c r="D234" s="5">
        <v>1.0185443840385069</v>
      </c>
      <c r="E234" s="31"/>
    </row>
    <row r="235" spans="1:5" ht="15.75" customHeight="1" x14ac:dyDescent="0.3">
      <c r="A235" s="33">
        <v>51203</v>
      </c>
      <c r="B235" s="10" t="s">
        <v>166</v>
      </c>
      <c r="C235" s="1">
        <v>0.2</v>
      </c>
      <c r="D235" s="5">
        <v>0.29660706330812736</v>
      </c>
      <c r="E235" s="31"/>
    </row>
    <row r="236" spans="1:5" ht="15.75" customHeight="1" x14ac:dyDescent="0.3">
      <c r="A236" s="33">
        <v>51204</v>
      </c>
      <c r="B236" s="32" t="s">
        <v>402</v>
      </c>
      <c r="C236" s="1"/>
      <c r="D236" s="5"/>
      <c r="E236" s="31"/>
    </row>
    <row r="237" spans="1:5" ht="15.75" customHeight="1" x14ac:dyDescent="0.3">
      <c r="A237" s="33">
        <v>51301</v>
      </c>
      <c r="B237" s="10" t="s">
        <v>104</v>
      </c>
      <c r="C237" s="1">
        <v>0.4</v>
      </c>
      <c r="D237" s="5">
        <v>1.257861635220126</v>
      </c>
      <c r="E237" s="31"/>
    </row>
    <row r="238" spans="1:5" ht="15.75" customHeight="1" x14ac:dyDescent="0.3">
      <c r="A238" s="33">
        <v>51302</v>
      </c>
      <c r="B238" s="10" t="s">
        <v>169</v>
      </c>
      <c r="C238" s="1">
        <v>0.6</v>
      </c>
      <c r="D238" s="5">
        <v>1.6143587686754237</v>
      </c>
      <c r="E238" s="31"/>
    </row>
    <row r="239" spans="1:5" ht="15.75" customHeight="1" x14ac:dyDescent="0.3">
      <c r="A239" s="33">
        <v>51401</v>
      </c>
      <c r="B239" s="10" t="s">
        <v>151</v>
      </c>
      <c r="C239" s="1">
        <v>0.5</v>
      </c>
      <c r="D239" s="5">
        <v>1.7312542994725979</v>
      </c>
      <c r="E239" s="31"/>
    </row>
    <row r="240" spans="1:5" ht="15.75" customHeight="1" x14ac:dyDescent="0.3">
      <c r="A240" s="33">
        <v>51402</v>
      </c>
      <c r="B240" s="10" t="s">
        <v>25</v>
      </c>
      <c r="C240" s="1">
        <v>0.5</v>
      </c>
      <c r="D240" s="5">
        <v>1.3001383125864452</v>
      </c>
      <c r="E240" s="31"/>
    </row>
    <row r="241" spans="1:5" ht="15.75" customHeight="1" x14ac:dyDescent="0.3">
      <c r="A241" s="33">
        <v>51501</v>
      </c>
      <c r="B241" s="10" t="s">
        <v>293</v>
      </c>
      <c r="C241" s="1">
        <v>6</v>
      </c>
      <c r="D241" s="5">
        <v>11.35110142342878</v>
      </c>
      <c r="E241" s="31"/>
    </row>
    <row r="242" spans="1:5" ht="15.75" customHeight="1" x14ac:dyDescent="0.3">
      <c r="A242" s="33">
        <v>51601</v>
      </c>
      <c r="B242" s="10" t="s">
        <v>29</v>
      </c>
      <c r="C242" s="1">
        <v>0.7</v>
      </c>
      <c r="D242" s="5">
        <v>3.1324157570004751</v>
      </c>
      <c r="E242" s="31"/>
    </row>
    <row r="243" spans="1:5" ht="15.75" customHeight="1" x14ac:dyDescent="0.3">
      <c r="A243" s="33">
        <v>60101</v>
      </c>
      <c r="B243" s="10" t="s">
        <v>76</v>
      </c>
      <c r="C243" s="1">
        <v>3.3</v>
      </c>
      <c r="D243" s="5">
        <v>5.397964194458547</v>
      </c>
      <c r="E243" s="31"/>
    </row>
    <row r="244" spans="1:5" ht="15.75" customHeight="1" x14ac:dyDescent="0.3">
      <c r="A244" s="33">
        <v>60201</v>
      </c>
      <c r="B244" s="10" t="s">
        <v>274</v>
      </c>
      <c r="C244" s="1">
        <v>0.7</v>
      </c>
      <c r="D244" s="5">
        <v>1.531201365530398</v>
      </c>
      <c r="E244" s="31"/>
    </row>
    <row r="245" spans="1:5" ht="15.75" customHeight="1" x14ac:dyDescent="0.3">
      <c r="A245" s="33">
        <v>60202</v>
      </c>
      <c r="B245" s="10" t="s">
        <v>254</v>
      </c>
      <c r="C245" s="1">
        <v>4</v>
      </c>
      <c r="D245" s="5">
        <v>6.4570884806295918</v>
      </c>
      <c r="E245" s="31"/>
    </row>
    <row r="246" spans="1:5" ht="15.75" customHeight="1" x14ac:dyDescent="0.3">
      <c r="A246" s="33">
        <v>60301</v>
      </c>
      <c r="B246" s="10" t="s">
        <v>297</v>
      </c>
      <c r="C246" s="1">
        <v>1.7</v>
      </c>
      <c r="D246" s="5">
        <v>3.653790429751901</v>
      </c>
      <c r="E246" s="31"/>
    </row>
    <row r="247" spans="1:5" ht="15.75" customHeight="1" x14ac:dyDescent="0.3">
      <c r="A247" s="33">
        <v>60302</v>
      </c>
      <c r="B247" s="10" t="s">
        <v>193</v>
      </c>
      <c r="C247" s="1">
        <v>0.8</v>
      </c>
      <c r="D247" s="5">
        <v>2.6915342020441333</v>
      </c>
      <c r="E247" s="31"/>
    </row>
    <row r="248" spans="1:5" ht="15.75" customHeight="1" x14ac:dyDescent="0.3">
      <c r="A248" s="33">
        <v>60303</v>
      </c>
      <c r="B248" s="10" t="s">
        <v>326</v>
      </c>
      <c r="C248" s="1">
        <v>0.9</v>
      </c>
      <c r="D248" s="5">
        <v>1.4093383867879452</v>
      </c>
      <c r="E248" s="31"/>
    </row>
    <row r="249" spans="1:5" ht="15.75" customHeight="1" x14ac:dyDescent="0.3">
      <c r="A249" s="33">
        <v>60401</v>
      </c>
      <c r="B249" s="10" t="s">
        <v>235</v>
      </c>
      <c r="C249" s="1">
        <v>0.5</v>
      </c>
      <c r="D249" s="5">
        <v>5.9546330828964198</v>
      </c>
      <c r="E249" s="31"/>
    </row>
    <row r="250" spans="1:5" ht="15.75" customHeight="1" x14ac:dyDescent="0.3">
      <c r="A250" s="33">
        <v>60402</v>
      </c>
      <c r="B250" s="10" t="s">
        <v>105</v>
      </c>
      <c r="C250" s="1">
        <v>0.3</v>
      </c>
      <c r="D250" s="5">
        <v>1.1086627186337972</v>
      </c>
      <c r="E250" s="31"/>
    </row>
    <row r="251" spans="1:5" ht="15.75" customHeight="1" x14ac:dyDescent="0.3">
      <c r="A251" s="33">
        <v>60501</v>
      </c>
      <c r="B251" s="10" t="s">
        <v>271</v>
      </c>
      <c r="C251" s="1">
        <v>6</v>
      </c>
      <c r="D251" s="5">
        <v>6.6064728356776961</v>
      </c>
      <c r="E251" s="31"/>
    </row>
    <row r="252" spans="1:5" ht="15.75" customHeight="1" x14ac:dyDescent="0.3">
      <c r="A252" s="33">
        <v>60502</v>
      </c>
      <c r="B252" s="10" t="s">
        <v>88</v>
      </c>
      <c r="C252" s="1">
        <v>0.2</v>
      </c>
      <c r="D252" s="5">
        <v>0.61502314974777139</v>
      </c>
      <c r="E252" s="31"/>
    </row>
    <row r="253" spans="1:5" ht="15.75" customHeight="1" x14ac:dyDescent="0.3">
      <c r="A253" s="33">
        <v>60601</v>
      </c>
      <c r="B253" s="10" t="s">
        <v>223</v>
      </c>
      <c r="C253" s="1">
        <v>0.8</v>
      </c>
      <c r="D253" s="5">
        <v>0.62770238328586747</v>
      </c>
      <c r="E253" s="31"/>
    </row>
    <row r="254" spans="1:5" ht="15.75" customHeight="1" x14ac:dyDescent="0.3">
      <c r="A254" s="33">
        <v>70101</v>
      </c>
      <c r="B254" s="10" t="s">
        <v>304</v>
      </c>
      <c r="C254" s="1">
        <v>5.8</v>
      </c>
      <c r="D254" s="5">
        <v>6.3709776914069636</v>
      </c>
      <c r="E254" s="31"/>
    </row>
    <row r="255" spans="1:5" ht="15.75" customHeight="1" x14ac:dyDescent="0.3">
      <c r="A255" s="33">
        <v>70102</v>
      </c>
      <c r="B255" s="10" t="s">
        <v>263</v>
      </c>
      <c r="C255" s="1">
        <v>3</v>
      </c>
      <c r="D255" s="5">
        <v>4.1583149792720944</v>
      </c>
      <c r="E255" s="31"/>
    </row>
    <row r="256" spans="1:5" ht="15.75" customHeight="1" x14ac:dyDescent="0.3">
      <c r="A256" s="33">
        <v>70103</v>
      </c>
      <c r="B256" s="10" t="s">
        <v>188</v>
      </c>
      <c r="C256" s="1">
        <v>1.4</v>
      </c>
      <c r="D256" s="5">
        <v>3.7939910449698253</v>
      </c>
      <c r="E256" s="31"/>
    </row>
    <row r="257" spans="1:5" ht="15.75" customHeight="1" x14ac:dyDescent="0.3">
      <c r="A257" s="33">
        <v>70104</v>
      </c>
      <c r="B257" s="10" t="s">
        <v>294</v>
      </c>
      <c r="C257" s="1">
        <v>4</v>
      </c>
      <c r="D257" s="5">
        <v>5.3127405374652792</v>
      </c>
      <c r="E257" s="31"/>
    </row>
    <row r="258" spans="1:5" ht="15.75" customHeight="1" x14ac:dyDescent="0.3">
      <c r="A258" s="33">
        <v>70105</v>
      </c>
      <c r="B258" s="10" t="s">
        <v>291</v>
      </c>
      <c r="C258" s="1">
        <v>5.6</v>
      </c>
      <c r="D258" s="5">
        <v>6.4652388682341035</v>
      </c>
      <c r="E258" s="31"/>
    </row>
    <row r="259" spans="1:5" ht="15.75" customHeight="1" x14ac:dyDescent="0.3">
      <c r="A259" s="33">
        <v>70201</v>
      </c>
      <c r="B259" s="10" t="s">
        <v>298</v>
      </c>
      <c r="C259" s="1">
        <v>2</v>
      </c>
      <c r="D259" s="5">
        <v>2.3197251584356096</v>
      </c>
      <c r="E259" s="31"/>
    </row>
    <row r="260" spans="1:5" ht="15.75" customHeight="1" x14ac:dyDescent="0.3">
      <c r="A260" s="33">
        <v>70202</v>
      </c>
      <c r="B260" s="10" t="s">
        <v>91</v>
      </c>
      <c r="C260" s="1">
        <v>0.3</v>
      </c>
      <c r="D260" s="5">
        <v>0.21501172791243162</v>
      </c>
      <c r="E260" s="31"/>
    </row>
    <row r="261" spans="1:5" ht="15.75" customHeight="1" x14ac:dyDescent="0.3">
      <c r="A261" s="33">
        <v>70301</v>
      </c>
      <c r="B261" s="10" t="s">
        <v>279</v>
      </c>
      <c r="C261" s="1">
        <v>5.2</v>
      </c>
      <c r="D261" s="5">
        <v>6.2664108866374928</v>
      </c>
      <c r="E261" s="31"/>
    </row>
    <row r="262" spans="1:5" ht="15.75" customHeight="1" x14ac:dyDescent="0.3">
      <c r="A262" s="33">
        <v>70302</v>
      </c>
      <c r="B262" s="10" t="s">
        <v>201</v>
      </c>
      <c r="C262" s="1">
        <v>23.8</v>
      </c>
      <c r="D262" s="5">
        <v>1.5280135823429539</v>
      </c>
      <c r="E262" s="31"/>
    </row>
    <row r="263" spans="1:5" ht="15.75" customHeight="1" x14ac:dyDescent="0.3">
      <c r="A263" s="33">
        <v>70303</v>
      </c>
      <c r="B263" s="10" t="s">
        <v>79</v>
      </c>
      <c r="C263" s="1">
        <v>1</v>
      </c>
      <c r="D263" s="5">
        <v>1.9983499862498855</v>
      </c>
      <c r="E263" s="31"/>
    </row>
    <row r="264" spans="1:5" ht="15.75" customHeight="1" x14ac:dyDescent="0.3">
      <c r="A264" s="33">
        <v>70401</v>
      </c>
      <c r="B264" s="10" t="s">
        <v>164</v>
      </c>
      <c r="C264" s="1">
        <v>1.3</v>
      </c>
      <c r="D264" s="5">
        <v>2.9892962120791977</v>
      </c>
      <c r="E264" s="31"/>
    </row>
    <row r="265" spans="1:5" ht="15.75" customHeight="1" x14ac:dyDescent="0.3">
      <c r="A265" s="33">
        <v>70402</v>
      </c>
      <c r="B265" s="10" t="s">
        <v>225</v>
      </c>
      <c r="C265" s="1">
        <v>4.8</v>
      </c>
      <c r="D265" s="5">
        <v>2.5623675280865337</v>
      </c>
      <c r="E265" s="31"/>
    </row>
    <row r="266" spans="1:5" ht="15.75" customHeight="1" x14ac:dyDescent="0.3">
      <c r="A266" s="33">
        <v>70403</v>
      </c>
      <c r="B266" s="10" t="s">
        <v>278</v>
      </c>
      <c r="C266" s="1">
        <v>2</v>
      </c>
      <c r="D266" s="5">
        <v>2.0174463016580253</v>
      </c>
      <c r="E266" s="31"/>
    </row>
    <row r="267" spans="1:5" ht="15.75" customHeight="1" x14ac:dyDescent="0.3">
      <c r="A267" s="33">
        <v>70404</v>
      </c>
      <c r="B267" s="10" t="s">
        <v>327</v>
      </c>
      <c r="C267" s="1">
        <v>0.3</v>
      </c>
      <c r="D267" s="5">
        <v>0.34741509984653474</v>
      </c>
      <c r="E267" s="31"/>
    </row>
    <row r="268" spans="1:5" ht="15.75" customHeight="1" x14ac:dyDescent="0.3">
      <c r="A268" s="33">
        <v>70501</v>
      </c>
      <c r="B268" s="10" t="s">
        <v>328</v>
      </c>
      <c r="C268" s="1">
        <v>10.1</v>
      </c>
      <c r="D268" s="5">
        <v>3.3096300027171566</v>
      </c>
      <c r="E268" s="31"/>
    </row>
    <row r="269" spans="1:5" ht="15.75" customHeight="1" x14ac:dyDescent="0.3">
      <c r="A269" s="33">
        <v>70502</v>
      </c>
      <c r="B269" s="10" t="s">
        <v>272</v>
      </c>
      <c r="C269" s="1">
        <v>1.1000000000000001</v>
      </c>
      <c r="D269" s="5">
        <v>0.82953800088197482</v>
      </c>
      <c r="E269" s="31"/>
    </row>
    <row r="270" spans="1:5" ht="15.75" customHeight="1" x14ac:dyDescent="0.3">
      <c r="A270" s="33">
        <v>70503</v>
      </c>
      <c r="B270" s="10" t="s">
        <v>162</v>
      </c>
      <c r="C270" s="1">
        <v>2.7</v>
      </c>
      <c r="D270" s="5">
        <v>9.5274037642131919</v>
      </c>
      <c r="E270" s="31"/>
    </row>
    <row r="271" spans="1:5" ht="15.75" customHeight="1" x14ac:dyDescent="0.3">
      <c r="A271" s="33">
        <v>70601</v>
      </c>
      <c r="B271" s="10" t="s">
        <v>158</v>
      </c>
      <c r="C271" s="1">
        <v>0.6</v>
      </c>
      <c r="D271" s="5">
        <v>0.92175280457155695</v>
      </c>
      <c r="E271" s="31"/>
    </row>
    <row r="272" spans="1:5" ht="15.75" customHeight="1" x14ac:dyDescent="0.3">
      <c r="A272" s="33">
        <v>70602</v>
      </c>
      <c r="B272" s="10" t="s">
        <v>256</v>
      </c>
      <c r="C272" s="1">
        <v>0.2</v>
      </c>
      <c r="D272" s="5">
        <v>0.26400022434009957</v>
      </c>
      <c r="E272" s="31"/>
    </row>
    <row r="273" spans="1:5" ht="15.75" customHeight="1" x14ac:dyDescent="0.3">
      <c r="A273" s="33">
        <v>70603</v>
      </c>
      <c r="B273" s="10" t="s">
        <v>329</v>
      </c>
      <c r="C273" s="1">
        <v>0.5</v>
      </c>
      <c r="D273" s="5">
        <v>0.37777505212805101</v>
      </c>
      <c r="E273" s="31"/>
    </row>
    <row r="274" spans="1:5" ht="15.75" customHeight="1" x14ac:dyDescent="0.3">
      <c r="A274" s="33">
        <v>70701</v>
      </c>
      <c r="B274" s="10" t="s">
        <v>74</v>
      </c>
      <c r="C274" s="1">
        <v>0.1</v>
      </c>
      <c r="D274" s="5">
        <v>0.14959634778571612</v>
      </c>
      <c r="E274" s="31"/>
    </row>
    <row r="275" spans="1:5" ht="15.75" customHeight="1" x14ac:dyDescent="0.3">
      <c r="A275" s="33">
        <v>70702</v>
      </c>
      <c r="B275" s="10" t="s">
        <v>95</v>
      </c>
      <c r="C275" s="1">
        <v>2.9</v>
      </c>
      <c r="D275" s="5">
        <v>0.82190496833644788</v>
      </c>
      <c r="E275" s="31"/>
    </row>
    <row r="276" spans="1:5" ht="15.75" customHeight="1" x14ac:dyDescent="0.3">
      <c r="A276" s="33">
        <v>70703</v>
      </c>
      <c r="B276" s="10" t="s">
        <v>250</v>
      </c>
      <c r="C276" s="1">
        <v>1.5</v>
      </c>
      <c r="D276" s="5">
        <v>0.40818110080376724</v>
      </c>
      <c r="E276" s="31"/>
    </row>
    <row r="277" spans="1:5" ht="15.75" customHeight="1" x14ac:dyDescent="0.3">
      <c r="A277" s="33">
        <v>70704</v>
      </c>
      <c r="B277" s="10" t="s">
        <v>73</v>
      </c>
      <c r="C277" s="1">
        <v>1.4</v>
      </c>
      <c r="D277" s="5">
        <v>3.5361074827393169</v>
      </c>
      <c r="E277" s="31"/>
    </row>
    <row r="278" spans="1:5" ht="15.75" customHeight="1" x14ac:dyDescent="0.3">
      <c r="A278" s="33">
        <v>70705</v>
      </c>
      <c r="B278" s="10" t="s">
        <v>141</v>
      </c>
      <c r="C278" s="1">
        <v>0.3</v>
      </c>
      <c r="D278" s="5">
        <v>0.48765813264934527</v>
      </c>
      <c r="E278" s="31"/>
    </row>
    <row r="279" spans="1:5" ht="15.75" customHeight="1" x14ac:dyDescent="0.3">
      <c r="A279" s="33">
        <v>70706</v>
      </c>
      <c r="B279" s="10" t="s">
        <v>221</v>
      </c>
      <c r="C279" s="1">
        <v>7.2</v>
      </c>
      <c r="D279" s="5">
        <v>5.8643941224274627</v>
      </c>
      <c r="E279" s="31"/>
    </row>
    <row r="280" spans="1:5" ht="15.75" customHeight="1" x14ac:dyDescent="0.3">
      <c r="A280" s="33">
        <v>70707</v>
      </c>
      <c r="B280" s="10" t="s">
        <v>53</v>
      </c>
      <c r="C280" s="1">
        <v>1.9</v>
      </c>
      <c r="D280" s="5">
        <v>4.8022598870056497</v>
      </c>
      <c r="E280" s="31"/>
    </row>
    <row r="281" spans="1:5" ht="15.75" customHeight="1" x14ac:dyDescent="0.3">
      <c r="A281" s="33">
        <v>70801</v>
      </c>
      <c r="B281" s="10" t="s">
        <v>257</v>
      </c>
      <c r="C281" s="1">
        <v>1.4</v>
      </c>
      <c r="D281" s="5">
        <v>3.8186749578275401</v>
      </c>
      <c r="E281" s="31"/>
    </row>
    <row r="282" spans="1:5" ht="15.75" customHeight="1" x14ac:dyDescent="0.3">
      <c r="A282" s="33">
        <v>70802</v>
      </c>
      <c r="B282" s="10" t="s">
        <v>10</v>
      </c>
      <c r="C282" s="1">
        <v>0.4</v>
      </c>
      <c r="D282" s="5">
        <v>0.74307194684850075</v>
      </c>
      <c r="E282" s="31"/>
    </row>
    <row r="283" spans="1:5" ht="15.75" customHeight="1" x14ac:dyDescent="0.3">
      <c r="A283" s="33">
        <v>70803</v>
      </c>
      <c r="B283" s="10" t="s">
        <v>36</v>
      </c>
      <c r="C283" s="1">
        <v>0.2</v>
      </c>
      <c r="D283" s="5">
        <v>0.16333622936576889</v>
      </c>
      <c r="E283" s="31"/>
    </row>
    <row r="284" spans="1:5" ht="15.75" customHeight="1" x14ac:dyDescent="0.3">
      <c r="A284" s="33">
        <v>70804</v>
      </c>
      <c r="B284" s="10" t="s">
        <v>330</v>
      </c>
      <c r="C284" s="1">
        <v>0.3</v>
      </c>
      <c r="D284" s="5">
        <v>0.72759022118742722</v>
      </c>
      <c r="E284" s="31"/>
    </row>
    <row r="285" spans="1:5" ht="15.75" customHeight="1" x14ac:dyDescent="0.3">
      <c r="A285" s="33">
        <v>70805</v>
      </c>
      <c r="B285" s="10" t="s">
        <v>331</v>
      </c>
      <c r="C285" s="1">
        <v>0.6</v>
      </c>
      <c r="D285" s="5">
        <v>1.0520425293788473</v>
      </c>
      <c r="E285" s="31"/>
    </row>
    <row r="286" spans="1:5" ht="15.75" customHeight="1" x14ac:dyDescent="0.3">
      <c r="A286" s="33">
        <v>70901</v>
      </c>
      <c r="B286" s="10" t="s">
        <v>192</v>
      </c>
      <c r="C286" s="1">
        <v>23</v>
      </c>
      <c r="D286" s="5">
        <v>4.1932114882506522</v>
      </c>
      <c r="E286" s="31"/>
    </row>
    <row r="287" spans="1:5" ht="15.75" customHeight="1" x14ac:dyDescent="0.3">
      <c r="A287" s="33">
        <v>70902</v>
      </c>
      <c r="B287" s="10" t="s">
        <v>160</v>
      </c>
      <c r="C287" s="1">
        <v>0.8</v>
      </c>
      <c r="D287" s="5">
        <v>1.8413253655929649</v>
      </c>
      <c r="E287" s="31"/>
    </row>
    <row r="288" spans="1:5" ht="15.75" customHeight="1" x14ac:dyDescent="0.3">
      <c r="A288" s="33">
        <v>70903</v>
      </c>
      <c r="B288" s="10" t="s">
        <v>122</v>
      </c>
      <c r="C288" s="1">
        <v>0.8</v>
      </c>
      <c r="D288" s="5">
        <v>2.0360116020642631</v>
      </c>
      <c r="E288" s="31"/>
    </row>
    <row r="289" spans="1:5" ht="15.75" customHeight="1" x14ac:dyDescent="0.3">
      <c r="A289" s="33">
        <v>70904</v>
      </c>
      <c r="B289" s="10" t="s">
        <v>20</v>
      </c>
      <c r="C289" s="1">
        <v>1.1000000000000001</v>
      </c>
      <c r="D289" s="5">
        <v>1.94207080235268</v>
      </c>
      <c r="E289" s="31"/>
    </row>
    <row r="290" spans="1:5" ht="15.75" customHeight="1" x14ac:dyDescent="0.3">
      <c r="A290" s="33">
        <v>71001</v>
      </c>
      <c r="B290" s="10" t="s">
        <v>300</v>
      </c>
      <c r="C290" s="1">
        <v>3.4</v>
      </c>
      <c r="D290" s="5">
        <v>4.2675775172460018</v>
      </c>
      <c r="E290" s="31"/>
    </row>
    <row r="291" spans="1:5" ht="15.75" customHeight="1" x14ac:dyDescent="0.3">
      <c r="A291" s="33">
        <v>71002</v>
      </c>
      <c r="B291" s="10" t="s">
        <v>332</v>
      </c>
      <c r="C291" s="1">
        <v>0.3</v>
      </c>
      <c r="D291" s="5">
        <v>0.1898520560274512</v>
      </c>
      <c r="E291" s="31"/>
    </row>
    <row r="292" spans="1:5" ht="15.75" customHeight="1" x14ac:dyDescent="0.3">
      <c r="A292" s="33">
        <v>71003</v>
      </c>
      <c r="B292" s="10" t="s">
        <v>230</v>
      </c>
      <c r="C292" s="1">
        <v>1.1000000000000001</v>
      </c>
      <c r="D292" s="5">
        <v>0.61230337671739032</v>
      </c>
      <c r="E292" s="31"/>
    </row>
    <row r="293" spans="1:5" ht="15.75" customHeight="1" x14ac:dyDescent="0.3">
      <c r="A293" s="33">
        <v>71004</v>
      </c>
      <c r="B293" s="10" t="s">
        <v>161</v>
      </c>
      <c r="C293" s="1">
        <v>0.2</v>
      </c>
      <c r="D293" s="5">
        <v>0.12360356964209336</v>
      </c>
      <c r="E293" s="31"/>
    </row>
    <row r="294" spans="1:5" ht="15.75" customHeight="1" x14ac:dyDescent="0.3">
      <c r="A294" s="33">
        <v>71005</v>
      </c>
      <c r="B294" s="10" t="s">
        <v>9</v>
      </c>
      <c r="C294" s="1">
        <v>0.2</v>
      </c>
      <c r="D294" s="5">
        <v>0.23367134009346854</v>
      </c>
      <c r="E294" s="31"/>
    </row>
    <row r="295" spans="1:5" ht="15.75" customHeight="1" x14ac:dyDescent="0.3">
      <c r="A295" s="33">
        <v>71101</v>
      </c>
      <c r="B295" s="10" t="s">
        <v>248</v>
      </c>
      <c r="C295" s="1">
        <v>19.2</v>
      </c>
      <c r="D295" s="5">
        <v>5.933234015384147</v>
      </c>
      <c r="E295" s="31"/>
    </row>
    <row r="296" spans="1:5" ht="15.75" customHeight="1" x14ac:dyDescent="0.3">
      <c r="A296" s="33">
        <v>71102</v>
      </c>
      <c r="B296" s="10" t="s">
        <v>75</v>
      </c>
      <c r="C296" s="1">
        <v>1.2</v>
      </c>
      <c r="D296" s="5">
        <v>3.4561191626409018</v>
      </c>
      <c r="E296" s="31"/>
    </row>
    <row r="297" spans="1:5" ht="15.75" customHeight="1" x14ac:dyDescent="0.3">
      <c r="A297" s="33">
        <v>71103</v>
      </c>
      <c r="B297" s="10" t="s">
        <v>44</v>
      </c>
      <c r="C297" s="1">
        <v>2.8</v>
      </c>
      <c r="D297" s="5">
        <v>10.325817299740891</v>
      </c>
      <c r="E297" s="31"/>
    </row>
    <row r="298" spans="1:5" ht="15.75" customHeight="1" x14ac:dyDescent="0.3">
      <c r="A298" s="33">
        <v>71104</v>
      </c>
      <c r="B298" s="10" t="s">
        <v>285</v>
      </c>
      <c r="C298" s="1">
        <v>0.9</v>
      </c>
      <c r="D298" s="5">
        <v>0.16371022824953962</v>
      </c>
      <c r="E298" s="31"/>
    </row>
    <row r="299" spans="1:5" ht="15.75" customHeight="1" x14ac:dyDescent="0.3">
      <c r="A299" s="33">
        <v>71105</v>
      </c>
      <c r="B299" s="10" t="s">
        <v>333</v>
      </c>
      <c r="C299" s="1">
        <v>0.4</v>
      </c>
      <c r="D299" s="5">
        <v>0.98567613498421935</v>
      </c>
      <c r="E299" s="31"/>
    </row>
    <row r="300" spans="1:5" ht="15.75" customHeight="1" x14ac:dyDescent="0.3">
      <c r="A300" s="33">
        <v>71106</v>
      </c>
      <c r="B300" s="10" t="s">
        <v>239</v>
      </c>
      <c r="C300" s="1">
        <v>1.1000000000000001</v>
      </c>
      <c r="D300" s="5">
        <v>0.231061901504788</v>
      </c>
      <c r="E300" s="31"/>
    </row>
    <row r="301" spans="1:5" ht="15.75" customHeight="1" x14ac:dyDescent="0.3">
      <c r="A301" s="33">
        <v>71201</v>
      </c>
      <c r="B301" s="10" t="s">
        <v>212</v>
      </c>
      <c r="C301" s="1">
        <v>0.9</v>
      </c>
      <c r="D301" s="5">
        <v>2.2264488699932872</v>
      </c>
      <c r="E301" s="31"/>
    </row>
    <row r="302" spans="1:5" ht="15.75" customHeight="1" x14ac:dyDescent="0.3">
      <c r="A302" s="33">
        <v>71301</v>
      </c>
      <c r="B302" s="10" t="s">
        <v>209</v>
      </c>
      <c r="C302" s="1">
        <v>0.8</v>
      </c>
      <c r="D302" s="5">
        <v>2.1988587672177746</v>
      </c>
      <c r="E302" s="31"/>
    </row>
    <row r="303" spans="1:5" ht="15.75" customHeight="1" x14ac:dyDescent="0.3">
      <c r="A303" s="33">
        <v>71302</v>
      </c>
      <c r="B303" s="10" t="s">
        <v>58</v>
      </c>
      <c r="C303" s="1">
        <v>1.2</v>
      </c>
      <c r="D303" s="5">
        <v>2.467156535292808</v>
      </c>
      <c r="E303" s="31"/>
    </row>
    <row r="304" spans="1:5" ht="15.75" customHeight="1" x14ac:dyDescent="0.3">
      <c r="A304" s="33">
        <v>71401</v>
      </c>
      <c r="B304" s="10" t="s">
        <v>206</v>
      </c>
      <c r="C304" s="1">
        <v>6</v>
      </c>
      <c r="D304" s="5">
        <v>2.6529936079258487</v>
      </c>
      <c r="E304" s="31"/>
    </row>
    <row r="305" spans="1:5" ht="15.75" customHeight="1" x14ac:dyDescent="0.3">
      <c r="A305" s="33">
        <v>71402</v>
      </c>
      <c r="B305" s="10" t="s">
        <v>165</v>
      </c>
      <c r="C305" s="1">
        <v>3.4</v>
      </c>
      <c r="D305" s="5">
        <v>11.761641536190782</v>
      </c>
      <c r="E305" s="31"/>
    </row>
    <row r="306" spans="1:5" ht="15.75" customHeight="1" x14ac:dyDescent="0.3">
      <c r="A306" s="33">
        <v>71403</v>
      </c>
      <c r="B306" s="10" t="s">
        <v>334</v>
      </c>
      <c r="C306" s="1">
        <v>1.6</v>
      </c>
      <c r="D306" s="5">
        <v>7.0108220743429444</v>
      </c>
      <c r="E306" s="31"/>
    </row>
    <row r="307" spans="1:5" ht="15.75" customHeight="1" x14ac:dyDescent="0.3">
      <c r="A307" s="33">
        <v>71501</v>
      </c>
      <c r="B307" s="10" t="s">
        <v>335</v>
      </c>
      <c r="C307" s="1">
        <v>4.3</v>
      </c>
      <c r="D307" s="5">
        <v>3.1709159584513689</v>
      </c>
      <c r="E307" s="31"/>
    </row>
    <row r="308" spans="1:5" ht="15.75" customHeight="1" x14ac:dyDescent="0.3">
      <c r="A308" s="33">
        <v>71502</v>
      </c>
      <c r="B308" s="10" t="s">
        <v>77</v>
      </c>
      <c r="C308" s="1">
        <v>0.9</v>
      </c>
      <c r="D308" s="5">
        <v>2.8646839191451012</v>
      </c>
      <c r="E308" s="31"/>
    </row>
    <row r="309" spans="1:5" ht="15.75" customHeight="1" x14ac:dyDescent="0.3">
      <c r="A309" s="33">
        <v>71503</v>
      </c>
      <c r="B309" s="10" t="s">
        <v>88</v>
      </c>
      <c r="C309" s="1">
        <v>0.2</v>
      </c>
      <c r="D309" s="5">
        <v>0.33690163603312462</v>
      </c>
      <c r="E309" s="31"/>
    </row>
    <row r="310" spans="1:5" ht="15.75" customHeight="1" x14ac:dyDescent="0.3">
      <c r="A310" s="33">
        <v>80101</v>
      </c>
      <c r="B310" s="10" t="s">
        <v>301</v>
      </c>
      <c r="C310" s="1">
        <v>4.3</v>
      </c>
      <c r="D310" s="5">
        <v>3.9504007314865786</v>
      </c>
      <c r="E310" s="31"/>
    </row>
    <row r="311" spans="1:5" ht="15.75" customHeight="1" x14ac:dyDescent="0.3">
      <c r="A311" s="33">
        <v>80102</v>
      </c>
      <c r="B311" s="10" t="s">
        <v>75</v>
      </c>
      <c r="C311" s="1">
        <v>0.3</v>
      </c>
      <c r="D311" s="5">
        <v>0.56511056511056512</v>
      </c>
      <c r="E311" s="31"/>
    </row>
    <row r="312" spans="1:5" ht="15.75" customHeight="1" x14ac:dyDescent="0.3">
      <c r="A312" s="33">
        <v>80201</v>
      </c>
      <c r="B312" s="10" t="s">
        <v>296</v>
      </c>
      <c r="C312" s="1">
        <v>2.9</v>
      </c>
      <c r="D312" s="5">
        <v>3.5893216485047943</v>
      </c>
      <c r="E312" s="31"/>
    </row>
    <row r="313" spans="1:5" ht="15.75" customHeight="1" x14ac:dyDescent="0.3">
      <c r="A313" s="33">
        <v>80202</v>
      </c>
      <c r="B313" s="10" t="s">
        <v>287</v>
      </c>
      <c r="C313" s="1">
        <v>4.5999999999999996</v>
      </c>
      <c r="D313" s="5">
        <v>3.1598031598031593</v>
      </c>
      <c r="E313" s="31"/>
    </row>
    <row r="314" spans="1:5" ht="15.75" customHeight="1" x14ac:dyDescent="0.3">
      <c r="A314" s="33">
        <v>80301</v>
      </c>
      <c r="B314" s="10" t="s">
        <v>216</v>
      </c>
      <c r="C314" s="1">
        <v>0.9</v>
      </c>
      <c r="D314" s="5">
        <v>1.7737949511513498</v>
      </c>
      <c r="E314" s="31"/>
    </row>
    <row r="315" spans="1:5" ht="15.75" customHeight="1" x14ac:dyDescent="0.3">
      <c r="A315" s="33">
        <v>80302</v>
      </c>
      <c r="B315" s="10" t="s">
        <v>276</v>
      </c>
      <c r="C315" s="1">
        <v>3.8</v>
      </c>
      <c r="D315" s="5">
        <v>2.4841029298151778</v>
      </c>
      <c r="E315" s="31"/>
    </row>
    <row r="316" spans="1:5" ht="15.75" customHeight="1" x14ac:dyDescent="0.3">
      <c r="A316" s="33">
        <v>80303</v>
      </c>
      <c r="B316" s="10" t="s">
        <v>35</v>
      </c>
      <c r="C316" s="1">
        <v>1.1000000000000001</v>
      </c>
      <c r="D316" s="5">
        <v>1.7976976376234384</v>
      </c>
      <c r="E316" s="31"/>
    </row>
    <row r="317" spans="1:5" ht="15.75" customHeight="1" x14ac:dyDescent="0.3">
      <c r="A317" s="33">
        <v>80304</v>
      </c>
      <c r="B317" s="10" t="s">
        <v>246</v>
      </c>
      <c r="C317" s="1">
        <v>24.7</v>
      </c>
      <c r="D317" s="5">
        <v>6.7502085873820672</v>
      </c>
      <c r="E317" s="31"/>
    </row>
    <row r="318" spans="1:5" ht="15.75" customHeight="1" x14ac:dyDescent="0.3">
      <c r="A318" s="33">
        <v>80401</v>
      </c>
      <c r="B318" s="10" t="s">
        <v>204</v>
      </c>
      <c r="C318" s="1">
        <v>2.4</v>
      </c>
      <c r="D318" s="5">
        <v>2.5690967697688776</v>
      </c>
      <c r="E318" s="31"/>
    </row>
    <row r="319" spans="1:5" ht="15.75" customHeight="1" x14ac:dyDescent="0.3">
      <c r="A319" s="33">
        <v>80402</v>
      </c>
      <c r="B319" s="10" t="s">
        <v>98</v>
      </c>
      <c r="C319" s="1">
        <v>0.7</v>
      </c>
      <c r="D319" s="5">
        <v>1.5933572710951522</v>
      </c>
      <c r="E319" s="31"/>
    </row>
    <row r="320" spans="1:5" ht="15.75" customHeight="1" x14ac:dyDescent="0.3">
      <c r="A320" s="33">
        <v>80501</v>
      </c>
      <c r="B320" s="10" t="s">
        <v>262</v>
      </c>
      <c r="C320" s="1">
        <v>2.2999999999999998</v>
      </c>
      <c r="D320" s="5">
        <v>2.5373706400919893</v>
      </c>
      <c r="E320" s="31"/>
    </row>
    <row r="321" spans="1:5" ht="15.75" customHeight="1" x14ac:dyDescent="0.3">
      <c r="A321" s="33">
        <v>80601</v>
      </c>
      <c r="B321" s="10" t="s">
        <v>83</v>
      </c>
      <c r="C321" s="1">
        <v>0.3</v>
      </c>
      <c r="D321" s="5">
        <v>0.71782900496060698</v>
      </c>
      <c r="E321" s="31"/>
    </row>
    <row r="322" spans="1:5" ht="15.75" customHeight="1" x14ac:dyDescent="0.3">
      <c r="A322" s="33">
        <v>80602</v>
      </c>
      <c r="B322" s="10" t="s">
        <v>214</v>
      </c>
      <c r="C322" s="1">
        <v>0.4</v>
      </c>
      <c r="D322" s="5">
        <v>0.72389154107772469</v>
      </c>
      <c r="E322" s="31"/>
    </row>
    <row r="323" spans="1:5" ht="15.75" customHeight="1" x14ac:dyDescent="0.3">
      <c r="A323" s="33">
        <v>80701</v>
      </c>
      <c r="B323" s="10" t="s">
        <v>64</v>
      </c>
      <c r="C323" s="1">
        <v>1.1000000000000001</v>
      </c>
      <c r="D323" s="5">
        <v>2.0351409429907723</v>
      </c>
      <c r="E323" s="31"/>
    </row>
    <row r="324" spans="1:5" ht="15.75" customHeight="1" x14ac:dyDescent="0.3">
      <c r="A324" s="33">
        <v>80702</v>
      </c>
      <c r="B324" s="10" t="s">
        <v>44</v>
      </c>
      <c r="C324" s="1">
        <v>0.8</v>
      </c>
      <c r="D324" s="5">
        <v>0.92292940189380301</v>
      </c>
      <c r="E324" s="31"/>
    </row>
    <row r="325" spans="1:5" ht="15.75" customHeight="1" x14ac:dyDescent="0.3">
      <c r="A325" s="33">
        <v>80703</v>
      </c>
      <c r="B325" s="10" t="s">
        <v>2</v>
      </c>
      <c r="C325" s="1">
        <v>0.1</v>
      </c>
      <c r="D325" s="5">
        <v>0.19510080208107519</v>
      </c>
      <c r="E325" s="31"/>
    </row>
    <row r="326" spans="1:5" ht="15.75" customHeight="1" x14ac:dyDescent="0.3">
      <c r="A326" s="33">
        <v>80801</v>
      </c>
      <c r="B326" s="10" t="s">
        <v>142</v>
      </c>
      <c r="C326" s="1">
        <v>1.1000000000000001</v>
      </c>
      <c r="D326" s="5">
        <v>3.1573530302112975</v>
      </c>
      <c r="E326" s="31"/>
    </row>
    <row r="327" spans="1:5" ht="15.75" customHeight="1" x14ac:dyDescent="0.3">
      <c r="A327" s="33">
        <v>80802</v>
      </c>
      <c r="B327" s="10" t="s">
        <v>118</v>
      </c>
      <c r="C327" s="1">
        <v>0.6</v>
      </c>
      <c r="D327" s="5">
        <v>0.79252227008489806</v>
      </c>
      <c r="E327" s="31"/>
    </row>
    <row r="328" spans="1:5" ht="15.75" customHeight="1" x14ac:dyDescent="0.3">
      <c r="A328" s="33">
        <v>80803</v>
      </c>
      <c r="B328" s="10" t="s">
        <v>17</v>
      </c>
      <c r="C328" s="1">
        <v>0.4</v>
      </c>
      <c r="D328" s="5">
        <v>0.70457477423836457</v>
      </c>
      <c r="E328" s="31"/>
    </row>
    <row r="329" spans="1:5" ht="15.75" customHeight="1" x14ac:dyDescent="0.3">
      <c r="A329" s="33">
        <v>80901</v>
      </c>
      <c r="B329" s="32" t="s">
        <v>432</v>
      </c>
      <c r="C329" s="1"/>
      <c r="D329" s="5"/>
      <c r="E329" s="31"/>
    </row>
    <row r="330" spans="1:5" ht="15.75" customHeight="1" x14ac:dyDescent="0.3">
      <c r="A330" s="33">
        <v>90101</v>
      </c>
      <c r="B330" s="10" t="s">
        <v>281</v>
      </c>
      <c r="C330" s="1">
        <v>3.6</v>
      </c>
      <c r="D330" s="5">
        <v>5.5837027654633733</v>
      </c>
      <c r="E330" s="31"/>
    </row>
    <row r="331" spans="1:5" ht="15.75" customHeight="1" x14ac:dyDescent="0.3">
      <c r="A331" s="33">
        <v>90102</v>
      </c>
      <c r="B331" s="10" t="s">
        <v>115</v>
      </c>
      <c r="C331" s="1">
        <v>1.5</v>
      </c>
      <c r="D331" s="5">
        <v>6.5485300040273859</v>
      </c>
      <c r="E331" s="31"/>
    </row>
    <row r="332" spans="1:5" ht="15.75" customHeight="1" x14ac:dyDescent="0.3">
      <c r="A332" s="33">
        <v>90103</v>
      </c>
      <c r="B332" s="10" t="s">
        <v>4</v>
      </c>
      <c r="C332" s="1">
        <v>0.1</v>
      </c>
      <c r="D332" s="5">
        <v>0.3135673889915449</v>
      </c>
      <c r="E332" s="31"/>
    </row>
    <row r="333" spans="1:5" ht="15.75" customHeight="1" x14ac:dyDescent="0.3">
      <c r="A333" s="33">
        <v>90104</v>
      </c>
      <c r="B333" s="10" t="s">
        <v>81</v>
      </c>
      <c r="C333" s="1">
        <v>0.4</v>
      </c>
      <c r="D333" s="5">
        <v>1.9310133999082897</v>
      </c>
      <c r="E333" s="31"/>
    </row>
    <row r="334" spans="1:5" ht="15.75" customHeight="1" x14ac:dyDescent="0.3">
      <c r="A334" s="33">
        <v>90201</v>
      </c>
      <c r="B334" s="10" t="s">
        <v>131</v>
      </c>
      <c r="C334" s="1">
        <v>1.2</v>
      </c>
      <c r="D334" s="5">
        <v>5.0209406441053286</v>
      </c>
      <c r="E334" s="31"/>
    </row>
    <row r="335" spans="1:5" ht="15.75" customHeight="1" x14ac:dyDescent="0.3">
      <c r="A335" s="33">
        <v>90202</v>
      </c>
      <c r="B335" s="10" t="s">
        <v>9</v>
      </c>
      <c r="C335" s="1">
        <v>0.3</v>
      </c>
      <c r="D335" s="5">
        <v>1.3988978380669777</v>
      </c>
      <c r="E335" s="31"/>
    </row>
    <row r="336" spans="1:5" ht="15.75" customHeight="1" x14ac:dyDescent="0.3">
      <c r="A336" s="33">
        <v>90203</v>
      </c>
      <c r="B336" s="10" t="s">
        <v>37</v>
      </c>
      <c r="C336" s="1">
        <v>0.2</v>
      </c>
      <c r="D336" s="5">
        <v>0.91163858594725999</v>
      </c>
      <c r="E336" s="31"/>
    </row>
    <row r="337" spans="1:5" ht="15.75" customHeight="1" x14ac:dyDescent="0.3">
      <c r="A337" s="33">
        <v>90301</v>
      </c>
      <c r="B337" s="10" t="s">
        <v>336</v>
      </c>
      <c r="C337" s="1">
        <v>0.6</v>
      </c>
      <c r="D337" s="5">
        <v>3.6262406197046717</v>
      </c>
      <c r="E337" s="31"/>
    </row>
    <row r="338" spans="1:5" ht="15.75" customHeight="1" x14ac:dyDescent="0.3">
      <c r="A338" s="33">
        <v>90302</v>
      </c>
      <c r="B338" s="10" t="s">
        <v>59</v>
      </c>
      <c r="C338" s="1">
        <v>0.6</v>
      </c>
      <c r="D338" s="5">
        <v>1.6683062797179866</v>
      </c>
      <c r="E338" s="31"/>
    </row>
    <row r="339" spans="1:5" ht="15.75" customHeight="1" x14ac:dyDescent="0.3">
      <c r="A339" s="33">
        <v>90303</v>
      </c>
      <c r="B339" s="10" t="s">
        <v>337</v>
      </c>
      <c r="C339" s="1">
        <v>0.9</v>
      </c>
      <c r="D339" s="5">
        <v>6.4585846401286684</v>
      </c>
      <c r="E339" s="31"/>
    </row>
    <row r="340" spans="1:5" ht="15.75" customHeight="1" x14ac:dyDescent="0.3">
      <c r="A340" s="33">
        <v>90401</v>
      </c>
      <c r="B340" s="10" t="s">
        <v>437</v>
      </c>
      <c r="C340" s="1">
        <v>0.4</v>
      </c>
      <c r="D340" s="5">
        <v>2.1395528141865845</v>
      </c>
      <c r="E340" s="31"/>
    </row>
    <row r="341" spans="1:5" ht="15.75" customHeight="1" x14ac:dyDescent="0.3">
      <c r="A341" s="33">
        <v>90402</v>
      </c>
      <c r="B341" s="10" t="s">
        <v>14</v>
      </c>
      <c r="C341" s="1">
        <v>0.4</v>
      </c>
      <c r="D341" s="5">
        <v>2.2948164146868248</v>
      </c>
      <c r="E341" s="31"/>
    </row>
    <row r="342" spans="1:5" ht="15.75" customHeight="1" x14ac:dyDescent="0.3">
      <c r="A342" s="33">
        <v>90501</v>
      </c>
      <c r="B342" s="10" t="s">
        <v>26</v>
      </c>
      <c r="C342" s="1">
        <v>0.6</v>
      </c>
      <c r="D342" s="5">
        <v>2.3794565729542954</v>
      </c>
      <c r="E342" s="31"/>
    </row>
    <row r="343" spans="1:5" ht="15.75" customHeight="1" x14ac:dyDescent="0.3">
      <c r="A343" s="33">
        <v>90502</v>
      </c>
      <c r="B343" s="10" t="s">
        <v>439</v>
      </c>
      <c r="C343" s="1">
        <v>0.5</v>
      </c>
      <c r="D343" s="5">
        <v>2.5706371191135733</v>
      </c>
      <c r="E343" s="31"/>
    </row>
    <row r="344" spans="1:5" ht="15.75" customHeight="1" x14ac:dyDescent="0.3">
      <c r="A344" s="33">
        <v>90503</v>
      </c>
      <c r="B344" s="10" t="s">
        <v>24</v>
      </c>
      <c r="C344" s="1">
        <v>0.2</v>
      </c>
      <c r="D344" s="5">
        <v>0.99403578528827041</v>
      </c>
      <c r="E344" s="31"/>
    </row>
    <row r="345" spans="1:5" ht="15.75" customHeight="1" x14ac:dyDescent="0.3">
      <c r="B345" s="12"/>
      <c r="C345" s="4"/>
      <c r="D345" s="3"/>
    </row>
    <row r="346" spans="1:5" ht="15.75" customHeight="1" x14ac:dyDescent="0.3">
      <c r="B346" s="12"/>
      <c r="C346" s="4"/>
      <c r="D346" s="3"/>
    </row>
    <row r="347" spans="1:5" ht="15.75" customHeight="1" x14ac:dyDescent="0.3">
      <c r="B347" s="12"/>
      <c r="C347" s="4"/>
      <c r="D347" s="3"/>
    </row>
    <row r="348" spans="1:5" ht="15.75" customHeight="1" x14ac:dyDescent="0.3">
      <c r="B348" s="12"/>
      <c r="C348" s="4"/>
    </row>
    <row r="349" spans="1:5" ht="15.75" customHeight="1" x14ac:dyDescent="0.3">
      <c r="B349" s="12"/>
      <c r="C349" s="4"/>
    </row>
    <row r="350" spans="1:5" ht="15.75" customHeight="1" x14ac:dyDescent="0.3">
      <c r="B350" s="12"/>
      <c r="C350" s="4"/>
      <c r="D350" s="4"/>
    </row>
    <row r="351" spans="1:5" ht="15.75" customHeight="1" x14ac:dyDescent="0.3">
      <c r="B351" s="12"/>
      <c r="C351" s="4"/>
      <c r="D351" s="4"/>
    </row>
    <row r="352" spans="1:5" ht="15.75" customHeight="1" x14ac:dyDescent="0.3">
      <c r="B352" s="12"/>
      <c r="C352" s="4"/>
      <c r="D352" s="4"/>
    </row>
    <row r="353" spans="2:4" ht="15.75" customHeight="1" x14ac:dyDescent="0.3">
      <c r="B353" s="13"/>
      <c r="C353" s="4"/>
      <c r="D353" s="4"/>
    </row>
    <row r="354" spans="2:4" ht="15.75" customHeight="1" x14ac:dyDescent="0.3">
      <c r="B354" s="13"/>
      <c r="D354" s="2"/>
    </row>
    <row r="355" spans="2:4" ht="15.75" customHeight="1" x14ac:dyDescent="0.3">
      <c r="B355" s="13"/>
    </row>
    <row r="356" spans="2:4" ht="15.75" customHeight="1" x14ac:dyDescent="0.3">
      <c r="B356" s="13"/>
    </row>
    <row r="357" spans="2:4" ht="15.75" customHeight="1" x14ac:dyDescent="0.3">
      <c r="B357" s="13"/>
    </row>
    <row r="358" spans="2:4" ht="15.75" customHeight="1" x14ac:dyDescent="0.3">
      <c r="B358" s="13"/>
    </row>
    <row r="359" spans="2:4" ht="15.75" customHeight="1" x14ac:dyDescent="0.3">
      <c r="B359" s="13"/>
    </row>
    <row r="360" spans="2:4" ht="15.75" customHeight="1" x14ac:dyDescent="0.3">
      <c r="B360" s="13"/>
    </row>
    <row r="361" spans="2:4" ht="15.75" customHeight="1" x14ac:dyDescent="0.3">
      <c r="B361" s="13"/>
    </row>
    <row r="362" spans="2:4" ht="15.75" customHeight="1" x14ac:dyDescent="0.3">
      <c r="B362" s="13"/>
    </row>
    <row r="363" spans="2:4" ht="15.75" customHeight="1" x14ac:dyDescent="0.3">
      <c r="B363" s="13"/>
    </row>
    <row r="364" spans="2:4" ht="15.75" customHeight="1" x14ac:dyDescent="0.3">
      <c r="B364" s="13"/>
    </row>
    <row r="365" spans="2:4" ht="15.75" customHeight="1" x14ac:dyDescent="0.3">
      <c r="B365" s="13"/>
    </row>
    <row r="366" spans="2:4" ht="15.75" customHeight="1" x14ac:dyDescent="0.3">
      <c r="B366" s="13"/>
    </row>
    <row r="367" spans="2:4" ht="15.75" customHeight="1" x14ac:dyDescent="0.3">
      <c r="B367" s="13"/>
    </row>
    <row r="368" spans="2:4" ht="15.75" customHeight="1" x14ac:dyDescent="0.3">
      <c r="B368" s="13"/>
    </row>
    <row r="369" spans="2:2" ht="15.75" customHeight="1" x14ac:dyDescent="0.3">
      <c r="B369" s="13"/>
    </row>
    <row r="370" spans="2:2" ht="15.75" customHeight="1" x14ac:dyDescent="0.3">
      <c r="B370" s="13"/>
    </row>
    <row r="371" spans="2:2" ht="15.75" customHeight="1" x14ac:dyDescent="0.3">
      <c r="B371" s="13"/>
    </row>
    <row r="372" spans="2:2" ht="15.75" customHeight="1" x14ac:dyDescent="0.3">
      <c r="B372" s="13"/>
    </row>
    <row r="373" spans="2:2" ht="15.75" customHeight="1" x14ac:dyDescent="0.3">
      <c r="B373" s="13"/>
    </row>
    <row r="374" spans="2:2" ht="15.75" customHeight="1" x14ac:dyDescent="0.3">
      <c r="B374" s="13"/>
    </row>
    <row r="375" spans="2:2" ht="15.75" customHeight="1" x14ac:dyDescent="0.3">
      <c r="B375" s="13"/>
    </row>
    <row r="376" spans="2:2" ht="15.75" customHeight="1" x14ac:dyDescent="0.3">
      <c r="B376" s="13"/>
    </row>
    <row r="377" spans="2:2" ht="15.75" customHeight="1" x14ac:dyDescent="0.3">
      <c r="B377" s="13"/>
    </row>
    <row r="378" spans="2:2" ht="15.75" customHeight="1" x14ac:dyDescent="0.3">
      <c r="B378" s="13"/>
    </row>
    <row r="379" spans="2:2" ht="15.75" customHeight="1" x14ac:dyDescent="0.3">
      <c r="B379" s="13"/>
    </row>
    <row r="380" spans="2:2" ht="15.75" customHeight="1" x14ac:dyDescent="0.3">
      <c r="B380" s="13"/>
    </row>
    <row r="381" spans="2:2" ht="15.75" customHeight="1" x14ac:dyDescent="0.3">
      <c r="B381" s="13"/>
    </row>
    <row r="382" spans="2:2" ht="15.75" customHeight="1" x14ac:dyDescent="0.3">
      <c r="B382" s="13"/>
    </row>
    <row r="383" spans="2:2" ht="15.75" customHeight="1" x14ac:dyDescent="0.3">
      <c r="B383" s="13"/>
    </row>
    <row r="384" spans="2:2" ht="15.75" customHeight="1" x14ac:dyDescent="0.3">
      <c r="B384" s="13"/>
    </row>
    <row r="385" spans="2:2" ht="15.75" customHeight="1" x14ac:dyDescent="0.3">
      <c r="B385" s="13"/>
    </row>
    <row r="386" spans="2:2" ht="15.75" customHeight="1" x14ac:dyDescent="0.3">
      <c r="B386" s="13"/>
    </row>
    <row r="387" spans="2:2" ht="15.75" customHeight="1" x14ac:dyDescent="0.3">
      <c r="B387" s="13"/>
    </row>
    <row r="388" spans="2:2" ht="15.75" customHeight="1" x14ac:dyDescent="0.3">
      <c r="B388" s="13"/>
    </row>
    <row r="389" spans="2:2" ht="15.75" customHeight="1" x14ac:dyDescent="0.3">
      <c r="B389" s="13"/>
    </row>
    <row r="390" spans="2:2" ht="15.75" customHeight="1" x14ac:dyDescent="0.3">
      <c r="B390" s="13"/>
    </row>
    <row r="391" spans="2:2" ht="15.75" customHeight="1" x14ac:dyDescent="0.3">
      <c r="B391" s="13"/>
    </row>
    <row r="392" spans="2:2" ht="15.75" customHeight="1" x14ac:dyDescent="0.3">
      <c r="B392" s="13"/>
    </row>
    <row r="393" spans="2:2" ht="15.75" customHeight="1" x14ac:dyDescent="0.3">
      <c r="B393" s="13"/>
    </row>
    <row r="394" spans="2:2" ht="15.75" customHeight="1" x14ac:dyDescent="0.3">
      <c r="B394" s="13"/>
    </row>
    <row r="395" spans="2:2" ht="15.75" customHeight="1" x14ac:dyDescent="0.3">
      <c r="B395" s="13"/>
    </row>
    <row r="396" spans="2:2" ht="15.75" customHeight="1" x14ac:dyDescent="0.3">
      <c r="B396" s="13"/>
    </row>
    <row r="397" spans="2:2" ht="15.75" customHeight="1" x14ac:dyDescent="0.3">
      <c r="B397" s="13"/>
    </row>
    <row r="398" spans="2:2" ht="15.75" customHeight="1" x14ac:dyDescent="0.3">
      <c r="B398" s="13"/>
    </row>
    <row r="399" spans="2:2" ht="15.75" customHeight="1" x14ac:dyDescent="0.3">
      <c r="B399" s="13"/>
    </row>
    <row r="400" spans="2:2" ht="15.75" customHeight="1" x14ac:dyDescent="0.3">
      <c r="B400" s="13"/>
    </row>
    <row r="401" spans="2:2" ht="15.75" customHeight="1" x14ac:dyDescent="0.3">
      <c r="B401" s="13"/>
    </row>
    <row r="402" spans="2:2" ht="15.75" customHeight="1" x14ac:dyDescent="0.3">
      <c r="B402" s="13"/>
    </row>
    <row r="403" spans="2:2" ht="15.75" customHeight="1" x14ac:dyDescent="0.3">
      <c r="B403" s="13"/>
    </row>
    <row r="404" spans="2:2" ht="15.75" customHeight="1" x14ac:dyDescent="0.3">
      <c r="B404" s="13"/>
    </row>
    <row r="405" spans="2:2" ht="15.75" customHeight="1" x14ac:dyDescent="0.3">
      <c r="B405" s="13"/>
    </row>
    <row r="406" spans="2:2" ht="15.75" customHeight="1" x14ac:dyDescent="0.3">
      <c r="B406" s="13"/>
    </row>
    <row r="407" spans="2:2" ht="15.75" customHeight="1" x14ac:dyDescent="0.3">
      <c r="B407" s="13"/>
    </row>
    <row r="408" spans="2:2" ht="15.75" customHeight="1" x14ac:dyDescent="0.3">
      <c r="B408" s="13"/>
    </row>
    <row r="409" spans="2:2" ht="15.75" customHeight="1" x14ac:dyDescent="0.3">
      <c r="B409" s="13"/>
    </row>
    <row r="410" spans="2:2" ht="15.75" customHeight="1" x14ac:dyDescent="0.3">
      <c r="B410" s="13"/>
    </row>
    <row r="411" spans="2:2" ht="15.75" customHeight="1" x14ac:dyDescent="0.3">
      <c r="B411" s="13"/>
    </row>
    <row r="412" spans="2:2" ht="15.75" customHeight="1" x14ac:dyDescent="0.3">
      <c r="B412" s="13"/>
    </row>
    <row r="413" spans="2:2" ht="15.75" customHeight="1" x14ac:dyDescent="0.3">
      <c r="B413" s="13"/>
    </row>
    <row r="414" spans="2:2" ht="15.75" customHeight="1" x14ac:dyDescent="0.3">
      <c r="B414" s="13"/>
    </row>
    <row r="415" spans="2:2" ht="15.75" customHeight="1" x14ac:dyDescent="0.3">
      <c r="B415" s="13"/>
    </row>
    <row r="416" spans="2:2" ht="15.75" customHeight="1" x14ac:dyDescent="0.3">
      <c r="B416" s="13"/>
    </row>
    <row r="417" spans="2:2" ht="15.75" customHeight="1" x14ac:dyDescent="0.3">
      <c r="B417" s="13"/>
    </row>
    <row r="418" spans="2:2" ht="15.75" customHeight="1" x14ac:dyDescent="0.3">
      <c r="B418" s="13"/>
    </row>
    <row r="419" spans="2:2" ht="15.75" customHeight="1" x14ac:dyDescent="0.3">
      <c r="B419" s="13"/>
    </row>
    <row r="420" spans="2:2" ht="15.75" customHeight="1" x14ac:dyDescent="0.3">
      <c r="B420" s="13"/>
    </row>
    <row r="421" spans="2:2" ht="15.75" customHeight="1" x14ac:dyDescent="0.3">
      <c r="B421" s="13"/>
    </row>
    <row r="422" spans="2:2" ht="15.75" customHeight="1" x14ac:dyDescent="0.3">
      <c r="B422" s="13"/>
    </row>
    <row r="423" spans="2:2" ht="15.75" customHeight="1" x14ac:dyDescent="0.3">
      <c r="B423" s="13"/>
    </row>
    <row r="424" spans="2:2" ht="15.75" customHeight="1" x14ac:dyDescent="0.3">
      <c r="B424" s="13"/>
    </row>
    <row r="425" spans="2:2" ht="15.75" customHeight="1" x14ac:dyDescent="0.3">
      <c r="B425" s="13"/>
    </row>
    <row r="426" spans="2:2" ht="15.75" customHeight="1" x14ac:dyDescent="0.3">
      <c r="B426" s="13"/>
    </row>
    <row r="427" spans="2:2" ht="15.75" customHeight="1" x14ac:dyDescent="0.3">
      <c r="B427" s="13"/>
    </row>
    <row r="428" spans="2:2" ht="15.75" customHeight="1" x14ac:dyDescent="0.3">
      <c r="B428" s="13"/>
    </row>
    <row r="429" spans="2:2" ht="15.75" customHeight="1" x14ac:dyDescent="0.3">
      <c r="B429" s="13"/>
    </row>
    <row r="430" spans="2:2" ht="15.75" customHeight="1" x14ac:dyDescent="0.3">
      <c r="B430" s="13"/>
    </row>
    <row r="431" spans="2:2" ht="15.75" customHeight="1" x14ac:dyDescent="0.3">
      <c r="B431" s="13"/>
    </row>
    <row r="432" spans="2:2" ht="15.75" customHeight="1" x14ac:dyDescent="0.3">
      <c r="B432" s="13"/>
    </row>
    <row r="433" spans="2:2" ht="15.75" customHeight="1" x14ac:dyDescent="0.3">
      <c r="B433" s="13"/>
    </row>
    <row r="434" spans="2:2" ht="15.75" customHeight="1" x14ac:dyDescent="0.3">
      <c r="B434" s="13"/>
    </row>
    <row r="435" spans="2:2" ht="15.75" customHeight="1" x14ac:dyDescent="0.3">
      <c r="B435" s="13"/>
    </row>
    <row r="436" spans="2:2" ht="15.75" customHeight="1" x14ac:dyDescent="0.3">
      <c r="B436" s="13"/>
    </row>
    <row r="437" spans="2:2" ht="15.75" customHeight="1" x14ac:dyDescent="0.3">
      <c r="B437" s="13"/>
    </row>
    <row r="438" spans="2:2" ht="15.75" customHeight="1" x14ac:dyDescent="0.3">
      <c r="B438" s="13"/>
    </row>
    <row r="439" spans="2:2" ht="15.75" customHeight="1" x14ac:dyDescent="0.3">
      <c r="B439" s="13"/>
    </row>
    <row r="440" spans="2:2" ht="15.75" customHeight="1" x14ac:dyDescent="0.3">
      <c r="B440" s="13"/>
    </row>
    <row r="441" spans="2:2" ht="15.75" customHeight="1" x14ac:dyDescent="0.3">
      <c r="B441" s="13"/>
    </row>
    <row r="442" spans="2:2" ht="15.75" customHeight="1" x14ac:dyDescent="0.3">
      <c r="B442" s="13"/>
    </row>
    <row r="443" spans="2:2" ht="15.75" customHeight="1" x14ac:dyDescent="0.3">
      <c r="B443" s="13"/>
    </row>
    <row r="444" spans="2:2" ht="15.75" customHeight="1" x14ac:dyDescent="0.3">
      <c r="B444" s="13"/>
    </row>
    <row r="445" spans="2:2" ht="15.75" customHeight="1" x14ac:dyDescent="0.3">
      <c r="B445" s="13"/>
    </row>
    <row r="446" spans="2:2" ht="15.75" customHeight="1" x14ac:dyDescent="0.3">
      <c r="B446" s="13"/>
    </row>
    <row r="447" spans="2:2" ht="15.75" customHeight="1" x14ac:dyDescent="0.3">
      <c r="B447" s="13"/>
    </row>
    <row r="448" spans="2:2" ht="15.75" customHeight="1" x14ac:dyDescent="0.3">
      <c r="B448" s="13"/>
    </row>
    <row r="449" spans="2:2" ht="15.75" customHeight="1" x14ac:dyDescent="0.3">
      <c r="B449" s="13"/>
    </row>
    <row r="450" spans="2:2" ht="15.75" customHeight="1" x14ac:dyDescent="0.3">
      <c r="B450" s="13"/>
    </row>
    <row r="451" spans="2:2" ht="15.75" customHeight="1" x14ac:dyDescent="0.3">
      <c r="B451" s="13"/>
    </row>
    <row r="452" spans="2:2" ht="15.75" customHeight="1" x14ac:dyDescent="0.3">
      <c r="B452" s="13"/>
    </row>
    <row r="453" spans="2:2" ht="15.75" customHeight="1" x14ac:dyDescent="0.3">
      <c r="B453" s="13"/>
    </row>
    <row r="454" spans="2:2" ht="15.75" customHeight="1" x14ac:dyDescent="0.3">
      <c r="B454" s="13"/>
    </row>
    <row r="455" spans="2:2" ht="15.75" customHeight="1" x14ac:dyDescent="0.3">
      <c r="B455" s="13"/>
    </row>
    <row r="456" spans="2:2" ht="15.75" customHeight="1" x14ac:dyDescent="0.3">
      <c r="B456" s="13"/>
    </row>
    <row r="457" spans="2:2" ht="15.75" customHeight="1" x14ac:dyDescent="0.3">
      <c r="B457" s="13"/>
    </row>
    <row r="458" spans="2:2" ht="15.75" customHeight="1" x14ac:dyDescent="0.3">
      <c r="B458" s="13"/>
    </row>
    <row r="459" spans="2:2" ht="15.75" customHeight="1" x14ac:dyDescent="0.3">
      <c r="B459" s="13"/>
    </row>
    <row r="460" spans="2:2" ht="15.75" customHeight="1" x14ac:dyDescent="0.3">
      <c r="B460" s="13"/>
    </row>
    <row r="461" spans="2:2" ht="15.75" customHeight="1" x14ac:dyDescent="0.3">
      <c r="B461" s="13"/>
    </row>
    <row r="462" spans="2:2" ht="15.75" customHeight="1" x14ac:dyDescent="0.3">
      <c r="B462" s="13"/>
    </row>
    <row r="463" spans="2:2" ht="15.75" customHeight="1" x14ac:dyDescent="0.3">
      <c r="B463" s="13"/>
    </row>
    <row r="464" spans="2:2" ht="15.75" customHeight="1" x14ac:dyDescent="0.3">
      <c r="B464" s="13"/>
    </row>
    <row r="465" spans="2:2" ht="15.75" customHeight="1" x14ac:dyDescent="0.3">
      <c r="B465" s="13"/>
    </row>
    <row r="466" spans="2:2" ht="15.75" customHeight="1" x14ac:dyDescent="0.3">
      <c r="B466" s="13"/>
    </row>
    <row r="467" spans="2:2" ht="15.75" customHeight="1" x14ac:dyDescent="0.3">
      <c r="B467" s="13"/>
    </row>
    <row r="468" spans="2:2" ht="15.75" customHeight="1" x14ac:dyDescent="0.3">
      <c r="B468" s="13"/>
    </row>
    <row r="469" spans="2:2" ht="15.75" customHeight="1" x14ac:dyDescent="0.3">
      <c r="B469" s="13"/>
    </row>
    <row r="470" spans="2:2" ht="15.75" customHeight="1" x14ac:dyDescent="0.3">
      <c r="B470" s="13"/>
    </row>
    <row r="471" spans="2:2" ht="15.75" customHeight="1" x14ac:dyDescent="0.3">
      <c r="B471" s="13"/>
    </row>
    <row r="472" spans="2:2" ht="15.75" customHeight="1" x14ac:dyDescent="0.3">
      <c r="B472" s="13"/>
    </row>
    <row r="473" spans="2:2" ht="15.75" customHeight="1" x14ac:dyDescent="0.3">
      <c r="B473" s="13"/>
    </row>
    <row r="474" spans="2:2" ht="15.75" customHeight="1" x14ac:dyDescent="0.3">
      <c r="B474" s="13"/>
    </row>
    <row r="475" spans="2:2" ht="15.75" customHeight="1" x14ac:dyDescent="0.3">
      <c r="B475" s="13"/>
    </row>
    <row r="476" spans="2:2" ht="15.75" customHeight="1" x14ac:dyDescent="0.3">
      <c r="B476" s="13"/>
    </row>
    <row r="477" spans="2:2" ht="15.75" customHeight="1" x14ac:dyDescent="0.3">
      <c r="B477" s="13"/>
    </row>
    <row r="478" spans="2:2" ht="15.75" customHeight="1" x14ac:dyDescent="0.3">
      <c r="B478" s="13"/>
    </row>
    <row r="479" spans="2:2" ht="15.75" customHeight="1" x14ac:dyDescent="0.3">
      <c r="B479" s="13"/>
    </row>
    <row r="480" spans="2:2" ht="15.75" customHeight="1" x14ac:dyDescent="0.3">
      <c r="B480" s="13"/>
    </row>
    <row r="481" spans="2:2" ht="15.75" customHeight="1" x14ac:dyDescent="0.3">
      <c r="B481" s="13"/>
    </row>
    <row r="482" spans="2:2" ht="15.75" customHeight="1" x14ac:dyDescent="0.3">
      <c r="B482" s="13"/>
    </row>
    <row r="483" spans="2:2" ht="15.75" customHeight="1" x14ac:dyDescent="0.3">
      <c r="B483" s="13"/>
    </row>
    <row r="484" spans="2:2" ht="15.75" customHeight="1" x14ac:dyDescent="0.3">
      <c r="B484" s="13"/>
    </row>
    <row r="485" spans="2:2" ht="15.75" customHeight="1" x14ac:dyDescent="0.3">
      <c r="B485" s="13"/>
    </row>
    <row r="486" spans="2:2" ht="15.75" customHeight="1" x14ac:dyDescent="0.3">
      <c r="B486" s="13"/>
    </row>
    <row r="487" spans="2:2" ht="15.75" customHeight="1" x14ac:dyDescent="0.3">
      <c r="B487" s="13"/>
    </row>
    <row r="488" spans="2:2" ht="15.75" customHeight="1" x14ac:dyDescent="0.3">
      <c r="B488" s="13"/>
    </row>
    <row r="489" spans="2:2" ht="15.75" customHeight="1" x14ac:dyDescent="0.3">
      <c r="B489" s="13"/>
    </row>
    <row r="490" spans="2:2" ht="15.75" customHeight="1" x14ac:dyDescent="0.3">
      <c r="B490" s="13"/>
    </row>
    <row r="491" spans="2:2" ht="15.75" customHeight="1" x14ac:dyDescent="0.3">
      <c r="B491" s="13"/>
    </row>
    <row r="492" spans="2:2" ht="15.75" customHeight="1" x14ac:dyDescent="0.3">
      <c r="B492" s="13"/>
    </row>
    <row r="493" spans="2:2" ht="15.75" customHeight="1" x14ac:dyDescent="0.3">
      <c r="B493" s="13"/>
    </row>
    <row r="494" spans="2:2" ht="15.75" customHeight="1" x14ac:dyDescent="0.3">
      <c r="B494" s="13"/>
    </row>
    <row r="495" spans="2:2" ht="15.75" customHeight="1" x14ac:dyDescent="0.3">
      <c r="B495" s="13"/>
    </row>
    <row r="496" spans="2:2" ht="15.75" customHeight="1" x14ac:dyDescent="0.3">
      <c r="B496" s="13"/>
    </row>
    <row r="497" spans="2:2" ht="15.75" customHeight="1" x14ac:dyDescent="0.3">
      <c r="B497" s="13"/>
    </row>
    <row r="498" spans="2:2" ht="15.75" customHeight="1" x14ac:dyDescent="0.3">
      <c r="B498" s="13"/>
    </row>
    <row r="499" spans="2:2" ht="15.75" customHeight="1" x14ac:dyDescent="0.3">
      <c r="B499" s="13"/>
    </row>
    <row r="500" spans="2:2" ht="15.75" customHeight="1" x14ac:dyDescent="0.3">
      <c r="B500" s="13"/>
    </row>
    <row r="501" spans="2:2" ht="15.75" customHeight="1" x14ac:dyDescent="0.3">
      <c r="B501" s="13"/>
    </row>
    <row r="502" spans="2:2" ht="15.75" customHeight="1" x14ac:dyDescent="0.3">
      <c r="B502" s="13"/>
    </row>
    <row r="503" spans="2:2" ht="15.75" customHeight="1" x14ac:dyDescent="0.3">
      <c r="B503" s="13"/>
    </row>
    <row r="504" spans="2:2" ht="15.75" customHeight="1" x14ac:dyDescent="0.3">
      <c r="B504" s="13"/>
    </row>
    <row r="505" spans="2:2" ht="15.75" customHeight="1" x14ac:dyDescent="0.3">
      <c r="B505" s="13"/>
    </row>
    <row r="506" spans="2:2" ht="15.75" customHeight="1" x14ac:dyDescent="0.3">
      <c r="B506" s="13"/>
    </row>
    <row r="507" spans="2:2" ht="15.75" customHeight="1" x14ac:dyDescent="0.3">
      <c r="B507" s="13"/>
    </row>
    <row r="508" spans="2:2" ht="15.75" customHeight="1" x14ac:dyDescent="0.3">
      <c r="B508" s="13"/>
    </row>
    <row r="509" spans="2:2" ht="15.75" customHeight="1" x14ac:dyDescent="0.3">
      <c r="B509" s="13"/>
    </row>
    <row r="510" spans="2:2" ht="15.75" customHeight="1" x14ac:dyDescent="0.3">
      <c r="B510" s="13"/>
    </row>
    <row r="511" spans="2:2" ht="15.75" customHeight="1" x14ac:dyDescent="0.3">
      <c r="B511" s="13"/>
    </row>
    <row r="512" spans="2:2" ht="15.75" customHeight="1" x14ac:dyDescent="0.3">
      <c r="B512" s="13"/>
    </row>
    <row r="513" spans="2:2" ht="15.75" customHeight="1" x14ac:dyDescent="0.3">
      <c r="B513" s="13"/>
    </row>
    <row r="514" spans="2:2" ht="15.75" customHeight="1" x14ac:dyDescent="0.3">
      <c r="B514" s="13"/>
    </row>
    <row r="515" spans="2:2" ht="15.75" customHeight="1" x14ac:dyDescent="0.3">
      <c r="B515" s="13"/>
    </row>
    <row r="516" spans="2:2" ht="15.75" customHeight="1" x14ac:dyDescent="0.3">
      <c r="B516" s="13"/>
    </row>
    <row r="517" spans="2:2" ht="15.75" customHeight="1" x14ac:dyDescent="0.3">
      <c r="B517" s="13"/>
    </row>
    <row r="518" spans="2:2" ht="15.75" customHeight="1" x14ac:dyDescent="0.3">
      <c r="B518" s="13"/>
    </row>
    <row r="519" spans="2:2" ht="15.75" customHeight="1" x14ac:dyDescent="0.3">
      <c r="B519" s="13"/>
    </row>
    <row r="520" spans="2:2" ht="15.75" customHeight="1" x14ac:dyDescent="0.3">
      <c r="B520" s="13"/>
    </row>
    <row r="521" spans="2:2" ht="15.75" customHeight="1" x14ac:dyDescent="0.3">
      <c r="B521" s="13"/>
    </row>
    <row r="522" spans="2:2" ht="15.75" customHeight="1" x14ac:dyDescent="0.3">
      <c r="B522" s="13"/>
    </row>
    <row r="523" spans="2:2" ht="15.75" customHeight="1" x14ac:dyDescent="0.3">
      <c r="B523" s="13"/>
    </row>
    <row r="524" spans="2:2" ht="15.75" customHeight="1" x14ac:dyDescent="0.3">
      <c r="B524" s="13"/>
    </row>
    <row r="525" spans="2:2" ht="15.75" customHeight="1" x14ac:dyDescent="0.3">
      <c r="B525" s="13"/>
    </row>
    <row r="526" spans="2:2" ht="15.75" customHeight="1" x14ac:dyDescent="0.3">
      <c r="B526" s="13"/>
    </row>
    <row r="527" spans="2:2" ht="15.75" customHeight="1" x14ac:dyDescent="0.3">
      <c r="B527" s="13"/>
    </row>
    <row r="528" spans="2:2" ht="15.75" customHeight="1" x14ac:dyDescent="0.3">
      <c r="B528" s="13"/>
    </row>
    <row r="529" spans="2:2" ht="15.75" customHeight="1" x14ac:dyDescent="0.3">
      <c r="B529" s="13"/>
    </row>
    <row r="530" spans="2:2" ht="15.75" customHeight="1" x14ac:dyDescent="0.3">
      <c r="B530" s="13"/>
    </row>
    <row r="531" spans="2:2" ht="15.75" customHeight="1" x14ac:dyDescent="0.3">
      <c r="B531" s="13"/>
    </row>
    <row r="532" spans="2:2" ht="15.75" customHeight="1" x14ac:dyDescent="0.3">
      <c r="B532" s="13"/>
    </row>
    <row r="533" spans="2:2" ht="15.75" customHeight="1" x14ac:dyDescent="0.3">
      <c r="B533" s="13"/>
    </row>
    <row r="534" spans="2:2" ht="15.75" customHeight="1" x14ac:dyDescent="0.3">
      <c r="B534" s="13"/>
    </row>
    <row r="535" spans="2:2" ht="15.75" customHeight="1" x14ac:dyDescent="0.3">
      <c r="B535" s="13"/>
    </row>
    <row r="536" spans="2:2" ht="15.75" customHeight="1" x14ac:dyDescent="0.3">
      <c r="B536" s="13"/>
    </row>
    <row r="537" spans="2:2" ht="15.75" customHeight="1" x14ac:dyDescent="0.3">
      <c r="B537" s="13"/>
    </row>
    <row r="538" spans="2:2" ht="15.75" customHeight="1" x14ac:dyDescent="0.3">
      <c r="B538" s="13"/>
    </row>
    <row r="539" spans="2:2" ht="15.75" customHeight="1" x14ac:dyDescent="0.3">
      <c r="B539" s="13"/>
    </row>
    <row r="540" spans="2:2" ht="15.75" customHeight="1" x14ac:dyDescent="0.3">
      <c r="B540" s="13"/>
    </row>
    <row r="541" spans="2:2" ht="15.75" customHeight="1" x14ac:dyDescent="0.3">
      <c r="B541" s="13"/>
    </row>
    <row r="542" spans="2:2" ht="15.75" customHeight="1" x14ac:dyDescent="0.3">
      <c r="B542" s="13"/>
    </row>
    <row r="543" spans="2:2" ht="15.75" customHeight="1" x14ac:dyDescent="0.3">
      <c r="B543" s="13"/>
    </row>
    <row r="544" spans="2:2" ht="15.75" customHeight="1" x14ac:dyDescent="0.3">
      <c r="B544" s="13"/>
    </row>
    <row r="545" spans="2:2" ht="15.75" customHeight="1" x14ac:dyDescent="0.3">
      <c r="B545" s="13"/>
    </row>
    <row r="546" spans="2:2" ht="15.75" customHeight="1" x14ac:dyDescent="0.3">
      <c r="B546" s="13"/>
    </row>
    <row r="547" spans="2:2" ht="15.75" customHeight="1" x14ac:dyDescent="0.3">
      <c r="B547" s="13"/>
    </row>
    <row r="548" spans="2:2" ht="15.75" customHeight="1" x14ac:dyDescent="0.3">
      <c r="B548" s="13"/>
    </row>
    <row r="549" spans="2:2" ht="15.75" customHeight="1" x14ac:dyDescent="0.3">
      <c r="B549" s="13"/>
    </row>
    <row r="550" spans="2:2" ht="15.75" customHeight="1" x14ac:dyDescent="0.3">
      <c r="B550" s="13"/>
    </row>
    <row r="551" spans="2:2" ht="15.75" customHeight="1" x14ac:dyDescent="0.3">
      <c r="B551" s="13"/>
    </row>
    <row r="552" spans="2:2" ht="15.75" customHeight="1" x14ac:dyDescent="0.3">
      <c r="B552" s="13"/>
    </row>
    <row r="553" spans="2:2" ht="15.75" customHeight="1" x14ac:dyDescent="0.3">
      <c r="B553" s="13"/>
    </row>
    <row r="554" spans="2:2" ht="15.75" customHeight="1" x14ac:dyDescent="0.3">
      <c r="B554" s="13"/>
    </row>
    <row r="555" spans="2:2" ht="15.75" customHeight="1" x14ac:dyDescent="0.3">
      <c r="B555" s="13"/>
    </row>
    <row r="556" spans="2:2" ht="15.75" customHeight="1" x14ac:dyDescent="0.3">
      <c r="B556" s="13"/>
    </row>
    <row r="557" spans="2:2" ht="15.75" customHeight="1" x14ac:dyDescent="0.3">
      <c r="B557" s="13"/>
    </row>
    <row r="558" spans="2:2" ht="15.75" customHeight="1" x14ac:dyDescent="0.3">
      <c r="B558" s="13"/>
    </row>
    <row r="559" spans="2:2" ht="15.75" customHeight="1" x14ac:dyDescent="0.3">
      <c r="B559" s="13"/>
    </row>
    <row r="560" spans="2:2" ht="15.75" customHeight="1" x14ac:dyDescent="0.3">
      <c r="B560" s="13"/>
    </row>
    <row r="561" spans="2:2" ht="15.75" customHeight="1" x14ac:dyDescent="0.3">
      <c r="B561" s="13"/>
    </row>
    <row r="562" spans="2:2" ht="15.75" customHeight="1" x14ac:dyDescent="0.3">
      <c r="B562" s="13"/>
    </row>
    <row r="563" spans="2:2" ht="15.75" customHeight="1" x14ac:dyDescent="0.3">
      <c r="B563" s="13"/>
    </row>
    <row r="564" spans="2:2" ht="15.75" customHeight="1" x14ac:dyDescent="0.3">
      <c r="B564" s="13"/>
    </row>
    <row r="565" spans="2:2" ht="15.75" customHeight="1" x14ac:dyDescent="0.3">
      <c r="B565" s="13"/>
    </row>
    <row r="566" spans="2:2" ht="15.75" customHeight="1" x14ac:dyDescent="0.3">
      <c r="B566" s="13"/>
    </row>
    <row r="567" spans="2:2" ht="15.75" customHeight="1" x14ac:dyDescent="0.3">
      <c r="B567" s="13"/>
    </row>
    <row r="568" spans="2:2" ht="15.75" customHeight="1" x14ac:dyDescent="0.3">
      <c r="B568" s="13"/>
    </row>
    <row r="569" spans="2:2" ht="15.75" customHeight="1" x14ac:dyDescent="0.3">
      <c r="B569" s="13"/>
    </row>
    <row r="570" spans="2:2" ht="15.75" customHeight="1" x14ac:dyDescent="0.3">
      <c r="B570" s="13"/>
    </row>
    <row r="571" spans="2:2" ht="15.75" customHeight="1" x14ac:dyDescent="0.3">
      <c r="B571" s="13"/>
    </row>
    <row r="572" spans="2:2" ht="15.75" customHeight="1" x14ac:dyDescent="0.3">
      <c r="B572" s="13"/>
    </row>
    <row r="573" spans="2:2" ht="15.75" customHeight="1" x14ac:dyDescent="0.3">
      <c r="B573" s="13"/>
    </row>
    <row r="574" spans="2:2" ht="15.75" customHeight="1" x14ac:dyDescent="0.3">
      <c r="B574" s="13"/>
    </row>
    <row r="575" spans="2:2" ht="15.75" customHeight="1" x14ac:dyDescent="0.3">
      <c r="B575" s="13"/>
    </row>
    <row r="576" spans="2:2" ht="15.75" customHeight="1" x14ac:dyDescent="0.3">
      <c r="B576" s="13"/>
    </row>
    <row r="577" spans="2:2" ht="15.75" customHeight="1" x14ac:dyDescent="0.3">
      <c r="B577" s="13"/>
    </row>
    <row r="578" spans="2:2" ht="15.75" customHeight="1" x14ac:dyDescent="0.3">
      <c r="B578" s="13"/>
    </row>
    <row r="579" spans="2:2" ht="15.75" customHeight="1" x14ac:dyDescent="0.3">
      <c r="B579" s="13"/>
    </row>
    <row r="580" spans="2:2" ht="15.75" customHeight="1" x14ac:dyDescent="0.3">
      <c r="B580" s="13"/>
    </row>
    <row r="581" spans="2:2" ht="15.75" customHeight="1" x14ac:dyDescent="0.3">
      <c r="B581" s="13"/>
    </row>
    <row r="582" spans="2:2" ht="15.75" customHeight="1" x14ac:dyDescent="0.3">
      <c r="B582" s="13"/>
    </row>
    <row r="583" spans="2:2" ht="15.75" customHeight="1" x14ac:dyDescent="0.3">
      <c r="B583" s="13"/>
    </row>
    <row r="584" spans="2:2" ht="15.75" customHeight="1" x14ac:dyDescent="0.3">
      <c r="B584" s="13"/>
    </row>
    <row r="585" spans="2:2" ht="15.75" customHeight="1" x14ac:dyDescent="0.3">
      <c r="B585" s="13"/>
    </row>
    <row r="586" spans="2:2" ht="15.75" customHeight="1" x14ac:dyDescent="0.3">
      <c r="B586" s="13"/>
    </row>
    <row r="587" spans="2:2" ht="15.75" customHeight="1" x14ac:dyDescent="0.3">
      <c r="B587" s="13"/>
    </row>
    <row r="588" spans="2:2" ht="15.75" customHeight="1" x14ac:dyDescent="0.3">
      <c r="B588" s="13"/>
    </row>
    <row r="589" spans="2:2" ht="15.75" customHeight="1" x14ac:dyDescent="0.3">
      <c r="B589" s="13"/>
    </row>
    <row r="590" spans="2:2" ht="15.75" customHeight="1" x14ac:dyDescent="0.3">
      <c r="B590" s="13"/>
    </row>
    <row r="591" spans="2:2" ht="15.75" customHeight="1" x14ac:dyDescent="0.3">
      <c r="B591" s="13"/>
    </row>
    <row r="592" spans="2:2" ht="15.75" customHeight="1" x14ac:dyDescent="0.3">
      <c r="B592" s="13"/>
    </row>
    <row r="593" spans="2:2" ht="15.75" customHeight="1" x14ac:dyDescent="0.3">
      <c r="B593" s="13"/>
    </row>
    <row r="594" spans="2:2" ht="15.75" customHeight="1" x14ac:dyDescent="0.3">
      <c r="B594" s="13"/>
    </row>
    <row r="595" spans="2:2" ht="15.75" customHeight="1" x14ac:dyDescent="0.3">
      <c r="B595" s="13"/>
    </row>
    <row r="596" spans="2:2" ht="15.75" customHeight="1" x14ac:dyDescent="0.3">
      <c r="B596" s="13"/>
    </row>
    <row r="597" spans="2:2" ht="15.75" customHeight="1" x14ac:dyDescent="0.3">
      <c r="B597" s="13"/>
    </row>
    <row r="598" spans="2:2" ht="15.75" customHeight="1" x14ac:dyDescent="0.3">
      <c r="B598" s="13"/>
    </row>
    <row r="599" spans="2:2" ht="15.75" customHeight="1" x14ac:dyDescent="0.3">
      <c r="B599" s="13"/>
    </row>
    <row r="600" spans="2:2" ht="15.75" customHeight="1" x14ac:dyDescent="0.3">
      <c r="B600" s="13"/>
    </row>
    <row r="601" spans="2:2" ht="15.75" customHeight="1" x14ac:dyDescent="0.3">
      <c r="B601" s="13"/>
    </row>
    <row r="602" spans="2:2" ht="15.75" customHeight="1" x14ac:dyDescent="0.3">
      <c r="B602" s="13"/>
    </row>
    <row r="603" spans="2:2" ht="15.75" customHeight="1" x14ac:dyDescent="0.3">
      <c r="B603" s="13"/>
    </row>
    <row r="604" spans="2:2" ht="15.75" customHeight="1" x14ac:dyDescent="0.3">
      <c r="B604" s="13"/>
    </row>
    <row r="605" spans="2:2" ht="15.75" customHeight="1" x14ac:dyDescent="0.3">
      <c r="B605" s="13"/>
    </row>
    <row r="606" spans="2:2" ht="15.75" customHeight="1" x14ac:dyDescent="0.3">
      <c r="B606" s="13"/>
    </row>
    <row r="607" spans="2:2" ht="15.75" customHeight="1" x14ac:dyDescent="0.3">
      <c r="B607" s="13"/>
    </row>
    <row r="608" spans="2:2" ht="15.75" customHeight="1" x14ac:dyDescent="0.3">
      <c r="B608" s="13"/>
    </row>
    <row r="609" spans="2:2" ht="15.75" customHeight="1" x14ac:dyDescent="0.3">
      <c r="B609" s="13"/>
    </row>
    <row r="610" spans="2:2" ht="15.75" customHeight="1" x14ac:dyDescent="0.3">
      <c r="B610" s="13"/>
    </row>
    <row r="611" spans="2:2" ht="15.75" customHeight="1" x14ac:dyDescent="0.3">
      <c r="B611" s="13"/>
    </row>
    <row r="612" spans="2:2" ht="15.75" customHeight="1" x14ac:dyDescent="0.3">
      <c r="B612" s="13"/>
    </row>
    <row r="613" spans="2:2" ht="15.75" customHeight="1" x14ac:dyDescent="0.3">
      <c r="B613" s="13"/>
    </row>
    <row r="614" spans="2:2" ht="15.75" customHeight="1" x14ac:dyDescent="0.3">
      <c r="B614" s="13"/>
    </row>
    <row r="615" spans="2:2" ht="15.75" customHeight="1" x14ac:dyDescent="0.3">
      <c r="B615" s="13"/>
    </row>
    <row r="616" spans="2:2" ht="15.75" customHeight="1" x14ac:dyDescent="0.3">
      <c r="B616" s="13"/>
    </row>
    <row r="617" spans="2:2" ht="15.75" customHeight="1" x14ac:dyDescent="0.3">
      <c r="B617" s="13"/>
    </row>
    <row r="618" spans="2:2" ht="15.75" customHeight="1" x14ac:dyDescent="0.3">
      <c r="B618" s="13"/>
    </row>
    <row r="619" spans="2:2" ht="15.75" customHeight="1" x14ac:dyDescent="0.3">
      <c r="B619" s="13"/>
    </row>
    <row r="620" spans="2:2" ht="15.75" customHeight="1" x14ac:dyDescent="0.3">
      <c r="B620" s="13"/>
    </row>
    <row r="621" spans="2:2" ht="15.75" customHeight="1" x14ac:dyDescent="0.3">
      <c r="B621" s="13"/>
    </row>
    <row r="622" spans="2:2" ht="15.75" customHeight="1" x14ac:dyDescent="0.3">
      <c r="B622" s="13"/>
    </row>
    <row r="623" spans="2:2" ht="15.75" customHeight="1" x14ac:dyDescent="0.3">
      <c r="B623" s="13"/>
    </row>
    <row r="624" spans="2:2" ht="15.75" customHeight="1" x14ac:dyDescent="0.3">
      <c r="B624" s="13"/>
    </row>
    <row r="625" spans="2:2" ht="15.75" customHeight="1" x14ac:dyDescent="0.3">
      <c r="B625" s="13"/>
    </row>
    <row r="626" spans="2:2" ht="15.75" customHeight="1" x14ac:dyDescent="0.3">
      <c r="B626" s="13"/>
    </row>
    <row r="627" spans="2:2" ht="15.75" customHeight="1" x14ac:dyDescent="0.3">
      <c r="B627" s="13"/>
    </row>
    <row r="628" spans="2:2" ht="15.75" customHeight="1" x14ac:dyDescent="0.3">
      <c r="B628" s="13"/>
    </row>
    <row r="629" spans="2:2" ht="15.75" customHeight="1" x14ac:dyDescent="0.3">
      <c r="B629" s="13"/>
    </row>
    <row r="630" spans="2:2" ht="15.75" customHeight="1" x14ac:dyDescent="0.3">
      <c r="B630" s="13"/>
    </row>
    <row r="631" spans="2:2" ht="15.75" customHeight="1" x14ac:dyDescent="0.3">
      <c r="B631" s="13"/>
    </row>
    <row r="632" spans="2:2" ht="15.75" customHeight="1" x14ac:dyDescent="0.3">
      <c r="B632" s="13"/>
    </row>
    <row r="633" spans="2:2" ht="15.75" customHeight="1" x14ac:dyDescent="0.3">
      <c r="B633" s="13"/>
    </row>
    <row r="634" spans="2:2" ht="15.75" customHeight="1" x14ac:dyDescent="0.3">
      <c r="B634" s="13"/>
    </row>
    <row r="635" spans="2:2" ht="15.75" customHeight="1" x14ac:dyDescent="0.3">
      <c r="B635" s="13"/>
    </row>
    <row r="636" spans="2:2" ht="15.75" customHeight="1" x14ac:dyDescent="0.3">
      <c r="B636" s="13"/>
    </row>
    <row r="637" spans="2:2" ht="15.75" customHeight="1" x14ac:dyDescent="0.3">
      <c r="B637" s="13"/>
    </row>
    <row r="638" spans="2:2" ht="15.75" customHeight="1" x14ac:dyDescent="0.3">
      <c r="B638" s="13"/>
    </row>
    <row r="639" spans="2:2" ht="15.75" customHeight="1" x14ac:dyDescent="0.3">
      <c r="B639" s="13"/>
    </row>
    <row r="640" spans="2:2" ht="15.75" customHeight="1" x14ac:dyDescent="0.3">
      <c r="B640" s="13"/>
    </row>
    <row r="641" spans="2:2" ht="15.75" customHeight="1" x14ac:dyDescent="0.3">
      <c r="B641" s="13"/>
    </row>
    <row r="642" spans="2:2" ht="15.75" customHeight="1" x14ac:dyDescent="0.3">
      <c r="B642" s="13"/>
    </row>
    <row r="643" spans="2:2" ht="15.75" customHeight="1" x14ac:dyDescent="0.3">
      <c r="B643" s="13"/>
    </row>
    <row r="644" spans="2:2" ht="15.75" customHeight="1" x14ac:dyDescent="0.3">
      <c r="B644" s="13"/>
    </row>
    <row r="645" spans="2:2" ht="15.75" customHeight="1" x14ac:dyDescent="0.3">
      <c r="B645" s="13"/>
    </row>
    <row r="646" spans="2:2" ht="15.75" customHeight="1" x14ac:dyDescent="0.3">
      <c r="B646" s="13"/>
    </row>
    <row r="647" spans="2:2" ht="15.75" customHeight="1" x14ac:dyDescent="0.3">
      <c r="B647" s="13"/>
    </row>
    <row r="648" spans="2:2" ht="15.75" customHeight="1" x14ac:dyDescent="0.3">
      <c r="B648" s="13"/>
    </row>
    <row r="649" spans="2:2" ht="15.75" customHeight="1" x14ac:dyDescent="0.3">
      <c r="B649" s="13"/>
    </row>
    <row r="650" spans="2:2" ht="15.75" customHeight="1" x14ac:dyDescent="0.3">
      <c r="B650" s="13"/>
    </row>
    <row r="651" spans="2:2" ht="15.75" customHeight="1" x14ac:dyDescent="0.3">
      <c r="B651" s="13"/>
    </row>
    <row r="652" spans="2:2" ht="15.75" customHeight="1" x14ac:dyDescent="0.3">
      <c r="B652" s="13"/>
    </row>
    <row r="653" spans="2:2" ht="15.75" customHeight="1" x14ac:dyDescent="0.3">
      <c r="B653" s="13"/>
    </row>
    <row r="654" spans="2:2" ht="15.75" customHeight="1" x14ac:dyDescent="0.3">
      <c r="B654" s="13"/>
    </row>
    <row r="655" spans="2:2" ht="15.75" customHeight="1" x14ac:dyDescent="0.3">
      <c r="B655" s="13"/>
    </row>
    <row r="656" spans="2:2" ht="15.75" customHeight="1" x14ac:dyDescent="0.3">
      <c r="B656" s="13"/>
    </row>
    <row r="657" spans="2:2" ht="15.75" customHeight="1" x14ac:dyDescent="0.3">
      <c r="B657" s="13"/>
    </row>
    <row r="658" spans="2:2" ht="15.75" customHeight="1" x14ac:dyDescent="0.3">
      <c r="B658" s="13"/>
    </row>
    <row r="659" spans="2:2" ht="15.75" customHeight="1" x14ac:dyDescent="0.3">
      <c r="B659" s="13"/>
    </row>
    <row r="660" spans="2:2" ht="15.75" customHeight="1" x14ac:dyDescent="0.3">
      <c r="B660" s="13"/>
    </row>
    <row r="661" spans="2:2" ht="15.75" customHeight="1" x14ac:dyDescent="0.3">
      <c r="B661" s="13"/>
    </row>
    <row r="662" spans="2:2" ht="15.75" customHeight="1" x14ac:dyDescent="0.3">
      <c r="B662" s="13"/>
    </row>
    <row r="663" spans="2:2" ht="15.75" customHeight="1" x14ac:dyDescent="0.3">
      <c r="B663" s="13"/>
    </row>
    <row r="664" spans="2:2" ht="15.75" customHeight="1" x14ac:dyDescent="0.3">
      <c r="B664" s="13"/>
    </row>
    <row r="665" spans="2:2" ht="15.75" customHeight="1" x14ac:dyDescent="0.3">
      <c r="B665" s="13"/>
    </row>
    <row r="666" spans="2:2" ht="15.75" customHeight="1" x14ac:dyDescent="0.3">
      <c r="B666" s="13"/>
    </row>
    <row r="667" spans="2:2" ht="15.75" customHeight="1" x14ac:dyDescent="0.3">
      <c r="B667" s="13"/>
    </row>
    <row r="668" spans="2:2" ht="15.75" customHeight="1" x14ac:dyDescent="0.3">
      <c r="B668" s="13"/>
    </row>
    <row r="669" spans="2:2" ht="15.75" customHeight="1" x14ac:dyDescent="0.3">
      <c r="B669" s="13"/>
    </row>
    <row r="670" spans="2:2" ht="15.75" customHeight="1" x14ac:dyDescent="0.3">
      <c r="B670" s="13"/>
    </row>
    <row r="671" spans="2:2" ht="15.75" customHeight="1" x14ac:dyDescent="0.3">
      <c r="B671" s="13"/>
    </row>
    <row r="672" spans="2:2" ht="15.75" customHeight="1" x14ac:dyDescent="0.3">
      <c r="B672" s="13"/>
    </row>
    <row r="673" spans="2:2" ht="15.75" customHeight="1" x14ac:dyDescent="0.3">
      <c r="B673" s="13"/>
    </row>
    <row r="674" spans="2:2" ht="15.75" customHeight="1" x14ac:dyDescent="0.3">
      <c r="B674" s="13"/>
    </row>
    <row r="675" spans="2:2" ht="15.75" customHeight="1" x14ac:dyDescent="0.3">
      <c r="B675" s="13"/>
    </row>
    <row r="676" spans="2:2" ht="15.75" customHeight="1" x14ac:dyDescent="0.3">
      <c r="B676" s="13"/>
    </row>
    <row r="677" spans="2:2" ht="15.75" customHeight="1" x14ac:dyDescent="0.3">
      <c r="B677" s="13"/>
    </row>
    <row r="678" spans="2:2" ht="15.75" customHeight="1" x14ac:dyDescent="0.3">
      <c r="B678" s="13"/>
    </row>
    <row r="679" spans="2:2" ht="15.75" customHeight="1" x14ac:dyDescent="0.3">
      <c r="B679" s="13"/>
    </row>
    <row r="680" spans="2:2" ht="15.75" customHeight="1" x14ac:dyDescent="0.3">
      <c r="B680" s="13"/>
    </row>
    <row r="681" spans="2:2" ht="15.75" customHeight="1" x14ac:dyDescent="0.3">
      <c r="B681" s="13"/>
    </row>
    <row r="682" spans="2:2" ht="15.75" customHeight="1" x14ac:dyDescent="0.3">
      <c r="B682" s="13"/>
    </row>
    <row r="683" spans="2:2" ht="15.75" customHeight="1" x14ac:dyDescent="0.3">
      <c r="B683" s="13"/>
    </row>
    <row r="684" spans="2:2" ht="15.75" customHeight="1" x14ac:dyDescent="0.3">
      <c r="B684" s="13"/>
    </row>
    <row r="685" spans="2:2" ht="15.75" customHeight="1" x14ac:dyDescent="0.3">
      <c r="B685" s="13"/>
    </row>
    <row r="686" spans="2:2" ht="15.75" customHeight="1" x14ac:dyDescent="0.3">
      <c r="B686" s="13"/>
    </row>
    <row r="687" spans="2:2" ht="15.75" customHeight="1" x14ac:dyDescent="0.3">
      <c r="B687" s="13"/>
    </row>
    <row r="688" spans="2:2" ht="15.75" customHeight="1" x14ac:dyDescent="0.3">
      <c r="B688" s="13"/>
    </row>
    <row r="689" spans="2:2" ht="15.75" customHeight="1" x14ac:dyDescent="0.3">
      <c r="B689" s="13"/>
    </row>
    <row r="690" spans="2:2" ht="15.75" customHeight="1" x14ac:dyDescent="0.3">
      <c r="B690" s="13"/>
    </row>
    <row r="691" spans="2:2" ht="15.75" customHeight="1" x14ac:dyDescent="0.3">
      <c r="B691" s="13"/>
    </row>
    <row r="692" spans="2:2" ht="15.75" customHeight="1" x14ac:dyDescent="0.3">
      <c r="B692" s="13"/>
    </row>
    <row r="693" spans="2:2" ht="15.75" customHeight="1" x14ac:dyDescent="0.3">
      <c r="B693" s="13"/>
    </row>
    <row r="694" spans="2:2" ht="15.75" customHeight="1" x14ac:dyDescent="0.3">
      <c r="B694" s="13"/>
    </row>
    <row r="695" spans="2:2" ht="15.75" customHeight="1" x14ac:dyDescent="0.3">
      <c r="B695" s="13"/>
    </row>
    <row r="696" spans="2:2" ht="15.75" customHeight="1" x14ac:dyDescent="0.3">
      <c r="B696" s="13"/>
    </row>
    <row r="697" spans="2:2" ht="15.75" customHeight="1" x14ac:dyDescent="0.3">
      <c r="B697" s="13"/>
    </row>
    <row r="698" spans="2:2" ht="15.75" customHeight="1" x14ac:dyDescent="0.3">
      <c r="B698" s="13"/>
    </row>
    <row r="699" spans="2:2" ht="15.75" customHeight="1" x14ac:dyDescent="0.3">
      <c r="B699" s="13"/>
    </row>
    <row r="700" spans="2:2" ht="15.75" customHeight="1" x14ac:dyDescent="0.3">
      <c r="B700" s="13"/>
    </row>
    <row r="701" spans="2:2" ht="15.75" customHeight="1" x14ac:dyDescent="0.3">
      <c r="B701" s="13"/>
    </row>
    <row r="702" spans="2:2" ht="15.75" customHeight="1" x14ac:dyDescent="0.3">
      <c r="B702" s="13"/>
    </row>
    <row r="703" spans="2:2" ht="15.75" customHeight="1" x14ac:dyDescent="0.3">
      <c r="B703" s="13"/>
    </row>
    <row r="704" spans="2:2" ht="15.75" customHeight="1" x14ac:dyDescent="0.3">
      <c r="B704" s="13"/>
    </row>
    <row r="705" spans="2:2" ht="15.75" customHeight="1" x14ac:dyDescent="0.3">
      <c r="B705" s="13"/>
    </row>
    <row r="706" spans="2:2" ht="15.75" customHeight="1" x14ac:dyDescent="0.3">
      <c r="B706" s="13"/>
    </row>
    <row r="707" spans="2:2" ht="15.75" customHeight="1" x14ac:dyDescent="0.3">
      <c r="B707" s="13"/>
    </row>
    <row r="708" spans="2:2" ht="15.75" customHeight="1" x14ac:dyDescent="0.3">
      <c r="B708" s="13"/>
    </row>
    <row r="709" spans="2:2" ht="15.75" customHeight="1" x14ac:dyDescent="0.3">
      <c r="B709" s="13"/>
    </row>
    <row r="710" spans="2:2" ht="15.75" customHeight="1" x14ac:dyDescent="0.3">
      <c r="B710" s="13"/>
    </row>
    <row r="711" spans="2:2" ht="15.75" customHeight="1" x14ac:dyDescent="0.3">
      <c r="B711" s="13"/>
    </row>
    <row r="712" spans="2:2" ht="15.75" customHeight="1" x14ac:dyDescent="0.3">
      <c r="B712" s="13"/>
    </row>
    <row r="713" spans="2:2" ht="15.75" customHeight="1" x14ac:dyDescent="0.3">
      <c r="B713" s="13"/>
    </row>
    <row r="714" spans="2:2" ht="15.75" customHeight="1" x14ac:dyDescent="0.3">
      <c r="B714" s="13"/>
    </row>
    <row r="715" spans="2:2" ht="15.75" customHeight="1" x14ac:dyDescent="0.3">
      <c r="B715" s="13"/>
    </row>
    <row r="716" spans="2:2" ht="15.75" customHeight="1" x14ac:dyDescent="0.3">
      <c r="B716" s="13"/>
    </row>
    <row r="717" spans="2:2" ht="15.75" customHeight="1" x14ac:dyDescent="0.3">
      <c r="B717" s="13"/>
    </row>
    <row r="718" spans="2:2" ht="15.75" customHeight="1" x14ac:dyDescent="0.3">
      <c r="B718" s="13"/>
    </row>
    <row r="719" spans="2:2" ht="15.75" customHeight="1" x14ac:dyDescent="0.3">
      <c r="B719" s="13"/>
    </row>
    <row r="720" spans="2:2" ht="15.75" customHeight="1" x14ac:dyDescent="0.3">
      <c r="B720" s="13"/>
    </row>
    <row r="721" spans="2:2" ht="15.75" customHeight="1" x14ac:dyDescent="0.3">
      <c r="B721" s="13"/>
    </row>
    <row r="722" spans="2:2" ht="15.75" customHeight="1" x14ac:dyDescent="0.3">
      <c r="B722" s="13"/>
    </row>
    <row r="723" spans="2:2" ht="15.75" customHeight="1" x14ac:dyDescent="0.3">
      <c r="B723" s="13"/>
    </row>
    <row r="724" spans="2:2" ht="15.75" customHeight="1" x14ac:dyDescent="0.3">
      <c r="B724" s="13"/>
    </row>
    <row r="725" spans="2:2" ht="15.75" customHeight="1" x14ac:dyDescent="0.3">
      <c r="B725" s="13"/>
    </row>
    <row r="726" spans="2:2" ht="15.75" customHeight="1" x14ac:dyDescent="0.3">
      <c r="B726" s="13"/>
    </row>
    <row r="727" spans="2:2" ht="15.75" customHeight="1" x14ac:dyDescent="0.3">
      <c r="B727" s="13"/>
    </row>
    <row r="728" spans="2:2" ht="15.75" customHeight="1" x14ac:dyDescent="0.3">
      <c r="B728" s="13"/>
    </row>
    <row r="729" spans="2:2" ht="15.75" customHeight="1" x14ac:dyDescent="0.3">
      <c r="B729" s="13"/>
    </row>
    <row r="730" spans="2:2" ht="15.75" customHeight="1" x14ac:dyDescent="0.3">
      <c r="B730" s="13"/>
    </row>
    <row r="731" spans="2:2" ht="15.75" customHeight="1" x14ac:dyDescent="0.3">
      <c r="B731" s="13"/>
    </row>
    <row r="732" spans="2:2" ht="15.75" customHeight="1" x14ac:dyDescent="0.3">
      <c r="B732" s="13"/>
    </row>
    <row r="733" spans="2:2" ht="15.75" customHeight="1" x14ac:dyDescent="0.3">
      <c r="B733" s="13"/>
    </row>
    <row r="734" spans="2:2" ht="15.75" customHeight="1" x14ac:dyDescent="0.3">
      <c r="B734" s="13"/>
    </row>
    <row r="735" spans="2:2" ht="15.75" customHeight="1" x14ac:dyDescent="0.3">
      <c r="B735" s="13"/>
    </row>
    <row r="736" spans="2:2" ht="15.75" customHeight="1" x14ac:dyDescent="0.3">
      <c r="B736" s="13"/>
    </row>
    <row r="737" spans="2:2" ht="15.75" customHeight="1" x14ac:dyDescent="0.3">
      <c r="B737" s="13"/>
    </row>
    <row r="738" spans="2:2" ht="15.75" customHeight="1" x14ac:dyDescent="0.3">
      <c r="B738" s="13"/>
    </row>
    <row r="739" spans="2:2" ht="15.75" customHeight="1" x14ac:dyDescent="0.3">
      <c r="B739" s="13"/>
    </row>
    <row r="740" spans="2:2" ht="15.75" customHeight="1" x14ac:dyDescent="0.3">
      <c r="B740" s="13"/>
    </row>
    <row r="741" spans="2:2" ht="15.75" customHeight="1" x14ac:dyDescent="0.3">
      <c r="B741" s="13"/>
    </row>
    <row r="742" spans="2:2" ht="15.75" customHeight="1" x14ac:dyDescent="0.3">
      <c r="B742" s="13"/>
    </row>
    <row r="743" spans="2:2" ht="15.75" customHeight="1" x14ac:dyDescent="0.3">
      <c r="B743" s="13"/>
    </row>
    <row r="744" spans="2:2" ht="15.75" customHeight="1" x14ac:dyDescent="0.3">
      <c r="B744" s="13"/>
    </row>
    <row r="745" spans="2:2" ht="15.75" customHeight="1" x14ac:dyDescent="0.3">
      <c r="B745" s="13"/>
    </row>
    <row r="746" spans="2:2" ht="15.75" customHeight="1" x14ac:dyDescent="0.3">
      <c r="B746" s="13"/>
    </row>
    <row r="747" spans="2:2" ht="15.75" customHeight="1" x14ac:dyDescent="0.3">
      <c r="B747" s="13"/>
    </row>
    <row r="748" spans="2:2" ht="15.75" customHeight="1" x14ac:dyDescent="0.3">
      <c r="B748" s="13"/>
    </row>
    <row r="749" spans="2:2" ht="15.75" customHeight="1" x14ac:dyDescent="0.3">
      <c r="B749" s="13"/>
    </row>
    <row r="750" spans="2:2" ht="15.75" customHeight="1" x14ac:dyDescent="0.3">
      <c r="B750" s="13"/>
    </row>
    <row r="751" spans="2:2" ht="15.75" customHeight="1" x14ac:dyDescent="0.3">
      <c r="B751" s="13"/>
    </row>
    <row r="752" spans="2:2" ht="15.75" customHeight="1" x14ac:dyDescent="0.3">
      <c r="B752" s="13"/>
    </row>
    <row r="753" spans="2:2" ht="15.75" customHeight="1" x14ac:dyDescent="0.3">
      <c r="B753" s="13"/>
    </row>
    <row r="754" spans="2:2" ht="15.75" customHeight="1" x14ac:dyDescent="0.3">
      <c r="B754" s="13"/>
    </row>
    <row r="755" spans="2:2" ht="15.75" customHeight="1" x14ac:dyDescent="0.3">
      <c r="B755" s="13"/>
    </row>
    <row r="756" spans="2:2" ht="15.75" customHeight="1" x14ac:dyDescent="0.3">
      <c r="B756" s="13"/>
    </row>
    <row r="757" spans="2:2" ht="15.75" customHeight="1" x14ac:dyDescent="0.3">
      <c r="B757" s="13"/>
    </row>
    <row r="758" spans="2:2" ht="15.75" customHeight="1" x14ac:dyDescent="0.3">
      <c r="B758" s="13"/>
    </row>
    <row r="759" spans="2:2" ht="15.75" customHeight="1" x14ac:dyDescent="0.3">
      <c r="B759" s="13"/>
    </row>
    <row r="760" spans="2:2" ht="15.75" customHeight="1" x14ac:dyDescent="0.3">
      <c r="B760" s="13"/>
    </row>
    <row r="761" spans="2:2" ht="15.75" customHeight="1" x14ac:dyDescent="0.3">
      <c r="B761" s="13"/>
    </row>
    <row r="762" spans="2:2" ht="15.75" customHeight="1" x14ac:dyDescent="0.3">
      <c r="B762" s="13"/>
    </row>
    <row r="763" spans="2:2" ht="15.75" customHeight="1" x14ac:dyDescent="0.3">
      <c r="B763" s="13"/>
    </row>
    <row r="764" spans="2:2" ht="15.75" customHeight="1" x14ac:dyDescent="0.3">
      <c r="B764" s="13"/>
    </row>
    <row r="765" spans="2:2" ht="15.75" customHeight="1" x14ac:dyDescent="0.3">
      <c r="B765" s="13"/>
    </row>
    <row r="766" spans="2:2" ht="15.75" customHeight="1" x14ac:dyDescent="0.3">
      <c r="B766" s="13"/>
    </row>
    <row r="767" spans="2:2" ht="15.75" customHeight="1" x14ac:dyDescent="0.3">
      <c r="B767" s="13"/>
    </row>
    <row r="768" spans="2:2" ht="15.75" customHeight="1" x14ac:dyDescent="0.3">
      <c r="B768" s="13"/>
    </row>
    <row r="769" spans="2:2" ht="15.75" customHeight="1" x14ac:dyDescent="0.3">
      <c r="B769" s="13"/>
    </row>
    <row r="770" spans="2:2" ht="15.75" customHeight="1" x14ac:dyDescent="0.3">
      <c r="B770" s="13"/>
    </row>
    <row r="771" spans="2:2" ht="15.75" customHeight="1" x14ac:dyDescent="0.3">
      <c r="B771" s="13"/>
    </row>
    <row r="772" spans="2:2" ht="15.75" customHeight="1" x14ac:dyDescent="0.3">
      <c r="B772" s="13"/>
    </row>
    <row r="773" spans="2:2" ht="15.75" customHeight="1" x14ac:dyDescent="0.3">
      <c r="B773" s="13"/>
    </row>
    <row r="774" spans="2:2" ht="15.75" customHeight="1" x14ac:dyDescent="0.3">
      <c r="B774" s="13"/>
    </row>
    <row r="775" spans="2:2" ht="15.75" customHeight="1" x14ac:dyDescent="0.3">
      <c r="B775" s="13"/>
    </row>
    <row r="776" spans="2:2" ht="15.75" customHeight="1" x14ac:dyDescent="0.3">
      <c r="B776" s="13"/>
    </row>
    <row r="777" spans="2:2" ht="15.75" customHeight="1" x14ac:dyDescent="0.3">
      <c r="B777" s="13"/>
    </row>
    <row r="778" spans="2:2" ht="15.75" customHeight="1" x14ac:dyDescent="0.3">
      <c r="B778" s="13"/>
    </row>
    <row r="779" spans="2:2" ht="15.75" customHeight="1" x14ac:dyDescent="0.3">
      <c r="B779" s="13"/>
    </row>
    <row r="780" spans="2:2" ht="15.75" customHeight="1" x14ac:dyDescent="0.3">
      <c r="B780" s="13"/>
    </row>
    <row r="781" spans="2:2" ht="15.75" customHeight="1" x14ac:dyDescent="0.3">
      <c r="B781" s="13"/>
    </row>
    <row r="782" spans="2:2" ht="15.75" customHeight="1" x14ac:dyDescent="0.3">
      <c r="B782" s="13"/>
    </row>
    <row r="783" spans="2:2" ht="15.75" customHeight="1" x14ac:dyDescent="0.3">
      <c r="B783" s="13"/>
    </row>
    <row r="784" spans="2:2" ht="15.75" customHeight="1" x14ac:dyDescent="0.3">
      <c r="B784" s="13"/>
    </row>
    <row r="785" spans="2:2" ht="15.75" customHeight="1" x14ac:dyDescent="0.3">
      <c r="B785" s="13"/>
    </row>
    <row r="786" spans="2:2" ht="15.75" customHeight="1" x14ac:dyDescent="0.3">
      <c r="B786" s="13"/>
    </row>
    <row r="787" spans="2:2" ht="15.75" customHeight="1" x14ac:dyDescent="0.3">
      <c r="B787" s="13"/>
    </row>
    <row r="788" spans="2:2" ht="15.75" customHeight="1" x14ac:dyDescent="0.3">
      <c r="B788" s="13"/>
    </row>
    <row r="789" spans="2:2" ht="15.75" customHeight="1" x14ac:dyDescent="0.3">
      <c r="B789" s="13"/>
    </row>
    <row r="790" spans="2:2" ht="15.75" customHeight="1" x14ac:dyDescent="0.3">
      <c r="B790" s="13"/>
    </row>
    <row r="791" spans="2:2" ht="15.75" customHeight="1" x14ac:dyDescent="0.3">
      <c r="B791" s="13"/>
    </row>
    <row r="792" spans="2:2" ht="15.75" customHeight="1" x14ac:dyDescent="0.3">
      <c r="B792" s="13"/>
    </row>
    <row r="793" spans="2:2" ht="15.75" customHeight="1" x14ac:dyDescent="0.3">
      <c r="B793" s="13"/>
    </row>
    <row r="794" spans="2:2" ht="15.75" customHeight="1" x14ac:dyDescent="0.3">
      <c r="B794" s="13"/>
    </row>
    <row r="795" spans="2:2" ht="15.75" customHeight="1" x14ac:dyDescent="0.3">
      <c r="B795" s="13"/>
    </row>
    <row r="796" spans="2:2" ht="15.75" customHeight="1" x14ac:dyDescent="0.3">
      <c r="B796" s="13"/>
    </row>
    <row r="797" spans="2:2" ht="15.75" customHeight="1" x14ac:dyDescent="0.3">
      <c r="B797" s="13"/>
    </row>
    <row r="798" spans="2:2" ht="15.75" customHeight="1" x14ac:dyDescent="0.3">
      <c r="B798" s="13"/>
    </row>
    <row r="799" spans="2:2" ht="15.75" customHeight="1" x14ac:dyDescent="0.3">
      <c r="B799" s="13"/>
    </row>
    <row r="800" spans="2:2" ht="15.75" customHeight="1" x14ac:dyDescent="0.3">
      <c r="B800" s="13"/>
    </row>
    <row r="801" spans="2:2" ht="15.75" customHeight="1" x14ac:dyDescent="0.3">
      <c r="B801" s="13"/>
    </row>
    <row r="802" spans="2:2" ht="15.75" customHeight="1" x14ac:dyDescent="0.3">
      <c r="B802" s="13"/>
    </row>
    <row r="803" spans="2:2" ht="15.75" customHeight="1" x14ac:dyDescent="0.3">
      <c r="B803" s="13"/>
    </row>
    <row r="804" spans="2:2" ht="15.75" customHeight="1" x14ac:dyDescent="0.3">
      <c r="B804" s="13"/>
    </row>
    <row r="805" spans="2:2" ht="15.75" customHeight="1" x14ac:dyDescent="0.3">
      <c r="B805" s="13"/>
    </row>
    <row r="806" spans="2:2" ht="15.75" customHeight="1" x14ac:dyDescent="0.3">
      <c r="B806" s="13"/>
    </row>
    <row r="807" spans="2:2" ht="15.75" customHeight="1" x14ac:dyDescent="0.3">
      <c r="B807" s="13"/>
    </row>
    <row r="808" spans="2:2" ht="15.75" customHeight="1" x14ac:dyDescent="0.3">
      <c r="B808" s="13"/>
    </row>
    <row r="809" spans="2:2" ht="15.75" customHeight="1" x14ac:dyDescent="0.3">
      <c r="B809" s="13"/>
    </row>
    <row r="810" spans="2:2" ht="15.75" customHeight="1" x14ac:dyDescent="0.3">
      <c r="B810" s="13"/>
    </row>
    <row r="811" spans="2:2" ht="15.75" customHeight="1" x14ac:dyDescent="0.3">
      <c r="B811" s="13"/>
    </row>
    <row r="812" spans="2:2" ht="15.75" customHeight="1" x14ac:dyDescent="0.3">
      <c r="B812" s="13"/>
    </row>
    <row r="813" spans="2:2" ht="15.75" customHeight="1" x14ac:dyDescent="0.3">
      <c r="B813" s="13"/>
    </row>
    <row r="814" spans="2:2" ht="15.75" customHeight="1" x14ac:dyDescent="0.3">
      <c r="B814" s="13"/>
    </row>
    <row r="815" spans="2:2" ht="15.75" customHeight="1" x14ac:dyDescent="0.3">
      <c r="B815" s="13"/>
    </row>
    <row r="816" spans="2:2" ht="15.75" customHeight="1" x14ac:dyDescent="0.3">
      <c r="B816" s="13"/>
    </row>
    <row r="817" spans="2:2" ht="15.75" customHeight="1" x14ac:dyDescent="0.3">
      <c r="B817" s="13"/>
    </row>
    <row r="818" spans="2:2" ht="15.75" customHeight="1" x14ac:dyDescent="0.3">
      <c r="B818" s="13"/>
    </row>
    <row r="819" spans="2:2" ht="15.75" customHeight="1" x14ac:dyDescent="0.3">
      <c r="B819" s="13"/>
    </row>
    <row r="820" spans="2:2" ht="15.75" customHeight="1" x14ac:dyDescent="0.3">
      <c r="B820" s="13"/>
    </row>
    <row r="821" spans="2:2" ht="15.75" customHeight="1" x14ac:dyDescent="0.3">
      <c r="B821" s="13"/>
    </row>
    <row r="822" spans="2:2" ht="15.75" customHeight="1" x14ac:dyDescent="0.3">
      <c r="B822" s="13"/>
    </row>
    <row r="823" spans="2:2" ht="15.75" customHeight="1" x14ac:dyDescent="0.3">
      <c r="B823" s="13"/>
    </row>
    <row r="824" spans="2:2" ht="15.75" customHeight="1" x14ac:dyDescent="0.3">
      <c r="B824" s="13"/>
    </row>
    <row r="825" spans="2:2" ht="15.75" customHeight="1" x14ac:dyDescent="0.3">
      <c r="B825" s="13"/>
    </row>
    <row r="826" spans="2:2" ht="15.75" customHeight="1" x14ac:dyDescent="0.3">
      <c r="B826" s="13"/>
    </row>
    <row r="827" spans="2:2" ht="15.75" customHeight="1" x14ac:dyDescent="0.3">
      <c r="B827" s="13"/>
    </row>
    <row r="828" spans="2:2" ht="15.75" customHeight="1" x14ac:dyDescent="0.3">
      <c r="B828" s="13"/>
    </row>
    <row r="829" spans="2:2" ht="15.75" customHeight="1" x14ac:dyDescent="0.3">
      <c r="B829" s="13"/>
    </row>
    <row r="830" spans="2:2" ht="15.75" customHeight="1" x14ac:dyDescent="0.3">
      <c r="B830" s="13"/>
    </row>
    <row r="831" spans="2:2" ht="15.75" customHeight="1" x14ac:dyDescent="0.3">
      <c r="B831" s="13"/>
    </row>
    <row r="832" spans="2:2" ht="15.75" customHeight="1" x14ac:dyDescent="0.3">
      <c r="B832" s="13"/>
    </row>
    <row r="833" spans="2:2" ht="15.75" customHeight="1" x14ac:dyDescent="0.3">
      <c r="B833" s="13"/>
    </row>
    <row r="834" spans="2:2" ht="15.75" customHeight="1" x14ac:dyDescent="0.3">
      <c r="B834" s="13"/>
    </row>
    <row r="835" spans="2:2" ht="15.75" customHeight="1" x14ac:dyDescent="0.3">
      <c r="B835" s="13"/>
    </row>
    <row r="836" spans="2:2" ht="15.75" customHeight="1" x14ac:dyDescent="0.3">
      <c r="B836" s="13"/>
    </row>
    <row r="837" spans="2:2" ht="15.75" customHeight="1" x14ac:dyDescent="0.3">
      <c r="B837" s="13"/>
    </row>
    <row r="838" spans="2:2" ht="15.75" customHeight="1" x14ac:dyDescent="0.3">
      <c r="B838" s="13"/>
    </row>
    <row r="839" spans="2:2" ht="15.75" customHeight="1" x14ac:dyDescent="0.3">
      <c r="B839" s="13"/>
    </row>
    <row r="840" spans="2:2" ht="15.75" customHeight="1" x14ac:dyDescent="0.3">
      <c r="B840" s="13"/>
    </row>
    <row r="841" spans="2:2" ht="15.75" customHeight="1" x14ac:dyDescent="0.3">
      <c r="B841" s="13"/>
    </row>
    <row r="842" spans="2:2" ht="15.75" customHeight="1" x14ac:dyDescent="0.3">
      <c r="B842" s="13"/>
    </row>
    <row r="843" spans="2:2" ht="15.75" customHeight="1" x14ac:dyDescent="0.3">
      <c r="B843" s="13"/>
    </row>
    <row r="844" spans="2:2" ht="15.75" customHeight="1" x14ac:dyDescent="0.3">
      <c r="B844" s="13"/>
    </row>
    <row r="845" spans="2:2" ht="15.75" customHeight="1" x14ac:dyDescent="0.3">
      <c r="B845" s="13"/>
    </row>
    <row r="846" spans="2:2" ht="15.75" customHeight="1" x14ac:dyDescent="0.3">
      <c r="B846" s="13"/>
    </row>
    <row r="847" spans="2:2" ht="15.75" customHeight="1" x14ac:dyDescent="0.3">
      <c r="B847" s="13"/>
    </row>
    <row r="848" spans="2:2" ht="15.75" customHeight="1" x14ac:dyDescent="0.3">
      <c r="B848" s="13"/>
    </row>
    <row r="849" spans="2:2" ht="15.75" customHeight="1" x14ac:dyDescent="0.3">
      <c r="B849" s="13"/>
    </row>
    <row r="850" spans="2:2" ht="15.75" customHeight="1" x14ac:dyDescent="0.3">
      <c r="B850" s="13"/>
    </row>
    <row r="851" spans="2:2" ht="15.75" customHeight="1" x14ac:dyDescent="0.3">
      <c r="B851" s="13"/>
    </row>
    <row r="852" spans="2:2" ht="15.75" customHeight="1" x14ac:dyDescent="0.3">
      <c r="B852" s="13"/>
    </row>
    <row r="853" spans="2:2" ht="15.75" customHeight="1" x14ac:dyDescent="0.3">
      <c r="B853" s="13"/>
    </row>
    <row r="854" spans="2:2" ht="15.75" customHeight="1" x14ac:dyDescent="0.3">
      <c r="B854" s="13"/>
    </row>
    <row r="855" spans="2:2" ht="15.75" customHeight="1" x14ac:dyDescent="0.3">
      <c r="B855" s="13"/>
    </row>
    <row r="856" spans="2:2" ht="15.75" customHeight="1" x14ac:dyDescent="0.3">
      <c r="B856" s="13"/>
    </row>
    <row r="857" spans="2:2" ht="15.75" customHeight="1" x14ac:dyDescent="0.3">
      <c r="B857" s="13"/>
    </row>
    <row r="858" spans="2:2" ht="15.75" customHeight="1" x14ac:dyDescent="0.3">
      <c r="B858" s="13"/>
    </row>
    <row r="859" spans="2:2" ht="15.75" customHeight="1" x14ac:dyDescent="0.3">
      <c r="B859" s="13"/>
    </row>
    <row r="860" spans="2:2" ht="15.75" customHeight="1" x14ac:dyDescent="0.3">
      <c r="B860" s="13"/>
    </row>
    <row r="861" spans="2:2" ht="15.75" customHeight="1" x14ac:dyDescent="0.3">
      <c r="B861" s="13"/>
    </row>
    <row r="862" spans="2:2" ht="15.75" customHeight="1" x14ac:dyDescent="0.3">
      <c r="B862" s="13"/>
    </row>
    <row r="863" spans="2:2" ht="15.75" customHeight="1" x14ac:dyDescent="0.3">
      <c r="B863" s="13"/>
    </row>
    <row r="864" spans="2:2" ht="15.75" customHeight="1" x14ac:dyDescent="0.3">
      <c r="B864" s="13"/>
    </row>
    <row r="865" spans="2:2" ht="15.75" customHeight="1" x14ac:dyDescent="0.3">
      <c r="B865" s="13"/>
    </row>
    <row r="866" spans="2:2" ht="15.75" customHeight="1" x14ac:dyDescent="0.3">
      <c r="B866" s="13"/>
    </row>
    <row r="867" spans="2:2" ht="15.75" customHeight="1" x14ac:dyDescent="0.3">
      <c r="B867" s="13"/>
    </row>
    <row r="868" spans="2:2" ht="15.75" customHeight="1" x14ac:dyDescent="0.3">
      <c r="B868" s="13"/>
    </row>
    <row r="869" spans="2:2" ht="15.75" customHeight="1" x14ac:dyDescent="0.3">
      <c r="B869" s="13"/>
    </row>
    <row r="870" spans="2:2" ht="15.75" customHeight="1" x14ac:dyDescent="0.3">
      <c r="B870" s="13"/>
    </row>
    <row r="871" spans="2:2" ht="15.75" customHeight="1" x14ac:dyDescent="0.3">
      <c r="B871" s="13"/>
    </row>
    <row r="872" spans="2:2" ht="15.75" customHeight="1" x14ac:dyDescent="0.3">
      <c r="B872" s="13"/>
    </row>
    <row r="873" spans="2:2" ht="15.75" customHeight="1" x14ac:dyDescent="0.3">
      <c r="B873" s="13"/>
    </row>
    <row r="874" spans="2:2" ht="15.75" customHeight="1" x14ac:dyDescent="0.3">
      <c r="B874" s="13"/>
    </row>
    <row r="875" spans="2:2" ht="15.75" customHeight="1" x14ac:dyDescent="0.3">
      <c r="B875" s="13"/>
    </row>
    <row r="876" spans="2:2" ht="15.75" customHeight="1" x14ac:dyDescent="0.3">
      <c r="B876" s="13"/>
    </row>
    <row r="877" spans="2:2" ht="15.75" customHeight="1" x14ac:dyDescent="0.3">
      <c r="B877" s="13"/>
    </row>
    <row r="878" spans="2:2" ht="15.75" customHeight="1" x14ac:dyDescent="0.3">
      <c r="B878" s="13"/>
    </row>
    <row r="879" spans="2:2" ht="15.75" customHeight="1" x14ac:dyDescent="0.3">
      <c r="B879" s="13"/>
    </row>
    <row r="880" spans="2:2" ht="15.75" customHeight="1" x14ac:dyDescent="0.3">
      <c r="B880" s="13"/>
    </row>
    <row r="881" spans="2:2" ht="15.75" customHeight="1" x14ac:dyDescent="0.3">
      <c r="B881" s="13"/>
    </row>
    <row r="882" spans="2:2" ht="15.75" customHeight="1" x14ac:dyDescent="0.3">
      <c r="B882" s="13"/>
    </row>
    <row r="883" spans="2:2" ht="15.75" customHeight="1" x14ac:dyDescent="0.3">
      <c r="B883" s="13"/>
    </row>
    <row r="884" spans="2:2" ht="15.75" customHeight="1" x14ac:dyDescent="0.3">
      <c r="B884" s="13"/>
    </row>
    <row r="885" spans="2:2" ht="15.75" customHeight="1" x14ac:dyDescent="0.3">
      <c r="B885" s="13"/>
    </row>
    <row r="886" spans="2:2" ht="15.75" customHeight="1" x14ac:dyDescent="0.3">
      <c r="B886" s="13"/>
    </row>
    <row r="887" spans="2:2" ht="15.75" customHeight="1" x14ac:dyDescent="0.3">
      <c r="B887" s="13"/>
    </row>
    <row r="888" spans="2:2" ht="15.75" customHeight="1" x14ac:dyDescent="0.3">
      <c r="B888" s="13"/>
    </row>
    <row r="889" spans="2:2" ht="15.75" customHeight="1" x14ac:dyDescent="0.3">
      <c r="B889" s="13"/>
    </row>
    <row r="890" spans="2:2" ht="15.75" customHeight="1" x14ac:dyDescent="0.3">
      <c r="B890" s="13"/>
    </row>
    <row r="891" spans="2:2" ht="15.75" customHeight="1" x14ac:dyDescent="0.3">
      <c r="B891" s="13"/>
    </row>
    <row r="892" spans="2:2" ht="15.75" customHeight="1" x14ac:dyDescent="0.3">
      <c r="B892" s="13"/>
    </row>
    <row r="893" spans="2:2" ht="15.75" customHeight="1" x14ac:dyDescent="0.3">
      <c r="B893" s="13"/>
    </row>
    <row r="894" spans="2:2" ht="15.75" customHeight="1" x14ac:dyDescent="0.3">
      <c r="B894" s="13"/>
    </row>
    <row r="895" spans="2:2" ht="15.75" customHeight="1" x14ac:dyDescent="0.3">
      <c r="B895" s="13"/>
    </row>
    <row r="896" spans="2:2" ht="15.75" customHeight="1" x14ac:dyDescent="0.3">
      <c r="B896" s="13"/>
    </row>
    <row r="897" spans="2:2" ht="15.75" customHeight="1" x14ac:dyDescent="0.3">
      <c r="B897" s="13"/>
    </row>
    <row r="898" spans="2:2" ht="15.75" customHeight="1" x14ac:dyDescent="0.3">
      <c r="B898" s="13"/>
    </row>
    <row r="899" spans="2:2" ht="15.75" customHeight="1" x14ac:dyDescent="0.3">
      <c r="B899" s="13"/>
    </row>
    <row r="900" spans="2:2" ht="15.75" customHeight="1" x14ac:dyDescent="0.3">
      <c r="B900" s="13"/>
    </row>
    <row r="901" spans="2:2" ht="15.75" customHeight="1" x14ac:dyDescent="0.3">
      <c r="B901" s="13"/>
    </row>
    <row r="902" spans="2:2" ht="15.75" customHeight="1" x14ac:dyDescent="0.3">
      <c r="B902" s="13"/>
    </row>
    <row r="903" spans="2:2" ht="15.75" customHeight="1" x14ac:dyDescent="0.3">
      <c r="B903" s="13"/>
    </row>
    <row r="904" spans="2:2" ht="15.75" customHeight="1" x14ac:dyDescent="0.3">
      <c r="B904" s="13"/>
    </row>
    <row r="905" spans="2:2" ht="15.75" customHeight="1" x14ac:dyDescent="0.3">
      <c r="B905" s="13"/>
    </row>
    <row r="906" spans="2:2" ht="15.75" customHeight="1" x14ac:dyDescent="0.3">
      <c r="B906" s="13"/>
    </row>
    <row r="907" spans="2:2" ht="15.75" customHeight="1" x14ac:dyDescent="0.3">
      <c r="B907" s="13"/>
    </row>
    <row r="908" spans="2:2" ht="15.75" customHeight="1" x14ac:dyDescent="0.3">
      <c r="B908" s="13"/>
    </row>
    <row r="909" spans="2:2" ht="15.75" customHeight="1" x14ac:dyDescent="0.3">
      <c r="B909" s="13"/>
    </row>
    <row r="910" spans="2:2" ht="15.75" customHeight="1" x14ac:dyDescent="0.3">
      <c r="B910" s="13"/>
    </row>
    <row r="911" spans="2:2" ht="15.75" customHeight="1" x14ac:dyDescent="0.3">
      <c r="B911" s="13"/>
    </row>
    <row r="912" spans="2:2" ht="15.75" customHeight="1" x14ac:dyDescent="0.3">
      <c r="B912" s="13"/>
    </row>
    <row r="913" spans="2:2" ht="15.75" customHeight="1" x14ac:dyDescent="0.3">
      <c r="B913" s="13"/>
    </row>
    <row r="914" spans="2:2" ht="15.75" customHeight="1" x14ac:dyDescent="0.3">
      <c r="B914" s="13"/>
    </row>
    <row r="915" spans="2:2" ht="15.75" customHeight="1" x14ac:dyDescent="0.3">
      <c r="B915" s="13"/>
    </row>
    <row r="916" spans="2:2" ht="15.75" customHeight="1" x14ac:dyDescent="0.3">
      <c r="B916" s="13"/>
    </row>
    <row r="917" spans="2:2" ht="15.75" customHeight="1" x14ac:dyDescent="0.3">
      <c r="B917" s="13"/>
    </row>
    <row r="918" spans="2:2" ht="15.75" customHeight="1" x14ac:dyDescent="0.3">
      <c r="B918" s="13"/>
    </row>
    <row r="919" spans="2:2" ht="15.75" customHeight="1" x14ac:dyDescent="0.3">
      <c r="B919" s="13"/>
    </row>
    <row r="920" spans="2:2" ht="15.75" customHeight="1" x14ac:dyDescent="0.3">
      <c r="B920" s="13"/>
    </row>
    <row r="921" spans="2:2" ht="15.75" customHeight="1" x14ac:dyDescent="0.3">
      <c r="B921" s="13"/>
    </row>
    <row r="922" spans="2:2" ht="15.75" customHeight="1" x14ac:dyDescent="0.3">
      <c r="B922" s="13"/>
    </row>
    <row r="923" spans="2:2" ht="15.75" customHeight="1" x14ac:dyDescent="0.3">
      <c r="B923" s="13"/>
    </row>
    <row r="924" spans="2:2" ht="15.75" customHeight="1" x14ac:dyDescent="0.3">
      <c r="B924" s="13"/>
    </row>
    <row r="925" spans="2:2" ht="15.75" customHeight="1" x14ac:dyDescent="0.3">
      <c r="B925" s="13"/>
    </row>
    <row r="926" spans="2:2" ht="15.75" customHeight="1" x14ac:dyDescent="0.3">
      <c r="B926" s="13"/>
    </row>
    <row r="927" spans="2:2" ht="15.75" customHeight="1" x14ac:dyDescent="0.3">
      <c r="B927" s="13"/>
    </row>
    <row r="928" spans="2:2" ht="15.75" customHeight="1" x14ac:dyDescent="0.3">
      <c r="B928" s="13"/>
    </row>
    <row r="929" spans="2:2" ht="15.75" customHeight="1" x14ac:dyDescent="0.3">
      <c r="B929" s="13"/>
    </row>
    <row r="930" spans="2:2" ht="15.75" customHeight="1" x14ac:dyDescent="0.3">
      <c r="B930" s="13"/>
    </row>
    <row r="931" spans="2:2" ht="15.75" customHeight="1" x14ac:dyDescent="0.3">
      <c r="B931" s="13"/>
    </row>
    <row r="932" spans="2:2" ht="15.75" customHeight="1" x14ac:dyDescent="0.3">
      <c r="B932" s="13"/>
    </row>
    <row r="933" spans="2:2" ht="15.75" customHeight="1" x14ac:dyDescent="0.3">
      <c r="B933" s="13"/>
    </row>
    <row r="934" spans="2:2" ht="15.75" customHeight="1" x14ac:dyDescent="0.3">
      <c r="B934" s="13"/>
    </row>
    <row r="935" spans="2:2" ht="15.75" customHeight="1" x14ac:dyDescent="0.3">
      <c r="B935" s="13"/>
    </row>
    <row r="936" spans="2:2" ht="15.75" customHeight="1" x14ac:dyDescent="0.3">
      <c r="B936" s="13"/>
    </row>
    <row r="937" spans="2:2" ht="15.75" customHeight="1" x14ac:dyDescent="0.3">
      <c r="B937" s="13"/>
    </row>
    <row r="938" spans="2:2" ht="15.75" customHeight="1" x14ac:dyDescent="0.3">
      <c r="B938" s="13"/>
    </row>
    <row r="939" spans="2:2" ht="15.75" customHeight="1" x14ac:dyDescent="0.3">
      <c r="B939" s="13"/>
    </row>
    <row r="940" spans="2:2" ht="15.75" customHeight="1" x14ac:dyDescent="0.3">
      <c r="B940" s="13"/>
    </row>
    <row r="941" spans="2:2" ht="15.75" customHeight="1" x14ac:dyDescent="0.3">
      <c r="B941" s="13"/>
    </row>
    <row r="942" spans="2:2" ht="15.75" customHeight="1" x14ac:dyDescent="0.3">
      <c r="B942" s="13"/>
    </row>
    <row r="943" spans="2:2" ht="15.75" customHeight="1" x14ac:dyDescent="0.3">
      <c r="B943" s="13"/>
    </row>
    <row r="944" spans="2:2" ht="15.75" customHeight="1" x14ac:dyDescent="0.3">
      <c r="B944" s="13"/>
    </row>
    <row r="945" spans="2:2" ht="15.75" customHeight="1" x14ac:dyDescent="0.3">
      <c r="B945" s="13"/>
    </row>
    <row r="946" spans="2:2" ht="15.75" customHeight="1" x14ac:dyDescent="0.3">
      <c r="B946" s="13"/>
    </row>
    <row r="947" spans="2:2" ht="15.75" customHeight="1" x14ac:dyDescent="0.3">
      <c r="B947" s="13"/>
    </row>
    <row r="948" spans="2:2" ht="15.75" customHeight="1" x14ac:dyDescent="0.3">
      <c r="B948" s="13"/>
    </row>
    <row r="949" spans="2:2" ht="15.75" customHeight="1" x14ac:dyDescent="0.3">
      <c r="B949" s="13"/>
    </row>
    <row r="950" spans="2:2" ht="15.75" customHeight="1" x14ac:dyDescent="0.3">
      <c r="B950" s="13"/>
    </row>
    <row r="951" spans="2:2" ht="15.75" customHeight="1" x14ac:dyDescent="0.3">
      <c r="B951" s="13"/>
    </row>
    <row r="952" spans="2:2" ht="15.75" customHeight="1" x14ac:dyDescent="0.3">
      <c r="B952" s="13"/>
    </row>
    <row r="953" spans="2:2" ht="15.75" customHeight="1" x14ac:dyDescent="0.3">
      <c r="B953" s="13"/>
    </row>
    <row r="954" spans="2:2" ht="15.75" customHeight="1" x14ac:dyDescent="0.3">
      <c r="B954" s="13"/>
    </row>
    <row r="955" spans="2:2" ht="15.75" customHeight="1" x14ac:dyDescent="0.3">
      <c r="B955" s="13"/>
    </row>
    <row r="956" spans="2:2" ht="15.75" customHeight="1" x14ac:dyDescent="0.3">
      <c r="B956" s="13"/>
    </row>
    <row r="957" spans="2:2" ht="15.75" customHeight="1" x14ac:dyDescent="0.3">
      <c r="B957" s="13"/>
    </row>
    <row r="958" spans="2:2" ht="15.75" customHeight="1" x14ac:dyDescent="0.3">
      <c r="B958" s="13"/>
    </row>
    <row r="959" spans="2:2" ht="15.75" customHeight="1" x14ac:dyDescent="0.3">
      <c r="B959" s="13"/>
    </row>
    <row r="960" spans="2:2" ht="15.75" customHeight="1" x14ac:dyDescent="0.3">
      <c r="B960" s="13"/>
    </row>
    <row r="961" spans="2:2" ht="15.75" customHeight="1" x14ac:dyDescent="0.3">
      <c r="B961" s="13"/>
    </row>
    <row r="962" spans="2:2" ht="15.75" customHeight="1" x14ac:dyDescent="0.3">
      <c r="B962" s="13"/>
    </row>
    <row r="963" spans="2:2" ht="15.75" customHeight="1" x14ac:dyDescent="0.3">
      <c r="B963" s="13"/>
    </row>
    <row r="964" spans="2:2" ht="15.75" customHeight="1" x14ac:dyDescent="0.3">
      <c r="B964" s="13"/>
    </row>
    <row r="965" spans="2:2" ht="15.75" customHeight="1" x14ac:dyDescent="0.3">
      <c r="B965" s="13"/>
    </row>
    <row r="966" spans="2:2" ht="15.75" customHeight="1" x14ac:dyDescent="0.3">
      <c r="B966" s="13"/>
    </row>
    <row r="967" spans="2:2" ht="15.75" customHeight="1" x14ac:dyDescent="0.3">
      <c r="B967" s="13"/>
    </row>
    <row r="968" spans="2:2" ht="15.75" customHeight="1" x14ac:dyDescent="0.3">
      <c r="B968" s="13"/>
    </row>
    <row r="969" spans="2:2" ht="15.75" customHeight="1" x14ac:dyDescent="0.3">
      <c r="B969" s="13"/>
    </row>
    <row r="970" spans="2:2" ht="15.75" customHeight="1" x14ac:dyDescent="0.3">
      <c r="B970" s="13"/>
    </row>
    <row r="971" spans="2:2" ht="15.75" customHeight="1" x14ac:dyDescent="0.3">
      <c r="B971" s="13"/>
    </row>
    <row r="972" spans="2:2" ht="15.75" customHeight="1" x14ac:dyDescent="0.3">
      <c r="B972" s="13"/>
    </row>
    <row r="973" spans="2:2" ht="15.75" customHeight="1" x14ac:dyDescent="0.3">
      <c r="B973" s="13"/>
    </row>
    <row r="974" spans="2:2" ht="15.75" customHeight="1" x14ac:dyDescent="0.3">
      <c r="B974" s="13"/>
    </row>
    <row r="975" spans="2:2" ht="15.75" customHeight="1" x14ac:dyDescent="0.3">
      <c r="B975" s="13"/>
    </row>
    <row r="976" spans="2:2" ht="15.75" customHeight="1" x14ac:dyDescent="0.3">
      <c r="B976" s="13"/>
    </row>
    <row r="977" spans="2:2" ht="15.75" customHeight="1" x14ac:dyDescent="0.3">
      <c r="B977" s="13"/>
    </row>
    <row r="978" spans="2:2" ht="15.75" customHeight="1" x14ac:dyDescent="0.3">
      <c r="B978" s="13"/>
    </row>
    <row r="979" spans="2:2" ht="15.75" customHeight="1" x14ac:dyDescent="0.3">
      <c r="B979" s="13"/>
    </row>
    <row r="980" spans="2:2" ht="15.75" customHeight="1" x14ac:dyDescent="0.3">
      <c r="B980" s="13"/>
    </row>
    <row r="981" spans="2:2" ht="15.75" customHeight="1" x14ac:dyDescent="0.3">
      <c r="B981" s="13"/>
    </row>
    <row r="982" spans="2:2" ht="15.75" customHeight="1" x14ac:dyDescent="0.3">
      <c r="B982" s="13"/>
    </row>
    <row r="983" spans="2:2" ht="15.75" customHeight="1" x14ac:dyDescent="0.3">
      <c r="B983" s="13"/>
    </row>
    <row r="984" spans="2:2" ht="15.75" customHeight="1" x14ac:dyDescent="0.3">
      <c r="B984" s="13"/>
    </row>
    <row r="985" spans="2:2" ht="15.75" customHeight="1" x14ac:dyDescent="0.3">
      <c r="B985" s="13"/>
    </row>
    <row r="986" spans="2:2" ht="15.75" customHeight="1" x14ac:dyDescent="0.3">
      <c r="B986" s="13"/>
    </row>
    <row r="987" spans="2:2" ht="15.75" customHeight="1" x14ac:dyDescent="0.3">
      <c r="B987" s="13"/>
    </row>
    <row r="988" spans="2:2" ht="15.75" customHeight="1" x14ac:dyDescent="0.3">
      <c r="B988" s="13"/>
    </row>
    <row r="989" spans="2:2" ht="15.75" customHeight="1" x14ac:dyDescent="0.3">
      <c r="B989" s="13"/>
    </row>
    <row r="990" spans="2:2" ht="15.75" customHeight="1" x14ac:dyDescent="0.3">
      <c r="B990" s="13"/>
    </row>
    <row r="991" spans="2:2" ht="15.75" customHeight="1" x14ac:dyDescent="0.3">
      <c r="B991" s="13"/>
    </row>
    <row r="992" spans="2:2" ht="15.75" customHeight="1" x14ac:dyDescent="0.3">
      <c r="B992" s="13"/>
    </row>
    <row r="993" spans="2:2" ht="15.75" customHeight="1" x14ac:dyDescent="0.3">
      <c r="B993" s="13"/>
    </row>
    <row r="994" spans="2:2" ht="15.75" customHeight="1" x14ac:dyDescent="0.3">
      <c r="B994" s="13"/>
    </row>
    <row r="995" spans="2:2" ht="15.75" customHeight="1" x14ac:dyDescent="0.3">
      <c r="B995" s="13"/>
    </row>
    <row r="996" spans="2:2" ht="15.75" customHeight="1" x14ac:dyDescent="0.3">
      <c r="B996" s="13"/>
    </row>
    <row r="997" spans="2:2" ht="15.75" customHeight="1" x14ac:dyDescent="0.3">
      <c r="B997" s="13"/>
    </row>
    <row r="998" spans="2:2" ht="15.75" customHeight="1" x14ac:dyDescent="0.3">
      <c r="B998" s="13"/>
    </row>
    <row r="999" spans="2:2" ht="15.75" customHeight="1" x14ac:dyDescent="0.3">
      <c r="B999" s="13"/>
    </row>
    <row r="1000" spans="2:2" ht="15.75" customHeight="1" x14ac:dyDescent="0.3">
      <c r="B1000" s="13"/>
    </row>
    <row r="1001" spans="2:2" ht="15" customHeight="1" x14ac:dyDescent="0.3">
      <c r="B1001" s="13"/>
    </row>
    <row r="1002" spans="2:2" ht="15" customHeight="1" x14ac:dyDescent="0.3">
      <c r="B1002" s="13"/>
    </row>
    <row r="1003" spans="2:2" ht="15" customHeight="1" x14ac:dyDescent="0.3">
      <c r="B1003" s="13"/>
    </row>
    <row r="1004" spans="2:2" ht="15" customHeight="1" x14ac:dyDescent="0.3">
      <c r="B1004" s="13"/>
    </row>
    <row r="1005" spans="2:2" ht="15" customHeight="1" x14ac:dyDescent="0.3">
      <c r="B1005" s="13"/>
    </row>
    <row r="1006" spans="2:2" ht="15" customHeight="1" x14ac:dyDescent="0.3">
      <c r="B1006" s="13"/>
    </row>
    <row r="1007" spans="2:2" ht="15" customHeight="1" x14ac:dyDescent="0.3">
      <c r="B1007" s="13"/>
    </row>
    <row r="1008" spans="2:2" ht="15" customHeight="1" x14ac:dyDescent="0.3">
      <c r="B1008" s="13"/>
    </row>
    <row r="1009" spans="2:2" ht="15" customHeight="1" x14ac:dyDescent="0.3">
      <c r="B1009" s="13"/>
    </row>
    <row r="1010" spans="2:2" ht="15" customHeight="1" x14ac:dyDescent="0.3">
      <c r="B1010" s="13"/>
    </row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DACB-5E3B-4F2C-A65A-451C61BF1967}">
  <sheetPr>
    <tabColor rgb="FFC00000"/>
  </sheetPr>
  <dimension ref="A1:D1010"/>
  <sheetViews>
    <sheetView workbookViewId="0">
      <selection activeCell="D153" sqref="D153"/>
    </sheetView>
  </sheetViews>
  <sheetFormatPr baseColWidth="10" defaultColWidth="12.59765625" defaultRowHeight="15" customHeight="1" x14ac:dyDescent="0.25"/>
  <cols>
    <col min="1" max="1" width="12.59765625" style="11"/>
    <col min="2" max="2" width="11.69921875" customWidth="1"/>
    <col min="3" max="3" width="21.8984375" customWidth="1"/>
    <col min="4" max="4" width="22.09765625" customWidth="1"/>
    <col min="5" max="24" width="9.3984375" customWidth="1"/>
  </cols>
  <sheetData>
    <row r="1" spans="1:4" ht="96.75" customHeight="1" x14ac:dyDescent="0.25">
      <c r="A1" s="8" t="s">
        <v>306</v>
      </c>
      <c r="B1" s="9" t="s">
        <v>340</v>
      </c>
      <c r="C1" s="50" t="s">
        <v>498</v>
      </c>
      <c r="D1" s="50" t="s">
        <v>499</v>
      </c>
    </row>
    <row r="2" spans="1:4" ht="14.4" x14ac:dyDescent="0.3">
      <c r="A2" s="33">
        <v>10101</v>
      </c>
      <c r="B2" s="10" t="s">
        <v>11</v>
      </c>
      <c r="C2" s="14">
        <v>267.90300000000002</v>
      </c>
      <c r="D2" s="14">
        <v>664.13</v>
      </c>
    </row>
    <row r="3" spans="1:4" ht="14.4" x14ac:dyDescent="0.3">
      <c r="A3" s="33">
        <v>10102</v>
      </c>
      <c r="B3" s="10" t="s">
        <v>39</v>
      </c>
      <c r="C3" s="14">
        <v>1.044</v>
      </c>
      <c r="D3" s="14">
        <v>6.59</v>
      </c>
    </row>
    <row r="4" spans="1:4" ht="14.4" x14ac:dyDescent="0.3">
      <c r="A4" s="33">
        <v>10103</v>
      </c>
      <c r="B4" s="10" t="s">
        <v>18</v>
      </c>
      <c r="C4" s="14">
        <v>0.56000000000000005</v>
      </c>
      <c r="D4" s="14">
        <v>2.7</v>
      </c>
    </row>
    <row r="5" spans="1:4" ht="14.4" x14ac:dyDescent="0.3">
      <c r="A5" s="33">
        <v>10201</v>
      </c>
      <c r="B5" s="10" t="s">
        <v>307</v>
      </c>
      <c r="C5" s="14">
        <v>0.54500000000000004</v>
      </c>
      <c r="D5" s="14">
        <v>2.89</v>
      </c>
    </row>
    <row r="6" spans="1:4" ht="14.4" x14ac:dyDescent="0.3">
      <c r="A6" s="33">
        <v>10202</v>
      </c>
      <c r="B6" s="10" t="s">
        <v>65</v>
      </c>
      <c r="C6" s="14">
        <v>0.92399999999999993</v>
      </c>
      <c r="D6" s="14">
        <v>3.41</v>
      </c>
    </row>
    <row r="7" spans="1:4" ht="14.4" x14ac:dyDescent="0.3">
      <c r="A7" s="33">
        <v>10301</v>
      </c>
      <c r="B7" s="10" t="s">
        <v>72</v>
      </c>
      <c r="C7" s="14">
        <v>15.747999999999999</v>
      </c>
      <c r="D7" s="14">
        <v>20.77</v>
      </c>
    </row>
    <row r="8" spans="1:4" ht="14.4" x14ac:dyDescent="0.3">
      <c r="A8" s="33">
        <v>10302</v>
      </c>
      <c r="B8" s="10" t="s">
        <v>80</v>
      </c>
      <c r="C8" s="14">
        <v>0.54500000000000004</v>
      </c>
      <c r="D8" s="14">
        <v>2.98</v>
      </c>
    </row>
    <row r="9" spans="1:4" ht="14.4" x14ac:dyDescent="0.3">
      <c r="A9" s="33">
        <v>10303</v>
      </c>
      <c r="B9" s="10" t="s">
        <v>308</v>
      </c>
      <c r="C9" s="14">
        <v>0.95400000000000007</v>
      </c>
      <c r="D9" s="14">
        <v>3.98</v>
      </c>
    </row>
    <row r="10" spans="1:4" ht="14.4" x14ac:dyDescent="0.3">
      <c r="A10" s="33">
        <v>10304</v>
      </c>
      <c r="B10" s="10" t="s">
        <v>99</v>
      </c>
      <c r="C10" s="14">
        <v>0.65700000000000003</v>
      </c>
      <c r="D10" s="14">
        <v>4.17</v>
      </c>
    </row>
    <row r="11" spans="1:4" ht="14.4" x14ac:dyDescent="0.3">
      <c r="A11" s="33">
        <v>10401</v>
      </c>
      <c r="B11" s="10" t="s">
        <v>106</v>
      </c>
      <c r="C11" s="14">
        <v>0.78500000000000003</v>
      </c>
      <c r="D11" s="14">
        <v>10.24</v>
      </c>
    </row>
    <row r="12" spans="1:4" ht="14.4" x14ac:dyDescent="0.3">
      <c r="A12" s="33">
        <v>10402</v>
      </c>
      <c r="B12" s="10" t="s">
        <v>117</v>
      </c>
      <c r="C12" s="14">
        <v>0.93500000000000016</v>
      </c>
      <c r="D12" s="14">
        <v>4.6399999999999997</v>
      </c>
    </row>
    <row r="13" spans="1:4" ht="14.4" x14ac:dyDescent="0.3">
      <c r="A13" s="33">
        <v>10403</v>
      </c>
      <c r="B13" s="10" t="s">
        <v>121</v>
      </c>
      <c r="C13" s="14">
        <v>0.64</v>
      </c>
      <c r="D13" s="14">
        <v>3.08</v>
      </c>
    </row>
    <row r="14" spans="1:4" ht="14.4" x14ac:dyDescent="0.3">
      <c r="A14" s="33">
        <v>10404</v>
      </c>
      <c r="B14" s="10" t="s">
        <v>84</v>
      </c>
      <c r="C14" s="14">
        <v>0.56999999999999995</v>
      </c>
      <c r="D14" s="14">
        <v>4.17</v>
      </c>
    </row>
    <row r="15" spans="1:4" ht="14.4" x14ac:dyDescent="0.3">
      <c r="A15" s="33">
        <v>10405</v>
      </c>
      <c r="B15" s="10" t="s">
        <v>126</v>
      </c>
      <c r="C15" s="14">
        <v>0.34499999999999997</v>
      </c>
      <c r="D15" s="14">
        <v>1.61</v>
      </c>
    </row>
    <row r="16" spans="1:4" ht="14.4" x14ac:dyDescent="0.3">
      <c r="A16" s="33">
        <v>10501</v>
      </c>
      <c r="B16" s="10" t="s">
        <v>129</v>
      </c>
      <c r="C16" s="14">
        <v>20.188000000000002</v>
      </c>
      <c r="D16" s="14">
        <v>37.659999999999997</v>
      </c>
    </row>
    <row r="17" spans="1:4" ht="14.4" x14ac:dyDescent="0.3">
      <c r="A17" s="33">
        <v>10502</v>
      </c>
      <c r="B17" s="10" t="s">
        <v>309</v>
      </c>
      <c r="C17" s="14">
        <v>0.93</v>
      </c>
      <c r="D17" s="14">
        <v>5.73</v>
      </c>
    </row>
    <row r="18" spans="1:4" ht="14.4" x14ac:dyDescent="0.3">
      <c r="A18" s="33">
        <v>10601</v>
      </c>
      <c r="B18" s="10" t="s">
        <v>136</v>
      </c>
      <c r="C18" s="14">
        <v>0.95399999999999996</v>
      </c>
      <c r="D18" s="14">
        <v>17.829999999999998</v>
      </c>
    </row>
    <row r="19" spans="1:4" ht="14.4" x14ac:dyDescent="0.3">
      <c r="A19" s="33">
        <v>10602</v>
      </c>
      <c r="B19" s="10" t="s">
        <v>139</v>
      </c>
      <c r="C19" s="14">
        <v>0.5</v>
      </c>
      <c r="D19" s="14">
        <v>3.08</v>
      </c>
    </row>
    <row r="20" spans="1:4" ht="14.4" x14ac:dyDescent="0.3">
      <c r="A20" s="33">
        <v>10701</v>
      </c>
      <c r="B20" s="10" t="s">
        <v>143</v>
      </c>
      <c r="C20" s="14">
        <v>17.808000000000003</v>
      </c>
      <c r="D20" s="14">
        <v>19.579999999999998</v>
      </c>
    </row>
    <row r="21" spans="1:4" ht="15.75" customHeight="1" x14ac:dyDescent="0.3">
      <c r="A21" s="33">
        <v>10702</v>
      </c>
      <c r="B21" s="10" t="s">
        <v>147</v>
      </c>
      <c r="C21" s="14">
        <v>1.2480000000000002</v>
      </c>
      <c r="D21" s="14">
        <v>7.11</v>
      </c>
    </row>
    <row r="22" spans="1:4" ht="15.75" customHeight="1" x14ac:dyDescent="0.3">
      <c r="A22" s="33">
        <v>10703</v>
      </c>
      <c r="B22" s="10" t="s">
        <v>87</v>
      </c>
      <c r="C22" s="14">
        <v>0.21600000000000003</v>
      </c>
      <c r="D22" s="14">
        <v>2.6</v>
      </c>
    </row>
    <row r="23" spans="1:4" ht="15.75" customHeight="1" x14ac:dyDescent="0.3">
      <c r="A23" s="33">
        <v>10704</v>
      </c>
      <c r="B23" s="10" t="s">
        <v>150</v>
      </c>
      <c r="C23" s="14">
        <v>0.56000000000000005</v>
      </c>
      <c r="D23" s="14">
        <v>2.89</v>
      </c>
    </row>
    <row r="24" spans="1:4" ht="15.75" customHeight="1" x14ac:dyDescent="0.3">
      <c r="A24" s="33">
        <v>10801</v>
      </c>
      <c r="B24" s="10" t="s">
        <v>154</v>
      </c>
      <c r="C24" s="14">
        <v>1.3310000000000002</v>
      </c>
      <c r="D24" s="14">
        <v>8.9600000000000009</v>
      </c>
    </row>
    <row r="25" spans="1:4" ht="15.75" customHeight="1" x14ac:dyDescent="0.3">
      <c r="A25" s="33">
        <v>10901</v>
      </c>
      <c r="B25" s="10" t="s">
        <v>71</v>
      </c>
      <c r="C25" s="14">
        <v>0.47</v>
      </c>
      <c r="D25" s="14">
        <v>3.41</v>
      </c>
    </row>
    <row r="26" spans="1:4" ht="15.75" customHeight="1" x14ac:dyDescent="0.3">
      <c r="A26" s="33">
        <v>10902</v>
      </c>
      <c r="B26" s="10" t="s">
        <v>157</v>
      </c>
      <c r="C26" s="14">
        <v>0.71399999999999997</v>
      </c>
      <c r="D26" s="14">
        <v>5.07</v>
      </c>
    </row>
    <row r="27" spans="1:4" ht="15.75" customHeight="1" x14ac:dyDescent="0.3">
      <c r="A27" s="33">
        <v>10903</v>
      </c>
      <c r="B27" s="10" t="s">
        <v>89</v>
      </c>
      <c r="C27" s="14">
        <v>0.252</v>
      </c>
      <c r="D27" s="14">
        <v>1.42</v>
      </c>
    </row>
    <row r="28" spans="1:4" ht="15.75" customHeight="1" x14ac:dyDescent="0.3">
      <c r="A28" s="33">
        <v>11001</v>
      </c>
      <c r="B28" s="10" t="s">
        <v>348</v>
      </c>
      <c r="C28" s="14">
        <v>0.92500000000000004</v>
      </c>
      <c r="D28" s="14">
        <v>5.45</v>
      </c>
    </row>
    <row r="29" spans="1:4" ht="15.75" customHeight="1" x14ac:dyDescent="0.3">
      <c r="A29" s="33">
        <v>11002</v>
      </c>
      <c r="B29" s="10" t="s">
        <v>33</v>
      </c>
      <c r="C29" s="14">
        <v>0</v>
      </c>
      <c r="D29" s="14">
        <v>0.75</v>
      </c>
    </row>
    <row r="30" spans="1:4" ht="15.75" customHeight="1" x14ac:dyDescent="0.3">
      <c r="A30" s="33">
        <v>11003</v>
      </c>
      <c r="B30" s="10" t="s">
        <v>146</v>
      </c>
      <c r="C30" s="14">
        <v>1.06</v>
      </c>
      <c r="D30" s="14">
        <v>5.83</v>
      </c>
    </row>
    <row r="31" spans="1:4" ht="15.75" customHeight="1" x14ac:dyDescent="0.3">
      <c r="A31" s="33">
        <v>20101</v>
      </c>
      <c r="B31" s="10" t="s">
        <v>310</v>
      </c>
      <c r="C31" s="14">
        <v>1353.404</v>
      </c>
      <c r="D31" s="14">
        <v>1912.48</v>
      </c>
    </row>
    <row r="32" spans="1:4" ht="15.75" customHeight="1" x14ac:dyDescent="0.3">
      <c r="A32" s="33">
        <v>20102</v>
      </c>
      <c r="B32" s="10" t="s">
        <v>168</v>
      </c>
      <c r="C32" s="14">
        <v>29.765999999999998</v>
      </c>
      <c r="D32" s="14">
        <v>5.64</v>
      </c>
    </row>
    <row r="33" spans="1:4" ht="15.75" customHeight="1" x14ac:dyDescent="0.3">
      <c r="A33" s="33">
        <v>20103</v>
      </c>
      <c r="B33" s="10" t="s">
        <v>170</v>
      </c>
      <c r="C33" s="14">
        <v>2.4180000000000001</v>
      </c>
      <c r="D33" s="14">
        <v>22.9</v>
      </c>
    </row>
    <row r="34" spans="1:4" ht="15.75" customHeight="1" x14ac:dyDescent="0.3">
      <c r="A34" s="33">
        <v>20104</v>
      </c>
      <c r="B34" s="10" t="s">
        <v>174</v>
      </c>
      <c r="C34" s="14">
        <v>3.27</v>
      </c>
      <c r="D34" s="14">
        <v>23</v>
      </c>
    </row>
    <row r="35" spans="1:4" ht="15.75" customHeight="1" x14ac:dyDescent="0.3">
      <c r="A35" s="33">
        <v>20105</v>
      </c>
      <c r="B35" s="10" t="s">
        <v>178</v>
      </c>
      <c r="C35" s="14">
        <v>435.50599999999997</v>
      </c>
      <c r="D35" s="14">
        <v>1727.17</v>
      </c>
    </row>
    <row r="36" spans="1:4" ht="15.75" customHeight="1" x14ac:dyDescent="0.3">
      <c r="A36" s="33">
        <v>20201</v>
      </c>
      <c r="B36" s="10" t="s">
        <v>181</v>
      </c>
      <c r="C36" s="14">
        <v>2.3650000000000002</v>
      </c>
      <c r="D36" s="14">
        <v>43.92</v>
      </c>
    </row>
    <row r="37" spans="1:4" ht="15.75" customHeight="1" x14ac:dyDescent="0.3">
      <c r="A37" s="33">
        <v>20202</v>
      </c>
      <c r="B37" s="10" t="s">
        <v>183</v>
      </c>
      <c r="C37" s="14">
        <v>0.32400000000000001</v>
      </c>
      <c r="D37" s="14">
        <v>2.0299999999999998</v>
      </c>
    </row>
    <row r="38" spans="1:4" ht="15.75" customHeight="1" x14ac:dyDescent="0.3">
      <c r="A38" s="33">
        <v>20203</v>
      </c>
      <c r="B38" s="10" t="s">
        <v>159</v>
      </c>
      <c r="C38" s="14">
        <v>63.36</v>
      </c>
      <c r="D38" s="14">
        <v>6.4</v>
      </c>
    </row>
    <row r="39" spans="1:4" ht="15.75" customHeight="1" x14ac:dyDescent="0.3">
      <c r="A39" s="33">
        <v>20204</v>
      </c>
      <c r="B39" s="10" t="s">
        <v>187</v>
      </c>
      <c r="C39" s="14">
        <v>0.46500000000000002</v>
      </c>
      <c r="D39" s="14">
        <v>1.61</v>
      </c>
    </row>
    <row r="40" spans="1:4" ht="15.75" customHeight="1" x14ac:dyDescent="0.3">
      <c r="A40" s="33">
        <v>20205</v>
      </c>
      <c r="B40" s="10" t="s">
        <v>189</v>
      </c>
      <c r="C40" s="14">
        <v>0.33200000000000002</v>
      </c>
      <c r="D40" s="14">
        <v>8.25</v>
      </c>
    </row>
    <row r="41" spans="1:4" ht="15.75" customHeight="1" x14ac:dyDescent="0.3">
      <c r="A41" s="33">
        <v>20206</v>
      </c>
      <c r="B41" s="10" t="s">
        <v>103</v>
      </c>
      <c r="C41" s="14">
        <v>67.744</v>
      </c>
      <c r="D41" s="14">
        <v>7.01</v>
      </c>
    </row>
    <row r="42" spans="1:4" ht="15.75" customHeight="1" x14ac:dyDescent="0.3">
      <c r="A42" s="33">
        <v>20301</v>
      </c>
      <c r="B42" s="10" t="s">
        <v>196</v>
      </c>
      <c r="C42" s="14">
        <v>0.65700000000000003</v>
      </c>
      <c r="D42" s="14">
        <v>3.79</v>
      </c>
    </row>
    <row r="43" spans="1:4" ht="15.75" customHeight="1" x14ac:dyDescent="0.3">
      <c r="A43" s="33">
        <v>20302</v>
      </c>
      <c r="B43" s="10" t="s">
        <v>82</v>
      </c>
      <c r="C43" s="14">
        <v>0.46</v>
      </c>
      <c r="D43" s="14">
        <v>2.98</v>
      </c>
    </row>
    <row r="44" spans="1:4" ht="15.75" customHeight="1" x14ac:dyDescent="0.3">
      <c r="A44" s="33">
        <v>20303</v>
      </c>
      <c r="B44" s="10" t="s">
        <v>30</v>
      </c>
      <c r="C44" s="14">
        <v>0.26200000000000001</v>
      </c>
      <c r="D44" s="14">
        <v>2.2200000000000002</v>
      </c>
    </row>
    <row r="45" spans="1:4" ht="15.75" customHeight="1" x14ac:dyDescent="0.3">
      <c r="A45" s="33">
        <v>20304</v>
      </c>
      <c r="B45" s="10" t="s">
        <v>148</v>
      </c>
      <c r="C45" s="14">
        <v>0.18</v>
      </c>
      <c r="D45" s="14">
        <v>1.04</v>
      </c>
    </row>
    <row r="46" spans="1:4" ht="15.75" customHeight="1" x14ac:dyDescent="0.3">
      <c r="A46" s="33">
        <v>20305</v>
      </c>
      <c r="B46" s="10" t="s">
        <v>93</v>
      </c>
      <c r="C46" s="14">
        <v>0.19</v>
      </c>
      <c r="D46" s="14">
        <v>1.23</v>
      </c>
    </row>
    <row r="47" spans="1:4" ht="15.75" customHeight="1" x14ac:dyDescent="0.3">
      <c r="A47" s="33">
        <v>20306</v>
      </c>
      <c r="B47" s="10" t="s">
        <v>97</v>
      </c>
      <c r="C47" s="14">
        <v>0.23600000000000002</v>
      </c>
      <c r="D47" s="14">
        <v>1.42</v>
      </c>
    </row>
    <row r="48" spans="1:4" ht="15.75" customHeight="1" x14ac:dyDescent="0.3">
      <c r="A48" s="33">
        <v>20307</v>
      </c>
      <c r="B48" s="10" t="s">
        <v>12</v>
      </c>
      <c r="C48" s="14">
        <v>0.10800000000000001</v>
      </c>
      <c r="D48" s="14">
        <v>1.1299999999999999</v>
      </c>
    </row>
    <row r="49" spans="1:4" ht="15.75" customHeight="1" x14ac:dyDescent="0.3">
      <c r="A49" s="33">
        <v>20308</v>
      </c>
      <c r="B49" s="10" t="s">
        <v>311</v>
      </c>
      <c r="C49" s="14">
        <v>0.19500000000000001</v>
      </c>
      <c r="D49" s="14">
        <v>1.42</v>
      </c>
    </row>
    <row r="50" spans="1:4" ht="15.75" customHeight="1" x14ac:dyDescent="0.3">
      <c r="A50" s="33">
        <v>20401</v>
      </c>
      <c r="B50" s="10" t="s">
        <v>124</v>
      </c>
      <c r="C50" s="14">
        <v>0.40800000000000003</v>
      </c>
      <c r="D50" s="14">
        <v>7.01</v>
      </c>
    </row>
    <row r="51" spans="1:4" ht="15.75" customHeight="1" x14ac:dyDescent="0.3">
      <c r="A51" s="33">
        <v>20402</v>
      </c>
      <c r="B51" s="10" t="s">
        <v>112</v>
      </c>
      <c r="C51" s="14">
        <v>0.42299999999999999</v>
      </c>
      <c r="D51" s="14">
        <v>3.17</v>
      </c>
    </row>
    <row r="52" spans="1:4" ht="15.75" customHeight="1" x14ac:dyDescent="0.3">
      <c r="A52" s="33">
        <v>20403</v>
      </c>
      <c r="B52" s="10" t="s">
        <v>312</v>
      </c>
      <c r="C52" s="14">
        <v>0.26300000000000001</v>
      </c>
      <c r="D52" s="14">
        <v>1.84</v>
      </c>
    </row>
    <row r="53" spans="1:4" ht="15.75" customHeight="1" x14ac:dyDescent="0.3">
      <c r="A53" s="33">
        <v>20404</v>
      </c>
      <c r="B53" s="10" t="s">
        <v>116</v>
      </c>
      <c r="C53" s="14">
        <v>8.8000000000000009E-2</v>
      </c>
      <c r="D53" s="14">
        <v>0.47</v>
      </c>
    </row>
    <row r="54" spans="1:4" ht="15.75" customHeight="1" x14ac:dyDescent="0.3">
      <c r="A54" s="33">
        <v>20405</v>
      </c>
      <c r="B54" s="10" t="s">
        <v>222</v>
      </c>
      <c r="C54" s="14">
        <v>0.32400000000000001</v>
      </c>
      <c r="D54" s="14">
        <v>2.5099999999999998</v>
      </c>
    </row>
    <row r="55" spans="1:4" ht="15.75" customHeight="1" x14ac:dyDescent="0.3">
      <c r="A55" s="33">
        <v>20501</v>
      </c>
      <c r="B55" s="10" t="s">
        <v>226</v>
      </c>
      <c r="C55" s="14">
        <v>0.34799999999999998</v>
      </c>
      <c r="D55" s="14">
        <v>2.6</v>
      </c>
    </row>
    <row r="56" spans="1:4" ht="15.75" customHeight="1" x14ac:dyDescent="0.3">
      <c r="A56" s="33">
        <v>20502</v>
      </c>
      <c r="B56" s="10" t="s">
        <v>101</v>
      </c>
      <c r="C56" s="14">
        <v>0.17400000000000002</v>
      </c>
      <c r="D56" s="14">
        <v>1.23</v>
      </c>
    </row>
    <row r="57" spans="1:4" ht="15.75" customHeight="1" x14ac:dyDescent="0.3">
      <c r="A57" s="33">
        <v>20503</v>
      </c>
      <c r="B57" s="10" t="s">
        <v>182</v>
      </c>
      <c r="C57" s="14">
        <v>0.32</v>
      </c>
      <c r="D57" s="14">
        <v>1.84</v>
      </c>
    </row>
    <row r="58" spans="1:4" ht="15.75" customHeight="1" x14ac:dyDescent="0.3">
      <c r="A58" s="33">
        <v>20601</v>
      </c>
      <c r="B58" s="10" t="s">
        <v>233</v>
      </c>
      <c r="C58" s="14">
        <v>44.608000000000004</v>
      </c>
      <c r="D58" s="14">
        <v>43.92</v>
      </c>
    </row>
    <row r="59" spans="1:4" ht="15.75" customHeight="1" x14ac:dyDescent="0.3">
      <c r="A59" s="33">
        <v>20602</v>
      </c>
      <c r="B59" s="10" t="s">
        <v>236</v>
      </c>
      <c r="C59" s="14">
        <v>3.1289999999999996</v>
      </c>
      <c r="D59" s="14">
        <v>13.13</v>
      </c>
    </row>
    <row r="60" spans="1:4" ht="15.75" customHeight="1" x14ac:dyDescent="0.3">
      <c r="A60" s="33">
        <v>20603</v>
      </c>
      <c r="B60" s="10" t="s">
        <v>203</v>
      </c>
      <c r="C60" s="14">
        <v>0.68600000000000005</v>
      </c>
      <c r="D60" s="14">
        <v>2.13</v>
      </c>
    </row>
    <row r="61" spans="1:4" ht="15.75" customHeight="1" x14ac:dyDescent="0.3">
      <c r="A61" s="33">
        <v>20604</v>
      </c>
      <c r="B61" s="10" t="s">
        <v>54</v>
      </c>
      <c r="C61" s="14">
        <v>0.17199999999999999</v>
      </c>
      <c r="D61" s="14">
        <v>0.47</v>
      </c>
    </row>
    <row r="62" spans="1:4" ht="15.75" customHeight="1" x14ac:dyDescent="0.3">
      <c r="A62" s="33">
        <v>20605</v>
      </c>
      <c r="B62" s="10" t="s">
        <v>62</v>
      </c>
      <c r="C62" s="14">
        <v>5.4000000000000006E-2</v>
      </c>
      <c r="D62" s="14">
        <v>0.37</v>
      </c>
    </row>
    <row r="63" spans="1:4" ht="15.75" customHeight="1" x14ac:dyDescent="0.3">
      <c r="A63" s="33">
        <v>20606</v>
      </c>
      <c r="B63" s="10" t="s">
        <v>140</v>
      </c>
      <c r="C63" s="14">
        <v>2.6389999999999998</v>
      </c>
      <c r="D63" s="14">
        <v>14.79</v>
      </c>
    </row>
    <row r="64" spans="1:4" ht="15.75" customHeight="1" x14ac:dyDescent="0.3">
      <c r="A64" s="33">
        <v>20607</v>
      </c>
      <c r="B64" s="10" t="s">
        <v>167</v>
      </c>
      <c r="C64" s="14">
        <v>2.3920000000000003</v>
      </c>
      <c r="D64" s="14">
        <v>27.69</v>
      </c>
    </row>
    <row r="65" spans="1:4" ht="15.75" customHeight="1" x14ac:dyDescent="0.3">
      <c r="A65" s="33">
        <v>20608</v>
      </c>
      <c r="B65" s="10" t="s">
        <v>200</v>
      </c>
      <c r="C65" s="14">
        <v>0.89399999999999991</v>
      </c>
      <c r="D65" s="14">
        <v>4.45</v>
      </c>
    </row>
    <row r="66" spans="1:4" ht="15.75" customHeight="1" x14ac:dyDescent="0.3">
      <c r="A66" s="33">
        <v>20701</v>
      </c>
      <c r="B66" s="10" t="s">
        <v>241</v>
      </c>
      <c r="C66" s="14">
        <v>1.4279999999999999</v>
      </c>
      <c r="D66" s="14">
        <v>8.06</v>
      </c>
    </row>
    <row r="67" spans="1:4" ht="15.75" customHeight="1" x14ac:dyDescent="0.3">
      <c r="A67" s="33">
        <v>20702</v>
      </c>
      <c r="B67" s="10" t="s">
        <v>41</v>
      </c>
      <c r="C67" s="14">
        <v>0.70200000000000007</v>
      </c>
      <c r="D67" s="14">
        <v>9.0500000000000007</v>
      </c>
    </row>
    <row r="68" spans="1:4" ht="15.75" customHeight="1" x14ac:dyDescent="0.3">
      <c r="A68" s="33">
        <v>20801</v>
      </c>
      <c r="B68" s="10" t="s">
        <v>244</v>
      </c>
      <c r="C68" s="14">
        <v>29.408000000000001</v>
      </c>
      <c r="D68" s="14">
        <v>125.21</v>
      </c>
    </row>
    <row r="69" spans="1:4" ht="15.75" customHeight="1" x14ac:dyDescent="0.3">
      <c r="A69" s="33">
        <v>20802</v>
      </c>
      <c r="B69" s="10" t="s">
        <v>186</v>
      </c>
      <c r="C69" s="14">
        <v>0.56699999999999995</v>
      </c>
      <c r="D69" s="14">
        <v>12.85</v>
      </c>
    </row>
    <row r="70" spans="1:4" ht="15.75" customHeight="1" x14ac:dyDescent="0.3">
      <c r="A70" s="33">
        <v>20803</v>
      </c>
      <c r="B70" s="10" t="s">
        <v>217</v>
      </c>
      <c r="C70" s="14">
        <v>103.89599999999999</v>
      </c>
      <c r="D70" s="14">
        <v>29.07</v>
      </c>
    </row>
    <row r="71" spans="1:4" ht="15.75" customHeight="1" x14ac:dyDescent="0.3">
      <c r="A71" s="33">
        <v>20804</v>
      </c>
      <c r="B71" s="10" t="s">
        <v>113</v>
      </c>
      <c r="C71" s="14">
        <v>28.3</v>
      </c>
      <c r="D71" s="14">
        <v>16.98</v>
      </c>
    </row>
    <row r="72" spans="1:4" ht="15.75" customHeight="1" x14ac:dyDescent="0.3">
      <c r="A72" s="33">
        <v>20805</v>
      </c>
      <c r="B72" s="10" t="s">
        <v>90</v>
      </c>
      <c r="C72" s="14">
        <v>0.14699999999999999</v>
      </c>
      <c r="D72" s="14">
        <v>1.23</v>
      </c>
    </row>
    <row r="73" spans="1:4" ht="15.75" customHeight="1" x14ac:dyDescent="0.3">
      <c r="A73" s="33">
        <v>20806</v>
      </c>
      <c r="B73" s="10" t="s">
        <v>210</v>
      </c>
      <c r="C73" s="14">
        <v>0.58400000000000007</v>
      </c>
      <c r="D73" s="14">
        <v>4.74</v>
      </c>
    </row>
    <row r="74" spans="1:4" ht="15.75" customHeight="1" x14ac:dyDescent="0.3">
      <c r="A74" s="33">
        <v>20807</v>
      </c>
      <c r="B74" s="10" t="s">
        <v>123</v>
      </c>
      <c r="C74" s="14">
        <v>0.10200000000000001</v>
      </c>
      <c r="D74" s="14">
        <v>0.66</v>
      </c>
    </row>
    <row r="75" spans="1:4" ht="15.75" customHeight="1" x14ac:dyDescent="0.3">
      <c r="A75" s="33">
        <v>20901</v>
      </c>
      <c r="B75" s="10" t="s">
        <v>253</v>
      </c>
      <c r="C75" s="14">
        <v>0.5</v>
      </c>
      <c r="D75" s="14">
        <v>2.2200000000000002</v>
      </c>
    </row>
    <row r="76" spans="1:4" ht="15.75" customHeight="1" x14ac:dyDescent="0.3">
      <c r="A76" s="33">
        <v>20902</v>
      </c>
      <c r="B76" s="10" t="s">
        <v>172</v>
      </c>
      <c r="C76" s="14">
        <v>0.375</v>
      </c>
      <c r="D76" s="14">
        <v>1.23</v>
      </c>
    </row>
    <row r="77" spans="1:4" ht="15.75" customHeight="1" x14ac:dyDescent="0.3">
      <c r="A77" s="33">
        <v>20903</v>
      </c>
      <c r="B77" s="10" t="s">
        <v>198</v>
      </c>
      <c r="C77" s="14">
        <v>0.26700000000000002</v>
      </c>
      <c r="D77" s="14">
        <v>1.84</v>
      </c>
    </row>
    <row r="78" spans="1:4" ht="15.75" customHeight="1" x14ac:dyDescent="0.3">
      <c r="A78" s="33">
        <v>20904</v>
      </c>
      <c r="B78" s="10" t="s">
        <v>107</v>
      </c>
      <c r="C78" s="14">
        <v>0.29399999999999998</v>
      </c>
      <c r="D78" s="14">
        <v>1.42</v>
      </c>
    </row>
    <row r="79" spans="1:4" ht="15.75" customHeight="1" x14ac:dyDescent="0.3">
      <c r="A79" s="33">
        <v>20905</v>
      </c>
      <c r="B79" s="10" t="s">
        <v>191</v>
      </c>
      <c r="C79" s="14">
        <v>0.16699999999999998</v>
      </c>
      <c r="D79" s="14">
        <v>1.61</v>
      </c>
    </row>
    <row r="80" spans="1:4" ht="15.75" customHeight="1" x14ac:dyDescent="0.3">
      <c r="A80" s="33">
        <v>21001</v>
      </c>
      <c r="B80" s="10" t="s">
        <v>138</v>
      </c>
      <c r="C80" s="14">
        <v>0.34700000000000003</v>
      </c>
      <c r="D80" s="14">
        <v>1.42</v>
      </c>
    </row>
    <row r="81" spans="1:4" ht="15.75" customHeight="1" x14ac:dyDescent="0.3">
      <c r="A81" s="33">
        <v>21002</v>
      </c>
      <c r="B81" s="10" t="s">
        <v>231</v>
      </c>
      <c r="C81" s="14">
        <v>0.96400000000000008</v>
      </c>
      <c r="D81" s="14">
        <v>4.55</v>
      </c>
    </row>
    <row r="82" spans="1:4" ht="15.75" customHeight="1" x14ac:dyDescent="0.3">
      <c r="A82" s="33">
        <v>21003</v>
      </c>
      <c r="B82" s="10" t="s">
        <v>149</v>
      </c>
      <c r="C82" s="14">
        <v>0.43799999999999994</v>
      </c>
      <c r="D82" s="14">
        <v>2.3199999999999998</v>
      </c>
    </row>
    <row r="83" spans="1:4" ht="15.75" customHeight="1" x14ac:dyDescent="0.3">
      <c r="A83" s="33">
        <v>21004</v>
      </c>
      <c r="B83" s="10" t="s">
        <v>268</v>
      </c>
      <c r="C83" s="14">
        <v>0.98100000000000009</v>
      </c>
      <c r="D83" s="14">
        <v>4.6399999999999997</v>
      </c>
    </row>
    <row r="84" spans="1:4" ht="15.75" customHeight="1" x14ac:dyDescent="0.3">
      <c r="A84" s="33">
        <v>21005</v>
      </c>
      <c r="B84" s="10" t="s">
        <v>132</v>
      </c>
      <c r="C84" s="14">
        <v>0.14800000000000002</v>
      </c>
      <c r="D84" s="14">
        <v>0.94</v>
      </c>
    </row>
    <row r="85" spans="1:4" ht="15.75" customHeight="1" x14ac:dyDescent="0.3">
      <c r="A85" s="33">
        <v>21006</v>
      </c>
      <c r="B85" s="10" t="s">
        <v>67</v>
      </c>
      <c r="C85" s="14">
        <v>0.34799999999999998</v>
      </c>
      <c r="D85" s="14">
        <v>4.55</v>
      </c>
    </row>
    <row r="86" spans="1:4" ht="15.75" customHeight="1" x14ac:dyDescent="0.3">
      <c r="A86" s="33">
        <v>21101</v>
      </c>
      <c r="B86" s="10" t="s">
        <v>245</v>
      </c>
      <c r="C86" s="14">
        <v>1.9709999999999999</v>
      </c>
      <c r="D86" s="14">
        <v>8.58</v>
      </c>
    </row>
    <row r="87" spans="1:4" ht="15.75" customHeight="1" x14ac:dyDescent="0.3">
      <c r="A87" s="33">
        <v>21102</v>
      </c>
      <c r="B87" s="10" t="s">
        <v>273</v>
      </c>
      <c r="C87" s="14">
        <v>0.88200000000000001</v>
      </c>
      <c r="D87" s="14">
        <v>6.21</v>
      </c>
    </row>
    <row r="88" spans="1:4" ht="15.75" customHeight="1" x14ac:dyDescent="0.3">
      <c r="A88" s="33">
        <v>21103</v>
      </c>
      <c r="B88" s="10" t="s">
        <v>94</v>
      </c>
      <c r="C88" s="14">
        <v>0.81</v>
      </c>
      <c r="D88" s="14">
        <v>3.88</v>
      </c>
    </row>
    <row r="89" spans="1:4" ht="15.75" customHeight="1" x14ac:dyDescent="0.3">
      <c r="A89" s="33">
        <v>21104</v>
      </c>
      <c r="B89" s="10" t="s">
        <v>258</v>
      </c>
      <c r="C89" s="14">
        <v>2.97</v>
      </c>
      <c r="D89" s="14">
        <v>12.47</v>
      </c>
    </row>
    <row r="90" spans="1:4" ht="15.75" customHeight="1" x14ac:dyDescent="0.3">
      <c r="A90" s="33">
        <v>21105</v>
      </c>
      <c r="B90" s="10" t="s">
        <v>70</v>
      </c>
      <c r="C90" s="14">
        <v>0.87</v>
      </c>
      <c r="D90" s="14">
        <v>5.35</v>
      </c>
    </row>
    <row r="91" spans="1:4" ht="15.75" customHeight="1" x14ac:dyDescent="0.3">
      <c r="A91" s="33">
        <v>21201</v>
      </c>
      <c r="B91" s="10" t="s">
        <v>255</v>
      </c>
      <c r="C91" s="14">
        <v>1.8440000000000001</v>
      </c>
      <c r="D91" s="14">
        <v>20.11</v>
      </c>
    </row>
    <row r="92" spans="1:4" ht="15.75" customHeight="1" x14ac:dyDescent="0.3">
      <c r="A92" s="33">
        <v>21202</v>
      </c>
      <c r="B92" s="10" t="s">
        <v>267</v>
      </c>
      <c r="C92" s="14">
        <v>1.08</v>
      </c>
      <c r="D92" s="14">
        <v>6.92</v>
      </c>
    </row>
    <row r="93" spans="1:4" ht="15.75" customHeight="1" x14ac:dyDescent="0.3">
      <c r="A93" s="33">
        <v>21203</v>
      </c>
      <c r="B93" s="10" t="s">
        <v>277</v>
      </c>
      <c r="C93" s="14">
        <v>0.96499999999999997</v>
      </c>
      <c r="D93" s="14">
        <v>23.43</v>
      </c>
    </row>
    <row r="94" spans="1:4" ht="15.75" customHeight="1" x14ac:dyDescent="0.3">
      <c r="A94" s="33">
        <v>21204</v>
      </c>
      <c r="B94" s="10" t="s">
        <v>199</v>
      </c>
      <c r="C94" s="14">
        <v>0.37199999999999994</v>
      </c>
      <c r="D94" s="14">
        <v>3.69</v>
      </c>
    </row>
    <row r="95" spans="1:4" ht="15.75" customHeight="1" x14ac:dyDescent="0.3">
      <c r="A95" s="33">
        <v>21301</v>
      </c>
      <c r="B95" s="10" t="s">
        <v>261</v>
      </c>
      <c r="C95" s="14">
        <v>1.8719999999999999</v>
      </c>
      <c r="D95" s="14">
        <v>9.6199999999999992</v>
      </c>
    </row>
    <row r="96" spans="1:4" ht="15.75" customHeight="1" x14ac:dyDescent="0.3">
      <c r="A96" s="33">
        <v>21302</v>
      </c>
      <c r="B96" s="10" t="s">
        <v>232</v>
      </c>
      <c r="C96" s="14">
        <v>0.10700000000000001</v>
      </c>
      <c r="D96" s="14">
        <v>0.75</v>
      </c>
    </row>
    <row r="97" spans="1:4" ht="15.75" customHeight="1" x14ac:dyDescent="0.3">
      <c r="A97" s="33">
        <v>21303</v>
      </c>
      <c r="B97" s="10" t="s">
        <v>218</v>
      </c>
      <c r="C97" s="14">
        <v>0.33200000000000002</v>
      </c>
      <c r="D97" s="14">
        <v>2.41</v>
      </c>
    </row>
    <row r="98" spans="1:4" ht="15.75" customHeight="1" x14ac:dyDescent="0.3">
      <c r="A98" s="33">
        <v>21304</v>
      </c>
      <c r="B98" s="10" t="s">
        <v>249</v>
      </c>
      <c r="C98" s="14">
        <v>0.39899999999999997</v>
      </c>
      <c r="D98" s="14">
        <v>1.84</v>
      </c>
    </row>
    <row r="99" spans="1:4" ht="15.75" customHeight="1" x14ac:dyDescent="0.3">
      <c r="A99" s="33">
        <v>21305</v>
      </c>
      <c r="B99" s="10" t="s">
        <v>280</v>
      </c>
      <c r="C99" s="14">
        <v>3.2059999999999995</v>
      </c>
      <c r="D99" s="14">
        <v>39.03</v>
      </c>
    </row>
    <row r="100" spans="1:4" ht="15.75" customHeight="1" x14ac:dyDescent="0.3">
      <c r="A100" s="33">
        <v>21306</v>
      </c>
      <c r="B100" s="10" t="s">
        <v>229</v>
      </c>
      <c r="C100" s="14">
        <v>0.46</v>
      </c>
      <c r="D100" s="14">
        <v>2.89</v>
      </c>
    </row>
    <row r="101" spans="1:4" ht="15.75" customHeight="1" x14ac:dyDescent="0.3">
      <c r="A101" s="33">
        <v>21307</v>
      </c>
      <c r="B101" s="10" t="s">
        <v>100</v>
      </c>
      <c r="C101" s="14">
        <v>0.33</v>
      </c>
      <c r="D101" s="14">
        <v>2.0299999999999998</v>
      </c>
    </row>
    <row r="102" spans="1:4" ht="15.75" customHeight="1" x14ac:dyDescent="0.3">
      <c r="A102" s="33">
        <v>21401</v>
      </c>
      <c r="B102" s="10" t="s">
        <v>284</v>
      </c>
      <c r="C102" s="14">
        <v>92.12</v>
      </c>
      <c r="D102" s="14">
        <v>49.56</v>
      </c>
    </row>
    <row r="103" spans="1:4" ht="15.75" customHeight="1" x14ac:dyDescent="0.3">
      <c r="A103" s="33">
        <v>21402</v>
      </c>
      <c r="B103" s="10" t="s">
        <v>220</v>
      </c>
      <c r="C103" s="14">
        <v>0.995</v>
      </c>
      <c r="D103" s="14">
        <v>4.45</v>
      </c>
    </row>
    <row r="104" spans="1:4" ht="15.75" customHeight="1" x14ac:dyDescent="0.3">
      <c r="A104" s="33">
        <v>21501</v>
      </c>
      <c r="B104" s="10" t="s">
        <v>194</v>
      </c>
      <c r="C104" s="14">
        <v>1.1399999999999999</v>
      </c>
      <c r="D104" s="14">
        <v>6.59</v>
      </c>
    </row>
    <row r="105" spans="1:4" ht="15.75" customHeight="1" x14ac:dyDescent="0.3">
      <c r="A105" s="33">
        <v>21502</v>
      </c>
      <c r="B105" s="10" t="s">
        <v>133</v>
      </c>
      <c r="C105" s="14">
        <v>1.6950000000000001</v>
      </c>
      <c r="D105" s="14">
        <v>18.11</v>
      </c>
    </row>
    <row r="106" spans="1:4" ht="15.75" customHeight="1" x14ac:dyDescent="0.3">
      <c r="A106" s="33">
        <v>21601</v>
      </c>
      <c r="B106" s="10" t="s">
        <v>313</v>
      </c>
      <c r="C106" s="14">
        <v>0.59</v>
      </c>
      <c r="D106" s="14">
        <v>3.27</v>
      </c>
    </row>
    <row r="107" spans="1:4" ht="15.75" customHeight="1" x14ac:dyDescent="0.3">
      <c r="A107" s="33">
        <v>21602</v>
      </c>
      <c r="B107" s="10" t="s">
        <v>108</v>
      </c>
      <c r="C107" s="14">
        <v>0.16500000000000001</v>
      </c>
      <c r="D107" s="14">
        <v>1.04</v>
      </c>
    </row>
    <row r="108" spans="1:4" ht="15.75" customHeight="1" x14ac:dyDescent="0.3">
      <c r="A108" s="33">
        <v>21701</v>
      </c>
      <c r="B108" s="10" t="s">
        <v>251</v>
      </c>
      <c r="C108" s="14">
        <v>128.583</v>
      </c>
      <c r="D108" s="14">
        <v>52.88</v>
      </c>
    </row>
    <row r="109" spans="1:4" ht="15.75" customHeight="1" x14ac:dyDescent="0.3">
      <c r="A109" s="33">
        <v>21702</v>
      </c>
      <c r="B109" s="10" t="s">
        <v>184</v>
      </c>
      <c r="C109" s="14">
        <v>15.635</v>
      </c>
      <c r="D109" s="14">
        <v>18.73</v>
      </c>
    </row>
    <row r="110" spans="1:4" ht="15.75" customHeight="1" x14ac:dyDescent="0.3">
      <c r="A110" s="33">
        <v>21703</v>
      </c>
      <c r="B110" s="10" t="s">
        <v>135</v>
      </c>
      <c r="C110" s="14">
        <v>0.16500000000000001</v>
      </c>
      <c r="D110" s="14">
        <v>2.7</v>
      </c>
    </row>
    <row r="111" spans="1:4" ht="15.75" customHeight="1" x14ac:dyDescent="0.3">
      <c r="A111" s="33">
        <v>21801</v>
      </c>
      <c r="B111" s="10" t="s">
        <v>314</v>
      </c>
      <c r="C111" s="14">
        <v>0.10400000000000001</v>
      </c>
      <c r="D111" s="14">
        <v>0.94</v>
      </c>
    </row>
    <row r="112" spans="1:4" ht="15.75" customHeight="1" x14ac:dyDescent="0.3">
      <c r="A112" s="33">
        <v>21802</v>
      </c>
      <c r="B112" s="10" t="s">
        <v>197</v>
      </c>
      <c r="C112" s="14">
        <v>0.16400000000000003</v>
      </c>
      <c r="D112" s="14">
        <v>0.85</v>
      </c>
    </row>
    <row r="113" spans="1:4" ht="15.75" customHeight="1" x14ac:dyDescent="0.3">
      <c r="A113" s="33">
        <v>21803</v>
      </c>
      <c r="B113" s="10" t="s">
        <v>49</v>
      </c>
      <c r="C113" s="14">
        <v>5.7000000000000002E-2</v>
      </c>
      <c r="D113" s="14">
        <v>0.37</v>
      </c>
    </row>
    <row r="114" spans="1:4" ht="15.75" customHeight="1" x14ac:dyDescent="0.3">
      <c r="A114" s="33">
        <v>21901</v>
      </c>
      <c r="B114" s="10" t="s">
        <v>50</v>
      </c>
      <c r="C114" s="14">
        <v>0.37799999999999995</v>
      </c>
      <c r="D114" s="14">
        <v>2.89</v>
      </c>
    </row>
    <row r="115" spans="1:4" ht="15.75" customHeight="1" x14ac:dyDescent="0.3">
      <c r="A115" s="33">
        <v>21902</v>
      </c>
      <c r="B115" s="10" t="s">
        <v>28</v>
      </c>
      <c r="C115" s="14">
        <v>0.02</v>
      </c>
      <c r="D115" s="14">
        <v>0.28000000000000003</v>
      </c>
    </row>
    <row r="116" spans="1:4" ht="15.75" customHeight="1" x14ac:dyDescent="0.3">
      <c r="A116" s="33">
        <v>22001</v>
      </c>
      <c r="B116" s="10" t="s">
        <v>260</v>
      </c>
      <c r="C116" s="14">
        <v>21.074999999999999</v>
      </c>
      <c r="D116" s="14">
        <v>93.25</v>
      </c>
    </row>
    <row r="117" spans="1:4" ht="15.75" customHeight="1" x14ac:dyDescent="0.3">
      <c r="A117" s="33">
        <v>22002</v>
      </c>
      <c r="B117" s="10" t="s">
        <v>185</v>
      </c>
      <c r="C117" s="14">
        <v>0.82</v>
      </c>
      <c r="D117" s="14">
        <v>3.6</v>
      </c>
    </row>
    <row r="118" spans="1:4" ht="15.75" customHeight="1" x14ac:dyDescent="0.3">
      <c r="A118" s="33">
        <v>30101</v>
      </c>
      <c r="B118" s="10" t="s">
        <v>51</v>
      </c>
      <c r="C118" s="14">
        <v>644.322</v>
      </c>
      <c r="D118" s="14">
        <v>1811.21</v>
      </c>
    </row>
    <row r="119" spans="1:4" ht="15.75" customHeight="1" x14ac:dyDescent="0.3">
      <c r="A119" s="33">
        <v>30201</v>
      </c>
      <c r="B119" s="10" t="s">
        <v>252</v>
      </c>
      <c r="C119" s="14">
        <v>18.975000000000001</v>
      </c>
      <c r="D119" s="14">
        <v>14.32</v>
      </c>
    </row>
    <row r="120" spans="1:4" ht="15.75" customHeight="1" x14ac:dyDescent="0.3">
      <c r="A120" s="33">
        <v>30202</v>
      </c>
      <c r="B120" s="10" t="s">
        <v>145</v>
      </c>
      <c r="C120" s="14">
        <v>0.41</v>
      </c>
      <c r="D120" s="14">
        <v>2.79</v>
      </c>
    </row>
    <row r="121" spans="1:4" ht="15.75" customHeight="1" x14ac:dyDescent="0.3">
      <c r="A121" s="33">
        <v>30203</v>
      </c>
      <c r="B121" s="10" t="s">
        <v>56</v>
      </c>
      <c r="C121" s="14">
        <v>0.40800000000000003</v>
      </c>
      <c r="D121" s="14">
        <v>1.61</v>
      </c>
    </row>
    <row r="122" spans="1:4" ht="15.75" customHeight="1" x14ac:dyDescent="0.3">
      <c r="A122" s="33">
        <v>30301</v>
      </c>
      <c r="B122" s="10" t="s">
        <v>211</v>
      </c>
      <c r="C122" s="14">
        <v>15.066000000000001</v>
      </c>
      <c r="D122" s="14">
        <v>5.45</v>
      </c>
    </row>
    <row r="123" spans="1:4" ht="15.75" customHeight="1" x14ac:dyDescent="0.3">
      <c r="A123" s="33">
        <v>30302</v>
      </c>
      <c r="B123" s="10" t="s">
        <v>177</v>
      </c>
      <c r="C123" s="14">
        <v>0.5</v>
      </c>
      <c r="D123" s="14">
        <v>2.89</v>
      </c>
    </row>
    <row r="124" spans="1:4" ht="15.75" customHeight="1" x14ac:dyDescent="0.3">
      <c r="A124" s="33">
        <v>30303</v>
      </c>
      <c r="B124" s="10" t="s">
        <v>66</v>
      </c>
      <c r="C124" s="14">
        <v>0.22700000000000004</v>
      </c>
      <c r="D124" s="14">
        <v>1.51</v>
      </c>
    </row>
    <row r="125" spans="1:4" ht="15.75" customHeight="1" x14ac:dyDescent="0.3">
      <c r="A125" s="33">
        <v>30401</v>
      </c>
      <c r="B125" s="10" t="s">
        <v>171</v>
      </c>
      <c r="C125" s="14">
        <v>1.27</v>
      </c>
      <c r="D125" s="14">
        <v>5.45</v>
      </c>
    </row>
    <row r="126" spans="1:4" ht="15.75" customHeight="1" x14ac:dyDescent="0.3">
      <c r="A126" s="33">
        <v>30402</v>
      </c>
      <c r="B126" s="10" t="s">
        <v>153</v>
      </c>
      <c r="C126" s="14">
        <v>0.35699999999999998</v>
      </c>
      <c r="D126" s="14">
        <v>1.94</v>
      </c>
    </row>
    <row r="127" spans="1:4" ht="15.75" customHeight="1" x14ac:dyDescent="0.3">
      <c r="A127" s="33">
        <v>30403</v>
      </c>
      <c r="B127" s="10" t="s">
        <v>259</v>
      </c>
      <c r="C127" s="14">
        <v>3.718</v>
      </c>
      <c r="D127" s="14">
        <v>21.67</v>
      </c>
    </row>
    <row r="128" spans="1:4" ht="15.75" customHeight="1" x14ac:dyDescent="0.3">
      <c r="A128" s="33">
        <v>30404</v>
      </c>
      <c r="B128" s="10" t="s">
        <v>155</v>
      </c>
      <c r="C128" s="14">
        <v>0.35200000000000004</v>
      </c>
      <c r="D128" s="14">
        <v>1.42</v>
      </c>
    </row>
    <row r="129" spans="1:4" ht="15.75" customHeight="1" x14ac:dyDescent="0.3">
      <c r="A129" s="33">
        <v>30501</v>
      </c>
      <c r="B129" s="10" t="s">
        <v>179</v>
      </c>
      <c r="C129" s="14">
        <v>0.84800000000000009</v>
      </c>
      <c r="D129" s="14">
        <v>6.3</v>
      </c>
    </row>
    <row r="130" spans="1:4" ht="15.75" customHeight="1" x14ac:dyDescent="0.3">
      <c r="A130" s="33">
        <v>30502</v>
      </c>
      <c r="B130" s="10" t="s">
        <v>238</v>
      </c>
      <c r="C130" s="14">
        <v>0.34</v>
      </c>
      <c r="D130" s="14">
        <v>1.75</v>
      </c>
    </row>
    <row r="131" spans="1:4" ht="15.75" customHeight="1" x14ac:dyDescent="0.3">
      <c r="A131" s="33">
        <v>30601</v>
      </c>
      <c r="B131" s="10" t="s">
        <v>128</v>
      </c>
      <c r="C131" s="14">
        <v>0.28800000000000003</v>
      </c>
      <c r="D131" s="14">
        <v>1.84</v>
      </c>
    </row>
    <row r="132" spans="1:4" ht="15.75" customHeight="1" x14ac:dyDescent="0.3">
      <c r="A132" s="33">
        <v>30602</v>
      </c>
      <c r="B132" s="10" t="s">
        <v>48</v>
      </c>
      <c r="C132" s="14">
        <v>0.158</v>
      </c>
      <c r="D132" s="14">
        <v>0.75</v>
      </c>
    </row>
    <row r="133" spans="1:4" ht="15.75" customHeight="1" x14ac:dyDescent="0.3">
      <c r="A133" s="33">
        <v>30701</v>
      </c>
      <c r="B133" s="10" t="s">
        <v>269</v>
      </c>
      <c r="C133" s="14">
        <v>1.6519999999999999</v>
      </c>
      <c r="D133" s="14">
        <v>7.49</v>
      </c>
    </row>
    <row r="134" spans="1:4" ht="15.75" customHeight="1" x14ac:dyDescent="0.3">
      <c r="A134" s="33">
        <v>30702</v>
      </c>
      <c r="B134" s="10" t="s">
        <v>176</v>
      </c>
      <c r="C134" s="14">
        <v>0.42299999999999999</v>
      </c>
      <c r="D134" s="14">
        <v>1.23</v>
      </c>
    </row>
    <row r="135" spans="1:4" ht="15.75" customHeight="1" x14ac:dyDescent="0.3">
      <c r="A135" s="33">
        <v>30703</v>
      </c>
      <c r="B135" s="10" t="s">
        <v>96</v>
      </c>
      <c r="C135" s="14">
        <v>0.13800000000000001</v>
      </c>
      <c r="D135" s="14">
        <v>0.56000000000000005</v>
      </c>
    </row>
    <row r="136" spans="1:4" ht="15.75" customHeight="1" x14ac:dyDescent="0.3">
      <c r="A136" s="33">
        <v>30801</v>
      </c>
      <c r="B136" s="10" t="s">
        <v>202</v>
      </c>
      <c r="C136" s="14">
        <v>19.504999999999999</v>
      </c>
      <c r="D136" s="14">
        <v>19.3</v>
      </c>
    </row>
    <row r="137" spans="1:4" ht="15.75" customHeight="1" x14ac:dyDescent="0.3">
      <c r="A137" s="33">
        <v>30802</v>
      </c>
      <c r="B137" s="10" t="s">
        <v>315</v>
      </c>
      <c r="C137" s="14">
        <v>0.21899999999999997</v>
      </c>
      <c r="D137" s="14">
        <v>1.04</v>
      </c>
    </row>
    <row r="138" spans="1:4" ht="15.75" customHeight="1" x14ac:dyDescent="0.3">
      <c r="A138" s="33">
        <v>30803</v>
      </c>
      <c r="B138" s="10" t="s">
        <v>19</v>
      </c>
      <c r="C138" s="14">
        <v>1.365</v>
      </c>
      <c r="D138" s="14">
        <v>6.83</v>
      </c>
    </row>
    <row r="139" spans="1:4" ht="15.75" customHeight="1" x14ac:dyDescent="0.3">
      <c r="A139" s="33">
        <v>30901</v>
      </c>
      <c r="B139" s="10" t="s">
        <v>299</v>
      </c>
      <c r="C139" s="14">
        <v>71.543999999999997</v>
      </c>
      <c r="D139" s="14">
        <v>229.94</v>
      </c>
    </row>
    <row r="140" spans="1:4" ht="15.75" customHeight="1" x14ac:dyDescent="0.3">
      <c r="A140" s="33">
        <v>30902</v>
      </c>
      <c r="B140" s="10" t="s">
        <v>292</v>
      </c>
      <c r="C140" s="14">
        <v>19.920000000000002</v>
      </c>
      <c r="D140" s="14">
        <v>26.41</v>
      </c>
    </row>
    <row r="141" spans="1:4" ht="15.75" customHeight="1" x14ac:dyDescent="0.3">
      <c r="A141" s="33">
        <v>30903</v>
      </c>
      <c r="B141" s="10" t="s">
        <v>283</v>
      </c>
      <c r="C141" s="14">
        <v>27.777999999999999</v>
      </c>
      <c r="D141" s="14">
        <v>74.459999999999994</v>
      </c>
    </row>
    <row r="142" spans="1:4" ht="15.75" customHeight="1" x14ac:dyDescent="0.3">
      <c r="A142" s="33">
        <v>30904</v>
      </c>
      <c r="B142" s="10" t="s">
        <v>288</v>
      </c>
      <c r="C142" s="14">
        <v>23.125999999999998</v>
      </c>
      <c r="D142" s="14">
        <v>33.479999999999997</v>
      </c>
    </row>
    <row r="143" spans="1:4" ht="15.75" customHeight="1" x14ac:dyDescent="0.3">
      <c r="A143" s="33">
        <v>30905</v>
      </c>
      <c r="B143" s="10" t="s">
        <v>213</v>
      </c>
      <c r="C143" s="14">
        <v>30.351999999999997</v>
      </c>
      <c r="D143" s="14">
        <v>56.63</v>
      </c>
    </row>
    <row r="144" spans="1:4" ht="15.75" customHeight="1" x14ac:dyDescent="0.3">
      <c r="A144" s="33">
        <v>31001</v>
      </c>
      <c r="B144" s="10" t="s">
        <v>303</v>
      </c>
      <c r="C144" s="14">
        <v>66.844999999999999</v>
      </c>
      <c r="D144" s="14">
        <v>302.99</v>
      </c>
    </row>
    <row r="145" spans="1:4" ht="15.75" customHeight="1" x14ac:dyDescent="0.3">
      <c r="A145" s="33">
        <v>31002</v>
      </c>
      <c r="B145" s="10" t="s">
        <v>275</v>
      </c>
      <c r="C145" s="14">
        <v>14.88</v>
      </c>
      <c r="D145" s="14">
        <v>4.17</v>
      </c>
    </row>
    <row r="146" spans="1:4" ht="15.75" customHeight="1" x14ac:dyDescent="0.3">
      <c r="A146" s="33">
        <v>31003</v>
      </c>
      <c r="B146" s="10" t="s">
        <v>195</v>
      </c>
      <c r="C146" s="14">
        <v>31.003999999999998</v>
      </c>
      <c r="D146" s="14">
        <v>113.07</v>
      </c>
    </row>
    <row r="147" spans="1:4" ht="15.75" customHeight="1" x14ac:dyDescent="0.3">
      <c r="A147" s="33">
        <v>31101</v>
      </c>
      <c r="B147" s="10" t="s">
        <v>63</v>
      </c>
      <c r="C147" s="14">
        <v>15.92</v>
      </c>
      <c r="D147" s="14">
        <v>5.54</v>
      </c>
    </row>
    <row r="148" spans="1:4" ht="15.75" customHeight="1" x14ac:dyDescent="0.3">
      <c r="A148" s="33">
        <v>31201</v>
      </c>
      <c r="B148" s="10" t="s">
        <v>180</v>
      </c>
      <c r="C148" s="14">
        <v>0.87</v>
      </c>
      <c r="D148" s="14">
        <v>6.4</v>
      </c>
    </row>
    <row r="149" spans="1:4" ht="15.75" customHeight="1" x14ac:dyDescent="0.3">
      <c r="A149" s="33">
        <v>31202</v>
      </c>
      <c r="B149" s="10" t="s">
        <v>205</v>
      </c>
      <c r="C149" s="14">
        <v>0.435</v>
      </c>
      <c r="D149" s="14">
        <v>2.0299999999999998</v>
      </c>
    </row>
    <row r="150" spans="1:4" ht="15.75" customHeight="1" x14ac:dyDescent="0.3">
      <c r="A150" s="33">
        <v>31203</v>
      </c>
      <c r="B150" s="10" t="s">
        <v>242</v>
      </c>
      <c r="C150" s="14">
        <v>0.26200000000000001</v>
      </c>
      <c r="D150" s="14">
        <v>1.32</v>
      </c>
    </row>
    <row r="151" spans="1:4" ht="15.75" customHeight="1" x14ac:dyDescent="0.3">
      <c r="A151" s="33">
        <v>31204</v>
      </c>
      <c r="B151" s="10" t="s">
        <v>237</v>
      </c>
      <c r="C151" s="14">
        <v>16.776</v>
      </c>
      <c r="D151" s="14">
        <v>21.43</v>
      </c>
    </row>
    <row r="152" spans="1:4" ht="15.75" customHeight="1" x14ac:dyDescent="0.3">
      <c r="A152" s="33">
        <v>31205</v>
      </c>
      <c r="B152" s="10" t="s">
        <v>270</v>
      </c>
      <c r="C152" s="14">
        <v>20.052</v>
      </c>
      <c r="D152" s="14">
        <v>54.73</v>
      </c>
    </row>
    <row r="153" spans="1:4" ht="15.75" customHeight="1" x14ac:dyDescent="0.3">
      <c r="A153" s="33">
        <v>31206</v>
      </c>
      <c r="B153" s="10" t="s">
        <v>223</v>
      </c>
      <c r="C153" s="14">
        <v>18.809999999999999</v>
      </c>
      <c r="D153" s="14">
        <v>39.51</v>
      </c>
    </row>
    <row r="154" spans="1:4" ht="15.75" customHeight="1" x14ac:dyDescent="0.3">
      <c r="A154" s="33">
        <v>31301</v>
      </c>
      <c r="B154" s="10" t="s">
        <v>224</v>
      </c>
      <c r="C154" s="14">
        <v>17.02</v>
      </c>
      <c r="D154" s="14">
        <v>15.6</v>
      </c>
    </row>
    <row r="155" spans="1:4" ht="15.75" customHeight="1" x14ac:dyDescent="0.3">
      <c r="A155" s="33">
        <v>31302</v>
      </c>
      <c r="B155" s="10" t="s">
        <v>38</v>
      </c>
      <c r="C155" s="14">
        <v>0.252</v>
      </c>
      <c r="D155" s="14">
        <v>1.42</v>
      </c>
    </row>
    <row r="156" spans="1:4" ht="15.75" customHeight="1" x14ac:dyDescent="0.3">
      <c r="A156" s="33">
        <v>31303</v>
      </c>
      <c r="B156" s="10" t="s">
        <v>21</v>
      </c>
      <c r="C156" s="14">
        <v>9.8000000000000004E-2</v>
      </c>
      <c r="D156" s="14">
        <v>0.47</v>
      </c>
    </row>
    <row r="157" spans="1:4" ht="15.75" customHeight="1" x14ac:dyDescent="0.3">
      <c r="A157" s="34">
        <v>31304</v>
      </c>
      <c r="B157" s="10" t="s">
        <v>316</v>
      </c>
      <c r="C157" s="14"/>
      <c r="D157" s="14"/>
    </row>
    <row r="158" spans="1:4" ht="15.75" customHeight="1" x14ac:dyDescent="0.3">
      <c r="A158" s="33">
        <v>31401</v>
      </c>
      <c r="B158" s="10" t="s">
        <v>240</v>
      </c>
      <c r="C158" s="14">
        <v>19.043999999999997</v>
      </c>
      <c r="D158" s="14">
        <v>48.8</v>
      </c>
    </row>
    <row r="159" spans="1:4" ht="15.75" customHeight="1" x14ac:dyDescent="0.3">
      <c r="A159" s="33">
        <v>31402</v>
      </c>
      <c r="B159" s="10" t="s">
        <v>163</v>
      </c>
      <c r="C159" s="14">
        <v>0.46899999999999997</v>
      </c>
      <c r="D159" s="14">
        <v>2.41</v>
      </c>
    </row>
    <row r="160" spans="1:4" ht="15.75" customHeight="1" x14ac:dyDescent="0.3">
      <c r="A160" s="33">
        <v>31403</v>
      </c>
      <c r="B160" s="10" t="s">
        <v>156</v>
      </c>
      <c r="C160" s="14">
        <v>0.98399999999999987</v>
      </c>
      <c r="D160" s="14">
        <v>4.17</v>
      </c>
    </row>
    <row r="161" spans="1:4" ht="15.75" customHeight="1" x14ac:dyDescent="0.3">
      <c r="A161" s="33">
        <v>31404</v>
      </c>
      <c r="B161" s="10" t="s">
        <v>7</v>
      </c>
      <c r="C161" s="14">
        <v>8.3999999999999991E-2</v>
      </c>
      <c r="D161" s="14">
        <v>0.66</v>
      </c>
    </row>
    <row r="162" spans="1:4" ht="15.75" customHeight="1" x14ac:dyDescent="0.3">
      <c r="A162" s="33">
        <v>31405</v>
      </c>
      <c r="B162" s="10" t="s">
        <v>317</v>
      </c>
      <c r="C162" s="14">
        <v>0.28799999999999998</v>
      </c>
      <c r="D162" s="14">
        <v>1.61</v>
      </c>
    </row>
    <row r="163" spans="1:4" ht="15.75" customHeight="1" x14ac:dyDescent="0.3">
      <c r="A163" s="33">
        <v>31501</v>
      </c>
      <c r="B163" s="10" t="s">
        <v>318</v>
      </c>
      <c r="C163" s="14">
        <v>0.114</v>
      </c>
      <c r="D163" s="14">
        <v>0.85</v>
      </c>
    </row>
    <row r="164" spans="1:4" ht="15.75" customHeight="1" x14ac:dyDescent="0.3">
      <c r="A164" s="33">
        <v>31601</v>
      </c>
      <c r="B164" s="10" t="s">
        <v>282</v>
      </c>
      <c r="C164" s="14">
        <v>15.84</v>
      </c>
      <c r="D164" s="14">
        <v>2.0299999999999998</v>
      </c>
    </row>
    <row r="165" spans="1:4" ht="15.75" customHeight="1" x14ac:dyDescent="0.3">
      <c r="A165" s="33">
        <v>31602</v>
      </c>
      <c r="B165" s="10" t="s">
        <v>243</v>
      </c>
      <c r="C165" s="14">
        <v>16.763999999999999</v>
      </c>
      <c r="D165" s="14">
        <v>28.07</v>
      </c>
    </row>
    <row r="166" spans="1:4" ht="15.75" customHeight="1" x14ac:dyDescent="0.3">
      <c r="A166" s="33">
        <v>40101</v>
      </c>
      <c r="B166" s="10" t="s">
        <v>57</v>
      </c>
      <c r="C166" s="14">
        <v>161.69999999999999</v>
      </c>
      <c r="D166" s="14">
        <v>460.32</v>
      </c>
    </row>
    <row r="167" spans="1:4" ht="15.75" customHeight="1" x14ac:dyDescent="0.3">
      <c r="A167" s="33">
        <v>40102</v>
      </c>
      <c r="B167" s="10" t="s">
        <v>286</v>
      </c>
      <c r="C167" s="14">
        <v>6.4240000000000013</v>
      </c>
      <c r="D167" s="14">
        <v>15.22</v>
      </c>
    </row>
    <row r="168" spans="1:4" ht="15.75" customHeight="1" x14ac:dyDescent="0.3">
      <c r="A168" s="33">
        <v>40103</v>
      </c>
      <c r="B168" s="10" t="s">
        <v>32</v>
      </c>
      <c r="C168" s="14">
        <v>0.16600000000000001</v>
      </c>
      <c r="D168" s="14">
        <v>0.94</v>
      </c>
    </row>
    <row r="169" spans="1:4" ht="15.75" customHeight="1" x14ac:dyDescent="0.3">
      <c r="A169" s="33">
        <v>40104</v>
      </c>
      <c r="B169" s="10" t="s">
        <v>227</v>
      </c>
      <c r="C169" s="14">
        <v>0.53400000000000003</v>
      </c>
      <c r="D169" s="14">
        <v>1.75</v>
      </c>
    </row>
    <row r="170" spans="1:4" ht="15.75" customHeight="1" x14ac:dyDescent="0.3">
      <c r="A170" s="33">
        <v>40201</v>
      </c>
      <c r="B170" s="10" t="s">
        <v>247</v>
      </c>
      <c r="C170" s="14">
        <v>6.9720000000000004</v>
      </c>
      <c r="D170" s="14">
        <v>36.090000000000003</v>
      </c>
    </row>
    <row r="171" spans="1:4" ht="15.75" customHeight="1" x14ac:dyDescent="0.3">
      <c r="A171" s="33">
        <v>40202</v>
      </c>
      <c r="B171" s="10" t="s">
        <v>319</v>
      </c>
      <c r="C171" s="14">
        <v>0.28799999999999998</v>
      </c>
      <c r="D171" s="14">
        <v>1.32</v>
      </c>
    </row>
    <row r="172" spans="1:4" ht="15.75" customHeight="1" x14ac:dyDescent="0.3">
      <c r="A172" s="33">
        <v>40301</v>
      </c>
      <c r="B172" s="10" t="s">
        <v>190</v>
      </c>
      <c r="C172" s="14">
        <v>0.33600000000000002</v>
      </c>
      <c r="D172" s="14">
        <v>2.3199999999999998</v>
      </c>
    </row>
    <row r="173" spans="1:4" ht="15.75" customHeight="1" x14ac:dyDescent="0.3">
      <c r="A173" s="33">
        <v>40302</v>
      </c>
      <c r="B173" s="10" t="s">
        <v>320</v>
      </c>
      <c r="C173" s="14">
        <v>6.8999999999999992E-2</v>
      </c>
      <c r="D173" s="14">
        <v>0.47</v>
      </c>
    </row>
    <row r="174" spans="1:4" ht="15.75" customHeight="1" x14ac:dyDescent="0.3">
      <c r="A174" s="33">
        <v>40401</v>
      </c>
      <c r="B174" s="10" t="s">
        <v>110</v>
      </c>
      <c r="C174" s="14">
        <v>0.13400000000000001</v>
      </c>
      <c r="D174" s="14">
        <v>0.85</v>
      </c>
    </row>
    <row r="175" spans="1:4" ht="15.75" customHeight="1" x14ac:dyDescent="0.3">
      <c r="A175" s="33">
        <v>40402</v>
      </c>
      <c r="B175" s="10" t="s">
        <v>144</v>
      </c>
      <c r="C175" s="14">
        <v>0.35200000000000004</v>
      </c>
      <c r="D175" s="14">
        <v>1.84</v>
      </c>
    </row>
    <row r="176" spans="1:4" ht="15.75" customHeight="1" x14ac:dyDescent="0.3">
      <c r="A176" s="33">
        <v>40501</v>
      </c>
      <c r="B176" s="10" t="s">
        <v>6</v>
      </c>
      <c r="C176" s="14">
        <v>0.15400000000000003</v>
      </c>
      <c r="D176" s="14">
        <v>0.85</v>
      </c>
    </row>
    <row r="177" spans="1:4" ht="15.75" customHeight="1" x14ac:dyDescent="0.3">
      <c r="A177" s="33">
        <v>40502</v>
      </c>
      <c r="B177" s="10" t="s">
        <v>111</v>
      </c>
      <c r="C177" s="14">
        <v>0.12</v>
      </c>
      <c r="D177" s="14">
        <v>1.94</v>
      </c>
    </row>
    <row r="178" spans="1:4" ht="15.75" customHeight="1" x14ac:dyDescent="0.3">
      <c r="A178" s="33">
        <v>40503</v>
      </c>
      <c r="B178" s="10" t="s">
        <v>40</v>
      </c>
      <c r="C178" s="14">
        <v>7.0000000000000007E-2</v>
      </c>
      <c r="D178" s="14">
        <v>0.75</v>
      </c>
    </row>
    <row r="179" spans="1:4" ht="15.75" customHeight="1" x14ac:dyDescent="0.3">
      <c r="A179" s="33">
        <v>40504</v>
      </c>
      <c r="B179" s="10" t="s">
        <v>321</v>
      </c>
      <c r="C179" s="14">
        <v>0</v>
      </c>
      <c r="D179" s="14">
        <v>0.75</v>
      </c>
    </row>
    <row r="180" spans="1:4" ht="15.75" customHeight="1" x14ac:dyDescent="0.3">
      <c r="A180" s="33">
        <v>40505</v>
      </c>
      <c r="B180" s="10" t="s">
        <v>22</v>
      </c>
      <c r="C180" s="14">
        <v>4.6000000000000006E-2</v>
      </c>
      <c r="D180" s="14">
        <v>0.47</v>
      </c>
    </row>
    <row r="181" spans="1:4" ht="15.75" customHeight="1" x14ac:dyDescent="0.3">
      <c r="A181" s="33">
        <v>40601</v>
      </c>
      <c r="B181" s="10" t="s">
        <v>208</v>
      </c>
      <c r="C181" s="14">
        <v>0.43</v>
      </c>
      <c r="D181" s="14">
        <v>3.27</v>
      </c>
    </row>
    <row r="182" spans="1:4" ht="15.75" customHeight="1" x14ac:dyDescent="0.3">
      <c r="A182" s="33">
        <v>40602</v>
      </c>
      <c r="B182" s="10" t="s">
        <v>137</v>
      </c>
      <c r="C182" s="14">
        <v>0.48499999999999999</v>
      </c>
      <c r="D182" s="14">
        <v>1.75</v>
      </c>
    </row>
    <row r="183" spans="1:4" ht="15.75" customHeight="1" x14ac:dyDescent="0.3">
      <c r="A183" s="33">
        <v>40603</v>
      </c>
      <c r="B183" s="10" t="s">
        <v>45</v>
      </c>
      <c r="C183" s="14">
        <v>0</v>
      </c>
      <c r="D183" s="14">
        <v>0.28000000000000003</v>
      </c>
    </row>
    <row r="184" spans="1:4" ht="15.75" customHeight="1" x14ac:dyDescent="0.3">
      <c r="A184" s="33">
        <v>40701</v>
      </c>
      <c r="B184" s="10" t="s">
        <v>215</v>
      </c>
      <c r="C184" s="14">
        <v>7</v>
      </c>
      <c r="D184" s="14">
        <v>11.28</v>
      </c>
    </row>
    <row r="185" spans="1:4" ht="15.75" customHeight="1" x14ac:dyDescent="0.3">
      <c r="A185" s="33">
        <v>40702</v>
      </c>
      <c r="B185" s="10" t="s">
        <v>47</v>
      </c>
      <c r="C185" s="14">
        <v>0.63800000000000001</v>
      </c>
      <c r="D185" s="14">
        <v>2.2200000000000002</v>
      </c>
    </row>
    <row r="186" spans="1:4" ht="15.75" customHeight="1" x14ac:dyDescent="0.3">
      <c r="A186" s="33">
        <v>40801</v>
      </c>
      <c r="B186" s="10" t="s">
        <v>322</v>
      </c>
      <c r="C186" s="14">
        <v>0.34</v>
      </c>
      <c r="D186" s="14">
        <v>1.51</v>
      </c>
    </row>
    <row r="187" spans="1:4" ht="15.75" customHeight="1" x14ac:dyDescent="0.3">
      <c r="A187" s="33">
        <v>40802</v>
      </c>
      <c r="B187" s="10" t="s">
        <v>69</v>
      </c>
      <c r="C187" s="14">
        <v>0.12299999999999998</v>
      </c>
      <c r="D187" s="14">
        <v>0.47</v>
      </c>
    </row>
    <row r="188" spans="1:4" ht="15.75" customHeight="1" x14ac:dyDescent="0.3">
      <c r="A188" s="33">
        <v>40901</v>
      </c>
      <c r="B188" s="10" t="s">
        <v>173</v>
      </c>
      <c r="C188" s="14">
        <v>0.495</v>
      </c>
      <c r="D188" s="14">
        <v>3.27</v>
      </c>
    </row>
    <row r="189" spans="1:4" ht="15.75" customHeight="1" x14ac:dyDescent="0.3">
      <c r="A189" s="33">
        <v>40902</v>
      </c>
      <c r="B189" s="10" t="s">
        <v>0</v>
      </c>
      <c r="C189" s="14">
        <v>1.2000000000000002E-2</v>
      </c>
      <c r="D189" s="14">
        <v>0.09</v>
      </c>
    </row>
    <row r="190" spans="1:4" ht="15.75" customHeight="1" x14ac:dyDescent="0.3">
      <c r="A190" s="33">
        <v>40903</v>
      </c>
      <c r="B190" s="10" t="s">
        <v>23</v>
      </c>
      <c r="C190" s="14">
        <v>0.03</v>
      </c>
      <c r="D190" s="14">
        <v>0.18</v>
      </c>
    </row>
    <row r="191" spans="1:4" ht="15.75" customHeight="1" x14ac:dyDescent="0.3">
      <c r="A191" s="33">
        <v>41001</v>
      </c>
      <c r="B191" s="10" t="s">
        <v>125</v>
      </c>
      <c r="C191" s="14">
        <v>0.33600000000000002</v>
      </c>
      <c r="D191" s="14">
        <v>2.0299999999999998</v>
      </c>
    </row>
    <row r="192" spans="1:4" ht="15.75" customHeight="1" x14ac:dyDescent="0.3">
      <c r="A192" s="33">
        <v>41101</v>
      </c>
      <c r="B192" s="10" t="s">
        <v>127</v>
      </c>
      <c r="C192" s="14">
        <v>0.36399999999999999</v>
      </c>
      <c r="D192" s="14">
        <v>1.42</v>
      </c>
    </row>
    <row r="193" spans="1:4" ht="15.75" customHeight="1" x14ac:dyDescent="0.3">
      <c r="A193" s="33">
        <v>41201</v>
      </c>
      <c r="B193" s="10" t="s">
        <v>152</v>
      </c>
      <c r="C193" s="14">
        <v>0.183</v>
      </c>
      <c r="D193" s="14">
        <v>0.75</v>
      </c>
    </row>
    <row r="194" spans="1:4" ht="15.75" customHeight="1" x14ac:dyDescent="0.3">
      <c r="A194" s="33">
        <v>41202</v>
      </c>
      <c r="B194" s="10" t="s">
        <v>55</v>
      </c>
      <c r="C194" s="14">
        <v>8.1000000000000003E-2</v>
      </c>
      <c r="D194" s="14">
        <v>0.47</v>
      </c>
    </row>
    <row r="195" spans="1:4" ht="15.75" customHeight="1" x14ac:dyDescent="0.3">
      <c r="A195" s="33">
        <v>41301</v>
      </c>
      <c r="B195" s="10" t="s">
        <v>134</v>
      </c>
      <c r="C195" s="14">
        <v>0.1</v>
      </c>
      <c r="D195" s="14">
        <v>0.85</v>
      </c>
    </row>
    <row r="196" spans="1:4" ht="15.75" customHeight="1" x14ac:dyDescent="0.3">
      <c r="A196" s="33">
        <v>41401</v>
      </c>
      <c r="B196" s="10" t="s">
        <v>323</v>
      </c>
      <c r="C196" s="14">
        <v>1.0960000000000001</v>
      </c>
      <c r="D196" s="14">
        <v>2.41</v>
      </c>
    </row>
    <row r="197" spans="1:4" ht="15.75" customHeight="1" x14ac:dyDescent="0.3">
      <c r="A197" s="33">
        <v>41501</v>
      </c>
      <c r="B197" s="10" t="s">
        <v>1</v>
      </c>
      <c r="C197" s="14">
        <v>1.1000000000000001E-2</v>
      </c>
      <c r="D197" s="14">
        <v>0.09</v>
      </c>
    </row>
    <row r="198" spans="1:4" ht="15.75" customHeight="1" x14ac:dyDescent="0.3">
      <c r="A198" s="33">
        <v>41502</v>
      </c>
      <c r="B198" s="10" t="s">
        <v>5</v>
      </c>
      <c r="C198" s="14">
        <v>1.6E-2</v>
      </c>
      <c r="D198" s="14">
        <v>0.09</v>
      </c>
    </row>
    <row r="199" spans="1:4" ht="15.75" customHeight="1" x14ac:dyDescent="0.3">
      <c r="A199" s="33">
        <v>41503</v>
      </c>
      <c r="B199" s="10" t="s">
        <v>8</v>
      </c>
      <c r="C199" s="14">
        <v>5.5E-2</v>
      </c>
      <c r="D199" s="14">
        <v>1.1299999999999999</v>
      </c>
    </row>
    <row r="200" spans="1:4" ht="15.75" customHeight="1" x14ac:dyDescent="0.3">
      <c r="A200" s="33">
        <v>41601</v>
      </c>
      <c r="B200" s="10" t="s">
        <v>385</v>
      </c>
      <c r="C200" s="14">
        <v>0.124</v>
      </c>
      <c r="D200" s="14">
        <v>0.66</v>
      </c>
    </row>
    <row r="201" spans="1:4" ht="15.75" customHeight="1" x14ac:dyDescent="0.3">
      <c r="A201" s="33">
        <v>50101</v>
      </c>
      <c r="B201" s="10" t="s">
        <v>302</v>
      </c>
      <c r="C201" s="14">
        <v>233.172</v>
      </c>
      <c r="D201" s="14">
        <v>372.28</v>
      </c>
    </row>
    <row r="202" spans="1:4" ht="15.75" customHeight="1" x14ac:dyDescent="0.3">
      <c r="A202" s="33">
        <v>50102</v>
      </c>
      <c r="B202" s="10" t="s">
        <v>34</v>
      </c>
      <c r="C202" s="14">
        <v>4.5199999999999996</v>
      </c>
      <c r="D202" s="14">
        <v>4.6399999999999997</v>
      </c>
    </row>
    <row r="203" spans="1:4" ht="15.75" customHeight="1" x14ac:dyDescent="0.3">
      <c r="A203" s="33">
        <v>50103</v>
      </c>
      <c r="B203" s="10" t="s">
        <v>207</v>
      </c>
      <c r="C203" s="14">
        <v>0.5109999999999999</v>
      </c>
      <c r="D203" s="14">
        <v>3.08</v>
      </c>
    </row>
    <row r="204" spans="1:4" ht="15.75" customHeight="1" x14ac:dyDescent="0.3">
      <c r="A204" s="33">
        <v>50104</v>
      </c>
      <c r="B204" s="10" t="s">
        <v>387</v>
      </c>
      <c r="C204" s="14">
        <v>5.4000000000000006E-2</v>
      </c>
      <c r="D204" s="14">
        <v>1.94</v>
      </c>
    </row>
    <row r="205" spans="1:4" ht="15.75" customHeight="1" x14ac:dyDescent="0.3">
      <c r="A205" s="33">
        <v>50201</v>
      </c>
      <c r="B205" s="10" t="s">
        <v>264</v>
      </c>
      <c r="C205" s="14">
        <v>5.27</v>
      </c>
      <c r="D205" s="14">
        <v>9.5299999999999994</v>
      </c>
    </row>
    <row r="206" spans="1:4" ht="15.75" customHeight="1" x14ac:dyDescent="0.3">
      <c r="A206" s="33">
        <v>50202</v>
      </c>
      <c r="B206" s="10" t="s">
        <v>228</v>
      </c>
      <c r="C206" s="14">
        <v>0.59</v>
      </c>
      <c r="D206" s="14">
        <v>3.41</v>
      </c>
    </row>
    <row r="207" spans="1:4" ht="15.75" customHeight="1" x14ac:dyDescent="0.3">
      <c r="A207" s="33">
        <v>50203</v>
      </c>
      <c r="B207" s="10" t="s">
        <v>295</v>
      </c>
      <c r="C207" s="14">
        <v>12.65</v>
      </c>
      <c r="D207" s="14">
        <v>55.58</v>
      </c>
    </row>
    <row r="208" spans="1:4" ht="15.75" customHeight="1" x14ac:dyDescent="0.3">
      <c r="A208" s="33">
        <v>50204</v>
      </c>
      <c r="B208" s="10" t="s">
        <v>389</v>
      </c>
      <c r="C208" s="14">
        <v>0.183</v>
      </c>
      <c r="D208" s="14">
        <v>1.23</v>
      </c>
    </row>
    <row r="209" spans="1:4" ht="15.75" customHeight="1" x14ac:dyDescent="0.3">
      <c r="A209" s="33">
        <v>50301</v>
      </c>
      <c r="B209" s="10" t="s">
        <v>266</v>
      </c>
      <c r="C209" s="14">
        <v>5.83</v>
      </c>
      <c r="D209" s="14">
        <v>10.62</v>
      </c>
    </row>
    <row r="210" spans="1:4" ht="15.75" customHeight="1" x14ac:dyDescent="0.3">
      <c r="A210" s="33">
        <v>50302</v>
      </c>
      <c r="B210" s="10" t="s">
        <v>219</v>
      </c>
      <c r="C210" s="14">
        <v>0.57399999999999995</v>
      </c>
      <c r="D210" s="14">
        <v>8.77</v>
      </c>
    </row>
    <row r="211" spans="1:4" ht="15.75" customHeight="1" x14ac:dyDescent="0.3">
      <c r="A211" s="33">
        <v>50303</v>
      </c>
      <c r="B211" s="10" t="s">
        <v>15</v>
      </c>
      <c r="C211" s="14">
        <v>0.23400000000000001</v>
      </c>
      <c r="D211" s="14">
        <v>1.23</v>
      </c>
    </row>
    <row r="212" spans="1:4" ht="15.75" customHeight="1" x14ac:dyDescent="0.3">
      <c r="A212" s="33">
        <v>50401</v>
      </c>
      <c r="B212" s="10" t="s">
        <v>119</v>
      </c>
      <c r="C212" s="14">
        <v>5.19</v>
      </c>
      <c r="D212" s="14">
        <v>9.6199999999999992</v>
      </c>
    </row>
    <row r="213" spans="1:4" ht="15.75" customHeight="1" x14ac:dyDescent="0.3">
      <c r="A213" s="33">
        <v>50402</v>
      </c>
      <c r="B213" s="10" t="s">
        <v>46</v>
      </c>
      <c r="C213" s="14">
        <v>3.016</v>
      </c>
      <c r="D213" s="14">
        <v>3.41</v>
      </c>
    </row>
    <row r="214" spans="1:4" ht="15.75" customHeight="1" x14ac:dyDescent="0.3">
      <c r="A214" s="33">
        <v>50403</v>
      </c>
      <c r="B214" s="10" t="s">
        <v>52</v>
      </c>
      <c r="C214" s="14">
        <v>4.3260000000000005</v>
      </c>
      <c r="D214" s="14">
        <v>4.83</v>
      </c>
    </row>
    <row r="215" spans="1:4" ht="15.75" customHeight="1" x14ac:dyDescent="0.3">
      <c r="A215" s="33">
        <v>50404</v>
      </c>
      <c r="B215" s="10" t="s">
        <v>42</v>
      </c>
      <c r="C215" s="14">
        <v>0.375</v>
      </c>
      <c r="D215" s="14">
        <v>2.89</v>
      </c>
    </row>
    <row r="216" spans="1:4" ht="15.75" customHeight="1" x14ac:dyDescent="0.3">
      <c r="A216" s="33">
        <v>50405</v>
      </c>
      <c r="B216" s="32" t="s">
        <v>324</v>
      </c>
      <c r="C216" s="14"/>
      <c r="D216" s="14"/>
    </row>
    <row r="217" spans="1:4" ht="15.75" customHeight="1" x14ac:dyDescent="0.3">
      <c r="A217" s="33">
        <v>50501</v>
      </c>
      <c r="B217" s="10" t="s">
        <v>392</v>
      </c>
      <c r="C217" s="14">
        <v>4.78</v>
      </c>
      <c r="D217" s="14">
        <v>4.93</v>
      </c>
    </row>
    <row r="218" spans="1:4" ht="15.75" customHeight="1" x14ac:dyDescent="0.3">
      <c r="A218" s="33">
        <v>50502</v>
      </c>
      <c r="B218" s="10" t="s">
        <v>61</v>
      </c>
      <c r="C218" s="14">
        <v>18.675000000000001</v>
      </c>
      <c r="D218" s="14">
        <v>4.07</v>
      </c>
    </row>
    <row r="219" spans="1:4" ht="15.75" customHeight="1" x14ac:dyDescent="0.3">
      <c r="A219" s="33">
        <v>50601</v>
      </c>
      <c r="B219" s="10" t="s">
        <v>114</v>
      </c>
      <c r="C219" s="14">
        <v>6.15</v>
      </c>
      <c r="D219" s="14">
        <v>16.79</v>
      </c>
    </row>
    <row r="220" spans="1:4" ht="15.75" customHeight="1" x14ac:dyDescent="0.3">
      <c r="A220" s="33">
        <v>50602</v>
      </c>
      <c r="B220" s="10" t="s">
        <v>234</v>
      </c>
      <c r="C220" s="14">
        <v>0.89599999999999991</v>
      </c>
      <c r="D220" s="14">
        <v>5.17</v>
      </c>
    </row>
    <row r="221" spans="1:4" ht="15.75" customHeight="1" x14ac:dyDescent="0.3">
      <c r="A221" s="33">
        <v>50701</v>
      </c>
      <c r="B221" s="10" t="s">
        <v>395</v>
      </c>
      <c r="C221" s="14">
        <v>0.61599999999999999</v>
      </c>
      <c r="D221" s="14">
        <v>3.98</v>
      </c>
    </row>
    <row r="222" spans="1:4" ht="15.75" customHeight="1" x14ac:dyDescent="0.3">
      <c r="A222" s="33">
        <v>50702</v>
      </c>
      <c r="B222" s="10" t="s">
        <v>78</v>
      </c>
      <c r="C222" s="14">
        <v>0.192</v>
      </c>
      <c r="D222" s="14">
        <v>1.75</v>
      </c>
    </row>
    <row r="223" spans="1:4" ht="15.75" customHeight="1" x14ac:dyDescent="0.3">
      <c r="A223" s="33">
        <v>50801</v>
      </c>
      <c r="B223" s="10" t="s">
        <v>290</v>
      </c>
      <c r="C223" s="14">
        <v>24.948</v>
      </c>
      <c r="D223" s="14">
        <v>93.62</v>
      </c>
    </row>
    <row r="224" spans="1:4" ht="15.75" customHeight="1" x14ac:dyDescent="0.3">
      <c r="A224" s="33">
        <v>50802</v>
      </c>
      <c r="B224" s="10" t="s">
        <v>120</v>
      </c>
      <c r="C224" s="14">
        <v>1.8959999999999999</v>
      </c>
      <c r="D224" s="14">
        <v>6.3</v>
      </c>
    </row>
    <row r="225" spans="1:4" ht="15.75" customHeight="1" x14ac:dyDescent="0.3">
      <c r="A225" s="33">
        <v>50901</v>
      </c>
      <c r="B225" s="10" t="s">
        <v>398</v>
      </c>
      <c r="C225" s="14">
        <v>0</v>
      </c>
      <c r="D225" s="14">
        <v>19.059999999999999</v>
      </c>
    </row>
    <row r="226" spans="1:4" ht="15.75" customHeight="1" x14ac:dyDescent="0.3">
      <c r="A226" s="33">
        <v>50902</v>
      </c>
      <c r="B226" s="10" t="s">
        <v>13</v>
      </c>
      <c r="C226" s="14">
        <v>8.8000000000000009E-2</v>
      </c>
      <c r="D226" s="14">
        <v>0.37</v>
      </c>
    </row>
    <row r="227" spans="1:4" ht="15.75" customHeight="1" x14ac:dyDescent="0.3">
      <c r="A227" s="33">
        <v>51001</v>
      </c>
      <c r="B227" s="10" t="s">
        <v>86</v>
      </c>
      <c r="C227" s="14">
        <v>0.56999999999999995</v>
      </c>
      <c r="D227" s="14">
        <v>3.41</v>
      </c>
    </row>
    <row r="228" spans="1:4" ht="15.75" customHeight="1" x14ac:dyDescent="0.3">
      <c r="A228" s="33">
        <v>51002</v>
      </c>
      <c r="B228" s="10" t="s">
        <v>16</v>
      </c>
      <c r="C228" s="14">
        <v>0</v>
      </c>
      <c r="D228" s="14">
        <v>0.18</v>
      </c>
    </row>
    <row r="229" spans="1:4" ht="15.75" customHeight="1" x14ac:dyDescent="0.3">
      <c r="A229" s="33">
        <v>51003</v>
      </c>
      <c r="B229" s="10" t="s">
        <v>60</v>
      </c>
      <c r="C229" s="14">
        <v>9.9000000000000005E-2</v>
      </c>
      <c r="D229" s="14">
        <v>0.75</v>
      </c>
    </row>
    <row r="230" spans="1:4" ht="15.75" customHeight="1" x14ac:dyDescent="0.3">
      <c r="A230" s="33">
        <v>51101</v>
      </c>
      <c r="B230" s="10" t="s">
        <v>265</v>
      </c>
      <c r="C230" s="14">
        <v>4.1500000000000004</v>
      </c>
      <c r="D230" s="14">
        <v>3.08</v>
      </c>
    </row>
    <row r="231" spans="1:4" ht="15.75" customHeight="1" x14ac:dyDescent="0.3">
      <c r="A231" s="33">
        <v>51102</v>
      </c>
      <c r="B231" s="10" t="s">
        <v>325</v>
      </c>
      <c r="C231" s="14">
        <v>0.73499999999999999</v>
      </c>
      <c r="D231" s="14">
        <v>4.93</v>
      </c>
    </row>
    <row r="232" spans="1:4" ht="15.75" customHeight="1" x14ac:dyDescent="0.3">
      <c r="A232" s="33">
        <v>51103</v>
      </c>
      <c r="B232" s="10" t="s">
        <v>175</v>
      </c>
      <c r="C232" s="14">
        <v>0.55600000000000005</v>
      </c>
      <c r="D232" s="14">
        <v>2.98</v>
      </c>
    </row>
    <row r="233" spans="1:4" ht="15.75" customHeight="1" x14ac:dyDescent="0.3">
      <c r="A233" s="33">
        <v>51201</v>
      </c>
      <c r="B233" s="10" t="s">
        <v>289</v>
      </c>
      <c r="C233" s="14">
        <v>123.09300000000002</v>
      </c>
      <c r="D233" s="14">
        <v>79.77</v>
      </c>
    </row>
    <row r="234" spans="1:4" ht="15.75" customHeight="1" x14ac:dyDescent="0.3">
      <c r="A234" s="33">
        <v>51202</v>
      </c>
      <c r="B234" s="10" t="s">
        <v>130</v>
      </c>
      <c r="C234" s="14">
        <v>0.77399999999999991</v>
      </c>
      <c r="D234" s="14">
        <v>4.74</v>
      </c>
    </row>
    <row r="235" spans="1:4" ht="15.75" customHeight="1" x14ac:dyDescent="0.3">
      <c r="A235" s="33">
        <v>51203</v>
      </c>
      <c r="B235" s="10" t="s">
        <v>166</v>
      </c>
      <c r="C235" s="14">
        <v>0.91600000000000004</v>
      </c>
      <c r="D235" s="14">
        <v>5.26</v>
      </c>
    </row>
    <row r="236" spans="1:4" ht="15.75" customHeight="1" x14ac:dyDescent="0.3">
      <c r="A236" s="33">
        <v>51204</v>
      </c>
      <c r="B236" s="32" t="s">
        <v>402</v>
      </c>
      <c r="C236" s="14"/>
      <c r="D236" s="14"/>
    </row>
    <row r="237" spans="1:4" ht="15.75" customHeight="1" x14ac:dyDescent="0.3">
      <c r="A237" s="33">
        <v>51301</v>
      </c>
      <c r="B237" s="10" t="s">
        <v>104</v>
      </c>
      <c r="C237" s="14">
        <v>9.6000000000000016E-2</v>
      </c>
      <c r="D237" s="14">
        <v>0.66</v>
      </c>
    </row>
    <row r="238" spans="1:4" ht="15.75" customHeight="1" x14ac:dyDescent="0.3">
      <c r="A238" s="33">
        <v>51302</v>
      </c>
      <c r="B238" s="10" t="s">
        <v>169</v>
      </c>
      <c r="C238" s="14">
        <v>0.28199999999999997</v>
      </c>
      <c r="D238" s="14">
        <v>1.61</v>
      </c>
    </row>
    <row r="239" spans="1:4" ht="15.75" customHeight="1" x14ac:dyDescent="0.3">
      <c r="A239" s="33">
        <v>51401</v>
      </c>
      <c r="B239" s="10" t="s">
        <v>151</v>
      </c>
      <c r="C239" s="14">
        <v>0.23</v>
      </c>
      <c r="D239" s="14">
        <v>1.51</v>
      </c>
    </row>
    <row r="240" spans="1:4" ht="15.75" customHeight="1" x14ac:dyDescent="0.3">
      <c r="A240" s="33">
        <v>51402</v>
      </c>
      <c r="B240" s="10" t="s">
        <v>25</v>
      </c>
      <c r="C240" s="14">
        <v>8.5000000000000006E-2</v>
      </c>
      <c r="D240" s="14">
        <v>0.47</v>
      </c>
    </row>
    <row r="241" spans="1:4" ht="15.75" customHeight="1" x14ac:dyDescent="0.3">
      <c r="A241" s="33">
        <v>51501</v>
      </c>
      <c r="B241" s="10" t="s">
        <v>293</v>
      </c>
      <c r="C241" s="14">
        <v>23.7</v>
      </c>
      <c r="D241" s="14">
        <v>103.11</v>
      </c>
    </row>
    <row r="242" spans="1:4" ht="15.75" customHeight="1" x14ac:dyDescent="0.3">
      <c r="A242" s="33">
        <v>51601</v>
      </c>
      <c r="B242" s="10" t="s">
        <v>29</v>
      </c>
      <c r="C242" s="14">
        <v>9.799999999999999E-2</v>
      </c>
      <c r="D242" s="14">
        <v>1.32</v>
      </c>
    </row>
    <row r="243" spans="1:4" ht="15.75" customHeight="1" x14ac:dyDescent="0.3">
      <c r="A243" s="33">
        <v>60101</v>
      </c>
      <c r="B243" s="10" t="s">
        <v>76</v>
      </c>
      <c r="C243" s="14">
        <v>118.50299999999999</v>
      </c>
      <c r="D243" s="14">
        <v>324.27999999999997</v>
      </c>
    </row>
    <row r="244" spans="1:4" ht="15.75" customHeight="1" x14ac:dyDescent="0.3">
      <c r="A244" s="33">
        <v>60201</v>
      </c>
      <c r="B244" s="10" t="s">
        <v>274</v>
      </c>
      <c r="C244" s="14">
        <v>2.0299999999999998</v>
      </c>
      <c r="D244" s="14">
        <v>9.15</v>
      </c>
    </row>
    <row r="245" spans="1:4" ht="15.75" customHeight="1" x14ac:dyDescent="0.3">
      <c r="A245" s="33">
        <v>60202</v>
      </c>
      <c r="B245" s="10" t="s">
        <v>254</v>
      </c>
      <c r="C245" s="14">
        <v>25.84</v>
      </c>
      <c r="D245" s="14">
        <v>75.319999999999993</v>
      </c>
    </row>
    <row r="246" spans="1:4" ht="15.75" customHeight="1" x14ac:dyDescent="0.3">
      <c r="A246" s="33">
        <v>60301</v>
      </c>
      <c r="B246" s="10" t="s">
        <v>297</v>
      </c>
      <c r="C246" s="14">
        <v>35.003</v>
      </c>
      <c r="D246" s="14">
        <v>146.27000000000001</v>
      </c>
    </row>
    <row r="247" spans="1:4" ht="15.75" customHeight="1" x14ac:dyDescent="0.3">
      <c r="A247" s="33">
        <v>60302</v>
      </c>
      <c r="B247" s="10" t="s">
        <v>193</v>
      </c>
      <c r="C247" s="14">
        <v>4.28</v>
      </c>
      <c r="D247" s="14">
        <v>29.31</v>
      </c>
    </row>
    <row r="248" spans="1:4" ht="15.75" customHeight="1" x14ac:dyDescent="0.3">
      <c r="A248" s="33">
        <v>60303</v>
      </c>
      <c r="B248" s="10" t="s">
        <v>326</v>
      </c>
      <c r="C248" s="14">
        <v>27.99</v>
      </c>
      <c r="D248" s="14">
        <v>82.29</v>
      </c>
    </row>
    <row r="249" spans="1:4" ht="15.75" customHeight="1" x14ac:dyDescent="0.3">
      <c r="A249" s="33">
        <v>60401</v>
      </c>
      <c r="B249" s="10" t="s">
        <v>235</v>
      </c>
      <c r="C249" s="14">
        <v>1.575</v>
      </c>
      <c r="D249" s="14">
        <v>33.049999999999997</v>
      </c>
    </row>
    <row r="250" spans="1:4" ht="15.75" customHeight="1" x14ac:dyDescent="0.3">
      <c r="A250" s="33">
        <v>60402</v>
      </c>
      <c r="B250" s="10" t="s">
        <v>105</v>
      </c>
      <c r="C250" s="14">
        <v>0.35100000000000003</v>
      </c>
      <c r="D250" s="14">
        <v>1.61</v>
      </c>
    </row>
    <row r="251" spans="1:4" ht="15.75" customHeight="1" x14ac:dyDescent="0.3">
      <c r="A251" s="33">
        <v>60501</v>
      </c>
      <c r="B251" s="10" t="s">
        <v>271</v>
      </c>
      <c r="C251" s="14">
        <v>17.16</v>
      </c>
      <c r="D251" s="14">
        <v>38.56</v>
      </c>
    </row>
    <row r="252" spans="1:4" ht="15.75" customHeight="1" x14ac:dyDescent="0.3">
      <c r="A252" s="33">
        <v>60502</v>
      </c>
      <c r="B252" s="10" t="s">
        <v>88</v>
      </c>
      <c r="C252" s="14">
        <v>0.94</v>
      </c>
      <c r="D252" s="14">
        <v>4.45</v>
      </c>
    </row>
    <row r="253" spans="1:4" ht="15.75" customHeight="1" x14ac:dyDescent="0.3">
      <c r="A253" s="33">
        <v>60601</v>
      </c>
      <c r="B253" s="10" t="s">
        <v>223</v>
      </c>
      <c r="C253" s="14">
        <v>17.248000000000001</v>
      </c>
      <c r="D253" s="14">
        <v>27.22</v>
      </c>
    </row>
    <row r="254" spans="1:4" ht="15.75" customHeight="1" x14ac:dyDescent="0.3">
      <c r="A254" s="33">
        <v>70101</v>
      </c>
      <c r="B254" s="10" t="s">
        <v>304</v>
      </c>
      <c r="C254" s="14">
        <v>1511.19</v>
      </c>
      <c r="D254" s="14">
        <v>3764.54</v>
      </c>
    </row>
    <row r="255" spans="1:4" ht="15.75" customHeight="1" x14ac:dyDescent="0.3">
      <c r="A255" s="33">
        <v>70102</v>
      </c>
      <c r="B255" s="10" t="s">
        <v>263</v>
      </c>
      <c r="C255" s="14">
        <v>25.35</v>
      </c>
      <c r="D255" s="14">
        <v>88.17</v>
      </c>
    </row>
    <row r="256" spans="1:4" ht="15.75" customHeight="1" x14ac:dyDescent="0.3">
      <c r="A256" s="33">
        <v>70103</v>
      </c>
      <c r="B256" s="10" t="s">
        <v>188</v>
      </c>
      <c r="C256" s="14">
        <v>2.7439999999999998</v>
      </c>
      <c r="D256" s="14">
        <v>17.54</v>
      </c>
    </row>
    <row r="257" spans="1:4" ht="15.75" customHeight="1" x14ac:dyDescent="0.3">
      <c r="A257" s="33">
        <v>70104</v>
      </c>
      <c r="B257" s="10" t="s">
        <v>294</v>
      </c>
      <c r="C257" s="14">
        <v>52.96</v>
      </c>
      <c r="D257" s="14">
        <v>158.75</v>
      </c>
    </row>
    <row r="258" spans="1:4" ht="15.75" customHeight="1" x14ac:dyDescent="0.3">
      <c r="A258" s="33">
        <v>70105</v>
      </c>
      <c r="B258" s="10" t="s">
        <v>291</v>
      </c>
      <c r="C258" s="14">
        <v>28.167999999999996</v>
      </c>
      <c r="D258" s="14">
        <v>74.08</v>
      </c>
    </row>
    <row r="259" spans="1:4" ht="15.75" customHeight="1" x14ac:dyDescent="0.3">
      <c r="A259" s="33">
        <v>70201</v>
      </c>
      <c r="B259" s="10" t="s">
        <v>298</v>
      </c>
      <c r="C259" s="14">
        <v>54.38</v>
      </c>
      <c r="D259" s="14">
        <v>154.76</v>
      </c>
    </row>
    <row r="260" spans="1:4" ht="15.75" customHeight="1" x14ac:dyDescent="0.3">
      <c r="A260" s="33">
        <v>70202</v>
      </c>
      <c r="B260" s="10" t="s">
        <v>91</v>
      </c>
      <c r="C260" s="14">
        <v>1.8719999999999999</v>
      </c>
      <c r="D260" s="14">
        <v>3.41</v>
      </c>
    </row>
    <row r="261" spans="1:4" ht="15.75" customHeight="1" x14ac:dyDescent="0.3">
      <c r="A261" s="33">
        <v>70301</v>
      </c>
      <c r="B261" s="10" t="s">
        <v>279</v>
      </c>
      <c r="C261" s="14">
        <v>36.347999999999999</v>
      </c>
      <c r="D261" s="14">
        <v>104.53</v>
      </c>
    </row>
    <row r="262" spans="1:4" ht="15.75" customHeight="1" x14ac:dyDescent="0.3">
      <c r="A262" s="33">
        <v>70302</v>
      </c>
      <c r="B262" s="10" t="s">
        <v>201</v>
      </c>
      <c r="C262" s="14">
        <v>44.744000000000007</v>
      </c>
      <c r="D262" s="14">
        <v>6.21</v>
      </c>
    </row>
    <row r="263" spans="1:4" ht="15.75" customHeight="1" x14ac:dyDescent="0.3">
      <c r="A263" s="33">
        <v>70303</v>
      </c>
      <c r="B263" s="10" t="s">
        <v>79</v>
      </c>
      <c r="C263" s="14">
        <v>0.93</v>
      </c>
      <c r="D263" s="14">
        <v>4.3600000000000003</v>
      </c>
    </row>
    <row r="264" spans="1:4" ht="15.75" customHeight="1" x14ac:dyDescent="0.3">
      <c r="A264" s="33">
        <v>70401</v>
      </c>
      <c r="B264" s="10" t="s">
        <v>164</v>
      </c>
      <c r="C264" s="14">
        <v>3.0030000000000001</v>
      </c>
      <c r="D264" s="14">
        <v>16.170000000000002</v>
      </c>
    </row>
    <row r="265" spans="1:4" ht="15.75" customHeight="1" x14ac:dyDescent="0.3">
      <c r="A265" s="33">
        <v>70402</v>
      </c>
      <c r="B265" s="10" t="s">
        <v>225</v>
      </c>
      <c r="C265" s="14">
        <v>19.151999999999997</v>
      </c>
      <c r="D265" s="14">
        <v>25.75</v>
      </c>
    </row>
    <row r="266" spans="1:4" ht="15.75" customHeight="1" x14ac:dyDescent="0.3">
      <c r="A266" s="33">
        <v>70403</v>
      </c>
      <c r="B266" s="10" t="s">
        <v>278</v>
      </c>
      <c r="C266" s="14">
        <v>27.44</v>
      </c>
      <c r="D266" s="14">
        <v>86.89</v>
      </c>
    </row>
    <row r="267" spans="1:4" ht="15.75" customHeight="1" x14ac:dyDescent="0.3">
      <c r="A267" s="33">
        <v>70404</v>
      </c>
      <c r="B267" s="10" t="s">
        <v>327</v>
      </c>
      <c r="C267" s="14">
        <v>1.1789999999999998</v>
      </c>
      <c r="D267" s="14">
        <v>3.69</v>
      </c>
    </row>
    <row r="268" spans="1:4" ht="15.75" customHeight="1" x14ac:dyDescent="0.3">
      <c r="A268" s="33">
        <v>70501</v>
      </c>
      <c r="B268" s="10" t="s">
        <v>328</v>
      </c>
      <c r="C268" s="14">
        <v>85.244</v>
      </c>
      <c r="D268" s="14">
        <v>49.94</v>
      </c>
    </row>
    <row r="269" spans="1:4" ht="15.75" customHeight="1" x14ac:dyDescent="0.3">
      <c r="A269" s="33">
        <v>70502</v>
      </c>
      <c r="B269" s="10" t="s">
        <v>272</v>
      </c>
      <c r="C269" s="14">
        <v>21.626000000000005</v>
      </c>
      <c r="D269" s="14">
        <v>44.77</v>
      </c>
    </row>
    <row r="270" spans="1:4" ht="15.75" customHeight="1" x14ac:dyDescent="0.3">
      <c r="A270" s="33">
        <v>70503</v>
      </c>
      <c r="B270" s="10" t="s">
        <v>162</v>
      </c>
      <c r="C270" s="14">
        <v>5.1029999999999998</v>
      </c>
      <c r="D270" s="14">
        <v>39.130000000000003</v>
      </c>
    </row>
    <row r="271" spans="1:4" ht="15.75" customHeight="1" x14ac:dyDescent="0.3">
      <c r="A271" s="33">
        <v>70601</v>
      </c>
      <c r="B271" s="10" t="s">
        <v>158</v>
      </c>
      <c r="C271" s="14">
        <v>3.1259999999999994</v>
      </c>
      <c r="D271" s="14">
        <v>13.13</v>
      </c>
    </row>
    <row r="272" spans="1:4" ht="15.75" customHeight="1" x14ac:dyDescent="0.3">
      <c r="A272" s="33">
        <v>70602</v>
      </c>
      <c r="B272" s="10" t="s">
        <v>256</v>
      </c>
      <c r="C272" s="14">
        <v>1.8680000000000001</v>
      </c>
      <c r="D272" s="14">
        <v>6.59</v>
      </c>
    </row>
    <row r="273" spans="1:4" ht="15.75" customHeight="1" x14ac:dyDescent="0.3">
      <c r="A273" s="33">
        <v>70603</v>
      </c>
      <c r="B273" s="10" t="s">
        <v>329</v>
      </c>
      <c r="C273" s="14">
        <v>1.395</v>
      </c>
      <c r="D273" s="14">
        <v>3.08</v>
      </c>
    </row>
    <row r="274" spans="1:4" ht="15.75" customHeight="1" x14ac:dyDescent="0.3">
      <c r="A274" s="33">
        <v>70701</v>
      </c>
      <c r="B274" s="10" t="s">
        <v>74</v>
      </c>
      <c r="C274" s="14">
        <v>0.46100000000000002</v>
      </c>
      <c r="D274" s="14">
        <v>2.3199999999999998</v>
      </c>
    </row>
    <row r="275" spans="1:4" ht="15.75" customHeight="1" x14ac:dyDescent="0.3">
      <c r="A275" s="33">
        <v>70702</v>
      </c>
      <c r="B275" s="10" t="s">
        <v>95</v>
      </c>
      <c r="C275" s="14">
        <v>16.646000000000001</v>
      </c>
      <c r="D275" s="14">
        <v>14.03</v>
      </c>
    </row>
    <row r="276" spans="1:4" ht="15.75" customHeight="1" x14ac:dyDescent="0.3">
      <c r="A276" s="33">
        <v>70703</v>
      </c>
      <c r="B276" s="10" t="s">
        <v>250</v>
      </c>
      <c r="C276" s="14">
        <v>19.350000000000001</v>
      </c>
      <c r="D276" s="14">
        <v>15.88</v>
      </c>
    </row>
    <row r="277" spans="1:4" ht="15.75" customHeight="1" x14ac:dyDescent="0.3">
      <c r="A277" s="33">
        <v>70704</v>
      </c>
      <c r="B277" s="10" t="s">
        <v>73</v>
      </c>
      <c r="C277" s="14">
        <v>0.61599999999999999</v>
      </c>
      <c r="D277" s="14">
        <v>3.79</v>
      </c>
    </row>
    <row r="278" spans="1:4" ht="15.75" customHeight="1" x14ac:dyDescent="0.3">
      <c r="A278" s="33">
        <v>70705</v>
      </c>
      <c r="B278" s="10" t="s">
        <v>141</v>
      </c>
      <c r="C278" s="14">
        <v>0.78</v>
      </c>
      <c r="D278" s="14">
        <v>3.08</v>
      </c>
    </row>
    <row r="279" spans="1:4" ht="15.75" customHeight="1" x14ac:dyDescent="0.3">
      <c r="A279" s="33">
        <v>70706</v>
      </c>
      <c r="B279" s="10" t="s">
        <v>221</v>
      </c>
      <c r="C279" s="14">
        <v>28.944000000000003</v>
      </c>
      <c r="D279" s="14">
        <v>53.4</v>
      </c>
    </row>
    <row r="280" spans="1:4" ht="15.75" customHeight="1" x14ac:dyDescent="0.3">
      <c r="A280" s="33">
        <v>70707</v>
      </c>
      <c r="B280" s="10" t="s">
        <v>53</v>
      </c>
      <c r="C280" s="14">
        <v>0.89300000000000002</v>
      </c>
      <c r="D280" s="14">
        <v>4.93</v>
      </c>
    </row>
    <row r="281" spans="1:4" ht="15.75" customHeight="1" x14ac:dyDescent="0.3">
      <c r="A281" s="33">
        <v>70801</v>
      </c>
      <c r="B281" s="10" t="s">
        <v>257</v>
      </c>
      <c r="C281" s="14">
        <v>3.7239999999999998</v>
      </c>
      <c r="D281" s="14">
        <v>23.09</v>
      </c>
    </row>
    <row r="282" spans="1:4" ht="15.75" customHeight="1" x14ac:dyDescent="0.3">
      <c r="A282" s="33">
        <v>70802</v>
      </c>
      <c r="B282" s="10" t="s">
        <v>10</v>
      </c>
      <c r="C282" s="14">
        <v>0.19600000000000001</v>
      </c>
      <c r="D282" s="14">
        <v>0.85</v>
      </c>
    </row>
    <row r="283" spans="1:4" ht="15.75" customHeight="1" x14ac:dyDescent="0.3">
      <c r="A283" s="33">
        <v>70803</v>
      </c>
      <c r="B283" s="10" t="s">
        <v>36</v>
      </c>
      <c r="C283" s="14">
        <v>0.20400000000000001</v>
      </c>
      <c r="D283" s="14">
        <v>0.47</v>
      </c>
    </row>
    <row r="284" spans="1:4" ht="15.75" customHeight="1" x14ac:dyDescent="0.3">
      <c r="A284" s="33">
        <v>70804</v>
      </c>
      <c r="B284" s="10" t="s">
        <v>330</v>
      </c>
      <c r="C284" s="14">
        <v>0.126</v>
      </c>
      <c r="D284" s="14">
        <v>0.75</v>
      </c>
    </row>
    <row r="285" spans="1:4" ht="15.75" customHeight="1" x14ac:dyDescent="0.3">
      <c r="A285" s="33">
        <v>70805</v>
      </c>
      <c r="B285" s="10" t="s">
        <v>331</v>
      </c>
      <c r="C285" s="14">
        <v>0.21</v>
      </c>
      <c r="D285" s="14">
        <v>0.94</v>
      </c>
    </row>
    <row r="286" spans="1:4" ht="15.75" customHeight="1" x14ac:dyDescent="0.3">
      <c r="A286" s="33">
        <v>70901</v>
      </c>
      <c r="B286" s="10" t="s">
        <v>192</v>
      </c>
      <c r="C286" s="14">
        <v>61.64</v>
      </c>
      <c r="D286" s="14">
        <v>24.09</v>
      </c>
    </row>
    <row r="287" spans="1:4" ht="15.75" customHeight="1" x14ac:dyDescent="0.3">
      <c r="A287" s="33">
        <v>70902</v>
      </c>
      <c r="B287" s="10" t="s">
        <v>160</v>
      </c>
      <c r="C287" s="14">
        <v>1.5760000000000003</v>
      </c>
      <c r="D287" s="14">
        <v>7.58</v>
      </c>
    </row>
    <row r="288" spans="1:4" ht="15.75" customHeight="1" x14ac:dyDescent="0.3">
      <c r="A288" s="33">
        <v>70903</v>
      </c>
      <c r="B288" s="10" t="s">
        <v>122</v>
      </c>
      <c r="C288" s="14">
        <v>1.7760000000000002</v>
      </c>
      <c r="D288" s="14">
        <v>10.81</v>
      </c>
    </row>
    <row r="289" spans="1:4" ht="15.75" customHeight="1" x14ac:dyDescent="0.3">
      <c r="A289" s="33">
        <v>70904</v>
      </c>
      <c r="B289" s="10" t="s">
        <v>20</v>
      </c>
      <c r="C289" s="14">
        <v>0.39600000000000002</v>
      </c>
      <c r="D289" s="14">
        <v>1.75</v>
      </c>
    </row>
    <row r="290" spans="1:4" ht="15.75" customHeight="1" x14ac:dyDescent="0.3">
      <c r="A290" s="33">
        <v>71001</v>
      </c>
      <c r="B290" s="10" t="s">
        <v>300</v>
      </c>
      <c r="C290" s="14">
        <v>64.463999999999999</v>
      </c>
      <c r="D290" s="14">
        <v>178.29</v>
      </c>
    </row>
    <row r="291" spans="1:4" ht="15.75" customHeight="1" x14ac:dyDescent="0.3">
      <c r="A291" s="33">
        <v>71002</v>
      </c>
      <c r="B291" s="10" t="s">
        <v>332</v>
      </c>
      <c r="C291" s="14">
        <v>1.659</v>
      </c>
      <c r="D291" s="14">
        <v>2.7</v>
      </c>
    </row>
    <row r="292" spans="1:4" ht="15.75" customHeight="1" x14ac:dyDescent="0.3">
      <c r="A292" s="33">
        <v>71003</v>
      </c>
      <c r="B292" s="10" t="s">
        <v>230</v>
      </c>
      <c r="C292" s="14">
        <v>8.1180000000000003</v>
      </c>
      <c r="D292" s="14">
        <v>12.18</v>
      </c>
    </row>
    <row r="293" spans="1:4" ht="15.75" customHeight="1" x14ac:dyDescent="0.3">
      <c r="A293" s="33">
        <v>71004</v>
      </c>
      <c r="B293" s="10" t="s">
        <v>161</v>
      </c>
      <c r="C293" s="14">
        <v>1.9280000000000002</v>
      </c>
      <c r="D293" s="14">
        <v>3.41</v>
      </c>
    </row>
    <row r="294" spans="1:4" ht="15.75" customHeight="1" x14ac:dyDescent="0.3">
      <c r="A294" s="33">
        <v>71005</v>
      </c>
      <c r="B294" s="10" t="s">
        <v>9</v>
      </c>
      <c r="C294" s="14">
        <v>2.472</v>
      </c>
      <c r="D294" s="14">
        <v>7.01</v>
      </c>
    </row>
    <row r="295" spans="1:4" ht="15.75" customHeight="1" x14ac:dyDescent="0.3">
      <c r="A295" s="33">
        <v>71101</v>
      </c>
      <c r="B295" s="10" t="s">
        <v>248</v>
      </c>
      <c r="C295" s="14">
        <v>63.552</v>
      </c>
      <c r="D295" s="14">
        <v>39.03</v>
      </c>
    </row>
    <row r="296" spans="1:4" ht="15.75" customHeight="1" x14ac:dyDescent="0.3">
      <c r="A296" s="33">
        <v>71102</v>
      </c>
      <c r="B296" s="10" t="s">
        <v>75</v>
      </c>
      <c r="C296" s="14">
        <v>2.532</v>
      </c>
      <c r="D296" s="14">
        <v>17.170000000000002</v>
      </c>
    </row>
    <row r="297" spans="1:4" ht="15.75" customHeight="1" x14ac:dyDescent="0.3">
      <c r="A297" s="33">
        <v>71103</v>
      </c>
      <c r="B297" s="10" t="s">
        <v>44</v>
      </c>
      <c r="C297" s="14">
        <v>2.2400000000000002</v>
      </c>
      <c r="D297" s="14">
        <v>18.73</v>
      </c>
    </row>
    <row r="298" spans="1:4" ht="15.75" customHeight="1" x14ac:dyDescent="0.3">
      <c r="A298" s="33">
        <v>71104</v>
      </c>
      <c r="B298" s="10" t="s">
        <v>285</v>
      </c>
      <c r="C298" s="14">
        <v>23.157000000000004</v>
      </c>
      <c r="D298" s="14">
        <v>10.57</v>
      </c>
    </row>
    <row r="299" spans="1:4" ht="15.75" customHeight="1" x14ac:dyDescent="0.3">
      <c r="A299" s="33">
        <v>71105</v>
      </c>
      <c r="B299" s="10" t="s">
        <v>333</v>
      </c>
      <c r="C299" s="14">
        <v>0.41200000000000003</v>
      </c>
      <c r="D299" s="14">
        <v>2.0299999999999998</v>
      </c>
    </row>
    <row r="300" spans="1:4" ht="15.75" customHeight="1" x14ac:dyDescent="0.3">
      <c r="A300" s="33">
        <v>71106</v>
      </c>
      <c r="B300" s="10" t="s">
        <v>239</v>
      </c>
      <c r="C300" s="14">
        <v>21.538</v>
      </c>
      <c r="D300" s="14">
        <v>10.81</v>
      </c>
    </row>
    <row r="301" spans="1:4" ht="15.75" customHeight="1" x14ac:dyDescent="0.3">
      <c r="A301" s="33">
        <v>71201</v>
      </c>
      <c r="B301" s="10" t="s">
        <v>212</v>
      </c>
      <c r="C301" s="14">
        <v>1.494</v>
      </c>
      <c r="D301" s="14">
        <v>7.96</v>
      </c>
    </row>
    <row r="302" spans="1:4" ht="15.75" customHeight="1" x14ac:dyDescent="0.3">
      <c r="A302" s="33">
        <v>71301</v>
      </c>
      <c r="B302" s="10" t="s">
        <v>209</v>
      </c>
      <c r="C302" s="14">
        <v>1.76</v>
      </c>
      <c r="D302" s="14">
        <v>10.52</v>
      </c>
    </row>
    <row r="303" spans="1:4" ht="15.75" customHeight="1" x14ac:dyDescent="0.3">
      <c r="A303" s="33">
        <v>71302</v>
      </c>
      <c r="B303" s="10" t="s">
        <v>58</v>
      </c>
      <c r="C303" s="14">
        <v>1.1159999999999999</v>
      </c>
      <c r="D303" s="14">
        <v>5.54</v>
      </c>
    </row>
    <row r="304" spans="1:4" ht="15.75" customHeight="1" x14ac:dyDescent="0.3">
      <c r="A304" s="33">
        <v>71401</v>
      </c>
      <c r="B304" s="10" t="s">
        <v>206</v>
      </c>
      <c r="C304" s="14">
        <v>28.32</v>
      </c>
      <c r="D304" s="14">
        <v>32.83</v>
      </c>
    </row>
    <row r="305" spans="1:4" ht="15.75" customHeight="1" x14ac:dyDescent="0.3">
      <c r="A305" s="33">
        <v>71402</v>
      </c>
      <c r="B305" s="10" t="s">
        <v>165</v>
      </c>
      <c r="C305" s="14">
        <v>5.5419999999999989</v>
      </c>
      <c r="D305" s="14">
        <v>40.64</v>
      </c>
    </row>
    <row r="306" spans="1:4" ht="15.75" customHeight="1" x14ac:dyDescent="0.3">
      <c r="A306" s="33">
        <v>71403</v>
      </c>
      <c r="B306" s="10" t="s">
        <v>334</v>
      </c>
      <c r="C306" s="14">
        <v>1.2160000000000002</v>
      </c>
      <c r="D306" s="14">
        <v>10.43</v>
      </c>
    </row>
    <row r="307" spans="1:4" ht="15.75" customHeight="1" x14ac:dyDescent="0.3">
      <c r="A307" s="33">
        <v>71501</v>
      </c>
      <c r="B307" s="10" t="s">
        <v>335</v>
      </c>
      <c r="C307" s="14">
        <v>19.823</v>
      </c>
      <c r="D307" s="14">
        <v>33.58</v>
      </c>
    </row>
    <row r="308" spans="1:4" ht="15.75" customHeight="1" x14ac:dyDescent="0.3">
      <c r="A308" s="33">
        <v>71502</v>
      </c>
      <c r="B308" s="10" t="s">
        <v>77</v>
      </c>
      <c r="C308" s="14">
        <v>0.63900000000000001</v>
      </c>
      <c r="D308" s="14">
        <v>4.45</v>
      </c>
    </row>
    <row r="309" spans="1:4" ht="15.75" customHeight="1" x14ac:dyDescent="0.3">
      <c r="A309" s="33">
        <v>71503</v>
      </c>
      <c r="B309" s="10" t="s">
        <v>88</v>
      </c>
      <c r="C309" s="14">
        <v>1.0640000000000001</v>
      </c>
      <c r="D309" s="14">
        <v>4.17</v>
      </c>
    </row>
    <row r="310" spans="1:4" ht="15.75" customHeight="1" x14ac:dyDescent="0.3">
      <c r="A310" s="33">
        <v>80101</v>
      </c>
      <c r="B310" s="10" t="s">
        <v>301</v>
      </c>
      <c r="C310" s="14">
        <v>69.057999999999993</v>
      </c>
      <c r="D310" s="14">
        <v>127.02</v>
      </c>
    </row>
    <row r="311" spans="1:4" ht="15.75" customHeight="1" x14ac:dyDescent="0.3">
      <c r="A311" s="33">
        <v>80102</v>
      </c>
      <c r="B311" s="10" t="s">
        <v>75</v>
      </c>
      <c r="C311" s="14">
        <v>0.42299999999999999</v>
      </c>
      <c r="D311" s="14">
        <v>1.84</v>
      </c>
    </row>
    <row r="312" spans="1:4" ht="15.75" customHeight="1" x14ac:dyDescent="0.3">
      <c r="A312" s="33">
        <v>80201</v>
      </c>
      <c r="B312" s="10" t="s">
        <v>296</v>
      </c>
      <c r="C312" s="14">
        <v>34.945</v>
      </c>
      <c r="D312" s="14">
        <v>112.55</v>
      </c>
    </row>
    <row r="313" spans="1:4" ht="15.75" customHeight="1" x14ac:dyDescent="0.3">
      <c r="A313" s="33">
        <v>80202</v>
      </c>
      <c r="B313" s="10" t="s">
        <v>287</v>
      </c>
      <c r="C313" s="14">
        <v>26.403999999999996</v>
      </c>
      <c r="D313" s="14">
        <v>65.88</v>
      </c>
    </row>
    <row r="314" spans="1:4" ht="15.75" customHeight="1" x14ac:dyDescent="0.3">
      <c r="A314" s="33">
        <v>80301</v>
      </c>
      <c r="B314" s="10" t="s">
        <v>216</v>
      </c>
      <c r="C314" s="14">
        <v>1.6470000000000002</v>
      </c>
      <c r="D314" s="14">
        <v>7.68</v>
      </c>
    </row>
    <row r="315" spans="1:4" ht="15.75" customHeight="1" x14ac:dyDescent="0.3">
      <c r="A315" s="33">
        <v>80302</v>
      </c>
      <c r="B315" s="10" t="s">
        <v>276</v>
      </c>
      <c r="C315" s="14">
        <v>19.95</v>
      </c>
      <c r="D315" s="14">
        <v>29.26</v>
      </c>
    </row>
    <row r="316" spans="1:4" ht="15.75" customHeight="1" x14ac:dyDescent="0.3">
      <c r="A316" s="33">
        <v>80303</v>
      </c>
      <c r="B316" s="10" t="s">
        <v>35</v>
      </c>
      <c r="C316" s="14">
        <v>1.639</v>
      </c>
      <c r="D316" s="14">
        <v>6.59</v>
      </c>
    </row>
    <row r="317" spans="1:4" ht="15.75" customHeight="1" x14ac:dyDescent="0.3">
      <c r="A317" s="33">
        <v>80304</v>
      </c>
      <c r="B317" s="10" t="s">
        <v>246</v>
      </c>
      <c r="C317" s="14">
        <v>82.745000000000005</v>
      </c>
      <c r="D317" s="14">
        <v>42.07</v>
      </c>
    </row>
    <row r="318" spans="1:4" ht="15.75" customHeight="1" x14ac:dyDescent="0.3">
      <c r="A318" s="33">
        <v>80401</v>
      </c>
      <c r="B318" s="10" t="s">
        <v>204</v>
      </c>
      <c r="C318" s="14">
        <v>7.0079999999999991</v>
      </c>
      <c r="D318" s="14">
        <v>18.73</v>
      </c>
    </row>
    <row r="319" spans="1:4" ht="15.75" customHeight="1" x14ac:dyDescent="0.3">
      <c r="A319" s="33">
        <v>80402</v>
      </c>
      <c r="B319" s="10" t="s">
        <v>98</v>
      </c>
      <c r="C319" s="14">
        <v>0.71399999999999997</v>
      </c>
      <c r="D319" s="14">
        <v>4.26</v>
      </c>
    </row>
    <row r="320" spans="1:4" ht="15.75" customHeight="1" x14ac:dyDescent="0.3">
      <c r="A320" s="33">
        <v>80501</v>
      </c>
      <c r="B320" s="10" t="s">
        <v>262</v>
      </c>
      <c r="C320" s="14">
        <v>7.3369999999999997</v>
      </c>
      <c r="D320" s="14">
        <v>16.55</v>
      </c>
    </row>
    <row r="321" spans="1:4" ht="15.75" customHeight="1" x14ac:dyDescent="0.3">
      <c r="A321" s="33">
        <v>80601</v>
      </c>
      <c r="B321" s="10" t="s">
        <v>83</v>
      </c>
      <c r="C321" s="14">
        <v>0.23399999999999999</v>
      </c>
      <c r="D321" s="14">
        <v>1.23</v>
      </c>
    </row>
    <row r="322" spans="1:4" ht="15.75" customHeight="1" x14ac:dyDescent="0.3">
      <c r="A322" s="33">
        <v>80602</v>
      </c>
      <c r="B322" s="10" t="s">
        <v>214</v>
      </c>
      <c r="C322" s="14">
        <v>1.1200000000000001</v>
      </c>
      <c r="D322" s="14">
        <v>4.6399999999999997</v>
      </c>
    </row>
    <row r="323" spans="1:4" ht="15.75" customHeight="1" x14ac:dyDescent="0.3">
      <c r="A323" s="33">
        <v>80701</v>
      </c>
      <c r="B323" s="10" t="s">
        <v>64</v>
      </c>
      <c r="C323" s="14">
        <v>1.0780000000000001</v>
      </c>
      <c r="D323" s="14">
        <v>4.83</v>
      </c>
    </row>
    <row r="324" spans="1:4" ht="15.75" customHeight="1" x14ac:dyDescent="0.3">
      <c r="A324" s="33">
        <v>80702</v>
      </c>
      <c r="B324" s="10" t="s">
        <v>44</v>
      </c>
      <c r="C324" s="14">
        <v>1.024</v>
      </c>
      <c r="D324" s="14">
        <v>3.08</v>
      </c>
    </row>
    <row r="325" spans="1:4" ht="15.75" customHeight="1" x14ac:dyDescent="0.3">
      <c r="A325" s="33">
        <v>80703</v>
      </c>
      <c r="B325" s="10" t="s">
        <v>2</v>
      </c>
      <c r="C325" s="14">
        <v>0.02</v>
      </c>
      <c r="D325" s="14">
        <v>0.09</v>
      </c>
    </row>
    <row r="326" spans="1:4" ht="15.75" customHeight="1" x14ac:dyDescent="0.3">
      <c r="A326" s="33">
        <v>80801</v>
      </c>
      <c r="B326" s="10" t="s">
        <v>142</v>
      </c>
      <c r="C326" s="14">
        <v>1.694</v>
      </c>
      <c r="D326" s="14">
        <v>10.43</v>
      </c>
    </row>
    <row r="327" spans="1:4" ht="15.75" customHeight="1" x14ac:dyDescent="0.3">
      <c r="A327" s="33">
        <v>80802</v>
      </c>
      <c r="B327" s="10" t="s">
        <v>118</v>
      </c>
      <c r="C327" s="14">
        <v>0.73199999999999998</v>
      </c>
      <c r="D327" s="14">
        <v>3.79</v>
      </c>
    </row>
    <row r="328" spans="1:4" ht="15.75" customHeight="1" x14ac:dyDescent="0.3">
      <c r="A328" s="33">
        <v>80803</v>
      </c>
      <c r="B328" s="10" t="s">
        <v>17</v>
      </c>
      <c r="C328" s="14">
        <v>0.308</v>
      </c>
      <c r="D328" s="14">
        <v>1.42</v>
      </c>
    </row>
    <row r="329" spans="1:4" ht="15.75" customHeight="1" x14ac:dyDescent="0.3">
      <c r="A329" s="33">
        <v>80901</v>
      </c>
      <c r="B329" s="32" t="s">
        <v>432</v>
      </c>
      <c r="C329" s="14"/>
      <c r="D329" s="14"/>
    </row>
    <row r="330" spans="1:4" ht="15.75" customHeight="1" x14ac:dyDescent="0.3">
      <c r="A330" s="33">
        <v>90101</v>
      </c>
      <c r="B330" s="10" t="s">
        <v>281</v>
      </c>
      <c r="C330" s="14">
        <v>27.972000000000001</v>
      </c>
      <c r="D330" s="14">
        <v>79.349999999999994</v>
      </c>
    </row>
    <row r="331" spans="1:4" ht="15.75" customHeight="1" x14ac:dyDescent="0.3">
      <c r="A331" s="33">
        <v>90102</v>
      </c>
      <c r="B331" s="10" t="s">
        <v>115</v>
      </c>
      <c r="C331" s="14">
        <v>1.8149999999999999</v>
      </c>
      <c r="D331" s="14">
        <v>16.260000000000002</v>
      </c>
    </row>
    <row r="332" spans="1:4" ht="15.75" customHeight="1" x14ac:dyDescent="0.3">
      <c r="A332" s="33">
        <v>90103</v>
      </c>
      <c r="B332" s="10" t="s">
        <v>4</v>
      </c>
      <c r="C332" s="14">
        <v>8.2000000000000017E-2</v>
      </c>
      <c r="D332" s="14">
        <v>0.56000000000000005</v>
      </c>
    </row>
    <row r="333" spans="1:4" ht="15.75" customHeight="1" x14ac:dyDescent="0.3">
      <c r="A333" s="33">
        <v>90104</v>
      </c>
      <c r="B333" s="10" t="s">
        <v>81</v>
      </c>
      <c r="C333" s="14">
        <v>0.38400000000000006</v>
      </c>
      <c r="D333" s="14">
        <v>3.79</v>
      </c>
    </row>
    <row r="334" spans="1:4" ht="15.75" customHeight="1" x14ac:dyDescent="0.3">
      <c r="A334" s="33">
        <v>90201</v>
      </c>
      <c r="B334" s="10" t="s">
        <v>131</v>
      </c>
      <c r="C334" s="14">
        <v>1.1399999999999999</v>
      </c>
      <c r="D334" s="14">
        <v>10.43</v>
      </c>
    </row>
    <row r="335" spans="1:4" ht="15.75" customHeight="1" x14ac:dyDescent="0.3">
      <c r="A335" s="33">
        <v>90202</v>
      </c>
      <c r="B335" s="10" t="s">
        <v>9</v>
      </c>
      <c r="C335" s="14">
        <v>0.10199999999999999</v>
      </c>
      <c r="D335" s="14">
        <v>1.32</v>
      </c>
    </row>
    <row r="336" spans="1:4" ht="15.75" customHeight="1" x14ac:dyDescent="0.3">
      <c r="A336" s="33">
        <v>90203</v>
      </c>
      <c r="B336" s="10" t="s">
        <v>37</v>
      </c>
      <c r="C336" s="14">
        <v>0.29799999999999999</v>
      </c>
      <c r="D336" s="14">
        <v>2.7</v>
      </c>
    </row>
    <row r="337" spans="1:4" ht="15.75" customHeight="1" x14ac:dyDescent="0.3">
      <c r="A337" s="33">
        <v>90301</v>
      </c>
      <c r="B337" s="10" t="s">
        <v>336</v>
      </c>
      <c r="C337" s="14">
        <v>0.53400000000000003</v>
      </c>
      <c r="D337" s="14">
        <v>7.49</v>
      </c>
    </row>
    <row r="338" spans="1:4" ht="15.75" customHeight="1" x14ac:dyDescent="0.3">
      <c r="A338" s="33">
        <v>90302</v>
      </c>
      <c r="B338" s="10" t="s">
        <v>59</v>
      </c>
      <c r="C338" s="14">
        <v>0.68399999999999994</v>
      </c>
      <c r="D338" s="14">
        <v>4.07</v>
      </c>
    </row>
    <row r="339" spans="1:4" ht="15.75" customHeight="1" x14ac:dyDescent="0.3">
      <c r="A339" s="33">
        <v>90303</v>
      </c>
      <c r="B339" s="10" t="s">
        <v>337</v>
      </c>
      <c r="C339" s="14">
        <v>0.79200000000000004</v>
      </c>
      <c r="D339" s="14">
        <v>12.85</v>
      </c>
    </row>
    <row r="340" spans="1:4" ht="15.75" customHeight="1" x14ac:dyDescent="0.3">
      <c r="A340" s="33">
        <v>90401</v>
      </c>
      <c r="B340" s="10" t="s">
        <v>437</v>
      </c>
      <c r="C340" s="14">
        <v>0.20800000000000002</v>
      </c>
      <c r="D340" s="14">
        <v>2.2200000000000002</v>
      </c>
    </row>
    <row r="341" spans="1:4" ht="15.75" customHeight="1" x14ac:dyDescent="0.3">
      <c r="A341" s="33">
        <v>90402</v>
      </c>
      <c r="B341" s="10" t="s">
        <v>14</v>
      </c>
      <c r="C341" s="14">
        <v>0.08</v>
      </c>
      <c r="D341" s="14">
        <v>0.85</v>
      </c>
    </row>
    <row r="342" spans="1:4" ht="15.75" customHeight="1" x14ac:dyDescent="0.3">
      <c r="A342" s="33">
        <v>90501</v>
      </c>
      <c r="B342" s="10" t="s">
        <v>26</v>
      </c>
      <c r="C342" s="14">
        <v>0.23399999999999999</v>
      </c>
      <c r="D342" s="14">
        <v>3.03</v>
      </c>
    </row>
    <row r="343" spans="1:4" ht="15.75" customHeight="1" x14ac:dyDescent="0.3">
      <c r="A343" s="33">
        <v>90502</v>
      </c>
      <c r="B343" s="10" t="s">
        <v>439</v>
      </c>
      <c r="C343" s="14">
        <v>0.26</v>
      </c>
      <c r="D343" s="14">
        <v>2.3199999999999998</v>
      </c>
    </row>
    <row r="344" spans="1:4" ht="15.75" customHeight="1" x14ac:dyDescent="0.3">
      <c r="A344" s="33">
        <v>90503</v>
      </c>
      <c r="B344" s="10" t="s">
        <v>24</v>
      </c>
      <c r="C344" s="14">
        <v>7.6000000000000012E-2</v>
      </c>
      <c r="D344" s="14">
        <v>0.75</v>
      </c>
    </row>
    <row r="345" spans="1:4" ht="15.75" customHeight="1" x14ac:dyDescent="0.3">
      <c r="B345" s="12"/>
      <c r="D345" s="3"/>
    </row>
    <row r="346" spans="1:4" ht="15.75" customHeight="1" x14ac:dyDescent="0.3">
      <c r="B346" s="12"/>
      <c r="D346" s="3"/>
    </row>
    <row r="347" spans="1:4" ht="15.75" customHeight="1" x14ac:dyDescent="0.3">
      <c r="B347" s="12"/>
      <c r="D347" s="3"/>
    </row>
    <row r="348" spans="1:4" ht="15.75" customHeight="1" x14ac:dyDescent="0.3">
      <c r="B348" s="12"/>
    </row>
    <row r="349" spans="1:4" ht="15.75" customHeight="1" x14ac:dyDescent="0.3">
      <c r="B349" s="12"/>
    </row>
    <row r="350" spans="1:4" ht="15.75" customHeight="1" x14ac:dyDescent="0.3">
      <c r="B350" s="12"/>
      <c r="D350" s="4"/>
    </row>
    <row r="351" spans="1:4" ht="15.75" customHeight="1" x14ac:dyDescent="0.3">
      <c r="B351" s="12"/>
      <c r="D351" s="4"/>
    </row>
    <row r="352" spans="1:4" ht="15.75" customHeight="1" x14ac:dyDescent="0.3">
      <c r="B352" s="12"/>
      <c r="D352" s="4"/>
    </row>
    <row r="353" spans="2:4" ht="15.75" customHeight="1" x14ac:dyDescent="0.3">
      <c r="B353" s="13"/>
      <c r="D353" s="4"/>
    </row>
    <row r="354" spans="2:4" ht="15.75" customHeight="1" x14ac:dyDescent="0.3">
      <c r="B354" s="13"/>
      <c r="D354" s="2"/>
    </row>
    <row r="355" spans="2:4" ht="15.75" customHeight="1" x14ac:dyDescent="0.3">
      <c r="B355" s="13"/>
    </row>
    <row r="356" spans="2:4" ht="15.75" customHeight="1" x14ac:dyDescent="0.3">
      <c r="B356" s="13"/>
    </row>
    <row r="357" spans="2:4" ht="15.75" customHeight="1" x14ac:dyDescent="0.3">
      <c r="B357" s="13"/>
    </row>
    <row r="358" spans="2:4" ht="15.75" customHeight="1" x14ac:dyDescent="0.3">
      <c r="B358" s="13"/>
    </row>
    <row r="359" spans="2:4" ht="15.75" customHeight="1" x14ac:dyDescent="0.3">
      <c r="B359" s="13"/>
    </row>
    <row r="360" spans="2:4" ht="15.75" customHeight="1" x14ac:dyDescent="0.3">
      <c r="B360" s="13"/>
    </row>
    <row r="361" spans="2:4" ht="15.75" customHeight="1" x14ac:dyDescent="0.3">
      <c r="B361" s="13"/>
    </row>
    <row r="362" spans="2:4" ht="15.75" customHeight="1" x14ac:dyDescent="0.3">
      <c r="B362" s="13"/>
    </row>
    <row r="363" spans="2:4" ht="15.75" customHeight="1" x14ac:dyDescent="0.3">
      <c r="B363" s="13"/>
    </row>
    <row r="364" spans="2:4" ht="15.75" customHeight="1" x14ac:dyDescent="0.3">
      <c r="B364" s="13"/>
    </row>
    <row r="365" spans="2:4" ht="15.75" customHeight="1" x14ac:dyDescent="0.3">
      <c r="B365" s="13"/>
    </row>
    <row r="366" spans="2:4" ht="15.75" customHeight="1" x14ac:dyDescent="0.3">
      <c r="B366" s="13"/>
    </row>
    <row r="367" spans="2:4" ht="15.75" customHeight="1" x14ac:dyDescent="0.3">
      <c r="B367" s="13"/>
    </row>
    <row r="368" spans="2:4" ht="15.75" customHeight="1" x14ac:dyDescent="0.3">
      <c r="B368" s="13"/>
    </row>
    <row r="369" spans="2:2" ht="15.75" customHeight="1" x14ac:dyDescent="0.3">
      <c r="B369" s="13"/>
    </row>
    <row r="370" spans="2:2" ht="15.75" customHeight="1" x14ac:dyDescent="0.3">
      <c r="B370" s="13"/>
    </row>
    <row r="371" spans="2:2" ht="15.75" customHeight="1" x14ac:dyDescent="0.3">
      <c r="B371" s="13"/>
    </row>
    <row r="372" spans="2:2" ht="15.75" customHeight="1" x14ac:dyDescent="0.3">
      <c r="B372" s="13"/>
    </row>
    <row r="373" spans="2:2" ht="15.75" customHeight="1" x14ac:dyDescent="0.3">
      <c r="B373" s="13"/>
    </row>
    <row r="374" spans="2:2" ht="15.75" customHeight="1" x14ac:dyDescent="0.3">
      <c r="B374" s="13"/>
    </row>
    <row r="375" spans="2:2" ht="15.75" customHeight="1" x14ac:dyDescent="0.3">
      <c r="B375" s="13"/>
    </row>
    <row r="376" spans="2:2" ht="15.75" customHeight="1" x14ac:dyDescent="0.3">
      <c r="B376" s="13"/>
    </row>
    <row r="377" spans="2:2" ht="15.75" customHeight="1" x14ac:dyDescent="0.3">
      <c r="B377" s="13"/>
    </row>
    <row r="378" spans="2:2" ht="15.75" customHeight="1" x14ac:dyDescent="0.3">
      <c r="B378" s="13"/>
    </row>
    <row r="379" spans="2:2" ht="15.75" customHeight="1" x14ac:dyDescent="0.3">
      <c r="B379" s="13"/>
    </row>
    <row r="380" spans="2:2" ht="15.75" customHeight="1" x14ac:dyDescent="0.3">
      <c r="B380" s="13"/>
    </row>
    <row r="381" spans="2:2" ht="15.75" customHeight="1" x14ac:dyDescent="0.3">
      <c r="B381" s="13"/>
    </row>
    <row r="382" spans="2:2" ht="15.75" customHeight="1" x14ac:dyDescent="0.3">
      <c r="B382" s="13"/>
    </row>
    <row r="383" spans="2:2" ht="15.75" customHeight="1" x14ac:dyDescent="0.3">
      <c r="B383" s="13"/>
    </row>
    <row r="384" spans="2:2" ht="15.75" customHeight="1" x14ac:dyDescent="0.3">
      <c r="B384" s="13"/>
    </row>
    <row r="385" spans="2:2" ht="15.75" customHeight="1" x14ac:dyDescent="0.3">
      <c r="B385" s="13"/>
    </row>
    <row r="386" spans="2:2" ht="15.75" customHeight="1" x14ac:dyDescent="0.3">
      <c r="B386" s="13"/>
    </row>
    <row r="387" spans="2:2" ht="15.75" customHeight="1" x14ac:dyDescent="0.3">
      <c r="B387" s="13"/>
    </row>
    <row r="388" spans="2:2" ht="15.75" customHeight="1" x14ac:dyDescent="0.3">
      <c r="B388" s="13"/>
    </row>
    <row r="389" spans="2:2" ht="15.75" customHeight="1" x14ac:dyDescent="0.3">
      <c r="B389" s="13"/>
    </row>
    <row r="390" spans="2:2" ht="15.75" customHeight="1" x14ac:dyDescent="0.3">
      <c r="B390" s="13"/>
    </row>
    <row r="391" spans="2:2" ht="15.75" customHeight="1" x14ac:dyDescent="0.3">
      <c r="B391" s="13"/>
    </row>
    <row r="392" spans="2:2" ht="15.75" customHeight="1" x14ac:dyDescent="0.3">
      <c r="B392" s="13"/>
    </row>
    <row r="393" spans="2:2" ht="15.75" customHeight="1" x14ac:dyDescent="0.3">
      <c r="B393" s="13"/>
    </row>
    <row r="394" spans="2:2" ht="15.75" customHeight="1" x14ac:dyDescent="0.3">
      <c r="B394" s="13"/>
    </row>
    <row r="395" spans="2:2" ht="15.75" customHeight="1" x14ac:dyDescent="0.3">
      <c r="B395" s="13"/>
    </row>
    <row r="396" spans="2:2" ht="15.75" customHeight="1" x14ac:dyDescent="0.3">
      <c r="B396" s="13"/>
    </row>
    <row r="397" spans="2:2" ht="15.75" customHeight="1" x14ac:dyDescent="0.3">
      <c r="B397" s="13"/>
    </row>
    <row r="398" spans="2:2" ht="15.75" customHeight="1" x14ac:dyDescent="0.3">
      <c r="B398" s="13"/>
    </row>
    <row r="399" spans="2:2" ht="15.75" customHeight="1" x14ac:dyDescent="0.3">
      <c r="B399" s="13"/>
    </row>
    <row r="400" spans="2:2" ht="15.75" customHeight="1" x14ac:dyDescent="0.3">
      <c r="B400" s="13"/>
    </row>
    <row r="401" spans="2:2" ht="15.75" customHeight="1" x14ac:dyDescent="0.3">
      <c r="B401" s="13"/>
    </row>
    <row r="402" spans="2:2" ht="15.75" customHeight="1" x14ac:dyDescent="0.3">
      <c r="B402" s="13"/>
    </row>
    <row r="403" spans="2:2" ht="15.75" customHeight="1" x14ac:dyDescent="0.3">
      <c r="B403" s="13"/>
    </row>
    <row r="404" spans="2:2" ht="15.75" customHeight="1" x14ac:dyDescent="0.3">
      <c r="B404" s="13"/>
    </row>
    <row r="405" spans="2:2" ht="15.75" customHeight="1" x14ac:dyDescent="0.3">
      <c r="B405" s="13"/>
    </row>
    <row r="406" spans="2:2" ht="15.75" customHeight="1" x14ac:dyDescent="0.3">
      <c r="B406" s="13"/>
    </row>
    <row r="407" spans="2:2" ht="15.75" customHeight="1" x14ac:dyDescent="0.3">
      <c r="B407" s="13"/>
    </row>
    <row r="408" spans="2:2" ht="15.75" customHeight="1" x14ac:dyDescent="0.3">
      <c r="B408" s="13"/>
    </row>
    <row r="409" spans="2:2" ht="15.75" customHeight="1" x14ac:dyDescent="0.3">
      <c r="B409" s="13"/>
    </row>
    <row r="410" spans="2:2" ht="15.75" customHeight="1" x14ac:dyDescent="0.3">
      <c r="B410" s="13"/>
    </row>
    <row r="411" spans="2:2" ht="15.75" customHeight="1" x14ac:dyDescent="0.3">
      <c r="B411" s="13"/>
    </row>
    <row r="412" spans="2:2" ht="15.75" customHeight="1" x14ac:dyDescent="0.3">
      <c r="B412" s="13"/>
    </row>
    <row r="413" spans="2:2" ht="15.75" customHeight="1" x14ac:dyDescent="0.3">
      <c r="B413" s="13"/>
    </row>
    <row r="414" spans="2:2" ht="15.75" customHeight="1" x14ac:dyDescent="0.3">
      <c r="B414" s="13"/>
    </row>
    <row r="415" spans="2:2" ht="15.75" customHeight="1" x14ac:dyDescent="0.3">
      <c r="B415" s="13"/>
    </row>
    <row r="416" spans="2:2" ht="15.75" customHeight="1" x14ac:dyDescent="0.3">
      <c r="B416" s="13"/>
    </row>
    <row r="417" spans="2:2" ht="15.75" customHeight="1" x14ac:dyDescent="0.3">
      <c r="B417" s="13"/>
    </row>
    <row r="418" spans="2:2" ht="15.75" customHeight="1" x14ac:dyDescent="0.3">
      <c r="B418" s="13"/>
    </row>
    <row r="419" spans="2:2" ht="15.75" customHeight="1" x14ac:dyDescent="0.3">
      <c r="B419" s="13"/>
    </row>
    <row r="420" spans="2:2" ht="15.75" customHeight="1" x14ac:dyDescent="0.3">
      <c r="B420" s="13"/>
    </row>
    <row r="421" spans="2:2" ht="15.75" customHeight="1" x14ac:dyDescent="0.3">
      <c r="B421" s="13"/>
    </row>
    <row r="422" spans="2:2" ht="15.75" customHeight="1" x14ac:dyDescent="0.3">
      <c r="B422" s="13"/>
    </row>
    <row r="423" spans="2:2" ht="15.75" customHeight="1" x14ac:dyDescent="0.3">
      <c r="B423" s="13"/>
    </row>
    <row r="424" spans="2:2" ht="15.75" customHeight="1" x14ac:dyDescent="0.3">
      <c r="B424" s="13"/>
    </row>
    <row r="425" spans="2:2" ht="15.75" customHeight="1" x14ac:dyDescent="0.3">
      <c r="B425" s="13"/>
    </row>
    <row r="426" spans="2:2" ht="15.75" customHeight="1" x14ac:dyDescent="0.3">
      <c r="B426" s="13"/>
    </row>
    <row r="427" spans="2:2" ht="15.75" customHeight="1" x14ac:dyDescent="0.3">
      <c r="B427" s="13"/>
    </row>
    <row r="428" spans="2:2" ht="15.75" customHeight="1" x14ac:dyDescent="0.3">
      <c r="B428" s="13"/>
    </row>
    <row r="429" spans="2:2" ht="15.75" customHeight="1" x14ac:dyDescent="0.3">
      <c r="B429" s="13"/>
    </row>
    <row r="430" spans="2:2" ht="15.75" customHeight="1" x14ac:dyDescent="0.3">
      <c r="B430" s="13"/>
    </row>
    <row r="431" spans="2:2" ht="15.75" customHeight="1" x14ac:dyDescent="0.3">
      <c r="B431" s="13"/>
    </row>
    <row r="432" spans="2:2" ht="15.75" customHeight="1" x14ac:dyDescent="0.3">
      <c r="B432" s="13"/>
    </row>
    <row r="433" spans="2:2" ht="15.75" customHeight="1" x14ac:dyDescent="0.3">
      <c r="B433" s="13"/>
    </row>
    <row r="434" spans="2:2" ht="15.75" customHeight="1" x14ac:dyDescent="0.3">
      <c r="B434" s="13"/>
    </row>
    <row r="435" spans="2:2" ht="15.75" customHeight="1" x14ac:dyDescent="0.3">
      <c r="B435" s="13"/>
    </row>
    <row r="436" spans="2:2" ht="15.75" customHeight="1" x14ac:dyDescent="0.3">
      <c r="B436" s="13"/>
    </row>
    <row r="437" spans="2:2" ht="15.75" customHeight="1" x14ac:dyDescent="0.3">
      <c r="B437" s="13"/>
    </row>
    <row r="438" spans="2:2" ht="15.75" customHeight="1" x14ac:dyDescent="0.3">
      <c r="B438" s="13"/>
    </row>
    <row r="439" spans="2:2" ht="15.75" customHeight="1" x14ac:dyDescent="0.3">
      <c r="B439" s="13"/>
    </row>
    <row r="440" spans="2:2" ht="15.75" customHeight="1" x14ac:dyDescent="0.3">
      <c r="B440" s="13"/>
    </row>
    <row r="441" spans="2:2" ht="15.75" customHeight="1" x14ac:dyDescent="0.3">
      <c r="B441" s="13"/>
    </row>
    <row r="442" spans="2:2" ht="15.75" customHeight="1" x14ac:dyDescent="0.3">
      <c r="B442" s="13"/>
    </row>
    <row r="443" spans="2:2" ht="15.75" customHeight="1" x14ac:dyDescent="0.3">
      <c r="B443" s="13"/>
    </row>
    <row r="444" spans="2:2" ht="15.75" customHeight="1" x14ac:dyDescent="0.3">
      <c r="B444" s="13"/>
    </row>
    <row r="445" spans="2:2" ht="15.75" customHeight="1" x14ac:dyDescent="0.3">
      <c r="B445" s="13"/>
    </row>
    <row r="446" spans="2:2" ht="15.75" customHeight="1" x14ac:dyDescent="0.3">
      <c r="B446" s="13"/>
    </row>
    <row r="447" spans="2:2" ht="15.75" customHeight="1" x14ac:dyDescent="0.3">
      <c r="B447" s="13"/>
    </row>
    <row r="448" spans="2:2" ht="15.75" customHeight="1" x14ac:dyDescent="0.3">
      <c r="B448" s="13"/>
    </row>
    <row r="449" spans="2:2" ht="15.75" customHeight="1" x14ac:dyDescent="0.3">
      <c r="B449" s="13"/>
    </row>
    <row r="450" spans="2:2" ht="15.75" customHeight="1" x14ac:dyDescent="0.3">
      <c r="B450" s="13"/>
    </row>
    <row r="451" spans="2:2" ht="15.75" customHeight="1" x14ac:dyDescent="0.3">
      <c r="B451" s="13"/>
    </row>
    <row r="452" spans="2:2" ht="15.75" customHeight="1" x14ac:dyDescent="0.3">
      <c r="B452" s="13"/>
    </row>
    <row r="453" spans="2:2" ht="15.75" customHeight="1" x14ac:dyDescent="0.3">
      <c r="B453" s="13"/>
    </row>
    <row r="454" spans="2:2" ht="15.75" customHeight="1" x14ac:dyDescent="0.3">
      <c r="B454" s="13"/>
    </row>
    <row r="455" spans="2:2" ht="15.75" customHeight="1" x14ac:dyDescent="0.3">
      <c r="B455" s="13"/>
    </row>
    <row r="456" spans="2:2" ht="15.75" customHeight="1" x14ac:dyDescent="0.3">
      <c r="B456" s="13"/>
    </row>
    <row r="457" spans="2:2" ht="15.75" customHeight="1" x14ac:dyDescent="0.3">
      <c r="B457" s="13"/>
    </row>
    <row r="458" spans="2:2" ht="15.75" customHeight="1" x14ac:dyDescent="0.3">
      <c r="B458" s="13"/>
    </row>
    <row r="459" spans="2:2" ht="15.75" customHeight="1" x14ac:dyDescent="0.3">
      <c r="B459" s="13"/>
    </row>
    <row r="460" spans="2:2" ht="15.75" customHeight="1" x14ac:dyDescent="0.3">
      <c r="B460" s="13"/>
    </row>
    <row r="461" spans="2:2" ht="15.75" customHeight="1" x14ac:dyDescent="0.3">
      <c r="B461" s="13"/>
    </row>
    <row r="462" spans="2:2" ht="15.75" customHeight="1" x14ac:dyDescent="0.3">
      <c r="B462" s="13"/>
    </row>
    <row r="463" spans="2:2" ht="15.75" customHeight="1" x14ac:dyDescent="0.3">
      <c r="B463" s="13"/>
    </row>
    <row r="464" spans="2:2" ht="15.75" customHeight="1" x14ac:dyDescent="0.3">
      <c r="B464" s="13"/>
    </row>
    <row r="465" spans="2:2" ht="15.75" customHeight="1" x14ac:dyDescent="0.3">
      <c r="B465" s="13"/>
    </row>
    <row r="466" spans="2:2" ht="15.75" customHeight="1" x14ac:dyDescent="0.3">
      <c r="B466" s="13"/>
    </row>
    <row r="467" spans="2:2" ht="15.75" customHeight="1" x14ac:dyDescent="0.3">
      <c r="B467" s="13"/>
    </row>
    <row r="468" spans="2:2" ht="15.75" customHeight="1" x14ac:dyDescent="0.3">
      <c r="B468" s="13"/>
    </row>
    <row r="469" spans="2:2" ht="15.75" customHeight="1" x14ac:dyDescent="0.3">
      <c r="B469" s="13"/>
    </row>
    <row r="470" spans="2:2" ht="15.75" customHeight="1" x14ac:dyDescent="0.3">
      <c r="B470" s="13"/>
    </row>
    <row r="471" spans="2:2" ht="15.75" customHeight="1" x14ac:dyDescent="0.3">
      <c r="B471" s="13"/>
    </row>
    <row r="472" spans="2:2" ht="15.75" customHeight="1" x14ac:dyDescent="0.3">
      <c r="B472" s="13"/>
    </row>
    <row r="473" spans="2:2" ht="15.75" customHeight="1" x14ac:dyDescent="0.3">
      <c r="B473" s="13"/>
    </row>
    <row r="474" spans="2:2" ht="15.75" customHeight="1" x14ac:dyDescent="0.3">
      <c r="B474" s="13"/>
    </row>
    <row r="475" spans="2:2" ht="15.75" customHeight="1" x14ac:dyDescent="0.3">
      <c r="B475" s="13"/>
    </row>
    <row r="476" spans="2:2" ht="15.75" customHeight="1" x14ac:dyDescent="0.3">
      <c r="B476" s="13"/>
    </row>
    <row r="477" spans="2:2" ht="15.75" customHeight="1" x14ac:dyDescent="0.3">
      <c r="B477" s="13"/>
    </row>
    <row r="478" spans="2:2" ht="15.75" customHeight="1" x14ac:dyDescent="0.3">
      <c r="B478" s="13"/>
    </row>
    <row r="479" spans="2:2" ht="15.75" customHeight="1" x14ac:dyDescent="0.3">
      <c r="B479" s="13"/>
    </row>
    <row r="480" spans="2:2" ht="15.75" customHeight="1" x14ac:dyDescent="0.3">
      <c r="B480" s="13"/>
    </row>
    <row r="481" spans="2:2" ht="15.75" customHeight="1" x14ac:dyDescent="0.3">
      <c r="B481" s="13"/>
    </row>
    <row r="482" spans="2:2" ht="15.75" customHeight="1" x14ac:dyDescent="0.3">
      <c r="B482" s="13"/>
    </row>
    <row r="483" spans="2:2" ht="15.75" customHeight="1" x14ac:dyDescent="0.3">
      <c r="B483" s="13"/>
    </row>
    <row r="484" spans="2:2" ht="15.75" customHeight="1" x14ac:dyDescent="0.3">
      <c r="B484" s="13"/>
    </row>
    <row r="485" spans="2:2" ht="15.75" customHeight="1" x14ac:dyDescent="0.3">
      <c r="B485" s="13"/>
    </row>
    <row r="486" spans="2:2" ht="15.75" customHeight="1" x14ac:dyDescent="0.3">
      <c r="B486" s="13"/>
    </row>
    <row r="487" spans="2:2" ht="15.75" customHeight="1" x14ac:dyDescent="0.3">
      <c r="B487" s="13"/>
    </row>
    <row r="488" spans="2:2" ht="15.75" customHeight="1" x14ac:dyDescent="0.3">
      <c r="B488" s="13"/>
    </row>
    <row r="489" spans="2:2" ht="15.75" customHeight="1" x14ac:dyDescent="0.3">
      <c r="B489" s="13"/>
    </row>
    <row r="490" spans="2:2" ht="15.75" customHeight="1" x14ac:dyDescent="0.3">
      <c r="B490" s="13"/>
    </row>
    <row r="491" spans="2:2" ht="15.75" customHeight="1" x14ac:dyDescent="0.3">
      <c r="B491" s="13"/>
    </row>
    <row r="492" spans="2:2" ht="15.75" customHeight="1" x14ac:dyDescent="0.3">
      <c r="B492" s="13"/>
    </row>
    <row r="493" spans="2:2" ht="15.75" customHeight="1" x14ac:dyDescent="0.3">
      <c r="B493" s="13"/>
    </row>
    <row r="494" spans="2:2" ht="15.75" customHeight="1" x14ac:dyDescent="0.3">
      <c r="B494" s="13"/>
    </row>
    <row r="495" spans="2:2" ht="15.75" customHeight="1" x14ac:dyDescent="0.3">
      <c r="B495" s="13"/>
    </row>
    <row r="496" spans="2:2" ht="15.75" customHeight="1" x14ac:dyDescent="0.3">
      <c r="B496" s="13"/>
    </row>
    <row r="497" spans="2:2" ht="15.75" customHeight="1" x14ac:dyDescent="0.3">
      <c r="B497" s="13"/>
    </row>
    <row r="498" spans="2:2" ht="15.75" customHeight="1" x14ac:dyDescent="0.3">
      <c r="B498" s="13"/>
    </row>
    <row r="499" spans="2:2" ht="15.75" customHeight="1" x14ac:dyDescent="0.3">
      <c r="B499" s="13"/>
    </row>
    <row r="500" spans="2:2" ht="15.75" customHeight="1" x14ac:dyDescent="0.3">
      <c r="B500" s="13"/>
    </row>
    <row r="501" spans="2:2" ht="15.75" customHeight="1" x14ac:dyDescent="0.3">
      <c r="B501" s="13"/>
    </row>
    <row r="502" spans="2:2" ht="15.75" customHeight="1" x14ac:dyDescent="0.3">
      <c r="B502" s="13"/>
    </row>
    <row r="503" spans="2:2" ht="15.75" customHeight="1" x14ac:dyDescent="0.3">
      <c r="B503" s="13"/>
    </row>
    <row r="504" spans="2:2" ht="15.75" customHeight="1" x14ac:dyDescent="0.3">
      <c r="B504" s="13"/>
    </row>
    <row r="505" spans="2:2" ht="15.75" customHeight="1" x14ac:dyDescent="0.3">
      <c r="B505" s="13"/>
    </row>
    <row r="506" spans="2:2" ht="15.75" customHeight="1" x14ac:dyDescent="0.3">
      <c r="B506" s="13"/>
    </row>
    <row r="507" spans="2:2" ht="15.75" customHeight="1" x14ac:dyDescent="0.3">
      <c r="B507" s="13"/>
    </row>
    <row r="508" spans="2:2" ht="15.75" customHeight="1" x14ac:dyDescent="0.3">
      <c r="B508" s="13"/>
    </row>
    <row r="509" spans="2:2" ht="15.75" customHeight="1" x14ac:dyDescent="0.3">
      <c r="B509" s="13"/>
    </row>
    <row r="510" spans="2:2" ht="15.75" customHeight="1" x14ac:dyDescent="0.3">
      <c r="B510" s="13"/>
    </row>
    <row r="511" spans="2:2" ht="15.75" customHeight="1" x14ac:dyDescent="0.3">
      <c r="B511" s="13"/>
    </row>
    <row r="512" spans="2:2" ht="15.75" customHeight="1" x14ac:dyDescent="0.3">
      <c r="B512" s="13"/>
    </row>
    <row r="513" spans="2:2" ht="15.75" customHeight="1" x14ac:dyDescent="0.3">
      <c r="B513" s="13"/>
    </row>
    <row r="514" spans="2:2" ht="15.75" customHeight="1" x14ac:dyDescent="0.3">
      <c r="B514" s="13"/>
    </row>
    <row r="515" spans="2:2" ht="15.75" customHeight="1" x14ac:dyDescent="0.3">
      <c r="B515" s="13"/>
    </row>
    <row r="516" spans="2:2" ht="15.75" customHeight="1" x14ac:dyDescent="0.3">
      <c r="B516" s="13"/>
    </row>
    <row r="517" spans="2:2" ht="15.75" customHeight="1" x14ac:dyDescent="0.3">
      <c r="B517" s="13"/>
    </row>
    <row r="518" spans="2:2" ht="15.75" customHeight="1" x14ac:dyDescent="0.3">
      <c r="B518" s="13"/>
    </row>
    <row r="519" spans="2:2" ht="15.75" customHeight="1" x14ac:dyDescent="0.3">
      <c r="B519" s="13"/>
    </row>
    <row r="520" spans="2:2" ht="15.75" customHeight="1" x14ac:dyDescent="0.3">
      <c r="B520" s="13"/>
    </row>
    <row r="521" spans="2:2" ht="15.75" customHeight="1" x14ac:dyDescent="0.3">
      <c r="B521" s="13"/>
    </row>
    <row r="522" spans="2:2" ht="15.75" customHeight="1" x14ac:dyDescent="0.3">
      <c r="B522" s="13"/>
    </row>
    <row r="523" spans="2:2" ht="15.75" customHeight="1" x14ac:dyDescent="0.3">
      <c r="B523" s="13"/>
    </row>
    <row r="524" spans="2:2" ht="15.75" customHeight="1" x14ac:dyDescent="0.3">
      <c r="B524" s="13"/>
    </row>
    <row r="525" spans="2:2" ht="15.75" customHeight="1" x14ac:dyDescent="0.3">
      <c r="B525" s="13"/>
    </row>
    <row r="526" spans="2:2" ht="15.75" customHeight="1" x14ac:dyDescent="0.3">
      <c r="B526" s="13"/>
    </row>
    <row r="527" spans="2:2" ht="15.75" customHeight="1" x14ac:dyDescent="0.3">
      <c r="B527" s="13"/>
    </row>
    <row r="528" spans="2:2" ht="15.75" customHeight="1" x14ac:dyDescent="0.3">
      <c r="B528" s="13"/>
    </row>
    <row r="529" spans="2:2" ht="15.75" customHeight="1" x14ac:dyDescent="0.3">
      <c r="B529" s="13"/>
    </row>
    <row r="530" spans="2:2" ht="15.75" customHeight="1" x14ac:dyDescent="0.3">
      <c r="B530" s="13"/>
    </row>
    <row r="531" spans="2:2" ht="15.75" customHeight="1" x14ac:dyDescent="0.3">
      <c r="B531" s="13"/>
    </row>
    <row r="532" spans="2:2" ht="15.75" customHeight="1" x14ac:dyDescent="0.3">
      <c r="B532" s="13"/>
    </row>
    <row r="533" spans="2:2" ht="15.75" customHeight="1" x14ac:dyDescent="0.3">
      <c r="B533" s="13"/>
    </row>
    <row r="534" spans="2:2" ht="15.75" customHeight="1" x14ac:dyDescent="0.3">
      <c r="B534" s="13"/>
    </row>
    <row r="535" spans="2:2" ht="15.75" customHeight="1" x14ac:dyDescent="0.3">
      <c r="B535" s="13"/>
    </row>
    <row r="536" spans="2:2" ht="15.75" customHeight="1" x14ac:dyDescent="0.3">
      <c r="B536" s="13"/>
    </row>
    <row r="537" spans="2:2" ht="15.75" customHeight="1" x14ac:dyDescent="0.3">
      <c r="B537" s="13"/>
    </row>
    <row r="538" spans="2:2" ht="15.75" customHeight="1" x14ac:dyDescent="0.3">
      <c r="B538" s="13"/>
    </row>
    <row r="539" spans="2:2" ht="15.75" customHeight="1" x14ac:dyDescent="0.3">
      <c r="B539" s="13"/>
    </row>
    <row r="540" spans="2:2" ht="15.75" customHeight="1" x14ac:dyDescent="0.3">
      <c r="B540" s="13"/>
    </row>
    <row r="541" spans="2:2" ht="15.75" customHeight="1" x14ac:dyDescent="0.3">
      <c r="B541" s="13"/>
    </row>
    <row r="542" spans="2:2" ht="15.75" customHeight="1" x14ac:dyDescent="0.3">
      <c r="B542" s="13"/>
    </row>
    <row r="543" spans="2:2" ht="15.75" customHeight="1" x14ac:dyDescent="0.3">
      <c r="B543" s="13"/>
    </row>
    <row r="544" spans="2:2" ht="15.75" customHeight="1" x14ac:dyDescent="0.3">
      <c r="B544" s="13"/>
    </row>
    <row r="545" spans="2:2" ht="15.75" customHeight="1" x14ac:dyDescent="0.3">
      <c r="B545" s="13"/>
    </row>
    <row r="546" spans="2:2" ht="15.75" customHeight="1" x14ac:dyDescent="0.3">
      <c r="B546" s="13"/>
    </row>
    <row r="547" spans="2:2" ht="15.75" customHeight="1" x14ac:dyDescent="0.3">
      <c r="B547" s="13"/>
    </row>
    <row r="548" spans="2:2" ht="15.75" customHeight="1" x14ac:dyDescent="0.3">
      <c r="B548" s="13"/>
    </row>
    <row r="549" spans="2:2" ht="15.75" customHeight="1" x14ac:dyDescent="0.3">
      <c r="B549" s="13"/>
    </row>
    <row r="550" spans="2:2" ht="15.75" customHeight="1" x14ac:dyDescent="0.3">
      <c r="B550" s="13"/>
    </row>
    <row r="551" spans="2:2" ht="15.75" customHeight="1" x14ac:dyDescent="0.3">
      <c r="B551" s="13"/>
    </row>
    <row r="552" spans="2:2" ht="15.75" customHeight="1" x14ac:dyDescent="0.3">
      <c r="B552" s="13"/>
    </row>
    <row r="553" spans="2:2" ht="15.75" customHeight="1" x14ac:dyDescent="0.3">
      <c r="B553" s="13"/>
    </row>
    <row r="554" spans="2:2" ht="15.75" customHeight="1" x14ac:dyDescent="0.3">
      <c r="B554" s="13"/>
    </row>
    <row r="555" spans="2:2" ht="15.75" customHeight="1" x14ac:dyDescent="0.3">
      <c r="B555" s="13"/>
    </row>
    <row r="556" spans="2:2" ht="15.75" customHeight="1" x14ac:dyDescent="0.3">
      <c r="B556" s="13"/>
    </row>
    <row r="557" spans="2:2" ht="15.75" customHeight="1" x14ac:dyDescent="0.3">
      <c r="B557" s="13"/>
    </row>
    <row r="558" spans="2:2" ht="15.75" customHeight="1" x14ac:dyDescent="0.3">
      <c r="B558" s="13"/>
    </row>
    <row r="559" spans="2:2" ht="15.75" customHeight="1" x14ac:dyDescent="0.3">
      <c r="B559" s="13"/>
    </row>
    <row r="560" spans="2:2" ht="15.75" customHeight="1" x14ac:dyDescent="0.3">
      <c r="B560" s="13"/>
    </row>
    <row r="561" spans="2:2" ht="15.75" customHeight="1" x14ac:dyDescent="0.3">
      <c r="B561" s="13"/>
    </row>
    <row r="562" spans="2:2" ht="15.75" customHeight="1" x14ac:dyDescent="0.3">
      <c r="B562" s="13"/>
    </row>
    <row r="563" spans="2:2" ht="15.75" customHeight="1" x14ac:dyDescent="0.3">
      <c r="B563" s="13"/>
    </row>
    <row r="564" spans="2:2" ht="15.75" customHeight="1" x14ac:dyDescent="0.3">
      <c r="B564" s="13"/>
    </row>
    <row r="565" spans="2:2" ht="15.75" customHeight="1" x14ac:dyDescent="0.3">
      <c r="B565" s="13"/>
    </row>
    <row r="566" spans="2:2" ht="15.75" customHeight="1" x14ac:dyDescent="0.3">
      <c r="B566" s="13"/>
    </row>
    <row r="567" spans="2:2" ht="15.75" customHeight="1" x14ac:dyDescent="0.3">
      <c r="B567" s="13"/>
    </row>
    <row r="568" spans="2:2" ht="15.75" customHeight="1" x14ac:dyDescent="0.3">
      <c r="B568" s="13"/>
    </row>
    <row r="569" spans="2:2" ht="15.75" customHeight="1" x14ac:dyDescent="0.3">
      <c r="B569" s="13"/>
    </row>
    <row r="570" spans="2:2" ht="15.75" customHeight="1" x14ac:dyDescent="0.3">
      <c r="B570" s="13"/>
    </row>
    <row r="571" spans="2:2" ht="15.75" customHeight="1" x14ac:dyDescent="0.3">
      <c r="B571" s="13"/>
    </row>
    <row r="572" spans="2:2" ht="15.75" customHeight="1" x14ac:dyDescent="0.3">
      <c r="B572" s="13"/>
    </row>
    <row r="573" spans="2:2" ht="15.75" customHeight="1" x14ac:dyDescent="0.3">
      <c r="B573" s="13"/>
    </row>
    <row r="574" spans="2:2" ht="15.75" customHeight="1" x14ac:dyDescent="0.3">
      <c r="B574" s="13"/>
    </row>
    <row r="575" spans="2:2" ht="15.75" customHeight="1" x14ac:dyDescent="0.3">
      <c r="B575" s="13"/>
    </row>
    <row r="576" spans="2:2" ht="15.75" customHeight="1" x14ac:dyDescent="0.3">
      <c r="B576" s="13"/>
    </row>
    <row r="577" spans="2:2" ht="15.75" customHeight="1" x14ac:dyDescent="0.3">
      <c r="B577" s="13"/>
    </row>
    <row r="578" spans="2:2" ht="15.75" customHeight="1" x14ac:dyDescent="0.3">
      <c r="B578" s="13"/>
    </row>
    <row r="579" spans="2:2" ht="15.75" customHeight="1" x14ac:dyDescent="0.3">
      <c r="B579" s="13"/>
    </row>
    <row r="580" spans="2:2" ht="15.75" customHeight="1" x14ac:dyDescent="0.3">
      <c r="B580" s="13"/>
    </row>
    <row r="581" spans="2:2" ht="15.75" customHeight="1" x14ac:dyDescent="0.3">
      <c r="B581" s="13"/>
    </row>
    <row r="582" spans="2:2" ht="15.75" customHeight="1" x14ac:dyDescent="0.3">
      <c r="B582" s="13"/>
    </row>
    <row r="583" spans="2:2" ht="15.75" customHeight="1" x14ac:dyDescent="0.3">
      <c r="B583" s="13"/>
    </row>
    <row r="584" spans="2:2" ht="15.75" customHeight="1" x14ac:dyDescent="0.3">
      <c r="B584" s="13"/>
    </row>
    <row r="585" spans="2:2" ht="15.75" customHeight="1" x14ac:dyDescent="0.3">
      <c r="B585" s="13"/>
    </row>
    <row r="586" spans="2:2" ht="15.75" customHeight="1" x14ac:dyDescent="0.3">
      <c r="B586" s="13"/>
    </row>
    <row r="587" spans="2:2" ht="15.75" customHeight="1" x14ac:dyDescent="0.3">
      <c r="B587" s="13"/>
    </row>
    <row r="588" spans="2:2" ht="15.75" customHeight="1" x14ac:dyDescent="0.3">
      <c r="B588" s="13"/>
    </row>
    <row r="589" spans="2:2" ht="15.75" customHeight="1" x14ac:dyDescent="0.3">
      <c r="B589" s="13"/>
    </row>
    <row r="590" spans="2:2" ht="15.75" customHeight="1" x14ac:dyDescent="0.3">
      <c r="B590" s="13"/>
    </row>
    <row r="591" spans="2:2" ht="15.75" customHeight="1" x14ac:dyDescent="0.3">
      <c r="B591" s="13"/>
    </row>
    <row r="592" spans="2:2" ht="15.75" customHeight="1" x14ac:dyDescent="0.3">
      <c r="B592" s="13"/>
    </row>
    <row r="593" spans="2:2" ht="15.75" customHeight="1" x14ac:dyDescent="0.3">
      <c r="B593" s="13"/>
    </row>
    <row r="594" spans="2:2" ht="15.75" customHeight="1" x14ac:dyDescent="0.3">
      <c r="B594" s="13"/>
    </row>
    <row r="595" spans="2:2" ht="15.75" customHeight="1" x14ac:dyDescent="0.3">
      <c r="B595" s="13"/>
    </row>
    <row r="596" spans="2:2" ht="15.75" customHeight="1" x14ac:dyDescent="0.3">
      <c r="B596" s="13"/>
    </row>
    <row r="597" spans="2:2" ht="15.75" customHeight="1" x14ac:dyDescent="0.3">
      <c r="B597" s="13"/>
    </row>
    <row r="598" spans="2:2" ht="15.75" customHeight="1" x14ac:dyDescent="0.3">
      <c r="B598" s="13"/>
    </row>
    <row r="599" spans="2:2" ht="15.75" customHeight="1" x14ac:dyDescent="0.3">
      <c r="B599" s="13"/>
    </row>
    <row r="600" spans="2:2" ht="15.75" customHeight="1" x14ac:dyDescent="0.3">
      <c r="B600" s="13"/>
    </row>
    <row r="601" spans="2:2" ht="15.75" customHeight="1" x14ac:dyDescent="0.3">
      <c r="B601" s="13"/>
    </row>
    <row r="602" spans="2:2" ht="15.75" customHeight="1" x14ac:dyDescent="0.3">
      <c r="B602" s="13"/>
    </row>
    <row r="603" spans="2:2" ht="15.75" customHeight="1" x14ac:dyDescent="0.3">
      <c r="B603" s="13"/>
    </row>
    <row r="604" spans="2:2" ht="15.75" customHeight="1" x14ac:dyDescent="0.3">
      <c r="B604" s="13"/>
    </row>
    <row r="605" spans="2:2" ht="15.75" customHeight="1" x14ac:dyDescent="0.3">
      <c r="B605" s="13"/>
    </row>
    <row r="606" spans="2:2" ht="15.75" customHeight="1" x14ac:dyDescent="0.3">
      <c r="B606" s="13"/>
    </row>
    <row r="607" spans="2:2" ht="15.75" customHeight="1" x14ac:dyDescent="0.3">
      <c r="B607" s="13"/>
    </row>
    <row r="608" spans="2:2" ht="15.75" customHeight="1" x14ac:dyDescent="0.3">
      <c r="B608" s="13"/>
    </row>
    <row r="609" spans="2:2" ht="15.75" customHeight="1" x14ac:dyDescent="0.3">
      <c r="B609" s="13"/>
    </row>
    <row r="610" spans="2:2" ht="15.75" customHeight="1" x14ac:dyDescent="0.3">
      <c r="B610" s="13"/>
    </row>
    <row r="611" spans="2:2" ht="15.75" customHeight="1" x14ac:dyDescent="0.3">
      <c r="B611" s="13"/>
    </row>
    <row r="612" spans="2:2" ht="15.75" customHeight="1" x14ac:dyDescent="0.3">
      <c r="B612" s="13"/>
    </row>
    <row r="613" spans="2:2" ht="15.75" customHeight="1" x14ac:dyDescent="0.3">
      <c r="B613" s="13"/>
    </row>
    <row r="614" spans="2:2" ht="15.75" customHeight="1" x14ac:dyDescent="0.3">
      <c r="B614" s="13"/>
    </row>
    <row r="615" spans="2:2" ht="15.75" customHeight="1" x14ac:dyDescent="0.3">
      <c r="B615" s="13"/>
    </row>
    <row r="616" spans="2:2" ht="15.75" customHeight="1" x14ac:dyDescent="0.3">
      <c r="B616" s="13"/>
    </row>
    <row r="617" spans="2:2" ht="15.75" customHeight="1" x14ac:dyDescent="0.3">
      <c r="B617" s="13"/>
    </row>
    <row r="618" spans="2:2" ht="15.75" customHeight="1" x14ac:dyDescent="0.3">
      <c r="B618" s="13"/>
    </row>
    <row r="619" spans="2:2" ht="15.75" customHeight="1" x14ac:dyDescent="0.3">
      <c r="B619" s="13"/>
    </row>
    <row r="620" spans="2:2" ht="15.75" customHeight="1" x14ac:dyDescent="0.3">
      <c r="B620" s="13"/>
    </row>
    <row r="621" spans="2:2" ht="15.75" customHeight="1" x14ac:dyDescent="0.3">
      <c r="B621" s="13"/>
    </row>
    <row r="622" spans="2:2" ht="15.75" customHeight="1" x14ac:dyDescent="0.3">
      <c r="B622" s="13"/>
    </row>
    <row r="623" spans="2:2" ht="15.75" customHeight="1" x14ac:dyDescent="0.3">
      <c r="B623" s="13"/>
    </row>
    <row r="624" spans="2:2" ht="15.75" customHeight="1" x14ac:dyDescent="0.3">
      <c r="B624" s="13"/>
    </row>
    <row r="625" spans="2:2" ht="15.75" customHeight="1" x14ac:dyDescent="0.3">
      <c r="B625" s="13"/>
    </row>
    <row r="626" spans="2:2" ht="15.75" customHeight="1" x14ac:dyDescent="0.3">
      <c r="B626" s="13"/>
    </row>
    <row r="627" spans="2:2" ht="15.75" customHeight="1" x14ac:dyDescent="0.3">
      <c r="B627" s="13"/>
    </row>
    <row r="628" spans="2:2" ht="15.75" customHeight="1" x14ac:dyDescent="0.3">
      <c r="B628" s="13"/>
    </row>
    <row r="629" spans="2:2" ht="15.75" customHeight="1" x14ac:dyDescent="0.3">
      <c r="B629" s="13"/>
    </row>
    <row r="630" spans="2:2" ht="15.75" customHeight="1" x14ac:dyDescent="0.3">
      <c r="B630" s="13"/>
    </row>
    <row r="631" spans="2:2" ht="15.75" customHeight="1" x14ac:dyDescent="0.3">
      <c r="B631" s="13"/>
    </row>
    <row r="632" spans="2:2" ht="15.75" customHeight="1" x14ac:dyDescent="0.3">
      <c r="B632" s="13"/>
    </row>
    <row r="633" spans="2:2" ht="15.75" customHeight="1" x14ac:dyDescent="0.3">
      <c r="B633" s="13"/>
    </row>
    <row r="634" spans="2:2" ht="15.75" customHeight="1" x14ac:dyDescent="0.3">
      <c r="B634" s="13"/>
    </row>
    <row r="635" spans="2:2" ht="15.75" customHeight="1" x14ac:dyDescent="0.3">
      <c r="B635" s="13"/>
    </row>
    <row r="636" spans="2:2" ht="15.75" customHeight="1" x14ac:dyDescent="0.3">
      <c r="B636" s="13"/>
    </row>
    <row r="637" spans="2:2" ht="15.75" customHeight="1" x14ac:dyDescent="0.3">
      <c r="B637" s="13"/>
    </row>
    <row r="638" spans="2:2" ht="15.75" customHeight="1" x14ac:dyDescent="0.3">
      <c r="B638" s="13"/>
    </row>
    <row r="639" spans="2:2" ht="15.75" customHeight="1" x14ac:dyDescent="0.3">
      <c r="B639" s="13"/>
    </row>
    <row r="640" spans="2:2" ht="15.75" customHeight="1" x14ac:dyDescent="0.3">
      <c r="B640" s="13"/>
    </row>
    <row r="641" spans="2:2" ht="15.75" customHeight="1" x14ac:dyDescent="0.3">
      <c r="B641" s="13"/>
    </row>
    <row r="642" spans="2:2" ht="15.75" customHeight="1" x14ac:dyDescent="0.3">
      <c r="B642" s="13"/>
    </row>
    <row r="643" spans="2:2" ht="15.75" customHeight="1" x14ac:dyDescent="0.3">
      <c r="B643" s="13"/>
    </row>
    <row r="644" spans="2:2" ht="15.75" customHeight="1" x14ac:dyDescent="0.3">
      <c r="B644" s="13"/>
    </row>
    <row r="645" spans="2:2" ht="15.75" customHeight="1" x14ac:dyDescent="0.3">
      <c r="B645" s="13"/>
    </row>
    <row r="646" spans="2:2" ht="15.75" customHeight="1" x14ac:dyDescent="0.3">
      <c r="B646" s="13"/>
    </row>
    <row r="647" spans="2:2" ht="15.75" customHeight="1" x14ac:dyDescent="0.3">
      <c r="B647" s="13"/>
    </row>
    <row r="648" spans="2:2" ht="15.75" customHeight="1" x14ac:dyDescent="0.3">
      <c r="B648" s="13"/>
    </row>
    <row r="649" spans="2:2" ht="15.75" customHeight="1" x14ac:dyDescent="0.3">
      <c r="B649" s="13"/>
    </row>
    <row r="650" spans="2:2" ht="15.75" customHeight="1" x14ac:dyDescent="0.3">
      <c r="B650" s="13"/>
    </row>
    <row r="651" spans="2:2" ht="15.75" customHeight="1" x14ac:dyDescent="0.3">
      <c r="B651" s="13"/>
    </row>
    <row r="652" spans="2:2" ht="15.75" customHeight="1" x14ac:dyDescent="0.3">
      <c r="B652" s="13"/>
    </row>
    <row r="653" spans="2:2" ht="15.75" customHeight="1" x14ac:dyDescent="0.3">
      <c r="B653" s="13"/>
    </row>
    <row r="654" spans="2:2" ht="15.75" customHeight="1" x14ac:dyDescent="0.3">
      <c r="B654" s="13"/>
    </row>
    <row r="655" spans="2:2" ht="15.75" customHeight="1" x14ac:dyDescent="0.3">
      <c r="B655" s="13"/>
    </row>
    <row r="656" spans="2:2" ht="15.75" customHeight="1" x14ac:dyDescent="0.3">
      <c r="B656" s="13"/>
    </row>
    <row r="657" spans="2:2" ht="15.75" customHeight="1" x14ac:dyDescent="0.3">
      <c r="B657" s="13"/>
    </row>
    <row r="658" spans="2:2" ht="15.75" customHeight="1" x14ac:dyDescent="0.3">
      <c r="B658" s="13"/>
    </row>
    <row r="659" spans="2:2" ht="15.75" customHeight="1" x14ac:dyDescent="0.3">
      <c r="B659" s="13"/>
    </row>
    <row r="660" spans="2:2" ht="15.75" customHeight="1" x14ac:dyDescent="0.3">
      <c r="B660" s="13"/>
    </row>
    <row r="661" spans="2:2" ht="15.75" customHeight="1" x14ac:dyDescent="0.3">
      <c r="B661" s="13"/>
    </row>
    <row r="662" spans="2:2" ht="15.75" customHeight="1" x14ac:dyDescent="0.3">
      <c r="B662" s="13"/>
    </row>
    <row r="663" spans="2:2" ht="15.75" customHeight="1" x14ac:dyDescent="0.3">
      <c r="B663" s="13"/>
    </row>
    <row r="664" spans="2:2" ht="15.75" customHeight="1" x14ac:dyDescent="0.3">
      <c r="B664" s="13"/>
    </row>
    <row r="665" spans="2:2" ht="15.75" customHeight="1" x14ac:dyDescent="0.3">
      <c r="B665" s="13"/>
    </row>
    <row r="666" spans="2:2" ht="15.75" customHeight="1" x14ac:dyDescent="0.3">
      <c r="B666" s="13"/>
    </row>
    <row r="667" spans="2:2" ht="15.75" customHeight="1" x14ac:dyDescent="0.3">
      <c r="B667" s="13"/>
    </row>
    <row r="668" spans="2:2" ht="15.75" customHeight="1" x14ac:dyDescent="0.3">
      <c r="B668" s="13"/>
    </row>
    <row r="669" spans="2:2" ht="15.75" customHeight="1" x14ac:dyDescent="0.3">
      <c r="B669" s="13"/>
    </row>
    <row r="670" spans="2:2" ht="15.75" customHeight="1" x14ac:dyDescent="0.3">
      <c r="B670" s="13"/>
    </row>
    <row r="671" spans="2:2" ht="15.75" customHeight="1" x14ac:dyDescent="0.3">
      <c r="B671" s="13"/>
    </row>
    <row r="672" spans="2:2" ht="15.75" customHeight="1" x14ac:dyDescent="0.3">
      <c r="B672" s="13"/>
    </row>
    <row r="673" spans="2:2" ht="15.75" customHeight="1" x14ac:dyDescent="0.3">
      <c r="B673" s="13"/>
    </row>
    <row r="674" spans="2:2" ht="15.75" customHeight="1" x14ac:dyDescent="0.3">
      <c r="B674" s="13"/>
    </row>
    <row r="675" spans="2:2" ht="15.75" customHeight="1" x14ac:dyDescent="0.3">
      <c r="B675" s="13"/>
    </row>
    <row r="676" spans="2:2" ht="15.75" customHeight="1" x14ac:dyDescent="0.3">
      <c r="B676" s="13"/>
    </row>
    <row r="677" spans="2:2" ht="15.75" customHeight="1" x14ac:dyDescent="0.3">
      <c r="B677" s="13"/>
    </row>
    <row r="678" spans="2:2" ht="15.75" customHeight="1" x14ac:dyDescent="0.3">
      <c r="B678" s="13"/>
    </row>
    <row r="679" spans="2:2" ht="15.75" customHeight="1" x14ac:dyDescent="0.3">
      <c r="B679" s="13"/>
    </row>
    <row r="680" spans="2:2" ht="15.75" customHeight="1" x14ac:dyDescent="0.3">
      <c r="B680" s="13"/>
    </row>
    <row r="681" spans="2:2" ht="15.75" customHeight="1" x14ac:dyDescent="0.3">
      <c r="B681" s="13"/>
    </row>
    <row r="682" spans="2:2" ht="15.75" customHeight="1" x14ac:dyDescent="0.3">
      <c r="B682" s="13"/>
    </row>
    <row r="683" spans="2:2" ht="15.75" customHeight="1" x14ac:dyDescent="0.3">
      <c r="B683" s="13"/>
    </row>
    <row r="684" spans="2:2" ht="15.75" customHeight="1" x14ac:dyDescent="0.3">
      <c r="B684" s="13"/>
    </row>
    <row r="685" spans="2:2" ht="15.75" customHeight="1" x14ac:dyDescent="0.3">
      <c r="B685" s="13"/>
    </row>
    <row r="686" spans="2:2" ht="15.75" customHeight="1" x14ac:dyDescent="0.3">
      <c r="B686" s="13"/>
    </row>
    <row r="687" spans="2:2" ht="15.75" customHeight="1" x14ac:dyDescent="0.3">
      <c r="B687" s="13"/>
    </row>
    <row r="688" spans="2:2" ht="15.75" customHeight="1" x14ac:dyDescent="0.3">
      <c r="B688" s="13"/>
    </row>
    <row r="689" spans="2:2" ht="15.75" customHeight="1" x14ac:dyDescent="0.3">
      <c r="B689" s="13"/>
    </row>
    <row r="690" spans="2:2" ht="15.75" customHeight="1" x14ac:dyDescent="0.3">
      <c r="B690" s="13"/>
    </row>
    <row r="691" spans="2:2" ht="15.75" customHeight="1" x14ac:dyDescent="0.3">
      <c r="B691" s="13"/>
    </row>
    <row r="692" spans="2:2" ht="15.75" customHeight="1" x14ac:dyDescent="0.3">
      <c r="B692" s="13"/>
    </row>
    <row r="693" spans="2:2" ht="15.75" customHeight="1" x14ac:dyDescent="0.3">
      <c r="B693" s="13"/>
    </row>
    <row r="694" spans="2:2" ht="15.75" customHeight="1" x14ac:dyDescent="0.3">
      <c r="B694" s="13"/>
    </row>
    <row r="695" spans="2:2" ht="15.75" customHeight="1" x14ac:dyDescent="0.3">
      <c r="B695" s="13"/>
    </row>
    <row r="696" spans="2:2" ht="15.75" customHeight="1" x14ac:dyDescent="0.3">
      <c r="B696" s="13"/>
    </row>
    <row r="697" spans="2:2" ht="15.75" customHeight="1" x14ac:dyDescent="0.3">
      <c r="B697" s="13"/>
    </row>
    <row r="698" spans="2:2" ht="15.75" customHeight="1" x14ac:dyDescent="0.3">
      <c r="B698" s="13"/>
    </row>
    <row r="699" spans="2:2" ht="15.75" customHeight="1" x14ac:dyDescent="0.3">
      <c r="B699" s="13"/>
    </row>
    <row r="700" spans="2:2" ht="15.75" customHeight="1" x14ac:dyDescent="0.3">
      <c r="B700" s="13"/>
    </row>
    <row r="701" spans="2:2" ht="15.75" customHeight="1" x14ac:dyDescent="0.3">
      <c r="B701" s="13"/>
    </row>
    <row r="702" spans="2:2" ht="15.75" customHeight="1" x14ac:dyDescent="0.3">
      <c r="B702" s="13"/>
    </row>
    <row r="703" spans="2:2" ht="15.75" customHeight="1" x14ac:dyDescent="0.3">
      <c r="B703" s="13"/>
    </row>
    <row r="704" spans="2:2" ht="15.75" customHeight="1" x14ac:dyDescent="0.3">
      <c r="B704" s="13"/>
    </row>
    <row r="705" spans="2:2" ht="15.75" customHeight="1" x14ac:dyDescent="0.3">
      <c r="B705" s="13"/>
    </row>
    <row r="706" spans="2:2" ht="15.75" customHeight="1" x14ac:dyDescent="0.3">
      <c r="B706" s="13"/>
    </row>
    <row r="707" spans="2:2" ht="15.75" customHeight="1" x14ac:dyDescent="0.3">
      <c r="B707" s="13"/>
    </row>
    <row r="708" spans="2:2" ht="15.75" customHeight="1" x14ac:dyDescent="0.3">
      <c r="B708" s="13"/>
    </row>
    <row r="709" spans="2:2" ht="15.75" customHeight="1" x14ac:dyDescent="0.3">
      <c r="B709" s="13"/>
    </row>
    <row r="710" spans="2:2" ht="15.75" customHeight="1" x14ac:dyDescent="0.3">
      <c r="B710" s="13"/>
    </row>
    <row r="711" spans="2:2" ht="15.75" customHeight="1" x14ac:dyDescent="0.3">
      <c r="B711" s="13"/>
    </row>
    <row r="712" spans="2:2" ht="15.75" customHeight="1" x14ac:dyDescent="0.3">
      <c r="B712" s="13"/>
    </row>
    <row r="713" spans="2:2" ht="15.75" customHeight="1" x14ac:dyDescent="0.3">
      <c r="B713" s="13"/>
    </row>
    <row r="714" spans="2:2" ht="15.75" customHeight="1" x14ac:dyDescent="0.3">
      <c r="B714" s="13"/>
    </row>
    <row r="715" spans="2:2" ht="15.75" customHeight="1" x14ac:dyDescent="0.3">
      <c r="B715" s="13"/>
    </row>
    <row r="716" spans="2:2" ht="15.75" customHeight="1" x14ac:dyDescent="0.3">
      <c r="B716" s="13"/>
    </row>
    <row r="717" spans="2:2" ht="15.75" customHeight="1" x14ac:dyDescent="0.3">
      <c r="B717" s="13"/>
    </row>
    <row r="718" spans="2:2" ht="15.75" customHeight="1" x14ac:dyDescent="0.3">
      <c r="B718" s="13"/>
    </row>
    <row r="719" spans="2:2" ht="15.75" customHeight="1" x14ac:dyDescent="0.3">
      <c r="B719" s="13"/>
    </row>
    <row r="720" spans="2:2" ht="15.75" customHeight="1" x14ac:dyDescent="0.3">
      <c r="B720" s="13"/>
    </row>
    <row r="721" spans="2:2" ht="15.75" customHeight="1" x14ac:dyDescent="0.3">
      <c r="B721" s="13"/>
    </row>
    <row r="722" spans="2:2" ht="15.75" customHeight="1" x14ac:dyDescent="0.3">
      <c r="B722" s="13"/>
    </row>
    <row r="723" spans="2:2" ht="15.75" customHeight="1" x14ac:dyDescent="0.3">
      <c r="B723" s="13"/>
    </row>
    <row r="724" spans="2:2" ht="15.75" customHeight="1" x14ac:dyDescent="0.3">
      <c r="B724" s="13"/>
    </row>
    <row r="725" spans="2:2" ht="15.75" customHeight="1" x14ac:dyDescent="0.3">
      <c r="B725" s="13"/>
    </row>
    <row r="726" spans="2:2" ht="15.75" customHeight="1" x14ac:dyDescent="0.3">
      <c r="B726" s="13"/>
    </row>
    <row r="727" spans="2:2" ht="15.75" customHeight="1" x14ac:dyDescent="0.3">
      <c r="B727" s="13"/>
    </row>
    <row r="728" spans="2:2" ht="15.75" customHeight="1" x14ac:dyDescent="0.3">
      <c r="B728" s="13"/>
    </row>
    <row r="729" spans="2:2" ht="15.75" customHeight="1" x14ac:dyDescent="0.3">
      <c r="B729" s="13"/>
    </row>
    <row r="730" spans="2:2" ht="15.75" customHeight="1" x14ac:dyDescent="0.3">
      <c r="B730" s="13"/>
    </row>
    <row r="731" spans="2:2" ht="15.75" customHeight="1" x14ac:dyDescent="0.3">
      <c r="B731" s="13"/>
    </row>
    <row r="732" spans="2:2" ht="15.75" customHeight="1" x14ac:dyDescent="0.3">
      <c r="B732" s="13"/>
    </row>
    <row r="733" spans="2:2" ht="15.75" customHeight="1" x14ac:dyDescent="0.3">
      <c r="B733" s="13"/>
    </row>
    <row r="734" spans="2:2" ht="15.75" customHeight="1" x14ac:dyDescent="0.3">
      <c r="B734" s="13"/>
    </row>
    <row r="735" spans="2:2" ht="15.75" customHeight="1" x14ac:dyDescent="0.3">
      <c r="B735" s="13"/>
    </row>
    <row r="736" spans="2:2" ht="15.75" customHeight="1" x14ac:dyDescent="0.3">
      <c r="B736" s="13"/>
    </row>
    <row r="737" spans="2:2" ht="15.75" customHeight="1" x14ac:dyDescent="0.3">
      <c r="B737" s="13"/>
    </row>
    <row r="738" spans="2:2" ht="15.75" customHeight="1" x14ac:dyDescent="0.3">
      <c r="B738" s="13"/>
    </row>
    <row r="739" spans="2:2" ht="15.75" customHeight="1" x14ac:dyDescent="0.3">
      <c r="B739" s="13"/>
    </row>
    <row r="740" spans="2:2" ht="15.75" customHeight="1" x14ac:dyDescent="0.3">
      <c r="B740" s="13"/>
    </row>
    <row r="741" spans="2:2" ht="15.75" customHeight="1" x14ac:dyDescent="0.3">
      <c r="B741" s="13"/>
    </row>
    <row r="742" spans="2:2" ht="15.75" customHeight="1" x14ac:dyDescent="0.3">
      <c r="B742" s="13"/>
    </row>
    <row r="743" spans="2:2" ht="15.75" customHeight="1" x14ac:dyDescent="0.3">
      <c r="B743" s="13"/>
    </row>
    <row r="744" spans="2:2" ht="15.75" customHeight="1" x14ac:dyDescent="0.3">
      <c r="B744" s="13"/>
    </row>
    <row r="745" spans="2:2" ht="15.75" customHeight="1" x14ac:dyDescent="0.3">
      <c r="B745" s="13"/>
    </row>
    <row r="746" spans="2:2" ht="15.75" customHeight="1" x14ac:dyDescent="0.3">
      <c r="B746" s="13"/>
    </row>
    <row r="747" spans="2:2" ht="15.75" customHeight="1" x14ac:dyDescent="0.3">
      <c r="B747" s="13"/>
    </row>
    <row r="748" spans="2:2" ht="15.75" customHeight="1" x14ac:dyDescent="0.3">
      <c r="B748" s="13"/>
    </row>
    <row r="749" spans="2:2" ht="15.75" customHeight="1" x14ac:dyDescent="0.3">
      <c r="B749" s="13"/>
    </row>
    <row r="750" spans="2:2" ht="15.75" customHeight="1" x14ac:dyDescent="0.3">
      <c r="B750" s="13"/>
    </row>
    <row r="751" spans="2:2" ht="15.75" customHeight="1" x14ac:dyDescent="0.3">
      <c r="B751" s="13"/>
    </row>
    <row r="752" spans="2:2" ht="15.75" customHeight="1" x14ac:dyDescent="0.3">
      <c r="B752" s="13"/>
    </row>
    <row r="753" spans="2:2" ht="15.75" customHeight="1" x14ac:dyDescent="0.3">
      <c r="B753" s="13"/>
    </row>
    <row r="754" spans="2:2" ht="15.75" customHeight="1" x14ac:dyDescent="0.3">
      <c r="B754" s="13"/>
    </row>
    <row r="755" spans="2:2" ht="15.75" customHeight="1" x14ac:dyDescent="0.3">
      <c r="B755" s="13"/>
    </row>
    <row r="756" spans="2:2" ht="15.75" customHeight="1" x14ac:dyDescent="0.3">
      <c r="B756" s="13"/>
    </row>
    <row r="757" spans="2:2" ht="15.75" customHeight="1" x14ac:dyDescent="0.3">
      <c r="B757" s="13"/>
    </row>
    <row r="758" spans="2:2" ht="15.75" customHeight="1" x14ac:dyDescent="0.3">
      <c r="B758" s="13"/>
    </row>
    <row r="759" spans="2:2" ht="15.75" customHeight="1" x14ac:dyDescent="0.3">
      <c r="B759" s="13"/>
    </row>
    <row r="760" spans="2:2" ht="15.75" customHeight="1" x14ac:dyDescent="0.3">
      <c r="B760" s="13"/>
    </row>
    <row r="761" spans="2:2" ht="15.75" customHeight="1" x14ac:dyDescent="0.3">
      <c r="B761" s="13"/>
    </row>
    <row r="762" spans="2:2" ht="15.75" customHeight="1" x14ac:dyDescent="0.3">
      <c r="B762" s="13"/>
    </row>
    <row r="763" spans="2:2" ht="15.75" customHeight="1" x14ac:dyDescent="0.3">
      <c r="B763" s="13"/>
    </row>
    <row r="764" spans="2:2" ht="15.75" customHeight="1" x14ac:dyDescent="0.3">
      <c r="B764" s="13"/>
    </row>
    <row r="765" spans="2:2" ht="15.75" customHeight="1" x14ac:dyDescent="0.3">
      <c r="B765" s="13"/>
    </row>
    <row r="766" spans="2:2" ht="15.75" customHeight="1" x14ac:dyDescent="0.3">
      <c r="B766" s="13"/>
    </row>
    <row r="767" spans="2:2" ht="15.75" customHeight="1" x14ac:dyDescent="0.3">
      <c r="B767" s="13"/>
    </row>
    <row r="768" spans="2:2" ht="15.75" customHeight="1" x14ac:dyDescent="0.3">
      <c r="B768" s="13"/>
    </row>
    <row r="769" spans="2:2" ht="15.75" customHeight="1" x14ac:dyDescent="0.3">
      <c r="B769" s="13"/>
    </row>
    <row r="770" spans="2:2" ht="15.75" customHeight="1" x14ac:dyDescent="0.3">
      <c r="B770" s="13"/>
    </row>
    <row r="771" spans="2:2" ht="15.75" customHeight="1" x14ac:dyDescent="0.3">
      <c r="B771" s="13"/>
    </row>
    <row r="772" spans="2:2" ht="15.75" customHeight="1" x14ac:dyDescent="0.3">
      <c r="B772" s="13"/>
    </row>
    <row r="773" spans="2:2" ht="15.75" customHeight="1" x14ac:dyDescent="0.3">
      <c r="B773" s="13"/>
    </row>
    <row r="774" spans="2:2" ht="15.75" customHeight="1" x14ac:dyDescent="0.3">
      <c r="B774" s="13"/>
    </row>
    <row r="775" spans="2:2" ht="15.75" customHeight="1" x14ac:dyDescent="0.3">
      <c r="B775" s="13"/>
    </row>
    <row r="776" spans="2:2" ht="15.75" customHeight="1" x14ac:dyDescent="0.3">
      <c r="B776" s="13"/>
    </row>
    <row r="777" spans="2:2" ht="15.75" customHeight="1" x14ac:dyDescent="0.3">
      <c r="B777" s="13"/>
    </row>
    <row r="778" spans="2:2" ht="15.75" customHeight="1" x14ac:dyDescent="0.3">
      <c r="B778" s="13"/>
    </row>
    <row r="779" spans="2:2" ht="15.75" customHeight="1" x14ac:dyDescent="0.3">
      <c r="B779" s="13"/>
    </row>
    <row r="780" spans="2:2" ht="15.75" customHeight="1" x14ac:dyDescent="0.3">
      <c r="B780" s="13"/>
    </row>
    <row r="781" spans="2:2" ht="15.75" customHeight="1" x14ac:dyDescent="0.3">
      <c r="B781" s="13"/>
    </row>
    <row r="782" spans="2:2" ht="15.75" customHeight="1" x14ac:dyDescent="0.3">
      <c r="B782" s="13"/>
    </row>
    <row r="783" spans="2:2" ht="15.75" customHeight="1" x14ac:dyDescent="0.3">
      <c r="B783" s="13"/>
    </row>
    <row r="784" spans="2:2" ht="15.75" customHeight="1" x14ac:dyDescent="0.3">
      <c r="B784" s="13"/>
    </row>
    <row r="785" spans="2:2" ht="15.75" customHeight="1" x14ac:dyDescent="0.3">
      <c r="B785" s="13"/>
    </row>
    <row r="786" spans="2:2" ht="15.75" customHeight="1" x14ac:dyDescent="0.3">
      <c r="B786" s="13"/>
    </row>
    <row r="787" spans="2:2" ht="15.75" customHeight="1" x14ac:dyDescent="0.3">
      <c r="B787" s="13"/>
    </row>
    <row r="788" spans="2:2" ht="15.75" customHeight="1" x14ac:dyDescent="0.3">
      <c r="B788" s="13"/>
    </row>
    <row r="789" spans="2:2" ht="15.75" customHeight="1" x14ac:dyDescent="0.3">
      <c r="B789" s="13"/>
    </row>
    <row r="790" spans="2:2" ht="15.75" customHeight="1" x14ac:dyDescent="0.3">
      <c r="B790" s="13"/>
    </row>
    <row r="791" spans="2:2" ht="15.75" customHeight="1" x14ac:dyDescent="0.3">
      <c r="B791" s="13"/>
    </row>
    <row r="792" spans="2:2" ht="15.75" customHeight="1" x14ac:dyDescent="0.3">
      <c r="B792" s="13"/>
    </row>
    <row r="793" spans="2:2" ht="15.75" customHeight="1" x14ac:dyDescent="0.3">
      <c r="B793" s="13"/>
    </row>
    <row r="794" spans="2:2" ht="15.75" customHeight="1" x14ac:dyDescent="0.3">
      <c r="B794" s="13"/>
    </row>
    <row r="795" spans="2:2" ht="15.75" customHeight="1" x14ac:dyDescent="0.3">
      <c r="B795" s="13"/>
    </row>
    <row r="796" spans="2:2" ht="15.75" customHeight="1" x14ac:dyDescent="0.3">
      <c r="B796" s="13"/>
    </row>
    <row r="797" spans="2:2" ht="15.75" customHeight="1" x14ac:dyDescent="0.3">
      <c r="B797" s="13"/>
    </row>
    <row r="798" spans="2:2" ht="15.75" customHeight="1" x14ac:dyDescent="0.3">
      <c r="B798" s="13"/>
    </row>
    <row r="799" spans="2:2" ht="15.75" customHeight="1" x14ac:dyDescent="0.3">
      <c r="B799" s="13"/>
    </row>
    <row r="800" spans="2:2" ht="15.75" customHeight="1" x14ac:dyDescent="0.3">
      <c r="B800" s="13"/>
    </row>
    <row r="801" spans="2:2" ht="15.75" customHeight="1" x14ac:dyDescent="0.3">
      <c r="B801" s="13"/>
    </row>
    <row r="802" spans="2:2" ht="15.75" customHeight="1" x14ac:dyDescent="0.3">
      <c r="B802" s="13"/>
    </row>
    <row r="803" spans="2:2" ht="15.75" customHeight="1" x14ac:dyDescent="0.3">
      <c r="B803" s="13"/>
    </row>
    <row r="804" spans="2:2" ht="15.75" customHeight="1" x14ac:dyDescent="0.3">
      <c r="B804" s="13"/>
    </row>
    <row r="805" spans="2:2" ht="15.75" customHeight="1" x14ac:dyDescent="0.3">
      <c r="B805" s="13"/>
    </row>
    <row r="806" spans="2:2" ht="15.75" customHeight="1" x14ac:dyDescent="0.3">
      <c r="B806" s="13"/>
    </row>
    <row r="807" spans="2:2" ht="15.75" customHeight="1" x14ac:dyDescent="0.3">
      <c r="B807" s="13"/>
    </row>
    <row r="808" spans="2:2" ht="15.75" customHeight="1" x14ac:dyDescent="0.3">
      <c r="B808" s="13"/>
    </row>
    <row r="809" spans="2:2" ht="15.75" customHeight="1" x14ac:dyDescent="0.3">
      <c r="B809" s="13"/>
    </row>
    <row r="810" spans="2:2" ht="15.75" customHeight="1" x14ac:dyDescent="0.3">
      <c r="B810" s="13"/>
    </row>
    <row r="811" spans="2:2" ht="15.75" customHeight="1" x14ac:dyDescent="0.3">
      <c r="B811" s="13"/>
    </row>
    <row r="812" spans="2:2" ht="15.75" customHeight="1" x14ac:dyDescent="0.3">
      <c r="B812" s="13"/>
    </row>
    <row r="813" spans="2:2" ht="15.75" customHeight="1" x14ac:dyDescent="0.3">
      <c r="B813" s="13"/>
    </row>
    <row r="814" spans="2:2" ht="15.75" customHeight="1" x14ac:dyDescent="0.3">
      <c r="B814" s="13"/>
    </row>
    <row r="815" spans="2:2" ht="15.75" customHeight="1" x14ac:dyDescent="0.3">
      <c r="B815" s="13"/>
    </row>
    <row r="816" spans="2:2" ht="15.75" customHeight="1" x14ac:dyDescent="0.3">
      <c r="B816" s="13"/>
    </row>
    <row r="817" spans="2:2" ht="15.75" customHeight="1" x14ac:dyDescent="0.3">
      <c r="B817" s="13"/>
    </row>
    <row r="818" spans="2:2" ht="15.75" customHeight="1" x14ac:dyDescent="0.3">
      <c r="B818" s="13"/>
    </row>
    <row r="819" spans="2:2" ht="15.75" customHeight="1" x14ac:dyDescent="0.3">
      <c r="B819" s="13"/>
    </row>
    <row r="820" spans="2:2" ht="15.75" customHeight="1" x14ac:dyDescent="0.3">
      <c r="B820" s="13"/>
    </row>
    <row r="821" spans="2:2" ht="15.75" customHeight="1" x14ac:dyDescent="0.3">
      <c r="B821" s="13"/>
    </row>
    <row r="822" spans="2:2" ht="15.75" customHeight="1" x14ac:dyDescent="0.3">
      <c r="B822" s="13"/>
    </row>
    <row r="823" spans="2:2" ht="15.75" customHeight="1" x14ac:dyDescent="0.3">
      <c r="B823" s="13"/>
    </row>
    <row r="824" spans="2:2" ht="15.75" customHeight="1" x14ac:dyDescent="0.3">
      <c r="B824" s="13"/>
    </row>
    <row r="825" spans="2:2" ht="15.75" customHeight="1" x14ac:dyDescent="0.3">
      <c r="B825" s="13"/>
    </row>
    <row r="826" spans="2:2" ht="15.75" customHeight="1" x14ac:dyDescent="0.3">
      <c r="B826" s="13"/>
    </row>
    <row r="827" spans="2:2" ht="15.75" customHeight="1" x14ac:dyDescent="0.3">
      <c r="B827" s="13"/>
    </row>
    <row r="828" spans="2:2" ht="15.75" customHeight="1" x14ac:dyDescent="0.3">
      <c r="B828" s="13"/>
    </row>
    <row r="829" spans="2:2" ht="15.75" customHeight="1" x14ac:dyDescent="0.3">
      <c r="B829" s="13"/>
    </row>
    <row r="830" spans="2:2" ht="15.75" customHeight="1" x14ac:dyDescent="0.3">
      <c r="B830" s="13"/>
    </row>
    <row r="831" spans="2:2" ht="15.75" customHeight="1" x14ac:dyDescent="0.3">
      <c r="B831" s="13"/>
    </row>
    <row r="832" spans="2:2" ht="15.75" customHeight="1" x14ac:dyDescent="0.3">
      <c r="B832" s="13"/>
    </row>
    <row r="833" spans="2:2" ht="15.75" customHeight="1" x14ac:dyDescent="0.3">
      <c r="B833" s="13"/>
    </row>
    <row r="834" spans="2:2" ht="15.75" customHeight="1" x14ac:dyDescent="0.3">
      <c r="B834" s="13"/>
    </row>
    <row r="835" spans="2:2" ht="15.75" customHeight="1" x14ac:dyDescent="0.3">
      <c r="B835" s="13"/>
    </row>
    <row r="836" spans="2:2" ht="15.75" customHeight="1" x14ac:dyDescent="0.3">
      <c r="B836" s="13"/>
    </row>
    <row r="837" spans="2:2" ht="15.75" customHeight="1" x14ac:dyDescent="0.3">
      <c r="B837" s="13"/>
    </row>
    <row r="838" spans="2:2" ht="15.75" customHeight="1" x14ac:dyDescent="0.3">
      <c r="B838" s="13"/>
    </row>
    <row r="839" spans="2:2" ht="15.75" customHeight="1" x14ac:dyDescent="0.3">
      <c r="B839" s="13"/>
    </row>
    <row r="840" spans="2:2" ht="15.75" customHeight="1" x14ac:dyDescent="0.3">
      <c r="B840" s="13"/>
    </row>
    <row r="841" spans="2:2" ht="15.75" customHeight="1" x14ac:dyDescent="0.3">
      <c r="B841" s="13"/>
    </row>
    <row r="842" spans="2:2" ht="15.75" customHeight="1" x14ac:dyDescent="0.3">
      <c r="B842" s="13"/>
    </row>
    <row r="843" spans="2:2" ht="15.75" customHeight="1" x14ac:dyDescent="0.3">
      <c r="B843" s="13"/>
    </row>
    <row r="844" spans="2:2" ht="15.75" customHeight="1" x14ac:dyDescent="0.3">
      <c r="B844" s="13"/>
    </row>
    <row r="845" spans="2:2" ht="15.75" customHeight="1" x14ac:dyDescent="0.3">
      <c r="B845" s="13"/>
    </row>
    <row r="846" spans="2:2" ht="15.75" customHeight="1" x14ac:dyDescent="0.3">
      <c r="B846" s="13"/>
    </row>
    <row r="847" spans="2:2" ht="15.75" customHeight="1" x14ac:dyDescent="0.3">
      <c r="B847" s="13"/>
    </row>
    <row r="848" spans="2:2" ht="15.75" customHeight="1" x14ac:dyDescent="0.3">
      <c r="B848" s="13"/>
    </row>
    <row r="849" spans="2:2" ht="15.75" customHeight="1" x14ac:dyDescent="0.3">
      <c r="B849" s="13"/>
    </row>
    <row r="850" spans="2:2" ht="15.75" customHeight="1" x14ac:dyDescent="0.3">
      <c r="B850" s="13"/>
    </row>
    <row r="851" spans="2:2" ht="15.75" customHeight="1" x14ac:dyDescent="0.3">
      <c r="B851" s="13"/>
    </row>
    <row r="852" spans="2:2" ht="15.75" customHeight="1" x14ac:dyDescent="0.3">
      <c r="B852" s="13"/>
    </row>
    <row r="853" spans="2:2" ht="15.75" customHeight="1" x14ac:dyDescent="0.3">
      <c r="B853" s="13"/>
    </row>
    <row r="854" spans="2:2" ht="15.75" customHeight="1" x14ac:dyDescent="0.3">
      <c r="B854" s="13"/>
    </row>
    <row r="855" spans="2:2" ht="15.75" customHeight="1" x14ac:dyDescent="0.3">
      <c r="B855" s="13"/>
    </row>
    <row r="856" spans="2:2" ht="15.75" customHeight="1" x14ac:dyDescent="0.3">
      <c r="B856" s="13"/>
    </row>
    <row r="857" spans="2:2" ht="15.75" customHeight="1" x14ac:dyDescent="0.3">
      <c r="B857" s="13"/>
    </row>
    <row r="858" spans="2:2" ht="15.75" customHeight="1" x14ac:dyDescent="0.3">
      <c r="B858" s="13"/>
    </row>
    <row r="859" spans="2:2" ht="15.75" customHeight="1" x14ac:dyDescent="0.3">
      <c r="B859" s="13"/>
    </row>
    <row r="860" spans="2:2" ht="15.75" customHeight="1" x14ac:dyDescent="0.3">
      <c r="B860" s="13"/>
    </row>
    <row r="861" spans="2:2" ht="15.75" customHeight="1" x14ac:dyDescent="0.3">
      <c r="B861" s="13"/>
    </row>
    <row r="862" spans="2:2" ht="15.75" customHeight="1" x14ac:dyDescent="0.3">
      <c r="B862" s="13"/>
    </row>
    <row r="863" spans="2:2" ht="15.75" customHeight="1" x14ac:dyDescent="0.3">
      <c r="B863" s="13"/>
    </row>
    <row r="864" spans="2:2" ht="15.75" customHeight="1" x14ac:dyDescent="0.3">
      <c r="B864" s="13"/>
    </row>
    <row r="865" spans="2:2" ht="15.75" customHeight="1" x14ac:dyDescent="0.3">
      <c r="B865" s="13"/>
    </row>
    <row r="866" spans="2:2" ht="15.75" customHeight="1" x14ac:dyDescent="0.3">
      <c r="B866" s="13"/>
    </row>
    <row r="867" spans="2:2" ht="15.75" customHeight="1" x14ac:dyDescent="0.3">
      <c r="B867" s="13"/>
    </row>
    <row r="868" spans="2:2" ht="15.75" customHeight="1" x14ac:dyDescent="0.3">
      <c r="B868" s="13"/>
    </row>
    <row r="869" spans="2:2" ht="15.75" customHeight="1" x14ac:dyDescent="0.3">
      <c r="B869" s="13"/>
    </row>
    <row r="870" spans="2:2" ht="15.75" customHeight="1" x14ac:dyDescent="0.3">
      <c r="B870" s="13"/>
    </row>
    <row r="871" spans="2:2" ht="15.75" customHeight="1" x14ac:dyDescent="0.3">
      <c r="B871" s="13"/>
    </row>
    <row r="872" spans="2:2" ht="15.75" customHeight="1" x14ac:dyDescent="0.3">
      <c r="B872" s="13"/>
    </row>
    <row r="873" spans="2:2" ht="15.75" customHeight="1" x14ac:dyDescent="0.3">
      <c r="B873" s="13"/>
    </row>
    <row r="874" spans="2:2" ht="15.75" customHeight="1" x14ac:dyDescent="0.3">
      <c r="B874" s="13"/>
    </row>
    <row r="875" spans="2:2" ht="15.75" customHeight="1" x14ac:dyDescent="0.3">
      <c r="B875" s="13"/>
    </row>
    <row r="876" spans="2:2" ht="15.75" customHeight="1" x14ac:dyDescent="0.3">
      <c r="B876" s="13"/>
    </row>
    <row r="877" spans="2:2" ht="15.75" customHeight="1" x14ac:dyDescent="0.3">
      <c r="B877" s="13"/>
    </row>
    <row r="878" spans="2:2" ht="15.75" customHeight="1" x14ac:dyDescent="0.3">
      <c r="B878" s="13"/>
    </row>
    <row r="879" spans="2:2" ht="15.75" customHeight="1" x14ac:dyDescent="0.3">
      <c r="B879" s="13"/>
    </row>
    <row r="880" spans="2:2" ht="15.75" customHeight="1" x14ac:dyDescent="0.3">
      <c r="B880" s="13"/>
    </row>
    <row r="881" spans="2:2" ht="15.75" customHeight="1" x14ac:dyDescent="0.3">
      <c r="B881" s="13"/>
    </row>
    <row r="882" spans="2:2" ht="15.75" customHeight="1" x14ac:dyDescent="0.3">
      <c r="B882" s="13"/>
    </row>
    <row r="883" spans="2:2" ht="15.75" customHeight="1" x14ac:dyDescent="0.3">
      <c r="B883" s="13"/>
    </row>
    <row r="884" spans="2:2" ht="15.75" customHeight="1" x14ac:dyDescent="0.3">
      <c r="B884" s="13"/>
    </row>
    <row r="885" spans="2:2" ht="15.75" customHeight="1" x14ac:dyDescent="0.3">
      <c r="B885" s="13"/>
    </row>
    <row r="886" spans="2:2" ht="15.75" customHeight="1" x14ac:dyDescent="0.3">
      <c r="B886" s="13"/>
    </row>
    <row r="887" spans="2:2" ht="15.75" customHeight="1" x14ac:dyDescent="0.3">
      <c r="B887" s="13"/>
    </row>
    <row r="888" spans="2:2" ht="15.75" customHeight="1" x14ac:dyDescent="0.3">
      <c r="B888" s="13"/>
    </row>
    <row r="889" spans="2:2" ht="15.75" customHeight="1" x14ac:dyDescent="0.3">
      <c r="B889" s="13"/>
    </row>
    <row r="890" spans="2:2" ht="15.75" customHeight="1" x14ac:dyDescent="0.3">
      <c r="B890" s="13"/>
    </row>
    <row r="891" spans="2:2" ht="15.75" customHeight="1" x14ac:dyDescent="0.3">
      <c r="B891" s="13"/>
    </row>
    <row r="892" spans="2:2" ht="15.75" customHeight="1" x14ac:dyDescent="0.3">
      <c r="B892" s="13"/>
    </row>
    <row r="893" spans="2:2" ht="15.75" customHeight="1" x14ac:dyDescent="0.3">
      <c r="B893" s="13"/>
    </row>
    <row r="894" spans="2:2" ht="15.75" customHeight="1" x14ac:dyDescent="0.3">
      <c r="B894" s="13"/>
    </row>
    <row r="895" spans="2:2" ht="15.75" customHeight="1" x14ac:dyDescent="0.3">
      <c r="B895" s="13"/>
    </row>
    <row r="896" spans="2:2" ht="15.75" customHeight="1" x14ac:dyDescent="0.3">
      <c r="B896" s="13"/>
    </row>
    <row r="897" spans="2:2" ht="15.75" customHeight="1" x14ac:dyDescent="0.3">
      <c r="B897" s="13"/>
    </row>
    <row r="898" spans="2:2" ht="15.75" customHeight="1" x14ac:dyDescent="0.3">
      <c r="B898" s="13"/>
    </row>
    <row r="899" spans="2:2" ht="15.75" customHeight="1" x14ac:dyDescent="0.3">
      <c r="B899" s="13"/>
    </row>
    <row r="900" spans="2:2" ht="15.75" customHeight="1" x14ac:dyDescent="0.3">
      <c r="B900" s="13"/>
    </row>
    <row r="901" spans="2:2" ht="15.75" customHeight="1" x14ac:dyDescent="0.3">
      <c r="B901" s="13"/>
    </row>
    <row r="902" spans="2:2" ht="15.75" customHeight="1" x14ac:dyDescent="0.3">
      <c r="B902" s="13"/>
    </row>
    <row r="903" spans="2:2" ht="15.75" customHeight="1" x14ac:dyDescent="0.3">
      <c r="B903" s="13"/>
    </row>
    <row r="904" spans="2:2" ht="15.75" customHeight="1" x14ac:dyDescent="0.3">
      <c r="B904" s="13"/>
    </row>
    <row r="905" spans="2:2" ht="15.75" customHeight="1" x14ac:dyDescent="0.3">
      <c r="B905" s="13"/>
    </row>
    <row r="906" spans="2:2" ht="15.75" customHeight="1" x14ac:dyDescent="0.3">
      <c r="B906" s="13"/>
    </row>
    <row r="907" spans="2:2" ht="15.75" customHeight="1" x14ac:dyDescent="0.3">
      <c r="B907" s="13"/>
    </row>
    <row r="908" spans="2:2" ht="15.75" customHeight="1" x14ac:dyDescent="0.3">
      <c r="B908" s="13"/>
    </row>
    <row r="909" spans="2:2" ht="15.75" customHeight="1" x14ac:dyDescent="0.3">
      <c r="B909" s="13"/>
    </row>
    <row r="910" spans="2:2" ht="15.75" customHeight="1" x14ac:dyDescent="0.3">
      <c r="B910" s="13"/>
    </row>
    <row r="911" spans="2:2" ht="15.75" customHeight="1" x14ac:dyDescent="0.3">
      <c r="B911" s="13"/>
    </row>
    <row r="912" spans="2:2" ht="15.75" customHeight="1" x14ac:dyDescent="0.3">
      <c r="B912" s="13"/>
    </row>
    <row r="913" spans="2:2" ht="15.75" customHeight="1" x14ac:dyDescent="0.3">
      <c r="B913" s="13"/>
    </row>
    <row r="914" spans="2:2" ht="15.75" customHeight="1" x14ac:dyDescent="0.3">
      <c r="B914" s="13"/>
    </row>
    <row r="915" spans="2:2" ht="15.75" customHeight="1" x14ac:dyDescent="0.3">
      <c r="B915" s="13"/>
    </row>
    <row r="916" spans="2:2" ht="15.75" customHeight="1" x14ac:dyDescent="0.3">
      <c r="B916" s="13"/>
    </row>
    <row r="917" spans="2:2" ht="15.75" customHeight="1" x14ac:dyDescent="0.3">
      <c r="B917" s="13"/>
    </row>
    <row r="918" spans="2:2" ht="15.75" customHeight="1" x14ac:dyDescent="0.3">
      <c r="B918" s="13"/>
    </row>
    <row r="919" spans="2:2" ht="15.75" customHeight="1" x14ac:dyDescent="0.3">
      <c r="B919" s="13"/>
    </row>
    <row r="920" spans="2:2" ht="15.75" customHeight="1" x14ac:dyDescent="0.3">
      <c r="B920" s="13"/>
    </row>
    <row r="921" spans="2:2" ht="15.75" customHeight="1" x14ac:dyDescent="0.3">
      <c r="B921" s="13"/>
    </row>
    <row r="922" spans="2:2" ht="15.75" customHeight="1" x14ac:dyDescent="0.3">
      <c r="B922" s="13"/>
    </row>
    <row r="923" spans="2:2" ht="15.75" customHeight="1" x14ac:dyDescent="0.3">
      <c r="B923" s="13"/>
    </row>
    <row r="924" spans="2:2" ht="15.75" customHeight="1" x14ac:dyDescent="0.3">
      <c r="B924" s="13"/>
    </row>
    <row r="925" spans="2:2" ht="15.75" customHeight="1" x14ac:dyDescent="0.3">
      <c r="B925" s="13"/>
    </row>
    <row r="926" spans="2:2" ht="15.75" customHeight="1" x14ac:dyDescent="0.3">
      <c r="B926" s="13"/>
    </row>
    <row r="927" spans="2:2" ht="15.75" customHeight="1" x14ac:dyDescent="0.3">
      <c r="B927" s="13"/>
    </row>
    <row r="928" spans="2:2" ht="15.75" customHeight="1" x14ac:dyDescent="0.3">
      <c r="B928" s="13"/>
    </row>
    <row r="929" spans="2:2" ht="15.75" customHeight="1" x14ac:dyDescent="0.3">
      <c r="B929" s="13"/>
    </row>
    <row r="930" spans="2:2" ht="15.75" customHeight="1" x14ac:dyDescent="0.3">
      <c r="B930" s="13"/>
    </row>
    <row r="931" spans="2:2" ht="15.75" customHeight="1" x14ac:dyDescent="0.3">
      <c r="B931" s="13"/>
    </row>
    <row r="932" spans="2:2" ht="15.75" customHeight="1" x14ac:dyDescent="0.3">
      <c r="B932" s="13"/>
    </row>
    <row r="933" spans="2:2" ht="15.75" customHeight="1" x14ac:dyDescent="0.3">
      <c r="B933" s="13"/>
    </row>
    <row r="934" spans="2:2" ht="15.75" customHeight="1" x14ac:dyDescent="0.3">
      <c r="B934" s="13"/>
    </row>
    <row r="935" spans="2:2" ht="15.75" customHeight="1" x14ac:dyDescent="0.3">
      <c r="B935" s="13"/>
    </row>
    <row r="936" spans="2:2" ht="15.75" customHeight="1" x14ac:dyDescent="0.3">
      <c r="B936" s="13"/>
    </row>
    <row r="937" spans="2:2" ht="15.75" customHeight="1" x14ac:dyDescent="0.3">
      <c r="B937" s="13"/>
    </row>
    <row r="938" spans="2:2" ht="15.75" customHeight="1" x14ac:dyDescent="0.3">
      <c r="B938" s="13"/>
    </row>
    <row r="939" spans="2:2" ht="15.75" customHeight="1" x14ac:dyDescent="0.3">
      <c r="B939" s="13"/>
    </row>
    <row r="940" spans="2:2" ht="15.75" customHeight="1" x14ac:dyDescent="0.3">
      <c r="B940" s="13"/>
    </row>
    <row r="941" spans="2:2" ht="15.75" customHeight="1" x14ac:dyDescent="0.3">
      <c r="B941" s="13"/>
    </row>
    <row r="942" spans="2:2" ht="15.75" customHeight="1" x14ac:dyDescent="0.3">
      <c r="B942" s="13"/>
    </row>
    <row r="943" spans="2:2" ht="15.75" customHeight="1" x14ac:dyDescent="0.3">
      <c r="B943" s="13"/>
    </row>
    <row r="944" spans="2:2" ht="15.75" customHeight="1" x14ac:dyDescent="0.3">
      <c r="B944" s="13"/>
    </row>
    <row r="945" spans="2:2" ht="15.75" customHeight="1" x14ac:dyDescent="0.3">
      <c r="B945" s="13"/>
    </row>
    <row r="946" spans="2:2" ht="15.75" customHeight="1" x14ac:dyDescent="0.3">
      <c r="B946" s="13"/>
    </row>
    <row r="947" spans="2:2" ht="15.75" customHeight="1" x14ac:dyDescent="0.3">
      <c r="B947" s="13"/>
    </row>
    <row r="948" spans="2:2" ht="15.75" customHeight="1" x14ac:dyDescent="0.3">
      <c r="B948" s="13"/>
    </row>
    <row r="949" spans="2:2" ht="15.75" customHeight="1" x14ac:dyDescent="0.3">
      <c r="B949" s="13"/>
    </row>
    <row r="950" spans="2:2" ht="15.75" customHeight="1" x14ac:dyDescent="0.3">
      <c r="B950" s="13"/>
    </row>
    <row r="951" spans="2:2" ht="15.75" customHeight="1" x14ac:dyDescent="0.3">
      <c r="B951" s="13"/>
    </row>
    <row r="952" spans="2:2" ht="15.75" customHeight="1" x14ac:dyDescent="0.3">
      <c r="B952" s="13"/>
    </row>
    <row r="953" spans="2:2" ht="15.75" customHeight="1" x14ac:dyDescent="0.3">
      <c r="B953" s="13"/>
    </row>
    <row r="954" spans="2:2" ht="15.75" customHeight="1" x14ac:dyDescent="0.3">
      <c r="B954" s="13"/>
    </row>
    <row r="955" spans="2:2" ht="15.75" customHeight="1" x14ac:dyDescent="0.3">
      <c r="B955" s="13"/>
    </row>
    <row r="956" spans="2:2" ht="15.75" customHeight="1" x14ac:dyDescent="0.3">
      <c r="B956" s="13"/>
    </row>
    <row r="957" spans="2:2" ht="15.75" customHeight="1" x14ac:dyDescent="0.3">
      <c r="B957" s="13"/>
    </row>
    <row r="958" spans="2:2" ht="15.75" customHeight="1" x14ac:dyDescent="0.3">
      <c r="B958" s="13"/>
    </row>
    <row r="959" spans="2:2" ht="15.75" customHeight="1" x14ac:dyDescent="0.3">
      <c r="B959" s="13"/>
    </row>
    <row r="960" spans="2:2" ht="15.75" customHeight="1" x14ac:dyDescent="0.3">
      <c r="B960" s="13"/>
    </row>
    <row r="961" spans="2:2" ht="15.75" customHeight="1" x14ac:dyDescent="0.3">
      <c r="B961" s="13"/>
    </row>
    <row r="962" spans="2:2" ht="15.75" customHeight="1" x14ac:dyDescent="0.3">
      <c r="B962" s="13"/>
    </row>
    <row r="963" spans="2:2" ht="15.75" customHeight="1" x14ac:dyDescent="0.3">
      <c r="B963" s="13"/>
    </row>
    <row r="964" spans="2:2" ht="15.75" customHeight="1" x14ac:dyDescent="0.3">
      <c r="B964" s="13"/>
    </row>
    <row r="965" spans="2:2" ht="15.75" customHeight="1" x14ac:dyDescent="0.3">
      <c r="B965" s="13"/>
    </row>
    <row r="966" spans="2:2" ht="15.75" customHeight="1" x14ac:dyDescent="0.3">
      <c r="B966" s="13"/>
    </row>
    <row r="967" spans="2:2" ht="15.75" customHeight="1" x14ac:dyDescent="0.3">
      <c r="B967" s="13"/>
    </row>
    <row r="968" spans="2:2" ht="15.75" customHeight="1" x14ac:dyDescent="0.3">
      <c r="B968" s="13"/>
    </row>
    <row r="969" spans="2:2" ht="15.75" customHeight="1" x14ac:dyDescent="0.3">
      <c r="B969" s="13"/>
    </row>
    <row r="970" spans="2:2" ht="15.75" customHeight="1" x14ac:dyDescent="0.3">
      <c r="B970" s="13"/>
    </row>
    <row r="971" spans="2:2" ht="15.75" customHeight="1" x14ac:dyDescent="0.3">
      <c r="B971" s="13"/>
    </row>
    <row r="972" spans="2:2" ht="15.75" customHeight="1" x14ac:dyDescent="0.3">
      <c r="B972" s="13"/>
    </row>
    <row r="973" spans="2:2" ht="15.75" customHeight="1" x14ac:dyDescent="0.3">
      <c r="B973" s="13"/>
    </row>
    <row r="974" spans="2:2" ht="15.75" customHeight="1" x14ac:dyDescent="0.3">
      <c r="B974" s="13"/>
    </row>
    <row r="975" spans="2:2" ht="15.75" customHeight="1" x14ac:dyDescent="0.3">
      <c r="B975" s="13"/>
    </row>
    <row r="976" spans="2:2" ht="15.75" customHeight="1" x14ac:dyDescent="0.3">
      <c r="B976" s="13"/>
    </row>
    <row r="977" spans="2:2" ht="15.75" customHeight="1" x14ac:dyDescent="0.3">
      <c r="B977" s="13"/>
    </row>
    <row r="978" spans="2:2" ht="15.75" customHeight="1" x14ac:dyDescent="0.3">
      <c r="B978" s="13"/>
    </row>
    <row r="979" spans="2:2" ht="15.75" customHeight="1" x14ac:dyDescent="0.3">
      <c r="B979" s="13"/>
    </row>
    <row r="980" spans="2:2" ht="15.75" customHeight="1" x14ac:dyDescent="0.3">
      <c r="B980" s="13"/>
    </row>
    <row r="981" spans="2:2" ht="15.75" customHeight="1" x14ac:dyDescent="0.3">
      <c r="B981" s="13"/>
    </row>
    <row r="982" spans="2:2" ht="15.75" customHeight="1" x14ac:dyDescent="0.3">
      <c r="B982" s="13"/>
    </row>
    <row r="983" spans="2:2" ht="15.75" customHeight="1" x14ac:dyDescent="0.3">
      <c r="B983" s="13"/>
    </row>
    <row r="984" spans="2:2" ht="15.75" customHeight="1" x14ac:dyDescent="0.3">
      <c r="B984" s="13"/>
    </row>
    <row r="985" spans="2:2" ht="15.75" customHeight="1" x14ac:dyDescent="0.3">
      <c r="B985" s="13"/>
    </row>
    <row r="986" spans="2:2" ht="15.75" customHeight="1" x14ac:dyDescent="0.3">
      <c r="B986" s="13"/>
    </row>
    <row r="987" spans="2:2" ht="15.75" customHeight="1" x14ac:dyDescent="0.3">
      <c r="B987" s="13"/>
    </row>
    <row r="988" spans="2:2" ht="15.75" customHeight="1" x14ac:dyDescent="0.3">
      <c r="B988" s="13"/>
    </row>
    <row r="989" spans="2:2" ht="15.75" customHeight="1" x14ac:dyDescent="0.3">
      <c r="B989" s="13"/>
    </row>
    <row r="990" spans="2:2" ht="15.75" customHeight="1" x14ac:dyDescent="0.3">
      <c r="B990" s="13"/>
    </row>
    <row r="991" spans="2:2" ht="15.75" customHeight="1" x14ac:dyDescent="0.3">
      <c r="B991" s="13"/>
    </row>
    <row r="992" spans="2:2" ht="15.75" customHeight="1" x14ac:dyDescent="0.3">
      <c r="B992" s="13"/>
    </row>
    <row r="993" spans="2:2" ht="15.75" customHeight="1" x14ac:dyDescent="0.3">
      <c r="B993" s="13"/>
    </row>
    <row r="994" spans="2:2" ht="15.75" customHeight="1" x14ac:dyDescent="0.3">
      <c r="B994" s="13"/>
    </row>
    <row r="995" spans="2:2" ht="15.75" customHeight="1" x14ac:dyDescent="0.3">
      <c r="B995" s="13"/>
    </row>
    <row r="996" spans="2:2" ht="15.75" customHeight="1" x14ac:dyDescent="0.3">
      <c r="B996" s="13"/>
    </row>
    <row r="997" spans="2:2" ht="15.75" customHeight="1" x14ac:dyDescent="0.3">
      <c r="B997" s="13"/>
    </row>
    <row r="998" spans="2:2" ht="15.75" customHeight="1" x14ac:dyDescent="0.3">
      <c r="B998" s="13"/>
    </row>
    <row r="999" spans="2:2" ht="15.75" customHeight="1" x14ac:dyDescent="0.3">
      <c r="B999" s="13"/>
    </row>
    <row r="1000" spans="2:2" ht="15.75" customHeight="1" x14ac:dyDescent="0.3">
      <c r="B1000" s="13"/>
    </row>
    <row r="1001" spans="2:2" ht="15" customHeight="1" x14ac:dyDescent="0.3">
      <c r="B1001" s="13"/>
    </row>
    <row r="1002" spans="2:2" ht="15" customHeight="1" x14ac:dyDescent="0.3">
      <c r="B1002" s="13"/>
    </row>
    <row r="1003" spans="2:2" ht="15" customHeight="1" x14ac:dyDescent="0.3">
      <c r="B1003" s="13"/>
    </row>
    <row r="1004" spans="2:2" ht="15" customHeight="1" x14ac:dyDescent="0.3">
      <c r="B1004" s="13"/>
    </row>
    <row r="1005" spans="2:2" ht="15" customHeight="1" x14ac:dyDescent="0.3">
      <c r="B1005" s="13"/>
    </row>
    <row r="1006" spans="2:2" ht="15" customHeight="1" x14ac:dyDescent="0.3">
      <c r="B1006" s="13"/>
    </row>
    <row r="1007" spans="2:2" ht="15" customHeight="1" x14ac:dyDescent="0.3">
      <c r="B1007" s="13"/>
    </row>
    <row r="1008" spans="2:2" ht="15" customHeight="1" x14ac:dyDescent="0.3">
      <c r="B1008" s="13"/>
    </row>
    <row r="1009" spans="2:2" ht="15" customHeight="1" x14ac:dyDescent="0.3">
      <c r="B1009" s="13"/>
    </row>
    <row r="1010" spans="2:2" ht="15" customHeight="1" x14ac:dyDescent="0.3">
      <c r="B1010" s="13"/>
    </row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C3D9-F2F7-4FE3-AC64-069F191FB904}">
  <sheetPr>
    <tabColor rgb="FFC00000"/>
  </sheetPr>
  <dimension ref="A1:D12"/>
  <sheetViews>
    <sheetView workbookViewId="0">
      <selection activeCell="D12" sqref="D12"/>
    </sheetView>
  </sheetViews>
  <sheetFormatPr baseColWidth="10" defaultColWidth="11" defaultRowHeight="14.4" x14ac:dyDescent="0.3"/>
  <cols>
    <col min="1" max="1" width="17.19921875" style="15" customWidth="1"/>
    <col min="2" max="2" width="13.19921875" style="15" customWidth="1"/>
    <col min="3" max="3" width="21" style="15" customWidth="1"/>
    <col min="4" max="4" width="21.8984375" style="15" customWidth="1"/>
    <col min="5" max="16384" width="11" style="15"/>
  </cols>
  <sheetData>
    <row r="1" spans="1:4" ht="78.75" customHeight="1" x14ac:dyDescent="0.3">
      <c r="A1" s="52" t="s">
        <v>440</v>
      </c>
      <c r="B1" s="52" t="s">
        <v>3</v>
      </c>
      <c r="C1" s="52" t="s">
        <v>491</v>
      </c>
      <c r="D1" s="52" t="s">
        <v>494</v>
      </c>
    </row>
    <row r="2" spans="1:4" x14ac:dyDescent="0.3">
      <c r="A2" s="16">
        <v>1</v>
      </c>
      <c r="B2" s="16" t="s">
        <v>27</v>
      </c>
      <c r="C2" s="17">
        <v>3.3449428233438496</v>
      </c>
      <c r="D2" s="17">
        <v>4.2967251994394093</v>
      </c>
    </row>
    <row r="3" spans="1:4" x14ac:dyDescent="0.3">
      <c r="A3" s="16">
        <v>2</v>
      </c>
      <c r="B3" s="16" t="s">
        <v>43</v>
      </c>
      <c r="C3" s="17">
        <v>4.9572624016696087</v>
      </c>
      <c r="D3" s="17">
        <v>4.2226414614191778</v>
      </c>
    </row>
    <row r="4" spans="1:4" x14ac:dyDescent="0.3">
      <c r="A4" s="16">
        <v>3</v>
      </c>
      <c r="B4" s="16" t="s">
        <v>51</v>
      </c>
      <c r="C4" s="17">
        <v>3.5022025619758534</v>
      </c>
      <c r="D4" s="17">
        <v>4.5917707276934587</v>
      </c>
    </row>
    <row r="5" spans="1:4" x14ac:dyDescent="0.3">
      <c r="A5" s="16">
        <v>4</v>
      </c>
      <c r="B5" s="16" t="s">
        <v>57</v>
      </c>
      <c r="C5" s="17">
        <v>1.930287579033245</v>
      </c>
      <c r="D5" s="17">
        <v>2.9370831790765997</v>
      </c>
    </row>
    <row r="6" spans="1:4" x14ac:dyDescent="0.3">
      <c r="A6" s="16">
        <v>5</v>
      </c>
      <c r="B6" s="16" t="s">
        <v>302</v>
      </c>
      <c r="C6" s="17">
        <v>3.2436796823295824</v>
      </c>
      <c r="D6" s="17">
        <v>2.2328957232418274</v>
      </c>
    </row>
    <row r="7" spans="1:4" x14ac:dyDescent="0.3">
      <c r="A7" s="16">
        <v>6</v>
      </c>
      <c r="B7" s="16" t="s">
        <v>76</v>
      </c>
      <c r="C7" s="17">
        <v>1.8483977900552482</v>
      </c>
      <c r="D7" s="17">
        <v>3.0803069327367902</v>
      </c>
    </row>
    <row r="8" spans="1:4" x14ac:dyDescent="0.3">
      <c r="A8" s="16">
        <v>7</v>
      </c>
      <c r="B8" s="16" t="s">
        <v>85</v>
      </c>
      <c r="C8" s="17">
        <v>4.0273876941250046</v>
      </c>
      <c r="D8" s="17">
        <v>3.821647853078888</v>
      </c>
    </row>
    <row r="9" spans="1:4" x14ac:dyDescent="0.3">
      <c r="A9" s="16">
        <v>8</v>
      </c>
      <c r="B9" s="16" t="s">
        <v>92</v>
      </c>
      <c r="C9" s="17">
        <v>4.0400751408891677</v>
      </c>
      <c r="D9" s="17">
        <v>2.9897964797369672</v>
      </c>
    </row>
    <row r="10" spans="1:4" x14ac:dyDescent="0.3">
      <c r="A10" s="16">
        <v>9</v>
      </c>
      <c r="B10" s="16" t="s">
        <v>102</v>
      </c>
      <c r="C10" s="17">
        <v>1.8776273022751897</v>
      </c>
      <c r="D10" s="17">
        <v>3.9720008696048925</v>
      </c>
    </row>
    <row r="11" spans="1:4" x14ac:dyDescent="0.3">
      <c r="A11" s="16">
        <v>10</v>
      </c>
      <c r="B11" s="16" t="s">
        <v>408</v>
      </c>
      <c r="C11" s="66">
        <v>1.1794004207573632</v>
      </c>
      <c r="D11" s="17">
        <v>2.3590446358653097</v>
      </c>
    </row>
    <row r="12" spans="1:4" x14ac:dyDescent="0.3">
      <c r="A12" s="16">
        <v>11</v>
      </c>
      <c r="B12" s="16" t="s">
        <v>109</v>
      </c>
      <c r="C12" s="17">
        <v>3.8060954171324046</v>
      </c>
      <c r="D12" s="17">
        <v>3.8074069857617743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9191-980B-4229-8F53-D341734F0C26}">
  <sheetPr>
    <tabColor rgb="FFC00000"/>
  </sheetPr>
  <dimension ref="A1:D12"/>
  <sheetViews>
    <sheetView workbookViewId="0">
      <selection activeCell="C1" sqref="C1"/>
    </sheetView>
  </sheetViews>
  <sheetFormatPr baseColWidth="10" defaultColWidth="11" defaultRowHeight="14.4" x14ac:dyDescent="0.3"/>
  <cols>
    <col min="1" max="1" width="17.19921875" style="15" customWidth="1"/>
    <col min="2" max="2" width="13.19921875" style="15" customWidth="1"/>
    <col min="3" max="3" width="18.3984375" style="15" customWidth="1"/>
    <col min="4" max="4" width="17.19921875" style="15" customWidth="1"/>
    <col min="5" max="16384" width="11" style="15"/>
  </cols>
  <sheetData>
    <row r="1" spans="1:4" ht="28.8" x14ac:dyDescent="0.3">
      <c r="A1" s="52" t="s">
        <v>440</v>
      </c>
      <c r="B1" s="52" t="s">
        <v>3</v>
      </c>
      <c r="C1" s="52" t="s">
        <v>498</v>
      </c>
      <c r="D1" s="52" t="s">
        <v>499</v>
      </c>
    </row>
    <row r="2" spans="1:4" x14ac:dyDescent="0.3">
      <c r="A2" s="16">
        <v>1</v>
      </c>
      <c r="B2" s="16" t="s">
        <v>27</v>
      </c>
      <c r="C2" s="18">
        <v>339.31100000000009</v>
      </c>
      <c r="D2" s="18">
        <v>862.73000000000025</v>
      </c>
    </row>
    <row r="3" spans="1:4" x14ac:dyDescent="0.3">
      <c r="A3" s="16">
        <v>2</v>
      </c>
      <c r="B3" s="16" t="s">
        <v>43</v>
      </c>
      <c r="C3" s="18">
        <v>2470.3029999999994</v>
      </c>
      <c r="D3" s="18">
        <v>4546.5700000000006</v>
      </c>
    </row>
    <row r="4" spans="1:4" x14ac:dyDescent="0.3">
      <c r="A4" s="16">
        <v>3</v>
      </c>
      <c r="B4" s="16" t="s">
        <v>51</v>
      </c>
      <c r="C4" s="18">
        <v>1140.0719999999997</v>
      </c>
      <c r="D4" s="18">
        <v>2995.5500000000011</v>
      </c>
    </row>
    <row r="5" spans="1:4" x14ac:dyDescent="0.3">
      <c r="A5" s="16">
        <v>4</v>
      </c>
      <c r="B5" s="16" t="s">
        <v>57</v>
      </c>
      <c r="C5" s="18">
        <v>189.28399999999999</v>
      </c>
      <c r="D5" s="18">
        <v>560.10000000000025</v>
      </c>
    </row>
    <row r="6" spans="1:4" x14ac:dyDescent="0.3">
      <c r="A6" s="16">
        <v>5</v>
      </c>
      <c r="B6" s="16" t="s">
        <v>302</v>
      </c>
      <c r="C6" s="18">
        <v>490.11999999999995</v>
      </c>
      <c r="D6" s="18">
        <v>862.87999999999977</v>
      </c>
    </row>
    <row r="7" spans="1:4" x14ac:dyDescent="0.3">
      <c r="A7" s="16">
        <v>6</v>
      </c>
      <c r="B7" s="16" t="s">
        <v>76</v>
      </c>
      <c r="C7" s="18">
        <v>250.91999999999996</v>
      </c>
      <c r="D7" s="18">
        <v>771.51</v>
      </c>
    </row>
    <row r="8" spans="1:4" x14ac:dyDescent="0.3">
      <c r="A8" s="16">
        <v>7</v>
      </c>
      <c r="B8" s="16" t="s">
        <v>85</v>
      </c>
      <c r="C8" s="18">
        <v>2318.4059999999999</v>
      </c>
      <c r="D8" s="18">
        <v>5285.3</v>
      </c>
    </row>
    <row r="9" spans="1:4" x14ac:dyDescent="0.3">
      <c r="A9" s="16">
        <v>8</v>
      </c>
      <c r="B9" s="16" t="s">
        <v>92</v>
      </c>
      <c r="C9" s="18">
        <v>258.08000000000004</v>
      </c>
      <c r="D9" s="18">
        <v>461.93999999999994</v>
      </c>
    </row>
    <row r="10" spans="1:4" x14ac:dyDescent="0.3">
      <c r="A10" s="16">
        <v>9</v>
      </c>
      <c r="B10" s="16" t="s">
        <v>102</v>
      </c>
      <c r="C10" s="18">
        <v>34.661000000000001</v>
      </c>
      <c r="D10" s="18">
        <v>147.98999999999998</v>
      </c>
    </row>
    <row r="11" spans="1:4" x14ac:dyDescent="0.3">
      <c r="A11" s="16">
        <v>10</v>
      </c>
      <c r="B11" s="16" t="s">
        <v>408</v>
      </c>
      <c r="C11" s="18">
        <v>67.272999999999996</v>
      </c>
      <c r="D11" s="18">
        <v>257.87</v>
      </c>
    </row>
    <row r="12" spans="1:4" x14ac:dyDescent="0.3">
      <c r="A12" s="16">
        <v>11</v>
      </c>
      <c r="B12" s="16" t="s">
        <v>109</v>
      </c>
      <c r="C12" s="18">
        <v>7491.1569999999992</v>
      </c>
      <c r="D12" s="18">
        <v>16494.570000000003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7B745-BA7E-4A10-BE5D-5C6C197AD947}">
  <sheetPr>
    <tabColor rgb="FFC00000"/>
  </sheetPr>
  <dimension ref="A1:J7"/>
  <sheetViews>
    <sheetView tabSelected="1" workbookViewId="0">
      <selection activeCell="G17" sqref="G17"/>
    </sheetView>
  </sheetViews>
  <sheetFormatPr baseColWidth="10" defaultColWidth="8" defaultRowHeight="14.4" x14ac:dyDescent="0.3"/>
  <cols>
    <col min="1" max="1" width="12.8984375" style="25" customWidth="1"/>
    <col min="2" max="2" width="24.3984375" style="25" customWidth="1"/>
    <col min="3" max="8" width="12.8984375" style="25" customWidth="1"/>
    <col min="9" max="16384" width="8" style="25"/>
  </cols>
  <sheetData>
    <row r="1" spans="1:10" s="24" customFormat="1" ht="31.2" customHeight="1" x14ac:dyDescent="0.3">
      <c r="A1" s="19" t="s">
        <v>305</v>
      </c>
      <c r="B1" s="19" t="s">
        <v>441</v>
      </c>
      <c r="C1" s="20" t="s">
        <v>442</v>
      </c>
      <c r="D1" s="20" t="s">
        <v>443</v>
      </c>
      <c r="E1" s="21" t="s">
        <v>444</v>
      </c>
      <c r="F1" s="21" t="s">
        <v>445</v>
      </c>
      <c r="G1" s="22" t="s">
        <v>446</v>
      </c>
      <c r="H1" s="22" t="s">
        <v>447</v>
      </c>
      <c r="I1" s="23" t="s">
        <v>448</v>
      </c>
      <c r="J1" s="23" t="s">
        <v>449</v>
      </c>
    </row>
    <row r="2" spans="1:10" ht="28.8" x14ac:dyDescent="0.3">
      <c r="A2" s="35">
        <v>8</v>
      </c>
      <c r="B2" s="48" t="s">
        <v>495</v>
      </c>
      <c r="C2" s="35">
        <v>100</v>
      </c>
      <c r="D2" s="35">
        <v>4.68</v>
      </c>
      <c r="E2" s="35">
        <v>4.68</v>
      </c>
      <c r="F2" s="35">
        <v>2.4</v>
      </c>
      <c r="G2" s="35">
        <v>2.4</v>
      </c>
      <c r="H2" s="35">
        <v>0.11</v>
      </c>
      <c r="I2" s="35">
        <v>0.11</v>
      </c>
      <c r="J2" s="35">
        <v>0</v>
      </c>
    </row>
    <row r="6" spans="1:10" x14ac:dyDescent="0.3">
      <c r="D6"/>
      <c r="E6"/>
      <c r="F6"/>
    </row>
    <row r="7" spans="1:10" x14ac:dyDescent="0.3">
      <c r="D7"/>
      <c r="E7"/>
      <c r="F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179FB-64A8-4EDD-A4DB-F3A114A15560}">
  <sheetPr>
    <outlinePr summaryBelow="0" summaryRight="0"/>
  </sheetPr>
  <dimension ref="A1:AB1000"/>
  <sheetViews>
    <sheetView topLeftCell="A291" workbookViewId="0">
      <selection activeCell="C2" sqref="C2"/>
    </sheetView>
  </sheetViews>
  <sheetFormatPr baseColWidth="10" defaultColWidth="12.59765625" defaultRowHeight="15" customHeight="1" x14ac:dyDescent="0.3"/>
  <cols>
    <col min="1" max="6" width="12.59765625" style="28"/>
    <col min="11" max="16384" width="12.59765625" style="28"/>
  </cols>
  <sheetData>
    <row r="1" spans="1:28" ht="15" customHeight="1" x14ac:dyDescent="0.3">
      <c r="A1" s="36" t="s">
        <v>450</v>
      </c>
      <c r="B1" s="36" t="s">
        <v>451</v>
      </c>
      <c r="C1" s="37" t="s">
        <v>504</v>
      </c>
      <c r="D1" s="38" t="s">
        <v>503</v>
      </c>
      <c r="E1" s="37" t="s">
        <v>490</v>
      </c>
      <c r="F1" s="38" t="s">
        <v>503</v>
      </c>
      <c r="K1" s="26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ht="15" customHeight="1" x14ac:dyDescent="0.3">
      <c r="A2" s="39">
        <v>10101</v>
      </c>
      <c r="B2" s="39" t="s">
        <v>11</v>
      </c>
      <c r="C2" s="30">
        <v>5.0999999999999996</v>
      </c>
      <c r="D2" s="40" t="str">
        <f>IF(C2&lt;=0.11,"Rojo",
   IF(C2&lt;=2.4,"Naranja",
   IF(C2&lt;=4.68,"Amarillo","Verde")))</f>
        <v>Verde</v>
      </c>
      <c r="E2" s="41">
        <v>7.4903372134858328</v>
      </c>
      <c r="F2" s="40" t="str">
        <f>IF(E2&lt;=0.11,"Rojo",
   IF(E2&lt;=2.4,"Naranja",
   IF(E2&lt;=4.68,"Amarillo","Verde")))</f>
        <v>Verde</v>
      </c>
      <c r="K2" s="31"/>
    </row>
    <row r="3" spans="1:28" ht="15" customHeight="1" x14ac:dyDescent="0.3">
      <c r="A3" s="39">
        <v>10102</v>
      </c>
      <c r="B3" s="39" t="s">
        <v>39</v>
      </c>
      <c r="C3" s="30">
        <v>0.9</v>
      </c>
      <c r="D3" s="40" t="str">
        <f t="shared" ref="D3:D66" si="0">IF(C3&lt;=0.11,"Rojo",
   IF(C3&lt;=2.4,"Naranja",
   IF(C3&lt;=4.68,"Amarillo","Verde")))</f>
        <v>Naranja</v>
      </c>
      <c r="E3" s="41">
        <v>2.6786440126818958</v>
      </c>
      <c r="F3" s="40" t="str">
        <f t="shared" ref="F3:F66" si="1">IF(E3&lt;=0.11,"Rojo",
   IF(E3&lt;=2.4,"Naranja",
   IF(E3&lt;=4.68,"Amarillo","Verde")))</f>
        <v>Amarillo</v>
      </c>
      <c r="K3" s="31"/>
    </row>
    <row r="4" spans="1:28" ht="15" customHeight="1" x14ac:dyDescent="0.3">
      <c r="A4" s="39">
        <v>10103</v>
      </c>
      <c r="B4" s="39" t="s">
        <v>18</v>
      </c>
      <c r="C4" s="30">
        <v>0.4</v>
      </c>
      <c r="D4" s="40" t="str">
        <f t="shared" si="0"/>
        <v>Naranja</v>
      </c>
      <c r="E4" s="41">
        <v>0.98410847062253981</v>
      </c>
      <c r="F4" s="40" t="str">
        <f t="shared" si="1"/>
        <v>Naranja</v>
      </c>
      <c r="K4" s="31"/>
    </row>
    <row r="5" spans="1:28" ht="15" customHeight="1" x14ac:dyDescent="0.3">
      <c r="A5" s="39">
        <v>10201</v>
      </c>
      <c r="B5" s="39" t="s">
        <v>31</v>
      </c>
      <c r="C5" s="30">
        <v>0.5</v>
      </c>
      <c r="D5" s="40" t="str">
        <f t="shared" si="0"/>
        <v>Naranja</v>
      </c>
      <c r="E5" s="41">
        <v>1.2726231890439914</v>
      </c>
      <c r="F5" s="40" t="str">
        <f t="shared" si="1"/>
        <v>Naranja</v>
      </c>
      <c r="K5" s="31"/>
    </row>
    <row r="6" spans="1:28" ht="15" customHeight="1" x14ac:dyDescent="0.3">
      <c r="A6" s="39">
        <v>10202</v>
      </c>
      <c r="B6" s="39" t="s">
        <v>65</v>
      </c>
      <c r="C6" s="30">
        <v>0.7</v>
      </c>
      <c r="D6" s="40" t="str">
        <f t="shared" si="0"/>
        <v>Naranja</v>
      </c>
      <c r="E6" s="41">
        <v>1.1880705177339559</v>
      </c>
      <c r="F6" s="40" t="str">
        <f t="shared" si="1"/>
        <v>Naranja</v>
      </c>
      <c r="K6" s="31"/>
    </row>
    <row r="7" spans="1:28" ht="15" customHeight="1" x14ac:dyDescent="0.3">
      <c r="A7" s="39">
        <v>10301</v>
      </c>
      <c r="B7" s="39" t="s">
        <v>342</v>
      </c>
      <c r="C7" s="30">
        <v>12.7</v>
      </c>
      <c r="D7" s="40" t="str">
        <f t="shared" si="0"/>
        <v>Verde</v>
      </c>
      <c r="E7" s="41">
        <v>8.054758396028852</v>
      </c>
      <c r="F7" s="40" t="str">
        <f t="shared" si="1"/>
        <v>Verde</v>
      </c>
      <c r="K7" s="31"/>
    </row>
    <row r="8" spans="1:28" ht="15" customHeight="1" x14ac:dyDescent="0.3">
      <c r="A8" s="39">
        <v>10302</v>
      </c>
      <c r="B8" s="39" t="s">
        <v>80</v>
      </c>
      <c r="C8" s="30">
        <v>0.5</v>
      </c>
      <c r="D8" s="40" t="str">
        <f t="shared" si="0"/>
        <v>Naranja</v>
      </c>
      <c r="E8" s="41">
        <v>1.3436739110830553</v>
      </c>
      <c r="F8" s="40" t="str">
        <f t="shared" si="1"/>
        <v>Naranja</v>
      </c>
      <c r="K8" s="31"/>
    </row>
    <row r="9" spans="1:28" ht="15" customHeight="1" x14ac:dyDescent="0.3">
      <c r="A9" s="39">
        <v>10303</v>
      </c>
      <c r="B9" s="39" t="s">
        <v>452</v>
      </c>
      <c r="C9" s="30">
        <v>0.9</v>
      </c>
      <c r="D9" s="40" t="str">
        <f t="shared" si="0"/>
        <v>Naranja</v>
      </c>
      <c r="E9" s="41">
        <v>1.6048387096774193</v>
      </c>
      <c r="F9" s="40" t="str">
        <f t="shared" si="1"/>
        <v>Naranja</v>
      </c>
      <c r="K9" s="31"/>
    </row>
    <row r="10" spans="1:28" ht="15" customHeight="1" x14ac:dyDescent="0.3">
      <c r="A10" s="39">
        <v>10304</v>
      </c>
      <c r="B10" s="39" t="s">
        <v>99</v>
      </c>
      <c r="C10" s="30">
        <v>0.9</v>
      </c>
      <c r="D10" s="40" t="str">
        <f t="shared" si="0"/>
        <v>Naranja</v>
      </c>
      <c r="E10" s="41">
        <v>2.601047904191617</v>
      </c>
      <c r="F10" s="40" t="str">
        <f t="shared" si="1"/>
        <v>Amarillo</v>
      </c>
      <c r="K10" s="31"/>
    </row>
    <row r="11" spans="1:28" ht="15" customHeight="1" x14ac:dyDescent="0.3">
      <c r="A11" s="39">
        <v>10401</v>
      </c>
      <c r="B11" s="39" t="s">
        <v>106</v>
      </c>
      <c r="C11" s="30">
        <v>0.5</v>
      </c>
      <c r="D11" s="40" t="str">
        <f t="shared" si="0"/>
        <v>Naranja</v>
      </c>
      <c r="E11" s="41">
        <v>2.7936161505933708</v>
      </c>
      <c r="F11" s="40" t="str">
        <f t="shared" si="1"/>
        <v>Amarillo</v>
      </c>
      <c r="K11" s="31"/>
    </row>
    <row r="12" spans="1:28" ht="15" customHeight="1" x14ac:dyDescent="0.3">
      <c r="A12" s="39">
        <v>10402</v>
      </c>
      <c r="B12" s="39" t="s">
        <v>117</v>
      </c>
      <c r="C12" s="30">
        <v>1.1000000000000001</v>
      </c>
      <c r="D12" s="40" t="str">
        <f t="shared" si="0"/>
        <v>Naranja</v>
      </c>
      <c r="E12" s="41">
        <v>2.5211910454249078</v>
      </c>
      <c r="F12" s="40" t="str">
        <f t="shared" si="1"/>
        <v>Amarillo</v>
      </c>
      <c r="K12" s="31"/>
    </row>
    <row r="13" spans="1:28" ht="15" customHeight="1" x14ac:dyDescent="0.3">
      <c r="A13" s="39">
        <v>10403</v>
      </c>
      <c r="B13" s="39" t="s">
        <v>121</v>
      </c>
      <c r="C13" s="30">
        <v>0.8</v>
      </c>
      <c r="D13" s="40" t="str">
        <f t="shared" si="0"/>
        <v>Naranja</v>
      </c>
      <c r="E13" s="41">
        <v>1.9390581717451523</v>
      </c>
      <c r="F13" s="40" t="str">
        <f t="shared" si="1"/>
        <v>Naranja</v>
      </c>
      <c r="K13" s="31"/>
    </row>
    <row r="14" spans="1:28" ht="15" customHeight="1" x14ac:dyDescent="0.3">
      <c r="A14" s="39">
        <v>10404</v>
      </c>
      <c r="B14" s="39" t="s">
        <v>453</v>
      </c>
      <c r="C14" s="30">
        <v>1</v>
      </c>
      <c r="D14" s="40" t="str">
        <f t="shared" si="0"/>
        <v>Naranja</v>
      </c>
      <c r="E14" s="41">
        <v>3.6850477200424177</v>
      </c>
      <c r="F14" s="40" t="str">
        <f t="shared" si="1"/>
        <v>Amarillo</v>
      </c>
      <c r="K14" s="31"/>
    </row>
    <row r="15" spans="1:28" ht="15" customHeight="1" x14ac:dyDescent="0.3">
      <c r="A15" s="39">
        <v>10405</v>
      </c>
      <c r="B15" s="39" t="s">
        <v>126</v>
      </c>
      <c r="C15" s="30">
        <v>0.5</v>
      </c>
      <c r="D15" s="40" t="str">
        <f t="shared" si="0"/>
        <v>Naranja</v>
      </c>
      <c r="E15" s="41">
        <v>1.1048586329947847</v>
      </c>
      <c r="F15" s="40" t="str">
        <f t="shared" si="1"/>
        <v>Naranja</v>
      </c>
      <c r="K15" s="31"/>
    </row>
    <row r="16" spans="1:28" ht="15" customHeight="1" x14ac:dyDescent="0.3">
      <c r="A16" s="39">
        <v>10501</v>
      </c>
      <c r="B16" s="39" t="s">
        <v>129</v>
      </c>
      <c r="C16" s="30">
        <v>4.9000000000000004</v>
      </c>
      <c r="D16" s="40" t="str">
        <f t="shared" si="0"/>
        <v>Verde</v>
      </c>
      <c r="E16" s="41">
        <v>4.7485153009116239</v>
      </c>
      <c r="F16" s="40" t="str">
        <f t="shared" si="1"/>
        <v>Verde</v>
      </c>
      <c r="K16" s="31"/>
    </row>
    <row r="17" spans="1:11" ht="15" customHeight="1" x14ac:dyDescent="0.3">
      <c r="A17" s="39">
        <v>10502</v>
      </c>
      <c r="B17" s="39" t="s">
        <v>454</v>
      </c>
      <c r="C17" s="30">
        <v>0.6</v>
      </c>
      <c r="D17" s="40" t="str">
        <f t="shared" si="0"/>
        <v>Naranja</v>
      </c>
      <c r="E17" s="41">
        <v>1.7953940153532824</v>
      </c>
      <c r="F17" s="40" t="str">
        <f t="shared" si="1"/>
        <v>Naranja</v>
      </c>
      <c r="K17" s="31"/>
    </row>
    <row r="18" spans="1:11" ht="15" customHeight="1" x14ac:dyDescent="0.3">
      <c r="A18" s="39">
        <v>10601</v>
      </c>
      <c r="B18" s="39" t="s">
        <v>136</v>
      </c>
      <c r="C18" s="30">
        <v>0.6</v>
      </c>
      <c r="D18" s="40" t="str">
        <f t="shared" si="0"/>
        <v>Naranja</v>
      </c>
      <c r="E18" s="41">
        <v>5.2602076941232001</v>
      </c>
      <c r="F18" s="40" t="str">
        <f t="shared" si="1"/>
        <v>Verde</v>
      </c>
      <c r="K18" s="31"/>
    </row>
    <row r="19" spans="1:11" ht="15" customHeight="1" x14ac:dyDescent="0.3">
      <c r="A19" s="39">
        <v>10602</v>
      </c>
      <c r="B19" s="39" t="s">
        <v>139</v>
      </c>
      <c r="C19" s="30">
        <v>0.5</v>
      </c>
      <c r="D19" s="40" t="str">
        <f t="shared" si="0"/>
        <v>Naranja</v>
      </c>
      <c r="E19" s="41">
        <v>1.4521452145214522</v>
      </c>
      <c r="F19" s="40" t="str">
        <f t="shared" si="1"/>
        <v>Naranja</v>
      </c>
      <c r="K19" s="31"/>
    </row>
    <row r="20" spans="1:11" ht="15" customHeight="1" x14ac:dyDescent="0.3">
      <c r="A20" s="39">
        <v>10701</v>
      </c>
      <c r="B20" s="39" t="s">
        <v>143</v>
      </c>
      <c r="C20" s="30">
        <v>8.4</v>
      </c>
      <c r="D20" s="40" t="str">
        <f t="shared" si="0"/>
        <v>Verde</v>
      </c>
      <c r="E20" s="41">
        <v>4.4004944375772554</v>
      </c>
      <c r="F20" s="40" t="str">
        <f t="shared" si="1"/>
        <v>Amarillo</v>
      </c>
      <c r="K20" s="31"/>
    </row>
    <row r="21" spans="1:11" ht="15" customHeight="1" x14ac:dyDescent="0.3">
      <c r="A21" s="39">
        <v>10702</v>
      </c>
      <c r="B21" s="39" t="s">
        <v>147</v>
      </c>
      <c r="C21" s="30">
        <v>0.4</v>
      </c>
      <c r="D21" s="40" t="str">
        <f t="shared" si="0"/>
        <v>Naranja</v>
      </c>
      <c r="E21" s="41">
        <v>0.67806631889144264</v>
      </c>
      <c r="F21" s="40" t="str">
        <f t="shared" si="1"/>
        <v>Naranja</v>
      </c>
      <c r="K21" s="31"/>
    </row>
    <row r="22" spans="1:11" ht="15" customHeight="1" x14ac:dyDescent="0.3">
      <c r="A22" s="39">
        <v>10703</v>
      </c>
      <c r="B22" s="39" t="s">
        <v>87</v>
      </c>
      <c r="C22" s="30">
        <v>0.2</v>
      </c>
      <c r="D22" s="40" t="str">
        <f t="shared" si="0"/>
        <v>Naranja</v>
      </c>
      <c r="E22" s="41">
        <v>1.1367611052815669</v>
      </c>
      <c r="F22" s="40" t="str">
        <f t="shared" si="1"/>
        <v>Naranja</v>
      </c>
      <c r="K22" s="31"/>
    </row>
    <row r="23" spans="1:11" ht="15" customHeight="1" x14ac:dyDescent="0.3">
      <c r="A23" s="39">
        <v>10704</v>
      </c>
      <c r="B23" s="39" t="s">
        <v>150</v>
      </c>
      <c r="C23" s="30">
        <v>0.4</v>
      </c>
      <c r="D23" s="40" t="str">
        <f t="shared" si="0"/>
        <v>Naranja</v>
      </c>
      <c r="E23" s="41">
        <v>0.95628867343899948</v>
      </c>
      <c r="F23" s="40" t="str">
        <f t="shared" si="1"/>
        <v>Naranja</v>
      </c>
      <c r="K23" s="31"/>
    </row>
    <row r="24" spans="1:11" ht="14.4" x14ac:dyDescent="0.3">
      <c r="A24" s="39">
        <v>10801</v>
      </c>
      <c r="B24" s="39" t="s">
        <v>154</v>
      </c>
      <c r="C24" s="30">
        <v>1.1000000000000001</v>
      </c>
      <c r="D24" s="40" t="str">
        <f t="shared" si="0"/>
        <v>Naranja</v>
      </c>
      <c r="E24" s="41">
        <v>3.9281017097764144</v>
      </c>
      <c r="F24" s="40" t="str">
        <f t="shared" si="1"/>
        <v>Amarillo</v>
      </c>
      <c r="K24" s="31"/>
    </row>
    <row r="25" spans="1:11" ht="14.4" x14ac:dyDescent="0.3">
      <c r="A25" s="39">
        <v>10901</v>
      </c>
      <c r="B25" s="39" t="s">
        <v>71</v>
      </c>
      <c r="C25" s="30">
        <v>1</v>
      </c>
      <c r="D25" s="40" t="str">
        <f t="shared" si="0"/>
        <v>Naranja</v>
      </c>
      <c r="E25" s="41">
        <v>3.8143176733780759</v>
      </c>
      <c r="F25" s="40" t="str">
        <f t="shared" si="1"/>
        <v>Amarillo</v>
      </c>
      <c r="K25" s="31"/>
    </row>
    <row r="26" spans="1:11" ht="14.4" x14ac:dyDescent="0.3">
      <c r="A26" s="39">
        <v>10902</v>
      </c>
      <c r="B26" s="39" t="s">
        <v>157</v>
      </c>
      <c r="C26" s="30">
        <v>0.3</v>
      </c>
      <c r="D26" s="40" t="str">
        <f t="shared" si="0"/>
        <v>Naranja</v>
      </c>
      <c r="E26" s="41">
        <v>0.90440428833907138</v>
      </c>
      <c r="F26" s="40" t="str">
        <f t="shared" si="1"/>
        <v>Naranja</v>
      </c>
      <c r="K26" s="31"/>
    </row>
    <row r="27" spans="1:11" ht="14.4" x14ac:dyDescent="0.3">
      <c r="A27" s="39">
        <v>10903</v>
      </c>
      <c r="B27" s="39" t="s">
        <v>89</v>
      </c>
      <c r="C27" s="30">
        <v>0.4</v>
      </c>
      <c r="D27" s="40" t="str">
        <f t="shared" si="0"/>
        <v>Naranja</v>
      </c>
      <c r="E27" s="41">
        <v>0.82625392761550098</v>
      </c>
      <c r="F27" s="40" t="str">
        <f t="shared" si="1"/>
        <v>Naranja</v>
      </c>
      <c r="K27" s="31"/>
    </row>
    <row r="28" spans="1:11" ht="14.4" x14ac:dyDescent="0.3">
      <c r="A28" s="39">
        <v>11001</v>
      </c>
      <c r="B28" s="39" t="s">
        <v>455</v>
      </c>
      <c r="C28" s="30">
        <v>0.5</v>
      </c>
      <c r="D28" s="40" t="str">
        <f t="shared" si="0"/>
        <v>Naranja</v>
      </c>
      <c r="E28" s="41">
        <v>1.5140150568102897</v>
      </c>
      <c r="F28" s="40" t="str">
        <f t="shared" si="1"/>
        <v>Naranja</v>
      </c>
      <c r="K28" s="31"/>
    </row>
    <row r="29" spans="1:11" ht="14.4" x14ac:dyDescent="0.3">
      <c r="A29" s="39">
        <v>11002</v>
      </c>
      <c r="B29" s="39" t="s">
        <v>456</v>
      </c>
      <c r="C29" s="30">
        <v>0</v>
      </c>
      <c r="D29" s="40" t="str">
        <f t="shared" si="0"/>
        <v>Rojo</v>
      </c>
      <c r="E29" s="41">
        <v>2.9194807216956345E-2</v>
      </c>
      <c r="F29" s="40" t="str">
        <f t="shared" si="1"/>
        <v>Rojo</v>
      </c>
      <c r="K29" s="31"/>
    </row>
    <row r="30" spans="1:11" ht="14.4" x14ac:dyDescent="0.3">
      <c r="A30" s="39">
        <v>11003</v>
      </c>
      <c r="B30" s="39" t="s">
        <v>146</v>
      </c>
      <c r="C30" s="30">
        <v>0.4</v>
      </c>
      <c r="D30" s="40" t="str">
        <f t="shared" si="0"/>
        <v>Naranja</v>
      </c>
      <c r="E30" s="41">
        <v>0.89019865325006498</v>
      </c>
      <c r="F30" s="40" t="str">
        <f t="shared" si="1"/>
        <v>Naranja</v>
      </c>
      <c r="K30" s="31"/>
    </row>
    <row r="31" spans="1:11" ht="14.4" x14ac:dyDescent="0.3">
      <c r="A31" s="39">
        <v>20101</v>
      </c>
      <c r="B31" s="39" t="s">
        <v>310</v>
      </c>
      <c r="C31" s="30">
        <v>6.8</v>
      </c>
      <c r="D31" s="40" t="str">
        <f t="shared" si="0"/>
        <v>Verde</v>
      </c>
      <c r="E31" s="41">
        <v>4.1264945078750523</v>
      </c>
      <c r="F31" s="40" t="str">
        <f t="shared" si="1"/>
        <v>Amarillo</v>
      </c>
      <c r="K31" s="31"/>
    </row>
    <row r="32" spans="1:11" ht="14.4" x14ac:dyDescent="0.3">
      <c r="A32" s="39">
        <v>20102</v>
      </c>
      <c r="B32" s="42" t="s">
        <v>168</v>
      </c>
      <c r="C32" s="30">
        <v>12.1</v>
      </c>
      <c r="D32" s="40" t="str">
        <f t="shared" si="0"/>
        <v>Verde</v>
      </c>
      <c r="E32" s="41">
        <v>0.94877617966187211</v>
      </c>
      <c r="F32" s="40" t="str">
        <f t="shared" si="1"/>
        <v>Naranja</v>
      </c>
      <c r="K32" s="31"/>
    </row>
    <row r="33" spans="1:11" ht="14.4" x14ac:dyDescent="0.3">
      <c r="A33" s="39">
        <v>20103</v>
      </c>
      <c r="B33" s="42" t="s">
        <v>170</v>
      </c>
      <c r="C33" s="30">
        <v>1.3</v>
      </c>
      <c r="D33" s="40" t="str">
        <f t="shared" si="0"/>
        <v>Naranja</v>
      </c>
      <c r="E33" s="41">
        <v>5.7630360378498082</v>
      </c>
      <c r="F33" s="40" t="str">
        <f t="shared" si="1"/>
        <v>Verde</v>
      </c>
      <c r="K33" s="31"/>
    </row>
    <row r="34" spans="1:11" ht="14.4" x14ac:dyDescent="0.3">
      <c r="A34" s="39">
        <v>20104</v>
      </c>
      <c r="B34" s="42" t="s">
        <v>174</v>
      </c>
      <c r="C34" s="30">
        <v>1.5</v>
      </c>
      <c r="D34" s="40" t="str">
        <f t="shared" si="0"/>
        <v>Naranja</v>
      </c>
      <c r="E34" s="41">
        <v>4.7430504000659903</v>
      </c>
      <c r="F34" s="40" t="str">
        <f t="shared" si="1"/>
        <v>Verde</v>
      </c>
      <c r="K34" s="31"/>
    </row>
    <row r="35" spans="1:11" ht="14.4" x14ac:dyDescent="0.3">
      <c r="A35" s="39">
        <v>20105</v>
      </c>
      <c r="B35" s="42" t="s">
        <v>178</v>
      </c>
      <c r="C35" s="30">
        <v>3.4</v>
      </c>
      <c r="D35" s="40" t="str">
        <f t="shared" si="0"/>
        <v>Amarillo</v>
      </c>
      <c r="E35" s="41">
        <v>6.8897030020511512</v>
      </c>
      <c r="F35" s="40" t="str">
        <f t="shared" si="1"/>
        <v>Verde</v>
      </c>
      <c r="K35" s="31"/>
    </row>
    <row r="36" spans="1:11" ht="14.4" x14ac:dyDescent="0.3">
      <c r="A36" s="39">
        <v>20201</v>
      </c>
      <c r="B36" s="42" t="s">
        <v>181</v>
      </c>
      <c r="C36" s="30">
        <v>0.5</v>
      </c>
      <c r="D36" s="40" t="str">
        <f t="shared" si="0"/>
        <v>Naranja</v>
      </c>
      <c r="E36" s="41">
        <v>3.939896837856022</v>
      </c>
      <c r="F36" s="40" t="str">
        <f t="shared" si="1"/>
        <v>Amarillo</v>
      </c>
      <c r="K36" s="31"/>
    </row>
    <row r="37" spans="1:11" ht="14.4" x14ac:dyDescent="0.3">
      <c r="A37" s="39">
        <v>20202</v>
      </c>
      <c r="B37" s="42" t="s">
        <v>457</v>
      </c>
      <c r="C37" s="30">
        <v>0.3</v>
      </c>
      <c r="D37" s="40" t="str">
        <f t="shared" si="0"/>
        <v>Naranja</v>
      </c>
      <c r="E37" s="41">
        <v>0.94921911530908065</v>
      </c>
      <c r="F37" s="40" t="str">
        <f t="shared" si="1"/>
        <v>Naranja</v>
      </c>
      <c r="K37" s="31"/>
    </row>
    <row r="38" spans="1:11" ht="14.4" x14ac:dyDescent="0.3">
      <c r="A38" s="39">
        <v>20203</v>
      </c>
      <c r="B38" s="42" t="s">
        <v>187</v>
      </c>
      <c r="C38" s="30">
        <v>57.6</v>
      </c>
      <c r="D38" s="40" t="str">
        <f t="shared" si="0"/>
        <v>Verde</v>
      </c>
      <c r="E38" s="41">
        <v>2.8067713358477326</v>
      </c>
      <c r="F38" s="40" t="str">
        <f t="shared" si="1"/>
        <v>Amarillo</v>
      </c>
      <c r="K38" s="31"/>
    </row>
    <row r="39" spans="1:11" ht="14.4" x14ac:dyDescent="0.3">
      <c r="A39" s="39">
        <v>20204</v>
      </c>
      <c r="B39" s="42" t="s">
        <v>189</v>
      </c>
      <c r="C39" s="30">
        <v>0.5</v>
      </c>
      <c r="D39" s="40" t="str">
        <f t="shared" si="0"/>
        <v>Naranja</v>
      </c>
      <c r="E39" s="41">
        <v>0.8229821602003784</v>
      </c>
      <c r="F39" s="40" t="str">
        <f t="shared" si="1"/>
        <v>Naranja</v>
      </c>
      <c r="K39" s="31"/>
    </row>
    <row r="40" spans="1:11" ht="14.4" x14ac:dyDescent="0.3">
      <c r="A40" s="39">
        <v>20205</v>
      </c>
      <c r="B40" s="42" t="s">
        <v>103</v>
      </c>
      <c r="C40" s="30">
        <v>0.4</v>
      </c>
      <c r="D40" s="40" t="str">
        <f t="shared" si="0"/>
        <v>Naranja</v>
      </c>
      <c r="E40" s="41">
        <v>6.3588715893325114</v>
      </c>
      <c r="F40" s="40" t="str">
        <f t="shared" si="1"/>
        <v>Verde</v>
      </c>
      <c r="K40" s="31"/>
    </row>
    <row r="41" spans="1:11" ht="14.4" x14ac:dyDescent="0.3">
      <c r="A41" s="39">
        <v>20206</v>
      </c>
      <c r="B41" s="42" t="s">
        <v>159</v>
      </c>
      <c r="C41" s="30">
        <v>58.4</v>
      </c>
      <c r="D41" s="40" t="str">
        <f t="shared" si="0"/>
        <v>Verde</v>
      </c>
      <c r="E41" s="41">
        <v>2.8259292106748366</v>
      </c>
      <c r="F41" s="40" t="str">
        <f t="shared" si="1"/>
        <v>Amarillo</v>
      </c>
      <c r="K41" s="31"/>
    </row>
    <row r="42" spans="1:11" ht="14.4" x14ac:dyDescent="0.3">
      <c r="A42" s="39">
        <v>20301</v>
      </c>
      <c r="B42" s="42" t="s">
        <v>458</v>
      </c>
      <c r="C42" s="30">
        <v>0.3</v>
      </c>
      <c r="D42" s="40" t="str">
        <f t="shared" si="0"/>
        <v>Naranja</v>
      </c>
      <c r="E42" s="41">
        <v>0.84022435542155316</v>
      </c>
      <c r="F42" s="40" t="str">
        <f t="shared" si="1"/>
        <v>Naranja</v>
      </c>
      <c r="K42" s="31"/>
    </row>
    <row r="43" spans="1:11" ht="14.4" x14ac:dyDescent="0.3">
      <c r="A43" s="39">
        <v>20302</v>
      </c>
      <c r="B43" s="42" t="s">
        <v>82</v>
      </c>
      <c r="C43" s="30">
        <v>0.4</v>
      </c>
      <c r="D43" s="40" t="str">
        <f t="shared" si="0"/>
        <v>Naranja</v>
      </c>
      <c r="E43" s="41">
        <v>1.3336316849407026</v>
      </c>
      <c r="F43" s="40" t="str">
        <f t="shared" si="1"/>
        <v>Naranja</v>
      </c>
      <c r="K43" s="31"/>
    </row>
    <row r="44" spans="1:11" ht="14.4" x14ac:dyDescent="0.3">
      <c r="A44" s="39">
        <v>20303</v>
      </c>
      <c r="B44" s="42" t="s">
        <v>30</v>
      </c>
      <c r="C44" s="30">
        <v>0.2</v>
      </c>
      <c r="D44" s="40" t="str">
        <f t="shared" si="0"/>
        <v>Naranja</v>
      </c>
      <c r="E44" s="41">
        <v>0.78431372549019607</v>
      </c>
      <c r="F44" s="40" t="str">
        <f t="shared" si="1"/>
        <v>Naranja</v>
      </c>
      <c r="K44" s="31"/>
    </row>
    <row r="45" spans="1:11" ht="14.4" x14ac:dyDescent="0.3">
      <c r="A45" s="39">
        <v>20304</v>
      </c>
      <c r="B45" s="42" t="s">
        <v>148</v>
      </c>
      <c r="C45" s="30">
        <v>0.5</v>
      </c>
      <c r="D45" s="40" t="str">
        <f t="shared" si="0"/>
        <v>Naranja</v>
      </c>
      <c r="E45" s="41">
        <v>1.4420410427065999</v>
      </c>
      <c r="F45" s="40" t="str">
        <f t="shared" si="1"/>
        <v>Naranja</v>
      </c>
      <c r="K45" s="31"/>
    </row>
    <row r="46" spans="1:11" ht="14.4" x14ac:dyDescent="0.3">
      <c r="A46" s="39">
        <v>20305</v>
      </c>
      <c r="B46" s="42" t="s">
        <v>93</v>
      </c>
      <c r="C46" s="30">
        <v>0.5</v>
      </c>
      <c r="D46" s="40" t="str">
        <f t="shared" si="0"/>
        <v>Naranja</v>
      </c>
      <c r="E46" s="41">
        <v>0.70065508402164622</v>
      </c>
      <c r="F46" s="40" t="str">
        <f t="shared" si="1"/>
        <v>Naranja</v>
      </c>
      <c r="K46" s="31"/>
    </row>
    <row r="47" spans="1:11" ht="14.4" x14ac:dyDescent="0.3">
      <c r="A47" s="39">
        <v>20306</v>
      </c>
      <c r="B47" s="42" t="s">
        <v>459</v>
      </c>
      <c r="C47" s="30">
        <v>0.4</v>
      </c>
      <c r="D47" s="40" t="str">
        <f t="shared" si="0"/>
        <v>Naranja</v>
      </c>
      <c r="E47" s="41">
        <v>1.0655061154048173</v>
      </c>
      <c r="F47" s="40" t="str">
        <f t="shared" si="1"/>
        <v>Naranja</v>
      </c>
      <c r="K47" s="31"/>
    </row>
    <row r="48" spans="1:11" ht="14.4" x14ac:dyDescent="0.3">
      <c r="A48" s="39">
        <v>20307</v>
      </c>
      <c r="B48" s="42" t="s">
        <v>12</v>
      </c>
      <c r="C48" s="30">
        <v>2.7</v>
      </c>
      <c r="D48" s="40" t="str">
        <f t="shared" si="0"/>
        <v>Amarillo</v>
      </c>
      <c r="E48" s="41">
        <v>8.135349172066233</v>
      </c>
      <c r="F48" s="40" t="str">
        <f t="shared" si="1"/>
        <v>Verde</v>
      </c>
      <c r="K48" s="31"/>
    </row>
    <row r="49" spans="1:11" ht="14.4" x14ac:dyDescent="0.3">
      <c r="A49" s="39">
        <v>20308</v>
      </c>
      <c r="B49" s="42" t="s">
        <v>311</v>
      </c>
      <c r="C49" s="30">
        <v>0.3</v>
      </c>
      <c r="D49" s="40" t="str">
        <f t="shared" si="0"/>
        <v>Naranja</v>
      </c>
      <c r="E49" s="41">
        <v>1.0383912248628884</v>
      </c>
      <c r="F49" s="40" t="str">
        <f t="shared" si="1"/>
        <v>Naranja</v>
      </c>
      <c r="K49" s="31"/>
    </row>
    <row r="50" spans="1:11" ht="14.4" x14ac:dyDescent="0.3">
      <c r="A50" s="39">
        <v>20401</v>
      </c>
      <c r="B50" s="42" t="s">
        <v>124</v>
      </c>
      <c r="C50" s="30">
        <v>0.4</v>
      </c>
      <c r="D50" s="40" t="str">
        <f t="shared" si="0"/>
        <v>Naranja</v>
      </c>
      <c r="E50" s="41">
        <v>3.2753948229137464</v>
      </c>
      <c r="F50" s="40" t="str">
        <f t="shared" si="1"/>
        <v>Amarillo</v>
      </c>
      <c r="K50" s="31"/>
    </row>
    <row r="51" spans="1:11" ht="14.4" x14ac:dyDescent="0.3">
      <c r="A51" s="39">
        <v>20402</v>
      </c>
      <c r="B51" s="42" t="s">
        <v>112</v>
      </c>
      <c r="C51" s="30">
        <v>0.3</v>
      </c>
      <c r="D51" s="40" t="str">
        <f t="shared" si="0"/>
        <v>Naranja</v>
      </c>
      <c r="E51" s="41">
        <v>1.0408799868658676</v>
      </c>
      <c r="F51" s="40" t="str">
        <f t="shared" si="1"/>
        <v>Naranja</v>
      </c>
      <c r="K51" s="31"/>
    </row>
    <row r="52" spans="1:11" ht="14.4" x14ac:dyDescent="0.3">
      <c r="A52" s="39">
        <v>20403</v>
      </c>
      <c r="B52" s="42" t="s">
        <v>312</v>
      </c>
      <c r="C52" s="30">
        <v>0.1</v>
      </c>
      <c r="D52" s="40" t="str">
        <f t="shared" si="0"/>
        <v>Rojo</v>
      </c>
      <c r="E52" s="41">
        <v>0.3745775823459957</v>
      </c>
      <c r="F52" s="40" t="str">
        <f t="shared" si="1"/>
        <v>Naranja</v>
      </c>
      <c r="K52" s="31"/>
    </row>
    <row r="53" spans="1:11" ht="14.4" x14ac:dyDescent="0.3">
      <c r="A53" s="39">
        <v>20404</v>
      </c>
      <c r="B53" s="42" t="s">
        <v>116</v>
      </c>
      <c r="C53" s="30">
        <v>0.2</v>
      </c>
      <c r="D53" s="40" t="str">
        <f t="shared" si="0"/>
        <v>Naranja</v>
      </c>
      <c r="E53" s="41">
        <v>0.51081404195196167</v>
      </c>
      <c r="F53" s="40" t="str">
        <f t="shared" si="1"/>
        <v>Naranja</v>
      </c>
      <c r="K53" s="31"/>
    </row>
    <row r="54" spans="1:11" ht="14.4" x14ac:dyDescent="0.3">
      <c r="A54" s="39">
        <v>20405</v>
      </c>
      <c r="B54" s="42" t="s">
        <v>222</v>
      </c>
      <c r="C54" s="30">
        <v>0.6</v>
      </c>
      <c r="D54" s="40" t="str">
        <f t="shared" si="0"/>
        <v>Naranja</v>
      </c>
      <c r="E54" s="41">
        <v>2.3927550047664439</v>
      </c>
      <c r="F54" s="40" t="str">
        <f t="shared" si="1"/>
        <v>Naranja</v>
      </c>
      <c r="K54" s="31"/>
    </row>
    <row r="55" spans="1:11" ht="14.4" x14ac:dyDescent="0.3">
      <c r="A55" s="39">
        <v>20501</v>
      </c>
      <c r="B55" s="42" t="s">
        <v>226</v>
      </c>
      <c r="C55" s="30">
        <v>0.3</v>
      </c>
      <c r="D55" s="40" t="str">
        <f t="shared" si="0"/>
        <v>Naranja</v>
      </c>
      <c r="E55" s="41">
        <v>1.2434836673202927</v>
      </c>
      <c r="F55" s="40" t="str">
        <f t="shared" si="1"/>
        <v>Naranja</v>
      </c>
      <c r="K55" s="31"/>
    </row>
    <row r="56" spans="1:11" ht="14.4" x14ac:dyDescent="0.3">
      <c r="A56" s="39">
        <v>20502</v>
      </c>
      <c r="B56" s="42" t="s">
        <v>101</v>
      </c>
      <c r="C56" s="30">
        <v>0.2</v>
      </c>
      <c r="D56" s="40" t="str">
        <f t="shared" si="0"/>
        <v>Naranja</v>
      </c>
      <c r="E56" s="41">
        <v>0.60537454473865537</v>
      </c>
      <c r="F56" s="40" t="str">
        <f t="shared" si="1"/>
        <v>Naranja</v>
      </c>
      <c r="K56" s="31"/>
    </row>
    <row r="57" spans="1:11" ht="14.4" x14ac:dyDescent="0.3">
      <c r="A57" s="39">
        <v>20503</v>
      </c>
      <c r="B57" s="42" t="s">
        <v>182</v>
      </c>
      <c r="C57" s="30">
        <v>0.8</v>
      </c>
      <c r="D57" s="40" t="str">
        <f t="shared" si="0"/>
        <v>Naranja</v>
      </c>
      <c r="E57" s="41">
        <v>1.2985179957657025</v>
      </c>
      <c r="F57" s="40" t="str">
        <f t="shared" si="1"/>
        <v>Naranja</v>
      </c>
      <c r="K57" s="31"/>
    </row>
    <row r="58" spans="1:11" ht="14.4" x14ac:dyDescent="0.3">
      <c r="A58" s="39">
        <v>20601</v>
      </c>
      <c r="B58" s="42" t="s">
        <v>233</v>
      </c>
      <c r="C58" s="30">
        <v>6.8</v>
      </c>
      <c r="D58" s="40" t="str">
        <f t="shared" si="0"/>
        <v>Verde</v>
      </c>
      <c r="E58" s="41">
        <v>4.8606115605529059</v>
      </c>
      <c r="F58" s="40" t="str">
        <f t="shared" si="1"/>
        <v>Verde</v>
      </c>
      <c r="K58" s="31"/>
    </row>
    <row r="59" spans="1:11" ht="14.4" x14ac:dyDescent="0.3">
      <c r="A59" s="39">
        <v>20602</v>
      </c>
      <c r="B59" s="42" t="s">
        <v>236</v>
      </c>
      <c r="C59" s="30">
        <v>0.7</v>
      </c>
      <c r="D59" s="40" t="str">
        <f t="shared" si="0"/>
        <v>Naranja</v>
      </c>
      <c r="E59" s="41">
        <v>1.0443926534573136</v>
      </c>
      <c r="F59" s="40" t="str">
        <f t="shared" si="1"/>
        <v>Naranja</v>
      </c>
      <c r="K59" s="31"/>
    </row>
    <row r="60" spans="1:11" ht="14.4" x14ac:dyDescent="0.3">
      <c r="A60" s="39">
        <v>20603</v>
      </c>
      <c r="B60" s="42" t="s">
        <v>203</v>
      </c>
      <c r="C60" s="30">
        <v>0.2</v>
      </c>
      <c r="D60" s="40" t="str">
        <f t="shared" si="0"/>
        <v>Naranja</v>
      </c>
      <c r="E60" s="41">
        <v>0.22304365582164884</v>
      </c>
      <c r="F60" s="40" t="str">
        <f t="shared" si="1"/>
        <v>Naranja</v>
      </c>
      <c r="K60" s="31"/>
    </row>
    <row r="61" spans="1:11" ht="14.4" x14ac:dyDescent="0.3">
      <c r="A61" s="39">
        <v>20604</v>
      </c>
      <c r="B61" s="42" t="s">
        <v>54</v>
      </c>
      <c r="C61" s="30">
        <v>0.1</v>
      </c>
      <c r="D61" s="40" t="str">
        <f t="shared" si="0"/>
        <v>Rojo</v>
      </c>
      <c r="E61" s="41">
        <v>0.38654494613043833</v>
      </c>
      <c r="F61" s="40" t="str">
        <f t="shared" si="1"/>
        <v>Naranja</v>
      </c>
      <c r="K61" s="31"/>
    </row>
    <row r="62" spans="1:11" ht="14.4" x14ac:dyDescent="0.3">
      <c r="A62" s="39">
        <v>20605</v>
      </c>
      <c r="B62" s="42" t="s">
        <v>62</v>
      </c>
      <c r="C62" s="30">
        <v>0.2</v>
      </c>
      <c r="D62" s="40" t="str">
        <f t="shared" si="0"/>
        <v>Naranja</v>
      </c>
      <c r="E62" s="41">
        <v>0.61268421924159633</v>
      </c>
      <c r="F62" s="40" t="str">
        <f t="shared" si="1"/>
        <v>Naranja</v>
      </c>
      <c r="K62" s="31"/>
    </row>
    <row r="63" spans="1:11" ht="14.4" x14ac:dyDescent="0.3">
      <c r="A63" s="39">
        <v>20606</v>
      </c>
      <c r="B63" s="42" t="s">
        <v>140</v>
      </c>
      <c r="C63" s="30">
        <v>0.7</v>
      </c>
      <c r="D63" s="40" t="str">
        <f t="shared" si="0"/>
        <v>Naranja</v>
      </c>
      <c r="E63" s="41">
        <v>2.8470230418294862</v>
      </c>
      <c r="F63" s="40" t="str">
        <f t="shared" si="1"/>
        <v>Amarillo</v>
      </c>
      <c r="K63" s="31"/>
    </row>
    <row r="64" spans="1:11" ht="14.4" x14ac:dyDescent="0.3">
      <c r="A64" s="39">
        <v>20607</v>
      </c>
      <c r="B64" s="42" t="s">
        <v>167</v>
      </c>
      <c r="C64" s="30">
        <v>0.8</v>
      </c>
      <c r="D64" s="40" t="str">
        <f t="shared" si="0"/>
        <v>Naranja</v>
      </c>
      <c r="E64" s="41">
        <v>2.5099027401357832</v>
      </c>
      <c r="F64" s="40" t="str">
        <f t="shared" si="1"/>
        <v>Amarillo</v>
      </c>
      <c r="K64" s="31"/>
    </row>
    <row r="65" spans="1:11" ht="14.4" x14ac:dyDescent="0.3">
      <c r="A65" s="39">
        <v>20608</v>
      </c>
      <c r="B65" s="42" t="s">
        <v>200</v>
      </c>
      <c r="C65" s="30">
        <v>0.6</v>
      </c>
      <c r="D65" s="40" t="str">
        <f t="shared" si="0"/>
        <v>Naranja</v>
      </c>
      <c r="E65" s="41">
        <v>1.0526315789473684</v>
      </c>
      <c r="F65" s="40" t="str">
        <f t="shared" si="1"/>
        <v>Naranja</v>
      </c>
      <c r="K65" s="31"/>
    </row>
    <row r="66" spans="1:11" ht="14.4" x14ac:dyDescent="0.3">
      <c r="A66" s="39">
        <v>20701</v>
      </c>
      <c r="B66" s="42" t="s">
        <v>241</v>
      </c>
      <c r="C66" s="30">
        <v>0.6</v>
      </c>
      <c r="D66" s="40" t="str">
        <f t="shared" si="0"/>
        <v>Naranja</v>
      </c>
      <c r="E66" s="41">
        <v>1.2336986469111613</v>
      </c>
      <c r="F66" s="40" t="str">
        <f t="shared" si="1"/>
        <v>Naranja</v>
      </c>
      <c r="K66" s="31"/>
    </row>
    <row r="67" spans="1:11" ht="14.4" x14ac:dyDescent="0.3">
      <c r="A67" s="39">
        <v>20702</v>
      </c>
      <c r="B67" s="42" t="s">
        <v>41</v>
      </c>
      <c r="C67" s="30">
        <v>0.3</v>
      </c>
      <c r="D67" s="40" t="str">
        <f t="shared" ref="D67:D130" si="2">IF(C67&lt;=0.11,"Rojo",
   IF(C67&lt;=2.4,"Naranja",
   IF(C67&lt;=4.68,"Amarillo","Verde")))</f>
        <v>Naranja</v>
      </c>
      <c r="E67" s="41">
        <v>1.2547486343343595</v>
      </c>
      <c r="F67" s="40" t="str">
        <f t="shared" ref="F67:F130" si="3">IF(E67&lt;=0.11,"Rojo",
   IF(E67&lt;=2.4,"Naranja",
   IF(E67&lt;=4.68,"Amarillo","Verde")))</f>
        <v>Naranja</v>
      </c>
      <c r="K67" s="31"/>
    </row>
    <row r="68" spans="1:11" ht="14.4" x14ac:dyDescent="0.3">
      <c r="A68" s="39">
        <v>20801</v>
      </c>
      <c r="B68" s="42" t="s">
        <v>244</v>
      </c>
      <c r="C68" s="30">
        <v>1.6</v>
      </c>
      <c r="D68" s="40" t="str">
        <f t="shared" si="2"/>
        <v>Naranja</v>
      </c>
      <c r="E68" s="41">
        <v>3.5837154322153717</v>
      </c>
      <c r="F68" s="40" t="str">
        <f t="shared" si="3"/>
        <v>Amarillo</v>
      </c>
      <c r="K68" s="31"/>
    </row>
    <row r="69" spans="1:11" ht="14.4" x14ac:dyDescent="0.3">
      <c r="A69" s="39">
        <v>20802</v>
      </c>
      <c r="B69" s="42" t="s">
        <v>460</v>
      </c>
      <c r="C69" s="30">
        <v>0.7</v>
      </c>
      <c r="D69" s="40" t="str">
        <f t="shared" si="2"/>
        <v>Naranja</v>
      </c>
      <c r="E69" s="41">
        <v>8.0675539929683566</v>
      </c>
      <c r="F69" s="40" t="str">
        <f t="shared" si="3"/>
        <v>Verde</v>
      </c>
      <c r="K69" s="31"/>
    </row>
    <row r="70" spans="1:11" ht="14.4" x14ac:dyDescent="0.3">
      <c r="A70" s="39">
        <v>20803</v>
      </c>
      <c r="B70" s="42" t="s">
        <v>217</v>
      </c>
      <c r="C70" s="30">
        <v>46.8</v>
      </c>
      <c r="D70" s="40" t="str">
        <f t="shared" si="2"/>
        <v>Verde</v>
      </c>
      <c r="E70" s="41">
        <v>7.2032113388011991</v>
      </c>
      <c r="F70" s="40" t="str">
        <f t="shared" si="3"/>
        <v>Verde</v>
      </c>
      <c r="K70" s="31"/>
    </row>
    <row r="71" spans="1:11" ht="14.4" x14ac:dyDescent="0.3">
      <c r="A71" s="39">
        <v>20804</v>
      </c>
      <c r="B71" s="42" t="s">
        <v>113</v>
      </c>
      <c r="C71" s="30">
        <v>28.3</v>
      </c>
      <c r="D71" s="40" t="str">
        <f t="shared" si="2"/>
        <v>Verde</v>
      </c>
      <c r="E71" s="41">
        <v>8.3300627943485086</v>
      </c>
      <c r="F71" s="40" t="str">
        <f t="shared" si="3"/>
        <v>Verde</v>
      </c>
      <c r="K71" s="31"/>
    </row>
    <row r="72" spans="1:11" ht="14.4" x14ac:dyDescent="0.3">
      <c r="A72" s="39">
        <v>20805</v>
      </c>
      <c r="B72" s="42" t="s">
        <v>461</v>
      </c>
      <c r="C72" s="30">
        <v>0.3</v>
      </c>
      <c r="D72" s="40" t="str">
        <f t="shared" si="2"/>
        <v>Naranja</v>
      </c>
      <c r="E72" s="41">
        <v>1.1822376009227218</v>
      </c>
      <c r="F72" s="40" t="str">
        <f t="shared" si="3"/>
        <v>Naranja</v>
      </c>
      <c r="K72" s="31"/>
    </row>
    <row r="73" spans="1:11" ht="14.4" x14ac:dyDescent="0.3">
      <c r="A73" s="39">
        <v>20806</v>
      </c>
      <c r="B73" s="42" t="s">
        <v>462</v>
      </c>
      <c r="C73" s="30">
        <v>0.4</v>
      </c>
      <c r="D73" s="40" t="str">
        <f t="shared" si="2"/>
        <v>Naranja</v>
      </c>
      <c r="E73" s="41">
        <v>1.6573426573426575</v>
      </c>
      <c r="F73" s="40" t="str">
        <f t="shared" si="3"/>
        <v>Naranja</v>
      </c>
      <c r="K73" s="31"/>
    </row>
    <row r="74" spans="1:11" ht="14.4" x14ac:dyDescent="0.3">
      <c r="A74" s="39">
        <v>20807</v>
      </c>
      <c r="B74" s="42" t="s">
        <v>123</v>
      </c>
      <c r="C74" s="30">
        <v>0.2</v>
      </c>
      <c r="D74" s="40" t="str">
        <f t="shared" si="2"/>
        <v>Naranja</v>
      </c>
      <c r="E74" s="41">
        <v>0.6384831188932959</v>
      </c>
      <c r="F74" s="40" t="str">
        <f t="shared" si="3"/>
        <v>Naranja</v>
      </c>
      <c r="K74" s="31"/>
    </row>
    <row r="75" spans="1:11" ht="14.4" x14ac:dyDescent="0.3">
      <c r="A75" s="39">
        <v>20901</v>
      </c>
      <c r="B75" s="42" t="s">
        <v>253</v>
      </c>
      <c r="C75" s="30">
        <v>0.4</v>
      </c>
      <c r="D75" s="40" t="str">
        <f t="shared" si="2"/>
        <v>Naranja</v>
      </c>
      <c r="E75" s="41">
        <v>0.92422980849292258</v>
      </c>
      <c r="F75" s="40" t="str">
        <f t="shared" si="3"/>
        <v>Naranja</v>
      </c>
      <c r="K75" s="31"/>
    </row>
    <row r="76" spans="1:11" ht="14.4" x14ac:dyDescent="0.3">
      <c r="A76" s="39">
        <v>20902</v>
      </c>
      <c r="B76" s="42" t="s">
        <v>172</v>
      </c>
      <c r="C76" s="30">
        <v>0.3</v>
      </c>
      <c r="D76" s="40" t="str">
        <f t="shared" si="2"/>
        <v>Naranja</v>
      </c>
      <c r="E76" s="41">
        <v>0.46348632150124353</v>
      </c>
      <c r="F76" s="40" t="str">
        <f t="shared" si="3"/>
        <v>Naranja</v>
      </c>
      <c r="K76" s="31"/>
    </row>
    <row r="77" spans="1:11" ht="14.4" x14ac:dyDescent="0.3">
      <c r="A77" s="39">
        <v>20903</v>
      </c>
      <c r="B77" s="42" t="s">
        <v>198</v>
      </c>
      <c r="C77" s="30">
        <v>0.3</v>
      </c>
      <c r="D77" s="40" t="str">
        <f t="shared" si="2"/>
        <v>Naranja</v>
      </c>
      <c r="E77" s="41">
        <v>1.2304400160492177</v>
      </c>
      <c r="F77" s="40" t="str">
        <f t="shared" si="3"/>
        <v>Naranja</v>
      </c>
      <c r="K77" s="31"/>
    </row>
    <row r="78" spans="1:11" ht="14.4" x14ac:dyDescent="0.3">
      <c r="A78" s="39">
        <v>20904</v>
      </c>
      <c r="B78" s="42" t="s">
        <v>107</v>
      </c>
      <c r="C78" s="30">
        <v>0.6</v>
      </c>
      <c r="D78" s="40" t="str">
        <f t="shared" si="2"/>
        <v>Naranja</v>
      </c>
      <c r="E78" s="41">
        <v>1.5107990211724651</v>
      </c>
      <c r="F78" s="40" t="str">
        <f t="shared" si="3"/>
        <v>Naranja</v>
      </c>
      <c r="K78" s="31"/>
    </row>
    <row r="79" spans="1:11" ht="14.4" x14ac:dyDescent="0.3">
      <c r="A79" s="39">
        <v>20905</v>
      </c>
      <c r="B79" s="42" t="s">
        <v>191</v>
      </c>
      <c r="C79" s="30">
        <v>0.1</v>
      </c>
      <c r="D79" s="40" t="str">
        <f t="shared" si="2"/>
        <v>Rojo</v>
      </c>
      <c r="E79" s="41">
        <v>0.40273157065312565</v>
      </c>
      <c r="F79" s="40" t="str">
        <f t="shared" si="3"/>
        <v>Naranja</v>
      </c>
      <c r="K79" s="31"/>
    </row>
    <row r="80" spans="1:11" ht="14.4" x14ac:dyDescent="0.3">
      <c r="A80" s="39">
        <v>21001</v>
      </c>
      <c r="B80" s="42" t="s">
        <v>138</v>
      </c>
      <c r="C80" s="30">
        <v>0.1</v>
      </c>
      <c r="D80" s="40" t="str">
        <f t="shared" si="2"/>
        <v>Rojo</v>
      </c>
      <c r="E80" s="41">
        <v>0.30674184001900934</v>
      </c>
      <c r="F80" s="40" t="str">
        <f t="shared" si="3"/>
        <v>Naranja</v>
      </c>
      <c r="K80" s="31"/>
    </row>
    <row r="81" spans="1:11" ht="14.4" x14ac:dyDescent="0.3">
      <c r="A81" s="39">
        <v>21002</v>
      </c>
      <c r="B81" s="42" t="s">
        <v>231</v>
      </c>
      <c r="C81" s="30">
        <v>0.4</v>
      </c>
      <c r="D81" s="40" t="str">
        <f t="shared" si="2"/>
        <v>Naranja</v>
      </c>
      <c r="E81" s="41">
        <v>1.4361920393926959</v>
      </c>
      <c r="F81" s="40" t="str">
        <f t="shared" si="3"/>
        <v>Naranja</v>
      </c>
      <c r="K81" s="31"/>
    </row>
    <row r="82" spans="1:11" ht="14.4" x14ac:dyDescent="0.3">
      <c r="A82" s="39">
        <v>21003</v>
      </c>
      <c r="B82" s="42" t="s">
        <v>149</v>
      </c>
      <c r="C82" s="30">
        <v>0.3</v>
      </c>
      <c r="D82" s="40" t="str">
        <f t="shared" si="2"/>
        <v>Naranja</v>
      </c>
      <c r="E82" s="41">
        <v>0.64613156575502695</v>
      </c>
      <c r="F82" s="40" t="str">
        <f t="shared" si="3"/>
        <v>Naranja</v>
      </c>
      <c r="K82" s="31"/>
    </row>
    <row r="83" spans="1:11" ht="14.4" x14ac:dyDescent="0.3">
      <c r="A83" s="39">
        <v>21004</v>
      </c>
      <c r="B83" s="42" t="s">
        <v>268</v>
      </c>
      <c r="C83" s="30">
        <v>0.1</v>
      </c>
      <c r="D83" s="40" t="str">
        <f t="shared" si="2"/>
        <v>Rojo</v>
      </c>
      <c r="E83" s="41">
        <v>0.2353144033714874</v>
      </c>
      <c r="F83" s="40" t="str">
        <f t="shared" si="3"/>
        <v>Naranja</v>
      </c>
      <c r="K83" s="31"/>
    </row>
    <row r="84" spans="1:11" ht="14.4" x14ac:dyDescent="0.3">
      <c r="A84" s="39">
        <v>21005</v>
      </c>
      <c r="B84" s="42" t="s">
        <v>132</v>
      </c>
      <c r="C84" s="30">
        <v>0.2</v>
      </c>
      <c r="D84" s="40" t="str">
        <f t="shared" si="2"/>
        <v>Naranja</v>
      </c>
      <c r="E84" s="41">
        <v>0.5714285714285714</v>
      </c>
      <c r="F84" s="40" t="str">
        <f t="shared" si="3"/>
        <v>Naranja</v>
      </c>
      <c r="K84" s="31"/>
    </row>
    <row r="85" spans="1:11" ht="14.4" x14ac:dyDescent="0.3">
      <c r="A85" s="39">
        <v>21006</v>
      </c>
      <c r="B85" s="42" t="s">
        <v>67</v>
      </c>
      <c r="C85" s="30">
        <v>0.6</v>
      </c>
      <c r="D85" s="40" t="str">
        <f t="shared" si="2"/>
        <v>Naranja</v>
      </c>
      <c r="E85" s="41">
        <v>3.9082631850197558</v>
      </c>
      <c r="F85" s="40" t="str">
        <f t="shared" si="3"/>
        <v>Amarillo</v>
      </c>
      <c r="K85" s="31"/>
    </row>
    <row r="86" spans="1:11" ht="14.4" x14ac:dyDescent="0.3">
      <c r="A86" s="39">
        <v>21101</v>
      </c>
      <c r="B86" s="42" t="s">
        <v>245</v>
      </c>
      <c r="C86" s="30">
        <v>0.9</v>
      </c>
      <c r="D86" s="40" t="str">
        <f t="shared" si="2"/>
        <v>Naranja</v>
      </c>
      <c r="E86" s="41">
        <v>1.4871306005719733</v>
      </c>
      <c r="F86" s="40" t="str">
        <f t="shared" si="3"/>
        <v>Naranja</v>
      </c>
      <c r="K86" s="31"/>
    </row>
    <row r="87" spans="1:11" ht="14.4" x14ac:dyDescent="0.3">
      <c r="A87" s="39">
        <v>21102</v>
      </c>
      <c r="B87" s="42" t="s">
        <v>273</v>
      </c>
      <c r="C87" s="30">
        <v>0.3</v>
      </c>
      <c r="D87" s="40" t="str">
        <f t="shared" si="2"/>
        <v>Naranja</v>
      </c>
      <c r="E87" s="41">
        <v>0.66807237988682577</v>
      </c>
      <c r="F87" s="40" t="str">
        <f t="shared" si="3"/>
        <v>Naranja</v>
      </c>
      <c r="K87" s="31"/>
    </row>
    <row r="88" spans="1:11" ht="14.4" x14ac:dyDescent="0.3">
      <c r="A88" s="39">
        <v>21103</v>
      </c>
      <c r="B88" s="42" t="s">
        <v>94</v>
      </c>
      <c r="C88" s="30">
        <v>0.6</v>
      </c>
      <c r="D88" s="40" t="str">
        <f t="shared" si="2"/>
        <v>Naranja</v>
      </c>
      <c r="E88" s="41">
        <v>1.2486724809319987</v>
      </c>
      <c r="F88" s="40" t="str">
        <f t="shared" si="3"/>
        <v>Naranja</v>
      </c>
      <c r="K88" s="31"/>
    </row>
    <row r="89" spans="1:11" ht="14.4" x14ac:dyDescent="0.3">
      <c r="A89" s="39">
        <v>21104</v>
      </c>
      <c r="B89" s="42" t="s">
        <v>258</v>
      </c>
      <c r="C89" s="30">
        <v>0.6</v>
      </c>
      <c r="D89" s="40" t="str">
        <f t="shared" si="2"/>
        <v>Naranja</v>
      </c>
      <c r="E89" s="41">
        <v>1.1879131975536801</v>
      </c>
      <c r="F89" s="40" t="str">
        <f t="shared" si="3"/>
        <v>Naranja</v>
      </c>
      <c r="K89" s="31"/>
    </row>
    <row r="90" spans="1:11" ht="14.4" x14ac:dyDescent="0.3">
      <c r="A90" s="39">
        <v>21105</v>
      </c>
      <c r="B90" s="42" t="s">
        <v>70</v>
      </c>
      <c r="C90" s="30">
        <v>0.2</v>
      </c>
      <c r="D90" s="40" t="str">
        <f t="shared" si="2"/>
        <v>Naranja</v>
      </c>
      <c r="E90" s="41">
        <v>0.52646080573104248</v>
      </c>
      <c r="F90" s="40" t="str">
        <f t="shared" si="3"/>
        <v>Naranja</v>
      </c>
      <c r="K90" s="31"/>
    </row>
    <row r="91" spans="1:11" ht="14.4" x14ac:dyDescent="0.3">
      <c r="A91" s="39">
        <v>21201</v>
      </c>
      <c r="B91" s="42" t="s">
        <v>255</v>
      </c>
      <c r="C91" s="30">
        <v>0.4</v>
      </c>
      <c r="D91" s="40" t="str">
        <f t="shared" si="2"/>
        <v>Naranja</v>
      </c>
      <c r="E91" s="41">
        <v>2.4950991339735475</v>
      </c>
      <c r="F91" s="40" t="str">
        <f t="shared" si="3"/>
        <v>Amarillo</v>
      </c>
      <c r="K91" s="31"/>
    </row>
    <row r="92" spans="1:11" ht="14.4" x14ac:dyDescent="0.3">
      <c r="A92" s="39">
        <v>21202</v>
      </c>
      <c r="B92" s="42" t="s">
        <v>267</v>
      </c>
      <c r="C92" s="30">
        <v>0.5</v>
      </c>
      <c r="D92" s="40" t="str">
        <f t="shared" si="2"/>
        <v>Naranja</v>
      </c>
      <c r="E92" s="41">
        <v>1.6649423766330631</v>
      </c>
      <c r="F92" s="40" t="str">
        <f t="shared" si="3"/>
        <v>Naranja</v>
      </c>
      <c r="K92" s="31"/>
    </row>
    <row r="93" spans="1:11" ht="14.4" x14ac:dyDescent="0.3">
      <c r="A93" s="39">
        <v>21203</v>
      </c>
      <c r="B93" s="42" t="s">
        <v>277</v>
      </c>
      <c r="C93" s="30">
        <v>0.5</v>
      </c>
      <c r="D93" s="40" t="str">
        <f t="shared" si="2"/>
        <v>Naranja</v>
      </c>
      <c r="E93" s="41">
        <v>6.1064922202819982</v>
      </c>
      <c r="F93" s="40" t="str">
        <f t="shared" si="3"/>
        <v>Verde</v>
      </c>
      <c r="K93" s="31"/>
    </row>
    <row r="94" spans="1:11" ht="14.4" x14ac:dyDescent="0.3">
      <c r="A94" s="39">
        <v>21204</v>
      </c>
      <c r="B94" s="42" t="s">
        <v>199</v>
      </c>
      <c r="C94" s="30">
        <v>0.6</v>
      </c>
      <c r="D94" s="40" t="str">
        <f t="shared" si="2"/>
        <v>Naranja</v>
      </c>
      <c r="E94" s="41">
        <v>2.9149221897464255</v>
      </c>
      <c r="F94" s="40" t="str">
        <f t="shared" si="3"/>
        <v>Amarillo</v>
      </c>
      <c r="K94" s="31"/>
    </row>
    <row r="95" spans="1:11" ht="14.4" x14ac:dyDescent="0.3">
      <c r="A95" s="39">
        <v>21301</v>
      </c>
      <c r="B95" s="42" t="s">
        <v>463</v>
      </c>
      <c r="C95" s="30">
        <v>0.6</v>
      </c>
      <c r="D95" s="40" t="str">
        <f t="shared" si="2"/>
        <v>Naranja</v>
      </c>
      <c r="E95" s="41">
        <v>1.410701978208907</v>
      </c>
      <c r="F95" s="40" t="str">
        <f t="shared" si="3"/>
        <v>Naranja</v>
      </c>
      <c r="K95" s="31"/>
    </row>
    <row r="96" spans="1:11" ht="14.4" x14ac:dyDescent="0.3">
      <c r="A96" s="39">
        <v>21302</v>
      </c>
      <c r="B96" s="42" t="s">
        <v>232</v>
      </c>
      <c r="C96" s="30">
        <v>0.1</v>
      </c>
      <c r="D96" s="40" t="str">
        <f t="shared" si="2"/>
        <v>Rojo</v>
      </c>
      <c r="E96" s="41">
        <v>0.37498125093745316</v>
      </c>
      <c r="F96" s="40" t="str">
        <f t="shared" si="3"/>
        <v>Naranja</v>
      </c>
      <c r="K96" s="31"/>
    </row>
    <row r="97" spans="1:11" ht="14.4" x14ac:dyDescent="0.3">
      <c r="A97" s="39">
        <v>21303</v>
      </c>
      <c r="B97" s="42" t="s">
        <v>218</v>
      </c>
      <c r="C97" s="30">
        <v>0.4</v>
      </c>
      <c r="D97" s="40" t="str">
        <f t="shared" si="2"/>
        <v>Naranja</v>
      </c>
      <c r="E97" s="41">
        <v>1.3034072471606273</v>
      </c>
      <c r="F97" s="40" t="str">
        <f t="shared" si="3"/>
        <v>Naranja</v>
      </c>
      <c r="K97" s="31"/>
    </row>
    <row r="98" spans="1:11" ht="14.4" x14ac:dyDescent="0.3">
      <c r="A98" s="39">
        <v>21304</v>
      </c>
      <c r="B98" s="42" t="s">
        <v>249</v>
      </c>
      <c r="C98" s="30">
        <v>0.3</v>
      </c>
      <c r="D98" s="40" t="str">
        <f t="shared" si="2"/>
        <v>Naranja</v>
      </c>
      <c r="E98" s="41">
        <v>0.70121951219512202</v>
      </c>
      <c r="F98" s="40" t="str">
        <f t="shared" si="3"/>
        <v>Naranja</v>
      </c>
      <c r="K98" s="31"/>
    </row>
    <row r="99" spans="1:11" ht="14.4" x14ac:dyDescent="0.3">
      <c r="A99" s="39">
        <v>21305</v>
      </c>
      <c r="B99" s="42" t="s">
        <v>280</v>
      </c>
      <c r="C99" s="30">
        <v>1.4</v>
      </c>
      <c r="D99" s="40" t="str">
        <f t="shared" si="2"/>
        <v>Naranja</v>
      </c>
      <c r="E99" s="41">
        <v>7.6904888573624168</v>
      </c>
      <c r="F99" s="40" t="str">
        <f t="shared" si="3"/>
        <v>Verde</v>
      </c>
      <c r="K99" s="31"/>
    </row>
    <row r="100" spans="1:11" ht="14.4" x14ac:dyDescent="0.3">
      <c r="A100" s="39">
        <v>21306</v>
      </c>
      <c r="B100" s="42" t="s">
        <v>229</v>
      </c>
      <c r="C100" s="30">
        <v>0.4</v>
      </c>
      <c r="D100" s="40" t="str">
        <f t="shared" si="2"/>
        <v>Naranja</v>
      </c>
      <c r="E100" s="41">
        <v>1.3615377367379631</v>
      </c>
      <c r="F100" s="40" t="str">
        <f t="shared" si="3"/>
        <v>Naranja</v>
      </c>
      <c r="K100" s="31"/>
    </row>
    <row r="101" spans="1:11" ht="14.4" x14ac:dyDescent="0.3">
      <c r="A101" s="39">
        <v>21307</v>
      </c>
      <c r="B101" s="42" t="s">
        <v>100</v>
      </c>
      <c r="C101" s="30">
        <v>0.6</v>
      </c>
      <c r="D101" s="40" t="str">
        <f t="shared" si="2"/>
        <v>Naranja</v>
      </c>
      <c r="E101" s="41">
        <v>2.0455461507456669</v>
      </c>
      <c r="F101" s="40" t="str">
        <f t="shared" si="3"/>
        <v>Naranja</v>
      </c>
      <c r="K101" s="31"/>
    </row>
    <row r="102" spans="1:11" ht="14.4" x14ac:dyDescent="0.3">
      <c r="A102" s="39">
        <v>21401</v>
      </c>
      <c r="B102" s="42" t="s">
        <v>284</v>
      </c>
      <c r="C102" s="30">
        <v>28</v>
      </c>
      <c r="D102" s="40" t="str">
        <f t="shared" si="2"/>
        <v>Verde</v>
      </c>
      <c r="E102" s="41">
        <v>5.8159457366160492</v>
      </c>
      <c r="F102" s="40" t="str">
        <f t="shared" si="3"/>
        <v>Verde</v>
      </c>
      <c r="K102" s="31"/>
    </row>
    <row r="103" spans="1:11" ht="14.4" x14ac:dyDescent="0.3">
      <c r="A103" s="39">
        <v>21402</v>
      </c>
      <c r="B103" s="42" t="s">
        <v>220</v>
      </c>
      <c r="C103" s="30">
        <v>0.5</v>
      </c>
      <c r="D103" s="40" t="str">
        <f t="shared" si="2"/>
        <v>Naranja</v>
      </c>
      <c r="E103" s="41">
        <v>0.9917981635018277</v>
      </c>
      <c r="F103" s="40" t="str">
        <f t="shared" si="3"/>
        <v>Naranja</v>
      </c>
      <c r="K103" s="31"/>
    </row>
    <row r="104" spans="1:11" ht="14.4" x14ac:dyDescent="0.3">
      <c r="A104" s="39">
        <v>21501</v>
      </c>
      <c r="B104" s="42" t="s">
        <v>194</v>
      </c>
      <c r="C104" s="30">
        <v>1</v>
      </c>
      <c r="D104" s="40" t="str">
        <f t="shared" si="2"/>
        <v>Naranja</v>
      </c>
      <c r="E104" s="41">
        <v>2.1906788112492523</v>
      </c>
      <c r="F104" s="40" t="str">
        <f t="shared" si="3"/>
        <v>Naranja</v>
      </c>
      <c r="K104" s="31"/>
    </row>
    <row r="105" spans="1:11" ht="14.4" x14ac:dyDescent="0.3">
      <c r="A105" s="39">
        <v>21502</v>
      </c>
      <c r="B105" s="42" t="s">
        <v>133</v>
      </c>
      <c r="C105" s="30">
        <v>1.5</v>
      </c>
      <c r="D105" s="40" t="str">
        <f t="shared" si="2"/>
        <v>Naranja</v>
      </c>
      <c r="E105" s="41">
        <v>7.8790515553621931</v>
      </c>
      <c r="F105" s="40" t="str">
        <f t="shared" si="3"/>
        <v>Verde</v>
      </c>
      <c r="K105" s="31"/>
    </row>
    <row r="106" spans="1:11" ht="14.4" x14ac:dyDescent="0.3">
      <c r="A106" s="39">
        <v>21601</v>
      </c>
      <c r="B106" s="42" t="s">
        <v>464</v>
      </c>
      <c r="C106" s="30">
        <v>0.5</v>
      </c>
      <c r="D106" s="40" t="str">
        <f t="shared" si="2"/>
        <v>Naranja</v>
      </c>
      <c r="E106" s="41">
        <v>1.4895458479478887</v>
      </c>
      <c r="F106" s="40" t="str">
        <f t="shared" si="3"/>
        <v>Naranja</v>
      </c>
      <c r="K106" s="31"/>
    </row>
    <row r="107" spans="1:11" ht="14.4" x14ac:dyDescent="0.3">
      <c r="A107" s="39">
        <v>21602</v>
      </c>
      <c r="B107" s="42" t="s">
        <v>108</v>
      </c>
      <c r="C107" s="30">
        <v>0.5</v>
      </c>
      <c r="D107" s="40" t="str">
        <f t="shared" si="2"/>
        <v>Naranja</v>
      </c>
      <c r="E107" s="41">
        <v>1.4804270462633451</v>
      </c>
      <c r="F107" s="40" t="str">
        <f t="shared" si="3"/>
        <v>Naranja</v>
      </c>
      <c r="K107" s="31"/>
    </row>
    <row r="108" spans="1:11" ht="14.4" x14ac:dyDescent="0.3">
      <c r="A108" s="39">
        <v>21701</v>
      </c>
      <c r="B108" s="42" t="s">
        <v>251</v>
      </c>
      <c r="C108" s="30">
        <v>47.1</v>
      </c>
      <c r="D108" s="40" t="str">
        <f t="shared" si="2"/>
        <v>Verde</v>
      </c>
      <c r="E108" s="41">
        <v>11.16365478804256</v>
      </c>
      <c r="F108" s="40" t="str">
        <f t="shared" si="3"/>
        <v>Verde</v>
      </c>
      <c r="K108" s="31"/>
    </row>
    <row r="109" spans="1:11" ht="14.4" x14ac:dyDescent="0.3">
      <c r="A109" s="39">
        <v>21702</v>
      </c>
      <c r="B109" s="42" t="s">
        <v>184</v>
      </c>
      <c r="C109" s="30">
        <v>26.5</v>
      </c>
      <c r="D109" s="40" t="str">
        <f t="shared" si="2"/>
        <v>Verde</v>
      </c>
      <c r="E109" s="41">
        <v>12.581446899979849</v>
      </c>
      <c r="F109" s="40" t="str">
        <f t="shared" si="3"/>
        <v>Verde</v>
      </c>
      <c r="K109" s="31"/>
    </row>
    <row r="110" spans="1:11" ht="14.4" x14ac:dyDescent="0.3">
      <c r="A110" s="39">
        <v>21703</v>
      </c>
      <c r="B110" s="42" t="s">
        <v>135</v>
      </c>
      <c r="C110" s="30">
        <v>0.5</v>
      </c>
      <c r="D110" s="40" t="str">
        <f t="shared" si="2"/>
        <v>Naranja</v>
      </c>
      <c r="E110" s="41">
        <v>4.239284032030147</v>
      </c>
      <c r="F110" s="40" t="str">
        <f t="shared" si="3"/>
        <v>Amarillo</v>
      </c>
      <c r="K110" s="31"/>
    </row>
    <row r="111" spans="1:11" ht="14.4" x14ac:dyDescent="0.3">
      <c r="A111" s="39">
        <v>21801</v>
      </c>
      <c r="B111" s="42" t="s">
        <v>314</v>
      </c>
      <c r="C111" s="30">
        <v>0.1</v>
      </c>
      <c r="D111" s="40" t="str">
        <f t="shared" si="2"/>
        <v>Rojo</v>
      </c>
      <c r="E111" s="41">
        <v>0.44873018903952644</v>
      </c>
      <c r="F111" s="40" t="str">
        <f t="shared" si="3"/>
        <v>Naranja</v>
      </c>
      <c r="K111" s="31"/>
    </row>
    <row r="112" spans="1:11" ht="14.4" x14ac:dyDescent="0.3">
      <c r="A112" s="39">
        <v>21802</v>
      </c>
      <c r="B112" s="42" t="s">
        <v>197</v>
      </c>
      <c r="C112" s="30">
        <v>0.2</v>
      </c>
      <c r="D112" s="40" t="str">
        <f t="shared" si="2"/>
        <v>Naranja</v>
      </c>
      <c r="E112" s="41">
        <v>0.56075999472225879</v>
      </c>
      <c r="F112" s="40" t="str">
        <f t="shared" si="3"/>
        <v>Naranja</v>
      </c>
      <c r="K112" s="31"/>
    </row>
    <row r="113" spans="1:11" ht="14.4" x14ac:dyDescent="0.3">
      <c r="A113" s="39">
        <v>21803</v>
      </c>
      <c r="B113" s="42" t="s">
        <v>49</v>
      </c>
      <c r="C113" s="30">
        <v>0.3</v>
      </c>
      <c r="D113" s="40" t="str">
        <f t="shared" si="2"/>
        <v>Naranja</v>
      </c>
      <c r="E113" s="41">
        <v>0.8974048023284017</v>
      </c>
      <c r="F113" s="40" t="str">
        <f t="shared" si="3"/>
        <v>Naranja</v>
      </c>
      <c r="K113" s="31"/>
    </row>
    <row r="114" spans="1:11" ht="14.4" x14ac:dyDescent="0.3">
      <c r="A114" s="39">
        <v>21901</v>
      </c>
      <c r="B114" s="42" t="s">
        <v>50</v>
      </c>
      <c r="C114" s="30">
        <v>0.7</v>
      </c>
      <c r="D114" s="40" t="str">
        <f t="shared" si="2"/>
        <v>Naranja</v>
      </c>
      <c r="E114" s="41">
        <v>2.6675281521137162</v>
      </c>
      <c r="F114" s="40" t="str">
        <f t="shared" si="3"/>
        <v>Amarillo</v>
      </c>
      <c r="K114" s="31"/>
    </row>
    <row r="115" spans="1:11" ht="14.4" x14ac:dyDescent="0.3">
      <c r="A115" s="39">
        <v>21902</v>
      </c>
      <c r="B115" s="42" t="s">
        <v>28</v>
      </c>
      <c r="C115" s="30">
        <v>0.1</v>
      </c>
      <c r="D115" s="40" t="str">
        <f t="shared" si="2"/>
        <v>Rojo</v>
      </c>
      <c r="E115" s="41">
        <v>0.65835880554902426</v>
      </c>
      <c r="F115" s="40" t="str">
        <f t="shared" si="3"/>
        <v>Naranja</v>
      </c>
      <c r="K115" s="31"/>
    </row>
    <row r="116" spans="1:11" ht="14.4" x14ac:dyDescent="0.3">
      <c r="A116" s="39">
        <v>22001</v>
      </c>
      <c r="B116" s="42" t="s">
        <v>260</v>
      </c>
      <c r="C116" s="30">
        <v>2.5</v>
      </c>
      <c r="D116" s="40" t="str">
        <f t="shared" si="2"/>
        <v>Amarillo</v>
      </c>
      <c r="E116" s="41">
        <v>5.2620590027763363</v>
      </c>
      <c r="F116" s="40" t="str">
        <f t="shared" si="3"/>
        <v>Verde</v>
      </c>
      <c r="K116" s="31"/>
    </row>
    <row r="117" spans="1:11" ht="14.4" x14ac:dyDescent="0.3">
      <c r="A117" s="39">
        <v>22002</v>
      </c>
      <c r="B117" s="42" t="s">
        <v>185</v>
      </c>
      <c r="C117" s="30">
        <v>0.4</v>
      </c>
      <c r="D117" s="40" t="str">
        <f t="shared" si="2"/>
        <v>Naranja</v>
      </c>
      <c r="E117" s="41">
        <v>0.73301840690666231</v>
      </c>
      <c r="F117" s="40" t="str">
        <f t="shared" si="3"/>
        <v>Naranja</v>
      </c>
      <c r="K117" s="31"/>
    </row>
    <row r="118" spans="1:11" ht="14.4" x14ac:dyDescent="0.3">
      <c r="A118" s="39">
        <v>30101</v>
      </c>
      <c r="B118" s="42" t="s">
        <v>51</v>
      </c>
      <c r="C118" s="30">
        <v>4.2</v>
      </c>
      <c r="D118" s="40" t="str">
        <f t="shared" si="2"/>
        <v>Amarillo</v>
      </c>
      <c r="E118" s="41">
        <v>6.0801261672925131</v>
      </c>
      <c r="F118" s="40" t="str">
        <f t="shared" si="3"/>
        <v>Verde</v>
      </c>
      <c r="K118" s="31"/>
    </row>
    <row r="119" spans="1:11" ht="14.4" x14ac:dyDescent="0.3">
      <c r="A119" s="39">
        <v>30201</v>
      </c>
      <c r="B119" s="42" t="s">
        <v>252</v>
      </c>
      <c r="C119" s="30">
        <v>7.5</v>
      </c>
      <c r="D119" s="40" t="str">
        <f t="shared" si="2"/>
        <v>Verde</v>
      </c>
      <c r="E119" s="41">
        <v>2.7099655577003143</v>
      </c>
      <c r="F119" s="40" t="str">
        <f t="shared" si="3"/>
        <v>Amarillo</v>
      </c>
      <c r="K119" s="31"/>
    </row>
    <row r="120" spans="1:11" ht="14.4" x14ac:dyDescent="0.3">
      <c r="A120" s="39">
        <v>30202</v>
      </c>
      <c r="B120" s="42" t="s">
        <v>145</v>
      </c>
      <c r="C120" s="30">
        <v>0.5</v>
      </c>
      <c r="D120" s="40" t="str">
        <f t="shared" si="2"/>
        <v>Naranja</v>
      </c>
      <c r="E120" s="41">
        <v>1.7233924269565757</v>
      </c>
      <c r="F120" s="40" t="str">
        <f t="shared" si="3"/>
        <v>Naranja</v>
      </c>
      <c r="K120" s="31"/>
    </row>
    <row r="121" spans="1:11" ht="14.4" x14ac:dyDescent="0.3">
      <c r="A121" s="39">
        <v>30203</v>
      </c>
      <c r="B121" s="42" t="s">
        <v>56</v>
      </c>
      <c r="C121" s="30">
        <v>0.4</v>
      </c>
      <c r="D121" s="40" t="str">
        <f t="shared" si="2"/>
        <v>Naranja</v>
      </c>
      <c r="E121" s="41">
        <v>0.74282550521362001</v>
      </c>
      <c r="F121" s="40" t="str">
        <f t="shared" si="3"/>
        <v>Naranja</v>
      </c>
      <c r="K121" s="31"/>
    </row>
    <row r="122" spans="1:11" ht="14.4" x14ac:dyDescent="0.3">
      <c r="A122" s="39">
        <v>30301</v>
      </c>
      <c r="B122" s="42" t="s">
        <v>369</v>
      </c>
      <c r="C122" s="30">
        <v>9.3000000000000007</v>
      </c>
      <c r="D122" s="40" t="str">
        <f t="shared" si="2"/>
        <v>Verde</v>
      </c>
      <c r="E122" s="41">
        <v>1.1417677497747891</v>
      </c>
      <c r="F122" s="40" t="str">
        <f t="shared" si="3"/>
        <v>Naranja</v>
      </c>
      <c r="K122" s="31"/>
    </row>
    <row r="123" spans="1:11" ht="14.4" x14ac:dyDescent="0.3">
      <c r="A123" s="39">
        <v>30302</v>
      </c>
      <c r="B123" s="42" t="s">
        <v>177</v>
      </c>
      <c r="C123" s="30">
        <v>0.4</v>
      </c>
      <c r="D123" s="40" t="str">
        <f t="shared" si="2"/>
        <v>Naranja</v>
      </c>
      <c r="E123" s="41">
        <v>1.0791232590269222</v>
      </c>
      <c r="F123" s="40" t="str">
        <f t="shared" si="3"/>
        <v>Naranja</v>
      </c>
      <c r="K123" s="31"/>
    </row>
    <row r="124" spans="1:11" ht="14.4" x14ac:dyDescent="0.3">
      <c r="A124" s="39">
        <v>30303</v>
      </c>
      <c r="B124" s="42" t="s">
        <v>66</v>
      </c>
      <c r="C124" s="30">
        <v>0.1</v>
      </c>
      <c r="D124" s="40" t="str">
        <f t="shared" si="2"/>
        <v>Rojo</v>
      </c>
      <c r="E124" s="41">
        <v>0.24971060029766826</v>
      </c>
      <c r="F124" s="40" t="str">
        <f t="shared" si="3"/>
        <v>Naranja</v>
      </c>
      <c r="K124" s="31"/>
    </row>
    <row r="125" spans="1:11" ht="14.4" x14ac:dyDescent="0.3">
      <c r="A125" s="39">
        <v>30401</v>
      </c>
      <c r="B125" s="42" t="s">
        <v>171</v>
      </c>
      <c r="C125" s="30">
        <v>1</v>
      </c>
      <c r="D125" s="40" t="str">
        <f t="shared" si="2"/>
        <v>Naranja</v>
      </c>
      <c r="E125" s="41">
        <v>2.1508346817159318</v>
      </c>
      <c r="F125" s="40" t="str">
        <f t="shared" si="3"/>
        <v>Naranja</v>
      </c>
      <c r="K125" s="31"/>
    </row>
    <row r="126" spans="1:11" ht="14.4" x14ac:dyDescent="0.3">
      <c r="A126" s="39">
        <v>30402</v>
      </c>
      <c r="B126" s="42" t="s">
        <v>153</v>
      </c>
      <c r="C126" s="30">
        <v>0.7</v>
      </c>
      <c r="D126" s="40" t="str">
        <f t="shared" si="2"/>
        <v>Naranja</v>
      </c>
      <c r="E126" s="41">
        <v>1.7811237605582078</v>
      </c>
      <c r="F126" s="40" t="str">
        <f t="shared" si="3"/>
        <v>Naranja</v>
      </c>
      <c r="K126" s="31"/>
    </row>
    <row r="127" spans="1:11" ht="14.4" x14ac:dyDescent="0.3">
      <c r="A127" s="39">
        <v>30403</v>
      </c>
      <c r="B127" s="42" t="s">
        <v>259</v>
      </c>
      <c r="C127" s="30">
        <v>2.2000000000000002</v>
      </c>
      <c r="D127" s="40" t="str">
        <f t="shared" si="2"/>
        <v>Naranja</v>
      </c>
      <c r="E127" s="41">
        <v>6.5634843712139563</v>
      </c>
      <c r="F127" s="40" t="str">
        <f t="shared" si="3"/>
        <v>Verde</v>
      </c>
      <c r="K127" s="31"/>
    </row>
    <row r="128" spans="1:11" ht="14.4" x14ac:dyDescent="0.3">
      <c r="A128" s="39">
        <v>30404</v>
      </c>
      <c r="B128" s="42" t="s">
        <v>155</v>
      </c>
      <c r="C128" s="30">
        <v>1.1000000000000001</v>
      </c>
      <c r="D128" s="40" t="str">
        <f t="shared" si="2"/>
        <v>Naranja</v>
      </c>
      <c r="E128" s="41">
        <v>2.1978021978021975</v>
      </c>
      <c r="F128" s="40" t="str">
        <f t="shared" si="3"/>
        <v>Naranja</v>
      </c>
      <c r="K128" s="31"/>
    </row>
    <row r="129" spans="1:11" ht="14.4" x14ac:dyDescent="0.3">
      <c r="A129" s="39">
        <v>30501</v>
      </c>
      <c r="B129" s="42" t="s">
        <v>179</v>
      </c>
      <c r="C129" s="30">
        <v>0.8</v>
      </c>
      <c r="D129" s="40" t="str">
        <f t="shared" si="2"/>
        <v>Naranja</v>
      </c>
      <c r="E129" s="41">
        <v>2.9356943150046595</v>
      </c>
      <c r="F129" s="40" t="str">
        <f t="shared" si="3"/>
        <v>Amarillo</v>
      </c>
      <c r="K129" s="31"/>
    </row>
    <row r="130" spans="1:11" ht="14.4" x14ac:dyDescent="0.3">
      <c r="A130" s="39">
        <v>30502</v>
      </c>
      <c r="B130" s="42" t="s">
        <v>238</v>
      </c>
      <c r="C130" s="30">
        <v>0.4</v>
      </c>
      <c r="D130" s="40" t="str">
        <f t="shared" si="2"/>
        <v>Naranja</v>
      </c>
      <c r="E130" s="41">
        <v>1.0064991085293609</v>
      </c>
      <c r="F130" s="40" t="str">
        <f t="shared" si="3"/>
        <v>Naranja</v>
      </c>
      <c r="K130" s="31"/>
    </row>
    <row r="131" spans="1:11" ht="14.4" x14ac:dyDescent="0.3">
      <c r="A131" s="39">
        <v>30601</v>
      </c>
      <c r="B131" s="42" t="s">
        <v>128</v>
      </c>
      <c r="C131" s="30">
        <v>0.4</v>
      </c>
      <c r="D131" s="40" t="str">
        <f t="shared" ref="D131:D194" si="4">IF(C131&lt;=0.11,"Rojo",
   IF(C131&lt;=2.4,"Naranja",
   IF(C131&lt;=4.68,"Amarillo","Verde")))</f>
        <v>Naranja</v>
      </c>
      <c r="E131" s="41">
        <v>1.0537166418508761</v>
      </c>
      <c r="F131" s="40" t="str">
        <f t="shared" ref="F131:F194" si="5">IF(E131&lt;=0.11,"Rojo",
   IF(E131&lt;=2.4,"Naranja",
   IF(E131&lt;=4.68,"Amarillo","Verde")))</f>
        <v>Naranja</v>
      </c>
      <c r="K131" s="31"/>
    </row>
    <row r="132" spans="1:11" ht="14.4" x14ac:dyDescent="0.3">
      <c r="A132" s="39">
        <v>30602</v>
      </c>
      <c r="B132" s="42" t="s">
        <v>48</v>
      </c>
      <c r="C132" s="30">
        <v>0.2</v>
      </c>
      <c r="D132" s="40" t="str">
        <f t="shared" si="4"/>
        <v>Naranja</v>
      </c>
      <c r="E132" s="41">
        <v>0.44544752628140405</v>
      </c>
      <c r="F132" s="40" t="str">
        <f t="shared" si="5"/>
        <v>Naranja</v>
      </c>
      <c r="K132" s="31"/>
    </row>
    <row r="133" spans="1:11" ht="14.4" x14ac:dyDescent="0.3">
      <c r="A133" s="39">
        <v>30701</v>
      </c>
      <c r="B133" s="42" t="s">
        <v>269</v>
      </c>
      <c r="C133" s="30">
        <v>0.7</v>
      </c>
      <c r="D133" s="40" t="str">
        <f t="shared" si="4"/>
        <v>Naranja</v>
      </c>
      <c r="E133" s="41">
        <v>1.5490248795317769</v>
      </c>
      <c r="F133" s="40" t="str">
        <f t="shared" si="5"/>
        <v>Naranja</v>
      </c>
      <c r="K133" s="31"/>
    </row>
    <row r="134" spans="1:11" ht="14.4" x14ac:dyDescent="0.3">
      <c r="A134" s="39">
        <v>30702</v>
      </c>
      <c r="B134" s="42" t="s">
        <v>465</v>
      </c>
      <c r="C134" s="30">
        <v>0.3</v>
      </c>
      <c r="D134" s="40" t="str">
        <f t="shared" si="4"/>
        <v>Naranja</v>
      </c>
      <c r="E134" s="41">
        <v>0.3864157582231158</v>
      </c>
      <c r="F134" s="40" t="str">
        <f t="shared" si="5"/>
        <v>Naranja</v>
      </c>
      <c r="K134" s="31"/>
    </row>
    <row r="135" spans="1:11" ht="14.4" x14ac:dyDescent="0.3">
      <c r="A135" s="39">
        <v>30703</v>
      </c>
      <c r="B135" s="42" t="s">
        <v>96</v>
      </c>
      <c r="C135" s="30">
        <v>0.2</v>
      </c>
      <c r="D135" s="40" t="str">
        <f t="shared" si="4"/>
        <v>Naranja</v>
      </c>
      <c r="E135" s="41">
        <v>0.45095828635851182</v>
      </c>
      <c r="F135" s="40" t="str">
        <f t="shared" si="5"/>
        <v>Naranja</v>
      </c>
      <c r="K135" s="31"/>
    </row>
    <row r="136" spans="1:11" ht="14.4" x14ac:dyDescent="0.3">
      <c r="A136" s="39">
        <v>30801</v>
      </c>
      <c r="B136" s="42" t="s">
        <v>202</v>
      </c>
      <c r="C136" s="30">
        <v>4.7</v>
      </c>
      <c r="D136" s="40" t="str">
        <f t="shared" si="4"/>
        <v>Verde</v>
      </c>
      <c r="E136" s="41">
        <v>2.2533040676224725</v>
      </c>
      <c r="F136" s="40" t="str">
        <f t="shared" si="5"/>
        <v>Naranja</v>
      </c>
      <c r="K136" s="31"/>
    </row>
    <row r="137" spans="1:11" ht="14.4" x14ac:dyDescent="0.3">
      <c r="A137" s="39">
        <v>30802</v>
      </c>
      <c r="B137" s="42" t="s">
        <v>315</v>
      </c>
      <c r="C137" s="30">
        <v>0.3</v>
      </c>
      <c r="D137" s="40" t="str">
        <f t="shared" si="4"/>
        <v>Naranja</v>
      </c>
      <c r="E137" s="41">
        <v>0.68062827225130884</v>
      </c>
      <c r="F137" s="40" t="str">
        <f t="shared" si="5"/>
        <v>Naranja</v>
      </c>
      <c r="K137" s="31"/>
    </row>
    <row r="138" spans="1:11" ht="14.4" x14ac:dyDescent="0.3">
      <c r="A138" s="39">
        <v>30803</v>
      </c>
      <c r="B138" s="42" t="s">
        <v>19</v>
      </c>
      <c r="C138" s="30">
        <v>1.3</v>
      </c>
      <c r="D138" s="40" t="str">
        <f t="shared" si="4"/>
        <v>Naranja</v>
      </c>
      <c r="E138" s="41">
        <v>2.7764227642276422</v>
      </c>
      <c r="F138" s="40" t="str">
        <f t="shared" si="5"/>
        <v>Amarillo</v>
      </c>
      <c r="K138" s="31"/>
    </row>
    <row r="139" spans="1:11" ht="14.4" x14ac:dyDescent="0.3">
      <c r="A139" s="39">
        <v>30901</v>
      </c>
      <c r="B139" s="42" t="s">
        <v>299</v>
      </c>
      <c r="C139" s="30">
        <v>3.3</v>
      </c>
      <c r="D139" s="40" t="str">
        <f t="shared" si="4"/>
        <v>Amarillo</v>
      </c>
      <c r="E139" s="41">
        <v>5.1356041604781373</v>
      </c>
      <c r="F139" s="40" t="str">
        <f t="shared" si="5"/>
        <v>Verde</v>
      </c>
      <c r="K139" s="31"/>
    </row>
    <row r="140" spans="1:11" ht="14.4" x14ac:dyDescent="0.3">
      <c r="A140" s="39">
        <v>30902</v>
      </c>
      <c r="B140" s="42" t="s">
        <v>466</v>
      </c>
      <c r="C140" s="30">
        <v>3</v>
      </c>
      <c r="D140" s="40" t="str">
        <f t="shared" si="4"/>
        <v>Amarillo</v>
      </c>
      <c r="E140" s="41">
        <v>1.9171300396347217</v>
      </c>
      <c r="F140" s="40" t="str">
        <f t="shared" si="5"/>
        <v>Naranja</v>
      </c>
      <c r="K140" s="31"/>
    </row>
    <row r="141" spans="1:11" ht="14.4" x14ac:dyDescent="0.3">
      <c r="A141" s="39">
        <v>30903</v>
      </c>
      <c r="B141" s="42" t="s">
        <v>283</v>
      </c>
      <c r="C141" s="30">
        <v>3.4</v>
      </c>
      <c r="D141" s="40" t="str">
        <f t="shared" si="4"/>
        <v>Amarillo</v>
      </c>
      <c r="E141" s="41">
        <v>4.178427730484116</v>
      </c>
      <c r="F141" s="40" t="str">
        <f t="shared" si="5"/>
        <v>Amarillo</v>
      </c>
      <c r="K141" s="31"/>
    </row>
    <row r="142" spans="1:11" ht="14.4" x14ac:dyDescent="0.3">
      <c r="A142" s="39">
        <v>30904</v>
      </c>
      <c r="B142" s="42" t="s">
        <v>288</v>
      </c>
      <c r="C142" s="30">
        <v>3.1</v>
      </c>
      <c r="D142" s="40" t="str">
        <f t="shared" si="4"/>
        <v>Amarillo</v>
      </c>
      <c r="E142" s="41">
        <v>2.13655305326705</v>
      </c>
      <c r="F142" s="40" t="str">
        <f t="shared" si="5"/>
        <v>Naranja</v>
      </c>
      <c r="K142" s="31"/>
    </row>
    <row r="143" spans="1:11" ht="14.4" x14ac:dyDescent="0.3">
      <c r="A143" s="39">
        <v>30905</v>
      </c>
      <c r="B143" s="42" t="s">
        <v>213</v>
      </c>
      <c r="C143" s="30">
        <v>2.8</v>
      </c>
      <c r="D143" s="40" t="str">
        <f t="shared" si="4"/>
        <v>Amarillo</v>
      </c>
      <c r="E143" s="41">
        <v>2.4663774781366508</v>
      </c>
      <c r="F143" s="40" t="str">
        <f t="shared" si="5"/>
        <v>Amarillo</v>
      </c>
      <c r="K143" s="31"/>
    </row>
    <row r="144" spans="1:11" ht="14.4" x14ac:dyDescent="0.3">
      <c r="A144" s="39">
        <v>31001</v>
      </c>
      <c r="B144" s="42" t="s">
        <v>303</v>
      </c>
      <c r="C144" s="30">
        <v>2.9</v>
      </c>
      <c r="D144" s="40" t="str">
        <f t="shared" si="4"/>
        <v>Amarillo</v>
      </c>
      <c r="E144" s="41">
        <v>6.6721425551405824</v>
      </c>
      <c r="F144" s="40" t="str">
        <f t="shared" si="5"/>
        <v>Verde</v>
      </c>
      <c r="K144" s="31"/>
    </row>
    <row r="145" spans="1:11" ht="14.4" x14ac:dyDescent="0.3">
      <c r="A145" s="39">
        <v>31002</v>
      </c>
      <c r="B145" s="42" t="s">
        <v>275</v>
      </c>
      <c r="C145" s="30">
        <v>6.2</v>
      </c>
      <c r="D145" s="40" t="str">
        <f t="shared" si="4"/>
        <v>Verde</v>
      </c>
      <c r="E145" s="41">
        <v>0.74846537674552172</v>
      </c>
      <c r="F145" s="40" t="str">
        <f t="shared" si="5"/>
        <v>Naranja</v>
      </c>
      <c r="K145" s="31"/>
    </row>
    <row r="146" spans="1:11" ht="14.4" x14ac:dyDescent="0.3">
      <c r="A146" s="39">
        <v>31003</v>
      </c>
      <c r="B146" s="42" t="s">
        <v>195</v>
      </c>
      <c r="C146" s="30">
        <v>2.2999999999999998</v>
      </c>
      <c r="D146" s="40" t="str">
        <f t="shared" si="4"/>
        <v>Naranja</v>
      </c>
      <c r="E146" s="41">
        <v>5.3084507042253515</v>
      </c>
      <c r="F146" s="40" t="str">
        <f t="shared" si="5"/>
        <v>Verde</v>
      </c>
      <c r="K146" s="31"/>
    </row>
    <row r="147" spans="1:11" ht="14.4" x14ac:dyDescent="0.3">
      <c r="A147" s="39">
        <v>31101</v>
      </c>
      <c r="B147" s="42" t="s">
        <v>63</v>
      </c>
      <c r="C147" s="30">
        <v>8</v>
      </c>
      <c r="D147" s="40" t="str">
        <f t="shared" si="4"/>
        <v>Verde</v>
      </c>
      <c r="E147" s="41">
        <v>1.2561218937057863</v>
      </c>
      <c r="F147" s="40" t="str">
        <f t="shared" si="5"/>
        <v>Naranja</v>
      </c>
      <c r="K147" s="31"/>
    </row>
    <row r="148" spans="1:11" ht="14.4" x14ac:dyDescent="0.3">
      <c r="A148" s="39">
        <v>31201</v>
      </c>
      <c r="B148" s="42" t="s">
        <v>180</v>
      </c>
      <c r="C148" s="30">
        <v>0.5</v>
      </c>
      <c r="D148" s="40" t="str">
        <f t="shared" si="4"/>
        <v>Naranja</v>
      </c>
      <c r="E148" s="41">
        <v>1.6782923375465466</v>
      </c>
      <c r="F148" s="40" t="str">
        <f t="shared" si="5"/>
        <v>Naranja</v>
      </c>
      <c r="K148" s="31"/>
    </row>
    <row r="149" spans="1:11" ht="14.4" x14ac:dyDescent="0.3">
      <c r="A149" s="39">
        <v>31202</v>
      </c>
      <c r="B149" s="42" t="s">
        <v>205</v>
      </c>
      <c r="C149" s="30">
        <v>0.3</v>
      </c>
      <c r="D149" s="40" t="str">
        <f t="shared" si="4"/>
        <v>Naranja</v>
      </c>
      <c r="E149" s="41">
        <v>0.71378340365682136</v>
      </c>
      <c r="F149" s="40" t="str">
        <f t="shared" si="5"/>
        <v>Naranja</v>
      </c>
      <c r="K149" s="31"/>
    </row>
    <row r="150" spans="1:11" ht="14.4" x14ac:dyDescent="0.3">
      <c r="A150" s="39">
        <v>31203</v>
      </c>
      <c r="B150" s="42" t="s">
        <v>242</v>
      </c>
      <c r="C150" s="30">
        <v>0.2</v>
      </c>
      <c r="D150" s="40" t="str">
        <f t="shared" si="4"/>
        <v>Naranja</v>
      </c>
      <c r="E150" s="41">
        <v>0.43416768082097168</v>
      </c>
      <c r="F150" s="40" t="str">
        <f t="shared" si="5"/>
        <v>Naranja</v>
      </c>
      <c r="K150" s="31"/>
    </row>
    <row r="151" spans="1:11" ht="14.4" x14ac:dyDescent="0.3">
      <c r="A151" s="39">
        <v>31204</v>
      </c>
      <c r="B151" s="42" t="s">
        <v>237</v>
      </c>
      <c r="C151" s="30">
        <v>3.6</v>
      </c>
      <c r="D151" s="40" t="str">
        <f t="shared" si="4"/>
        <v>Amarillo</v>
      </c>
      <c r="E151" s="41">
        <v>2.2716672320217097</v>
      </c>
      <c r="F151" s="40" t="str">
        <f t="shared" si="5"/>
        <v>Naranja</v>
      </c>
      <c r="K151" s="31"/>
    </row>
    <row r="152" spans="1:11" ht="14.4" x14ac:dyDescent="0.3">
      <c r="A152" s="39">
        <v>31205</v>
      </c>
      <c r="B152" s="42" t="s">
        <v>270</v>
      </c>
      <c r="C152" s="30">
        <v>1.8</v>
      </c>
      <c r="D152" s="40" t="str">
        <f t="shared" si="4"/>
        <v>Naranja</v>
      </c>
      <c r="E152" s="41">
        <v>2.1774331512506415</v>
      </c>
      <c r="F152" s="40" t="str">
        <f t="shared" si="5"/>
        <v>Naranja</v>
      </c>
      <c r="K152" s="31"/>
    </row>
    <row r="153" spans="1:11" ht="14.4" x14ac:dyDescent="0.3">
      <c r="A153" s="39">
        <v>31206</v>
      </c>
      <c r="B153" s="42" t="s">
        <v>223</v>
      </c>
      <c r="C153" s="30">
        <v>1.9</v>
      </c>
      <c r="D153" s="40" t="str">
        <f t="shared" si="4"/>
        <v>Naranja</v>
      </c>
      <c r="E153" s="41">
        <v>1.9992409867172674</v>
      </c>
      <c r="F153" s="40" t="str">
        <f t="shared" si="5"/>
        <v>Naranja</v>
      </c>
      <c r="K153" s="31"/>
    </row>
    <row r="154" spans="1:11" ht="14.4" x14ac:dyDescent="0.3">
      <c r="A154" s="39">
        <v>31301</v>
      </c>
      <c r="B154" s="42" t="s">
        <v>224</v>
      </c>
      <c r="C154" s="30">
        <v>3.7</v>
      </c>
      <c r="D154" s="40" t="str">
        <f t="shared" si="4"/>
        <v>Amarillo</v>
      </c>
      <c r="E154" s="41">
        <v>1.7288383536139369</v>
      </c>
      <c r="F154" s="40" t="str">
        <f t="shared" si="5"/>
        <v>Naranja</v>
      </c>
      <c r="K154" s="31"/>
    </row>
    <row r="155" spans="1:11" ht="14.4" x14ac:dyDescent="0.3">
      <c r="A155" s="39">
        <v>31302</v>
      </c>
      <c r="B155" s="42" t="s">
        <v>38</v>
      </c>
      <c r="C155" s="30">
        <v>0.6</v>
      </c>
      <c r="D155" s="40" t="str">
        <f t="shared" si="4"/>
        <v>Naranja</v>
      </c>
      <c r="E155" s="41">
        <v>1.4847344207444582</v>
      </c>
      <c r="F155" s="40" t="str">
        <f t="shared" si="5"/>
        <v>Naranja</v>
      </c>
      <c r="K155" s="31"/>
    </row>
    <row r="156" spans="1:11" ht="14.4" x14ac:dyDescent="0.3">
      <c r="A156" s="39">
        <v>31303</v>
      </c>
      <c r="B156" s="42" t="s">
        <v>21</v>
      </c>
      <c r="C156" s="30">
        <v>0.2</v>
      </c>
      <c r="D156" s="40" t="str">
        <f t="shared" si="4"/>
        <v>Naranja</v>
      </c>
      <c r="E156" s="41">
        <v>0.43692479315794364</v>
      </c>
      <c r="F156" s="40" t="str">
        <f t="shared" si="5"/>
        <v>Naranja</v>
      </c>
      <c r="K156" s="31"/>
    </row>
    <row r="157" spans="1:11" ht="14.4" x14ac:dyDescent="0.3">
      <c r="A157" s="39">
        <v>31304</v>
      </c>
      <c r="B157" s="42" t="s">
        <v>316</v>
      </c>
      <c r="C157" s="30"/>
      <c r="D157" s="40" t="str">
        <f t="shared" si="4"/>
        <v>Rojo</v>
      </c>
      <c r="E157" s="41"/>
      <c r="F157" s="40" t="str">
        <f t="shared" si="5"/>
        <v>Rojo</v>
      </c>
      <c r="K157" s="31"/>
    </row>
    <row r="158" spans="1:11" ht="14.4" x14ac:dyDescent="0.3">
      <c r="A158" s="39">
        <v>31401</v>
      </c>
      <c r="B158" s="42" t="s">
        <v>240</v>
      </c>
      <c r="C158" s="30">
        <v>4.5999999999999996</v>
      </c>
      <c r="D158" s="40" t="str">
        <f t="shared" si="4"/>
        <v>Amarillo</v>
      </c>
      <c r="E158" s="41">
        <v>5.7672989422679191</v>
      </c>
      <c r="F158" s="40" t="str">
        <f t="shared" si="5"/>
        <v>Verde</v>
      </c>
      <c r="K158" s="31"/>
    </row>
    <row r="159" spans="1:11" ht="14.4" x14ac:dyDescent="0.3">
      <c r="A159" s="39">
        <v>31402</v>
      </c>
      <c r="B159" s="42" t="s">
        <v>163</v>
      </c>
      <c r="C159" s="30">
        <v>0.7</v>
      </c>
      <c r="D159" s="40" t="str">
        <f t="shared" si="4"/>
        <v>Naranja</v>
      </c>
      <c r="E159" s="41">
        <v>1.7707567964731816</v>
      </c>
      <c r="F159" s="40" t="str">
        <f t="shared" si="5"/>
        <v>Naranja</v>
      </c>
      <c r="K159" s="31"/>
    </row>
    <row r="160" spans="1:11" ht="14.4" x14ac:dyDescent="0.3">
      <c r="A160" s="39">
        <v>31403</v>
      </c>
      <c r="B160" s="42" t="s">
        <v>156</v>
      </c>
      <c r="C160" s="30">
        <v>0.6</v>
      </c>
      <c r="D160" s="40" t="str">
        <f t="shared" si="4"/>
        <v>Naranja</v>
      </c>
      <c r="E160" s="41">
        <v>1.1147050175091555</v>
      </c>
      <c r="F160" s="40" t="str">
        <f t="shared" si="5"/>
        <v>Naranja</v>
      </c>
      <c r="K160" s="31"/>
    </row>
    <row r="161" spans="1:11" ht="14.4" x14ac:dyDescent="0.3">
      <c r="A161" s="39">
        <v>31404</v>
      </c>
      <c r="B161" s="42" t="s">
        <v>7</v>
      </c>
      <c r="C161" s="30">
        <v>0.7</v>
      </c>
      <c r="D161" s="40" t="str">
        <f t="shared" si="4"/>
        <v>Naranja</v>
      </c>
      <c r="E161" s="41">
        <v>2.8193079880392995</v>
      </c>
      <c r="F161" s="40" t="str">
        <f t="shared" si="5"/>
        <v>Amarillo</v>
      </c>
      <c r="K161" s="31"/>
    </row>
    <row r="162" spans="1:11" ht="14.4" x14ac:dyDescent="0.3">
      <c r="A162" s="39">
        <v>31405</v>
      </c>
      <c r="B162" s="42" t="s">
        <v>467</v>
      </c>
      <c r="C162" s="30">
        <v>1.2</v>
      </c>
      <c r="D162" s="40" t="str">
        <f t="shared" si="4"/>
        <v>Naranja</v>
      </c>
      <c r="E162" s="41">
        <v>3.3278214138073587</v>
      </c>
      <c r="F162" s="40" t="str">
        <f t="shared" si="5"/>
        <v>Amarillo</v>
      </c>
      <c r="K162" s="31"/>
    </row>
    <row r="163" spans="1:11" ht="14.4" x14ac:dyDescent="0.3">
      <c r="A163" s="39">
        <v>31501</v>
      </c>
      <c r="B163" s="42" t="s">
        <v>468</v>
      </c>
      <c r="C163" s="30">
        <v>0.2</v>
      </c>
      <c r="D163" s="40" t="str">
        <f t="shared" si="4"/>
        <v>Naranja</v>
      </c>
      <c r="E163" s="41">
        <v>0.65637065637065639</v>
      </c>
      <c r="F163" s="40" t="str">
        <f t="shared" si="5"/>
        <v>Naranja</v>
      </c>
      <c r="K163" s="31"/>
    </row>
    <row r="164" spans="1:11" ht="14.4" x14ac:dyDescent="0.3">
      <c r="A164" s="39">
        <v>31601</v>
      </c>
      <c r="B164" s="42" t="s">
        <v>282</v>
      </c>
      <c r="C164" s="30">
        <v>6.6</v>
      </c>
      <c r="D164" s="40" t="str">
        <f t="shared" si="4"/>
        <v>Verde</v>
      </c>
      <c r="E164" s="41">
        <v>0.41548128287521235</v>
      </c>
      <c r="F164" s="40" t="str">
        <f t="shared" si="5"/>
        <v>Naranja</v>
      </c>
      <c r="K164" s="31"/>
    </row>
    <row r="165" spans="1:11" ht="14.4" x14ac:dyDescent="0.3">
      <c r="A165" s="39">
        <v>31602</v>
      </c>
      <c r="B165" s="42" t="s">
        <v>243</v>
      </c>
      <c r="C165" s="30">
        <v>4.4000000000000004</v>
      </c>
      <c r="D165" s="40" t="str">
        <f t="shared" si="4"/>
        <v>Amarillo</v>
      </c>
      <c r="E165" s="41">
        <v>3.5194844275038868</v>
      </c>
      <c r="F165" s="40" t="str">
        <f t="shared" si="5"/>
        <v>Amarillo</v>
      </c>
      <c r="K165" s="31"/>
    </row>
    <row r="166" spans="1:11" ht="14.4" x14ac:dyDescent="0.3">
      <c r="A166" s="39">
        <v>40101</v>
      </c>
      <c r="B166" s="42" t="s">
        <v>57</v>
      </c>
      <c r="C166" s="30">
        <v>3.3</v>
      </c>
      <c r="D166" s="40" t="str">
        <f t="shared" si="4"/>
        <v>Amarillo</v>
      </c>
      <c r="E166" s="41">
        <v>4.4024609864029829</v>
      </c>
      <c r="F166" s="40" t="str">
        <f t="shared" si="5"/>
        <v>Amarillo</v>
      </c>
      <c r="K166" s="31"/>
    </row>
    <row r="167" spans="1:11" ht="14.4" x14ac:dyDescent="0.3">
      <c r="A167" s="39">
        <v>40102</v>
      </c>
      <c r="B167" s="42" t="s">
        <v>286</v>
      </c>
      <c r="C167" s="30">
        <v>2.2000000000000002</v>
      </c>
      <c r="D167" s="40" t="str">
        <f t="shared" si="4"/>
        <v>Naranja</v>
      </c>
      <c r="E167" s="41">
        <v>2.4637000825549964</v>
      </c>
      <c r="F167" s="40" t="str">
        <f t="shared" si="5"/>
        <v>Amarillo</v>
      </c>
      <c r="K167" s="31"/>
    </row>
    <row r="168" spans="1:11" ht="14.4" x14ac:dyDescent="0.3">
      <c r="A168" s="39">
        <v>40103</v>
      </c>
      <c r="B168" s="42" t="s">
        <v>32</v>
      </c>
      <c r="C168" s="30">
        <v>0.2</v>
      </c>
      <c r="D168" s="40" t="str">
        <f t="shared" si="4"/>
        <v>Naranja</v>
      </c>
      <c r="E168" s="41">
        <v>0.52945815027599419</v>
      </c>
      <c r="F168" s="40" t="str">
        <f t="shared" si="5"/>
        <v>Naranja</v>
      </c>
      <c r="K168" s="31"/>
    </row>
    <row r="169" spans="1:11" ht="14.4" x14ac:dyDescent="0.3">
      <c r="A169" s="39">
        <v>40104</v>
      </c>
      <c r="B169" s="42" t="s">
        <v>469</v>
      </c>
      <c r="C169" s="30">
        <v>0.3</v>
      </c>
      <c r="D169" s="40" t="str">
        <f t="shared" si="4"/>
        <v>Naranja</v>
      </c>
      <c r="E169" s="41">
        <v>0.40925142068707465</v>
      </c>
      <c r="F169" s="40" t="str">
        <f t="shared" si="5"/>
        <v>Naranja</v>
      </c>
      <c r="K169" s="31"/>
    </row>
    <row r="170" spans="1:11" ht="14.4" x14ac:dyDescent="0.3">
      <c r="A170" s="39">
        <v>40201</v>
      </c>
      <c r="B170" s="42" t="s">
        <v>247</v>
      </c>
      <c r="C170" s="30">
        <v>2.1</v>
      </c>
      <c r="D170" s="40" t="str">
        <f t="shared" si="4"/>
        <v>Naranja</v>
      </c>
      <c r="E170" s="41">
        <v>5.7357638944072722</v>
      </c>
      <c r="F170" s="40" t="str">
        <f t="shared" si="5"/>
        <v>Verde</v>
      </c>
      <c r="K170" s="31"/>
    </row>
    <row r="171" spans="1:11" ht="14.4" x14ac:dyDescent="0.3">
      <c r="A171" s="39">
        <v>40202</v>
      </c>
      <c r="B171" s="42" t="s">
        <v>319</v>
      </c>
      <c r="C171" s="30">
        <v>0.6</v>
      </c>
      <c r="D171" s="40" t="str">
        <f t="shared" si="4"/>
        <v>Naranja</v>
      </c>
      <c r="E171" s="41">
        <v>1.5787585217079299</v>
      </c>
      <c r="F171" s="40" t="str">
        <f t="shared" si="5"/>
        <v>Naranja</v>
      </c>
      <c r="K171" s="31"/>
    </row>
    <row r="172" spans="1:11" ht="14.4" x14ac:dyDescent="0.3">
      <c r="A172" s="39">
        <v>40301</v>
      </c>
      <c r="B172" s="42" t="s">
        <v>190</v>
      </c>
      <c r="C172" s="30">
        <v>0.4</v>
      </c>
      <c r="D172" s="40" t="str">
        <f t="shared" si="4"/>
        <v>Naranja</v>
      </c>
      <c r="E172" s="41">
        <v>1.2375313383474689</v>
      </c>
      <c r="F172" s="40" t="str">
        <f t="shared" si="5"/>
        <v>Naranja</v>
      </c>
      <c r="K172" s="31"/>
    </row>
    <row r="173" spans="1:11" ht="14.4" x14ac:dyDescent="0.3">
      <c r="A173" s="39">
        <v>40302</v>
      </c>
      <c r="B173" s="42" t="s">
        <v>320</v>
      </c>
      <c r="C173" s="30">
        <v>0.3</v>
      </c>
      <c r="D173" s="40" t="str">
        <f t="shared" si="4"/>
        <v>Naranja</v>
      </c>
      <c r="E173" s="41">
        <v>0.9491114701130855</v>
      </c>
      <c r="F173" s="40" t="str">
        <f t="shared" si="5"/>
        <v>Naranja</v>
      </c>
      <c r="K173" s="31"/>
    </row>
    <row r="174" spans="1:11" ht="14.4" x14ac:dyDescent="0.3">
      <c r="A174" s="39">
        <v>40401</v>
      </c>
      <c r="B174" s="42" t="s">
        <v>110</v>
      </c>
      <c r="C174" s="30">
        <v>0.2</v>
      </c>
      <c r="D174" s="40" t="str">
        <f t="shared" si="4"/>
        <v>Naranja</v>
      </c>
      <c r="E174" s="41">
        <v>0.59569696544957595</v>
      </c>
      <c r="F174" s="40" t="str">
        <f t="shared" si="5"/>
        <v>Naranja</v>
      </c>
      <c r="K174" s="31"/>
    </row>
    <row r="175" spans="1:11" ht="14.4" x14ac:dyDescent="0.3">
      <c r="A175" s="39">
        <v>40402</v>
      </c>
      <c r="B175" s="42" t="s">
        <v>144</v>
      </c>
      <c r="C175" s="30">
        <v>0.4</v>
      </c>
      <c r="D175" s="40" t="str">
        <f t="shared" si="4"/>
        <v>Naranja</v>
      </c>
      <c r="E175" s="41">
        <v>1.0633379565418402</v>
      </c>
      <c r="F175" s="40" t="str">
        <f t="shared" si="5"/>
        <v>Naranja</v>
      </c>
      <c r="K175" s="31"/>
    </row>
    <row r="176" spans="1:11" ht="14.4" x14ac:dyDescent="0.3">
      <c r="A176" s="39">
        <v>40501</v>
      </c>
      <c r="B176" s="42" t="s">
        <v>6</v>
      </c>
      <c r="C176" s="30">
        <v>1.1000000000000001</v>
      </c>
      <c r="D176" s="40" t="str">
        <f t="shared" si="4"/>
        <v>Naranja</v>
      </c>
      <c r="E176" s="41">
        <v>2.9259896729776247</v>
      </c>
      <c r="F176" s="40" t="str">
        <f t="shared" si="5"/>
        <v>Amarillo</v>
      </c>
      <c r="K176" s="31"/>
    </row>
    <row r="177" spans="1:11" ht="14.4" x14ac:dyDescent="0.3">
      <c r="A177" s="39">
        <v>40502</v>
      </c>
      <c r="B177" s="42" t="s">
        <v>111</v>
      </c>
      <c r="C177" s="30">
        <v>0.3</v>
      </c>
      <c r="D177" s="40" t="str">
        <f t="shared" si="4"/>
        <v>Naranja</v>
      </c>
      <c r="E177" s="41">
        <v>2.2321942239097914</v>
      </c>
      <c r="F177" s="40" t="str">
        <f t="shared" si="5"/>
        <v>Naranja</v>
      </c>
      <c r="K177" s="31"/>
    </row>
    <row r="178" spans="1:11" ht="14.4" x14ac:dyDescent="0.3">
      <c r="A178" s="39">
        <v>40503</v>
      </c>
      <c r="B178" s="42" t="s">
        <v>40</v>
      </c>
      <c r="C178" s="30">
        <v>0.2</v>
      </c>
      <c r="D178" s="40" t="str">
        <f t="shared" si="4"/>
        <v>Naranja</v>
      </c>
      <c r="E178" s="41">
        <v>0.94876660341555974</v>
      </c>
      <c r="F178" s="40" t="str">
        <f t="shared" si="5"/>
        <v>Naranja</v>
      </c>
      <c r="K178" s="31"/>
    </row>
    <row r="179" spans="1:11" ht="14.4" x14ac:dyDescent="0.3">
      <c r="A179" s="39">
        <v>40504</v>
      </c>
      <c r="B179" s="42" t="s">
        <v>321</v>
      </c>
      <c r="C179" s="30">
        <v>0</v>
      </c>
      <c r="D179" s="40" t="str">
        <f t="shared" si="4"/>
        <v>Rojo</v>
      </c>
      <c r="E179" s="41">
        <v>5.7559478127398309</v>
      </c>
      <c r="F179" s="40" t="str">
        <f t="shared" si="5"/>
        <v>Verde</v>
      </c>
      <c r="K179" s="31"/>
    </row>
    <row r="180" spans="1:11" ht="14.4" x14ac:dyDescent="0.3">
      <c r="A180" s="39">
        <v>40505</v>
      </c>
      <c r="B180" s="42" t="s">
        <v>22</v>
      </c>
      <c r="C180" s="30">
        <v>0.2</v>
      </c>
      <c r="D180" s="40" t="str">
        <f t="shared" si="4"/>
        <v>Naranja</v>
      </c>
      <c r="E180" s="41">
        <v>1.0545209782364819</v>
      </c>
      <c r="F180" s="40" t="str">
        <f t="shared" si="5"/>
        <v>Naranja</v>
      </c>
      <c r="K180" s="31"/>
    </row>
    <row r="181" spans="1:11" ht="14.4" x14ac:dyDescent="0.3">
      <c r="A181" s="39">
        <v>40601</v>
      </c>
      <c r="B181" s="42" t="s">
        <v>208</v>
      </c>
      <c r="C181" s="30">
        <v>0.1</v>
      </c>
      <c r="D181" s="40" t="str">
        <f t="shared" si="4"/>
        <v>Rojo</v>
      </c>
      <c r="E181" s="41">
        <v>0.31261352555400468</v>
      </c>
      <c r="F181" s="40" t="str">
        <f t="shared" si="5"/>
        <v>Naranja</v>
      </c>
      <c r="K181" s="31"/>
    </row>
    <row r="182" spans="1:11" ht="14.4" x14ac:dyDescent="0.3">
      <c r="A182" s="39">
        <v>40602</v>
      </c>
      <c r="B182" s="42" t="s">
        <v>137</v>
      </c>
      <c r="C182" s="30">
        <v>0.5</v>
      </c>
      <c r="D182" s="40" t="str">
        <f t="shared" si="4"/>
        <v>Naranja</v>
      </c>
      <c r="E182" s="41">
        <v>1.0596427490160458</v>
      </c>
      <c r="F182" s="40" t="str">
        <f t="shared" si="5"/>
        <v>Naranja</v>
      </c>
      <c r="K182" s="31"/>
    </row>
    <row r="183" spans="1:11" ht="14.4" x14ac:dyDescent="0.3">
      <c r="A183" s="39">
        <v>40603</v>
      </c>
      <c r="B183" s="42" t="s">
        <v>45</v>
      </c>
      <c r="C183" s="30">
        <v>0</v>
      </c>
      <c r="D183" s="40" t="str">
        <f t="shared" si="4"/>
        <v>Rojo</v>
      </c>
      <c r="E183" s="41">
        <v>3.1619839190532122E-2</v>
      </c>
      <c r="F183" s="40" t="str">
        <f t="shared" si="5"/>
        <v>Rojo</v>
      </c>
      <c r="K183" s="31"/>
    </row>
    <row r="184" spans="1:11" ht="14.4" x14ac:dyDescent="0.3">
      <c r="A184" s="39">
        <v>40701</v>
      </c>
      <c r="B184" s="42" t="s">
        <v>215</v>
      </c>
      <c r="C184" s="30">
        <v>0.7</v>
      </c>
      <c r="D184" s="40" t="str">
        <f t="shared" si="4"/>
        <v>Naranja</v>
      </c>
      <c r="E184" s="41">
        <v>0.95135281020174067</v>
      </c>
      <c r="F184" s="40" t="str">
        <f t="shared" si="5"/>
        <v>Naranja</v>
      </c>
      <c r="K184" s="31"/>
    </row>
    <row r="185" spans="1:11" ht="14.4" x14ac:dyDescent="0.3">
      <c r="A185" s="39">
        <v>40702</v>
      </c>
      <c r="B185" s="42" t="s">
        <v>47</v>
      </c>
      <c r="C185" s="30">
        <v>1.1000000000000001</v>
      </c>
      <c r="D185" s="40" t="str">
        <f t="shared" si="4"/>
        <v>Naranja</v>
      </c>
      <c r="E185" s="41">
        <v>1.8554116172168826</v>
      </c>
      <c r="F185" s="40" t="str">
        <f t="shared" si="5"/>
        <v>Naranja</v>
      </c>
      <c r="K185" s="31"/>
    </row>
    <row r="186" spans="1:11" ht="14.4" x14ac:dyDescent="0.3">
      <c r="A186" s="39">
        <v>40801</v>
      </c>
      <c r="B186" s="42" t="s">
        <v>470</v>
      </c>
      <c r="C186" s="30">
        <v>0.2</v>
      </c>
      <c r="D186" s="40" t="str">
        <f t="shared" si="4"/>
        <v>Naranja</v>
      </c>
      <c r="E186" s="41">
        <v>0.45580777589954125</v>
      </c>
      <c r="F186" s="40" t="str">
        <f t="shared" si="5"/>
        <v>Naranja</v>
      </c>
      <c r="K186" s="31"/>
    </row>
    <row r="187" spans="1:11" ht="14.4" x14ac:dyDescent="0.3">
      <c r="A187" s="39">
        <v>40802</v>
      </c>
      <c r="B187" s="42" t="s">
        <v>69</v>
      </c>
      <c r="C187" s="30">
        <v>0.3</v>
      </c>
      <c r="D187" s="40" t="str">
        <f t="shared" si="4"/>
        <v>Naranja</v>
      </c>
      <c r="E187" s="41">
        <v>0.50267379679144386</v>
      </c>
      <c r="F187" s="40" t="str">
        <f t="shared" si="5"/>
        <v>Naranja</v>
      </c>
      <c r="K187" s="31"/>
    </row>
    <row r="188" spans="1:11" ht="14.4" x14ac:dyDescent="0.3">
      <c r="A188" s="39">
        <v>40901</v>
      </c>
      <c r="B188" s="42" t="s">
        <v>173</v>
      </c>
      <c r="C188" s="30">
        <v>0.9</v>
      </c>
      <c r="D188" s="40" t="str">
        <f t="shared" si="4"/>
        <v>Naranja</v>
      </c>
      <c r="E188" s="41">
        <v>2.8644008409250179</v>
      </c>
      <c r="F188" s="40" t="str">
        <f t="shared" si="5"/>
        <v>Amarillo</v>
      </c>
      <c r="K188" s="31"/>
    </row>
    <row r="189" spans="1:11" ht="14.4" x14ac:dyDescent="0.3">
      <c r="A189" s="39">
        <v>40902</v>
      </c>
      <c r="B189" s="42" t="s">
        <v>0</v>
      </c>
      <c r="C189" s="30">
        <v>0.1</v>
      </c>
      <c r="D189" s="40" t="str">
        <f t="shared" si="4"/>
        <v>Rojo</v>
      </c>
      <c r="E189" s="41">
        <v>0.37236243276789405</v>
      </c>
      <c r="F189" s="40" t="str">
        <f t="shared" si="5"/>
        <v>Naranja</v>
      </c>
      <c r="K189" s="31"/>
    </row>
    <row r="190" spans="1:11" ht="14.4" x14ac:dyDescent="0.3">
      <c r="A190" s="39">
        <v>40903</v>
      </c>
      <c r="B190" s="42" t="s">
        <v>471</v>
      </c>
      <c r="C190" s="30">
        <v>0.2</v>
      </c>
      <c r="D190" s="40" t="str">
        <f t="shared" si="4"/>
        <v>Naranja</v>
      </c>
      <c r="E190" s="41">
        <v>0.58120762027768802</v>
      </c>
      <c r="F190" s="40" t="str">
        <f t="shared" si="5"/>
        <v>Naranja</v>
      </c>
      <c r="K190" s="31"/>
    </row>
    <row r="191" spans="1:11" ht="14.4" x14ac:dyDescent="0.3">
      <c r="A191" s="39">
        <v>41001</v>
      </c>
      <c r="B191" s="42" t="s">
        <v>125</v>
      </c>
      <c r="C191" s="30">
        <v>0.3</v>
      </c>
      <c r="D191" s="40" t="str">
        <f t="shared" si="4"/>
        <v>Naranja</v>
      </c>
      <c r="E191" s="41">
        <v>0.86427111716621241</v>
      </c>
      <c r="F191" s="40" t="str">
        <f t="shared" si="5"/>
        <v>Naranja</v>
      </c>
      <c r="K191" s="31"/>
    </row>
    <row r="192" spans="1:11" ht="14.4" x14ac:dyDescent="0.3">
      <c r="A192" s="39">
        <v>41101</v>
      </c>
      <c r="B192" s="42" t="s">
        <v>127</v>
      </c>
      <c r="C192" s="30">
        <v>0.7</v>
      </c>
      <c r="D192" s="40" t="str">
        <f t="shared" si="4"/>
        <v>Naranja</v>
      </c>
      <c r="E192" s="41">
        <v>1.3652533410249013</v>
      </c>
      <c r="F192" s="40" t="str">
        <f t="shared" si="5"/>
        <v>Naranja</v>
      </c>
      <c r="K192" s="31"/>
    </row>
    <row r="193" spans="1:11" ht="14.4" x14ac:dyDescent="0.3">
      <c r="A193" s="39">
        <v>41201</v>
      </c>
      <c r="B193" s="42" t="s">
        <v>472</v>
      </c>
      <c r="C193" s="30">
        <v>0.3</v>
      </c>
      <c r="D193" s="40" t="str">
        <f t="shared" si="4"/>
        <v>Naranja</v>
      </c>
      <c r="E193" s="41">
        <v>0.58184639255236614</v>
      </c>
      <c r="F193" s="40" t="str">
        <f t="shared" si="5"/>
        <v>Naranja</v>
      </c>
      <c r="K193" s="31"/>
    </row>
    <row r="194" spans="1:11" ht="14.4" x14ac:dyDescent="0.3">
      <c r="A194" s="39">
        <v>41202</v>
      </c>
      <c r="B194" s="42" t="s">
        <v>55</v>
      </c>
      <c r="C194" s="30">
        <v>0.3</v>
      </c>
      <c r="D194" s="40" t="str">
        <f t="shared" si="4"/>
        <v>Naranja</v>
      </c>
      <c r="E194" s="41">
        <v>0.78634766605320383</v>
      </c>
      <c r="F194" s="40" t="str">
        <f t="shared" si="5"/>
        <v>Naranja</v>
      </c>
      <c r="K194" s="31"/>
    </row>
    <row r="195" spans="1:11" ht="14.4" x14ac:dyDescent="0.3">
      <c r="A195" s="39">
        <v>41301</v>
      </c>
      <c r="B195" s="42" t="s">
        <v>180</v>
      </c>
      <c r="C195" s="30">
        <v>0.2</v>
      </c>
      <c r="D195" s="40" t="str">
        <f t="shared" ref="D195:D258" si="6">IF(C195&lt;=0.11,"Rojo",
   IF(C195&lt;=2.4,"Naranja",
   IF(C195&lt;=4.68,"Amarillo","Verde")))</f>
        <v>Naranja</v>
      </c>
      <c r="E195" s="41">
        <v>0.82476227440326022</v>
      </c>
      <c r="F195" s="40" t="str">
        <f t="shared" ref="F195:F258" si="7">IF(E195&lt;=0.11,"Rojo",
   IF(E195&lt;=2.4,"Naranja",
   IF(E195&lt;=4.68,"Amarillo","Verde")))</f>
        <v>Naranja</v>
      </c>
      <c r="K195" s="31"/>
    </row>
    <row r="196" spans="1:11" ht="14.4" x14ac:dyDescent="0.3">
      <c r="A196" s="39">
        <v>41401</v>
      </c>
      <c r="B196" s="42" t="s">
        <v>323</v>
      </c>
      <c r="C196" s="30">
        <v>0.2</v>
      </c>
      <c r="D196" s="40" t="str">
        <f t="shared" si="6"/>
        <v>Naranja</v>
      </c>
      <c r="E196" s="41">
        <v>0.22907438739235408</v>
      </c>
      <c r="F196" s="40" t="str">
        <f t="shared" si="7"/>
        <v>Naranja</v>
      </c>
      <c r="K196" s="31"/>
    </row>
    <row r="197" spans="1:11" ht="14.4" x14ac:dyDescent="0.3">
      <c r="A197" s="39">
        <v>41501</v>
      </c>
      <c r="B197" s="42" t="s">
        <v>1</v>
      </c>
      <c r="C197" s="30">
        <v>0.1</v>
      </c>
      <c r="D197" s="40" t="str">
        <f t="shared" si="6"/>
        <v>Rojo</v>
      </c>
      <c r="E197" s="41">
        <v>0.36481556546412647</v>
      </c>
      <c r="F197" s="40" t="str">
        <f t="shared" si="7"/>
        <v>Naranja</v>
      </c>
      <c r="K197" s="31"/>
    </row>
    <row r="198" spans="1:11" ht="14.4" x14ac:dyDescent="0.3">
      <c r="A198" s="39">
        <v>41502</v>
      </c>
      <c r="B198" s="42" t="s">
        <v>5</v>
      </c>
      <c r="C198" s="30">
        <v>0.2</v>
      </c>
      <c r="D198" s="40" t="str">
        <f t="shared" si="6"/>
        <v>Naranja</v>
      </c>
      <c r="E198" s="41">
        <v>0.52023121387283233</v>
      </c>
      <c r="F198" s="40" t="str">
        <f t="shared" si="7"/>
        <v>Naranja</v>
      </c>
      <c r="K198" s="31"/>
    </row>
    <row r="199" spans="1:11" ht="14.4" x14ac:dyDescent="0.3">
      <c r="A199" s="39">
        <v>41503</v>
      </c>
      <c r="B199" s="42" t="s">
        <v>8</v>
      </c>
      <c r="C199" s="30">
        <v>0.5</v>
      </c>
      <c r="D199" s="40" t="str">
        <f t="shared" si="6"/>
        <v>Naranja</v>
      </c>
      <c r="E199" s="41">
        <v>4.831124412141941</v>
      </c>
      <c r="F199" s="40" t="str">
        <f t="shared" si="7"/>
        <v>Verde</v>
      </c>
      <c r="K199" s="31"/>
    </row>
    <row r="200" spans="1:11" ht="14.4" x14ac:dyDescent="0.3">
      <c r="A200" s="39">
        <v>41601</v>
      </c>
      <c r="B200" s="42" t="s">
        <v>473</v>
      </c>
      <c r="C200" s="30">
        <v>0.2</v>
      </c>
      <c r="D200" s="40" t="str">
        <f t="shared" si="6"/>
        <v>Naranja</v>
      </c>
      <c r="E200" s="41">
        <v>0.5125815470643057</v>
      </c>
      <c r="F200" s="40" t="str">
        <f t="shared" si="7"/>
        <v>Naranja</v>
      </c>
      <c r="K200" s="31"/>
    </row>
    <row r="201" spans="1:11" ht="14.4" x14ac:dyDescent="0.3">
      <c r="A201" s="39">
        <v>50101</v>
      </c>
      <c r="B201" s="42" t="s">
        <v>302</v>
      </c>
      <c r="C201" s="30">
        <v>5.4</v>
      </c>
      <c r="D201" s="40" t="str">
        <f t="shared" si="6"/>
        <v>Verde</v>
      </c>
      <c r="E201" s="41">
        <v>3.2447254037385638</v>
      </c>
      <c r="F201" s="40" t="str">
        <f t="shared" si="7"/>
        <v>Amarillo</v>
      </c>
      <c r="K201" s="31"/>
    </row>
    <row r="202" spans="1:11" ht="14.4" x14ac:dyDescent="0.3">
      <c r="A202" s="39">
        <v>50102</v>
      </c>
      <c r="B202" s="42" t="s">
        <v>34</v>
      </c>
      <c r="C202" s="30">
        <v>2</v>
      </c>
      <c r="D202" s="40" t="str">
        <f t="shared" si="6"/>
        <v>Naranja</v>
      </c>
      <c r="E202" s="41">
        <v>0.96327513546056598</v>
      </c>
      <c r="F202" s="40" t="str">
        <f t="shared" si="7"/>
        <v>Naranja</v>
      </c>
      <c r="K202" s="31"/>
    </row>
    <row r="203" spans="1:11" ht="14.4" x14ac:dyDescent="0.3">
      <c r="A203" s="39">
        <v>50103</v>
      </c>
      <c r="B203" s="42" t="s">
        <v>207</v>
      </c>
      <c r="C203" s="30">
        <v>0.7</v>
      </c>
      <c r="D203" s="40" t="str">
        <f t="shared" si="6"/>
        <v>Naranja</v>
      </c>
      <c r="E203" s="41">
        <v>2.0503261882572228</v>
      </c>
      <c r="F203" s="40" t="str">
        <f t="shared" si="7"/>
        <v>Naranja</v>
      </c>
      <c r="K203" s="31"/>
    </row>
    <row r="204" spans="1:11" ht="14.4" x14ac:dyDescent="0.3">
      <c r="A204" s="39">
        <v>50104</v>
      </c>
      <c r="B204" s="42" t="s">
        <v>474</v>
      </c>
      <c r="C204" s="30">
        <v>0.2</v>
      </c>
      <c r="D204" s="40" t="str">
        <f t="shared" si="6"/>
        <v>Naranja</v>
      </c>
      <c r="E204" s="41">
        <v>2.5749933634191664</v>
      </c>
      <c r="F204" s="40" t="str">
        <f t="shared" si="7"/>
        <v>Amarillo</v>
      </c>
      <c r="K204" s="31"/>
    </row>
    <row r="205" spans="1:11" ht="14.4" x14ac:dyDescent="0.3">
      <c r="A205" s="39">
        <v>50201</v>
      </c>
      <c r="B205" s="42" t="s">
        <v>264</v>
      </c>
      <c r="C205" s="30">
        <v>3.1</v>
      </c>
      <c r="D205" s="40" t="str">
        <f t="shared" si="6"/>
        <v>Amarillo</v>
      </c>
      <c r="E205" s="41">
        <v>2.6918622715589073</v>
      </c>
      <c r="F205" s="40" t="str">
        <f t="shared" si="7"/>
        <v>Amarillo</v>
      </c>
      <c r="K205" s="31"/>
    </row>
    <row r="206" spans="1:11" ht="14.4" x14ac:dyDescent="0.3">
      <c r="A206" s="39">
        <v>50202</v>
      </c>
      <c r="B206" s="42" t="s">
        <v>228</v>
      </c>
      <c r="C206" s="30">
        <v>0.5</v>
      </c>
      <c r="D206" s="40" t="str">
        <f t="shared" si="6"/>
        <v>Naranja</v>
      </c>
      <c r="E206" s="41">
        <v>1.2291388818801141</v>
      </c>
      <c r="F206" s="40" t="str">
        <f t="shared" si="7"/>
        <v>Naranja</v>
      </c>
      <c r="K206" s="31"/>
    </row>
    <row r="207" spans="1:11" ht="14.4" x14ac:dyDescent="0.3">
      <c r="A207" s="39">
        <v>50203</v>
      </c>
      <c r="B207" s="42" t="s">
        <v>295</v>
      </c>
      <c r="C207" s="30">
        <v>2.5</v>
      </c>
      <c r="D207" s="40" t="str">
        <f t="shared" si="6"/>
        <v>Amarillo</v>
      </c>
      <c r="E207" s="41">
        <v>5.5746123447874663</v>
      </c>
      <c r="F207" s="40" t="str">
        <f t="shared" si="7"/>
        <v>Verde</v>
      </c>
      <c r="K207" s="31"/>
    </row>
    <row r="208" spans="1:11" ht="14.4" x14ac:dyDescent="0.3">
      <c r="A208" s="39">
        <v>50204</v>
      </c>
      <c r="B208" s="42" t="s">
        <v>475</v>
      </c>
      <c r="C208" s="30">
        <v>0.3</v>
      </c>
      <c r="D208" s="40" t="str">
        <f t="shared" si="6"/>
        <v>Naranja</v>
      </c>
      <c r="E208" s="41">
        <v>0.84362139917695467</v>
      </c>
      <c r="F208" s="40" t="str">
        <f t="shared" si="7"/>
        <v>Naranja</v>
      </c>
      <c r="K208" s="31"/>
    </row>
    <row r="209" spans="1:11" ht="14.4" x14ac:dyDescent="0.3">
      <c r="A209" s="39">
        <v>50301</v>
      </c>
      <c r="B209" s="42" t="s">
        <v>266</v>
      </c>
      <c r="C209" s="30">
        <v>2.2000000000000002</v>
      </c>
      <c r="D209" s="40" t="str">
        <f t="shared" si="6"/>
        <v>Naranja</v>
      </c>
      <c r="E209" s="41">
        <v>1.8381971128881502</v>
      </c>
      <c r="F209" s="40" t="str">
        <f t="shared" si="7"/>
        <v>Naranja</v>
      </c>
      <c r="K209" s="31"/>
    </row>
    <row r="210" spans="1:11" ht="14.4" x14ac:dyDescent="0.3">
      <c r="A210" s="39">
        <v>50302</v>
      </c>
      <c r="B210" s="42" t="s">
        <v>219</v>
      </c>
      <c r="C210" s="30">
        <v>0.7</v>
      </c>
      <c r="D210" s="40" t="str">
        <f t="shared" si="6"/>
        <v>Naranja</v>
      </c>
      <c r="E210" s="41">
        <v>5.3212790486014194</v>
      </c>
      <c r="F210" s="40" t="str">
        <f t="shared" si="7"/>
        <v>Verde</v>
      </c>
      <c r="K210" s="31"/>
    </row>
    <row r="211" spans="1:11" ht="14.4" x14ac:dyDescent="0.3">
      <c r="A211" s="39">
        <v>50303</v>
      </c>
      <c r="B211" s="42" t="s">
        <v>15</v>
      </c>
      <c r="C211" s="30">
        <v>0.2</v>
      </c>
      <c r="D211" s="40" t="str">
        <f t="shared" si="6"/>
        <v>Naranja</v>
      </c>
      <c r="E211" s="41">
        <v>0.39715854052308686</v>
      </c>
      <c r="F211" s="40" t="str">
        <f t="shared" si="7"/>
        <v>Naranja</v>
      </c>
      <c r="K211" s="31"/>
    </row>
    <row r="212" spans="1:11" ht="14.4" x14ac:dyDescent="0.3">
      <c r="A212" s="39">
        <v>50401</v>
      </c>
      <c r="B212" s="42" t="s">
        <v>119</v>
      </c>
      <c r="C212" s="30">
        <v>1.5</v>
      </c>
      <c r="D212" s="40" t="str">
        <f t="shared" si="6"/>
        <v>Naranja</v>
      </c>
      <c r="E212" s="41">
        <v>0.97184478769939475</v>
      </c>
      <c r="F212" s="40" t="str">
        <f t="shared" si="7"/>
        <v>Naranja</v>
      </c>
      <c r="K212" s="31"/>
    </row>
    <row r="213" spans="1:11" ht="14.4" x14ac:dyDescent="0.3">
      <c r="A213" s="39">
        <v>50402</v>
      </c>
      <c r="B213" s="42" t="s">
        <v>46</v>
      </c>
      <c r="C213" s="30">
        <v>2.6</v>
      </c>
      <c r="D213" s="40" t="str">
        <f t="shared" si="6"/>
        <v>Amarillo</v>
      </c>
      <c r="E213" s="41">
        <v>0.9652127147669054</v>
      </c>
      <c r="F213" s="40" t="str">
        <f t="shared" si="7"/>
        <v>Naranja</v>
      </c>
      <c r="K213" s="31"/>
    </row>
    <row r="214" spans="1:11" ht="14.4" x14ac:dyDescent="0.3">
      <c r="A214" s="39">
        <v>50403</v>
      </c>
      <c r="B214" s="42" t="s">
        <v>52</v>
      </c>
      <c r="C214" s="30">
        <v>2.1</v>
      </c>
      <c r="D214" s="40" t="str">
        <f t="shared" si="6"/>
        <v>Naranja</v>
      </c>
      <c r="E214" s="41">
        <v>1.081868070332624</v>
      </c>
      <c r="F214" s="40" t="str">
        <f t="shared" si="7"/>
        <v>Naranja</v>
      </c>
      <c r="K214" s="31"/>
    </row>
    <row r="215" spans="1:11" ht="14.4" x14ac:dyDescent="0.3">
      <c r="A215" s="39">
        <v>50404</v>
      </c>
      <c r="B215" s="42" t="s">
        <v>42</v>
      </c>
      <c r="C215" s="30">
        <v>0.3</v>
      </c>
      <c r="D215" s="40" t="str">
        <f t="shared" si="6"/>
        <v>Naranja</v>
      </c>
      <c r="E215" s="41">
        <v>1.0653985106539852</v>
      </c>
      <c r="F215" s="40" t="str">
        <f t="shared" si="7"/>
        <v>Naranja</v>
      </c>
      <c r="K215" s="31"/>
    </row>
    <row r="216" spans="1:11" ht="14.4" x14ac:dyDescent="0.3">
      <c r="A216" s="39">
        <v>50405</v>
      </c>
      <c r="B216" s="42" t="s">
        <v>324</v>
      </c>
      <c r="C216" s="30"/>
      <c r="D216" s="40" t="str">
        <f t="shared" si="6"/>
        <v>Rojo</v>
      </c>
      <c r="E216" s="41"/>
      <c r="F216" s="40" t="str">
        <f t="shared" si="7"/>
        <v>Rojo</v>
      </c>
      <c r="K216" s="31"/>
    </row>
    <row r="217" spans="1:11" ht="14.4" x14ac:dyDescent="0.3">
      <c r="A217" s="39">
        <v>50501</v>
      </c>
      <c r="B217" s="42" t="s">
        <v>9</v>
      </c>
      <c r="C217" s="30">
        <v>2</v>
      </c>
      <c r="D217" s="40" t="str">
        <f t="shared" si="6"/>
        <v>Naranja</v>
      </c>
      <c r="E217" s="41">
        <v>1.0272117348001832</v>
      </c>
      <c r="F217" s="40" t="str">
        <f t="shared" si="7"/>
        <v>Naranja</v>
      </c>
      <c r="K217" s="31"/>
    </row>
    <row r="218" spans="1:11" ht="14.4" x14ac:dyDescent="0.3">
      <c r="A218" s="39">
        <v>50502</v>
      </c>
      <c r="B218" s="42" t="s">
        <v>61</v>
      </c>
      <c r="C218" s="30">
        <v>24.9</v>
      </c>
      <c r="D218" s="40" t="str">
        <f t="shared" si="6"/>
        <v>Verde</v>
      </c>
      <c r="E218" s="41">
        <v>5.8001995154624488</v>
      </c>
      <c r="F218" s="40" t="str">
        <f t="shared" si="7"/>
        <v>Verde</v>
      </c>
      <c r="K218" s="31"/>
    </row>
    <row r="219" spans="1:11" ht="14.4" x14ac:dyDescent="0.3">
      <c r="A219" s="39">
        <v>50601</v>
      </c>
      <c r="B219" s="42" t="s">
        <v>114</v>
      </c>
      <c r="C219" s="30">
        <v>2.5</v>
      </c>
      <c r="D219" s="40" t="str">
        <f t="shared" si="6"/>
        <v>Amarillo</v>
      </c>
      <c r="E219" s="41">
        <v>2.7908909574468082</v>
      </c>
      <c r="F219" s="40" t="str">
        <f t="shared" si="7"/>
        <v>Amarillo</v>
      </c>
      <c r="K219" s="31"/>
    </row>
    <row r="220" spans="1:11" ht="14.4" x14ac:dyDescent="0.3">
      <c r="A220" s="39">
        <v>50602</v>
      </c>
      <c r="B220" s="42" t="s">
        <v>234</v>
      </c>
      <c r="C220" s="30">
        <v>1.4</v>
      </c>
      <c r="D220" s="40" t="str">
        <f t="shared" si="6"/>
        <v>Naranja</v>
      </c>
      <c r="E220" s="41">
        <v>3.7844960105409555</v>
      </c>
      <c r="F220" s="40" t="str">
        <f t="shared" si="7"/>
        <v>Amarillo</v>
      </c>
      <c r="K220" s="31"/>
    </row>
    <row r="221" spans="1:11" ht="14.4" x14ac:dyDescent="0.3">
      <c r="A221" s="39">
        <v>50701</v>
      </c>
      <c r="B221" s="42" t="s">
        <v>476</v>
      </c>
      <c r="C221" s="30">
        <v>0.4</v>
      </c>
      <c r="D221" s="40" t="str">
        <f t="shared" si="6"/>
        <v>Naranja</v>
      </c>
      <c r="E221" s="41">
        <v>1.1426602738939451</v>
      </c>
      <c r="F221" s="40" t="str">
        <f t="shared" si="7"/>
        <v>Naranja</v>
      </c>
      <c r="K221" s="31"/>
    </row>
    <row r="222" spans="1:11" ht="14.4" x14ac:dyDescent="0.3">
      <c r="A222" s="39">
        <v>50702</v>
      </c>
      <c r="B222" s="42" t="s">
        <v>78</v>
      </c>
      <c r="C222" s="30">
        <v>0.3</v>
      </c>
      <c r="D222" s="40" t="str">
        <f t="shared" si="6"/>
        <v>Naranja</v>
      </c>
      <c r="E222" s="41">
        <v>1.2475939259998574</v>
      </c>
      <c r="F222" s="40" t="str">
        <f t="shared" si="7"/>
        <v>Naranja</v>
      </c>
      <c r="K222" s="31"/>
    </row>
    <row r="223" spans="1:11" ht="14.4" x14ac:dyDescent="0.3">
      <c r="A223" s="39">
        <v>50801</v>
      </c>
      <c r="B223" s="42" t="s">
        <v>290</v>
      </c>
      <c r="C223" s="30">
        <v>4.4000000000000004</v>
      </c>
      <c r="D223" s="40" t="str">
        <f t="shared" si="6"/>
        <v>Amarillo</v>
      </c>
      <c r="E223" s="41">
        <v>6.4964263409895224</v>
      </c>
      <c r="F223" s="40" t="str">
        <f t="shared" si="7"/>
        <v>Verde</v>
      </c>
      <c r="K223" s="31"/>
    </row>
    <row r="224" spans="1:11" ht="14.4" x14ac:dyDescent="0.3">
      <c r="A224" s="39">
        <v>50802</v>
      </c>
      <c r="B224" s="42" t="s">
        <v>120</v>
      </c>
      <c r="C224" s="30">
        <v>0.3</v>
      </c>
      <c r="D224" s="40" t="str">
        <f t="shared" si="6"/>
        <v>Naranja</v>
      </c>
      <c r="E224" s="41">
        <v>0.45143491813263587</v>
      </c>
      <c r="F224" s="40" t="str">
        <f t="shared" si="7"/>
        <v>Naranja</v>
      </c>
      <c r="K224" s="31"/>
    </row>
    <row r="225" spans="1:11" ht="14.4" x14ac:dyDescent="0.3">
      <c r="A225" s="39">
        <v>50901</v>
      </c>
      <c r="B225" s="42" t="s">
        <v>477</v>
      </c>
      <c r="C225" s="30">
        <v>0</v>
      </c>
      <c r="D225" s="40" t="str">
        <f t="shared" si="6"/>
        <v>Rojo</v>
      </c>
      <c r="E225" s="41">
        <v>0.16736460458136457</v>
      </c>
      <c r="F225" s="40" t="str">
        <f t="shared" si="7"/>
        <v>Naranja</v>
      </c>
      <c r="K225" s="31"/>
    </row>
    <row r="226" spans="1:11" ht="14.4" x14ac:dyDescent="0.3">
      <c r="A226" s="39">
        <v>50902</v>
      </c>
      <c r="B226" s="42" t="s">
        <v>13</v>
      </c>
      <c r="C226" s="30">
        <v>1.1000000000000001</v>
      </c>
      <c r="D226" s="40" t="str">
        <f t="shared" si="6"/>
        <v>Naranja</v>
      </c>
      <c r="E226" s="41">
        <v>2.0097772949483979</v>
      </c>
      <c r="F226" s="40" t="str">
        <f t="shared" si="7"/>
        <v>Naranja</v>
      </c>
      <c r="K226" s="31"/>
    </row>
    <row r="227" spans="1:11" ht="14.4" x14ac:dyDescent="0.3">
      <c r="A227" s="39">
        <v>51001</v>
      </c>
      <c r="B227" s="42" t="s">
        <v>478</v>
      </c>
      <c r="C227" s="30">
        <v>1.9</v>
      </c>
      <c r="D227" s="40" t="str">
        <f t="shared" si="6"/>
        <v>Naranja</v>
      </c>
      <c r="E227" s="41">
        <v>3.1774133432724567</v>
      </c>
      <c r="F227" s="40" t="str">
        <f t="shared" si="7"/>
        <v>Amarillo</v>
      </c>
      <c r="K227" s="31"/>
    </row>
    <row r="228" spans="1:11" ht="14.4" x14ac:dyDescent="0.3">
      <c r="A228" s="39">
        <v>51002</v>
      </c>
      <c r="B228" s="42" t="s">
        <v>16</v>
      </c>
      <c r="C228" s="30">
        <v>0</v>
      </c>
      <c r="D228" s="40" t="str">
        <f t="shared" si="6"/>
        <v>Rojo</v>
      </c>
      <c r="E228" s="41">
        <v>0.78534031413612559</v>
      </c>
      <c r="F228" s="40" t="str">
        <f t="shared" si="7"/>
        <v>Naranja</v>
      </c>
      <c r="K228" s="31"/>
    </row>
    <row r="229" spans="1:11" ht="14.4" x14ac:dyDescent="0.3">
      <c r="A229" s="39">
        <v>51003</v>
      </c>
      <c r="B229" s="42" t="s">
        <v>60</v>
      </c>
      <c r="C229" s="30">
        <v>0.9</v>
      </c>
      <c r="D229" s="40" t="str">
        <f t="shared" si="6"/>
        <v>Naranja</v>
      </c>
      <c r="E229" s="41">
        <v>3.6443148688046647</v>
      </c>
      <c r="F229" s="40" t="str">
        <f t="shared" si="7"/>
        <v>Amarillo</v>
      </c>
      <c r="K229" s="31"/>
    </row>
    <row r="230" spans="1:11" ht="14.4" x14ac:dyDescent="0.3">
      <c r="A230" s="39">
        <v>51101</v>
      </c>
      <c r="B230" s="42" t="s">
        <v>265</v>
      </c>
      <c r="C230" s="30">
        <v>2.5</v>
      </c>
      <c r="D230" s="40" t="str">
        <f t="shared" si="6"/>
        <v>Amarillo</v>
      </c>
      <c r="E230" s="41">
        <v>0.89068825910931171</v>
      </c>
      <c r="F230" s="40" t="str">
        <f t="shared" si="7"/>
        <v>Naranja</v>
      </c>
      <c r="K230" s="31"/>
    </row>
    <row r="231" spans="1:11" ht="14.4" x14ac:dyDescent="0.3">
      <c r="A231" s="39">
        <v>51102</v>
      </c>
      <c r="B231" s="42" t="s">
        <v>325</v>
      </c>
      <c r="C231" s="30">
        <v>0.5</v>
      </c>
      <c r="D231" s="40" t="str">
        <f t="shared" si="6"/>
        <v>Naranja</v>
      </c>
      <c r="E231" s="41">
        <v>1.1724695585996954</v>
      </c>
      <c r="F231" s="40" t="str">
        <f t="shared" si="7"/>
        <v>Naranja</v>
      </c>
      <c r="K231" s="31"/>
    </row>
    <row r="232" spans="1:11" ht="14.4" x14ac:dyDescent="0.3">
      <c r="A232" s="39">
        <v>51103</v>
      </c>
      <c r="B232" s="42" t="s">
        <v>175</v>
      </c>
      <c r="C232" s="30">
        <v>0.4</v>
      </c>
      <c r="D232" s="40" t="str">
        <f t="shared" si="6"/>
        <v>Naranja</v>
      </c>
      <c r="E232" s="41">
        <v>1.0236680292672873</v>
      </c>
      <c r="F232" s="40" t="str">
        <f t="shared" si="7"/>
        <v>Naranja</v>
      </c>
      <c r="K232" s="31"/>
    </row>
    <row r="233" spans="1:11" ht="14.4" x14ac:dyDescent="0.3">
      <c r="A233" s="39">
        <v>51201</v>
      </c>
      <c r="B233" s="42" t="s">
        <v>289</v>
      </c>
      <c r="C233" s="30">
        <v>29.1</v>
      </c>
      <c r="D233" s="40" t="str">
        <f t="shared" si="6"/>
        <v>Verde</v>
      </c>
      <c r="E233" s="41">
        <v>9.0377621426871961</v>
      </c>
      <c r="F233" s="40" t="str">
        <f t="shared" si="7"/>
        <v>Verde</v>
      </c>
      <c r="K233" s="31"/>
    </row>
    <row r="234" spans="1:11" ht="14.4" x14ac:dyDescent="0.3">
      <c r="A234" s="39">
        <v>51202</v>
      </c>
      <c r="B234" s="42" t="s">
        <v>130</v>
      </c>
      <c r="C234" s="30">
        <v>0.6</v>
      </c>
      <c r="D234" s="40" t="str">
        <f t="shared" si="6"/>
        <v>Naranja</v>
      </c>
      <c r="E234" s="41">
        <v>1.0185443840385069</v>
      </c>
      <c r="F234" s="40" t="str">
        <f t="shared" si="7"/>
        <v>Naranja</v>
      </c>
      <c r="K234" s="31"/>
    </row>
    <row r="235" spans="1:11" ht="14.4" x14ac:dyDescent="0.3">
      <c r="A235" s="39">
        <v>51203</v>
      </c>
      <c r="B235" s="42" t="s">
        <v>166</v>
      </c>
      <c r="C235" s="30">
        <v>0.2</v>
      </c>
      <c r="D235" s="40" t="str">
        <f t="shared" si="6"/>
        <v>Naranja</v>
      </c>
      <c r="E235" s="41">
        <v>0.29660706330812736</v>
      </c>
      <c r="F235" s="40" t="str">
        <f t="shared" si="7"/>
        <v>Naranja</v>
      </c>
      <c r="K235" s="31"/>
    </row>
    <row r="236" spans="1:11" ht="14.4" x14ac:dyDescent="0.3">
      <c r="A236" s="39">
        <v>51204</v>
      </c>
      <c r="B236" s="42" t="s">
        <v>402</v>
      </c>
      <c r="C236" s="30"/>
      <c r="D236" s="40" t="str">
        <f t="shared" si="6"/>
        <v>Rojo</v>
      </c>
      <c r="E236" s="41"/>
      <c r="F236" s="40" t="str">
        <f t="shared" si="7"/>
        <v>Rojo</v>
      </c>
      <c r="K236" s="31"/>
    </row>
    <row r="237" spans="1:11" ht="14.4" x14ac:dyDescent="0.3">
      <c r="A237" s="39">
        <v>51301</v>
      </c>
      <c r="B237" s="42" t="s">
        <v>104</v>
      </c>
      <c r="C237" s="30">
        <v>0.4</v>
      </c>
      <c r="D237" s="40" t="str">
        <f t="shared" si="6"/>
        <v>Naranja</v>
      </c>
      <c r="E237" s="41">
        <v>1.257861635220126</v>
      </c>
      <c r="F237" s="40" t="str">
        <f t="shared" si="7"/>
        <v>Naranja</v>
      </c>
      <c r="K237" s="31"/>
    </row>
    <row r="238" spans="1:11" ht="14.4" x14ac:dyDescent="0.3">
      <c r="A238" s="39">
        <v>51302</v>
      </c>
      <c r="B238" s="42" t="s">
        <v>169</v>
      </c>
      <c r="C238" s="30">
        <v>0.6</v>
      </c>
      <c r="D238" s="40" t="str">
        <f t="shared" si="6"/>
        <v>Naranja</v>
      </c>
      <c r="E238" s="41">
        <v>1.6143587686754237</v>
      </c>
      <c r="F238" s="40" t="str">
        <f t="shared" si="7"/>
        <v>Naranja</v>
      </c>
      <c r="K238" s="31"/>
    </row>
    <row r="239" spans="1:11" ht="14.4" x14ac:dyDescent="0.3">
      <c r="A239" s="39">
        <v>51401</v>
      </c>
      <c r="B239" s="42" t="s">
        <v>151</v>
      </c>
      <c r="C239" s="30">
        <v>0.5</v>
      </c>
      <c r="D239" s="40" t="str">
        <f t="shared" si="6"/>
        <v>Naranja</v>
      </c>
      <c r="E239" s="41">
        <v>1.7312542994725979</v>
      </c>
      <c r="F239" s="40" t="str">
        <f t="shared" si="7"/>
        <v>Naranja</v>
      </c>
      <c r="K239" s="31"/>
    </row>
    <row r="240" spans="1:11" ht="14.4" x14ac:dyDescent="0.3">
      <c r="A240" s="39">
        <v>51402</v>
      </c>
      <c r="B240" s="42" t="s">
        <v>25</v>
      </c>
      <c r="C240" s="30">
        <v>0.5</v>
      </c>
      <c r="D240" s="40" t="str">
        <f t="shared" si="6"/>
        <v>Naranja</v>
      </c>
      <c r="E240" s="41">
        <v>1.3001383125864452</v>
      </c>
      <c r="F240" s="40" t="str">
        <f t="shared" si="7"/>
        <v>Naranja</v>
      </c>
      <c r="K240" s="31"/>
    </row>
    <row r="241" spans="1:11" ht="14.4" x14ac:dyDescent="0.3">
      <c r="A241" s="39">
        <v>51501</v>
      </c>
      <c r="B241" s="42" t="s">
        <v>293</v>
      </c>
      <c r="C241" s="30">
        <v>6</v>
      </c>
      <c r="D241" s="40" t="str">
        <f t="shared" si="6"/>
        <v>Verde</v>
      </c>
      <c r="E241" s="41">
        <v>11.35110142342878</v>
      </c>
      <c r="F241" s="40" t="str">
        <f t="shared" si="7"/>
        <v>Verde</v>
      </c>
      <c r="K241" s="31"/>
    </row>
    <row r="242" spans="1:11" ht="14.4" x14ac:dyDescent="0.3">
      <c r="A242" s="39">
        <v>51601</v>
      </c>
      <c r="B242" s="42" t="s">
        <v>29</v>
      </c>
      <c r="C242" s="30">
        <v>0.7</v>
      </c>
      <c r="D242" s="40" t="str">
        <f t="shared" si="6"/>
        <v>Naranja</v>
      </c>
      <c r="E242" s="41">
        <v>3.1324157570004751</v>
      </c>
      <c r="F242" s="40" t="str">
        <f t="shared" si="7"/>
        <v>Amarillo</v>
      </c>
      <c r="K242" s="31"/>
    </row>
    <row r="243" spans="1:11" ht="14.4" x14ac:dyDescent="0.3">
      <c r="A243" s="39">
        <v>60101</v>
      </c>
      <c r="B243" s="42" t="s">
        <v>76</v>
      </c>
      <c r="C243" s="30">
        <v>3.3</v>
      </c>
      <c r="D243" s="40" t="str">
        <f t="shared" si="6"/>
        <v>Amarillo</v>
      </c>
      <c r="E243" s="41">
        <v>5.397964194458547</v>
      </c>
      <c r="F243" s="40" t="str">
        <f t="shared" si="7"/>
        <v>Verde</v>
      </c>
      <c r="K243" s="31"/>
    </row>
    <row r="244" spans="1:11" ht="14.4" x14ac:dyDescent="0.3">
      <c r="A244" s="39">
        <v>60201</v>
      </c>
      <c r="B244" s="42" t="s">
        <v>274</v>
      </c>
      <c r="C244" s="30">
        <v>0.7</v>
      </c>
      <c r="D244" s="40" t="str">
        <f t="shared" si="6"/>
        <v>Naranja</v>
      </c>
      <c r="E244" s="41">
        <v>1.531201365530398</v>
      </c>
      <c r="F244" s="40" t="str">
        <f t="shared" si="7"/>
        <v>Naranja</v>
      </c>
      <c r="K244" s="31"/>
    </row>
    <row r="245" spans="1:11" ht="14.4" x14ac:dyDescent="0.3">
      <c r="A245" s="39">
        <v>60202</v>
      </c>
      <c r="B245" s="42" t="s">
        <v>254</v>
      </c>
      <c r="C245" s="30">
        <v>4</v>
      </c>
      <c r="D245" s="40" t="str">
        <f t="shared" si="6"/>
        <v>Amarillo</v>
      </c>
      <c r="E245" s="41">
        <v>6.4570884806295918</v>
      </c>
      <c r="F245" s="40" t="str">
        <f t="shared" si="7"/>
        <v>Verde</v>
      </c>
      <c r="K245" s="31"/>
    </row>
    <row r="246" spans="1:11" ht="14.4" x14ac:dyDescent="0.3">
      <c r="A246" s="39">
        <v>60301</v>
      </c>
      <c r="B246" s="42" t="s">
        <v>297</v>
      </c>
      <c r="C246" s="30">
        <v>1.7</v>
      </c>
      <c r="D246" s="40" t="str">
        <f t="shared" si="6"/>
        <v>Naranja</v>
      </c>
      <c r="E246" s="41">
        <v>3.653790429751901</v>
      </c>
      <c r="F246" s="40" t="str">
        <f t="shared" si="7"/>
        <v>Amarillo</v>
      </c>
      <c r="K246" s="31"/>
    </row>
    <row r="247" spans="1:11" ht="14.4" x14ac:dyDescent="0.3">
      <c r="A247" s="39">
        <v>60302</v>
      </c>
      <c r="B247" s="42" t="s">
        <v>193</v>
      </c>
      <c r="C247" s="30">
        <v>0.8</v>
      </c>
      <c r="D247" s="40" t="str">
        <f t="shared" si="6"/>
        <v>Naranja</v>
      </c>
      <c r="E247" s="41">
        <v>2.6915342020441333</v>
      </c>
      <c r="F247" s="40" t="str">
        <f t="shared" si="7"/>
        <v>Amarillo</v>
      </c>
      <c r="K247" s="31"/>
    </row>
    <row r="248" spans="1:11" ht="14.4" x14ac:dyDescent="0.3">
      <c r="A248" s="39">
        <v>60303</v>
      </c>
      <c r="B248" s="42" t="s">
        <v>326</v>
      </c>
      <c r="C248" s="30">
        <v>0.9</v>
      </c>
      <c r="D248" s="40" t="str">
        <f t="shared" si="6"/>
        <v>Naranja</v>
      </c>
      <c r="E248" s="41">
        <v>1.4093383867879452</v>
      </c>
      <c r="F248" s="40" t="str">
        <f t="shared" si="7"/>
        <v>Naranja</v>
      </c>
      <c r="K248" s="31"/>
    </row>
    <row r="249" spans="1:11" ht="14.4" x14ac:dyDescent="0.3">
      <c r="A249" s="39">
        <v>60401</v>
      </c>
      <c r="B249" s="42" t="s">
        <v>235</v>
      </c>
      <c r="C249" s="30">
        <v>0.5</v>
      </c>
      <c r="D249" s="40" t="str">
        <f t="shared" si="6"/>
        <v>Naranja</v>
      </c>
      <c r="E249" s="41">
        <v>5.9546330828964198</v>
      </c>
      <c r="F249" s="40" t="str">
        <f t="shared" si="7"/>
        <v>Verde</v>
      </c>
      <c r="K249" s="31"/>
    </row>
    <row r="250" spans="1:11" ht="14.4" x14ac:dyDescent="0.3">
      <c r="A250" s="39">
        <v>60402</v>
      </c>
      <c r="B250" s="42" t="s">
        <v>105</v>
      </c>
      <c r="C250" s="30">
        <v>0.3</v>
      </c>
      <c r="D250" s="40" t="str">
        <f t="shared" si="6"/>
        <v>Naranja</v>
      </c>
      <c r="E250" s="41">
        <v>1.1086627186337972</v>
      </c>
      <c r="F250" s="40" t="str">
        <f t="shared" si="7"/>
        <v>Naranja</v>
      </c>
      <c r="K250" s="31"/>
    </row>
    <row r="251" spans="1:11" ht="14.4" x14ac:dyDescent="0.3">
      <c r="A251" s="39">
        <v>60501</v>
      </c>
      <c r="B251" s="42" t="s">
        <v>59</v>
      </c>
      <c r="C251" s="30">
        <v>6</v>
      </c>
      <c r="D251" s="40" t="str">
        <f t="shared" si="6"/>
        <v>Verde</v>
      </c>
      <c r="E251" s="41">
        <v>6.6064728356776961</v>
      </c>
      <c r="F251" s="40" t="str">
        <f t="shared" si="7"/>
        <v>Verde</v>
      </c>
      <c r="K251" s="31"/>
    </row>
    <row r="252" spans="1:11" ht="14.4" x14ac:dyDescent="0.3">
      <c r="A252" s="39">
        <v>60502</v>
      </c>
      <c r="B252" s="42" t="s">
        <v>88</v>
      </c>
      <c r="C252" s="30">
        <v>0.2</v>
      </c>
      <c r="D252" s="40" t="str">
        <f t="shared" si="6"/>
        <v>Naranja</v>
      </c>
      <c r="E252" s="41">
        <v>0.61502314974777139</v>
      </c>
      <c r="F252" s="40" t="str">
        <f t="shared" si="7"/>
        <v>Naranja</v>
      </c>
      <c r="K252" s="31"/>
    </row>
    <row r="253" spans="1:11" ht="14.4" x14ac:dyDescent="0.3">
      <c r="A253" s="39">
        <v>60601</v>
      </c>
      <c r="B253" s="42" t="s">
        <v>223</v>
      </c>
      <c r="C253" s="30">
        <v>0.8</v>
      </c>
      <c r="D253" s="40" t="str">
        <f t="shared" si="6"/>
        <v>Naranja</v>
      </c>
      <c r="E253" s="41">
        <v>0.62770238328586747</v>
      </c>
      <c r="F253" s="40" t="str">
        <f t="shared" si="7"/>
        <v>Naranja</v>
      </c>
      <c r="K253" s="31"/>
    </row>
    <row r="254" spans="1:11" ht="14.4" x14ac:dyDescent="0.3">
      <c r="A254" s="39">
        <v>70101</v>
      </c>
      <c r="B254" s="42" t="s">
        <v>304</v>
      </c>
      <c r="C254" s="30">
        <v>5.8</v>
      </c>
      <c r="D254" s="40" t="str">
        <f t="shared" si="6"/>
        <v>Verde</v>
      </c>
      <c r="E254" s="41">
        <v>6.3709776914069636</v>
      </c>
      <c r="F254" s="40" t="str">
        <f t="shared" si="7"/>
        <v>Verde</v>
      </c>
      <c r="K254" s="31"/>
    </row>
    <row r="255" spans="1:11" ht="14.4" x14ac:dyDescent="0.3">
      <c r="A255" s="39">
        <v>70102</v>
      </c>
      <c r="B255" s="42" t="s">
        <v>263</v>
      </c>
      <c r="C255" s="30">
        <v>3</v>
      </c>
      <c r="D255" s="40" t="str">
        <f t="shared" si="6"/>
        <v>Amarillo</v>
      </c>
      <c r="E255" s="41">
        <v>4.1583149792720944</v>
      </c>
      <c r="F255" s="40" t="str">
        <f t="shared" si="7"/>
        <v>Amarillo</v>
      </c>
      <c r="K255" s="31"/>
    </row>
    <row r="256" spans="1:11" ht="14.4" x14ac:dyDescent="0.3">
      <c r="A256" s="39">
        <v>70103</v>
      </c>
      <c r="B256" s="42" t="s">
        <v>188</v>
      </c>
      <c r="C256" s="30">
        <v>1.4</v>
      </c>
      <c r="D256" s="40" t="str">
        <f t="shared" si="6"/>
        <v>Naranja</v>
      </c>
      <c r="E256" s="41">
        <v>3.7939910449698253</v>
      </c>
      <c r="F256" s="40" t="str">
        <f t="shared" si="7"/>
        <v>Amarillo</v>
      </c>
      <c r="K256" s="31"/>
    </row>
    <row r="257" spans="1:11" ht="14.4" x14ac:dyDescent="0.3">
      <c r="A257" s="39">
        <v>70104</v>
      </c>
      <c r="B257" s="42" t="s">
        <v>294</v>
      </c>
      <c r="C257" s="30">
        <v>4</v>
      </c>
      <c r="D257" s="40" t="str">
        <f t="shared" si="6"/>
        <v>Amarillo</v>
      </c>
      <c r="E257" s="41">
        <v>5.3127405374652792</v>
      </c>
      <c r="F257" s="40" t="str">
        <f t="shared" si="7"/>
        <v>Verde</v>
      </c>
      <c r="K257" s="31"/>
    </row>
    <row r="258" spans="1:11" ht="14.4" x14ac:dyDescent="0.3">
      <c r="A258" s="39">
        <v>70105</v>
      </c>
      <c r="B258" s="42" t="s">
        <v>291</v>
      </c>
      <c r="C258" s="30">
        <v>5.6</v>
      </c>
      <c r="D258" s="40" t="str">
        <f t="shared" si="6"/>
        <v>Verde</v>
      </c>
      <c r="E258" s="41">
        <v>6.4652388682341035</v>
      </c>
      <c r="F258" s="40" t="str">
        <f t="shared" si="7"/>
        <v>Verde</v>
      </c>
      <c r="K258" s="31"/>
    </row>
    <row r="259" spans="1:11" ht="14.4" x14ac:dyDescent="0.3">
      <c r="A259" s="39">
        <v>70201</v>
      </c>
      <c r="B259" s="42" t="s">
        <v>298</v>
      </c>
      <c r="C259" s="30">
        <v>2</v>
      </c>
      <c r="D259" s="40" t="str">
        <f t="shared" ref="D259:D322" si="8">IF(C259&lt;=0.11,"Rojo",
   IF(C259&lt;=2.4,"Naranja",
   IF(C259&lt;=4.68,"Amarillo","Verde")))</f>
        <v>Naranja</v>
      </c>
      <c r="E259" s="41">
        <v>2.3197251584356096</v>
      </c>
      <c r="F259" s="40" t="str">
        <f t="shared" ref="F259:F322" si="9">IF(E259&lt;=0.11,"Rojo",
   IF(E259&lt;=2.4,"Naranja",
   IF(E259&lt;=4.68,"Amarillo","Verde")))</f>
        <v>Naranja</v>
      </c>
      <c r="K259" s="31"/>
    </row>
    <row r="260" spans="1:11" ht="14.4" x14ac:dyDescent="0.3">
      <c r="A260" s="39">
        <v>70202</v>
      </c>
      <c r="B260" s="42" t="s">
        <v>91</v>
      </c>
      <c r="C260" s="30">
        <v>0.3</v>
      </c>
      <c r="D260" s="40" t="str">
        <f t="shared" si="8"/>
        <v>Naranja</v>
      </c>
      <c r="E260" s="41">
        <v>0.21501172791243162</v>
      </c>
      <c r="F260" s="40" t="str">
        <f t="shared" si="9"/>
        <v>Naranja</v>
      </c>
      <c r="K260" s="31"/>
    </row>
    <row r="261" spans="1:11" ht="14.4" x14ac:dyDescent="0.3">
      <c r="A261" s="39">
        <v>70301</v>
      </c>
      <c r="B261" s="42" t="s">
        <v>262</v>
      </c>
      <c r="C261" s="30">
        <v>5.2</v>
      </c>
      <c r="D261" s="40" t="str">
        <f t="shared" si="8"/>
        <v>Verde</v>
      </c>
      <c r="E261" s="41">
        <v>6.2664108866374928</v>
      </c>
      <c r="F261" s="40" t="str">
        <f t="shared" si="9"/>
        <v>Verde</v>
      </c>
      <c r="K261" s="31"/>
    </row>
    <row r="262" spans="1:11" ht="14.4" x14ac:dyDescent="0.3">
      <c r="A262" s="39">
        <v>70302</v>
      </c>
      <c r="B262" s="42" t="s">
        <v>479</v>
      </c>
      <c r="C262" s="30">
        <v>23.8</v>
      </c>
      <c r="D262" s="40" t="str">
        <f t="shared" si="8"/>
        <v>Verde</v>
      </c>
      <c r="E262" s="41">
        <v>1.5280135823429539</v>
      </c>
      <c r="F262" s="40" t="str">
        <f t="shared" si="9"/>
        <v>Naranja</v>
      </c>
      <c r="K262" s="31"/>
    </row>
    <row r="263" spans="1:11" ht="14.4" x14ac:dyDescent="0.3">
      <c r="A263" s="39">
        <v>70303</v>
      </c>
      <c r="B263" s="42" t="s">
        <v>79</v>
      </c>
      <c r="C263" s="30">
        <v>1</v>
      </c>
      <c r="D263" s="40" t="str">
        <f t="shared" si="8"/>
        <v>Naranja</v>
      </c>
      <c r="E263" s="41">
        <v>1.9983499862498855</v>
      </c>
      <c r="F263" s="40" t="str">
        <f t="shared" si="9"/>
        <v>Naranja</v>
      </c>
      <c r="K263" s="31"/>
    </row>
    <row r="264" spans="1:11" ht="14.4" x14ac:dyDescent="0.3">
      <c r="A264" s="39">
        <v>70401</v>
      </c>
      <c r="B264" s="42" t="s">
        <v>164</v>
      </c>
      <c r="C264" s="30">
        <v>1.3</v>
      </c>
      <c r="D264" s="40" t="str">
        <f t="shared" si="8"/>
        <v>Naranja</v>
      </c>
      <c r="E264" s="41">
        <v>2.9892962120791977</v>
      </c>
      <c r="F264" s="40" t="str">
        <f t="shared" si="9"/>
        <v>Amarillo</v>
      </c>
      <c r="K264" s="31"/>
    </row>
    <row r="265" spans="1:11" ht="14.4" x14ac:dyDescent="0.3">
      <c r="A265" s="39">
        <v>70402</v>
      </c>
      <c r="B265" s="42" t="s">
        <v>225</v>
      </c>
      <c r="C265" s="30">
        <v>4.8</v>
      </c>
      <c r="D265" s="40" t="str">
        <f t="shared" si="8"/>
        <v>Verde</v>
      </c>
      <c r="E265" s="41">
        <v>2.5623675280865337</v>
      </c>
      <c r="F265" s="40" t="str">
        <f t="shared" si="9"/>
        <v>Amarillo</v>
      </c>
      <c r="K265" s="31"/>
    </row>
    <row r="266" spans="1:11" ht="14.4" x14ac:dyDescent="0.3">
      <c r="A266" s="39">
        <v>70403</v>
      </c>
      <c r="B266" s="42" t="s">
        <v>278</v>
      </c>
      <c r="C266" s="30">
        <v>2</v>
      </c>
      <c r="D266" s="40" t="str">
        <f t="shared" si="8"/>
        <v>Naranja</v>
      </c>
      <c r="E266" s="41">
        <v>2.0174463016580253</v>
      </c>
      <c r="F266" s="40" t="str">
        <f t="shared" si="9"/>
        <v>Naranja</v>
      </c>
      <c r="K266" s="31"/>
    </row>
    <row r="267" spans="1:11" ht="14.4" x14ac:dyDescent="0.3">
      <c r="A267" s="39">
        <v>70404</v>
      </c>
      <c r="B267" s="42" t="s">
        <v>327</v>
      </c>
      <c r="C267" s="30">
        <v>0.3</v>
      </c>
      <c r="D267" s="40" t="str">
        <f t="shared" si="8"/>
        <v>Naranja</v>
      </c>
      <c r="E267" s="41">
        <v>0.34741509984653474</v>
      </c>
      <c r="F267" s="40" t="str">
        <f t="shared" si="9"/>
        <v>Naranja</v>
      </c>
      <c r="K267" s="31"/>
    </row>
    <row r="268" spans="1:11" ht="14.4" x14ac:dyDescent="0.3">
      <c r="A268" s="39">
        <v>70501</v>
      </c>
      <c r="B268" s="42" t="s">
        <v>480</v>
      </c>
      <c r="C268" s="30">
        <v>10.1</v>
      </c>
      <c r="D268" s="40" t="str">
        <f t="shared" si="8"/>
        <v>Verde</v>
      </c>
      <c r="E268" s="41">
        <v>3.3096300027171566</v>
      </c>
      <c r="F268" s="40" t="str">
        <f t="shared" si="9"/>
        <v>Amarillo</v>
      </c>
      <c r="K268" s="31"/>
    </row>
    <row r="269" spans="1:11" ht="14.4" x14ac:dyDescent="0.3">
      <c r="A269" s="39">
        <v>70502</v>
      </c>
      <c r="B269" s="42" t="s">
        <v>272</v>
      </c>
      <c r="C269" s="30">
        <v>1.1000000000000001</v>
      </c>
      <c r="D269" s="40" t="str">
        <f t="shared" si="8"/>
        <v>Naranja</v>
      </c>
      <c r="E269" s="41">
        <v>0.82953800088197482</v>
      </c>
      <c r="F269" s="40" t="str">
        <f t="shared" si="9"/>
        <v>Naranja</v>
      </c>
      <c r="K269" s="31"/>
    </row>
    <row r="270" spans="1:11" ht="14.4" x14ac:dyDescent="0.3">
      <c r="A270" s="39">
        <v>70503</v>
      </c>
      <c r="B270" s="42" t="s">
        <v>162</v>
      </c>
      <c r="C270" s="30">
        <v>2.7</v>
      </c>
      <c r="D270" s="40" t="str">
        <f t="shared" si="8"/>
        <v>Amarillo</v>
      </c>
      <c r="E270" s="41">
        <v>9.5274037642131919</v>
      </c>
      <c r="F270" s="40" t="str">
        <f t="shared" si="9"/>
        <v>Verde</v>
      </c>
      <c r="K270" s="31"/>
    </row>
    <row r="271" spans="1:11" ht="14.4" x14ac:dyDescent="0.3">
      <c r="A271" s="39">
        <v>70601</v>
      </c>
      <c r="B271" s="42" t="s">
        <v>158</v>
      </c>
      <c r="C271" s="30">
        <v>0.6</v>
      </c>
      <c r="D271" s="40" t="str">
        <f t="shared" si="8"/>
        <v>Naranja</v>
      </c>
      <c r="E271" s="41">
        <v>0.92175280457155695</v>
      </c>
      <c r="F271" s="40" t="str">
        <f t="shared" si="9"/>
        <v>Naranja</v>
      </c>
      <c r="K271" s="31"/>
    </row>
    <row r="272" spans="1:11" ht="14.4" x14ac:dyDescent="0.3">
      <c r="A272" s="39">
        <v>70602</v>
      </c>
      <c r="B272" s="42" t="s">
        <v>35</v>
      </c>
      <c r="C272" s="30">
        <v>0.2</v>
      </c>
      <c r="D272" s="40" t="str">
        <f t="shared" si="8"/>
        <v>Naranja</v>
      </c>
      <c r="E272" s="41">
        <v>0.26400022434009957</v>
      </c>
      <c r="F272" s="40" t="str">
        <f t="shared" si="9"/>
        <v>Naranja</v>
      </c>
      <c r="K272" s="31"/>
    </row>
    <row r="273" spans="1:11" ht="14.4" x14ac:dyDescent="0.3">
      <c r="A273" s="39">
        <v>70603</v>
      </c>
      <c r="B273" s="42" t="s">
        <v>329</v>
      </c>
      <c r="C273" s="30">
        <v>0.5</v>
      </c>
      <c r="D273" s="40" t="str">
        <f t="shared" si="8"/>
        <v>Naranja</v>
      </c>
      <c r="E273" s="41">
        <v>0.37777505212805101</v>
      </c>
      <c r="F273" s="40" t="str">
        <f t="shared" si="9"/>
        <v>Naranja</v>
      </c>
      <c r="K273" s="31"/>
    </row>
    <row r="274" spans="1:11" ht="14.4" x14ac:dyDescent="0.3">
      <c r="A274" s="39">
        <v>70701</v>
      </c>
      <c r="B274" s="42" t="s">
        <v>74</v>
      </c>
      <c r="C274" s="30">
        <v>0.1</v>
      </c>
      <c r="D274" s="40" t="str">
        <f t="shared" si="8"/>
        <v>Rojo</v>
      </c>
      <c r="E274" s="41">
        <v>0.14959634778571612</v>
      </c>
      <c r="F274" s="40" t="str">
        <f t="shared" si="9"/>
        <v>Naranja</v>
      </c>
      <c r="K274" s="31"/>
    </row>
    <row r="275" spans="1:11" ht="14.4" x14ac:dyDescent="0.3">
      <c r="A275" s="39">
        <v>70702</v>
      </c>
      <c r="B275" s="42" t="s">
        <v>481</v>
      </c>
      <c r="C275" s="30">
        <v>2.9</v>
      </c>
      <c r="D275" s="40" t="str">
        <f t="shared" si="8"/>
        <v>Amarillo</v>
      </c>
      <c r="E275" s="41">
        <v>0.82190496833644788</v>
      </c>
      <c r="F275" s="40" t="str">
        <f t="shared" si="9"/>
        <v>Naranja</v>
      </c>
      <c r="K275" s="31"/>
    </row>
    <row r="276" spans="1:11" ht="14.4" x14ac:dyDescent="0.3">
      <c r="A276" s="39">
        <v>70703</v>
      </c>
      <c r="B276" s="42" t="s">
        <v>250</v>
      </c>
      <c r="C276" s="30">
        <v>1.5</v>
      </c>
      <c r="D276" s="40" t="str">
        <f t="shared" si="8"/>
        <v>Naranja</v>
      </c>
      <c r="E276" s="41">
        <v>0.40818110080376724</v>
      </c>
      <c r="F276" s="40" t="str">
        <f t="shared" si="9"/>
        <v>Naranja</v>
      </c>
      <c r="K276" s="31"/>
    </row>
    <row r="277" spans="1:11" ht="14.4" x14ac:dyDescent="0.3">
      <c r="A277" s="39">
        <v>70704</v>
      </c>
      <c r="B277" s="42" t="s">
        <v>73</v>
      </c>
      <c r="C277" s="30">
        <v>1.4</v>
      </c>
      <c r="D277" s="40" t="str">
        <f t="shared" si="8"/>
        <v>Naranja</v>
      </c>
      <c r="E277" s="41">
        <v>3.5361074827393169</v>
      </c>
      <c r="F277" s="40" t="str">
        <f t="shared" si="9"/>
        <v>Amarillo</v>
      </c>
      <c r="K277" s="31"/>
    </row>
    <row r="278" spans="1:11" ht="14.4" x14ac:dyDescent="0.3">
      <c r="A278" s="39">
        <v>70705</v>
      </c>
      <c r="B278" s="42" t="s">
        <v>482</v>
      </c>
      <c r="C278" s="30">
        <v>0.3</v>
      </c>
      <c r="D278" s="40" t="str">
        <f t="shared" si="8"/>
        <v>Naranja</v>
      </c>
      <c r="E278" s="41">
        <v>0.48765813264934527</v>
      </c>
      <c r="F278" s="40" t="str">
        <f t="shared" si="9"/>
        <v>Naranja</v>
      </c>
      <c r="K278" s="31"/>
    </row>
    <row r="279" spans="1:11" ht="14.4" x14ac:dyDescent="0.3">
      <c r="A279" s="39">
        <v>70706</v>
      </c>
      <c r="B279" s="42" t="s">
        <v>221</v>
      </c>
      <c r="C279" s="30">
        <v>7.2</v>
      </c>
      <c r="D279" s="40" t="str">
        <f t="shared" si="8"/>
        <v>Verde</v>
      </c>
      <c r="E279" s="41">
        <v>5.8643941224274627</v>
      </c>
      <c r="F279" s="40" t="str">
        <f t="shared" si="9"/>
        <v>Verde</v>
      </c>
      <c r="K279" s="31"/>
    </row>
    <row r="280" spans="1:11" ht="14.4" x14ac:dyDescent="0.3">
      <c r="A280" s="39">
        <v>70707</v>
      </c>
      <c r="B280" s="42" t="s">
        <v>53</v>
      </c>
      <c r="C280" s="30">
        <v>1.9</v>
      </c>
      <c r="D280" s="40" t="str">
        <f t="shared" si="8"/>
        <v>Naranja</v>
      </c>
      <c r="E280" s="41">
        <v>4.8022598870056497</v>
      </c>
      <c r="F280" s="40" t="str">
        <f t="shared" si="9"/>
        <v>Verde</v>
      </c>
      <c r="K280" s="31"/>
    </row>
    <row r="281" spans="1:11" ht="14.4" x14ac:dyDescent="0.3">
      <c r="A281" s="39">
        <v>70801</v>
      </c>
      <c r="B281" s="42" t="s">
        <v>257</v>
      </c>
      <c r="C281" s="30">
        <v>1.4</v>
      </c>
      <c r="D281" s="40" t="str">
        <f t="shared" si="8"/>
        <v>Naranja</v>
      </c>
      <c r="E281" s="41">
        <v>3.8186749578275401</v>
      </c>
      <c r="F281" s="40" t="str">
        <f t="shared" si="9"/>
        <v>Amarillo</v>
      </c>
      <c r="K281" s="31"/>
    </row>
    <row r="282" spans="1:11" ht="14.4" x14ac:dyDescent="0.3">
      <c r="A282" s="39">
        <v>70802</v>
      </c>
      <c r="B282" s="42" t="s">
        <v>10</v>
      </c>
      <c r="C282" s="30">
        <v>0.4</v>
      </c>
      <c r="D282" s="40" t="str">
        <f t="shared" si="8"/>
        <v>Naranja</v>
      </c>
      <c r="E282" s="41">
        <v>0.74307194684850075</v>
      </c>
      <c r="F282" s="40" t="str">
        <f t="shared" si="9"/>
        <v>Naranja</v>
      </c>
      <c r="K282" s="31"/>
    </row>
    <row r="283" spans="1:11" ht="14.4" x14ac:dyDescent="0.3">
      <c r="A283" s="39">
        <v>70803</v>
      </c>
      <c r="B283" s="42" t="s">
        <v>483</v>
      </c>
      <c r="C283" s="30">
        <v>0.2</v>
      </c>
      <c r="D283" s="40" t="str">
        <f t="shared" si="8"/>
        <v>Naranja</v>
      </c>
      <c r="E283" s="41">
        <v>0.16333622936576889</v>
      </c>
      <c r="F283" s="40" t="str">
        <f t="shared" si="9"/>
        <v>Naranja</v>
      </c>
      <c r="K283" s="31"/>
    </row>
    <row r="284" spans="1:11" ht="14.4" x14ac:dyDescent="0.3">
      <c r="A284" s="39">
        <v>70804</v>
      </c>
      <c r="B284" s="42" t="s">
        <v>330</v>
      </c>
      <c r="C284" s="30">
        <v>0.3</v>
      </c>
      <c r="D284" s="40" t="str">
        <f t="shared" si="8"/>
        <v>Naranja</v>
      </c>
      <c r="E284" s="41">
        <v>0.72759022118742722</v>
      </c>
      <c r="F284" s="40" t="str">
        <f t="shared" si="9"/>
        <v>Naranja</v>
      </c>
      <c r="K284" s="31"/>
    </row>
    <row r="285" spans="1:11" ht="14.4" x14ac:dyDescent="0.3">
      <c r="A285" s="39">
        <v>70805</v>
      </c>
      <c r="B285" s="42" t="s">
        <v>331</v>
      </c>
      <c r="C285" s="30">
        <v>0.6</v>
      </c>
      <c r="D285" s="40" t="str">
        <f t="shared" si="8"/>
        <v>Naranja</v>
      </c>
      <c r="E285" s="41">
        <v>1.0520425293788473</v>
      </c>
      <c r="F285" s="40" t="str">
        <f t="shared" si="9"/>
        <v>Naranja</v>
      </c>
      <c r="K285" s="31"/>
    </row>
    <row r="286" spans="1:11" ht="14.4" x14ac:dyDescent="0.3">
      <c r="A286" s="39">
        <v>70901</v>
      </c>
      <c r="B286" s="42" t="s">
        <v>192</v>
      </c>
      <c r="C286" s="30">
        <v>23</v>
      </c>
      <c r="D286" s="40" t="str">
        <f t="shared" si="8"/>
        <v>Verde</v>
      </c>
      <c r="E286" s="41">
        <v>4.1932114882506522</v>
      </c>
      <c r="F286" s="40" t="str">
        <f t="shared" si="9"/>
        <v>Amarillo</v>
      </c>
      <c r="K286" s="31"/>
    </row>
    <row r="287" spans="1:11" ht="14.4" x14ac:dyDescent="0.3">
      <c r="A287" s="39">
        <v>70902</v>
      </c>
      <c r="B287" s="42" t="s">
        <v>484</v>
      </c>
      <c r="C287" s="30">
        <v>0.8</v>
      </c>
      <c r="D287" s="40" t="str">
        <f t="shared" si="8"/>
        <v>Naranja</v>
      </c>
      <c r="E287" s="41">
        <v>1.8413253655929649</v>
      </c>
      <c r="F287" s="40" t="str">
        <f t="shared" si="9"/>
        <v>Naranja</v>
      </c>
      <c r="K287" s="31"/>
    </row>
    <row r="288" spans="1:11" ht="14.4" x14ac:dyDescent="0.3">
      <c r="A288" s="39">
        <v>70903</v>
      </c>
      <c r="B288" s="42" t="s">
        <v>122</v>
      </c>
      <c r="C288" s="30">
        <v>0.8</v>
      </c>
      <c r="D288" s="40" t="str">
        <f t="shared" si="8"/>
        <v>Naranja</v>
      </c>
      <c r="E288" s="41">
        <v>2.0360116020642631</v>
      </c>
      <c r="F288" s="40" t="str">
        <f t="shared" si="9"/>
        <v>Naranja</v>
      </c>
      <c r="K288" s="31"/>
    </row>
    <row r="289" spans="1:11" ht="14.4" x14ac:dyDescent="0.3">
      <c r="A289" s="39">
        <v>70904</v>
      </c>
      <c r="B289" s="42" t="s">
        <v>20</v>
      </c>
      <c r="C289" s="30">
        <v>1.1000000000000001</v>
      </c>
      <c r="D289" s="40" t="str">
        <f t="shared" si="8"/>
        <v>Naranja</v>
      </c>
      <c r="E289" s="41">
        <v>1.94207080235268</v>
      </c>
      <c r="F289" s="40" t="str">
        <f t="shared" si="9"/>
        <v>Naranja</v>
      </c>
      <c r="K289" s="31"/>
    </row>
    <row r="290" spans="1:11" ht="14.4" x14ac:dyDescent="0.3">
      <c r="A290" s="39">
        <v>71001</v>
      </c>
      <c r="B290" s="42" t="s">
        <v>300</v>
      </c>
      <c r="C290" s="30">
        <v>3.4</v>
      </c>
      <c r="D290" s="40" t="str">
        <f t="shared" si="8"/>
        <v>Amarillo</v>
      </c>
      <c r="E290" s="41">
        <v>4.2675775172460018</v>
      </c>
      <c r="F290" s="40" t="str">
        <f t="shared" si="9"/>
        <v>Amarillo</v>
      </c>
      <c r="K290" s="31"/>
    </row>
    <row r="291" spans="1:11" ht="14.4" x14ac:dyDescent="0.3">
      <c r="A291" s="39">
        <v>71002</v>
      </c>
      <c r="B291" s="42" t="s">
        <v>332</v>
      </c>
      <c r="C291" s="30">
        <v>0.3</v>
      </c>
      <c r="D291" s="40" t="str">
        <f t="shared" si="8"/>
        <v>Naranja</v>
      </c>
      <c r="E291" s="41">
        <v>0.1898520560274512</v>
      </c>
      <c r="F291" s="40" t="str">
        <f t="shared" si="9"/>
        <v>Naranja</v>
      </c>
      <c r="K291" s="31"/>
    </row>
    <row r="292" spans="1:11" ht="14.4" x14ac:dyDescent="0.3">
      <c r="A292" s="39">
        <v>71003</v>
      </c>
      <c r="B292" s="42" t="s">
        <v>230</v>
      </c>
      <c r="C292" s="30">
        <v>1.1000000000000001</v>
      </c>
      <c r="D292" s="40" t="str">
        <f t="shared" si="8"/>
        <v>Naranja</v>
      </c>
      <c r="E292" s="41">
        <v>0.61230337671739032</v>
      </c>
      <c r="F292" s="40" t="str">
        <f t="shared" si="9"/>
        <v>Naranja</v>
      </c>
      <c r="K292" s="31"/>
    </row>
    <row r="293" spans="1:11" ht="14.4" x14ac:dyDescent="0.3">
      <c r="A293" s="39">
        <v>71004</v>
      </c>
      <c r="B293" s="42" t="s">
        <v>161</v>
      </c>
      <c r="C293" s="30">
        <v>0.2</v>
      </c>
      <c r="D293" s="40" t="str">
        <f t="shared" si="8"/>
        <v>Naranja</v>
      </c>
      <c r="E293" s="41">
        <v>0.12360356964209336</v>
      </c>
      <c r="F293" s="40" t="str">
        <f t="shared" si="9"/>
        <v>Naranja</v>
      </c>
      <c r="K293" s="31"/>
    </row>
    <row r="294" spans="1:11" ht="14.4" x14ac:dyDescent="0.3">
      <c r="A294" s="39">
        <v>71005</v>
      </c>
      <c r="B294" s="42" t="s">
        <v>9</v>
      </c>
      <c r="C294" s="30">
        <v>0.2</v>
      </c>
      <c r="D294" s="40" t="str">
        <f t="shared" si="8"/>
        <v>Naranja</v>
      </c>
      <c r="E294" s="41">
        <v>0.23367134009346854</v>
      </c>
      <c r="F294" s="40" t="str">
        <f t="shared" si="9"/>
        <v>Naranja</v>
      </c>
      <c r="K294" s="31"/>
    </row>
    <row r="295" spans="1:11" ht="14.4" x14ac:dyDescent="0.3">
      <c r="A295" s="39">
        <v>71101</v>
      </c>
      <c r="B295" s="42" t="s">
        <v>248</v>
      </c>
      <c r="C295" s="30">
        <v>19.2</v>
      </c>
      <c r="D295" s="40" t="str">
        <f t="shared" si="8"/>
        <v>Verde</v>
      </c>
      <c r="E295" s="41">
        <v>5.933234015384147</v>
      </c>
      <c r="F295" s="40" t="str">
        <f t="shared" si="9"/>
        <v>Verde</v>
      </c>
      <c r="K295" s="31"/>
    </row>
    <row r="296" spans="1:11" ht="14.4" x14ac:dyDescent="0.3">
      <c r="A296" s="39">
        <v>71102</v>
      </c>
      <c r="B296" s="42" t="s">
        <v>75</v>
      </c>
      <c r="C296" s="30">
        <v>1.2</v>
      </c>
      <c r="D296" s="40" t="str">
        <f t="shared" si="8"/>
        <v>Naranja</v>
      </c>
      <c r="E296" s="41">
        <v>3.4561191626409018</v>
      </c>
      <c r="F296" s="40" t="str">
        <f t="shared" si="9"/>
        <v>Amarillo</v>
      </c>
      <c r="K296" s="31"/>
    </row>
    <row r="297" spans="1:11" ht="14.4" x14ac:dyDescent="0.3">
      <c r="A297" s="39">
        <v>71103</v>
      </c>
      <c r="B297" s="42" t="s">
        <v>285</v>
      </c>
      <c r="C297" s="30">
        <v>2.8</v>
      </c>
      <c r="D297" s="40" t="str">
        <f t="shared" si="8"/>
        <v>Amarillo</v>
      </c>
      <c r="E297" s="41">
        <v>10.325817299740891</v>
      </c>
      <c r="F297" s="40" t="str">
        <f t="shared" si="9"/>
        <v>Verde</v>
      </c>
      <c r="K297" s="31"/>
    </row>
    <row r="298" spans="1:11" ht="14.4" x14ac:dyDescent="0.3">
      <c r="A298" s="39">
        <v>71104</v>
      </c>
      <c r="B298" s="42" t="s">
        <v>333</v>
      </c>
      <c r="C298" s="30">
        <v>0.9</v>
      </c>
      <c r="D298" s="40" t="str">
        <f t="shared" si="8"/>
        <v>Naranja</v>
      </c>
      <c r="E298" s="41">
        <v>0.16371022824953962</v>
      </c>
      <c r="F298" s="40" t="str">
        <f t="shared" si="9"/>
        <v>Naranja</v>
      </c>
      <c r="K298" s="31"/>
    </row>
    <row r="299" spans="1:11" ht="14.4" x14ac:dyDescent="0.3">
      <c r="A299" s="39">
        <v>71105</v>
      </c>
      <c r="B299" s="42" t="s">
        <v>44</v>
      </c>
      <c r="C299" s="30">
        <v>0.4</v>
      </c>
      <c r="D299" s="40" t="str">
        <f t="shared" si="8"/>
        <v>Naranja</v>
      </c>
      <c r="E299" s="41">
        <v>0.98567613498421935</v>
      </c>
      <c r="F299" s="40" t="str">
        <f t="shared" si="9"/>
        <v>Naranja</v>
      </c>
      <c r="K299" s="31"/>
    </row>
    <row r="300" spans="1:11" ht="14.4" x14ac:dyDescent="0.3">
      <c r="A300" s="39">
        <v>71106</v>
      </c>
      <c r="B300" s="42" t="s">
        <v>239</v>
      </c>
      <c r="C300" s="30">
        <v>1.1000000000000001</v>
      </c>
      <c r="D300" s="40" t="str">
        <f t="shared" si="8"/>
        <v>Naranja</v>
      </c>
      <c r="E300" s="41">
        <v>0.231061901504788</v>
      </c>
      <c r="F300" s="40" t="str">
        <f t="shared" si="9"/>
        <v>Naranja</v>
      </c>
      <c r="K300" s="31"/>
    </row>
    <row r="301" spans="1:11" ht="14.4" x14ac:dyDescent="0.3">
      <c r="A301" s="39">
        <v>71201</v>
      </c>
      <c r="B301" s="42" t="s">
        <v>212</v>
      </c>
      <c r="C301" s="30">
        <v>0.9</v>
      </c>
      <c r="D301" s="40" t="str">
        <f t="shared" si="8"/>
        <v>Naranja</v>
      </c>
      <c r="E301" s="41">
        <v>2.2264488699932872</v>
      </c>
      <c r="F301" s="40" t="str">
        <f t="shared" si="9"/>
        <v>Naranja</v>
      </c>
      <c r="K301" s="31"/>
    </row>
    <row r="302" spans="1:11" ht="14.4" x14ac:dyDescent="0.3">
      <c r="A302" s="39">
        <v>71301</v>
      </c>
      <c r="B302" s="42" t="s">
        <v>209</v>
      </c>
      <c r="C302" s="30">
        <v>0.8</v>
      </c>
      <c r="D302" s="40" t="str">
        <f t="shared" si="8"/>
        <v>Naranja</v>
      </c>
      <c r="E302" s="41">
        <v>2.1988587672177746</v>
      </c>
      <c r="F302" s="40" t="str">
        <f t="shared" si="9"/>
        <v>Naranja</v>
      </c>
      <c r="K302" s="31"/>
    </row>
    <row r="303" spans="1:11" ht="14.4" x14ac:dyDescent="0.3">
      <c r="A303" s="39">
        <v>71302</v>
      </c>
      <c r="B303" s="42" t="s">
        <v>58</v>
      </c>
      <c r="C303" s="30">
        <v>1.2</v>
      </c>
      <c r="D303" s="40" t="str">
        <f t="shared" si="8"/>
        <v>Naranja</v>
      </c>
      <c r="E303" s="41">
        <v>2.467156535292808</v>
      </c>
      <c r="F303" s="40" t="str">
        <f t="shared" si="9"/>
        <v>Amarillo</v>
      </c>
      <c r="K303" s="31"/>
    </row>
    <row r="304" spans="1:11" ht="14.4" x14ac:dyDescent="0.3">
      <c r="A304" s="39">
        <v>71401</v>
      </c>
      <c r="B304" s="42" t="s">
        <v>485</v>
      </c>
      <c r="C304" s="30">
        <v>6</v>
      </c>
      <c r="D304" s="40" t="str">
        <f t="shared" si="8"/>
        <v>Verde</v>
      </c>
      <c r="E304" s="41">
        <v>2.6529936079258487</v>
      </c>
      <c r="F304" s="40" t="str">
        <f t="shared" si="9"/>
        <v>Amarillo</v>
      </c>
      <c r="K304" s="31"/>
    </row>
    <row r="305" spans="1:11" ht="14.4" x14ac:dyDescent="0.3">
      <c r="A305" s="39">
        <v>71402</v>
      </c>
      <c r="B305" s="42" t="s">
        <v>165</v>
      </c>
      <c r="C305" s="30">
        <v>3.4</v>
      </c>
      <c r="D305" s="40" t="str">
        <f t="shared" si="8"/>
        <v>Amarillo</v>
      </c>
      <c r="E305" s="41">
        <v>11.761641536190782</v>
      </c>
      <c r="F305" s="40" t="str">
        <f t="shared" si="9"/>
        <v>Verde</v>
      </c>
      <c r="K305" s="31"/>
    </row>
    <row r="306" spans="1:11" ht="14.4" x14ac:dyDescent="0.3">
      <c r="A306" s="39">
        <v>71403</v>
      </c>
      <c r="B306" s="42" t="s">
        <v>334</v>
      </c>
      <c r="C306" s="30">
        <v>1.6</v>
      </c>
      <c r="D306" s="40" t="str">
        <f t="shared" si="8"/>
        <v>Naranja</v>
      </c>
      <c r="E306" s="41">
        <v>7.0108220743429444</v>
      </c>
      <c r="F306" s="40" t="str">
        <f t="shared" si="9"/>
        <v>Verde</v>
      </c>
      <c r="K306" s="31"/>
    </row>
    <row r="307" spans="1:11" ht="14.4" x14ac:dyDescent="0.3">
      <c r="A307" s="39">
        <v>71501</v>
      </c>
      <c r="B307" s="42" t="s">
        <v>335</v>
      </c>
      <c r="C307" s="30">
        <v>4.3</v>
      </c>
      <c r="D307" s="40" t="str">
        <f t="shared" si="8"/>
        <v>Amarillo</v>
      </c>
      <c r="E307" s="41">
        <v>3.1709159584513689</v>
      </c>
      <c r="F307" s="40" t="str">
        <f t="shared" si="9"/>
        <v>Amarillo</v>
      </c>
      <c r="K307" s="31"/>
    </row>
    <row r="308" spans="1:11" ht="14.4" x14ac:dyDescent="0.3">
      <c r="A308" s="39">
        <v>71502</v>
      </c>
      <c r="B308" s="42" t="s">
        <v>77</v>
      </c>
      <c r="C308" s="30">
        <v>0.9</v>
      </c>
      <c r="D308" s="40" t="str">
        <f t="shared" si="8"/>
        <v>Naranja</v>
      </c>
      <c r="E308" s="41">
        <v>2.8646839191451012</v>
      </c>
      <c r="F308" s="40" t="str">
        <f t="shared" si="9"/>
        <v>Amarillo</v>
      </c>
      <c r="K308" s="31"/>
    </row>
    <row r="309" spans="1:11" ht="14.4" x14ac:dyDescent="0.3">
      <c r="A309" s="39">
        <v>71503</v>
      </c>
      <c r="B309" s="42" t="s">
        <v>88</v>
      </c>
      <c r="C309" s="30">
        <v>0.2</v>
      </c>
      <c r="D309" s="40" t="str">
        <f t="shared" si="8"/>
        <v>Naranja</v>
      </c>
      <c r="E309" s="41">
        <v>0.33690163603312462</v>
      </c>
      <c r="F309" s="40" t="str">
        <f t="shared" si="9"/>
        <v>Naranja</v>
      </c>
      <c r="K309" s="31"/>
    </row>
    <row r="310" spans="1:11" ht="14.4" x14ac:dyDescent="0.3">
      <c r="A310" s="39">
        <v>80101</v>
      </c>
      <c r="B310" s="42" t="s">
        <v>301</v>
      </c>
      <c r="C310" s="30">
        <v>4.3</v>
      </c>
      <c r="D310" s="40" t="str">
        <f t="shared" si="8"/>
        <v>Amarillo</v>
      </c>
      <c r="E310" s="41">
        <v>3.9504007314865786</v>
      </c>
      <c r="F310" s="40" t="str">
        <f t="shared" si="9"/>
        <v>Amarillo</v>
      </c>
      <c r="K310" s="31"/>
    </row>
    <row r="311" spans="1:11" ht="14.4" x14ac:dyDescent="0.3">
      <c r="A311" s="39">
        <v>80102</v>
      </c>
      <c r="B311" s="42" t="s">
        <v>75</v>
      </c>
      <c r="C311" s="30">
        <v>0.3</v>
      </c>
      <c r="D311" s="40" t="str">
        <f t="shared" si="8"/>
        <v>Naranja</v>
      </c>
      <c r="E311" s="41">
        <v>0.56511056511056512</v>
      </c>
      <c r="F311" s="40" t="str">
        <f t="shared" si="9"/>
        <v>Naranja</v>
      </c>
      <c r="K311" s="31"/>
    </row>
    <row r="312" spans="1:11" ht="14.4" x14ac:dyDescent="0.3">
      <c r="A312" s="39">
        <v>80201</v>
      </c>
      <c r="B312" s="42" t="s">
        <v>296</v>
      </c>
      <c r="C312" s="30">
        <v>2.9</v>
      </c>
      <c r="D312" s="40" t="str">
        <f t="shared" si="8"/>
        <v>Amarillo</v>
      </c>
      <c r="E312" s="41">
        <v>3.5893216485047943</v>
      </c>
      <c r="F312" s="40" t="str">
        <f t="shared" si="9"/>
        <v>Amarillo</v>
      </c>
      <c r="K312" s="31"/>
    </row>
    <row r="313" spans="1:11" ht="14.4" x14ac:dyDescent="0.3">
      <c r="A313" s="39">
        <v>80202</v>
      </c>
      <c r="B313" s="42" t="s">
        <v>287</v>
      </c>
      <c r="C313" s="30">
        <v>4.5999999999999996</v>
      </c>
      <c r="D313" s="40" t="str">
        <f t="shared" si="8"/>
        <v>Amarillo</v>
      </c>
      <c r="E313" s="41">
        <v>3.1598031598031593</v>
      </c>
      <c r="F313" s="40" t="str">
        <f t="shared" si="9"/>
        <v>Amarillo</v>
      </c>
      <c r="K313" s="31"/>
    </row>
    <row r="314" spans="1:11" ht="14.4" x14ac:dyDescent="0.3">
      <c r="A314" s="39">
        <v>80301</v>
      </c>
      <c r="B314" s="42" t="s">
        <v>216</v>
      </c>
      <c r="C314" s="30">
        <v>0.9</v>
      </c>
      <c r="D314" s="40" t="str">
        <f t="shared" si="8"/>
        <v>Naranja</v>
      </c>
      <c r="E314" s="41">
        <v>1.7737949511513498</v>
      </c>
      <c r="F314" s="40" t="str">
        <f t="shared" si="9"/>
        <v>Naranja</v>
      </c>
      <c r="K314" s="31"/>
    </row>
    <row r="315" spans="1:11" ht="14.4" x14ac:dyDescent="0.3">
      <c r="A315" s="39">
        <v>80302</v>
      </c>
      <c r="B315" s="42" t="s">
        <v>276</v>
      </c>
      <c r="C315" s="30">
        <v>3.8</v>
      </c>
      <c r="D315" s="40" t="str">
        <f t="shared" si="8"/>
        <v>Amarillo</v>
      </c>
      <c r="E315" s="41">
        <v>2.4841029298151778</v>
      </c>
      <c r="F315" s="40" t="str">
        <f t="shared" si="9"/>
        <v>Amarillo</v>
      </c>
      <c r="K315" s="31"/>
    </row>
    <row r="316" spans="1:11" ht="14.4" x14ac:dyDescent="0.3">
      <c r="A316" s="39">
        <v>80303</v>
      </c>
      <c r="B316" s="42" t="s">
        <v>35</v>
      </c>
      <c r="C316" s="30">
        <v>1.1000000000000001</v>
      </c>
      <c r="D316" s="40" t="str">
        <f t="shared" si="8"/>
        <v>Naranja</v>
      </c>
      <c r="E316" s="41">
        <v>1.7976976376234384</v>
      </c>
      <c r="F316" s="40" t="str">
        <f t="shared" si="9"/>
        <v>Naranja</v>
      </c>
      <c r="K316" s="31"/>
    </row>
    <row r="317" spans="1:11" ht="14.4" x14ac:dyDescent="0.3">
      <c r="A317" s="39">
        <v>80304</v>
      </c>
      <c r="B317" s="42" t="s">
        <v>486</v>
      </c>
      <c r="C317" s="30">
        <v>24.7</v>
      </c>
      <c r="D317" s="40" t="str">
        <f t="shared" si="8"/>
        <v>Verde</v>
      </c>
      <c r="E317" s="41">
        <v>6.7502085873820672</v>
      </c>
      <c r="F317" s="40" t="str">
        <f t="shared" si="9"/>
        <v>Verde</v>
      </c>
      <c r="K317" s="31"/>
    </row>
    <row r="318" spans="1:11" ht="14.4" x14ac:dyDescent="0.3">
      <c r="A318" s="39">
        <v>80401</v>
      </c>
      <c r="B318" s="42" t="s">
        <v>487</v>
      </c>
      <c r="C318" s="30">
        <v>2.4</v>
      </c>
      <c r="D318" s="40" t="str">
        <f t="shared" si="8"/>
        <v>Naranja</v>
      </c>
      <c r="E318" s="41">
        <v>2.5690967697688776</v>
      </c>
      <c r="F318" s="40" t="str">
        <f t="shared" si="9"/>
        <v>Amarillo</v>
      </c>
      <c r="K318" s="31"/>
    </row>
    <row r="319" spans="1:11" ht="14.4" x14ac:dyDescent="0.3">
      <c r="A319" s="39">
        <v>80402</v>
      </c>
      <c r="B319" s="42" t="s">
        <v>98</v>
      </c>
      <c r="C319" s="30">
        <v>0.7</v>
      </c>
      <c r="D319" s="40" t="str">
        <f t="shared" si="8"/>
        <v>Naranja</v>
      </c>
      <c r="E319" s="41">
        <v>1.5933572710951522</v>
      </c>
      <c r="F319" s="40" t="str">
        <f t="shared" si="9"/>
        <v>Naranja</v>
      </c>
      <c r="K319" s="31"/>
    </row>
    <row r="320" spans="1:11" ht="14.4" x14ac:dyDescent="0.3">
      <c r="A320" s="39">
        <v>80501</v>
      </c>
      <c r="B320" s="42" t="s">
        <v>262</v>
      </c>
      <c r="C320" s="30">
        <v>2.2999999999999998</v>
      </c>
      <c r="D320" s="40" t="str">
        <f t="shared" si="8"/>
        <v>Naranja</v>
      </c>
      <c r="E320" s="41">
        <v>2.5373706400919893</v>
      </c>
      <c r="F320" s="40" t="str">
        <f t="shared" si="9"/>
        <v>Amarillo</v>
      </c>
      <c r="K320" s="31"/>
    </row>
    <row r="321" spans="1:11" ht="14.4" x14ac:dyDescent="0.3">
      <c r="A321" s="39">
        <v>80601</v>
      </c>
      <c r="B321" s="42" t="s">
        <v>83</v>
      </c>
      <c r="C321" s="30">
        <v>0.3</v>
      </c>
      <c r="D321" s="40" t="str">
        <f t="shared" si="8"/>
        <v>Naranja</v>
      </c>
      <c r="E321" s="41">
        <v>0.71782900496060698</v>
      </c>
      <c r="F321" s="40" t="str">
        <f t="shared" si="9"/>
        <v>Naranja</v>
      </c>
      <c r="K321" s="31"/>
    </row>
    <row r="322" spans="1:11" ht="14.4" x14ac:dyDescent="0.3">
      <c r="A322" s="39">
        <v>80602</v>
      </c>
      <c r="B322" s="42" t="s">
        <v>214</v>
      </c>
      <c r="C322" s="30">
        <v>0.4</v>
      </c>
      <c r="D322" s="40" t="str">
        <f t="shared" si="8"/>
        <v>Naranja</v>
      </c>
      <c r="E322" s="41">
        <v>0.72389154107772469</v>
      </c>
      <c r="F322" s="40" t="str">
        <f t="shared" si="9"/>
        <v>Naranja</v>
      </c>
      <c r="K322" s="31"/>
    </row>
    <row r="323" spans="1:11" ht="14.4" x14ac:dyDescent="0.3">
      <c r="A323" s="39">
        <v>80701</v>
      </c>
      <c r="B323" s="42" t="s">
        <v>64</v>
      </c>
      <c r="C323" s="30">
        <v>1.1000000000000001</v>
      </c>
      <c r="D323" s="40" t="str">
        <f t="shared" ref="D323:D344" si="10">IF(C323&lt;=0.11,"Rojo",
   IF(C323&lt;=2.4,"Naranja",
   IF(C323&lt;=4.68,"Amarillo","Verde")))</f>
        <v>Naranja</v>
      </c>
      <c r="E323" s="41">
        <v>2.0351409429907723</v>
      </c>
      <c r="F323" s="40" t="str">
        <f t="shared" ref="F323:F344" si="11">IF(E323&lt;=0.11,"Rojo",
   IF(E323&lt;=2.4,"Naranja",
   IF(E323&lt;=4.68,"Amarillo","Verde")))</f>
        <v>Naranja</v>
      </c>
      <c r="K323" s="31"/>
    </row>
    <row r="324" spans="1:11" ht="14.4" x14ac:dyDescent="0.3">
      <c r="A324" s="39">
        <v>80702</v>
      </c>
      <c r="B324" s="42" t="s">
        <v>44</v>
      </c>
      <c r="C324" s="30">
        <v>0.8</v>
      </c>
      <c r="D324" s="40" t="str">
        <f t="shared" si="10"/>
        <v>Naranja</v>
      </c>
      <c r="E324" s="41">
        <v>0.92292940189380301</v>
      </c>
      <c r="F324" s="40" t="str">
        <f t="shared" si="11"/>
        <v>Naranja</v>
      </c>
      <c r="K324" s="31"/>
    </row>
    <row r="325" spans="1:11" ht="14.4" x14ac:dyDescent="0.3">
      <c r="A325" s="39">
        <v>80703</v>
      </c>
      <c r="B325" s="42" t="s">
        <v>2</v>
      </c>
      <c r="C325" s="30">
        <v>0.1</v>
      </c>
      <c r="D325" s="40" t="str">
        <f t="shared" si="10"/>
        <v>Rojo</v>
      </c>
      <c r="E325" s="41">
        <v>0.19510080208107519</v>
      </c>
      <c r="F325" s="40" t="str">
        <f t="shared" si="11"/>
        <v>Naranja</v>
      </c>
      <c r="K325" s="31"/>
    </row>
    <row r="326" spans="1:11" ht="14.4" x14ac:dyDescent="0.3">
      <c r="A326" s="39">
        <v>80801</v>
      </c>
      <c r="B326" s="42" t="s">
        <v>142</v>
      </c>
      <c r="C326" s="30">
        <v>1.1000000000000001</v>
      </c>
      <c r="D326" s="40" t="str">
        <f t="shared" si="10"/>
        <v>Naranja</v>
      </c>
      <c r="E326" s="41">
        <v>3.1573530302112975</v>
      </c>
      <c r="F326" s="40" t="str">
        <f t="shared" si="11"/>
        <v>Amarillo</v>
      </c>
      <c r="K326" s="31"/>
    </row>
    <row r="327" spans="1:11" ht="14.4" x14ac:dyDescent="0.3">
      <c r="A327" s="39">
        <v>80802</v>
      </c>
      <c r="B327" s="42" t="s">
        <v>118</v>
      </c>
      <c r="C327" s="30">
        <v>0.6</v>
      </c>
      <c r="D327" s="40" t="str">
        <f t="shared" si="10"/>
        <v>Naranja</v>
      </c>
      <c r="E327" s="41">
        <v>0.79252227008489806</v>
      </c>
      <c r="F327" s="40" t="str">
        <f t="shared" si="11"/>
        <v>Naranja</v>
      </c>
      <c r="K327" s="31"/>
    </row>
    <row r="328" spans="1:11" ht="14.4" x14ac:dyDescent="0.3">
      <c r="A328" s="39">
        <v>80803</v>
      </c>
      <c r="B328" s="42" t="s">
        <v>17</v>
      </c>
      <c r="C328" s="30">
        <v>0.4</v>
      </c>
      <c r="D328" s="40" t="str">
        <f t="shared" si="10"/>
        <v>Naranja</v>
      </c>
      <c r="E328" s="41">
        <v>0.70457477423836457</v>
      </c>
      <c r="F328" s="40" t="str">
        <f t="shared" si="11"/>
        <v>Naranja</v>
      </c>
      <c r="K328" s="31"/>
    </row>
    <row r="329" spans="1:11" ht="14.4" x14ac:dyDescent="0.3">
      <c r="A329" s="39">
        <v>80901</v>
      </c>
      <c r="B329" s="42" t="s">
        <v>488</v>
      </c>
      <c r="C329" s="30"/>
      <c r="D329" s="40" t="str">
        <f t="shared" si="10"/>
        <v>Rojo</v>
      </c>
      <c r="E329" s="41"/>
      <c r="F329" s="40" t="str">
        <f t="shared" si="11"/>
        <v>Rojo</v>
      </c>
      <c r="K329" s="31"/>
    </row>
    <row r="330" spans="1:11" ht="14.4" x14ac:dyDescent="0.3">
      <c r="A330" s="39">
        <v>90101</v>
      </c>
      <c r="B330" s="42" t="s">
        <v>281</v>
      </c>
      <c r="C330" s="30">
        <v>3.6</v>
      </c>
      <c r="D330" s="40" t="str">
        <f t="shared" si="10"/>
        <v>Amarillo</v>
      </c>
      <c r="E330" s="41">
        <v>5.5837027654633733</v>
      </c>
      <c r="F330" s="40" t="str">
        <f t="shared" si="11"/>
        <v>Verde</v>
      </c>
      <c r="K330" s="31"/>
    </row>
    <row r="331" spans="1:11" ht="14.4" x14ac:dyDescent="0.3">
      <c r="A331" s="39">
        <v>90102</v>
      </c>
      <c r="B331" s="42" t="s">
        <v>115</v>
      </c>
      <c r="C331" s="30">
        <v>1.5</v>
      </c>
      <c r="D331" s="40" t="str">
        <f t="shared" si="10"/>
        <v>Naranja</v>
      </c>
      <c r="E331" s="41">
        <v>6.5485300040273859</v>
      </c>
      <c r="F331" s="40" t="str">
        <f t="shared" si="11"/>
        <v>Verde</v>
      </c>
      <c r="K331" s="31"/>
    </row>
    <row r="332" spans="1:11" ht="14.4" x14ac:dyDescent="0.3">
      <c r="A332" s="39">
        <v>90103</v>
      </c>
      <c r="B332" s="42" t="s">
        <v>4</v>
      </c>
      <c r="C332" s="30">
        <v>0.1</v>
      </c>
      <c r="D332" s="40" t="str">
        <f t="shared" si="10"/>
        <v>Rojo</v>
      </c>
      <c r="E332" s="41">
        <v>0.3135673889915449</v>
      </c>
      <c r="F332" s="40" t="str">
        <f t="shared" si="11"/>
        <v>Naranja</v>
      </c>
      <c r="K332" s="31"/>
    </row>
    <row r="333" spans="1:11" ht="14.4" x14ac:dyDescent="0.3">
      <c r="A333" s="39">
        <v>90104</v>
      </c>
      <c r="B333" s="42" t="s">
        <v>81</v>
      </c>
      <c r="C333" s="30">
        <v>0.4</v>
      </c>
      <c r="D333" s="40" t="str">
        <f t="shared" si="10"/>
        <v>Naranja</v>
      </c>
      <c r="E333" s="41">
        <v>1.9310133999082897</v>
      </c>
      <c r="F333" s="40" t="str">
        <f t="shared" si="11"/>
        <v>Naranja</v>
      </c>
      <c r="K333" s="31"/>
    </row>
    <row r="334" spans="1:11" ht="14.4" x14ac:dyDescent="0.3">
      <c r="A334" s="39">
        <v>90201</v>
      </c>
      <c r="B334" s="42" t="s">
        <v>131</v>
      </c>
      <c r="C334" s="30">
        <v>1.2</v>
      </c>
      <c r="D334" s="40" t="str">
        <f t="shared" si="10"/>
        <v>Naranja</v>
      </c>
      <c r="E334" s="41">
        <v>5.0209406441053286</v>
      </c>
      <c r="F334" s="40" t="str">
        <f t="shared" si="11"/>
        <v>Verde</v>
      </c>
      <c r="K334" s="31"/>
    </row>
    <row r="335" spans="1:11" ht="14.4" x14ac:dyDescent="0.3">
      <c r="A335" s="39">
        <v>90202</v>
      </c>
      <c r="B335" s="42" t="s">
        <v>9</v>
      </c>
      <c r="C335" s="30">
        <v>0.3</v>
      </c>
      <c r="D335" s="40" t="str">
        <f t="shared" si="10"/>
        <v>Naranja</v>
      </c>
      <c r="E335" s="41">
        <v>1.3988978380669777</v>
      </c>
      <c r="F335" s="40" t="str">
        <f t="shared" si="11"/>
        <v>Naranja</v>
      </c>
      <c r="K335" s="31"/>
    </row>
    <row r="336" spans="1:11" ht="14.4" x14ac:dyDescent="0.3">
      <c r="A336" s="39">
        <v>90203</v>
      </c>
      <c r="B336" s="42" t="s">
        <v>37</v>
      </c>
      <c r="C336" s="30">
        <v>0.2</v>
      </c>
      <c r="D336" s="40" t="str">
        <f t="shared" si="10"/>
        <v>Naranja</v>
      </c>
      <c r="E336" s="41">
        <v>0.91163858594725999</v>
      </c>
      <c r="F336" s="40" t="str">
        <f t="shared" si="11"/>
        <v>Naranja</v>
      </c>
      <c r="K336" s="31"/>
    </row>
    <row r="337" spans="1:11" ht="14.4" x14ac:dyDescent="0.3">
      <c r="A337" s="39">
        <v>90301</v>
      </c>
      <c r="B337" s="42" t="s">
        <v>336</v>
      </c>
      <c r="C337" s="30">
        <v>0.6</v>
      </c>
      <c r="D337" s="40" t="str">
        <f t="shared" si="10"/>
        <v>Naranja</v>
      </c>
      <c r="E337" s="41">
        <v>3.6262406197046717</v>
      </c>
      <c r="F337" s="40" t="str">
        <f t="shared" si="11"/>
        <v>Amarillo</v>
      </c>
      <c r="K337" s="31"/>
    </row>
    <row r="338" spans="1:11" ht="14.4" x14ac:dyDescent="0.3">
      <c r="A338" s="39">
        <v>90302</v>
      </c>
      <c r="B338" s="42" t="s">
        <v>59</v>
      </c>
      <c r="C338" s="30">
        <v>0.6</v>
      </c>
      <c r="D338" s="40" t="str">
        <f t="shared" si="10"/>
        <v>Naranja</v>
      </c>
      <c r="E338" s="41">
        <v>1.6683062797179866</v>
      </c>
      <c r="F338" s="40" t="str">
        <f t="shared" si="11"/>
        <v>Naranja</v>
      </c>
      <c r="K338" s="31"/>
    </row>
    <row r="339" spans="1:11" ht="14.4" x14ac:dyDescent="0.3">
      <c r="A339" s="39">
        <v>90303</v>
      </c>
      <c r="B339" s="42" t="s">
        <v>337</v>
      </c>
      <c r="C339" s="30">
        <v>0.9</v>
      </c>
      <c r="D339" s="40" t="str">
        <f t="shared" si="10"/>
        <v>Naranja</v>
      </c>
      <c r="E339" s="41">
        <v>6.4585846401286684</v>
      </c>
      <c r="F339" s="40" t="str">
        <f t="shared" si="11"/>
        <v>Verde</v>
      </c>
      <c r="K339" s="31"/>
    </row>
    <row r="340" spans="1:11" ht="14.4" x14ac:dyDescent="0.3">
      <c r="A340" s="39">
        <v>90401</v>
      </c>
      <c r="B340" s="42" t="s">
        <v>35</v>
      </c>
      <c r="C340" s="30">
        <v>0.4</v>
      </c>
      <c r="D340" s="40" t="str">
        <f t="shared" si="10"/>
        <v>Naranja</v>
      </c>
      <c r="E340" s="41">
        <v>2.1395528141865845</v>
      </c>
      <c r="F340" s="40" t="str">
        <f t="shared" si="11"/>
        <v>Naranja</v>
      </c>
      <c r="K340" s="31"/>
    </row>
    <row r="341" spans="1:11" ht="14.4" x14ac:dyDescent="0.3">
      <c r="A341" s="39">
        <v>90402</v>
      </c>
      <c r="B341" s="42" t="s">
        <v>14</v>
      </c>
      <c r="C341" s="30">
        <v>0.4</v>
      </c>
      <c r="D341" s="40" t="str">
        <f t="shared" si="10"/>
        <v>Naranja</v>
      </c>
      <c r="E341" s="41">
        <v>2.2948164146868248</v>
      </c>
      <c r="F341" s="40" t="str">
        <f t="shared" si="11"/>
        <v>Naranja</v>
      </c>
      <c r="K341" s="31"/>
    </row>
    <row r="342" spans="1:11" ht="14.4" x14ac:dyDescent="0.3">
      <c r="A342" s="39">
        <v>90501</v>
      </c>
      <c r="B342" s="42" t="s">
        <v>26</v>
      </c>
      <c r="C342" s="30">
        <v>0.6</v>
      </c>
      <c r="D342" s="40" t="str">
        <f t="shared" si="10"/>
        <v>Naranja</v>
      </c>
      <c r="E342" s="41">
        <v>2.3794565729542954</v>
      </c>
      <c r="F342" s="40" t="str">
        <f t="shared" si="11"/>
        <v>Naranja</v>
      </c>
      <c r="K342" s="31"/>
    </row>
    <row r="343" spans="1:11" ht="14.4" x14ac:dyDescent="0.3">
      <c r="A343" s="39">
        <v>90502</v>
      </c>
      <c r="B343" s="42" t="s">
        <v>489</v>
      </c>
      <c r="C343" s="30">
        <v>0.5</v>
      </c>
      <c r="D343" s="40" t="str">
        <f t="shared" si="10"/>
        <v>Naranja</v>
      </c>
      <c r="E343" s="41">
        <v>2.5706371191135733</v>
      </c>
      <c r="F343" s="40" t="str">
        <f t="shared" si="11"/>
        <v>Amarillo</v>
      </c>
      <c r="K343" s="31"/>
    </row>
    <row r="344" spans="1:11" ht="14.4" x14ac:dyDescent="0.3">
      <c r="A344" s="39">
        <v>90503</v>
      </c>
      <c r="B344" s="42" t="s">
        <v>24</v>
      </c>
      <c r="C344" s="30">
        <v>0.2</v>
      </c>
      <c r="D344" s="40" t="str">
        <f t="shared" si="10"/>
        <v>Naranja</v>
      </c>
      <c r="E344" s="41">
        <v>0.99403578528827041</v>
      </c>
      <c r="F344" s="40" t="str">
        <f t="shared" si="11"/>
        <v>Naranja</v>
      </c>
      <c r="K344" s="31"/>
    </row>
    <row r="345" spans="1:11" ht="14.4" x14ac:dyDescent="0.3">
      <c r="A345" s="29"/>
      <c r="B345" s="29"/>
      <c r="C345" s="29"/>
      <c r="D345" s="29"/>
      <c r="E345" s="29"/>
      <c r="F345" s="29"/>
      <c r="K345" s="29"/>
    </row>
    <row r="346" spans="1:11" ht="14.4" x14ac:dyDescent="0.3">
      <c r="A346" s="29"/>
      <c r="B346" s="29"/>
      <c r="C346" s="29"/>
      <c r="D346" s="29"/>
      <c r="E346" s="29"/>
      <c r="F346" s="29"/>
      <c r="K346" s="29"/>
    </row>
    <row r="347" spans="1:11" ht="14.4" x14ac:dyDescent="0.3">
      <c r="A347" s="29"/>
      <c r="B347" s="29"/>
      <c r="C347" s="29"/>
      <c r="D347" s="29"/>
      <c r="E347" s="29"/>
      <c r="F347" s="29"/>
      <c r="K347" s="29"/>
    </row>
    <row r="348" spans="1:11" ht="14.4" x14ac:dyDescent="0.3">
      <c r="A348" s="29"/>
      <c r="B348" s="29"/>
      <c r="C348" s="29"/>
      <c r="D348" s="29"/>
      <c r="E348" s="29"/>
      <c r="F348" s="29"/>
      <c r="K348" s="29"/>
    </row>
    <row r="349" spans="1:11" ht="14.4" x14ac:dyDescent="0.3">
      <c r="A349" s="29"/>
      <c r="B349" s="29"/>
      <c r="C349" s="29"/>
      <c r="D349" s="29"/>
      <c r="E349" s="29"/>
      <c r="F349" s="29"/>
      <c r="K349" s="29"/>
    </row>
    <row r="350" spans="1:11" ht="14.4" x14ac:dyDescent="0.3">
      <c r="A350" s="29"/>
      <c r="B350" s="29"/>
      <c r="C350" s="29"/>
      <c r="D350" s="29"/>
      <c r="E350" s="29"/>
      <c r="F350" s="29"/>
      <c r="K350" s="29"/>
    </row>
    <row r="351" spans="1:11" ht="14.4" x14ac:dyDescent="0.3">
      <c r="A351" s="29"/>
      <c r="B351" s="29"/>
      <c r="C351" s="29"/>
      <c r="D351" s="29"/>
      <c r="E351" s="29"/>
      <c r="F351" s="29"/>
      <c r="K351" s="29"/>
    </row>
    <row r="352" spans="1:11" ht="14.4" x14ac:dyDescent="0.3">
      <c r="A352" s="29"/>
      <c r="B352" s="29"/>
      <c r="C352" s="29"/>
      <c r="D352" s="29"/>
      <c r="E352" s="29"/>
      <c r="F352" s="29"/>
      <c r="K352" s="29"/>
    </row>
    <row r="353" spans="1:11" ht="14.4" x14ac:dyDescent="0.3">
      <c r="A353" s="29"/>
      <c r="B353" s="29"/>
      <c r="C353" s="29"/>
      <c r="D353" s="29"/>
      <c r="E353" s="29"/>
      <c r="F353" s="29"/>
      <c r="K353" s="29"/>
    </row>
    <row r="354" spans="1:11" ht="14.4" x14ac:dyDescent="0.3">
      <c r="A354" s="29"/>
      <c r="B354" s="29"/>
      <c r="C354" s="29"/>
      <c r="D354" s="29"/>
      <c r="E354" s="29"/>
      <c r="F354" s="29"/>
      <c r="K354" s="29"/>
    </row>
    <row r="355" spans="1:11" ht="14.4" x14ac:dyDescent="0.3">
      <c r="A355" s="29"/>
      <c r="B355" s="29"/>
      <c r="C355" s="29"/>
      <c r="D355" s="29"/>
      <c r="E355" s="29"/>
      <c r="F355" s="29"/>
      <c r="K355" s="29"/>
    </row>
    <row r="356" spans="1:11" ht="14.4" x14ac:dyDescent="0.3">
      <c r="A356" s="29"/>
      <c r="B356" s="29"/>
      <c r="C356" s="29"/>
      <c r="D356" s="29"/>
      <c r="E356" s="29"/>
      <c r="F356" s="29"/>
      <c r="K356" s="29"/>
    </row>
    <row r="357" spans="1:11" ht="14.4" x14ac:dyDescent="0.3">
      <c r="A357" s="29"/>
      <c r="B357" s="29"/>
      <c r="C357" s="29"/>
      <c r="D357" s="29"/>
      <c r="E357" s="29"/>
      <c r="F357" s="29"/>
      <c r="K357" s="29"/>
    </row>
    <row r="358" spans="1:11" ht="14.4" x14ac:dyDescent="0.3">
      <c r="A358" s="29"/>
      <c r="B358" s="29"/>
      <c r="C358" s="29"/>
      <c r="D358" s="29"/>
      <c r="E358" s="29"/>
      <c r="F358" s="29"/>
      <c r="K358" s="29"/>
    </row>
    <row r="359" spans="1:11" ht="14.4" x14ac:dyDescent="0.3">
      <c r="A359" s="29"/>
      <c r="B359" s="29"/>
      <c r="C359" s="29"/>
      <c r="D359" s="29"/>
      <c r="E359" s="29"/>
      <c r="F359" s="29"/>
      <c r="K359" s="29"/>
    </row>
    <row r="360" spans="1:11" ht="14.4" x14ac:dyDescent="0.3">
      <c r="A360" s="29"/>
      <c r="B360" s="29"/>
      <c r="C360" s="29"/>
      <c r="D360" s="29"/>
      <c r="E360" s="29"/>
      <c r="F360" s="29"/>
      <c r="K360" s="29"/>
    </row>
    <row r="361" spans="1:11" ht="14.4" x14ac:dyDescent="0.3">
      <c r="A361" s="29"/>
      <c r="B361" s="29"/>
      <c r="C361" s="29"/>
      <c r="D361" s="29"/>
      <c r="E361" s="29"/>
      <c r="F361" s="29"/>
      <c r="K361" s="29"/>
    </row>
    <row r="362" spans="1:11" ht="14.4" x14ac:dyDescent="0.3">
      <c r="A362" s="29"/>
      <c r="B362" s="29"/>
      <c r="C362" s="29"/>
      <c r="D362" s="29"/>
      <c r="E362" s="29"/>
      <c r="F362" s="29"/>
      <c r="K362" s="29"/>
    </row>
    <row r="363" spans="1:11" ht="14.4" x14ac:dyDescent="0.3">
      <c r="A363" s="29"/>
      <c r="B363" s="29"/>
      <c r="C363" s="29"/>
      <c r="D363" s="29"/>
      <c r="E363" s="29"/>
      <c r="F363" s="29"/>
      <c r="K363" s="29"/>
    </row>
    <row r="364" spans="1:11" ht="14.4" x14ac:dyDescent="0.3">
      <c r="A364" s="29"/>
      <c r="B364" s="29"/>
      <c r="C364" s="29"/>
      <c r="D364" s="29"/>
      <c r="E364" s="29"/>
      <c r="F364" s="29"/>
      <c r="K364" s="29"/>
    </row>
    <row r="365" spans="1:11" ht="14.4" x14ac:dyDescent="0.3">
      <c r="A365" s="29"/>
      <c r="B365" s="29"/>
      <c r="C365" s="29"/>
      <c r="D365" s="29"/>
      <c r="E365" s="29"/>
      <c r="F365" s="29"/>
      <c r="K365" s="29"/>
    </row>
    <row r="366" spans="1:11" ht="14.4" x14ac:dyDescent="0.3">
      <c r="A366" s="29"/>
      <c r="B366" s="29"/>
      <c r="C366" s="29"/>
      <c r="D366" s="29"/>
      <c r="E366" s="29"/>
      <c r="F366" s="29"/>
      <c r="K366" s="29"/>
    </row>
    <row r="367" spans="1:11" ht="14.4" x14ac:dyDescent="0.3">
      <c r="A367" s="29"/>
      <c r="B367" s="29"/>
      <c r="C367" s="29"/>
      <c r="D367" s="29"/>
      <c r="E367" s="29"/>
      <c r="F367" s="29"/>
      <c r="K367" s="29"/>
    </row>
    <row r="368" spans="1:11" ht="14.4" x14ac:dyDescent="0.3">
      <c r="A368" s="29"/>
      <c r="B368" s="29"/>
      <c r="C368" s="29"/>
      <c r="D368" s="29"/>
      <c r="E368" s="29"/>
      <c r="F368" s="29"/>
      <c r="K368" s="29"/>
    </row>
    <row r="369" spans="1:11" ht="14.4" x14ac:dyDescent="0.3">
      <c r="A369" s="29"/>
      <c r="B369" s="29"/>
      <c r="C369" s="29"/>
      <c r="D369" s="29"/>
      <c r="E369" s="29"/>
      <c r="F369" s="29"/>
      <c r="K369" s="29"/>
    </row>
    <row r="370" spans="1:11" ht="14.4" x14ac:dyDescent="0.3">
      <c r="A370" s="29"/>
      <c r="B370" s="29"/>
      <c r="C370" s="29"/>
      <c r="D370" s="29"/>
      <c r="E370" s="29"/>
      <c r="F370" s="29"/>
      <c r="K370" s="29"/>
    </row>
    <row r="371" spans="1:11" ht="14.4" x14ac:dyDescent="0.3">
      <c r="A371" s="29"/>
      <c r="B371" s="29"/>
      <c r="C371" s="29"/>
      <c r="D371" s="29"/>
      <c r="E371" s="29"/>
      <c r="F371" s="29"/>
      <c r="K371" s="29"/>
    </row>
    <row r="372" spans="1:11" ht="14.4" x14ac:dyDescent="0.3">
      <c r="A372" s="29"/>
      <c r="B372" s="29"/>
      <c r="C372" s="29"/>
      <c r="D372" s="29"/>
      <c r="E372" s="29"/>
      <c r="F372" s="29"/>
      <c r="K372" s="29"/>
    </row>
    <row r="373" spans="1:11" ht="14.4" x14ac:dyDescent="0.3">
      <c r="A373" s="29"/>
      <c r="B373" s="29"/>
      <c r="C373" s="29"/>
      <c r="D373" s="29"/>
      <c r="E373" s="29"/>
      <c r="F373" s="29"/>
      <c r="K373" s="29"/>
    </row>
    <row r="374" spans="1:11" ht="14.4" x14ac:dyDescent="0.3">
      <c r="A374" s="29"/>
      <c r="B374" s="29"/>
      <c r="C374" s="29"/>
      <c r="D374" s="29"/>
      <c r="E374" s="29"/>
      <c r="F374" s="29"/>
      <c r="K374" s="29"/>
    </row>
    <row r="375" spans="1:11" ht="14.4" x14ac:dyDescent="0.3">
      <c r="A375" s="29"/>
      <c r="B375" s="29"/>
      <c r="C375" s="29"/>
      <c r="D375" s="29"/>
      <c r="E375" s="29"/>
      <c r="F375" s="29"/>
      <c r="K375" s="29"/>
    </row>
    <row r="376" spans="1:11" ht="14.4" x14ac:dyDescent="0.3">
      <c r="A376" s="29"/>
      <c r="B376" s="29"/>
      <c r="C376" s="29"/>
      <c r="D376" s="29"/>
      <c r="E376" s="29"/>
      <c r="F376" s="29"/>
      <c r="K376" s="29"/>
    </row>
    <row r="377" spans="1:11" ht="14.4" x14ac:dyDescent="0.3">
      <c r="A377" s="29"/>
      <c r="B377" s="29"/>
      <c r="C377" s="29"/>
      <c r="D377" s="29"/>
      <c r="E377" s="29"/>
      <c r="F377" s="29"/>
      <c r="K377" s="29"/>
    </row>
    <row r="378" spans="1:11" ht="14.4" x14ac:dyDescent="0.3">
      <c r="A378" s="29"/>
      <c r="B378" s="29"/>
      <c r="C378" s="29"/>
      <c r="D378" s="29"/>
      <c r="E378" s="29"/>
      <c r="F378" s="29"/>
      <c r="K378" s="29"/>
    </row>
    <row r="379" spans="1:11" ht="14.4" x14ac:dyDescent="0.3">
      <c r="A379" s="29"/>
      <c r="B379" s="29"/>
      <c r="C379" s="29"/>
      <c r="D379" s="29"/>
      <c r="E379" s="29"/>
      <c r="F379" s="29"/>
      <c r="K379" s="29"/>
    </row>
    <row r="380" spans="1:11" ht="14.4" x14ac:dyDescent="0.3">
      <c r="A380" s="29"/>
      <c r="B380" s="29"/>
      <c r="C380" s="29"/>
      <c r="D380" s="29"/>
      <c r="E380" s="29"/>
      <c r="F380" s="29"/>
      <c r="K380" s="29"/>
    </row>
    <row r="381" spans="1:11" ht="14.4" x14ac:dyDescent="0.3">
      <c r="A381" s="29"/>
      <c r="B381" s="29"/>
      <c r="C381" s="29"/>
      <c r="D381" s="29"/>
      <c r="E381" s="29"/>
      <c r="F381" s="29"/>
      <c r="K381" s="29"/>
    </row>
    <row r="382" spans="1:11" ht="14.4" x14ac:dyDescent="0.3">
      <c r="A382" s="29"/>
      <c r="B382" s="29"/>
      <c r="C382" s="29"/>
      <c r="D382" s="29"/>
      <c r="E382" s="29"/>
      <c r="F382" s="29"/>
      <c r="K382" s="29"/>
    </row>
    <row r="383" spans="1:11" ht="14.4" x14ac:dyDescent="0.3">
      <c r="A383" s="29"/>
      <c r="B383" s="29"/>
      <c r="C383" s="29"/>
      <c r="D383" s="29"/>
      <c r="E383" s="29"/>
      <c r="F383" s="29"/>
      <c r="K383" s="29"/>
    </row>
    <row r="384" spans="1:11" ht="14.4" x14ac:dyDescent="0.3">
      <c r="A384" s="29"/>
      <c r="B384" s="29"/>
      <c r="C384" s="29"/>
      <c r="D384" s="29"/>
      <c r="E384" s="29"/>
      <c r="F384" s="29"/>
      <c r="K384" s="29"/>
    </row>
    <row r="385" spans="1:11" ht="14.4" x14ac:dyDescent="0.3">
      <c r="A385" s="29"/>
      <c r="B385" s="29"/>
      <c r="C385" s="29"/>
      <c r="D385" s="29"/>
      <c r="E385" s="29"/>
      <c r="F385" s="29"/>
      <c r="K385" s="29"/>
    </row>
    <row r="386" spans="1:11" ht="14.4" x14ac:dyDescent="0.3">
      <c r="A386" s="29"/>
      <c r="B386" s="29"/>
      <c r="C386" s="29"/>
      <c r="D386" s="29"/>
      <c r="E386" s="29"/>
      <c r="F386" s="29"/>
      <c r="K386" s="29"/>
    </row>
    <row r="387" spans="1:11" ht="14.4" x14ac:dyDescent="0.3">
      <c r="A387" s="29"/>
      <c r="B387" s="29"/>
      <c r="C387" s="29"/>
      <c r="D387" s="29"/>
      <c r="E387" s="29"/>
      <c r="F387" s="29"/>
      <c r="K387" s="29"/>
    </row>
    <row r="388" spans="1:11" ht="14.4" x14ac:dyDescent="0.3">
      <c r="A388" s="29"/>
      <c r="B388" s="29"/>
      <c r="C388" s="29"/>
      <c r="D388" s="29"/>
      <c r="E388" s="29"/>
      <c r="F388" s="29"/>
      <c r="K388" s="29"/>
    </row>
    <row r="389" spans="1:11" ht="14.4" x14ac:dyDescent="0.3">
      <c r="A389" s="29"/>
      <c r="B389" s="29"/>
      <c r="C389" s="29"/>
      <c r="D389" s="29"/>
      <c r="E389" s="29"/>
      <c r="F389" s="29"/>
      <c r="K389" s="29"/>
    </row>
    <row r="390" spans="1:11" ht="14.4" x14ac:dyDescent="0.3">
      <c r="A390" s="29"/>
      <c r="B390" s="29"/>
      <c r="C390" s="29"/>
      <c r="D390" s="29"/>
      <c r="E390" s="29"/>
      <c r="F390" s="29"/>
      <c r="K390" s="29"/>
    </row>
    <row r="391" spans="1:11" ht="14.4" x14ac:dyDescent="0.3">
      <c r="A391" s="29"/>
      <c r="B391" s="29"/>
      <c r="C391" s="29"/>
      <c r="D391" s="29"/>
      <c r="E391" s="29"/>
      <c r="F391" s="29"/>
      <c r="K391" s="29"/>
    </row>
    <row r="392" spans="1:11" ht="14.4" x14ac:dyDescent="0.3">
      <c r="A392" s="29"/>
      <c r="B392" s="29"/>
      <c r="C392" s="29"/>
      <c r="D392" s="29"/>
      <c r="E392" s="29"/>
      <c r="F392" s="29"/>
      <c r="K392" s="29"/>
    </row>
    <row r="393" spans="1:11" ht="14.4" x14ac:dyDescent="0.3">
      <c r="A393" s="29"/>
      <c r="B393" s="29"/>
      <c r="C393" s="29"/>
      <c r="D393" s="29"/>
      <c r="E393" s="29"/>
      <c r="F393" s="29"/>
      <c r="K393" s="29"/>
    </row>
    <row r="394" spans="1:11" ht="14.4" x14ac:dyDescent="0.3">
      <c r="A394" s="29"/>
      <c r="B394" s="29"/>
      <c r="C394" s="29"/>
      <c r="D394" s="29"/>
      <c r="E394" s="29"/>
      <c r="F394" s="29"/>
      <c r="K394" s="29"/>
    </row>
    <row r="395" spans="1:11" ht="14.4" x14ac:dyDescent="0.3">
      <c r="A395" s="29"/>
      <c r="B395" s="29"/>
      <c r="C395" s="29"/>
      <c r="D395" s="29"/>
      <c r="E395" s="29"/>
      <c r="F395" s="29"/>
      <c r="K395" s="29"/>
    </row>
    <row r="396" spans="1:11" ht="14.4" x14ac:dyDescent="0.3">
      <c r="A396" s="29"/>
      <c r="B396" s="29"/>
      <c r="C396" s="29"/>
      <c r="D396" s="29"/>
      <c r="E396" s="29"/>
      <c r="F396" s="29"/>
      <c r="K396" s="29"/>
    </row>
    <row r="397" spans="1:11" ht="14.4" x14ac:dyDescent="0.3">
      <c r="A397" s="29"/>
      <c r="B397" s="29"/>
      <c r="C397" s="29"/>
      <c r="D397" s="29"/>
      <c r="E397" s="29"/>
      <c r="F397" s="29"/>
      <c r="K397" s="29"/>
    </row>
    <row r="398" spans="1:11" ht="14.4" x14ac:dyDescent="0.3">
      <c r="A398" s="29"/>
      <c r="B398" s="29"/>
      <c r="C398" s="29"/>
      <c r="D398" s="29"/>
      <c r="E398" s="29"/>
      <c r="F398" s="29"/>
      <c r="K398" s="29"/>
    </row>
    <row r="399" spans="1:11" ht="14.4" x14ac:dyDescent="0.3">
      <c r="A399" s="29"/>
      <c r="B399" s="29"/>
      <c r="C399" s="29"/>
      <c r="D399" s="29"/>
      <c r="E399" s="29"/>
      <c r="F399" s="29"/>
      <c r="K399" s="29"/>
    </row>
    <row r="400" spans="1:11" ht="14.4" x14ac:dyDescent="0.3">
      <c r="A400" s="29"/>
      <c r="B400" s="29"/>
      <c r="C400" s="29"/>
      <c r="D400" s="29"/>
      <c r="E400" s="29"/>
      <c r="F400" s="29"/>
      <c r="K400" s="29"/>
    </row>
    <row r="401" spans="1:11" ht="14.4" x14ac:dyDescent="0.3">
      <c r="A401" s="29"/>
      <c r="B401" s="29"/>
      <c r="C401" s="29"/>
      <c r="D401" s="29"/>
      <c r="E401" s="29"/>
      <c r="F401" s="29"/>
      <c r="K401" s="29"/>
    </row>
    <row r="402" spans="1:11" ht="14.4" x14ac:dyDescent="0.3">
      <c r="A402" s="29"/>
      <c r="B402" s="29"/>
      <c r="C402" s="29"/>
      <c r="D402" s="29"/>
      <c r="E402" s="29"/>
      <c r="F402" s="29"/>
      <c r="K402" s="29"/>
    </row>
    <row r="403" spans="1:11" ht="14.4" x14ac:dyDescent="0.3">
      <c r="A403" s="29"/>
      <c r="B403" s="29"/>
      <c r="C403" s="29"/>
      <c r="D403" s="29"/>
      <c r="E403" s="29"/>
      <c r="F403" s="29"/>
      <c r="K403" s="29"/>
    </row>
    <row r="404" spans="1:11" ht="14.4" x14ac:dyDescent="0.3">
      <c r="A404" s="29"/>
      <c r="B404" s="29"/>
      <c r="C404" s="29"/>
      <c r="D404" s="29"/>
      <c r="E404" s="29"/>
      <c r="F404" s="29"/>
      <c r="K404" s="29"/>
    </row>
    <row r="405" spans="1:11" ht="14.4" x14ac:dyDescent="0.3">
      <c r="A405" s="29"/>
      <c r="B405" s="29"/>
      <c r="C405" s="29"/>
      <c r="D405" s="29"/>
      <c r="E405" s="29"/>
      <c r="F405" s="29"/>
      <c r="K405" s="29"/>
    </row>
    <row r="406" spans="1:11" ht="14.4" x14ac:dyDescent="0.3">
      <c r="A406" s="29"/>
      <c r="B406" s="29"/>
      <c r="C406" s="29"/>
      <c r="D406" s="29"/>
      <c r="E406" s="29"/>
      <c r="F406" s="29"/>
      <c r="K406" s="29"/>
    </row>
    <row r="407" spans="1:11" ht="14.4" x14ac:dyDescent="0.3">
      <c r="A407" s="29"/>
      <c r="B407" s="29"/>
      <c r="C407" s="29"/>
      <c r="D407" s="29"/>
      <c r="E407" s="29"/>
      <c r="F407" s="29"/>
      <c r="K407" s="29"/>
    </row>
    <row r="408" spans="1:11" ht="14.4" x14ac:dyDescent="0.3">
      <c r="A408" s="29"/>
      <c r="B408" s="29"/>
      <c r="C408" s="29"/>
      <c r="D408" s="29"/>
      <c r="E408" s="29"/>
      <c r="F408" s="29"/>
      <c r="K408" s="29"/>
    </row>
    <row r="409" spans="1:11" ht="14.4" x14ac:dyDescent="0.3">
      <c r="A409" s="29"/>
      <c r="B409" s="29"/>
      <c r="C409" s="29"/>
      <c r="D409" s="29"/>
      <c r="E409" s="29"/>
      <c r="F409" s="29"/>
      <c r="K409" s="29"/>
    </row>
    <row r="410" spans="1:11" ht="14.4" x14ac:dyDescent="0.3">
      <c r="A410" s="29"/>
      <c r="B410" s="29"/>
      <c r="C410" s="29"/>
      <c r="D410" s="29"/>
      <c r="E410" s="29"/>
      <c r="F410" s="29"/>
      <c r="K410" s="29"/>
    </row>
    <row r="411" spans="1:11" ht="14.4" x14ac:dyDescent="0.3">
      <c r="A411" s="29"/>
      <c r="B411" s="29"/>
      <c r="C411" s="29"/>
      <c r="D411" s="29"/>
      <c r="E411" s="29"/>
      <c r="F411" s="29"/>
      <c r="K411" s="29"/>
    </row>
    <row r="412" spans="1:11" ht="14.4" x14ac:dyDescent="0.3">
      <c r="A412" s="29"/>
      <c r="B412" s="29"/>
      <c r="C412" s="29"/>
      <c r="D412" s="29"/>
      <c r="E412" s="29"/>
      <c r="F412" s="29"/>
      <c r="K412" s="29"/>
    </row>
    <row r="413" spans="1:11" ht="14.4" x14ac:dyDescent="0.3">
      <c r="A413" s="29"/>
      <c r="B413" s="29"/>
      <c r="C413" s="29"/>
      <c r="D413" s="29"/>
      <c r="E413" s="29"/>
      <c r="F413" s="29"/>
      <c r="K413" s="29"/>
    </row>
    <row r="414" spans="1:11" ht="14.4" x14ac:dyDescent="0.3">
      <c r="A414" s="29"/>
      <c r="B414" s="29"/>
      <c r="C414" s="29"/>
      <c r="D414" s="29"/>
      <c r="E414" s="29"/>
      <c r="F414" s="29"/>
      <c r="K414" s="29"/>
    </row>
    <row r="415" spans="1:11" ht="14.4" x14ac:dyDescent="0.3">
      <c r="A415" s="29"/>
      <c r="B415" s="29"/>
      <c r="C415" s="29"/>
      <c r="D415" s="29"/>
      <c r="E415" s="29"/>
      <c r="F415" s="29"/>
      <c r="K415" s="29"/>
    </row>
    <row r="416" spans="1:11" ht="14.4" x14ac:dyDescent="0.3">
      <c r="A416" s="29"/>
      <c r="B416" s="29"/>
      <c r="C416" s="29"/>
      <c r="D416" s="29"/>
      <c r="E416" s="29"/>
      <c r="F416" s="29"/>
      <c r="K416" s="29"/>
    </row>
    <row r="417" spans="1:11" ht="14.4" x14ac:dyDescent="0.3">
      <c r="A417" s="29"/>
      <c r="B417" s="29"/>
      <c r="C417" s="29"/>
      <c r="D417" s="29"/>
      <c r="E417" s="29"/>
      <c r="F417" s="29"/>
      <c r="K417" s="29"/>
    </row>
    <row r="418" spans="1:11" ht="14.4" x14ac:dyDescent="0.3">
      <c r="A418" s="29"/>
      <c r="B418" s="29"/>
      <c r="C418" s="29"/>
      <c r="D418" s="29"/>
      <c r="E418" s="29"/>
      <c r="F418" s="29"/>
      <c r="K418" s="29"/>
    </row>
    <row r="419" spans="1:11" ht="14.4" x14ac:dyDescent="0.3">
      <c r="A419" s="29"/>
      <c r="B419" s="29"/>
      <c r="C419" s="29"/>
      <c r="D419" s="29"/>
      <c r="E419" s="29"/>
      <c r="F419" s="29"/>
      <c r="K419" s="29"/>
    </row>
    <row r="420" spans="1:11" ht="14.4" x14ac:dyDescent="0.3">
      <c r="A420" s="29"/>
      <c r="B420" s="29"/>
      <c r="C420" s="29"/>
      <c r="D420" s="29"/>
      <c r="E420" s="29"/>
      <c r="F420" s="29"/>
      <c r="K420" s="29"/>
    </row>
    <row r="421" spans="1:11" ht="14.4" x14ac:dyDescent="0.3">
      <c r="A421" s="29"/>
      <c r="B421" s="29"/>
      <c r="C421" s="29"/>
      <c r="D421" s="29"/>
      <c r="E421" s="29"/>
      <c r="F421" s="29"/>
      <c r="K421" s="29"/>
    </row>
    <row r="422" spans="1:11" ht="14.4" x14ac:dyDescent="0.3">
      <c r="A422" s="29"/>
      <c r="B422" s="29"/>
      <c r="C422" s="29"/>
      <c r="D422" s="29"/>
      <c r="E422" s="29"/>
      <c r="F422" s="29"/>
      <c r="K422" s="29"/>
    </row>
    <row r="423" spans="1:11" ht="14.4" x14ac:dyDescent="0.3">
      <c r="A423" s="29"/>
      <c r="B423" s="29"/>
      <c r="C423" s="29"/>
      <c r="D423" s="29"/>
      <c r="E423" s="29"/>
      <c r="F423" s="29"/>
      <c r="K423" s="29"/>
    </row>
    <row r="424" spans="1:11" ht="14.4" x14ac:dyDescent="0.3">
      <c r="A424" s="29"/>
      <c r="B424" s="29"/>
      <c r="C424" s="29"/>
      <c r="D424" s="29"/>
      <c r="E424" s="29"/>
      <c r="F424" s="29"/>
      <c r="K424" s="29"/>
    </row>
    <row r="425" spans="1:11" ht="14.4" x14ac:dyDescent="0.3">
      <c r="A425" s="29"/>
      <c r="B425" s="29"/>
      <c r="C425" s="29"/>
      <c r="D425" s="29"/>
      <c r="E425" s="29"/>
      <c r="F425" s="29"/>
      <c r="K425" s="29"/>
    </row>
    <row r="426" spans="1:11" ht="14.4" x14ac:dyDescent="0.3">
      <c r="A426" s="29"/>
      <c r="B426" s="29"/>
      <c r="C426" s="29"/>
      <c r="D426" s="29"/>
      <c r="E426" s="29"/>
      <c r="F426" s="29"/>
      <c r="K426" s="29"/>
    </row>
    <row r="427" spans="1:11" ht="14.4" x14ac:dyDescent="0.3">
      <c r="A427" s="29"/>
      <c r="B427" s="29"/>
      <c r="C427" s="29"/>
      <c r="D427" s="29"/>
      <c r="E427" s="29"/>
      <c r="F427" s="29"/>
      <c r="K427" s="29"/>
    </row>
    <row r="428" spans="1:11" ht="14.4" x14ac:dyDescent="0.3">
      <c r="A428" s="29"/>
      <c r="B428" s="29"/>
      <c r="C428" s="29"/>
      <c r="D428" s="29"/>
      <c r="E428" s="29"/>
      <c r="F428" s="29"/>
      <c r="K428" s="29"/>
    </row>
    <row r="429" spans="1:11" ht="14.4" x14ac:dyDescent="0.3">
      <c r="A429" s="29"/>
      <c r="B429" s="29"/>
      <c r="C429" s="29"/>
      <c r="D429" s="29"/>
      <c r="E429" s="29"/>
      <c r="F429" s="29"/>
      <c r="K429" s="29"/>
    </row>
    <row r="430" spans="1:11" ht="14.4" x14ac:dyDescent="0.3">
      <c r="A430" s="29"/>
      <c r="B430" s="29"/>
      <c r="C430" s="29"/>
      <c r="D430" s="29"/>
      <c r="E430" s="29"/>
      <c r="F430" s="29"/>
      <c r="K430" s="29"/>
    </row>
    <row r="431" spans="1:11" ht="14.4" x14ac:dyDescent="0.3">
      <c r="A431" s="29"/>
      <c r="B431" s="29"/>
      <c r="C431" s="29"/>
      <c r="D431" s="29"/>
      <c r="E431" s="29"/>
      <c r="F431" s="29"/>
      <c r="K431" s="29"/>
    </row>
    <row r="432" spans="1:11" ht="14.4" x14ac:dyDescent="0.3">
      <c r="A432" s="29"/>
      <c r="B432" s="29"/>
      <c r="C432" s="29"/>
      <c r="D432" s="29"/>
      <c r="E432" s="29"/>
      <c r="F432" s="29"/>
      <c r="K432" s="29"/>
    </row>
    <row r="433" spans="1:11" ht="14.4" x14ac:dyDescent="0.3">
      <c r="A433" s="29"/>
      <c r="B433" s="29"/>
      <c r="C433" s="29"/>
      <c r="D433" s="29"/>
      <c r="E433" s="29"/>
      <c r="F433" s="29"/>
      <c r="K433" s="29"/>
    </row>
    <row r="434" spans="1:11" ht="14.4" x14ac:dyDescent="0.3">
      <c r="A434" s="29"/>
      <c r="B434" s="29"/>
      <c r="C434" s="29"/>
      <c r="D434" s="29"/>
      <c r="E434" s="29"/>
      <c r="F434" s="29"/>
      <c r="K434" s="29"/>
    </row>
    <row r="435" spans="1:11" ht="14.4" x14ac:dyDescent="0.3">
      <c r="A435" s="29"/>
      <c r="B435" s="29"/>
      <c r="C435" s="29"/>
      <c r="D435" s="29"/>
      <c r="E435" s="29"/>
      <c r="F435" s="29"/>
      <c r="K435" s="29"/>
    </row>
    <row r="436" spans="1:11" ht="14.4" x14ac:dyDescent="0.3">
      <c r="A436" s="29"/>
      <c r="B436" s="29"/>
      <c r="C436" s="29"/>
      <c r="D436" s="29"/>
      <c r="E436" s="29"/>
      <c r="F436" s="29"/>
      <c r="K436" s="29"/>
    </row>
    <row r="437" spans="1:11" ht="14.4" x14ac:dyDescent="0.3">
      <c r="A437" s="29"/>
      <c r="B437" s="29"/>
      <c r="C437" s="29"/>
      <c r="D437" s="29"/>
      <c r="E437" s="29"/>
      <c r="F437" s="29"/>
      <c r="K437" s="29"/>
    </row>
    <row r="438" spans="1:11" ht="14.4" x14ac:dyDescent="0.3">
      <c r="A438" s="29"/>
      <c r="B438" s="29"/>
      <c r="C438" s="29"/>
      <c r="D438" s="29"/>
      <c r="E438" s="29"/>
      <c r="F438" s="29"/>
      <c r="K438" s="29"/>
    </row>
    <row r="439" spans="1:11" ht="14.4" x14ac:dyDescent="0.3">
      <c r="A439" s="29"/>
      <c r="B439" s="29"/>
      <c r="C439" s="29"/>
      <c r="D439" s="29"/>
      <c r="E439" s="29"/>
      <c r="F439" s="29"/>
      <c r="K439" s="29"/>
    </row>
    <row r="440" spans="1:11" ht="14.4" x14ac:dyDescent="0.3">
      <c r="A440" s="29"/>
      <c r="B440" s="29"/>
      <c r="C440" s="29"/>
      <c r="D440" s="29"/>
      <c r="E440" s="29"/>
      <c r="F440" s="29"/>
      <c r="K440" s="29"/>
    </row>
    <row r="441" spans="1:11" ht="14.4" x14ac:dyDescent="0.3">
      <c r="A441" s="29"/>
      <c r="B441" s="29"/>
      <c r="C441" s="29"/>
      <c r="D441" s="29"/>
      <c r="E441" s="29"/>
      <c r="F441" s="29"/>
      <c r="K441" s="29"/>
    </row>
    <row r="442" spans="1:11" ht="14.4" x14ac:dyDescent="0.3">
      <c r="A442" s="29"/>
      <c r="B442" s="29"/>
      <c r="C442" s="29"/>
      <c r="D442" s="29"/>
      <c r="E442" s="29"/>
      <c r="F442" s="29"/>
      <c r="K442" s="29"/>
    </row>
    <row r="443" spans="1:11" ht="14.4" x14ac:dyDescent="0.3">
      <c r="A443" s="29"/>
      <c r="B443" s="29"/>
      <c r="C443" s="29"/>
      <c r="D443" s="29"/>
      <c r="E443" s="29"/>
      <c r="F443" s="29"/>
      <c r="K443" s="29"/>
    </row>
    <row r="444" spans="1:11" ht="14.4" x14ac:dyDescent="0.3">
      <c r="A444" s="29"/>
      <c r="B444" s="29"/>
      <c r="C444" s="29"/>
      <c r="D444" s="29"/>
      <c r="E444" s="29"/>
      <c r="F444" s="29"/>
      <c r="K444" s="29"/>
    </row>
    <row r="445" spans="1:11" ht="14.4" x14ac:dyDescent="0.3">
      <c r="A445" s="29"/>
      <c r="B445" s="29"/>
      <c r="C445" s="29"/>
      <c r="D445" s="29"/>
      <c r="E445" s="29"/>
      <c r="F445" s="29"/>
      <c r="K445" s="29"/>
    </row>
    <row r="446" spans="1:11" ht="14.4" x14ac:dyDescent="0.3">
      <c r="A446" s="29"/>
      <c r="B446" s="29"/>
      <c r="C446" s="29"/>
      <c r="D446" s="29"/>
      <c r="E446" s="29"/>
      <c r="F446" s="29"/>
      <c r="K446" s="29"/>
    </row>
    <row r="447" spans="1:11" ht="14.4" x14ac:dyDescent="0.3">
      <c r="A447" s="29"/>
      <c r="B447" s="29"/>
      <c r="C447" s="29"/>
      <c r="D447" s="29"/>
      <c r="E447" s="29"/>
      <c r="F447" s="29"/>
      <c r="K447" s="29"/>
    </row>
    <row r="448" spans="1:11" ht="14.4" x14ac:dyDescent="0.3">
      <c r="A448" s="29"/>
      <c r="B448" s="29"/>
      <c r="C448" s="29"/>
      <c r="D448" s="29"/>
      <c r="E448" s="29"/>
      <c r="F448" s="29"/>
      <c r="K448" s="29"/>
    </row>
    <row r="449" spans="1:11" ht="14.4" x14ac:dyDescent="0.3">
      <c r="A449" s="29"/>
      <c r="B449" s="29"/>
      <c r="C449" s="29"/>
      <c r="D449" s="29"/>
      <c r="E449" s="29"/>
      <c r="F449" s="29"/>
      <c r="K449" s="29"/>
    </row>
    <row r="450" spans="1:11" ht="14.4" x14ac:dyDescent="0.3">
      <c r="A450" s="29"/>
      <c r="B450" s="29"/>
      <c r="C450" s="29"/>
      <c r="D450" s="29"/>
      <c r="E450" s="29"/>
      <c r="F450" s="29"/>
      <c r="K450" s="29"/>
    </row>
    <row r="451" spans="1:11" ht="14.4" x14ac:dyDescent="0.3">
      <c r="A451" s="29"/>
      <c r="B451" s="29"/>
      <c r="C451" s="29"/>
      <c r="D451" s="29"/>
      <c r="E451" s="29"/>
      <c r="F451" s="29"/>
      <c r="K451" s="29"/>
    </row>
    <row r="452" spans="1:11" ht="14.4" x14ac:dyDescent="0.3">
      <c r="A452" s="29"/>
      <c r="B452" s="29"/>
      <c r="C452" s="29"/>
      <c r="D452" s="29"/>
      <c r="E452" s="29"/>
      <c r="F452" s="29"/>
      <c r="K452" s="29"/>
    </row>
    <row r="453" spans="1:11" ht="14.4" x14ac:dyDescent="0.3">
      <c r="A453" s="29"/>
      <c r="B453" s="29"/>
      <c r="C453" s="29"/>
      <c r="D453" s="29"/>
      <c r="E453" s="29"/>
      <c r="F453" s="29"/>
      <c r="K453" s="29"/>
    </row>
    <row r="454" spans="1:11" ht="14.4" x14ac:dyDescent="0.3">
      <c r="A454" s="29"/>
      <c r="B454" s="29"/>
      <c r="C454" s="29"/>
      <c r="D454" s="29"/>
      <c r="E454" s="29"/>
      <c r="F454" s="29"/>
      <c r="K454" s="29"/>
    </row>
    <row r="455" spans="1:11" ht="14.4" x14ac:dyDescent="0.3">
      <c r="A455" s="29"/>
      <c r="B455" s="29"/>
      <c r="C455" s="29"/>
      <c r="D455" s="29"/>
      <c r="E455" s="29"/>
      <c r="F455" s="29"/>
      <c r="K455" s="29"/>
    </row>
    <row r="456" spans="1:11" ht="14.4" x14ac:dyDescent="0.3">
      <c r="A456" s="29"/>
      <c r="B456" s="29"/>
      <c r="C456" s="29"/>
      <c r="D456" s="29"/>
      <c r="E456" s="29"/>
      <c r="F456" s="29"/>
      <c r="K456" s="29"/>
    </row>
    <row r="457" spans="1:11" ht="14.4" x14ac:dyDescent="0.3">
      <c r="A457" s="29"/>
      <c r="B457" s="29"/>
      <c r="C457" s="29"/>
      <c r="D457" s="29"/>
      <c r="E457" s="29"/>
      <c r="F457" s="29"/>
      <c r="K457" s="29"/>
    </row>
    <row r="458" spans="1:11" ht="14.4" x14ac:dyDescent="0.3">
      <c r="A458" s="29"/>
      <c r="B458" s="29"/>
      <c r="C458" s="29"/>
      <c r="D458" s="29"/>
      <c r="E458" s="29"/>
      <c r="F458" s="29"/>
      <c r="K458" s="29"/>
    </row>
    <row r="459" spans="1:11" ht="14.4" x14ac:dyDescent="0.3">
      <c r="A459" s="29"/>
      <c r="B459" s="29"/>
      <c r="C459" s="29"/>
      <c r="D459" s="29"/>
      <c r="E459" s="29"/>
      <c r="F459" s="29"/>
      <c r="K459" s="29"/>
    </row>
    <row r="460" spans="1:11" ht="14.4" x14ac:dyDescent="0.3">
      <c r="A460" s="29"/>
      <c r="B460" s="29"/>
      <c r="C460" s="29"/>
      <c r="D460" s="29"/>
      <c r="E460" s="29"/>
      <c r="F460" s="29"/>
      <c r="K460" s="29"/>
    </row>
    <row r="461" spans="1:11" ht="14.4" x14ac:dyDescent="0.3">
      <c r="A461" s="29"/>
      <c r="B461" s="29"/>
      <c r="C461" s="29"/>
      <c r="D461" s="29"/>
      <c r="E461" s="29"/>
      <c r="F461" s="29"/>
      <c r="K461" s="29"/>
    </row>
    <row r="462" spans="1:11" ht="14.4" x14ac:dyDescent="0.3">
      <c r="A462" s="29"/>
      <c r="B462" s="29"/>
      <c r="C462" s="29"/>
      <c r="D462" s="29"/>
      <c r="E462" s="29"/>
      <c r="F462" s="29"/>
      <c r="K462" s="29"/>
    </row>
    <row r="463" spans="1:11" ht="14.4" x14ac:dyDescent="0.3">
      <c r="A463" s="29"/>
      <c r="B463" s="29"/>
      <c r="C463" s="29"/>
      <c r="D463" s="29"/>
      <c r="E463" s="29"/>
      <c r="F463" s="29"/>
      <c r="K463" s="29"/>
    </row>
    <row r="464" spans="1:11" ht="14.4" x14ac:dyDescent="0.3">
      <c r="A464" s="29"/>
      <c r="B464" s="29"/>
      <c r="C464" s="29"/>
      <c r="D464" s="29"/>
      <c r="E464" s="29"/>
      <c r="F464" s="29"/>
      <c r="K464" s="29"/>
    </row>
    <row r="465" spans="1:11" ht="14.4" x14ac:dyDescent="0.3">
      <c r="A465" s="29"/>
      <c r="B465" s="29"/>
      <c r="C465" s="29"/>
      <c r="D465" s="29"/>
      <c r="E465" s="29"/>
      <c r="F465" s="29"/>
      <c r="K465" s="29"/>
    </row>
    <row r="466" spans="1:11" ht="14.4" x14ac:dyDescent="0.3">
      <c r="A466" s="29"/>
      <c r="B466" s="29"/>
      <c r="C466" s="29"/>
      <c r="D466" s="29"/>
      <c r="E466" s="29"/>
      <c r="F466" s="29"/>
      <c r="K466" s="29"/>
    </row>
    <row r="467" spans="1:11" ht="14.4" x14ac:dyDescent="0.3">
      <c r="A467" s="29"/>
      <c r="B467" s="29"/>
      <c r="C467" s="29"/>
      <c r="D467" s="29"/>
      <c r="E467" s="29"/>
      <c r="F467" s="29"/>
      <c r="K467" s="29"/>
    </row>
    <row r="468" spans="1:11" ht="14.4" x14ac:dyDescent="0.3">
      <c r="A468" s="29"/>
      <c r="B468" s="29"/>
      <c r="C468" s="29"/>
      <c r="D468" s="29"/>
      <c r="E468" s="29"/>
      <c r="F468" s="29"/>
      <c r="K468" s="29"/>
    </row>
    <row r="469" spans="1:11" ht="14.4" x14ac:dyDescent="0.3">
      <c r="A469" s="29"/>
      <c r="B469" s="29"/>
      <c r="C469" s="29"/>
      <c r="D469" s="29"/>
      <c r="E469" s="29"/>
      <c r="F469" s="29"/>
      <c r="K469" s="29"/>
    </row>
    <row r="470" spans="1:11" ht="14.4" x14ac:dyDescent="0.3">
      <c r="A470" s="29"/>
      <c r="B470" s="29"/>
      <c r="C470" s="29"/>
      <c r="D470" s="29"/>
      <c r="E470" s="29"/>
      <c r="F470" s="29"/>
      <c r="K470" s="29"/>
    </row>
    <row r="471" spans="1:11" ht="14.4" x14ac:dyDescent="0.3">
      <c r="A471" s="29"/>
      <c r="B471" s="29"/>
      <c r="C471" s="29"/>
      <c r="D471" s="29"/>
      <c r="E471" s="29"/>
      <c r="F471" s="29"/>
      <c r="K471" s="29"/>
    </row>
    <row r="472" spans="1:11" ht="14.4" x14ac:dyDescent="0.3">
      <c r="A472" s="29"/>
      <c r="B472" s="29"/>
      <c r="C472" s="29"/>
      <c r="D472" s="29"/>
      <c r="E472" s="29"/>
      <c r="F472" s="29"/>
      <c r="K472" s="29"/>
    </row>
    <row r="473" spans="1:11" ht="14.4" x14ac:dyDescent="0.3">
      <c r="A473" s="29"/>
      <c r="B473" s="29"/>
      <c r="C473" s="29"/>
      <c r="D473" s="29"/>
      <c r="E473" s="29"/>
      <c r="F473" s="29"/>
      <c r="K473" s="29"/>
    </row>
    <row r="474" spans="1:11" ht="14.4" x14ac:dyDescent="0.3">
      <c r="A474" s="29"/>
      <c r="B474" s="29"/>
      <c r="C474" s="29"/>
      <c r="D474" s="29"/>
      <c r="E474" s="29"/>
      <c r="F474" s="29"/>
      <c r="K474" s="29"/>
    </row>
    <row r="475" spans="1:11" ht="14.4" x14ac:dyDescent="0.3">
      <c r="A475" s="29"/>
      <c r="B475" s="29"/>
      <c r="C475" s="29"/>
      <c r="D475" s="29"/>
      <c r="E475" s="29"/>
      <c r="F475" s="29"/>
      <c r="K475" s="29"/>
    </row>
    <row r="476" spans="1:11" ht="14.4" x14ac:dyDescent="0.3">
      <c r="A476" s="29"/>
      <c r="B476" s="29"/>
      <c r="C476" s="29"/>
      <c r="D476" s="29"/>
      <c r="E476" s="29"/>
      <c r="F476" s="29"/>
      <c r="K476" s="29"/>
    </row>
    <row r="477" spans="1:11" ht="14.4" x14ac:dyDescent="0.3">
      <c r="A477" s="29"/>
      <c r="B477" s="29"/>
      <c r="C477" s="29"/>
      <c r="D477" s="29"/>
      <c r="E477" s="29"/>
      <c r="F477" s="29"/>
      <c r="K477" s="29"/>
    </row>
    <row r="478" spans="1:11" ht="14.4" x14ac:dyDescent="0.3">
      <c r="A478" s="29"/>
      <c r="B478" s="29"/>
      <c r="C478" s="29"/>
      <c r="D478" s="29"/>
      <c r="E478" s="29"/>
      <c r="F478" s="29"/>
      <c r="K478" s="29"/>
    </row>
    <row r="479" spans="1:11" ht="14.4" x14ac:dyDescent="0.3">
      <c r="A479" s="29"/>
      <c r="B479" s="29"/>
      <c r="C479" s="29"/>
      <c r="D479" s="29"/>
      <c r="E479" s="29"/>
      <c r="F479" s="29"/>
      <c r="K479" s="29"/>
    </row>
    <row r="480" spans="1:11" ht="14.4" x14ac:dyDescent="0.3">
      <c r="A480" s="29"/>
      <c r="B480" s="29"/>
      <c r="C480" s="29"/>
      <c r="D480" s="29"/>
      <c r="E480" s="29"/>
      <c r="F480" s="29"/>
      <c r="K480" s="29"/>
    </row>
    <row r="481" spans="1:11" ht="14.4" x14ac:dyDescent="0.3">
      <c r="A481" s="29"/>
      <c r="B481" s="29"/>
      <c r="C481" s="29"/>
      <c r="D481" s="29"/>
      <c r="E481" s="29"/>
      <c r="F481" s="29"/>
      <c r="K481" s="29"/>
    </row>
    <row r="482" spans="1:11" ht="14.4" x14ac:dyDescent="0.3">
      <c r="A482" s="29"/>
      <c r="B482" s="29"/>
      <c r="C482" s="29"/>
      <c r="D482" s="29"/>
      <c r="E482" s="29"/>
      <c r="F482" s="29"/>
      <c r="K482" s="29"/>
    </row>
    <row r="483" spans="1:11" ht="14.4" x14ac:dyDescent="0.3">
      <c r="A483" s="29"/>
      <c r="B483" s="29"/>
      <c r="C483" s="29"/>
      <c r="D483" s="29"/>
      <c r="E483" s="29"/>
      <c r="F483" s="29"/>
      <c r="K483" s="29"/>
    </row>
    <row r="484" spans="1:11" ht="14.4" x14ac:dyDescent="0.3">
      <c r="A484" s="29"/>
      <c r="B484" s="29"/>
      <c r="C484" s="29"/>
      <c r="D484" s="29"/>
      <c r="E484" s="29"/>
      <c r="F484" s="29"/>
      <c r="K484" s="29"/>
    </row>
    <row r="485" spans="1:11" ht="14.4" x14ac:dyDescent="0.3">
      <c r="A485" s="29"/>
      <c r="B485" s="29"/>
      <c r="C485" s="29"/>
      <c r="D485" s="29"/>
      <c r="E485" s="29"/>
      <c r="F485" s="29"/>
      <c r="K485" s="29"/>
    </row>
    <row r="486" spans="1:11" ht="14.4" x14ac:dyDescent="0.3">
      <c r="A486" s="29"/>
      <c r="B486" s="29"/>
      <c r="C486" s="29"/>
      <c r="D486" s="29"/>
      <c r="E486" s="29"/>
      <c r="F486" s="29"/>
      <c r="K486" s="29"/>
    </row>
    <row r="487" spans="1:11" ht="14.4" x14ac:dyDescent="0.3">
      <c r="A487" s="29"/>
      <c r="B487" s="29"/>
      <c r="C487" s="29"/>
      <c r="D487" s="29"/>
      <c r="E487" s="29"/>
      <c r="F487" s="29"/>
      <c r="K487" s="29"/>
    </row>
    <row r="488" spans="1:11" ht="14.4" x14ac:dyDescent="0.3">
      <c r="A488" s="29"/>
      <c r="B488" s="29"/>
      <c r="C488" s="29"/>
      <c r="D488" s="29"/>
      <c r="E488" s="29"/>
      <c r="F488" s="29"/>
      <c r="K488" s="29"/>
    </row>
    <row r="489" spans="1:11" ht="14.4" x14ac:dyDescent="0.3">
      <c r="A489" s="29"/>
      <c r="B489" s="29"/>
      <c r="C489" s="29"/>
      <c r="D489" s="29"/>
      <c r="E489" s="29"/>
      <c r="F489" s="29"/>
      <c r="K489" s="29"/>
    </row>
    <row r="490" spans="1:11" ht="14.4" x14ac:dyDescent="0.3">
      <c r="A490" s="29"/>
      <c r="B490" s="29"/>
      <c r="C490" s="29"/>
      <c r="D490" s="29"/>
      <c r="E490" s="29"/>
      <c r="F490" s="29"/>
      <c r="K490" s="29"/>
    </row>
    <row r="491" spans="1:11" ht="14.4" x14ac:dyDescent="0.3">
      <c r="A491" s="29"/>
      <c r="B491" s="29"/>
      <c r="C491" s="29"/>
      <c r="D491" s="29"/>
      <c r="E491" s="29"/>
      <c r="F491" s="29"/>
      <c r="K491" s="29"/>
    </row>
    <row r="492" spans="1:11" ht="14.4" x14ac:dyDescent="0.3">
      <c r="A492" s="29"/>
      <c r="B492" s="29"/>
      <c r="C492" s="29"/>
      <c r="D492" s="29"/>
      <c r="E492" s="29"/>
      <c r="F492" s="29"/>
      <c r="K492" s="29"/>
    </row>
    <row r="493" spans="1:11" ht="14.4" x14ac:dyDescent="0.3">
      <c r="A493" s="29"/>
      <c r="B493" s="29"/>
      <c r="C493" s="29"/>
      <c r="D493" s="29"/>
      <c r="E493" s="29"/>
      <c r="F493" s="29"/>
      <c r="K493" s="29"/>
    </row>
    <row r="494" spans="1:11" ht="14.4" x14ac:dyDescent="0.3">
      <c r="A494" s="29"/>
      <c r="B494" s="29"/>
      <c r="C494" s="29"/>
      <c r="D494" s="29"/>
      <c r="E494" s="29"/>
      <c r="F494" s="29"/>
      <c r="K494" s="29"/>
    </row>
    <row r="495" spans="1:11" ht="14.4" x14ac:dyDescent="0.3">
      <c r="A495" s="29"/>
      <c r="B495" s="29"/>
      <c r="C495" s="29"/>
      <c r="D495" s="29"/>
      <c r="E495" s="29"/>
      <c r="F495" s="29"/>
      <c r="K495" s="29"/>
    </row>
    <row r="496" spans="1:11" ht="14.4" x14ac:dyDescent="0.3">
      <c r="A496" s="29"/>
      <c r="B496" s="29"/>
      <c r="C496" s="29"/>
      <c r="D496" s="29"/>
      <c r="E496" s="29"/>
      <c r="F496" s="29"/>
      <c r="K496" s="29"/>
    </row>
    <row r="497" spans="1:11" ht="14.4" x14ac:dyDescent="0.3">
      <c r="A497" s="29"/>
      <c r="B497" s="29"/>
      <c r="C497" s="29"/>
      <c r="D497" s="29"/>
      <c r="E497" s="29"/>
      <c r="F497" s="29"/>
      <c r="K497" s="29"/>
    </row>
    <row r="498" spans="1:11" ht="14.4" x14ac:dyDescent="0.3">
      <c r="A498" s="29"/>
      <c r="B498" s="29"/>
      <c r="C498" s="29"/>
      <c r="D498" s="29"/>
      <c r="E498" s="29"/>
      <c r="F498" s="29"/>
      <c r="K498" s="29"/>
    </row>
    <row r="499" spans="1:11" ht="14.4" x14ac:dyDescent="0.3">
      <c r="A499" s="29"/>
      <c r="B499" s="29"/>
      <c r="C499" s="29"/>
      <c r="D499" s="29"/>
      <c r="E499" s="29"/>
      <c r="F499" s="29"/>
      <c r="K499" s="29"/>
    </row>
    <row r="500" spans="1:11" ht="14.4" x14ac:dyDescent="0.3">
      <c r="A500" s="29"/>
      <c r="B500" s="29"/>
      <c r="C500" s="29"/>
      <c r="D500" s="29"/>
      <c r="E500" s="29"/>
      <c r="F500" s="29"/>
      <c r="K500" s="29"/>
    </row>
    <row r="501" spans="1:11" ht="14.4" x14ac:dyDescent="0.3">
      <c r="A501" s="29"/>
      <c r="B501" s="29"/>
      <c r="C501" s="29"/>
      <c r="D501" s="29"/>
      <c r="E501" s="29"/>
      <c r="F501" s="29"/>
      <c r="K501" s="29"/>
    </row>
    <row r="502" spans="1:11" ht="14.4" x14ac:dyDescent="0.3">
      <c r="A502" s="29"/>
      <c r="B502" s="29"/>
      <c r="C502" s="29"/>
      <c r="D502" s="29"/>
      <c r="E502" s="29"/>
      <c r="F502" s="29"/>
      <c r="K502" s="29"/>
    </row>
    <row r="503" spans="1:11" ht="14.4" x14ac:dyDescent="0.3">
      <c r="A503" s="29"/>
      <c r="B503" s="29"/>
      <c r="C503" s="29"/>
      <c r="D503" s="29"/>
      <c r="E503" s="29"/>
      <c r="F503" s="29"/>
      <c r="K503" s="29"/>
    </row>
    <row r="504" spans="1:11" ht="14.4" x14ac:dyDescent="0.3">
      <c r="A504" s="29"/>
      <c r="B504" s="29"/>
      <c r="C504" s="29"/>
      <c r="D504" s="29"/>
      <c r="E504" s="29"/>
      <c r="F504" s="29"/>
      <c r="K504" s="29"/>
    </row>
    <row r="505" spans="1:11" ht="14.4" x14ac:dyDescent="0.3">
      <c r="A505" s="29"/>
      <c r="B505" s="29"/>
      <c r="C505" s="29"/>
      <c r="D505" s="29"/>
      <c r="E505" s="29"/>
      <c r="F505" s="29"/>
      <c r="K505" s="29"/>
    </row>
    <row r="506" spans="1:11" ht="14.4" x14ac:dyDescent="0.3">
      <c r="A506" s="29"/>
      <c r="B506" s="29"/>
      <c r="C506" s="29"/>
      <c r="D506" s="29"/>
      <c r="E506" s="29"/>
      <c r="F506" s="29"/>
      <c r="K506" s="29"/>
    </row>
    <row r="507" spans="1:11" ht="14.4" x14ac:dyDescent="0.3">
      <c r="A507" s="29"/>
      <c r="B507" s="29"/>
      <c r="C507" s="29"/>
      <c r="D507" s="29"/>
      <c r="E507" s="29"/>
      <c r="F507" s="29"/>
      <c r="K507" s="29"/>
    </row>
    <row r="508" spans="1:11" ht="14.4" x14ac:dyDescent="0.3">
      <c r="A508" s="29"/>
      <c r="B508" s="29"/>
      <c r="C508" s="29"/>
      <c r="D508" s="29"/>
      <c r="E508" s="29"/>
      <c r="F508" s="29"/>
      <c r="K508" s="29"/>
    </row>
    <row r="509" spans="1:11" ht="14.4" x14ac:dyDescent="0.3">
      <c r="A509" s="29"/>
      <c r="B509" s="29"/>
      <c r="C509" s="29"/>
      <c r="D509" s="29"/>
      <c r="E509" s="29"/>
      <c r="F509" s="29"/>
      <c r="K509" s="29"/>
    </row>
    <row r="510" spans="1:11" ht="14.4" x14ac:dyDescent="0.3">
      <c r="A510" s="29"/>
      <c r="B510" s="29"/>
      <c r="C510" s="29"/>
      <c r="D510" s="29"/>
      <c r="E510" s="29"/>
      <c r="F510" s="29"/>
      <c r="K510" s="29"/>
    </row>
    <row r="511" spans="1:11" ht="14.4" x14ac:dyDescent="0.3">
      <c r="A511" s="29"/>
      <c r="B511" s="29"/>
      <c r="C511" s="29"/>
      <c r="D511" s="29"/>
      <c r="E511" s="29"/>
      <c r="F511" s="29"/>
      <c r="K511" s="29"/>
    </row>
    <row r="512" spans="1:11" ht="14.4" x14ac:dyDescent="0.3">
      <c r="A512" s="29"/>
      <c r="B512" s="29"/>
      <c r="C512" s="29"/>
      <c r="D512" s="29"/>
      <c r="E512" s="29"/>
      <c r="F512" s="29"/>
      <c r="K512" s="29"/>
    </row>
    <row r="513" spans="1:11" ht="14.4" x14ac:dyDescent="0.3">
      <c r="A513" s="29"/>
      <c r="B513" s="29"/>
      <c r="C513" s="29"/>
      <c r="D513" s="29"/>
      <c r="E513" s="29"/>
      <c r="F513" s="29"/>
      <c r="K513" s="29"/>
    </row>
    <row r="514" spans="1:11" ht="14.4" x14ac:dyDescent="0.3">
      <c r="A514" s="29"/>
      <c r="B514" s="29"/>
      <c r="C514" s="29"/>
      <c r="D514" s="29"/>
      <c r="E514" s="29"/>
      <c r="F514" s="29"/>
      <c r="K514" s="29"/>
    </row>
    <row r="515" spans="1:11" ht="14.4" x14ac:dyDescent="0.3">
      <c r="A515" s="29"/>
      <c r="B515" s="29"/>
      <c r="C515" s="29"/>
      <c r="D515" s="29"/>
      <c r="E515" s="29"/>
      <c r="F515" s="29"/>
      <c r="K515" s="29"/>
    </row>
    <row r="516" spans="1:11" ht="14.4" x14ac:dyDescent="0.3">
      <c r="A516" s="29"/>
      <c r="B516" s="29"/>
      <c r="C516" s="29"/>
      <c r="D516" s="29"/>
      <c r="E516" s="29"/>
      <c r="F516" s="29"/>
      <c r="K516" s="29"/>
    </row>
    <row r="517" spans="1:11" ht="14.4" x14ac:dyDescent="0.3">
      <c r="A517" s="29"/>
      <c r="B517" s="29"/>
      <c r="C517" s="29"/>
      <c r="D517" s="29"/>
      <c r="E517" s="29"/>
      <c r="F517" s="29"/>
      <c r="K517" s="29"/>
    </row>
    <row r="518" spans="1:11" ht="14.4" x14ac:dyDescent="0.3">
      <c r="A518" s="29"/>
      <c r="B518" s="29"/>
      <c r="C518" s="29"/>
      <c r="D518" s="29"/>
      <c r="E518" s="29"/>
      <c r="F518" s="29"/>
      <c r="K518" s="29"/>
    </row>
    <row r="519" spans="1:11" ht="14.4" x14ac:dyDescent="0.3">
      <c r="A519" s="29"/>
      <c r="B519" s="29"/>
      <c r="C519" s="29"/>
      <c r="D519" s="29"/>
      <c r="E519" s="29"/>
      <c r="F519" s="29"/>
      <c r="K519" s="29"/>
    </row>
    <row r="520" spans="1:11" ht="14.4" x14ac:dyDescent="0.3">
      <c r="A520" s="29"/>
      <c r="B520" s="29"/>
      <c r="C520" s="29"/>
      <c r="D520" s="29"/>
      <c r="E520" s="29"/>
      <c r="F520" s="29"/>
      <c r="K520" s="29"/>
    </row>
    <row r="521" spans="1:11" ht="14.4" x14ac:dyDescent="0.3">
      <c r="A521" s="29"/>
      <c r="B521" s="29"/>
      <c r="C521" s="29"/>
      <c r="D521" s="29"/>
      <c r="E521" s="29"/>
      <c r="F521" s="29"/>
      <c r="K521" s="29"/>
    </row>
    <row r="522" spans="1:11" ht="14.4" x14ac:dyDescent="0.3">
      <c r="A522" s="29"/>
      <c r="B522" s="29"/>
      <c r="C522" s="29"/>
      <c r="D522" s="29"/>
      <c r="E522" s="29"/>
      <c r="F522" s="29"/>
      <c r="K522" s="29"/>
    </row>
    <row r="523" spans="1:11" ht="14.4" x14ac:dyDescent="0.3">
      <c r="A523" s="29"/>
      <c r="B523" s="29"/>
      <c r="C523" s="29"/>
      <c r="D523" s="29"/>
      <c r="E523" s="29"/>
      <c r="F523" s="29"/>
      <c r="K523" s="29"/>
    </row>
    <row r="524" spans="1:11" ht="14.4" x14ac:dyDescent="0.3">
      <c r="A524" s="29"/>
      <c r="B524" s="29"/>
      <c r="C524" s="29"/>
      <c r="D524" s="29"/>
      <c r="E524" s="29"/>
      <c r="F524" s="29"/>
      <c r="K524" s="29"/>
    </row>
    <row r="525" spans="1:11" ht="14.4" x14ac:dyDescent="0.3">
      <c r="A525" s="29"/>
      <c r="B525" s="29"/>
      <c r="C525" s="29"/>
      <c r="D525" s="29"/>
      <c r="E525" s="29"/>
      <c r="F525" s="29"/>
      <c r="K525" s="29"/>
    </row>
    <row r="526" spans="1:11" ht="14.4" x14ac:dyDescent="0.3">
      <c r="A526" s="29"/>
      <c r="B526" s="29"/>
      <c r="C526" s="29"/>
      <c r="D526" s="29"/>
      <c r="E526" s="29"/>
      <c r="F526" s="29"/>
      <c r="K526" s="29"/>
    </row>
    <row r="527" spans="1:11" ht="14.4" x14ac:dyDescent="0.3">
      <c r="A527" s="29"/>
      <c r="B527" s="29"/>
      <c r="C527" s="29"/>
      <c r="D527" s="29"/>
      <c r="E527" s="29"/>
      <c r="F527" s="29"/>
      <c r="K527" s="29"/>
    </row>
    <row r="528" spans="1:11" ht="14.4" x14ac:dyDescent="0.3">
      <c r="A528" s="29"/>
      <c r="B528" s="29"/>
      <c r="C528" s="29"/>
      <c r="D528" s="29"/>
      <c r="E528" s="29"/>
      <c r="F528" s="29"/>
      <c r="K528" s="29"/>
    </row>
    <row r="529" spans="1:11" ht="14.4" x14ac:dyDescent="0.3">
      <c r="A529" s="29"/>
      <c r="B529" s="29"/>
      <c r="C529" s="29"/>
      <c r="D529" s="29"/>
      <c r="E529" s="29"/>
      <c r="F529" s="29"/>
      <c r="K529" s="29"/>
    </row>
    <row r="530" spans="1:11" ht="14.4" x14ac:dyDescent="0.3">
      <c r="A530" s="29"/>
      <c r="B530" s="29"/>
      <c r="C530" s="29"/>
      <c r="D530" s="29"/>
      <c r="E530" s="29"/>
      <c r="F530" s="29"/>
      <c r="K530" s="29"/>
    </row>
    <row r="531" spans="1:11" ht="14.4" x14ac:dyDescent="0.3">
      <c r="A531" s="29"/>
      <c r="B531" s="29"/>
      <c r="C531" s="29"/>
      <c r="D531" s="29"/>
      <c r="E531" s="29"/>
      <c r="F531" s="29"/>
      <c r="K531" s="29"/>
    </row>
    <row r="532" spans="1:11" ht="14.4" x14ac:dyDescent="0.3">
      <c r="A532" s="29"/>
      <c r="B532" s="29"/>
      <c r="C532" s="29"/>
      <c r="D532" s="29"/>
      <c r="E532" s="29"/>
      <c r="F532" s="29"/>
      <c r="K532" s="29"/>
    </row>
    <row r="533" spans="1:11" ht="14.4" x14ac:dyDescent="0.3">
      <c r="A533" s="29"/>
      <c r="B533" s="29"/>
      <c r="C533" s="29"/>
      <c r="D533" s="29"/>
      <c r="E533" s="29"/>
      <c r="F533" s="29"/>
      <c r="K533" s="29"/>
    </row>
    <row r="534" spans="1:11" ht="14.4" x14ac:dyDescent="0.3">
      <c r="A534" s="29"/>
      <c r="B534" s="29"/>
      <c r="C534" s="29"/>
      <c r="D534" s="29"/>
      <c r="E534" s="29"/>
      <c r="F534" s="29"/>
      <c r="K534" s="29"/>
    </row>
    <row r="535" spans="1:11" ht="14.4" x14ac:dyDescent="0.3">
      <c r="A535" s="29"/>
      <c r="B535" s="29"/>
      <c r="C535" s="29"/>
      <c r="D535" s="29"/>
      <c r="E535" s="29"/>
      <c r="F535" s="29"/>
      <c r="K535" s="29"/>
    </row>
    <row r="536" spans="1:11" ht="14.4" x14ac:dyDescent="0.3">
      <c r="A536" s="29"/>
      <c r="B536" s="29"/>
      <c r="C536" s="29"/>
      <c r="D536" s="29"/>
      <c r="E536" s="29"/>
      <c r="F536" s="29"/>
      <c r="K536" s="29"/>
    </row>
    <row r="537" spans="1:11" ht="14.4" x14ac:dyDescent="0.3">
      <c r="A537" s="29"/>
      <c r="B537" s="29"/>
      <c r="C537" s="29"/>
      <c r="D537" s="29"/>
      <c r="E537" s="29"/>
      <c r="F537" s="29"/>
      <c r="K537" s="29"/>
    </row>
    <row r="538" spans="1:11" ht="14.4" x14ac:dyDescent="0.3">
      <c r="A538" s="29"/>
      <c r="B538" s="29"/>
      <c r="C538" s="29"/>
      <c r="D538" s="29"/>
      <c r="E538" s="29"/>
      <c r="F538" s="29"/>
      <c r="K538" s="29"/>
    </row>
    <row r="539" spans="1:11" ht="14.4" x14ac:dyDescent="0.3">
      <c r="A539" s="29"/>
      <c r="B539" s="29"/>
      <c r="C539" s="29"/>
      <c r="D539" s="29"/>
      <c r="E539" s="29"/>
      <c r="F539" s="29"/>
      <c r="K539" s="29"/>
    </row>
    <row r="540" spans="1:11" ht="14.4" x14ac:dyDescent="0.3">
      <c r="A540" s="29"/>
      <c r="B540" s="29"/>
      <c r="C540" s="29"/>
      <c r="D540" s="29"/>
      <c r="E540" s="29"/>
      <c r="F540" s="29"/>
      <c r="K540" s="29"/>
    </row>
    <row r="541" spans="1:11" ht="14.4" x14ac:dyDescent="0.3">
      <c r="A541" s="29"/>
      <c r="B541" s="29"/>
      <c r="C541" s="29"/>
      <c r="D541" s="29"/>
      <c r="E541" s="29"/>
      <c r="F541" s="29"/>
      <c r="K541" s="29"/>
    </row>
    <row r="542" spans="1:11" ht="14.4" x14ac:dyDescent="0.3">
      <c r="A542" s="29"/>
      <c r="B542" s="29"/>
      <c r="C542" s="29"/>
      <c r="D542" s="29"/>
      <c r="E542" s="29"/>
      <c r="F542" s="29"/>
      <c r="K542" s="29"/>
    </row>
    <row r="543" spans="1:11" ht="14.4" x14ac:dyDescent="0.3">
      <c r="A543" s="29"/>
      <c r="B543" s="29"/>
      <c r="C543" s="29"/>
      <c r="D543" s="29"/>
      <c r="E543" s="29"/>
      <c r="F543" s="29"/>
      <c r="K543" s="29"/>
    </row>
    <row r="544" spans="1:11" ht="14.4" x14ac:dyDescent="0.3">
      <c r="A544" s="29"/>
      <c r="B544" s="29"/>
      <c r="C544" s="29"/>
      <c r="D544" s="29"/>
      <c r="E544" s="29"/>
      <c r="F544" s="29"/>
      <c r="K544" s="29"/>
    </row>
    <row r="545" spans="1:11" ht="14.4" x14ac:dyDescent="0.3">
      <c r="A545" s="29"/>
      <c r="B545" s="29"/>
      <c r="C545" s="29"/>
      <c r="D545" s="29"/>
      <c r="E545" s="29"/>
      <c r="F545" s="29"/>
      <c r="K545" s="29"/>
    </row>
    <row r="546" spans="1:11" ht="14.4" x14ac:dyDescent="0.3">
      <c r="A546" s="29"/>
      <c r="B546" s="29"/>
      <c r="C546" s="29"/>
      <c r="D546" s="29"/>
      <c r="E546" s="29"/>
      <c r="F546" s="29"/>
      <c r="K546" s="29"/>
    </row>
    <row r="547" spans="1:11" ht="14.4" x14ac:dyDescent="0.3">
      <c r="A547" s="29"/>
      <c r="B547" s="29"/>
      <c r="C547" s="29"/>
      <c r="D547" s="29"/>
      <c r="E547" s="29"/>
      <c r="F547" s="29"/>
      <c r="K547" s="29"/>
    </row>
    <row r="548" spans="1:11" ht="14.4" x14ac:dyDescent="0.3">
      <c r="A548" s="29"/>
      <c r="B548" s="29"/>
      <c r="C548" s="29"/>
      <c r="D548" s="29"/>
      <c r="E548" s="29"/>
      <c r="F548" s="29"/>
      <c r="K548" s="29"/>
    </row>
    <row r="549" spans="1:11" ht="14.4" x14ac:dyDescent="0.3">
      <c r="A549" s="29"/>
      <c r="B549" s="29"/>
      <c r="C549" s="29"/>
      <c r="D549" s="29"/>
      <c r="E549" s="29"/>
      <c r="F549" s="29"/>
      <c r="K549" s="29"/>
    </row>
    <row r="550" spans="1:11" ht="14.4" x14ac:dyDescent="0.3">
      <c r="A550" s="29"/>
      <c r="B550" s="29"/>
      <c r="C550" s="29"/>
      <c r="D550" s="29"/>
      <c r="E550" s="29"/>
      <c r="F550" s="29"/>
      <c r="K550" s="29"/>
    </row>
    <row r="551" spans="1:11" ht="14.4" x14ac:dyDescent="0.3">
      <c r="A551" s="29"/>
      <c r="B551" s="29"/>
      <c r="C551" s="29"/>
      <c r="D551" s="29"/>
      <c r="E551" s="29"/>
      <c r="F551" s="29"/>
      <c r="K551" s="29"/>
    </row>
    <row r="552" spans="1:11" ht="14.4" x14ac:dyDescent="0.3">
      <c r="A552" s="29"/>
      <c r="B552" s="29"/>
      <c r="C552" s="29"/>
      <c r="D552" s="29"/>
      <c r="E552" s="29"/>
      <c r="F552" s="29"/>
      <c r="K552" s="29"/>
    </row>
    <row r="553" spans="1:11" ht="14.4" x14ac:dyDescent="0.3">
      <c r="A553" s="29"/>
      <c r="B553" s="29"/>
      <c r="C553" s="29"/>
      <c r="D553" s="29"/>
      <c r="E553" s="29"/>
      <c r="F553" s="29"/>
      <c r="K553" s="29"/>
    </row>
    <row r="554" spans="1:11" ht="14.4" x14ac:dyDescent="0.3">
      <c r="A554" s="29"/>
      <c r="B554" s="29"/>
      <c r="C554" s="29"/>
      <c r="D554" s="29"/>
      <c r="E554" s="29"/>
      <c r="F554" s="29"/>
      <c r="K554" s="29"/>
    </row>
    <row r="555" spans="1:11" ht="14.4" x14ac:dyDescent="0.3">
      <c r="A555" s="29"/>
      <c r="B555" s="29"/>
      <c r="C555" s="29"/>
      <c r="D555" s="29"/>
      <c r="E555" s="29"/>
      <c r="F555" s="29"/>
      <c r="K555" s="29"/>
    </row>
    <row r="556" spans="1:11" ht="14.4" x14ac:dyDescent="0.3">
      <c r="A556" s="29"/>
      <c r="B556" s="29"/>
      <c r="C556" s="29"/>
      <c r="D556" s="29"/>
      <c r="E556" s="29"/>
      <c r="F556" s="29"/>
      <c r="K556" s="29"/>
    </row>
    <row r="557" spans="1:11" ht="14.4" x14ac:dyDescent="0.3">
      <c r="A557" s="29"/>
      <c r="B557" s="29"/>
      <c r="C557" s="29"/>
      <c r="D557" s="29"/>
      <c r="E557" s="29"/>
      <c r="F557" s="29"/>
      <c r="K557" s="29"/>
    </row>
    <row r="558" spans="1:11" ht="14.4" x14ac:dyDescent="0.3">
      <c r="A558" s="29"/>
      <c r="B558" s="29"/>
      <c r="C558" s="29"/>
      <c r="D558" s="29"/>
      <c r="E558" s="29"/>
      <c r="F558" s="29"/>
      <c r="K558" s="29"/>
    </row>
    <row r="559" spans="1:11" ht="14.4" x14ac:dyDescent="0.3">
      <c r="A559" s="29"/>
      <c r="B559" s="29"/>
      <c r="C559" s="29"/>
      <c r="D559" s="29"/>
      <c r="E559" s="29"/>
      <c r="F559" s="29"/>
      <c r="K559" s="29"/>
    </row>
    <row r="560" spans="1:11" ht="14.4" x14ac:dyDescent="0.3">
      <c r="A560" s="29"/>
      <c r="B560" s="29"/>
      <c r="C560" s="29"/>
      <c r="D560" s="29"/>
      <c r="E560" s="29"/>
      <c r="F560" s="29"/>
      <c r="K560" s="29"/>
    </row>
    <row r="561" spans="1:11" ht="14.4" x14ac:dyDescent="0.3">
      <c r="A561" s="29"/>
      <c r="B561" s="29"/>
      <c r="C561" s="29"/>
      <c r="D561" s="29"/>
      <c r="E561" s="29"/>
      <c r="F561" s="29"/>
      <c r="K561" s="29"/>
    </row>
    <row r="562" spans="1:11" ht="14.4" x14ac:dyDescent="0.3">
      <c r="A562" s="29"/>
      <c r="B562" s="29"/>
      <c r="C562" s="29"/>
      <c r="D562" s="29"/>
      <c r="E562" s="29"/>
      <c r="F562" s="29"/>
      <c r="K562" s="29"/>
    </row>
    <row r="563" spans="1:11" ht="14.4" x14ac:dyDescent="0.3">
      <c r="A563" s="29"/>
      <c r="B563" s="29"/>
      <c r="C563" s="29"/>
      <c r="D563" s="29"/>
      <c r="E563" s="29"/>
      <c r="F563" s="29"/>
      <c r="K563" s="29"/>
    </row>
    <row r="564" spans="1:11" ht="14.4" x14ac:dyDescent="0.3">
      <c r="A564" s="29"/>
      <c r="B564" s="29"/>
      <c r="C564" s="29"/>
      <c r="D564" s="29"/>
      <c r="E564" s="29"/>
      <c r="F564" s="29"/>
      <c r="K564" s="29"/>
    </row>
    <row r="565" spans="1:11" ht="14.4" x14ac:dyDescent="0.3">
      <c r="A565" s="29"/>
      <c r="B565" s="29"/>
      <c r="C565" s="29"/>
      <c r="D565" s="29"/>
      <c r="E565" s="29"/>
      <c r="F565" s="29"/>
      <c r="K565" s="29"/>
    </row>
    <row r="566" spans="1:11" ht="14.4" x14ac:dyDescent="0.3">
      <c r="A566" s="29"/>
      <c r="B566" s="29"/>
      <c r="C566" s="29"/>
      <c r="D566" s="29"/>
      <c r="E566" s="29"/>
      <c r="F566" s="29"/>
      <c r="K566" s="29"/>
    </row>
    <row r="567" spans="1:11" ht="14.4" x14ac:dyDescent="0.3">
      <c r="A567" s="29"/>
      <c r="B567" s="29"/>
      <c r="C567" s="29"/>
      <c r="D567" s="29"/>
      <c r="E567" s="29"/>
      <c r="F567" s="29"/>
      <c r="K567" s="29"/>
    </row>
    <row r="568" spans="1:11" ht="14.4" x14ac:dyDescent="0.3">
      <c r="A568" s="29"/>
      <c r="B568" s="29"/>
      <c r="C568" s="29"/>
      <c r="D568" s="29"/>
      <c r="E568" s="29"/>
      <c r="F568" s="29"/>
      <c r="K568" s="29"/>
    </row>
    <row r="569" spans="1:11" ht="14.4" x14ac:dyDescent="0.3">
      <c r="A569" s="29"/>
      <c r="B569" s="29"/>
      <c r="C569" s="29"/>
      <c r="D569" s="29"/>
      <c r="E569" s="29"/>
      <c r="F569" s="29"/>
      <c r="K569" s="29"/>
    </row>
    <row r="570" spans="1:11" ht="14.4" x14ac:dyDescent="0.3">
      <c r="A570" s="29"/>
      <c r="B570" s="29"/>
      <c r="C570" s="29"/>
      <c r="D570" s="29"/>
      <c r="E570" s="29"/>
      <c r="F570" s="29"/>
      <c r="K570" s="29"/>
    </row>
    <row r="571" spans="1:11" ht="14.4" x14ac:dyDescent="0.3">
      <c r="A571" s="29"/>
      <c r="B571" s="29"/>
      <c r="C571" s="29"/>
      <c r="D571" s="29"/>
      <c r="E571" s="29"/>
      <c r="F571" s="29"/>
      <c r="K571" s="29"/>
    </row>
    <row r="572" spans="1:11" ht="14.4" x14ac:dyDescent="0.3">
      <c r="A572" s="29"/>
      <c r="B572" s="29"/>
      <c r="C572" s="29"/>
      <c r="D572" s="29"/>
      <c r="E572" s="29"/>
      <c r="F572" s="29"/>
      <c r="K572" s="29"/>
    </row>
    <row r="573" spans="1:11" ht="14.4" x14ac:dyDescent="0.3">
      <c r="A573" s="29"/>
      <c r="B573" s="29"/>
      <c r="C573" s="29"/>
      <c r="D573" s="29"/>
      <c r="E573" s="29"/>
      <c r="F573" s="29"/>
      <c r="K573" s="29"/>
    </row>
    <row r="574" spans="1:11" ht="14.4" x14ac:dyDescent="0.3">
      <c r="A574" s="29"/>
      <c r="B574" s="29"/>
      <c r="C574" s="29"/>
      <c r="D574" s="29"/>
      <c r="E574" s="29"/>
      <c r="F574" s="29"/>
      <c r="K574" s="29"/>
    </row>
    <row r="575" spans="1:11" ht="14.4" x14ac:dyDescent="0.3">
      <c r="A575" s="29"/>
      <c r="B575" s="29"/>
      <c r="C575" s="29"/>
      <c r="D575" s="29"/>
      <c r="E575" s="29"/>
      <c r="F575" s="29"/>
      <c r="K575" s="29"/>
    </row>
    <row r="576" spans="1:11" ht="14.4" x14ac:dyDescent="0.3">
      <c r="A576" s="29"/>
      <c r="B576" s="29"/>
      <c r="C576" s="29"/>
      <c r="D576" s="29"/>
      <c r="E576" s="29"/>
      <c r="F576" s="29"/>
      <c r="K576" s="29"/>
    </row>
    <row r="577" spans="1:11" ht="14.4" x14ac:dyDescent="0.3">
      <c r="A577" s="29"/>
      <c r="B577" s="29"/>
      <c r="C577" s="29"/>
      <c r="D577" s="29"/>
      <c r="E577" s="29"/>
      <c r="F577" s="29"/>
      <c r="K577" s="29"/>
    </row>
    <row r="578" spans="1:11" ht="14.4" x14ac:dyDescent="0.3">
      <c r="A578" s="29"/>
      <c r="B578" s="29"/>
      <c r="C578" s="29"/>
      <c r="D578" s="29"/>
      <c r="E578" s="29"/>
      <c r="F578" s="29"/>
      <c r="K578" s="29"/>
    </row>
    <row r="579" spans="1:11" ht="14.4" x14ac:dyDescent="0.3">
      <c r="A579" s="29"/>
      <c r="B579" s="29"/>
      <c r="C579" s="29"/>
      <c r="D579" s="29"/>
      <c r="E579" s="29"/>
      <c r="F579" s="29"/>
      <c r="K579" s="29"/>
    </row>
    <row r="580" spans="1:11" ht="14.4" x14ac:dyDescent="0.3">
      <c r="A580" s="29"/>
      <c r="B580" s="29"/>
      <c r="C580" s="29"/>
      <c r="D580" s="29"/>
      <c r="E580" s="29"/>
      <c r="F580" s="29"/>
      <c r="K580" s="29"/>
    </row>
    <row r="581" spans="1:11" ht="14.4" x14ac:dyDescent="0.3">
      <c r="A581" s="29"/>
      <c r="B581" s="29"/>
      <c r="C581" s="29"/>
      <c r="D581" s="29"/>
      <c r="E581" s="29"/>
      <c r="F581" s="29"/>
      <c r="K581" s="29"/>
    </row>
    <row r="582" spans="1:11" ht="14.4" x14ac:dyDescent="0.3">
      <c r="A582" s="29"/>
      <c r="B582" s="29"/>
      <c r="C582" s="29"/>
      <c r="D582" s="29"/>
      <c r="E582" s="29"/>
      <c r="F582" s="29"/>
      <c r="K582" s="29"/>
    </row>
    <row r="583" spans="1:11" ht="14.4" x14ac:dyDescent="0.3">
      <c r="A583" s="29"/>
      <c r="B583" s="29"/>
      <c r="C583" s="29"/>
      <c r="D583" s="29"/>
      <c r="E583" s="29"/>
      <c r="F583" s="29"/>
      <c r="K583" s="29"/>
    </row>
    <row r="584" spans="1:11" ht="14.4" x14ac:dyDescent="0.3">
      <c r="A584" s="29"/>
      <c r="B584" s="29"/>
      <c r="C584" s="29"/>
      <c r="D584" s="29"/>
      <c r="E584" s="29"/>
      <c r="F584" s="29"/>
      <c r="K584" s="29"/>
    </row>
    <row r="585" spans="1:11" ht="14.4" x14ac:dyDescent="0.3">
      <c r="A585" s="29"/>
      <c r="B585" s="29"/>
      <c r="C585" s="29"/>
      <c r="D585" s="29"/>
      <c r="E585" s="29"/>
      <c r="F585" s="29"/>
      <c r="K585" s="29"/>
    </row>
    <row r="586" spans="1:11" ht="14.4" x14ac:dyDescent="0.3">
      <c r="A586" s="29"/>
      <c r="B586" s="29"/>
      <c r="C586" s="29"/>
      <c r="D586" s="29"/>
      <c r="E586" s="29"/>
      <c r="F586" s="29"/>
      <c r="K586" s="29"/>
    </row>
    <row r="587" spans="1:11" ht="14.4" x14ac:dyDescent="0.3">
      <c r="A587" s="29"/>
      <c r="B587" s="29"/>
      <c r="C587" s="29"/>
      <c r="D587" s="29"/>
      <c r="E587" s="29"/>
      <c r="F587" s="29"/>
      <c r="K587" s="29"/>
    </row>
    <row r="588" spans="1:11" ht="14.4" x14ac:dyDescent="0.3">
      <c r="A588" s="29"/>
      <c r="B588" s="29"/>
      <c r="C588" s="29"/>
      <c r="D588" s="29"/>
      <c r="E588" s="29"/>
      <c r="F588" s="29"/>
      <c r="K588" s="29"/>
    </row>
    <row r="589" spans="1:11" ht="14.4" x14ac:dyDescent="0.3">
      <c r="A589" s="29"/>
      <c r="B589" s="29"/>
      <c r="C589" s="29"/>
      <c r="D589" s="29"/>
      <c r="E589" s="29"/>
      <c r="F589" s="29"/>
      <c r="K589" s="29"/>
    </row>
    <row r="590" spans="1:11" ht="14.4" x14ac:dyDescent="0.3">
      <c r="A590" s="29"/>
      <c r="B590" s="29"/>
      <c r="C590" s="29"/>
      <c r="D590" s="29"/>
      <c r="E590" s="29"/>
      <c r="F590" s="29"/>
      <c r="K590" s="29"/>
    </row>
    <row r="591" spans="1:11" ht="14.4" x14ac:dyDescent="0.3">
      <c r="A591" s="29"/>
      <c r="B591" s="29"/>
      <c r="C591" s="29"/>
      <c r="D591" s="29"/>
      <c r="E591" s="29"/>
      <c r="F591" s="29"/>
      <c r="K591" s="29"/>
    </row>
    <row r="592" spans="1:11" ht="14.4" x14ac:dyDescent="0.3">
      <c r="A592" s="29"/>
      <c r="B592" s="29"/>
      <c r="C592" s="29"/>
      <c r="D592" s="29"/>
      <c r="E592" s="29"/>
      <c r="F592" s="29"/>
      <c r="K592" s="29"/>
    </row>
    <row r="593" spans="1:11" ht="14.4" x14ac:dyDescent="0.3">
      <c r="A593" s="29"/>
      <c r="B593" s="29"/>
      <c r="C593" s="29"/>
      <c r="D593" s="29"/>
      <c r="E593" s="29"/>
      <c r="F593" s="29"/>
      <c r="K593" s="29"/>
    </row>
    <row r="594" spans="1:11" ht="14.4" x14ac:dyDescent="0.3">
      <c r="A594" s="29"/>
      <c r="B594" s="29"/>
      <c r="C594" s="29"/>
      <c r="D594" s="29"/>
      <c r="E594" s="29"/>
      <c r="F594" s="29"/>
      <c r="K594" s="29"/>
    </row>
    <row r="595" spans="1:11" ht="14.4" x14ac:dyDescent="0.3">
      <c r="A595" s="29"/>
      <c r="B595" s="29"/>
      <c r="C595" s="29"/>
      <c r="D595" s="29"/>
      <c r="E595" s="29"/>
      <c r="F595" s="29"/>
      <c r="K595" s="29"/>
    </row>
    <row r="596" spans="1:11" ht="14.4" x14ac:dyDescent="0.3">
      <c r="A596" s="29"/>
      <c r="B596" s="29"/>
      <c r="C596" s="29"/>
      <c r="D596" s="29"/>
      <c r="E596" s="29"/>
      <c r="F596" s="29"/>
      <c r="K596" s="29"/>
    </row>
    <row r="597" spans="1:11" ht="14.4" x14ac:dyDescent="0.3">
      <c r="A597" s="29"/>
      <c r="B597" s="29"/>
      <c r="C597" s="29"/>
      <c r="D597" s="29"/>
      <c r="E597" s="29"/>
      <c r="F597" s="29"/>
      <c r="K597" s="29"/>
    </row>
    <row r="598" spans="1:11" ht="14.4" x14ac:dyDescent="0.3">
      <c r="A598" s="29"/>
      <c r="B598" s="29"/>
      <c r="C598" s="29"/>
      <c r="D598" s="29"/>
      <c r="E598" s="29"/>
      <c r="F598" s="29"/>
      <c r="K598" s="29"/>
    </row>
    <row r="599" spans="1:11" ht="14.4" x14ac:dyDescent="0.3">
      <c r="A599" s="29"/>
      <c r="B599" s="29"/>
      <c r="C599" s="29"/>
      <c r="D599" s="29"/>
      <c r="E599" s="29"/>
      <c r="F599" s="29"/>
      <c r="K599" s="29"/>
    </row>
    <row r="600" spans="1:11" ht="14.4" x14ac:dyDescent="0.3">
      <c r="A600" s="29"/>
      <c r="B600" s="29"/>
      <c r="C600" s="29"/>
      <c r="D600" s="29"/>
      <c r="E600" s="29"/>
      <c r="F600" s="29"/>
      <c r="K600" s="29"/>
    </row>
    <row r="601" spans="1:11" ht="14.4" x14ac:dyDescent="0.3">
      <c r="A601" s="29"/>
      <c r="B601" s="29"/>
      <c r="C601" s="29"/>
      <c r="D601" s="29"/>
      <c r="E601" s="29"/>
      <c r="F601" s="29"/>
      <c r="K601" s="29"/>
    </row>
    <row r="602" spans="1:11" ht="14.4" x14ac:dyDescent="0.3">
      <c r="A602" s="29"/>
      <c r="B602" s="29"/>
      <c r="C602" s="29"/>
      <c r="D602" s="29"/>
      <c r="E602" s="29"/>
      <c r="F602" s="29"/>
      <c r="K602" s="29"/>
    </row>
    <row r="603" spans="1:11" ht="14.4" x14ac:dyDescent="0.3">
      <c r="A603" s="29"/>
      <c r="B603" s="29"/>
      <c r="C603" s="29"/>
      <c r="D603" s="29"/>
      <c r="E603" s="29"/>
      <c r="F603" s="29"/>
      <c r="K603" s="29"/>
    </row>
    <row r="604" spans="1:11" ht="14.4" x14ac:dyDescent="0.3">
      <c r="A604" s="29"/>
      <c r="B604" s="29"/>
      <c r="C604" s="29"/>
      <c r="D604" s="29"/>
      <c r="E604" s="29"/>
      <c r="F604" s="29"/>
      <c r="K604" s="29"/>
    </row>
    <row r="605" spans="1:11" ht="14.4" x14ac:dyDescent="0.3">
      <c r="A605" s="29"/>
      <c r="B605" s="29"/>
      <c r="C605" s="29"/>
      <c r="D605" s="29"/>
      <c r="E605" s="29"/>
      <c r="F605" s="29"/>
      <c r="K605" s="29"/>
    </row>
    <row r="606" spans="1:11" ht="14.4" x14ac:dyDescent="0.3">
      <c r="A606" s="29"/>
      <c r="B606" s="29"/>
      <c r="C606" s="29"/>
      <c r="D606" s="29"/>
      <c r="E606" s="29"/>
      <c r="F606" s="29"/>
      <c r="K606" s="29"/>
    </row>
    <row r="607" spans="1:11" ht="14.4" x14ac:dyDescent="0.3">
      <c r="A607" s="29"/>
      <c r="B607" s="29"/>
      <c r="C607" s="29"/>
      <c r="D607" s="29"/>
      <c r="E607" s="29"/>
      <c r="F607" s="29"/>
      <c r="K607" s="29"/>
    </row>
    <row r="608" spans="1:11" ht="14.4" x14ac:dyDescent="0.3">
      <c r="A608" s="29"/>
      <c r="B608" s="29"/>
      <c r="C608" s="29"/>
      <c r="D608" s="29"/>
      <c r="E608" s="29"/>
      <c r="F608" s="29"/>
      <c r="K608" s="29"/>
    </row>
    <row r="609" spans="1:11" ht="14.4" x14ac:dyDescent="0.3">
      <c r="A609" s="29"/>
      <c r="B609" s="29"/>
      <c r="C609" s="29"/>
      <c r="D609" s="29"/>
      <c r="E609" s="29"/>
      <c r="F609" s="29"/>
      <c r="K609" s="29"/>
    </row>
    <row r="610" spans="1:11" ht="14.4" x14ac:dyDescent="0.3">
      <c r="A610" s="29"/>
      <c r="B610" s="29"/>
      <c r="C610" s="29"/>
      <c r="D610" s="29"/>
      <c r="E610" s="29"/>
      <c r="F610" s="29"/>
      <c r="K610" s="29"/>
    </row>
    <row r="611" spans="1:11" ht="14.4" x14ac:dyDescent="0.3">
      <c r="A611" s="29"/>
      <c r="B611" s="29"/>
      <c r="C611" s="29"/>
      <c r="D611" s="29"/>
      <c r="E611" s="29"/>
      <c r="F611" s="29"/>
      <c r="K611" s="29"/>
    </row>
    <row r="612" spans="1:11" ht="14.4" x14ac:dyDescent="0.3">
      <c r="A612" s="29"/>
      <c r="B612" s="29"/>
      <c r="C612" s="29"/>
      <c r="D612" s="29"/>
      <c r="E612" s="29"/>
      <c r="F612" s="29"/>
      <c r="K612" s="29"/>
    </row>
    <row r="613" spans="1:11" ht="14.4" x14ac:dyDescent="0.3">
      <c r="A613" s="29"/>
      <c r="B613" s="29"/>
      <c r="C613" s="29"/>
      <c r="D613" s="29"/>
      <c r="E613" s="29"/>
      <c r="F613" s="29"/>
      <c r="K613" s="29"/>
    </row>
    <row r="614" spans="1:11" ht="14.4" x14ac:dyDescent="0.3">
      <c r="A614" s="29"/>
      <c r="B614" s="29"/>
      <c r="C614" s="29"/>
      <c r="D614" s="29"/>
      <c r="E614" s="29"/>
      <c r="F614" s="29"/>
      <c r="K614" s="29"/>
    </row>
    <row r="615" spans="1:11" ht="14.4" x14ac:dyDescent="0.3">
      <c r="A615" s="29"/>
      <c r="B615" s="29"/>
      <c r="C615" s="29"/>
      <c r="D615" s="29"/>
      <c r="E615" s="29"/>
      <c r="F615" s="29"/>
      <c r="K615" s="29"/>
    </row>
    <row r="616" spans="1:11" ht="14.4" x14ac:dyDescent="0.3">
      <c r="A616" s="29"/>
      <c r="B616" s="29"/>
      <c r="C616" s="29"/>
      <c r="D616" s="29"/>
      <c r="E616" s="29"/>
      <c r="F616" s="29"/>
      <c r="K616" s="29"/>
    </row>
    <row r="617" spans="1:11" ht="14.4" x14ac:dyDescent="0.3">
      <c r="A617" s="29"/>
      <c r="B617" s="29"/>
      <c r="C617" s="29"/>
      <c r="D617" s="29"/>
      <c r="E617" s="29"/>
      <c r="F617" s="29"/>
      <c r="K617" s="29"/>
    </row>
    <row r="618" spans="1:11" ht="14.4" x14ac:dyDescent="0.3">
      <c r="A618" s="29"/>
      <c r="B618" s="29"/>
      <c r="C618" s="29"/>
      <c r="D618" s="29"/>
      <c r="E618" s="29"/>
      <c r="F618" s="29"/>
      <c r="K618" s="29"/>
    </row>
    <row r="619" spans="1:11" ht="14.4" x14ac:dyDescent="0.3">
      <c r="A619" s="29"/>
      <c r="B619" s="29"/>
      <c r="C619" s="29"/>
      <c r="D619" s="29"/>
      <c r="E619" s="29"/>
      <c r="F619" s="29"/>
      <c r="K619" s="29"/>
    </row>
    <row r="620" spans="1:11" ht="14.4" x14ac:dyDescent="0.3">
      <c r="A620" s="29"/>
      <c r="B620" s="29"/>
      <c r="C620" s="29"/>
      <c r="D620" s="29"/>
      <c r="E620" s="29"/>
      <c r="F620" s="29"/>
      <c r="K620" s="29"/>
    </row>
    <row r="621" spans="1:11" ht="14.4" x14ac:dyDescent="0.3">
      <c r="A621" s="29"/>
      <c r="B621" s="29"/>
      <c r="C621" s="29"/>
      <c r="D621" s="29"/>
      <c r="E621" s="29"/>
      <c r="F621" s="29"/>
      <c r="K621" s="29"/>
    </row>
    <row r="622" spans="1:11" ht="14.4" x14ac:dyDescent="0.3">
      <c r="A622" s="29"/>
      <c r="B622" s="29"/>
      <c r="C622" s="29"/>
      <c r="D622" s="29"/>
      <c r="E622" s="29"/>
      <c r="F622" s="29"/>
      <c r="K622" s="29"/>
    </row>
    <row r="623" spans="1:11" ht="14.4" x14ac:dyDescent="0.3">
      <c r="A623" s="29"/>
      <c r="B623" s="29"/>
      <c r="C623" s="29"/>
      <c r="D623" s="29"/>
      <c r="E623" s="29"/>
      <c r="F623" s="29"/>
      <c r="K623" s="29"/>
    </row>
    <row r="624" spans="1:11" ht="14.4" x14ac:dyDescent="0.3">
      <c r="A624" s="29"/>
      <c r="B624" s="29"/>
      <c r="C624" s="29"/>
      <c r="D624" s="29"/>
      <c r="E624" s="29"/>
      <c r="F624" s="29"/>
      <c r="K624" s="29"/>
    </row>
    <row r="625" spans="1:11" ht="14.4" x14ac:dyDescent="0.3">
      <c r="A625" s="29"/>
      <c r="B625" s="29"/>
      <c r="C625" s="29"/>
      <c r="D625" s="29"/>
      <c r="E625" s="29"/>
      <c r="F625" s="29"/>
      <c r="K625" s="29"/>
    </row>
    <row r="626" spans="1:11" ht="14.4" x14ac:dyDescent="0.3">
      <c r="A626" s="29"/>
      <c r="B626" s="29"/>
      <c r="C626" s="29"/>
      <c r="D626" s="29"/>
      <c r="E626" s="29"/>
      <c r="F626" s="29"/>
      <c r="K626" s="29"/>
    </row>
    <row r="627" spans="1:11" ht="14.4" x14ac:dyDescent="0.3">
      <c r="A627" s="29"/>
      <c r="B627" s="29"/>
      <c r="C627" s="29"/>
      <c r="D627" s="29"/>
      <c r="E627" s="29"/>
      <c r="F627" s="29"/>
      <c r="K627" s="29"/>
    </row>
    <row r="628" spans="1:11" ht="14.4" x14ac:dyDescent="0.3">
      <c r="A628" s="29"/>
      <c r="B628" s="29"/>
      <c r="C628" s="29"/>
      <c r="D628" s="29"/>
      <c r="E628" s="29"/>
      <c r="F628" s="29"/>
      <c r="K628" s="29"/>
    </row>
    <row r="629" spans="1:11" ht="14.4" x14ac:dyDescent="0.3">
      <c r="A629" s="29"/>
      <c r="B629" s="29"/>
      <c r="C629" s="29"/>
      <c r="D629" s="29"/>
      <c r="E629" s="29"/>
      <c r="F629" s="29"/>
      <c r="K629" s="29"/>
    </row>
    <row r="630" spans="1:11" ht="14.4" x14ac:dyDescent="0.3">
      <c r="A630" s="29"/>
      <c r="B630" s="29"/>
      <c r="C630" s="29"/>
      <c r="D630" s="29"/>
      <c r="E630" s="29"/>
      <c r="F630" s="29"/>
      <c r="K630" s="29"/>
    </row>
    <row r="631" spans="1:11" ht="14.4" x14ac:dyDescent="0.3">
      <c r="A631" s="29"/>
      <c r="B631" s="29"/>
      <c r="C631" s="29"/>
      <c r="D631" s="29"/>
      <c r="E631" s="29"/>
      <c r="F631" s="29"/>
      <c r="K631" s="29"/>
    </row>
    <row r="632" spans="1:11" ht="14.4" x14ac:dyDescent="0.3">
      <c r="A632" s="29"/>
      <c r="B632" s="29"/>
      <c r="C632" s="29"/>
      <c r="D632" s="29"/>
      <c r="E632" s="29"/>
      <c r="F632" s="29"/>
      <c r="K632" s="29"/>
    </row>
    <row r="633" spans="1:11" ht="14.4" x14ac:dyDescent="0.3">
      <c r="A633" s="29"/>
      <c r="B633" s="29"/>
      <c r="C633" s="29"/>
      <c r="D633" s="29"/>
      <c r="E633" s="29"/>
      <c r="F633" s="29"/>
      <c r="K633" s="29"/>
    </row>
    <row r="634" spans="1:11" ht="14.4" x14ac:dyDescent="0.3">
      <c r="A634" s="29"/>
      <c r="B634" s="29"/>
      <c r="C634" s="29"/>
      <c r="D634" s="29"/>
      <c r="E634" s="29"/>
      <c r="F634" s="29"/>
      <c r="K634" s="29"/>
    </row>
    <row r="635" spans="1:11" ht="14.4" x14ac:dyDescent="0.3">
      <c r="A635" s="29"/>
      <c r="B635" s="29"/>
      <c r="C635" s="29"/>
      <c r="D635" s="29"/>
      <c r="E635" s="29"/>
      <c r="F635" s="29"/>
      <c r="K635" s="29"/>
    </row>
    <row r="636" spans="1:11" ht="14.4" x14ac:dyDescent="0.3">
      <c r="A636" s="29"/>
      <c r="B636" s="29"/>
      <c r="C636" s="29"/>
      <c r="D636" s="29"/>
      <c r="E636" s="29"/>
      <c r="F636" s="29"/>
      <c r="K636" s="29"/>
    </row>
    <row r="637" spans="1:11" ht="14.4" x14ac:dyDescent="0.3">
      <c r="A637" s="29"/>
      <c r="B637" s="29"/>
      <c r="C637" s="29"/>
      <c r="D637" s="29"/>
      <c r="E637" s="29"/>
      <c r="F637" s="29"/>
      <c r="K637" s="29"/>
    </row>
    <row r="638" spans="1:11" ht="14.4" x14ac:dyDescent="0.3">
      <c r="A638" s="29"/>
      <c r="B638" s="29"/>
      <c r="C638" s="29"/>
      <c r="D638" s="29"/>
      <c r="E638" s="29"/>
      <c r="F638" s="29"/>
      <c r="K638" s="29"/>
    </row>
    <row r="639" spans="1:11" ht="14.4" x14ac:dyDescent="0.3">
      <c r="A639" s="29"/>
      <c r="B639" s="29"/>
      <c r="C639" s="29"/>
      <c r="D639" s="29"/>
      <c r="E639" s="29"/>
      <c r="F639" s="29"/>
      <c r="K639" s="29"/>
    </row>
    <row r="640" spans="1:11" ht="14.4" x14ac:dyDescent="0.3">
      <c r="A640" s="29"/>
      <c r="B640" s="29"/>
      <c r="C640" s="29"/>
      <c r="D640" s="29"/>
      <c r="E640" s="29"/>
      <c r="F640" s="29"/>
      <c r="K640" s="29"/>
    </row>
    <row r="641" spans="1:11" ht="14.4" x14ac:dyDescent="0.3">
      <c r="A641" s="29"/>
      <c r="B641" s="29"/>
      <c r="C641" s="29"/>
      <c r="D641" s="29"/>
      <c r="E641" s="29"/>
      <c r="F641" s="29"/>
      <c r="K641" s="29"/>
    </row>
    <row r="642" spans="1:11" ht="14.4" x14ac:dyDescent="0.3">
      <c r="A642" s="29"/>
      <c r="B642" s="29"/>
      <c r="C642" s="29"/>
      <c r="D642" s="29"/>
      <c r="E642" s="29"/>
      <c r="F642" s="29"/>
      <c r="K642" s="29"/>
    </row>
    <row r="643" spans="1:11" ht="14.4" x14ac:dyDescent="0.3">
      <c r="A643" s="29"/>
      <c r="B643" s="29"/>
      <c r="C643" s="29"/>
      <c r="D643" s="29"/>
      <c r="E643" s="29"/>
      <c r="F643" s="29"/>
      <c r="K643" s="29"/>
    </row>
    <row r="644" spans="1:11" ht="14.4" x14ac:dyDescent="0.3">
      <c r="A644" s="29"/>
      <c r="B644" s="29"/>
      <c r="C644" s="29"/>
      <c r="D644" s="29"/>
      <c r="E644" s="29"/>
      <c r="F644" s="29"/>
      <c r="K644" s="29"/>
    </row>
    <row r="645" spans="1:11" ht="14.4" x14ac:dyDescent="0.3">
      <c r="A645" s="29"/>
      <c r="B645" s="29"/>
      <c r="C645" s="29"/>
      <c r="D645" s="29"/>
      <c r="E645" s="29"/>
      <c r="F645" s="29"/>
      <c r="K645" s="29"/>
    </row>
    <row r="646" spans="1:11" ht="14.4" x14ac:dyDescent="0.3">
      <c r="A646" s="29"/>
      <c r="B646" s="29"/>
      <c r="C646" s="29"/>
      <c r="D646" s="29"/>
      <c r="E646" s="29"/>
      <c r="F646" s="29"/>
      <c r="K646" s="29"/>
    </row>
    <row r="647" spans="1:11" ht="14.4" x14ac:dyDescent="0.3">
      <c r="A647" s="29"/>
      <c r="B647" s="29"/>
      <c r="C647" s="29"/>
      <c r="D647" s="29"/>
      <c r="E647" s="29"/>
      <c r="F647" s="29"/>
      <c r="K647" s="29"/>
    </row>
    <row r="648" spans="1:11" ht="14.4" x14ac:dyDescent="0.3">
      <c r="A648" s="29"/>
      <c r="B648" s="29"/>
      <c r="C648" s="29"/>
      <c r="D648" s="29"/>
      <c r="E648" s="29"/>
      <c r="F648" s="29"/>
      <c r="K648" s="29"/>
    </row>
    <row r="649" spans="1:11" ht="14.4" x14ac:dyDescent="0.3">
      <c r="A649" s="29"/>
      <c r="B649" s="29"/>
      <c r="C649" s="29"/>
      <c r="D649" s="29"/>
      <c r="E649" s="29"/>
      <c r="F649" s="29"/>
      <c r="K649" s="29"/>
    </row>
    <row r="650" spans="1:11" ht="14.4" x14ac:dyDescent="0.3">
      <c r="A650" s="29"/>
      <c r="B650" s="29"/>
      <c r="C650" s="29"/>
      <c r="D650" s="29"/>
      <c r="E650" s="29"/>
      <c r="F650" s="29"/>
      <c r="K650" s="29"/>
    </row>
    <row r="651" spans="1:11" ht="14.4" x14ac:dyDescent="0.3">
      <c r="A651" s="29"/>
      <c r="B651" s="29"/>
      <c r="C651" s="29"/>
      <c r="D651" s="29"/>
      <c r="E651" s="29"/>
      <c r="F651" s="29"/>
      <c r="K651" s="29"/>
    </row>
    <row r="652" spans="1:11" ht="14.4" x14ac:dyDescent="0.3">
      <c r="A652" s="29"/>
      <c r="B652" s="29"/>
      <c r="C652" s="29"/>
      <c r="D652" s="29"/>
      <c r="E652" s="29"/>
      <c r="F652" s="29"/>
      <c r="K652" s="29"/>
    </row>
    <row r="653" spans="1:11" ht="14.4" x14ac:dyDescent="0.3">
      <c r="A653" s="29"/>
      <c r="B653" s="29"/>
      <c r="C653" s="29"/>
      <c r="D653" s="29"/>
      <c r="E653" s="29"/>
      <c r="F653" s="29"/>
      <c r="K653" s="29"/>
    </row>
    <row r="654" spans="1:11" ht="14.4" x14ac:dyDescent="0.3">
      <c r="A654" s="29"/>
      <c r="B654" s="29"/>
      <c r="C654" s="29"/>
      <c r="D654" s="29"/>
      <c r="E654" s="29"/>
      <c r="F654" s="29"/>
      <c r="K654" s="29"/>
    </row>
    <row r="655" spans="1:11" ht="14.4" x14ac:dyDescent="0.3">
      <c r="A655" s="29"/>
      <c r="B655" s="29"/>
      <c r="C655" s="29"/>
      <c r="D655" s="29"/>
      <c r="E655" s="29"/>
      <c r="F655" s="29"/>
      <c r="K655" s="29"/>
    </row>
    <row r="656" spans="1:11" ht="14.4" x14ac:dyDescent="0.3">
      <c r="A656" s="29"/>
      <c r="B656" s="29"/>
      <c r="C656" s="29"/>
      <c r="D656" s="29"/>
      <c r="E656" s="29"/>
      <c r="F656" s="29"/>
      <c r="K656" s="29"/>
    </row>
    <row r="657" spans="1:11" ht="14.4" x14ac:dyDescent="0.3">
      <c r="A657" s="29"/>
      <c r="B657" s="29"/>
      <c r="C657" s="29"/>
      <c r="D657" s="29"/>
      <c r="E657" s="29"/>
      <c r="F657" s="29"/>
      <c r="K657" s="29"/>
    </row>
    <row r="658" spans="1:11" ht="14.4" x14ac:dyDescent="0.3">
      <c r="A658" s="29"/>
      <c r="B658" s="29"/>
      <c r="C658" s="29"/>
      <c r="D658" s="29"/>
      <c r="E658" s="29"/>
      <c r="F658" s="29"/>
      <c r="K658" s="29"/>
    </row>
    <row r="659" spans="1:11" ht="14.4" x14ac:dyDescent="0.3">
      <c r="A659" s="29"/>
      <c r="B659" s="29"/>
      <c r="C659" s="29"/>
      <c r="D659" s="29"/>
      <c r="E659" s="29"/>
      <c r="F659" s="29"/>
      <c r="K659" s="29"/>
    </row>
    <row r="660" spans="1:11" ht="14.4" x14ac:dyDescent="0.3">
      <c r="A660" s="29"/>
      <c r="B660" s="29"/>
      <c r="C660" s="29"/>
      <c r="D660" s="29"/>
      <c r="E660" s="29"/>
      <c r="F660" s="29"/>
      <c r="K660" s="29"/>
    </row>
    <row r="661" spans="1:11" ht="14.4" x14ac:dyDescent="0.3">
      <c r="A661" s="29"/>
      <c r="B661" s="29"/>
      <c r="C661" s="29"/>
      <c r="D661" s="29"/>
      <c r="E661" s="29"/>
      <c r="F661" s="29"/>
      <c r="K661" s="29"/>
    </row>
    <row r="662" spans="1:11" ht="14.4" x14ac:dyDescent="0.3">
      <c r="A662" s="29"/>
      <c r="B662" s="29"/>
      <c r="C662" s="29"/>
      <c r="D662" s="29"/>
      <c r="E662" s="29"/>
      <c r="F662" s="29"/>
      <c r="K662" s="29"/>
    </row>
    <row r="663" spans="1:11" ht="14.4" x14ac:dyDescent="0.3">
      <c r="A663" s="29"/>
      <c r="B663" s="29"/>
      <c r="C663" s="29"/>
      <c r="D663" s="29"/>
      <c r="E663" s="29"/>
      <c r="F663" s="29"/>
      <c r="K663" s="29"/>
    </row>
    <row r="664" spans="1:11" ht="14.4" x14ac:dyDescent="0.3">
      <c r="A664" s="29"/>
      <c r="B664" s="29"/>
      <c r="C664" s="29"/>
      <c r="D664" s="29"/>
      <c r="E664" s="29"/>
      <c r="F664" s="29"/>
      <c r="K664" s="29"/>
    </row>
    <row r="665" spans="1:11" ht="14.4" x14ac:dyDescent="0.3">
      <c r="A665" s="29"/>
      <c r="B665" s="29"/>
      <c r="C665" s="29"/>
      <c r="D665" s="29"/>
      <c r="E665" s="29"/>
      <c r="F665" s="29"/>
      <c r="K665" s="29"/>
    </row>
    <row r="666" spans="1:11" ht="14.4" x14ac:dyDescent="0.3">
      <c r="A666" s="29"/>
      <c r="B666" s="29"/>
      <c r="C666" s="29"/>
      <c r="D666" s="29"/>
      <c r="E666" s="29"/>
      <c r="F666" s="29"/>
      <c r="K666" s="29"/>
    </row>
    <row r="667" spans="1:11" ht="14.4" x14ac:dyDescent="0.3">
      <c r="A667" s="29"/>
      <c r="B667" s="29"/>
      <c r="C667" s="29"/>
      <c r="D667" s="29"/>
      <c r="E667" s="29"/>
      <c r="F667" s="29"/>
      <c r="K667" s="29"/>
    </row>
    <row r="668" spans="1:11" ht="14.4" x14ac:dyDescent="0.3">
      <c r="A668" s="29"/>
      <c r="B668" s="29"/>
      <c r="C668" s="29"/>
      <c r="D668" s="29"/>
      <c r="E668" s="29"/>
      <c r="F668" s="29"/>
      <c r="K668" s="29"/>
    </row>
    <row r="669" spans="1:11" ht="14.4" x14ac:dyDescent="0.3">
      <c r="A669" s="29"/>
      <c r="B669" s="29"/>
      <c r="C669" s="29"/>
      <c r="D669" s="29"/>
      <c r="E669" s="29"/>
      <c r="F669" s="29"/>
      <c r="K669" s="29"/>
    </row>
    <row r="670" spans="1:11" ht="14.4" x14ac:dyDescent="0.3">
      <c r="A670" s="29"/>
      <c r="B670" s="29"/>
      <c r="C670" s="29"/>
      <c r="D670" s="29"/>
      <c r="E670" s="29"/>
      <c r="F670" s="29"/>
      <c r="K670" s="29"/>
    </row>
    <row r="671" spans="1:11" ht="14.4" x14ac:dyDescent="0.3">
      <c r="A671" s="29"/>
      <c r="B671" s="29"/>
      <c r="C671" s="29"/>
      <c r="D671" s="29"/>
      <c r="E671" s="29"/>
      <c r="F671" s="29"/>
      <c r="K671" s="29"/>
    </row>
    <row r="672" spans="1:11" ht="14.4" x14ac:dyDescent="0.3">
      <c r="A672" s="29"/>
      <c r="B672" s="29"/>
      <c r="C672" s="29"/>
      <c r="D672" s="29"/>
      <c r="E672" s="29"/>
      <c r="F672" s="29"/>
      <c r="K672" s="29"/>
    </row>
    <row r="673" spans="1:11" ht="14.4" x14ac:dyDescent="0.3">
      <c r="A673" s="29"/>
      <c r="B673" s="29"/>
      <c r="C673" s="29"/>
      <c r="D673" s="29"/>
      <c r="E673" s="29"/>
      <c r="F673" s="29"/>
      <c r="K673" s="29"/>
    </row>
    <row r="674" spans="1:11" ht="14.4" x14ac:dyDescent="0.3">
      <c r="A674" s="29"/>
      <c r="B674" s="29"/>
      <c r="C674" s="29"/>
      <c r="D674" s="29"/>
      <c r="E674" s="29"/>
      <c r="F674" s="29"/>
      <c r="K674" s="29"/>
    </row>
    <row r="675" spans="1:11" ht="14.4" x14ac:dyDescent="0.3">
      <c r="A675" s="29"/>
      <c r="B675" s="29"/>
      <c r="C675" s="29"/>
      <c r="D675" s="29"/>
      <c r="E675" s="29"/>
      <c r="F675" s="29"/>
      <c r="K675" s="29"/>
    </row>
    <row r="676" spans="1:11" ht="14.4" x14ac:dyDescent="0.3">
      <c r="A676" s="29"/>
      <c r="B676" s="29"/>
      <c r="C676" s="29"/>
      <c r="D676" s="29"/>
      <c r="E676" s="29"/>
      <c r="F676" s="29"/>
      <c r="K676" s="29"/>
    </row>
    <row r="677" spans="1:11" ht="14.4" x14ac:dyDescent="0.3">
      <c r="A677" s="29"/>
      <c r="B677" s="29"/>
      <c r="C677" s="29"/>
      <c r="D677" s="29"/>
      <c r="E677" s="29"/>
      <c r="F677" s="29"/>
      <c r="K677" s="29"/>
    </row>
    <row r="678" spans="1:11" ht="14.4" x14ac:dyDescent="0.3">
      <c r="A678" s="29"/>
      <c r="B678" s="29"/>
      <c r="C678" s="29"/>
      <c r="D678" s="29"/>
      <c r="E678" s="29"/>
      <c r="F678" s="29"/>
      <c r="K678" s="29"/>
    </row>
    <row r="679" spans="1:11" ht="14.4" x14ac:dyDescent="0.3">
      <c r="A679" s="29"/>
      <c r="B679" s="29"/>
      <c r="C679" s="29"/>
      <c r="D679" s="29"/>
      <c r="E679" s="29"/>
      <c r="F679" s="29"/>
      <c r="K679" s="29"/>
    </row>
    <row r="680" spans="1:11" ht="14.4" x14ac:dyDescent="0.3">
      <c r="A680" s="29"/>
      <c r="B680" s="29"/>
      <c r="C680" s="29"/>
      <c r="D680" s="29"/>
      <c r="E680" s="29"/>
      <c r="F680" s="29"/>
      <c r="K680" s="29"/>
    </row>
    <row r="681" spans="1:11" ht="14.4" x14ac:dyDescent="0.3">
      <c r="A681" s="29"/>
      <c r="B681" s="29"/>
      <c r="C681" s="29"/>
      <c r="D681" s="29"/>
      <c r="E681" s="29"/>
      <c r="F681" s="29"/>
      <c r="K681" s="29"/>
    </row>
    <row r="682" spans="1:11" ht="14.4" x14ac:dyDescent="0.3">
      <c r="A682" s="29"/>
      <c r="B682" s="29"/>
      <c r="C682" s="29"/>
      <c r="D682" s="29"/>
      <c r="E682" s="29"/>
      <c r="F682" s="29"/>
      <c r="K682" s="29"/>
    </row>
    <row r="683" spans="1:11" ht="14.4" x14ac:dyDescent="0.3">
      <c r="A683" s="29"/>
      <c r="B683" s="29"/>
      <c r="C683" s="29"/>
      <c r="D683" s="29"/>
      <c r="E683" s="29"/>
      <c r="F683" s="29"/>
      <c r="K683" s="29"/>
    </row>
    <row r="684" spans="1:11" ht="14.4" x14ac:dyDescent="0.3">
      <c r="A684" s="29"/>
      <c r="B684" s="29"/>
      <c r="C684" s="29"/>
      <c r="D684" s="29"/>
      <c r="E684" s="29"/>
      <c r="F684" s="29"/>
      <c r="K684" s="29"/>
    </row>
    <row r="685" spans="1:11" ht="14.4" x14ac:dyDescent="0.3">
      <c r="A685" s="29"/>
      <c r="B685" s="29"/>
      <c r="C685" s="29"/>
      <c r="D685" s="29"/>
      <c r="E685" s="29"/>
      <c r="F685" s="29"/>
      <c r="K685" s="29"/>
    </row>
    <row r="686" spans="1:11" ht="14.4" x14ac:dyDescent="0.3">
      <c r="A686" s="29"/>
      <c r="B686" s="29"/>
      <c r="C686" s="29"/>
      <c r="D686" s="29"/>
      <c r="E686" s="29"/>
      <c r="F686" s="29"/>
      <c r="K686" s="29"/>
    </row>
    <row r="687" spans="1:11" ht="14.4" x14ac:dyDescent="0.3">
      <c r="A687" s="29"/>
      <c r="B687" s="29"/>
      <c r="C687" s="29"/>
      <c r="D687" s="29"/>
      <c r="E687" s="29"/>
      <c r="F687" s="29"/>
      <c r="K687" s="29"/>
    </row>
    <row r="688" spans="1:11" ht="14.4" x14ac:dyDescent="0.3">
      <c r="A688" s="29"/>
      <c r="B688" s="29"/>
      <c r="C688" s="29"/>
      <c r="D688" s="29"/>
      <c r="E688" s="29"/>
      <c r="F688" s="29"/>
      <c r="K688" s="29"/>
    </row>
    <row r="689" spans="1:11" ht="14.4" x14ac:dyDescent="0.3">
      <c r="A689" s="29"/>
      <c r="B689" s="29"/>
      <c r="C689" s="29"/>
      <c r="D689" s="29"/>
      <c r="E689" s="29"/>
      <c r="F689" s="29"/>
      <c r="K689" s="29"/>
    </row>
    <row r="690" spans="1:11" ht="14.4" x14ac:dyDescent="0.3">
      <c r="A690" s="29"/>
      <c r="B690" s="29"/>
      <c r="C690" s="29"/>
      <c r="D690" s="29"/>
      <c r="E690" s="29"/>
      <c r="F690" s="29"/>
      <c r="K690" s="29"/>
    </row>
    <row r="691" spans="1:11" ht="14.4" x14ac:dyDescent="0.3">
      <c r="A691" s="29"/>
      <c r="B691" s="29"/>
      <c r="C691" s="29"/>
      <c r="D691" s="29"/>
      <c r="E691" s="29"/>
      <c r="F691" s="29"/>
      <c r="K691" s="29"/>
    </row>
    <row r="692" spans="1:11" ht="14.4" x14ac:dyDescent="0.3">
      <c r="A692" s="29"/>
      <c r="B692" s="29"/>
      <c r="C692" s="29"/>
      <c r="D692" s="29"/>
      <c r="E692" s="29"/>
      <c r="F692" s="29"/>
      <c r="K692" s="29"/>
    </row>
    <row r="693" spans="1:11" ht="14.4" x14ac:dyDescent="0.3">
      <c r="A693" s="29"/>
      <c r="B693" s="29"/>
      <c r="C693" s="29"/>
      <c r="D693" s="29"/>
      <c r="E693" s="29"/>
      <c r="F693" s="29"/>
      <c r="K693" s="29"/>
    </row>
    <row r="694" spans="1:11" ht="14.4" x14ac:dyDescent="0.3">
      <c r="A694" s="29"/>
      <c r="B694" s="29"/>
      <c r="C694" s="29"/>
      <c r="D694" s="29"/>
      <c r="E694" s="29"/>
      <c r="F694" s="29"/>
      <c r="K694" s="29"/>
    </row>
    <row r="695" spans="1:11" ht="14.4" x14ac:dyDescent="0.3">
      <c r="A695" s="29"/>
      <c r="B695" s="29"/>
      <c r="C695" s="29"/>
      <c r="D695" s="29"/>
      <c r="E695" s="29"/>
      <c r="F695" s="29"/>
      <c r="K695" s="29"/>
    </row>
    <row r="696" spans="1:11" ht="14.4" x14ac:dyDescent="0.3">
      <c r="A696" s="29"/>
      <c r="B696" s="29"/>
      <c r="C696" s="29"/>
      <c r="D696" s="29"/>
      <c r="E696" s="29"/>
      <c r="F696" s="29"/>
      <c r="K696" s="29"/>
    </row>
    <row r="697" spans="1:11" ht="14.4" x14ac:dyDescent="0.3">
      <c r="A697" s="29"/>
      <c r="B697" s="29"/>
      <c r="C697" s="29"/>
      <c r="D697" s="29"/>
      <c r="E697" s="29"/>
      <c r="F697" s="29"/>
      <c r="K697" s="29"/>
    </row>
    <row r="698" spans="1:11" ht="14.4" x14ac:dyDescent="0.3">
      <c r="A698" s="29"/>
      <c r="B698" s="29"/>
      <c r="C698" s="29"/>
      <c r="D698" s="29"/>
      <c r="E698" s="29"/>
      <c r="F698" s="29"/>
      <c r="K698" s="29"/>
    </row>
    <row r="699" spans="1:11" ht="14.4" x14ac:dyDescent="0.3">
      <c r="A699" s="29"/>
      <c r="B699" s="29"/>
      <c r="C699" s="29"/>
      <c r="D699" s="29"/>
      <c r="E699" s="29"/>
      <c r="F699" s="29"/>
      <c r="K699" s="29"/>
    </row>
    <row r="700" spans="1:11" ht="14.4" x14ac:dyDescent="0.3">
      <c r="A700" s="29"/>
      <c r="B700" s="29"/>
      <c r="C700" s="29"/>
      <c r="D700" s="29"/>
      <c r="E700" s="29"/>
      <c r="F700" s="29"/>
      <c r="K700" s="29"/>
    </row>
    <row r="701" spans="1:11" ht="14.4" x14ac:dyDescent="0.3">
      <c r="A701" s="29"/>
      <c r="B701" s="29"/>
      <c r="C701" s="29"/>
      <c r="D701" s="29"/>
      <c r="E701" s="29"/>
      <c r="F701" s="29"/>
      <c r="K701" s="29"/>
    </row>
    <row r="702" spans="1:11" ht="14.4" x14ac:dyDescent="0.3">
      <c r="A702" s="29"/>
      <c r="B702" s="29"/>
      <c r="C702" s="29"/>
      <c r="D702" s="29"/>
      <c r="E702" s="29"/>
      <c r="F702" s="29"/>
      <c r="K702" s="29"/>
    </row>
    <row r="703" spans="1:11" ht="14.4" x14ac:dyDescent="0.3">
      <c r="A703" s="29"/>
      <c r="B703" s="29"/>
      <c r="C703" s="29"/>
      <c r="D703" s="29"/>
      <c r="E703" s="29"/>
      <c r="F703" s="29"/>
      <c r="K703" s="29"/>
    </row>
    <row r="704" spans="1:11" ht="14.4" x14ac:dyDescent="0.3">
      <c r="A704" s="29"/>
      <c r="B704" s="29"/>
      <c r="C704" s="29"/>
      <c r="D704" s="29"/>
      <c r="E704" s="29"/>
      <c r="F704" s="29"/>
      <c r="K704" s="29"/>
    </row>
    <row r="705" spans="1:11" ht="14.4" x14ac:dyDescent="0.3">
      <c r="A705" s="29"/>
      <c r="B705" s="29"/>
      <c r="C705" s="29"/>
      <c r="D705" s="29"/>
      <c r="E705" s="29"/>
      <c r="F705" s="29"/>
      <c r="K705" s="29"/>
    </row>
    <row r="706" spans="1:11" ht="14.4" x14ac:dyDescent="0.3">
      <c r="A706" s="29"/>
      <c r="B706" s="29"/>
      <c r="C706" s="29"/>
      <c r="D706" s="29"/>
      <c r="E706" s="29"/>
      <c r="F706" s="29"/>
      <c r="K706" s="29"/>
    </row>
    <row r="707" spans="1:11" ht="14.4" x14ac:dyDescent="0.3">
      <c r="A707" s="29"/>
      <c r="B707" s="29"/>
      <c r="C707" s="29"/>
      <c r="D707" s="29"/>
      <c r="E707" s="29"/>
      <c r="F707" s="29"/>
      <c r="K707" s="29"/>
    </row>
    <row r="708" spans="1:11" ht="14.4" x14ac:dyDescent="0.3">
      <c r="A708" s="29"/>
      <c r="B708" s="29"/>
      <c r="C708" s="29"/>
      <c r="D708" s="29"/>
      <c r="E708" s="29"/>
      <c r="F708" s="29"/>
      <c r="K708" s="29"/>
    </row>
    <row r="709" spans="1:11" ht="14.4" x14ac:dyDescent="0.3">
      <c r="A709" s="29"/>
      <c r="B709" s="29"/>
      <c r="C709" s="29"/>
      <c r="D709" s="29"/>
      <c r="E709" s="29"/>
      <c r="F709" s="29"/>
      <c r="K709" s="29"/>
    </row>
    <row r="710" spans="1:11" ht="14.4" x14ac:dyDescent="0.3">
      <c r="A710" s="29"/>
      <c r="B710" s="29"/>
      <c r="C710" s="29"/>
      <c r="D710" s="29"/>
      <c r="E710" s="29"/>
      <c r="F710" s="29"/>
      <c r="K710" s="29"/>
    </row>
    <row r="711" spans="1:11" ht="14.4" x14ac:dyDescent="0.3">
      <c r="A711" s="29"/>
      <c r="B711" s="29"/>
      <c r="C711" s="29"/>
      <c r="D711" s="29"/>
      <c r="E711" s="29"/>
      <c r="F711" s="29"/>
      <c r="K711" s="29"/>
    </row>
    <row r="712" spans="1:11" ht="14.4" x14ac:dyDescent="0.3">
      <c r="A712" s="29"/>
      <c r="B712" s="29"/>
      <c r="C712" s="29"/>
      <c r="D712" s="29"/>
      <c r="E712" s="29"/>
      <c r="F712" s="29"/>
      <c r="K712" s="29"/>
    </row>
    <row r="713" spans="1:11" ht="14.4" x14ac:dyDescent="0.3">
      <c r="A713" s="29"/>
      <c r="B713" s="29"/>
      <c r="C713" s="29"/>
      <c r="D713" s="29"/>
      <c r="E713" s="29"/>
      <c r="F713" s="29"/>
      <c r="K713" s="29"/>
    </row>
    <row r="714" spans="1:11" ht="14.4" x14ac:dyDescent="0.3">
      <c r="A714" s="29"/>
      <c r="B714" s="29"/>
      <c r="C714" s="29"/>
      <c r="D714" s="29"/>
      <c r="E714" s="29"/>
      <c r="F714" s="29"/>
      <c r="K714" s="29"/>
    </row>
    <row r="715" spans="1:11" ht="14.4" x14ac:dyDescent="0.3">
      <c r="A715" s="29"/>
      <c r="B715" s="29"/>
      <c r="C715" s="29"/>
      <c r="D715" s="29"/>
      <c r="E715" s="29"/>
      <c r="F715" s="29"/>
      <c r="K715" s="29"/>
    </row>
    <row r="716" spans="1:11" ht="14.4" x14ac:dyDescent="0.3">
      <c r="A716" s="29"/>
      <c r="B716" s="29"/>
      <c r="C716" s="29"/>
      <c r="D716" s="29"/>
      <c r="E716" s="29"/>
      <c r="F716" s="29"/>
      <c r="K716" s="29"/>
    </row>
    <row r="717" spans="1:11" ht="14.4" x14ac:dyDescent="0.3">
      <c r="A717" s="29"/>
      <c r="B717" s="29"/>
      <c r="C717" s="29"/>
      <c r="D717" s="29"/>
      <c r="E717" s="29"/>
      <c r="F717" s="29"/>
      <c r="K717" s="29"/>
    </row>
    <row r="718" spans="1:11" ht="14.4" x14ac:dyDescent="0.3">
      <c r="A718" s="29"/>
      <c r="B718" s="29"/>
      <c r="C718" s="29"/>
      <c r="D718" s="29"/>
      <c r="E718" s="29"/>
      <c r="F718" s="29"/>
      <c r="K718" s="29"/>
    </row>
    <row r="719" spans="1:11" ht="14.4" x14ac:dyDescent="0.3">
      <c r="A719" s="29"/>
      <c r="B719" s="29"/>
      <c r="C719" s="29"/>
      <c r="D719" s="29"/>
      <c r="E719" s="29"/>
      <c r="F719" s="29"/>
      <c r="K719" s="29"/>
    </row>
    <row r="720" spans="1:11" ht="14.4" x14ac:dyDescent="0.3">
      <c r="A720" s="29"/>
      <c r="B720" s="29"/>
      <c r="C720" s="29"/>
      <c r="D720" s="29"/>
      <c r="E720" s="29"/>
      <c r="F720" s="29"/>
      <c r="K720" s="29"/>
    </row>
    <row r="721" spans="1:11" ht="14.4" x14ac:dyDescent="0.3">
      <c r="A721" s="29"/>
      <c r="B721" s="29"/>
      <c r="C721" s="29"/>
      <c r="D721" s="29"/>
      <c r="E721" s="29"/>
      <c r="F721" s="29"/>
      <c r="K721" s="29"/>
    </row>
    <row r="722" spans="1:11" ht="14.4" x14ac:dyDescent="0.3">
      <c r="A722" s="29"/>
      <c r="B722" s="29"/>
      <c r="C722" s="29"/>
      <c r="D722" s="29"/>
      <c r="E722" s="29"/>
      <c r="F722" s="29"/>
      <c r="K722" s="29"/>
    </row>
    <row r="723" spans="1:11" ht="14.4" x14ac:dyDescent="0.3">
      <c r="A723" s="29"/>
      <c r="B723" s="29"/>
      <c r="C723" s="29"/>
      <c r="D723" s="29"/>
      <c r="E723" s="29"/>
      <c r="F723" s="29"/>
      <c r="K723" s="29"/>
    </row>
    <row r="724" spans="1:11" ht="14.4" x14ac:dyDescent="0.3">
      <c r="A724" s="29"/>
      <c r="B724" s="29"/>
      <c r="C724" s="29"/>
      <c r="D724" s="29"/>
      <c r="E724" s="29"/>
      <c r="F724" s="29"/>
      <c r="K724" s="29"/>
    </row>
    <row r="725" spans="1:11" ht="14.4" x14ac:dyDescent="0.3">
      <c r="A725" s="29"/>
      <c r="B725" s="29"/>
      <c r="C725" s="29"/>
      <c r="D725" s="29"/>
      <c r="E725" s="29"/>
      <c r="F725" s="29"/>
      <c r="K725" s="29"/>
    </row>
    <row r="726" spans="1:11" ht="14.4" x14ac:dyDescent="0.3">
      <c r="A726" s="29"/>
      <c r="B726" s="29"/>
      <c r="C726" s="29"/>
      <c r="D726" s="29"/>
      <c r="E726" s="29"/>
      <c r="F726" s="29"/>
      <c r="K726" s="29"/>
    </row>
    <row r="727" spans="1:11" ht="14.4" x14ac:dyDescent="0.3">
      <c r="A727" s="29"/>
      <c r="B727" s="29"/>
      <c r="C727" s="29"/>
      <c r="D727" s="29"/>
      <c r="E727" s="29"/>
      <c r="F727" s="29"/>
      <c r="K727" s="29"/>
    </row>
    <row r="728" spans="1:11" ht="14.4" x14ac:dyDescent="0.3">
      <c r="A728" s="29"/>
      <c r="B728" s="29"/>
      <c r="C728" s="29"/>
      <c r="D728" s="29"/>
      <c r="E728" s="29"/>
      <c r="F728" s="29"/>
      <c r="K728" s="29"/>
    </row>
    <row r="729" spans="1:11" ht="14.4" x14ac:dyDescent="0.3">
      <c r="A729" s="29"/>
      <c r="B729" s="29"/>
      <c r="C729" s="29"/>
      <c r="D729" s="29"/>
      <c r="E729" s="29"/>
      <c r="F729" s="29"/>
      <c r="K729" s="29"/>
    </row>
    <row r="730" spans="1:11" ht="14.4" x14ac:dyDescent="0.3">
      <c r="A730" s="29"/>
      <c r="B730" s="29"/>
      <c r="C730" s="29"/>
      <c r="D730" s="29"/>
      <c r="E730" s="29"/>
      <c r="F730" s="29"/>
      <c r="K730" s="29"/>
    </row>
    <row r="731" spans="1:11" ht="14.4" x14ac:dyDescent="0.3">
      <c r="A731" s="29"/>
      <c r="B731" s="29"/>
      <c r="C731" s="29"/>
      <c r="D731" s="29"/>
      <c r="E731" s="29"/>
      <c r="F731" s="29"/>
      <c r="K731" s="29"/>
    </row>
    <row r="732" spans="1:11" ht="14.4" x14ac:dyDescent="0.3">
      <c r="A732" s="29"/>
      <c r="B732" s="29"/>
      <c r="C732" s="29"/>
      <c r="D732" s="29"/>
      <c r="E732" s="29"/>
      <c r="F732" s="29"/>
      <c r="K732" s="29"/>
    </row>
    <row r="733" spans="1:11" ht="14.4" x14ac:dyDescent="0.3">
      <c r="A733" s="29"/>
      <c r="B733" s="29"/>
      <c r="C733" s="29"/>
      <c r="D733" s="29"/>
      <c r="E733" s="29"/>
      <c r="F733" s="29"/>
      <c r="K733" s="29"/>
    </row>
    <row r="734" spans="1:11" ht="14.4" x14ac:dyDescent="0.3">
      <c r="A734" s="29"/>
      <c r="B734" s="29"/>
      <c r="C734" s="29"/>
      <c r="D734" s="29"/>
      <c r="E734" s="29"/>
      <c r="F734" s="29"/>
      <c r="K734" s="29"/>
    </row>
    <row r="735" spans="1:11" ht="14.4" x14ac:dyDescent="0.3">
      <c r="A735" s="29"/>
      <c r="B735" s="29"/>
      <c r="C735" s="29"/>
      <c r="D735" s="29"/>
      <c r="E735" s="29"/>
      <c r="F735" s="29"/>
      <c r="K735" s="29"/>
    </row>
    <row r="736" spans="1:11" ht="14.4" x14ac:dyDescent="0.3">
      <c r="A736" s="29"/>
      <c r="B736" s="29"/>
      <c r="C736" s="29"/>
      <c r="D736" s="29"/>
      <c r="E736" s="29"/>
      <c r="F736" s="29"/>
      <c r="K736" s="29"/>
    </row>
    <row r="737" spans="1:11" ht="14.4" x14ac:dyDescent="0.3">
      <c r="A737" s="29"/>
      <c r="B737" s="29"/>
      <c r="C737" s="29"/>
      <c r="D737" s="29"/>
      <c r="E737" s="29"/>
      <c r="F737" s="29"/>
      <c r="K737" s="29"/>
    </row>
    <row r="738" spans="1:11" ht="14.4" x14ac:dyDescent="0.3">
      <c r="A738" s="29"/>
      <c r="B738" s="29"/>
      <c r="C738" s="29"/>
      <c r="D738" s="29"/>
      <c r="E738" s="29"/>
      <c r="F738" s="29"/>
      <c r="K738" s="29"/>
    </row>
    <row r="739" spans="1:11" ht="14.4" x14ac:dyDescent="0.3">
      <c r="A739" s="29"/>
      <c r="B739" s="29"/>
      <c r="C739" s="29"/>
      <c r="D739" s="29"/>
      <c r="E739" s="29"/>
      <c r="F739" s="29"/>
      <c r="K739" s="29"/>
    </row>
    <row r="740" spans="1:11" ht="14.4" x14ac:dyDescent="0.3">
      <c r="A740" s="29"/>
      <c r="B740" s="29"/>
      <c r="C740" s="29"/>
      <c r="D740" s="29"/>
      <c r="E740" s="29"/>
      <c r="F740" s="29"/>
      <c r="K740" s="29"/>
    </row>
    <row r="741" spans="1:11" ht="14.4" x14ac:dyDescent="0.3">
      <c r="A741" s="29"/>
      <c r="B741" s="29"/>
      <c r="C741" s="29"/>
      <c r="D741" s="29"/>
      <c r="E741" s="29"/>
      <c r="F741" s="29"/>
      <c r="K741" s="29"/>
    </row>
    <row r="742" spans="1:11" ht="14.4" x14ac:dyDescent="0.3">
      <c r="A742" s="29"/>
      <c r="B742" s="29"/>
      <c r="C742" s="29"/>
      <c r="D742" s="29"/>
      <c r="E742" s="29"/>
      <c r="F742" s="29"/>
      <c r="K742" s="29"/>
    </row>
    <row r="743" spans="1:11" ht="14.4" x14ac:dyDescent="0.3">
      <c r="A743" s="29"/>
      <c r="B743" s="29"/>
      <c r="C743" s="29"/>
      <c r="D743" s="29"/>
      <c r="E743" s="29"/>
      <c r="F743" s="29"/>
      <c r="K743" s="29"/>
    </row>
    <row r="744" spans="1:11" ht="14.4" x14ac:dyDescent="0.3">
      <c r="A744" s="29"/>
      <c r="B744" s="29"/>
      <c r="C744" s="29"/>
      <c r="D744" s="29"/>
      <c r="E744" s="29"/>
      <c r="F744" s="29"/>
      <c r="K744" s="29"/>
    </row>
    <row r="745" spans="1:11" ht="14.4" x14ac:dyDescent="0.3">
      <c r="A745" s="29"/>
      <c r="B745" s="29"/>
      <c r="C745" s="29"/>
      <c r="D745" s="29"/>
      <c r="E745" s="29"/>
      <c r="F745" s="29"/>
      <c r="K745" s="29"/>
    </row>
    <row r="746" spans="1:11" ht="14.4" x14ac:dyDescent="0.3">
      <c r="A746" s="29"/>
      <c r="B746" s="29"/>
      <c r="C746" s="29"/>
      <c r="D746" s="29"/>
      <c r="E746" s="29"/>
      <c r="F746" s="29"/>
      <c r="K746" s="29"/>
    </row>
    <row r="747" spans="1:11" ht="14.4" x14ac:dyDescent="0.3">
      <c r="A747" s="29"/>
      <c r="B747" s="29"/>
      <c r="C747" s="29"/>
      <c r="D747" s="29"/>
      <c r="E747" s="29"/>
      <c r="F747" s="29"/>
      <c r="K747" s="29"/>
    </row>
    <row r="748" spans="1:11" ht="14.4" x14ac:dyDescent="0.3">
      <c r="A748" s="29"/>
      <c r="B748" s="29"/>
      <c r="C748" s="29"/>
      <c r="D748" s="29"/>
      <c r="E748" s="29"/>
      <c r="F748" s="29"/>
      <c r="K748" s="29"/>
    </row>
    <row r="749" spans="1:11" ht="14.4" x14ac:dyDescent="0.3">
      <c r="A749" s="29"/>
      <c r="B749" s="29"/>
      <c r="C749" s="29"/>
      <c r="D749" s="29"/>
      <c r="E749" s="29"/>
      <c r="F749" s="29"/>
      <c r="K749" s="29"/>
    </row>
    <row r="750" spans="1:11" ht="14.4" x14ac:dyDescent="0.3">
      <c r="A750" s="29"/>
      <c r="B750" s="29"/>
      <c r="C750" s="29"/>
      <c r="D750" s="29"/>
      <c r="E750" s="29"/>
      <c r="F750" s="29"/>
      <c r="K750" s="29"/>
    </row>
    <row r="751" spans="1:11" ht="14.4" x14ac:dyDescent="0.3">
      <c r="A751" s="29"/>
      <c r="B751" s="29"/>
      <c r="C751" s="29"/>
      <c r="D751" s="29"/>
      <c r="E751" s="29"/>
      <c r="F751" s="29"/>
      <c r="K751" s="29"/>
    </row>
    <row r="752" spans="1:11" ht="14.4" x14ac:dyDescent="0.3">
      <c r="A752" s="29"/>
      <c r="B752" s="29"/>
      <c r="C752" s="29"/>
      <c r="D752" s="29"/>
      <c r="E752" s="29"/>
      <c r="F752" s="29"/>
      <c r="K752" s="29"/>
    </row>
    <row r="753" spans="1:11" ht="14.4" x14ac:dyDescent="0.3">
      <c r="A753" s="29"/>
      <c r="B753" s="29"/>
      <c r="C753" s="29"/>
      <c r="D753" s="29"/>
      <c r="E753" s="29"/>
      <c r="F753" s="29"/>
      <c r="K753" s="29"/>
    </row>
    <row r="754" spans="1:11" ht="14.4" x14ac:dyDescent="0.3">
      <c r="A754" s="29"/>
      <c r="B754" s="29"/>
      <c r="C754" s="29"/>
      <c r="D754" s="29"/>
      <c r="E754" s="29"/>
      <c r="F754" s="29"/>
      <c r="K754" s="29"/>
    </row>
    <row r="755" spans="1:11" ht="14.4" x14ac:dyDescent="0.3">
      <c r="A755" s="29"/>
      <c r="B755" s="29"/>
      <c r="C755" s="29"/>
      <c r="D755" s="29"/>
      <c r="E755" s="29"/>
      <c r="F755" s="29"/>
      <c r="K755" s="29"/>
    </row>
    <row r="756" spans="1:11" ht="14.4" x14ac:dyDescent="0.3">
      <c r="A756" s="29"/>
      <c r="B756" s="29"/>
      <c r="C756" s="29"/>
      <c r="D756" s="29"/>
      <c r="E756" s="29"/>
      <c r="F756" s="29"/>
      <c r="K756" s="29"/>
    </row>
    <row r="757" spans="1:11" ht="14.4" x14ac:dyDescent="0.3">
      <c r="A757" s="29"/>
      <c r="B757" s="29"/>
      <c r="C757" s="29"/>
      <c r="D757" s="29"/>
      <c r="E757" s="29"/>
      <c r="F757" s="29"/>
      <c r="K757" s="29"/>
    </row>
    <row r="758" spans="1:11" ht="14.4" x14ac:dyDescent="0.3">
      <c r="A758" s="29"/>
      <c r="B758" s="29"/>
      <c r="C758" s="29"/>
      <c r="D758" s="29"/>
      <c r="E758" s="29"/>
      <c r="F758" s="29"/>
      <c r="K758" s="29"/>
    </row>
    <row r="759" spans="1:11" ht="14.4" x14ac:dyDescent="0.3">
      <c r="A759" s="29"/>
      <c r="B759" s="29"/>
      <c r="C759" s="29"/>
      <c r="D759" s="29"/>
      <c r="E759" s="29"/>
      <c r="F759" s="29"/>
      <c r="K759" s="29"/>
    </row>
    <row r="760" spans="1:11" ht="14.4" x14ac:dyDescent="0.3">
      <c r="A760" s="29"/>
      <c r="B760" s="29"/>
      <c r="C760" s="29"/>
      <c r="D760" s="29"/>
      <c r="E760" s="29"/>
      <c r="F760" s="29"/>
      <c r="K760" s="29"/>
    </row>
    <row r="761" spans="1:11" ht="14.4" x14ac:dyDescent="0.3">
      <c r="A761" s="29"/>
      <c r="B761" s="29"/>
      <c r="C761" s="29"/>
      <c r="D761" s="29"/>
      <c r="E761" s="29"/>
      <c r="F761" s="29"/>
      <c r="K761" s="29"/>
    </row>
    <row r="762" spans="1:11" ht="14.4" x14ac:dyDescent="0.3">
      <c r="A762" s="29"/>
      <c r="B762" s="29"/>
      <c r="C762" s="29"/>
      <c r="D762" s="29"/>
      <c r="E762" s="29"/>
      <c r="F762" s="29"/>
      <c r="K762" s="29"/>
    </row>
    <row r="763" spans="1:11" ht="14.4" x14ac:dyDescent="0.3">
      <c r="A763" s="29"/>
      <c r="B763" s="29"/>
      <c r="C763" s="29"/>
      <c r="D763" s="29"/>
      <c r="E763" s="29"/>
      <c r="F763" s="29"/>
      <c r="K763" s="29"/>
    </row>
    <row r="764" spans="1:11" ht="14.4" x14ac:dyDescent="0.3">
      <c r="A764" s="29"/>
      <c r="B764" s="29"/>
      <c r="C764" s="29"/>
      <c r="D764" s="29"/>
      <c r="E764" s="29"/>
      <c r="F764" s="29"/>
      <c r="K764" s="29"/>
    </row>
    <row r="765" spans="1:11" ht="14.4" x14ac:dyDescent="0.3">
      <c r="A765" s="29"/>
      <c r="B765" s="29"/>
      <c r="C765" s="29"/>
      <c r="D765" s="29"/>
      <c r="E765" s="29"/>
      <c r="F765" s="29"/>
      <c r="K765" s="29"/>
    </row>
    <row r="766" spans="1:11" ht="14.4" x14ac:dyDescent="0.3">
      <c r="A766" s="29"/>
      <c r="B766" s="29"/>
      <c r="C766" s="29"/>
      <c r="D766" s="29"/>
      <c r="E766" s="29"/>
      <c r="F766" s="29"/>
      <c r="K766" s="29"/>
    </row>
    <row r="767" spans="1:11" ht="14.4" x14ac:dyDescent="0.3">
      <c r="A767" s="29"/>
      <c r="B767" s="29"/>
      <c r="C767" s="29"/>
      <c r="D767" s="29"/>
      <c r="E767" s="29"/>
      <c r="F767" s="29"/>
      <c r="K767" s="29"/>
    </row>
    <row r="768" spans="1:11" ht="14.4" x14ac:dyDescent="0.3">
      <c r="A768" s="29"/>
      <c r="B768" s="29"/>
      <c r="C768" s="29"/>
      <c r="D768" s="29"/>
      <c r="E768" s="29"/>
      <c r="F768" s="29"/>
      <c r="K768" s="29"/>
    </row>
    <row r="769" spans="1:11" ht="14.4" x14ac:dyDescent="0.3">
      <c r="A769" s="29"/>
      <c r="B769" s="29"/>
      <c r="C769" s="29"/>
      <c r="D769" s="29"/>
      <c r="E769" s="29"/>
      <c r="F769" s="29"/>
      <c r="K769" s="29"/>
    </row>
    <row r="770" spans="1:11" ht="14.4" x14ac:dyDescent="0.3">
      <c r="A770" s="29"/>
      <c r="B770" s="29"/>
      <c r="C770" s="29"/>
      <c r="D770" s="29"/>
      <c r="E770" s="29"/>
      <c r="F770" s="29"/>
      <c r="K770" s="29"/>
    </row>
    <row r="771" spans="1:11" ht="14.4" x14ac:dyDescent="0.3">
      <c r="A771" s="29"/>
      <c r="B771" s="29"/>
      <c r="C771" s="29"/>
      <c r="D771" s="29"/>
      <c r="E771" s="29"/>
      <c r="F771" s="29"/>
      <c r="K771" s="29"/>
    </row>
    <row r="772" spans="1:11" ht="14.4" x14ac:dyDescent="0.3">
      <c r="A772" s="29"/>
      <c r="B772" s="29"/>
      <c r="C772" s="29"/>
      <c r="D772" s="29"/>
      <c r="E772" s="29"/>
      <c r="F772" s="29"/>
      <c r="K772" s="29"/>
    </row>
    <row r="773" spans="1:11" ht="14.4" x14ac:dyDescent="0.3">
      <c r="A773" s="29"/>
      <c r="B773" s="29"/>
      <c r="C773" s="29"/>
      <c r="D773" s="29"/>
      <c r="E773" s="29"/>
      <c r="F773" s="29"/>
      <c r="K773" s="29"/>
    </row>
    <row r="774" spans="1:11" ht="14.4" x14ac:dyDescent="0.3">
      <c r="A774" s="29"/>
      <c r="B774" s="29"/>
      <c r="C774" s="29"/>
      <c r="D774" s="29"/>
      <c r="E774" s="29"/>
      <c r="F774" s="29"/>
      <c r="K774" s="29"/>
    </row>
    <row r="775" spans="1:11" ht="14.4" x14ac:dyDescent="0.3">
      <c r="A775" s="29"/>
      <c r="B775" s="29"/>
      <c r="C775" s="29"/>
      <c r="D775" s="29"/>
      <c r="E775" s="29"/>
      <c r="F775" s="29"/>
      <c r="K775" s="29"/>
    </row>
    <row r="776" spans="1:11" ht="14.4" x14ac:dyDescent="0.3">
      <c r="A776" s="29"/>
      <c r="B776" s="29"/>
      <c r="C776" s="29"/>
      <c r="D776" s="29"/>
      <c r="E776" s="29"/>
      <c r="F776" s="29"/>
      <c r="K776" s="29"/>
    </row>
    <row r="777" spans="1:11" ht="14.4" x14ac:dyDescent="0.3">
      <c r="A777" s="29"/>
      <c r="B777" s="29"/>
      <c r="C777" s="29"/>
      <c r="D777" s="29"/>
      <c r="E777" s="29"/>
      <c r="F777" s="29"/>
      <c r="K777" s="29"/>
    </row>
    <row r="778" spans="1:11" ht="14.4" x14ac:dyDescent="0.3">
      <c r="A778" s="29"/>
      <c r="B778" s="29"/>
      <c r="C778" s="29"/>
      <c r="D778" s="29"/>
      <c r="E778" s="29"/>
      <c r="F778" s="29"/>
      <c r="K778" s="29"/>
    </row>
    <row r="779" spans="1:11" ht="14.4" x14ac:dyDescent="0.3">
      <c r="A779" s="29"/>
      <c r="B779" s="29"/>
      <c r="C779" s="29"/>
      <c r="D779" s="29"/>
      <c r="E779" s="29"/>
      <c r="F779" s="29"/>
      <c r="K779" s="29"/>
    </row>
    <row r="780" spans="1:11" ht="14.4" x14ac:dyDescent="0.3">
      <c r="A780" s="29"/>
      <c r="B780" s="29"/>
      <c r="C780" s="29"/>
      <c r="D780" s="29"/>
      <c r="E780" s="29"/>
      <c r="F780" s="29"/>
      <c r="K780" s="29"/>
    </row>
    <row r="781" spans="1:11" ht="14.4" x14ac:dyDescent="0.3">
      <c r="A781" s="29"/>
      <c r="B781" s="29"/>
      <c r="C781" s="29"/>
      <c r="D781" s="29"/>
      <c r="E781" s="29"/>
      <c r="F781" s="29"/>
      <c r="K781" s="29"/>
    </row>
    <row r="782" spans="1:11" ht="14.4" x14ac:dyDescent="0.3">
      <c r="A782" s="29"/>
      <c r="B782" s="29"/>
      <c r="C782" s="29"/>
      <c r="D782" s="29"/>
      <c r="E782" s="29"/>
      <c r="F782" s="29"/>
      <c r="K782" s="29"/>
    </row>
    <row r="783" spans="1:11" ht="14.4" x14ac:dyDescent="0.3">
      <c r="A783" s="29"/>
      <c r="B783" s="29"/>
      <c r="C783" s="29"/>
      <c r="D783" s="29"/>
      <c r="E783" s="29"/>
      <c r="F783" s="29"/>
      <c r="K783" s="29"/>
    </row>
    <row r="784" spans="1:11" ht="14.4" x14ac:dyDescent="0.3">
      <c r="A784" s="29"/>
      <c r="B784" s="29"/>
      <c r="C784" s="29"/>
      <c r="D784" s="29"/>
      <c r="E784" s="29"/>
      <c r="F784" s="29"/>
      <c r="K784" s="29"/>
    </row>
    <row r="785" spans="1:11" ht="14.4" x14ac:dyDescent="0.3">
      <c r="A785" s="29"/>
      <c r="B785" s="29"/>
      <c r="C785" s="29"/>
      <c r="D785" s="29"/>
      <c r="E785" s="29"/>
      <c r="F785" s="29"/>
      <c r="K785" s="29"/>
    </row>
    <row r="786" spans="1:11" ht="14.4" x14ac:dyDescent="0.3">
      <c r="A786" s="29"/>
      <c r="B786" s="29"/>
      <c r="C786" s="29"/>
      <c r="D786" s="29"/>
      <c r="E786" s="29"/>
      <c r="F786" s="29"/>
      <c r="K786" s="29"/>
    </row>
    <row r="787" spans="1:11" ht="14.4" x14ac:dyDescent="0.3">
      <c r="A787" s="29"/>
      <c r="B787" s="29"/>
      <c r="C787" s="29"/>
      <c r="D787" s="29"/>
      <c r="E787" s="29"/>
      <c r="F787" s="29"/>
      <c r="K787" s="29"/>
    </row>
    <row r="788" spans="1:11" ht="14.4" x14ac:dyDescent="0.3">
      <c r="A788" s="29"/>
      <c r="B788" s="29"/>
      <c r="C788" s="29"/>
      <c r="D788" s="29"/>
      <c r="E788" s="29"/>
      <c r="F788" s="29"/>
      <c r="K788" s="29"/>
    </row>
    <row r="789" spans="1:11" ht="14.4" x14ac:dyDescent="0.3">
      <c r="A789" s="29"/>
      <c r="B789" s="29"/>
      <c r="C789" s="29"/>
      <c r="D789" s="29"/>
      <c r="E789" s="29"/>
      <c r="F789" s="29"/>
      <c r="K789" s="29"/>
    </row>
    <row r="790" spans="1:11" ht="14.4" x14ac:dyDescent="0.3">
      <c r="A790" s="29"/>
      <c r="B790" s="29"/>
      <c r="C790" s="29"/>
      <c r="D790" s="29"/>
      <c r="E790" s="29"/>
      <c r="F790" s="29"/>
      <c r="K790" s="29"/>
    </row>
    <row r="791" spans="1:11" ht="14.4" x14ac:dyDescent="0.3">
      <c r="A791" s="29"/>
      <c r="B791" s="29"/>
      <c r="C791" s="29"/>
      <c r="D791" s="29"/>
      <c r="E791" s="29"/>
      <c r="F791" s="29"/>
      <c r="K791" s="29"/>
    </row>
    <row r="792" spans="1:11" ht="14.4" x14ac:dyDescent="0.3">
      <c r="A792" s="29"/>
      <c r="B792" s="29"/>
      <c r="C792" s="29"/>
      <c r="D792" s="29"/>
      <c r="E792" s="29"/>
      <c r="F792" s="29"/>
      <c r="K792" s="29"/>
    </row>
    <row r="793" spans="1:11" ht="14.4" x14ac:dyDescent="0.3">
      <c r="A793" s="29"/>
      <c r="B793" s="29"/>
      <c r="C793" s="29"/>
      <c r="D793" s="29"/>
      <c r="E793" s="29"/>
      <c r="F793" s="29"/>
      <c r="K793" s="29"/>
    </row>
    <row r="794" spans="1:11" ht="14.4" x14ac:dyDescent="0.3">
      <c r="A794" s="29"/>
      <c r="B794" s="29"/>
      <c r="C794" s="29"/>
      <c r="D794" s="29"/>
      <c r="E794" s="29"/>
      <c r="F794" s="29"/>
      <c r="K794" s="29"/>
    </row>
    <row r="795" spans="1:11" ht="14.4" x14ac:dyDescent="0.3">
      <c r="A795" s="29"/>
      <c r="B795" s="29"/>
      <c r="C795" s="29"/>
      <c r="D795" s="29"/>
      <c r="E795" s="29"/>
      <c r="F795" s="29"/>
      <c r="K795" s="29"/>
    </row>
    <row r="796" spans="1:11" ht="14.4" x14ac:dyDescent="0.3">
      <c r="A796" s="29"/>
      <c r="B796" s="29"/>
      <c r="C796" s="29"/>
      <c r="D796" s="29"/>
      <c r="E796" s="29"/>
      <c r="F796" s="29"/>
      <c r="K796" s="29"/>
    </row>
    <row r="797" spans="1:11" ht="14.4" x14ac:dyDescent="0.3">
      <c r="A797" s="29"/>
      <c r="B797" s="29"/>
      <c r="C797" s="29"/>
      <c r="D797" s="29"/>
      <c r="E797" s="29"/>
      <c r="F797" s="29"/>
      <c r="K797" s="29"/>
    </row>
    <row r="798" spans="1:11" ht="14.4" x14ac:dyDescent="0.3">
      <c r="A798" s="29"/>
      <c r="B798" s="29"/>
      <c r="C798" s="29"/>
      <c r="D798" s="29"/>
      <c r="E798" s="29"/>
      <c r="F798" s="29"/>
      <c r="K798" s="29"/>
    </row>
    <row r="799" spans="1:11" ht="14.4" x14ac:dyDescent="0.3">
      <c r="A799" s="29"/>
      <c r="B799" s="29"/>
      <c r="C799" s="29"/>
      <c r="D799" s="29"/>
      <c r="E799" s="29"/>
      <c r="F799" s="29"/>
      <c r="K799" s="29"/>
    </row>
    <row r="800" spans="1:11" ht="14.4" x14ac:dyDescent="0.3">
      <c r="A800" s="29"/>
      <c r="B800" s="29"/>
      <c r="C800" s="29"/>
      <c r="D800" s="29"/>
      <c r="E800" s="29"/>
      <c r="F800" s="29"/>
      <c r="K800" s="29"/>
    </row>
    <row r="801" spans="1:11" ht="14.4" x14ac:dyDescent="0.3">
      <c r="A801" s="29"/>
      <c r="B801" s="29"/>
      <c r="C801" s="29"/>
      <c r="D801" s="29"/>
      <c r="E801" s="29"/>
      <c r="F801" s="29"/>
      <c r="K801" s="29"/>
    </row>
    <row r="802" spans="1:11" ht="14.4" x14ac:dyDescent="0.3">
      <c r="A802" s="29"/>
      <c r="B802" s="29"/>
      <c r="C802" s="29"/>
      <c r="D802" s="29"/>
      <c r="E802" s="29"/>
      <c r="F802" s="29"/>
      <c r="K802" s="29"/>
    </row>
    <row r="803" spans="1:11" ht="14.4" x14ac:dyDescent="0.3">
      <c r="A803" s="29"/>
      <c r="B803" s="29"/>
      <c r="C803" s="29"/>
      <c r="D803" s="29"/>
      <c r="E803" s="29"/>
      <c r="F803" s="29"/>
      <c r="K803" s="29"/>
    </row>
    <row r="804" spans="1:11" ht="14.4" x14ac:dyDescent="0.3">
      <c r="A804" s="29"/>
      <c r="B804" s="29"/>
      <c r="C804" s="29"/>
      <c r="D804" s="29"/>
      <c r="E804" s="29"/>
      <c r="F804" s="29"/>
      <c r="K804" s="29"/>
    </row>
    <row r="805" spans="1:11" ht="14.4" x14ac:dyDescent="0.3">
      <c r="A805" s="29"/>
      <c r="B805" s="29"/>
      <c r="C805" s="29"/>
      <c r="D805" s="29"/>
      <c r="E805" s="29"/>
      <c r="F805" s="29"/>
      <c r="K805" s="29"/>
    </row>
    <row r="806" spans="1:11" ht="14.4" x14ac:dyDescent="0.3">
      <c r="A806" s="29"/>
      <c r="B806" s="29"/>
      <c r="C806" s="29"/>
      <c r="D806" s="29"/>
      <c r="E806" s="29"/>
      <c r="F806" s="29"/>
      <c r="K806" s="29"/>
    </row>
    <row r="807" spans="1:11" ht="14.4" x14ac:dyDescent="0.3">
      <c r="A807" s="29"/>
      <c r="B807" s="29"/>
      <c r="C807" s="29"/>
      <c r="D807" s="29"/>
      <c r="E807" s="29"/>
      <c r="F807" s="29"/>
      <c r="K807" s="29"/>
    </row>
    <row r="808" spans="1:11" ht="14.4" x14ac:dyDescent="0.3">
      <c r="A808" s="29"/>
      <c r="B808" s="29"/>
      <c r="C808" s="29"/>
      <c r="D808" s="29"/>
      <c r="E808" s="29"/>
      <c r="F808" s="29"/>
      <c r="K808" s="29"/>
    </row>
    <row r="809" spans="1:11" ht="14.4" x14ac:dyDescent="0.3">
      <c r="A809" s="29"/>
      <c r="B809" s="29"/>
      <c r="C809" s="29"/>
      <c r="D809" s="29"/>
      <c r="E809" s="29"/>
      <c r="F809" s="29"/>
      <c r="K809" s="29"/>
    </row>
    <row r="810" spans="1:11" ht="14.4" x14ac:dyDescent="0.3">
      <c r="A810" s="29"/>
      <c r="B810" s="29"/>
      <c r="C810" s="29"/>
      <c r="D810" s="29"/>
      <c r="E810" s="29"/>
      <c r="F810" s="29"/>
      <c r="K810" s="29"/>
    </row>
    <row r="811" spans="1:11" ht="14.4" x14ac:dyDescent="0.3">
      <c r="A811" s="29"/>
      <c r="B811" s="29"/>
      <c r="C811" s="29"/>
      <c r="D811" s="29"/>
      <c r="E811" s="29"/>
      <c r="F811" s="29"/>
      <c r="K811" s="29"/>
    </row>
    <row r="812" spans="1:11" ht="14.4" x14ac:dyDescent="0.3">
      <c r="A812" s="29"/>
      <c r="B812" s="29"/>
      <c r="C812" s="29"/>
      <c r="D812" s="29"/>
      <c r="E812" s="29"/>
      <c r="F812" s="29"/>
      <c r="K812" s="29"/>
    </row>
    <row r="813" spans="1:11" ht="14.4" x14ac:dyDescent="0.3">
      <c r="A813" s="29"/>
      <c r="B813" s="29"/>
      <c r="C813" s="29"/>
      <c r="D813" s="29"/>
      <c r="E813" s="29"/>
      <c r="F813" s="29"/>
      <c r="K813" s="29"/>
    </row>
    <row r="814" spans="1:11" ht="14.4" x14ac:dyDescent="0.3">
      <c r="A814" s="29"/>
      <c r="B814" s="29"/>
      <c r="C814" s="29"/>
      <c r="D814" s="29"/>
      <c r="E814" s="29"/>
      <c r="F814" s="29"/>
      <c r="K814" s="29"/>
    </row>
    <row r="815" spans="1:11" ht="14.4" x14ac:dyDescent="0.3">
      <c r="A815" s="29"/>
      <c r="B815" s="29"/>
      <c r="C815" s="29"/>
      <c r="D815" s="29"/>
      <c r="E815" s="29"/>
      <c r="F815" s="29"/>
      <c r="K815" s="29"/>
    </row>
    <row r="816" spans="1:11" ht="14.4" x14ac:dyDescent="0.3">
      <c r="A816" s="29"/>
      <c r="B816" s="29"/>
      <c r="C816" s="29"/>
      <c r="D816" s="29"/>
      <c r="E816" s="29"/>
      <c r="F816" s="29"/>
      <c r="K816" s="29"/>
    </row>
    <row r="817" spans="1:11" ht="14.4" x14ac:dyDescent="0.3">
      <c r="A817" s="29"/>
      <c r="B817" s="29"/>
      <c r="C817" s="29"/>
      <c r="D817" s="29"/>
      <c r="E817" s="29"/>
      <c r="F817" s="29"/>
      <c r="K817" s="29"/>
    </row>
    <row r="818" spans="1:11" ht="14.4" x14ac:dyDescent="0.3">
      <c r="A818" s="29"/>
      <c r="B818" s="29"/>
      <c r="C818" s="29"/>
      <c r="D818" s="29"/>
      <c r="E818" s="29"/>
      <c r="F818" s="29"/>
      <c r="K818" s="29"/>
    </row>
    <row r="819" spans="1:11" ht="14.4" x14ac:dyDescent="0.3">
      <c r="A819" s="29"/>
      <c r="B819" s="29"/>
      <c r="C819" s="29"/>
      <c r="D819" s="29"/>
      <c r="E819" s="29"/>
      <c r="F819" s="29"/>
      <c r="K819" s="29"/>
    </row>
    <row r="820" spans="1:11" ht="14.4" x14ac:dyDescent="0.3">
      <c r="A820" s="29"/>
      <c r="B820" s="29"/>
      <c r="C820" s="29"/>
      <c r="D820" s="29"/>
      <c r="E820" s="29"/>
      <c r="F820" s="29"/>
      <c r="K820" s="29"/>
    </row>
    <row r="821" spans="1:11" ht="14.4" x14ac:dyDescent="0.3">
      <c r="A821" s="29"/>
      <c r="B821" s="29"/>
      <c r="C821" s="29"/>
      <c r="D821" s="29"/>
      <c r="E821" s="29"/>
      <c r="F821" s="29"/>
      <c r="K821" s="29"/>
    </row>
    <row r="822" spans="1:11" ht="14.4" x14ac:dyDescent="0.3">
      <c r="A822" s="29"/>
      <c r="B822" s="29"/>
      <c r="C822" s="29"/>
      <c r="D822" s="29"/>
      <c r="E822" s="29"/>
      <c r="F822" s="29"/>
      <c r="K822" s="29"/>
    </row>
    <row r="823" spans="1:11" ht="14.4" x14ac:dyDescent="0.3">
      <c r="A823" s="29"/>
      <c r="B823" s="29"/>
      <c r="C823" s="29"/>
      <c r="D823" s="29"/>
      <c r="E823" s="29"/>
      <c r="F823" s="29"/>
      <c r="K823" s="29"/>
    </row>
    <row r="824" spans="1:11" ht="14.4" x14ac:dyDescent="0.3">
      <c r="A824" s="29"/>
      <c r="B824" s="29"/>
      <c r="C824" s="29"/>
      <c r="D824" s="29"/>
      <c r="E824" s="29"/>
      <c r="F824" s="29"/>
      <c r="K824" s="29"/>
    </row>
    <row r="825" spans="1:11" ht="14.4" x14ac:dyDescent="0.3">
      <c r="A825" s="29"/>
      <c r="B825" s="29"/>
      <c r="C825" s="29"/>
      <c r="D825" s="29"/>
      <c r="E825" s="29"/>
      <c r="F825" s="29"/>
      <c r="K825" s="29"/>
    </row>
    <row r="826" spans="1:11" ht="14.4" x14ac:dyDescent="0.3">
      <c r="A826" s="29"/>
      <c r="B826" s="29"/>
      <c r="C826" s="29"/>
      <c r="D826" s="29"/>
      <c r="E826" s="29"/>
      <c r="F826" s="29"/>
      <c r="K826" s="29"/>
    </row>
    <row r="827" spans="1:11" ht="14.4" x14ac:dyDescent="0.3">
      <c r="A827" s="29"/>
      <c r="B827" s="29"/>
      <c r="C827" s="29"/>
      <c r="D827" s="29"/>
      <c r="E827" s="29"/>
      <c r="F827" s="29"/>
      <c r="K827" s="29"/>
    </row>
    <row r="828" spans="1:11" ht="14.4" x14ac:dyDescent="0.3">
      <c r="A828" s="29"/>
      <c r="B828" s="29"/>
      <c r="C828" s="29"/>
      <c r="D828" s="29"/>
      <c r="E828" s="29"/>
      <c r="F828" s="29"/>
      <c r="K828" s="29"/>
    </row>
    <row r="829" spans="1:11" ht="14.4" x14ac:dyDescent="0.3">
      <c r="A829" s="29"/>
      <c r="B829" s="29"/>
      <c r="C829" s="29"/>
      <c r="D829" s="29"/>
      <c r="E829" s="29"/>
      <c r="F829" s="29"/>
      <c r="K829" s="29"/>
    </row>
    <row r="830" spans="1:11" ht="14.4" x14ac:dyDescent="0.3">
      <c r="A830" s="29"/>
      <c r="B830" s="29"/>
      <c r="C830" s="29"/>
      <c r="D830" s="29"/>
      <c r="E830" s="29"/>
      <c r="F830" s="29"/>
      <c r="K830" s="29"/>
    </row>
    <row r="831" spans="1:11" ht="14.4" x14ac:dyDescent="0.3">
      <c r="A831" s="29"/>
      <c r="B831" s="29"/>
      <c r="C831" s="29"/>
      <c r="D831" s="29"/>
      <c r="E831" s="29"/>
      <c r="F831" s="29"/>
      <c r="K831" s="29"/>
    </row>
    <row r="832" spans="1:11" ht="14.4" x14ac:dyDescent="0.3">
      <c r="A832" s="29"/>
      <c r="B832" s="29"/>
      <c r="C832" s="29"/>
      <c r="D832" s="29"/>
      <c r="E832" s="29"/>
      <c r="F832" s="29"/>
      <c r="K832" s="29"/>
    </row>
    <row r="833" spans="1:11" ht="14.4" x14ac:dyDescent="0.3">
      <c r="A833" s="29"/>
      <c r="B833" s="29"/>
      <c r="C833" s="29"/>
      <c r="D833" s="29"/>
      <c r="E833" s="29"/>
      <c r="F833" s="29"/>
      <c r="K833" s="29"/>
    </row>
    <row r="834" spans="1:11" ht="14.4" x14ac:dyDescent="0.3">
      <c r="A834" s="29"/>
      <c r="B834" s="29"/>
      <c r="C834" s="29"/>
      <c r="D834" s="29"/>
      <c r="E834" s="29"/>
      <c r="F834" s="29"/>
      <c r="K834" s="29"/>
    </row>
    <row r="835" spans="1:11" ht="14.4" x14ac:dyDescent="0.3">
      <c r="A835" s="29"/>
      <c r="B835" s="29"/>
      <c r="C835" s="29"/>
      <c r="D835" s="29"/>
      <c r="E835" s="29"/>
      <c r="F835" s="29"/>
      <c r="K835" s="29"/>
    </row>
    <row r="836" spans="1:11" ht="14.4" x14ac:dyDescent="0.3">
      <c r="A836" s="29"/>
      <c r="B836" s="29"/>
      <c r="C836" s="29"/>
      <c r="D836" s="29"/>
      <c r="E836" s="29"/>
      <c r="F836" s="29"/>
      <c r="K836" s="29"/>
    </row>
    <row r="837" spans="1:11" ht="14.4" x14ac:dyDescent="0.3">
      <c r="A837" s="29"/>
      <c r="B837" s="29"/>
      <c r="C837" s="29"/>
      <c r="D837" s="29"/>
      <c r="E837" s="29"/>
      <c r="F837" s="29"/>
      <c r="K837" s="29"/>
    </row>
    <row r="838" spans="1:11" ht="14.4" x14ac:dyDescent="0.3">
      <c r="A838" s="29"/>
      <c r="B838" s="29"/>
      <c r="C838" s="29"/>
      <c r="D838" s="29"/>
      <c r="E838" s="29"/>
      <c r="F838" s="29"/>
      <c r="K838" s="29"/>
    </row>
    <row r="839" spans="1:11" ht="14.4" x14ac:dyDescent="0.3">
      <c r="A839" s="29"/>
      <c r="B839" s="29"/>
      <c r="C839" s="29"/>
      <c r="D839" s="29"/>
      <c r="E839" s="29"/>
      <c r="F839" s="29"/>
      <c r="K839" s="29"/>
    </row>
    <row r="840" spans="1:11" ht="14.4" x14ac:dyDescent="0.3">
      <c r="A840" s="29"/>
      <c r="B840" s="29"/>
      <c r="C840" s="29"/>
      <c r="D840" s="29"/>
      <c r="E840" s="29"/>
      <c r="F840" s="29"/>
      <c r="K840" s="29"/>
    </row>
    <row r="841" spans="1:11" ht="14.4" x14ac:dyDescent="0.3">
      <c r="A841" s="29"/>
      <c r="B841" s="29"/>
      <c r="C841" s="29"/>
      <c r="D841" s="29"/>
      <c r="E841" s="29"/>
      <c r="F841" s="29"/>
      <c r="K841" s="29"/>
    </row>
    <row r="842" spans="1:11" ht="14.4" x14ac:dyDescent="0.3">
      <c r="A842" s="29"/>
      <c r="B842" s="29"/>
      <c r="C842" s="29"/>
      <c r="D842" s="29"/>
      <c r="E842" s="29"/>
      <c r="F842" s="29"/>
      <c r="K842" s="29"/>
    </row>
    <row r="843" spans="1:11" ht="14.4" x14ac:dyDescent="0.3">
      <c r="A843" s="29"/>
      <c r="B843" s="29"/>
      <c r="C843" s="29"/>
      <c r="D843" s="29"/>
      <c r="E843" s="29"/>
      <c r="F843" s="29"/>
      <c r="K843" s="29"/>
    </row>
    <row r="844" spans="1:11" ht="14.4" x14ac:dyDescent="0.3">
      <c r="A844" s="29"/>
      <c r="B844" s="29"/>
      <c r="C844" s="29"/>
      <c r="D844" s="29"/>
      <c r="E844" s="29"/>
      <c r="F844" s="29"/>
      <c r="K844" s="29"/>
    </row>
    <row r="845" spans="1:11" ht="14.4" x14ac:dyDescent="0.3">
      <c r="A845" s="29"/>
      <c r="B845" s="29"/>
      <c r="C845" s="29"/>
      <c r="D845" s="29"/>
      <c r="E845" s="29"/>
      <c r="F845" s="29"/>
      <c r="K845" s="29"/>
    </row>
    <row r="846" spans="1:11" ht="14.4" x14ac:dyDescent="0.3">
      <c r="A846" s="29"/>
      <c r="B846" s="29"/>
      <c r="C846" s="29"/>
      <c r="D846" s="29"/>
      <c r="E846" s="29"/>
      <c r="F846" s="29"/>
      <c r="K846" s="29"/>
    </row>
    <row r="847" spans="1:11" ht="14.4" x14ac:dyDescent="0.3">
      <c r="A847" s="29"/>
      <c r="B847" s="29"/>
      <c r="C847" s="29"/>
      <c r="D847" s="29"/>
      <c r="E847" s="29"/>
      <c r="F847" s="29"/>
      <c r="K847" s="29"/>
    </row>
    <row r="848" spans="1:11" ht="14.4" x14ac:dyDescent="0.3">
      <c r="A848" s="29"/>
      <c r="B848" s="29"/>
      <c r="C848" s="29"/>
      <c r="D848" s="29"/>
      <c r="E848" s="29"/>
      <c r="F848" s="29"/>
      <c r="K848" s="29"/>
    </row>
    <row r="849" spans="1:11" ht="14.4" x14ac:dyDescent="0.3">
      <c r="A849" s="29"/>
      <c r="B849" s="29"/>
      <c r="C849" s="29"/>
      <c r="D849" s="29"/>
      <c r="E849" s="29"/>
      <c r="F849" s="29"/>
      <c r="K849" s="29"/>
    </row>
    <row r="850" spans="1:11" ht="14.4" x14ac:dyDescent="0.3">
      <c r="A850" s="29"/>
      <c r="B850" s="29"/>
      <c r="C850" s="29"/>
      <c r="D850" s="29"/>
      <c r="E850" s="29"/>
      <c r="F850" s="29"/>
      <c r="K850" s="29"/>
    </row>
    <row r="851" spans="1:11" ht="14.4" x14ac:dyDescent="0.3">
      <c r="A851" s="29"/>
      <c r="B851" s="29"/>
      <c r="C851" s="29"/>
      <c r="D851" s="29"/>
      <c r="E851" s="29"/>
      <c r="F851" s="29"/>
      <c r="K851" s="29"/>
    </row>
    <row r="852" spans="1:11" ht="14.4" x14ac:dyDescent="0.3">
      <c r="A852" s="29"/>
      <c r="B852" s="29"/>
      <c r="C852" s="29"/>
      <c r="D852" s="29"/>
      <c r="E852" s="29"/>
      <c r="F852" s="29"/>
      <c r="K852" s="29"/>
    </row>
    <row r="853" spans="1:11" ht="14.4" x14ac:dyDescent="0.3">
      <c r="A853" s="29"/>
      <c r="B853" s="29"/>
      <c r="C853" s="29"/>
      <c r="D853" s="29"/>
      <c r="E853" s="29"/>
      <c r="F853" s="29"/>
      <c r="K853" s="29"/>
    </row>
    <row r="854" spans="1:11" ht="14.4" x14ac:dyDescent="0.3">
      <c r="A854" s="29"/>
      <c r="B854" s="29"/>
      <c r="C854" s="29"/>
      <c r="D854" s="29"/>
      <c r="E854" s="29"/>
      <c r="F854" s="29"/>
      <c r="K854" s="29"/>
    </row>
    <row r="855" spans="1:11" ht="14.4" x14ac:dyDescent="0.3">
      <c r="A855" s="29"/>
      <c r="B855" s="29"/>
      <c r="C855" s="29"/>
      <c r="D855" s="29"/>
      <c r="E855" s="29"/>
      <c r="F855" s="29"/>
      <c r="K855" s="29"/>
    </row>
    <row r="856" spans="1:11" ht="14.4" x14ac:dyDescent="0.3">
      <c r="A856" s="29"/>
      <c r="B856" s="29"/>
      <c r="C856" s="29"/>
      <c r="D856" s="29"/>
      <c r="E856" s="29"/>
      <c r="F856" s="29"/>
      <c r="K856" s="29"/>
    </row>
    <row r="857" spans="1:11" ht="14.4" x14ac:dyDescent="0.3">
      <c r="A857" s="29"/>
      <c r="B857" s="29"/>
      <c r="C857" s="29"/>
      <c r="D857" s="29"/>
      <c r="E857" s="29"/>
      <c r="F857" s="29"/>
      <c r="K857" s="29"/>
    </row>
    <row r="858" spans="1:11" ht="14.4" x14ac:dyDescent="0.3">
      <c r="A858" s="29"/>
      <c r="B858" s="29"/>
      <c r="C858" s="29"/>
      <c r="D858" s="29"/>
      <c r="E858" s="29"/>
      <c r="F858" s="29"/>
      <c r="K858" s="29"/>
    </row>
    <row r="859" spans="1:11" ht="14.4" x14ac:dyDescent="0.3">
      <c r="A859" s="29"/>
      <c r="B859" s="29"/>
      <c r="C859" s="29"/>
      <c r="D859" s="29"/>
      <c r="E859" s="29"/>
      <c r="F859" s="29"/>
      <c r="K859" s="29"/>
    </row>
    <row r="860" spans="1:11" ht="14.4" x14ac:dyDescent="0.3">
      <c r="A860" s="29"/>
      <c r="B860" s="29"/>
      <c r="C860" s="29"/>
      <c r="D860" s="29"/>
      <c r="E860" s="29"/>
      <c r="F860" s="29"/>
      <c r="K860" s="29"/>
    </row>
    <row r="861" spans="1:11" ht="14.4" x14ac:dyDescent="0.3">
      <c r="A861" s="29"/>
      <c r="B861" s="29"/>
      <c r="C861" s="29"/>
      <c r="D861" s="29"/>
      <c r="E861" s="29"/>
      <c r="F861" s="29"/>
      <c r="K861" s="29"/>
    </row>
    <row r="862" spans="1:11" ht="14.4" x14ac:dyDescent="0.3">
      <c r="A862" s="29"/>
      <c r="B862" s="29"/>
      <c r="C862" s="29"/>
      <c r="D862" s="29"/>
      <c r="E862" s="29"/>
      <c r="F862" s="29"/>
      <c r="K862" s="29"/>
    </row>
    <row r="863" spans="1:11" ht="14.4" x14ac:dyDescent="0.3">
      <c r="A863" s="29"/>
      <c r="B863" s="29"/>
      <c r="C863" s="29"/>
      <c r="D863" s="29"/>
      <c r="E863" s="29"/>
      <c r="F863" s="29"/>
      <c r="K863" s="29"/>
    </row>
    <row r="864" spans="1:11" ht="14.4" x14ac:dyDescent="0.3">
      <c r="A864" s="29"/>
      <c r="B864" s="29"/>
      <c r="C864" s="29"/>
      <c r="D864" s="29"/>
      <c r="E864" s="29"/>
      <c r="F864" s="29"/>
      <c r="K864" s="29"/>
    </row>
    <row r="865" spans="1:11" ht="14.4" x14ac:dyDescent="0.3">
      <c r="A865" s="29"/>
      <c r="B865" s="29"/>
      <c r="C865" s="29"/>
      <c r="D865" s="29"/>
      <c r="E865" s="29"/>
      <c r="F865" s="29"/>
      <c r="K865" s="29"/>
    </row>
    <row r="866" spans="1:11" ht="14.4" x14ac:dyDescent="0.3">
      <c r="A866" s="29"/>
      <c r="B866" s="29"/>
      <c r="C866" s="29"/>
      <c r="D866" s="29"/>
      <c r="E866" s="29"/>
      <c r="F866" s="29"/>
      <c r="K866" s="29"/>
    </row>
    <row r="867" spans="1:11" ht="14.4" x14ac:dyDescent="0.3">
      <c r="A867" s="29"/>
      <c r="B867" s="29"/>
      <c r="C867" s="29"/>
      <c r="D867" s="29"/>
      <c r="E867" s="29"/>
      <c r="F867" s="29"/>
      <c r="K867" s="29"/>
    </row>
    <row r="868" spans="1:11" ht="14.4" x14ac:dyDescent="0.3">
      <c r="A868" s="29"/>
      <c r="B868" s="29"/>
      <c r="C868" s="29"/>
      <c r="D868" s="29"/>
      <c r="E868" s="29"/>
      <c r="F868" s="29"/>
      <c r="K868" s="29"/>
    </row>
    <row r="869" spans="1:11" ht="14.4" x14ac:dyDescent="0.3">
      <c r="A869" s="29"/>
      <c r="B869" s="29"/>
      <c r="C869" s="29"/>
      <c r="D869" s="29"/>
      <c r="E869" s="29"/>
      <c r="F869" s="29"/>
      <c r="K869" s="29"/>
    </row>
    <row r="870" spans="1:11" ht="14.4" x14ac:dyDescent="0.3">
      <c r="A870" s="29"/>
      <c r="B870" s="29"/>
      <c r="C870" s="29"/>
      <c r="D870" s="29"/>
      <c r="E870" s="29"/>
      <c r="F870" s="29"/>
      <c r="K870" s="29"/>
    </row>
    <row r="871" spans="1:11" ht="14.4" x14ac:dyDescent="0.3">
      <c r="A871" s="29"/>
      <c r="B871" s="29"/>
      <c r="C871" s="29"/>
      <c r="D871" s="29"/>
      <c r="E871" s="29"/>
      <c r="F871" s="29"/>
      <c r="K871" s="29"/>
    </row>
    <row r="872" spans="1:11" ht="14.4" x14ac:dyDescent="0.3">
      <c r="A872" s="29"/>
      <c r="B872" s="29"/>
      <c r="C872" s="29"/>
      <c r="D872" s="29"/>
      <c r="E872" s="29"/>
      <c r="F872" s="29"/>
      <c r="K872" s="29"/>
    </row>
    <row r="873" spans="1:11" ht="14.4" x14ac:dyDescent="0.3">
      <c r="A873" s="29"/>
      <c r="B873" s="29"/>
      <c r="C873" s="29"/>
      <c r="D873" s="29"/>
      <c r="E873" s="29"/>
      <c r="F873" s="29"/>
      <c r="K873" s="29"/>
    </row>
    <row r="874" spans="1:11" ht="14.4" x14ac:dyDescent="0.3">
      <c r="A874" s="29"/>
      <c r="B874" s="29"/>
      <c r="C874" s="29"/>
      <c r="D874" s="29"/>
      <c r="E874" s="29"/>
      <c r="F874" s="29"/>
      <c r="K874" s="29"/>
    </row>
    <row r="875" spans="1:11" ht="14.4" x14ac:dyDescent="0.3">
      <c r="A875" s="29"/>
      <c r="B875" s="29"/>
      <c r="C875" s="29"/>
      <c r="D875" s="29"/>
      <c r="E875" s="29"/>
      <c r="F875" s="29"/>
      <c r="K875" s="29"/>
    </row>
    <row r="876" spans="1:11" ht="14.4" x14ac:dyDescent="0.3">
      <c r="A876" s="29"/>
      <c r="B876" s="29"/>
      <c r="C876" s="29"/>
      <c r="D876" s="29"/>
      <c r="E876" s="29"/>
      <c r="F876" s="29"/>
      <c r="K876" s="29"/>
    </row>
    <row r="877" spans="1:11" ht="14.4" x14ac:dyDescent="0.3">
      <c r="A877" s="29"/>
      <c r="B877" s="29"/>
      <c r="C877" s="29"/>
      <c r="D877" s="29"/>
      <c r="E877" s="29"/>
      <c r="F877" s="29"/>
      <c r="K877" s="29"/>
    </row>
    <row r="878" spans="1:11" ht="14.4" x14ac:dyDescent="0.3">
      <c r="A878" s="29"/>
      <c r="B878" s="29"/>
      <c r="C878" s="29"/>
      <c r="D878" s="29"/>
      <c r="E878" s="29"/>
      <c r="F878" s="29"/>
      <c r="K878" s="29"/>
    </row>
    <row r="879" spans="1:11" ht="14.4" x14ac:dyDescent="0.3">
      <c r="A879" s="29"/>
      <c r="B879" s="29"/>
      <c r="C879" s="29"/>
      <c r="D879" s="29"/>
      <c r="E879" s="29"/>
      <c r="F879" s="29"/>
      <c r="K879" s="29"/>
    </row>
    <row r="880" spans="1:11" ht="14.4" x14ac:dyDescent="0.3">
      <c r="A880" s="29"/>
      <c r="B880" s="29"/>
      <c r="C880" s="29"/>
      <c r="D880" s="29"/>
      <c r="E880" s="29"/>
      <c r="F880" s="29"/>
      <c r="K880" s="29"/>
    </row>
    <row r="881" spans="1:11" ht="14.4" x14ac:dyDescent="0.3">
      <c r="A881" s="29"/>
      <c r="B881" s="29"/>
      <c r="C881" s="29"/>
      <c r="D881" s="29"/>
      <c r="E881" s="29"/>
      <c r="F881" s="29"/>
      <c r="K881" s="29"/>
    </row>
    <row r="882" spans="1:11" ht="14.4" x14ac:dyDescent="0.3">
      <c r="A882" s="29"/>
      <c r="B882" s="29"/>
      <c r="C882" s="29"/>
      <c r="D882" s="29"/>
      <c r="E882" s="29"/>
      <c r="F882" s="29"/>
      <c r="K882" s="29"/>
    </row>
    <row r="883" spans="1:11" ht="14.4" x14ac:dyDescent="0.3">
      <c r="A883" s="29"/>
      <c r="B883" s="29"/>
      <c r="C883" s="29"/>
      <c r="D883" s="29"/>
      <c r="E883" s="29"/>
      <c r="F883" s="29"/>
      <c r="K883" s="29"/>
    </row>
    <row r="884" spans="1:11" ht="14.4" x14ac:dyDescent="0.3">
      <c r="A884" s="29"/>
      <c r="B884" s="29"/>
      <c r="C884" s="29"/>
      <c r="D884" s="29"/>
      <c r="E884" s="29"/>
      <c r="F884" s="29"/>
      <c r="K884" s="29"/>
    </row>
    <row r="885" spans="1:11" ht="14.4" x14ac:dyDescent="0.3">
      <c r="A885" s="29"/>
      <c r="B885" s="29"/>
      <c r="C885" s="29"/>
      <c r="D885" s="29"/>
      <c r="E885" s="29"/>
      <c r="F885" s="29"/>
      <c r="K885" s="29"/>
    </row>
    <row r="886" spans="1:11" ht="14.4" x14ac:dyDescent="0.3">
      <c r="A886" s="29"/>
      <c r="B886" s="29"/>
      <c r="C886" s="29"/>
      <c r="D886" s="29"/>
      <c r="E886" s="29"/>
      <c r="F886" s="29"/>
      <c r="K886" s="29"/>
    </row>
    <row r="887" spans="1:11" ht="14.4" x14ac:dyDescent="0.3">
      <c r="A887" s="29"/>
      <c r="B887" s="29"/>
      <c r="C887" s="29"/>
      <c r="D887" s="29"/>
      <c r="E887" s="29"/>
      <c r="F887" s="29"/>
      <c r="K887" s="29"/>
    </row>
    <row r="888" spans="1:11" ht="14.4" x14ac:dyDescent="0.3">
      <c r="A888" s="29"/>
      <c r="B888" s="29"/>
      <c r="C888" s="29"/>
      <c r="D888" s="29"/>
      <c r="E888" s="29"/>
      <c r="F888" s="29"/>
      <c r="K888" s="29"/>
    </row>
    <row r="889" spans="1:11" ht="14.4" x14ac:dyDescent="0.3">
      <c r="A889" s="29"/>
      <c r="B889" s="29"/>
      <c r="C889" s="29"/>
      <c r="D889" s="29"/>
      <c r="E889" s="29"/>
      <c r="F889" s="29"/>
      <c r="K889" s="29"/>
    </row>
    <row r="890" spans="1:11" ht="14.4" x14ac:dyDescent="0.3">
      <c r="A890" s="29"/>
      <c r="B890" s="29"/>
      <c r="C890" s="29"/>
      <c r="D890" s="29"/>
      <c r="E890" s="29"/>
      <c r="F890" s="29"/>
      <c r="K890" s="29"/>
    </row>
    <row r="891" spans="1:11" ht="14.4" x14ac:dyDescent="0.3">
      <c r="A891" s="29"/>
      <c r="B891" s="29"/>
      <c r="C891" s="29"/>
      <c r="D891" s="29"/>
      <c r="E891" s="29"/>
      <c r="F891" s="29"/>
      <c r="K891" s="29"/>
    </row>
    <row r="892" spans="1:11" ht="14.4" x14ac:dyDescent="0.3">
      <c r="A892" s="29"/>
      <c r="B892" s="29"/>
      <c r="C892" s="29"/>
      <c r="D892" s="29"/>
      <c r="E892" s="29"/>
      <c r="F892" s="29"/>
      <c r="K892" s="29"/>
    </row>
    <row r="893" spans="1:11" ht="14.4" x14ac:dyDescent="0.3">
      <c r="A893" s="29"/>
      <c r="B893" s="29"/>
      <c r="C893" s="29"/>
      <c r="D893" s="29"/>
      <c r="E893" s="29"/>
      <c r="F893" s="29"/>
      <c r="K893" s="29"/>
    </row>
    <row r="894" spans="1:11" ht="14.4" x14ac:dyDescent="0.3">
      <c r="A894" s="29"/>
      <c r="B894" s="29"/>
      <c r="C894" s="29"/>
      <c r="D894" s="29"/>
      <c r="E894" s="29"/>
      <c r="F894" s="29"/>
      <c r="K894" s="29"/>
    </row>
    <row r="895" spans="1:11" ht="14.4" x14ac:dyDescent="0.3">
      <c r="A895" s="29"/>
      <c r="B895" s="29"/>
      <c r="C895" s="29"/>
      <c r="D895" s="29"/>
      <c r="E895" s="29"/>
      <c r="F895" s="29"/>
      <c r="K895" s="29"/>
    </row>
    <row r="896" spans="1:11" ht="14.4" x14ac:dyDescent="0.3">
      <c r="A896" s="29"/>
      <c r="B896" s="29"/>
      <c r="C896" s="29"/>
      <c r="D896" s="29"/>
      <c r="E896" s="29"/>
      <c r="F896" s="29"/>
      <c r="K896" s="29"/>
    </row>
    <row r="897" spans="1:11" ht="14.4" x14ac:dyDescent="0.3">
      <c r="A897" s="29"/>
      <c r="B897" s="29"/>
      <c r="C897" s="29"/>
      <c r="D897" s="29"/>
      <c r="E897" s="29"/>
      <c r="F897" s="29"/>
      <c r="K897" s="29"/>
    </row>
    <row r="898" spans="1:11" ht="14.4" x14ac:dyDescent="0.3">
      <c r="A898" s="29"/>
      <c r="B898" s="29"/>
      <c r="C898" s="29"/>
      <c r="D898" s="29"/>
      <c r="E898" s="29"/>
      <c r="F898" s="29"/>
      <c r="K898" s="29"/>
    </row>
    <row r="899" spans="1:11" ht="14.4" x14ac:dyDescent="0.3">
      <c r="A899" s="29"/>
      <c r="B899" s="29"/>
      <c r="C899" s="29"/>
      <c r="D899" s="29"/>
      <c r="E899" s="29"/>
      <c r="F899" s="29"/>
      <c r="K899" s="29"/>
    </row>
    <row r="900" spans="1:11" ht="14.4" x14ac:dyDescent="0.3">
      <c r="A900" s="29"/>
      <c r="B900" s="29"/>
      <c r="C900" s="29"/>
      <c r="D900" s="29"/>
      <c r="E900" s="29"/>
      <c r="F900" s="29"/>
      <c r="K900" s="29"/>
    </row>
    <row r="901" spans="1:11" ht="14.4" x14ac:dyDescent="0.3">
      <c r="A901" s="29"/>
      <c r="B901" s="29"/>
      <c r="C901" s="29"/>
      <c r="D901" s="29"/>
      <c r="E901" s="29"/>
      <c r="F901" s="29"/>
      <c r="K901" s="29"/>
    </row>
    <row r="902" spans="1:11" ht="14.4" x14ac:dyDescent="0.3">
      <c r="A902" s="29"/>
      <c r="B902" s="29"/>
      <c r="C902" s="29"/>
      <c r="D902" s="29"/>
      <c r="E902" s="29"/>
      <c r="F902" s="29"/>
      <c r="K902" s="29"/>
    </row>
    <row r="903" spans="1:11" ht="14.4" x14ac:dyDescent="0.3">
      <c r="A903" s="29"/>
      <c r="B903" s="29"/>
      <c r="C903" s="29"/>
      <c r="D903" s="29"/>
      <c r="E903" s="29"/>
      <c r="F903" s="29"/>
      <c r="K903" s="29"/>
    </row>
    <row r="904" spans="1:11" ht="14.4" x14ac:dyDescent="0.3">
      <c r="A904" s="29"/>
      <c r="B904" s="29"/>
      <c r="C904" s="29"/>
      <c r="D904" s="29"/>
      <c r="E904" s="29"/>
      <c r="F904" s="29"/>
      <c r="K904" s="29"/>
    </row>
    <row r="905" spans="1:11" ht="14.4" x14ac:dyDescent="0.3">
      <c r="A905" s="29"/>
      <c r="B905" s="29"/>
      <c r="C905" s="29"/>
      <c r="D905" s="29"/>
      <c r="E905" s="29"/>
      <c r="F905" s="29"/>
      <c r="K905" s="29"/>
    </row>
    <row r="906" spans="1:11" ht="14.4" x14ac:dyDescent="0.3">
      <c r="A906" s="29"/>
      <c r="B906" s="29"/>
      <c r="C906" s="29"/>
      <c r="D906" s="29"/>
      <c r="E906" s="29"/>
      <c r="F906" s="29"/>
      <c r="K906" s="29"/>
    </row>
    <row r="907" spans="1:11" ht="14.4" x14ac:dyDescent="0.3">
      <c r="A907" s="29"/>
      <c r="B907" s="29"/>
      <c r="C907" s="29"/>
      <c r="D907" s="29"/>
      <c r="E907" s="29"/>
      <c r="F907" s="29"/>
      <c r="K907" s="29"/>
    </row>
    <row r="908" spans="1:11" ht="14.4" x14ac:dyDescent="0.3">
      <c r="A908" s="29"/>
      <c r="B908" s="29"/>
      <c r="C908" s="29"/>
      <c r="D908" s="29"/>
      <c r="E908" s="29"/>
      <c r="F908" s="29"/>
      <c r="K908" s="29"/>
    </row>
    <row r="909" spans="1:11" ht="14.4" x14ac:dyDescent="0.3">
      <c r="A909" s="29"/>
      <c r="B909" s="29"/>
      <c r="C909" s="29"/>
      <c r="D909" s="29"/>
      <c r="E909" s="29"/>
      <c r="F909" s="29"/>
      <c r="K909" s="29"/>
    </row>
    <row r="910" spans="1:11" ht="14.4" x14ac:dyDescent="0.3">
      <c r="A910" s="29"/>
      <c r="B910" s="29"/>
      <c r="C910" s="29"/>
      <c r="D910" s="29"/>
      <c r="E910" s="29"/>
      <c r="F910" s="29"/>
      <c r="K910" s="29"/>
    </row>
    <row r="911" spans="1:11" ht="14.4" x14ac:dyDescent="0.3">
      <c r="A911" s="29"/>
      <c r="B911" s="29"/>
      <c r="C911" s="29"/>
      <c r="D911" s="29"/>
      <c r="E911" s="29"/>
      <c r="F911" s="29"/>
      <c r="K911" s="29"/>
    </row>
    <row r="912" spans="1:11" ht="14.4" x14ac:dyDescent="0.3">
      <c r="A912" s="29"/>
      <c r="B912" s="29"/>
      <c r="C912" s="29"/>
      <c r="D912" s="29"/>
      <c r="E912" s="29"/>
      <c r="F912" s="29"/>
      <c r="K912" s="29"/>
    </row>
    <row r="913" spans="1:11" ht="14.4" x14ac:dyDescent="0.3">
      <c r="A913" s="29"/>
      <c r="B913" s="29"/>
      <c r="C913" s="29"/>
      <c r="D913" s="29"/>
      <c r="E913" s="29"/>
      <c r="F913" s="29"/>
      <c r="K913" s="29"/>
    </row>
    <row r="914" spans="1:11" ht="14.4" x14ac:dyDescent="0.3">
      <c r="A914" s="29"/>
      <c r="B914" s="29"/>
      <c r="C914" s="29"/>
      <c r="D914" s="29"/>
      <c r="E914" s="29"/>
      <c r="F914" s="29"/>
      <c r="K914" s="29"/>
    </row>
    <row r="915" spans="1:11" ht="14.4" x14ac:dyDescent="0.3">
      <c r="A915" s="29"/>
      <c r="B915" s="29"/>
      <c r="C915" s="29"/>
      <c r="D915" s="29"/>
      <c r="E915" s="29"/>
      <c r="F915" s="29"/>
      <c r="K915" s="29"/>
    </row>
    <row r="916" spans="1:11" ht="14.4" x14ac:dyDescent="0.3">
      <c r="A916" s="29"/>
      <c r="B916" s="29"/>
      <c r="C916" s="29"/>
      <c r="D916" s="29"/>
      <c r="E916" s="29"/>
      <c r="F916" s="29"/>
      <c r="K916" s="29"/>
    </row>
    <row r="917" spans="1:11" ht="14.4" x14ac:dyDescent="0.3">
      <c r="A917" s="29"/>
      <c r="B917" s="29"/>
      <c r="C917" s="29"/>
      <c r="D917" s="29"/>
      <c r="E917" s="29"/>
      <c r="F917" s="29"/>
      <c r="K917" s="29"/>
    </row>
    <row r="918" spans="1:11" ht="14.4" x14ac:dyDescent="0.3">
      <c r="A918" s="29"/>
      <c r="B918" s="29"/>
      <c r="C918" s="29"/>
      <c r="D918" s="29"/>
      <c r="E918" s="29"/>
      <c r="F918" s="29"/>
      <c r="K918" s="29"/>
    </row>
    <row r="919" spans="1:11" ht="14.4" x14ac:dyDescent="0.3">
      <c r="A919" s="29"/>
      <c r="B919" s="29"/>
      <c r="C919" s="29"/>
      <c r="D919" s="29"/>
      <c r="E919" s="29"/>
      <c r="F919" s="29"/>
      <c r="K919" s="29"/>
    </row>
    <row r="920" spans="1:11" ht="14.4" x14ac:dyDescent="0.3">
      <c r="A920" s="29"/>
      <c r="B920" s="29"/>
      <c r="C920" s="29"/>
      <c r="D920" s="29"/>
      <c r="E920" s="29"/>
      <c r="F920" s="29"/>
      <c r="K920" s="29"/>
    </row>
    <row r="921" spans="1:11" ht="14.4" x14ac:dyDescent="0.3">
      <c r="A921" s="29"/>
      <c r="B921" s="29"/>
      <c r="C921" s="29"/>
      <c r="D921" s="29"/>
      <c r="E921" s="29"/>
      <c r="F921" s="29"/>
      <c r="K921" s="29"/>
    </row>
    <row r="922" spans="1:11" ht="14.4" x14ac:dyDescent="0.3">
      <c r="A922" s="29"/>
      <c r="B922" s="29"/>
      <c r="C922" s="29"/>
      <c r="D922" s="29"/>
      <c r="E922" s="29"/>
      <c r="F922" s="29"/>
      <c r="K922" s="29"/>
    </row>
    <row r="923" spans="1:11" ht="14.4" x14ac:dyDescent="0.3">
      <c r="A923" s="29"/>
      <c r="B923" s="29"/>
      <c r="C923" s="29"/>
      <c r="D923" s="29"/>
      <c r="E923" s="29"/>
      <c r="F923" s="29"/>
      <c r="K923" s="29"/>
    </row>
    <row r="924" spans="1:11" ht="14.4" x14ac:dyDescent="0.3">
      <c r="A924" s="29"/>
      <c r="B924" s="29"/>
      <c r="C924" s="29"/>
      <c r="D924" s="29"/>
      <c r="E924" s="29"/>
      <c r="F924" s="29"/>
      <c r="K924" s="29"/>
    </row>
    <row r="925" spans="1:11" ht="14.4" x14ac:dyDescent="0.3">
      <c r="A925" s="29"/>
      <c r="B925" s="29"/>
      <c r="C925" s="29"/>
      <c r="D925" s="29"/>
      <c r="E925" s="29"/>
      <c r="F925" s="29"/>
      <c r="K925" s="29"/>
    </row>
    <row r="926" spans="1:11" ht="14.4" x14ac:dyDescent="0.3">
      <c r="A926" s="29"/>
      <c r="B926" s="29"/>
      <c r="C926" s="29"/>
      <c r="D926" s="29"/>
      <c r="E926" s="29"/>
      <c r="F926" s="29"/>
      <c r="K926" s="29"/>
    </row>
    <row r="927" spans="1:11" ht="14.4" x14ac:dyDescent="0.3">
      <c r="A927" s="29"/>
      <c r="B927" s="29"/>
      <c r="C927" s="29"/>
      <c r="D927" s="29"/>
      <c r="E927" s="29"/>
      <c r="F927" s="29"/>
      <c r="K927" s="29"/>
    </row>
    <row r="928" spans="1:11" ht="14.4" x14ac:dyDescent="0.3">
      <c r="A928" s="29"/>
      <c r="B928" s="29"/>
      <c r="C928" s="29"/>
      <c r="D928" s="29"/>
      <c r="E928" s="29"/>
      <c r="F928" s="29"/>
      <c r="K928" s="29"/>
    </row>
    <row r="929" spans="1:11" ht="14.4" x14ac:dyDescent="0.3">
      <c r="A929" s="29"/>
      <c r="B929" s="29"/>
      <c r="C929" s="29"/>
      <c r="D929" s="29"/>
      <c r="E929" s="29"/>
      <c r="F929" s="29"/>
      <c r="K929" s="29"/>
    </row>
    <row r="930" spans="1:11" ht="14.4" x14ac:dyDescent="0.3">
      <c r="A930" s="29"/>
      <c r="B930" s="29"/>
      <c r="C930" s="29"/>
      <c r="D930" s="29"/>
      <c r="E930" s="29"/>
      <c r="F930" s="29"/>
      <c r="K930" s="29"/>
    </row>
    <row r="931" spans="1:11" ht="14.4" x14ac:dyDescent="0.3">
      <c r="A931" s="29"/>
      <c r="B931" s="29"/>
      <c r="C931" s="29"/>
      <c r="D931" s="29"/>
      <c r="E931" s="29"/>
      <c r="F931" s="29"/>
      <c r="K931" s="29"/>
    </row>
    <row r="932" spans="1:11" ht="14.4" x14ac:dyDescent="0.3">
      <c r="A932" s="29"/>
      <c r="B932" s="29"/>
      <c r="C932" s="29"/>
      <c r="D932" s="29"/>
      <c r="E932" s="29"/>
      <c r="F932" s="29"/>
      <c r="K932" s="29"/>
    </row>
    <row r="933" spans="1:11" ht="14.4" x14ac:dyDescent="0.3">
      <c r="A933" s="29"/>
      <c r="B933" s="29"/>
      <c r="C933" s="29"/>
      <c r="D933" s="29"/>
      <c r="E933" s="29"/>
      <c r="F933" s="29"/>
      <c r="K933" s="29"/>
    </row>
    <row r="934" spans="1:11" ht="14.4" x14ac:dyDescent="0.3">
      <c r="A934" s="29"/>
      <c r="B934" s="29"/>
      <c r="C934" s="29"/>
      <c r="D934" s="29"/>
      <c r="E934" s="29"/>
      <c r="F934" s="29"/>
      <c r="K934" s="29"/>
    </row>
    <row r="935" spans="1:11" ht="14.4" x14ac:dyDescent="0.3">
      <c r="A935" s="29"/>
      <c r="B935" s="29"/>
      <c r="C935" s="29"/>
      <c r="D935" s="29"/>
      <c r="E935" s="29"/>
      <c r="F935" s="29"/>
      <c r="K935" s="29"/>
    </row>
    <row r="936" spans="1:11" ht="14.4" x14ac:dyDescent="0.3">
      <c r="A936" s="29"/>
      <c r="B936" s="29"/>
      <c r="C936" s="29"/>
      <c r="D936" s="29"/>
      <c r="E936" s="29"/>
      <c r="F936" s="29"/>
      <c r="K936" s="29"/>
    </row>
    <row r="937" spans="1:11" ht="14.4" x14ac:dyDescent="0.3">
      <c r="A937" s="29"/>
      <c r="B937" s="29"/>
      <c r="C937" s="29"/>
      <c r="D937" s="29"/>
      <c r="E937" s="29"/>
      <c r="F937" s="29"/>
      <c r="K937" s="29"/>
    </row>
    <row r="938" spans="1:11" ht="14.4" x14ac:dyDescent="0.3">
      <c r="A938" s="29"/>
      <c r="B938" s="29"/>
      <c r="C938" s="29"/>
      <c r="D938" s="29"/>
      <c r="E938" s="29"/>
      <c r="F938" s="29"/>
      <c r="K938" s="29"/>
    </row>
    <row r="939" spans="1:11" ht="14.4" x14ac:dyDescent="0.3">
      <c r="A939" s="29"/>
      <c r="B939" s="29"/>
      <c r="C939" s="29"/>
      <c r="D939" s="29"/>
      <c r="E939" s="29"/>
      <c r="F939" s="29"/>
      <c r="K939" s="29"/>
    </row>
    <row r="940" spans="1:11" ht="14.4" x14ac:dyDescent="0.3">
      <c r="A940" s="29"/>
      <c r="B940" s="29"/>
      <c r="C940" s="29"/>
      <c r="D940" s="29"/>
      <c r="E940" s="29"/>
      <c r="F940" s="29"/>
      <c r="K940" s="29"/>
    </row>
    <row r="941" spans="1:11" ht="14.4" x14ac:dyDescent="0.3">
      <c r="A941" s="29"/>
      <c r="B941" s="29"/>
      <c r="C941" s="29"/>
      <c r="D941" s="29"/>
      <c r="E941" s="29"/>
      <c r="F941" s="29"/>
      <c r="K941" s="29"/>
    </row>
    <row r="942" spans="1:11" ht="14.4" x14ac:dyDescent="0.3">
      <c r="A942" s="29"/>
      <c r="B942" s="29"/>
      <c r="C942" s="29"/>
      <c r="D942" s="29"/>
      <c r="E942" s="29"/>
      <c r="F942" s="29"/>
      <c r="K942" s="29"/>
    </row>
    <row r="943" spans="1:11" ht="14.4" x14ac:dyDescent="0.3">
      <c r="A943" s="29"/>
      <c r="B943" s="29"/>
      <c r="C943" s="29"/>
      <c r="D943" s="29"/>
      <c r="E943" s="29"/>
      <c r="F943" s="29"/>
      <c r="K943" s="29"/>
    </row>
    <row r="944" spans="1:11" ht="14.4" x14ac:dyDescent="0.3">
      <c r="A944" s="29"/>
      <c r="B944" s="29"/>
      <c r="C944" s="29"/>
      <c r="D944" s="29"/>
      <c r="E944" s="29"/>
      <c r="F944" s="29"/>
      <c r="K944" s="29"/>
    </row>
    <row r="945" spans="1:11" ht="14.4" x14ac:dyDescent="0.3">
      <c r="A945" s="29"/>
      <c r="B945" s="29"/>
      <c r="C945" s="29"/>
      <c r="D945" s="29"/>
      <c r="E945" s="29"/>
      <c r="F945" s="29"/>
      <c r="K945" s="29"/>
    </row>
    <row r="946" spans="1:11" ht="14.4" x14ac:dyDescent="0.3">
      <c r="A946" s="29"/>
      <c r="B946" s="29"/>
      <c r="C946" s="29"/>
      <c r="D946" s="29"/>
      <c r="E946" s="29"/>
      <c r="F946" s="29"/>
      <c r="K946" s="29"/>
    </row>
    <row r="947" spans="1:11" ht="14.4" x14ac:dyDescent="0.3">
      <c r="A947" s="29"/>
      <c r="B947" s="29"/>
      <c r="C947" s="29"/>
      <c r="D947" s="29"/>
      <c r="E947" s="29"/>
      <c r="F947" s="29"/>
      <c r="K947" s="29"/>
    </row>
    <row r="948" spans="1:11" ht="14.4" x14ac:dyDescent="0.3">
      <c r="A948" s="29"/>
      <c r="B948" s="29"/>
      <c r="C948" s="29"/>
      <c r="D948" s="29"/>
      <c r="E948" s="29"/>
      <c r="F948" s="29"/>
      <c r="K948" s="29"/>
    </row>
    <row r="949" spans="1:11" ht="14.4" x14ac:dyDescent="0.3">
      <c r="A949" s="29"/>
      <c r="B949" s="29"/>
      <c r="C949" s="29"/>
      <c r="D949" s="29"/>
      <c r="E949" s="29"/>
      <c r="F949" s="29"/>
      <c r="K949" s="29"/>
    </row>
    <row r="950" spans="1:11" ht="14.4" x14ac:dyDescent="0.3">
      <c r="A950" s="29"/>
      <c r="B950" s="29"/>
      <c r="C950" s="29"/>
      <c r="D950" s="29"/>
      <c r="E950" s="29"/>
      <c r="F950" s="29"/>
      <c r="K950" s="29"/>
    </row>
    <row r="951" spans="1:11" ht="14.4" x14ac:dyDescent="0.3">
      <c r="A951" s="29"/>
      <c r="B951" s="29"/>
      <c r="C951" s="29"/>
      <c r="D951" s="29"/>
      <c r="E951" s="29"/>
      <c r="F951" s="29"/>
      <c r="K951" s="29"/>
    </row>
    <row r="952" spans="1:11" ht="14.4" x14ac:dyDescent="0.3">
      <c r="A952" s="29"/>
      <c r="B952" s="29"/>
      <c r="C952" s="29"/>
      <c r="D952" s="29"/>
      <c r="E952" s="29"/>
      <c r="F952" s="29"/>
      <c r="K952" s="29"/>
    </row>
    <row r="953" spans="1:11" ht="14.4" x14ac:dyDescent="0.3">
      <c r="A953" s="29"/>
      <c r="B953" s="29"/>
      <c r="C953" s="29"/>
      <c r="D953" s="29"/>
      <c r="E953" s="29"/>
      <c r="F953" s="29"/>
      <c r="K953" s="29"/>
    </row>
    <row r="954" spans="1:11" ht="14.4" x14ac:dyDescent="0.3">
      <c r="A954" s="29"/>
      <c r="B954" s="29"/>
      <c r="C954" s="29"/>
      <c r="D954" s="29"/>
      <c r="E954" s="29"/>
      <c r="F954" s="29"/>
      <c r="K954" s="29"/>
    </row>
    <row r="955" spans="1:11" ht="14.4" x14ac:dyDescent="0.3">
      <c r="A955" s="29"/>
      <c r="B955" s="29"/>
      <c r="C955" s="29"/>
      <c r="D955" s="29"/>
      <c r="E955" s="29"/>
      <c r="F955" s="29"/>
      <c r="K955" s="29"/>
    </row>
    <row r="956" spans="1:11" ht="14.4" x14ac:dyDescent="0.3">
      <c r="A956" s="29"/>
      <c r="B956" s="29"/>
      <c r="C956" s="29"/>
      <c r="D956" s="29"/>
      <c r="E956" s="29"/>
      <c r="F956" s="29"/>
      <c r="K956" s="29"/>
    </row>
    <row r="957" spans="1:11" ht="14.4" x14ac:dyDescent="0.3">
      <c r="A957" s="29"/>
      <c r="B957" s="29"/>
      <c r="C957" s="29"/>
      <c r="D957" s="29"/>
      <c r="E957" s="29"/>
      <c r="F957" s="29"/>
      <c r="K957" s="29"/>
    </row>
    <row r="958" spans="1:11" ht="14.4" x14ac:dyDescent="0.3">
      <c r="A958" s="29"/>
      <c r="B958" s="29"/>
      <c r="C958" s="29"/>
      <c r="D958" s="29"/>
      <c r="E958" s="29"/>
      <c r="F958" s="29"/>
      <c r="K958" s="29"/>
    </row>
    <row r="959" spans="1:11" ht="14.4" x14ac:dyDescent="0.3">
      <c r="A959" s="29"/>
      <c r="B959" s="29"/>
      <c r="C959" s="29"/>
      <c r="D959" s="29"/>
      <c r="E959" s="29"/>
      <c r="F959" s="29"/>
      <c r="K959" s="29"/>
    </row>
    <row r="960" spans="1:11" ht="14.4" x14ac:dyDescent="0.3">
      <c r="A960" s="29"/>
      <c r="B960" s="29"/>
      <c r="C960" s="29"/>
      <c r="D960" s="29"/>
      <c r="E960" s="29"/>
      <c r="F960" s="29"/>
      <c r="K960" s="29"/>
    </row>
    <row r="961" spans="1:11" ht="14.4" x14ac:dyDescent="0.3">
      <c r="A961" s="29"/>
      <c r="B961" s="29"/>
      <c r="C961" s="29"/>
      <c r="D961" s="29"/>
      <c r="E961" s="29"/>
      <c r="F961" s="29"/>
      <c r="K961" s="29"/>
    </row>
    <row r="962" spans="1:11" ht="14.4" x14ac:dyDescent="0.3">
      <c r="A962" s="29"/>
      <c r="B962" s="29"/>
      <c r="C962" s="29"/>
      <c r="D962" s="29"/>
      <c r="E962" s="29"/>
      <c r="F962" s="29"/>
      <c r="K962" s="29"/>
    </row>
    <row r="963" spans="1:11" ht="14.4" x14ac:dyDescent="0.3">
      <c r="A963" s="29"/>
      <c r="B963" s="29"/>
      <c r="C963" s="29"/>
      <c r="D963" s="29"/>
      <c r="E963" s="29"/>
      <c r="F963" s="29"/>
      <c r="K963" s="29"/>
    </row>
    <row r="964" spans="1:11" ht="14.4" x14ac:dyDescent="0.3">
      <c r="A964" s="29"/>
      <c r="B964" s="29"/>
      <c r="C964" s="29"/>
      <c r="D964" s="29"/>
      <c r="E964" s="29"/>
      <c r="F964" s="29"/>
      <c r="K964" s="29"/>
    </row>
    <row r="965" spans="1:11" ht="14.4" x14ac:dyDescent="0.3">
      <c r="A965" s="29"/>
      <c r="B965" s="29"/>
      <c r="C965" s="29"/>
      <c r="D965" s="29"/>
      <c r="E965" s="29"/>
      <c r="F965" s="29"/>
      <c r="K965" s="29"/>
    </row>
    <row r="966" spans="1:11" ht="14.4" x14ac:dyDescent="0.3">
      <c r="A966" s="29"/>
      <c r="B966" s="29"/>
      <c r="C966" s="29"/>
      <c r="D966" s="29"/>
      <c r="E966" s="29"/>
      <c r="F966" s="29"/>
      <c r="K966" s="29"/>
    </row>
    <row r="967" spans="1:11" ht="14.4" x14ac:dyDescent="0.3">
      <c r="A967" s="29"/>
      <c r="B967" s="29"/>
      <c r="C967" s="29"/>
      <c r="D967" s="29"/>
      <c r="E967" s="29"/>
      <c r="F967" s="29"/>
      <c r="K967" s="29"/>
    </row>
    <row r="968" spans="1:11" ht="14.4" x14ac:dyDescent="0.3">
      <c r="A968" s="29"/>
      <c r="B968" s="29"/>
      <c r="C968" s="29"/>
      <c r="D968" s="29"/>
      <c r="E968" s="29"/>
      <c r="F968" s="29"/>
      <c r="K968" s="29"/>
    </row>
    <row r="969" spans="1:11" ht="14.4" x14ac:dyDescent="0.3">
      <c r="A969" s="29"/>
      <c r="B969" s="29"/>
      <c r="C969" s="29"/>
      <c r="D969" s="29"/>
      <c r="E969" s="29"/>
      <c r="F969" s="29"/>
      <c r="K969" s="29"/>
    </row>
    <row r="970" spans="1:11" ht="14.4" x14ac:dyDescent="0.3">
      <c r="A970" s="29"/>
      <c r="B970" s="29"/>
      <c r="C970" s="29"/>
      <c r="D970" s="29"/>
      <c r="E970" s="29"/>
      <c r="F970" s="29"/>
      <c r="K970" s="29"/>
    </row>
    <row r="971" spans="1:11" ht="14.4" x14ac:dyDescent="0.3">
      <c r="A971" s="29"/>
      <c r="B971" s="29"/>
      <c r="C971" s="29"/>
      <c r="D971" s="29"/>
      <c r="E971" s="29"/>
      <c r="F971" s="29"/>
      <c r="K971" s="29"/>
    </row>
    <row r="972" spans="1:11" ht="14.4" x14ac:dyDescent="0.3">
      <c r="A972" s="29"/>
      <c r="B972" s="29"/>
      <c r="C972" s="29"/>
      <c r="D972" s="29"/>
      <c r="E972" s="29"/>
      <c r="F972" s="29"/>
      <c r="K972" s="29"/>
    </row>
    <row r="973" spans="1:11" ht="14.4" x14ac:dyDescent="0.3">
      <c r="A973" s="29"/>
      <c r="B973" s="29"/>
      <c r="C973" s="29"/>
      <c r="D973" s="29"/>
      <c r="E973" s="29"/>
      <c r="F973" s="29"/>
      <c r="K973" s="29"/>
    </row>
    <row r="974" spans="1:11" ht="14.4" x14ac:dyDescent="0.3">
      <c r="A974" s="29"/>
      <c r="B974" s="29"/>
      <c r="C974" s="29"/>
      <c r="D974" s="29"/>
      <c r="E974" s="29"/>
      <c r="F974" s="29"/>
      <c r="K974" s="29"/>
    </row>
    <row r="975" spans="1:11" ht="14.4" x14ac:dyDescent="0.3">
      <c r="A975" s="29"/>
      <c r="B975" s="29"/>
      <c r="C975" s="29"/>
      <c r="D975" s="29"/>
      <c r="E975" s="29"/>
      <c r="F975" s="29"/>
      <c r="K975" s="29"/>
    </row>
    <row r="976" spans="1:11" ht="14.4" x14ac:dyDescent="0.3">
      <c r="A976" s="29"/>
      <c r="B976" s="29"/>
      <c r="C976" s="29"/>
      <c r="D976" s="29"/>
      <c r="E976" s="29"/>
      <c r="F976" s="29"/>
      <c r="K976" s="29"/>
    </row>
    <row r="977" spans="1:11" ht="14.4" x14ac:dyDescent="0.3">
      <c r="A977" s="29"/>
      <c r="B977" s="29"/>
      <c r="C977" s="29"/>
      <c r="D977" s="29"/>
      <c r="E977" s="29"/>
      <c r="F977" s="29"/>
      <c r="K977" s="29"/>
    </row>
    <row r="978" spans="1:11" ht="14.4" x14ac:dyDescent="0.3">
      <c r="A978" s="29"/>
      <c r="B978" s="29"/>
      <c r="C978" s="29"/>
      <c r="D978" s="29"/>
      <c r="E978" s="29"/>
      <c r="F978" s="29"/>
      <c r="K978" s="29"/>
    </row>
    <row r="979" spans="1:11" ht="14.4" x14ac:dyDescent="0.3">
      <c r="A979" s="29"/>
      <c r="B979" s="29"/>
      <c r="C979" s="29"/>
      <c r="D979" s="29"/>
      <c r="E979" s="29"/>
      <c r="F979" s="29"/>
      <c r="K979" s="29"/>
    </row>
    <row r="980" spans="1:11" ht="14.4" x14ac:dyDescent="0.3">
      <c r="A980" s="29"/>
      <c r="B980" s="29"/>
      <c r="C980" s="29"/>
      <c r="D980" s="29"/>
      <c r="E980" s="29"/>
      <c r="F980" s="29"/>
      <c r="K980" s="29"/>
    </row>
    <row r="981" spans="1:11" ht="14.4" x14ac:dyDescent="0.3">
      <c r="A981" s="29"/>
      <c r="B981" s="29"/>
      <c r="C981" s="29"/>
      <c r="D981" s="29"/>
      <c r="E981" s="29"/>
      <c r="F981" s="29"/>
      <c r="K981" s="29"/>
    </row>
    <row r="982" spans="1:11" ht="14.4" x14ac:dyDescent="0.3">
      <c r="A982" s="29"/>
      <c r="B982" s="29"/>
      <c r="C982" s="29"/>
      <c r="D982" s="29"/>
      <c r="E982" s="29"/>
      <c r="F982" s="29"/>
      <c r="K982" s="29"/>
    </row>
    <row r="983" spans="1:11" ht="14.4" x14ac:dyDescent="0.3">
      <c r="A983" s="29"/>
      <c r="B983" s="29"/>
      <c r="C983" s="29"/>
      <c r="D983" s="29"/>
      <c r="E983" s="29"/>
      <c r="F983" s="29"/>
      <c r="K983" s="29"/>
    </row>
    <row r="984" spans="1:11" ht="14.4" x14ac:dyDescent="0.3">
      <c r="A984" s="29"/>
      <c r="B984" s="29"/>
      <c r="C984" s="29"/>
      <c r="D984" s="29"/>
      <c r="E984" s="29"/>
      <c r="F984" s="29"/>
      <c r="K984" s="29"/>
    </row>
    <row r="985" spans="1:11" ht="14.4" x14ac:dyDescent="0.3">
      <c r="A985" s="29"/>
      <c r="B985" s="29"/>
      <c r="C985" s="29"/>
      <c r="D985" s="29"/>
      <c r="E985" s="29"/>
      <c r="F985" s="29"/>
      <c r="K985" s="29"/>
    </row>
    <row r="986" spans="1:11" ht="14.4" x14ac:dyDescent="0.3">
      <c r="A986" s="29"/>
      <c r="B986" s="29"/>
      <c r="C986" s="29"/>
      <c r="D986" s="29"/>
      <c r="E986" s="29"/>
      <c r="F986" s="29"/>
      <c r="K986" s="29"/>
    </row>
    <row r="987" spans="1:11" ht="14.4" x14ac:dyDescent="0.3">
      <c r="A987" s="29"/>
      <c r="B987" s="29"/>
      <c r="C987" s="29"/>
      <c r="D987" s="29"/>
      <c r="E987" s="29"/>
      <c r="F987" s="29"/>
      <c r="K987" s="29"/>
    </row>
    <row r="988" spans="1:11" ht="14.4" x14ac:dyDescent="0.3">
      <c r="A988" s="29"/>
      <c r="B988" s="29"/>
      <c r="C988" s="29"/>
      <c r="D988" s="29"/>
      <c r="E988" s="29"/>
      <c r="F988" s="29"/>
      <c r="K988" s="29"/>
    </row>
    <row r="989" spans="1:11" ht="14.4" x14ac:dyDescent="0.3">
      <c r="A989" s="29"/>
      <c r="B989" s="29"/>
      <c r="C989" s="29"/>
      <c r="D989" s="29"/>
      <c r="E989" s="29"/>
      <c r="F989" s="29"/>
      <c r="K989" s="29"/>
    </row>
    <row r="990" spans="1:11" ht="14.4" x14ac:dyDescent="0.3">
      <c r="A990" s="29"/>
      <c r="B990" s="29"/>
      <c r="C990" s="29"/>
      <c r="D990" s="29"/>
      <c r="E990" s="29"/>
      <c r="F990" s="29"/>
      <c r="K990" s="29"/>
    </row>
    <row r="991" spans="1:11" ht="14.4" x14ac:dyDescent="0.3">
      <c r="A991" s="29"/>
      <c r="B991" s="29"/>
      <c r="C991" s="29"/>
      <c r="D991" s="29"/>
      <c r="E991" s="29"/>
      <c r="F991" s="29"/>
      <c r="K991" s="29"/>
    </row>
    <row r="992" spans="1:11" ht="14.4" x14ac:dyDescent="0.3">
      <c r="A992" s="29"/>
      <c r="B992" s="29"/>
      <c r="C992" s="29"/>
      <c r="D992" s="29"/>
      <c r="E992" s="29"/>
      <c r="F992" s="29"/>
      <c r="K992" s="29"/>
    </row>
    <row r="993" spans="1:11" ht="14.4" x14ac:dyDescent="0.3">
      <c r="A993" s="29"/>
      <c r="B993" s="29"/>
      <c r="C993" s="29"/>
      <c r="D993" s="29"/>
      <c r="E993" s="29"/>
      <c r="F993" s="29"/>
      <c r="K993" s="29"/>
    </row>
    <row r="994" spans="1:11" ht="14.4" x14ac:dyDescent="0.3">
      <c r="A994" s="29"/>
      <c r="B994" s="29"/>
      <c r="C994" s="29"/>
      <c r="D994" s="29"/>
      <c r="E994" s="29"/>
      <c r="F994" s="29"/>
      <c r="K994" s="29"/>
    </row>
    <row r="995" spans="1:11" ht="14.4" x14ac:dyDescent="0.3">
      <c r="A995" s="29"/>
      <c r="B995" s="29"/>
      <c r="C995" s="29"/>
      <c r="D995" s="29"/>
      <c r="E995" s="29"/>
      <c r="F995" s="29"/>
      <c r="K995" s="29"/>
    </row>
    <row r="996" spans="1:11" ht="14.4" x14ac:dyDescent="0.3">
      <c r="A996" s="29"/>
      <c r="B996" s="29"/>
      <c r="C996" s="29"/>
      <c r="D996" s="29"/>
      <c r="E996" s="29"/>
      <c r="F996" s="29"/>
      <c r="K996" s="29"/>
    </row>
    <row r="997" spans="1:11" ht="14.4" x14ac:dyDescent="0.3">
      <c r="A997" s="29"/>
      <c r="B997" s="29"/>
      <c r="C997" s="29"/>
      <c r="D997" s="29"/>
      <c r="E997" s="29"/>
      <c r="F997" s="29"/>
      <c r="K997" s="29"/>
    </row>
    <row r="998" spans="1:11" ht="14.4" x14ac:dyDescent="0.3">
      <c r="A998" s="29"/>
      <c r="B998" s="29"/>
      <c r="C998" s="29"/>
      <c r="D998" s="29"/>
      <c r="E998" s="29"/>
      <c r="F998" s="29"/>
      <c r="K998" s="29"/>
    </row>
    <row r="999" spans="1:11" ht="14.4" x14ac:dyDescent="0.3">
      <c r="A999" s="29"/>
      <c r="B999" s="29"/>
      <c r="C999" s="29"/>
      <c r="D999" s="29"/>
      <c r="E999" s="29"/>
      <c r="F999" s="29"/>
      <c r="K999" s="29"/>
    </row>
    <row r="1000" spans="1:11" ht="14.4" x14ac:dyDescent="0.3">
      <c r="A1000" s="29"/>
      <c r="B1000" s="29"/>
      <c r="C1000" s="29"/>
      <c r="D1000" s="29"/>
      <c r="E1000" s="29"/>
      <c r="F1000" s="29"/>
      <c r="K1000" s="29"/>
    </row>
  </sheetData>
  <autoFilter ref="A1:F344" xr:uid="{00000000-0009-0000-0000-000009000000}"/>
  <conditionalFormatting sqref="D1 F1 D2:F1000">
    <cfRule type="cellIs" dxfId="7" priority="5" operator="equal">
      <formula>"Verde"</formula>
    </cfRule>
    <cfRule type="cellIs" dxfId="6" priority="6" operator="equal">
      <formula>"Amarillo"</formula>
    </cfRule>
    <cfRule type="cellIs" dxfId="5" priority="7" operator="equal">
      <formula>"Naranja"</formula>
    </cfRule>
    <cfRule type="cellIs" dxfId="4" priority="8" operator="equal">
      <formula>"Rojo"</formula>
    </cfRule>
  </conditionalFormatting>
  <conditionalFormatting sqref="K2:K1000">
    <cfRule type="cellIs" dxfId="3" priority="1" operator="equal">
      <formula>"Verde"</formula>
    </cfRule>
    <cfRule type="cellIs" dxfId="2" priority="2" operator="equal">
      <formula>"Amarillo"</formula>
    </cfRule>
    <cfRule type="cellIs" dxfId="1" priority="3" operator="equal">
      <formula>"Naranja"</formula>
    </cfRule>
    <cfRule type="cellIs" dxfId="0" priority="4" operator="equal">
      <formula>"Rojo"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Procesados</vt:lpstr>
      <vt:lpstr>Indicador_MUN</vt:lpstr>
      <vt:lpstr>Absoluto_MUN</vt:lpstr>
      <vt:lpstr>Indicador_DEP</vt:lpstr>
      <vt:lpstr>Absoluto_DEP </vt:lpstr>
      <vt:lpstr>Umbral</vt:lpstr>
      <vt:lpstr>Clasificación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Bustillo</dc:creator>
  <cp:lastModifiedBy>Karina</cp:lastModifiedBy>
  <dcterms:created xsi:type="dcterms:W3CDTF">2018-12-14T20:30:43Z</dcterms:created>
  <dcterms:modified xsi:type="dcterms:W3CDTF">2026-05-28T00:13:01Z</dcterms:modified>
</cp:coreProperties>
</file>