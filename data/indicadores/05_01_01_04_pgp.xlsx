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RUNA\Downloads\"/>
    </mc:Choice>
  </mc:AlternateContent>
  <xr:revisionPtr revIDLastSave="0" documentId="13_ncr:1_{9E35F778-51AC-4EC3-AEFE-83DFA319097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atos Procesados" sheetId="1" r:id="rId1"/>
    <sheet name="Indicador_MUN" sheetId="2" r:id="rId2"/>
    <sheet name="Absoluto_MUN" sheetId="3" r:id="rId3"/>
    <sheet name="Indicador_DEP" sheetId="4" r:id="rId4"/>
    <sheet name="Absoluto_DEP" sheetId="5" r:id="rId5"/>
    <sheet name="Umbral" sheetId="6" r:id="rId6"/>
    <sheet name="Mapa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WKAjI6B6yWICMmZs2/GTrviTEq/tMjKcV2eNdAOpHhI="/>
    </ext>
  </extLst>
</workbook>
</file>

<file path=xl/calcChain.xml><?xml version="1.0" encoding="utf-8"?>
<calcChain xmlns="http://schemas.openxmlformats.org/spreadsheetml/2006/main">
  <c r="M12" i="1" l="1"/>
  <c r="M11" i="1"/>
  <c r="L4" i="1"/>
  <c r="L3" i="1"/>
  <c r="J344" i="1"/>
  <c r="I344" i="1"/>
  <c r="J343" i="1"/>
  <c r="I343" i="1"/>
  <c r="J342" i="1"/>
  <c r="I342" i="1"/>
  <c r="J341" i="1"/>
  <c r="I341" i="1"/>
  <c r="J340" i="1"/>
  <c r="I340" i="1"/>
  <c r="J339" i="1"/>
  <c r="I339" i="1"/>
  <c r="J338" i="1"/>
  <c r="I338" i="1"/>
  <c r="J337" i="1"/>
  <c r="I337" i="1"/>
  <c r="J336" i="1"/>
  <c r="I336" i="1"/>
  <c r="J335" i="1"/>
  <c r="I335" i="1"/>
  <c r="J334" i="1"/>
  <c r="I334" i="1"/>
  <c r="J333" i="1"/>
  <c r="I333" i="1"/>
  <c r="J332" i="1"/>
  <c r="I332" i="1"/>
  <c r="J331" i="1"/>
  <c r="I331" i="1"/>
  <c r="J330" i="1"/>
  <c r="I330" i="1"/>
  <c r="J329" i="1"/>
  <c r="I329" i="1"/>
  <c r="J328" i="1"/>
  <c r="I328" i="1"/>
  <c r="J327" i="1"/>
  <c r="I327" i="1"/>
  <c r="J326" i="1"/>
  <c r="I326" i="1"/>
  <c r="J325" i="1"/>
  <c r="I325" i="1"/>
  <c r="J324" i="1"/>
  <c r="I324" i="1"/>
  <c r="J323" i="1"/>
  <c r="I323" i="1"/>
  <c r="J322" i="1"/>
  <c r="I322" i="1"/>
  <c r="J321" i="1"/>
  <c r="I321" i="1"/>
  <c r="J320" i="1"/>
  <c r="I320" i="1"/>
  <c r="J319" i="1"/>
  <c r="I319" i="1"/>
  <c r="J318" i="1"/>
  <c r="I318" i="1"/>
  <c r="J317" i="1"/>
  <c r="I317" i="1"/>
  <c r="J316" i="1"/>
  <c r="I316" i="1"/>
  <c r="J315" i="1"/>
  <c r="I315" i="1"/>
  <c r="J314" i="1"/>
  <c r="I314" i="1"/>
  <c r="J313" i="1"/>
  <c r="I313" i="1"/>
  <c r="J312" i="1"/>
  <c r="I312" i="1"/>
  <c r="J311" i="1"/>
  <c r="I311" i="1"/>
  <c r="J310" i="1"/>
  <c r="I310" i="1"/>
  <c r="J309" i="1"/>
  <c r="I309" i="1"/>
  <c r="J308" i="1"/>
  <c r="I308" i="1"/>
  <c r="J307" i="1"/>
  <c r="I307" i="1"/>
  <c r="J306" i="1"/>
  <c r="I306" i="1"/>
  <c r="J305" i="1"/>
  <c r="I305" i="1"/>
  <c r="J304" i="1"/>
  <c r="I304" i="1"/>
  <c r="J303" i="1"/>
  <c r="I303" i="1"/>
  <c r="J302" i="1"/>
  <c r="I302" i="1"/>
  <c r="J301" i="1"/>
  <c r="I301" i="1"/>
  <c r="J300" i="1"/>
  <c r="I300" i="1"/>
  <c r="J299" i="1"/>
  <c r="I299" i="1"/>
  <c r="J298" i="1"/>
  <c r="I298" i="1"/>
  <c r="J297" i="1"/>
  <c r="I297" i="1"/>
  <c r="J296" i="1"/>
  <c r="I296" i="1"/>
  <c r="J295" i="1"/>
  <c r="I295" i="1"/>
  <c r="J294" i="1"/>
  <c r="I294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J281" i="1"/>
  <c r="I281" i="1"/>
  <c r="J280" i="1"/>
  <c r="I280" i="1"/>
  <c r="J279" i="1"/>
  <c r="I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69" i="1"/>
  <c r="I269" i="1"/>
  <c r="J268" i="1"/>
  <c r="I268" i="1"/>
  <c r="J267" i="1"/>
  <c r="I267" i="1"/>
  <c r="J266" i="1"/>
  <c r="I266" i="1"/>
  <c r="J265" i="1"/>
  <c r="I265" i="1"/>
  <c r="J264" i="1"/>
  <c r="I264" i="1"/>
  <c r="J263" i="1"/>
  <c r="I263" i="1"/>
  <c r="J262" i="1"/>
  <c r="I262" i="1"/>
  <c r="J261" i="1"/>
  <c r="I261" i="1"/>
  <c r="J260" i="1"/>
  <c r="I260" i="1"/>
  <c r="J259" i="1"/>
  <c r="I259" i="1"/>
  <c r="J258" i="1"/>
  <c r="I258" i="1"/>
  <c r="J257" i="1"/>
  <c r="I257" i="1"/>
  <c r="J256" i="1"/>
  <c r="I256" i="1"/>
  <c r="J255" i="1"/>
  <c r="I255" i="1"/>
  <c r="J254" i="1"/>
  <c r="I254" i="1"/>
  <c r="J253" i="1"/>
  <c r="I253" i="1"/>
  <c r="J252" i="1"/>
  <c r="I252" i="1"/>
  <c r="J251" i="1"/>
  <c r="I251" i="1"/>
  <c r="J250" i="1"/>
  <c r="I250" i="1"/>
  <c r="J249" i="1"/>
  <c r="I249" i="1"/>
  <c r="J248" i="1"/>
  <c r="I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J238" i="1"/>
  <c r="I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J223" i="1"/>
  <c r="I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J211" i="1"/>
  <c r="I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J164" i="1"/>
  <c r="I164" i="1"/>
  <c r="J163" i="1"/>
  <c r="I163" i="1"/>
  <c r="J162" i="1"/>
  <c r="I162" i="1"/>
  <c r="J161" i="1"/>
  <c r="I161" i="1"/>
  <c r="J160" i="1"/>
  <c r="I160" i="1"/>
  <c r="J159" i="1"/>
  <c r="I159" i="1"/>
  <c r="J158" i="1"/>
  <c r="I158" i="1"/>
  <c r="J157" i="1"/>
  <c r="I157" i="1"/>
  <c r="J156" i="1"/>
  <c r="I156" i="1"/>
  <c r="J155" i="1"/>
  <c r="I155" i="1"/>
  <c r="J154" i="1"/>
  <c r="I154" i="1"/>
  <c r="J153" i="1"/>
  <c r="I153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J126" i="1"/>
  <c r="I126" i="1"/>
  <c r="J125" i="1"/>
  <c r="I125" i="1"/>
  <c r="J124" i="1"/>
  <c r="I124" i="1"/>
  <c r="J123" i="1"/>
  <c r="I123" i="1"/>
  <c r="J122" i="1"/>
  <c r="I122" i="1"/>
  <c r="J121" i="1"/>
  <c r="I121" i="1"/>
  <c r="J120" i="1"/>
  <c r="I120" i="1"/>
  <c r="J119" i="1"/>
  <c r="I119" i="1"/>
  <c r="J118" i="1"/>
  <c r="I118" i="1"/>
  <c r="J117" i="1"/>
  <c r="I117" i="1"/>
  <c r="J116" i="1"/>
  <c r="I116" i="1"/>
  <c r="J115" i="1"/>
  <c r="I115" i="1"/>
  <c r="J114" i="1"/>
  <c r="I114" i="1"/>
  <c r="J113" i="1"/>
  <c r="I113" i="1"/>
  <c r="J112" i="1"/>
  <c r="I112" i="1"/>
  <c r="J111" i="1"/>
  <c r="I111" i="1"/>
  <c r="J110" i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J97" i="1"/>
  <c r="I97" i="1"/>
  <c r="J96" i="1"/>
  <c r="I96" i="1"/>
  <c r="J95" i="1"/>
  <c r="I95" i="1"/>
  <c r="J94" i="1"/>
  <c r="I94" i="1"/>
  <c r="J93" i="1"/>
  <c r="I93" i="1"/>
  <c r="J92" i="1"/>
  <c r="I92" i="1"/>
  <c r="J91" i="1"/>
  <c r="I91" i="1"/>
  <c r="J90" i="1"/>
  <c r="I90" i="1"/>
  <c r="J89" i="1"/>
  <c r="I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J78" i="1"/>
  <c r="I78" i="1"/>
  <c r="J77" i="1"/>
  <c r="I77" i="1"/>
  <c r="J76" i="1"/>
  <c r="I76" i="1"/>
  <c r="J75" i="1"/>
  <c r="I75" i="1"/>
  <c r="J74" i="1"/>
  <c r="I74" i="1"/>
  <c r="J73" i="1"/>
  <c r="I73" i="1"/>
  <c r="J72" i="1"/>
  <c r="I72" i="1"/>
  <c r="J71" i="1"/>
  <c r="I71" i="1"/>
  <c r="J70" i="1"/>
  <c r="I70" i="1"/>
  <c r="J69" i="1"/>
  <c r="I69" i="1"/>
  <c r="J68" i="1"/>
  <c r="I68" i="1"/>
  <c r="J67" i="1"/>
  <c r="I67" i="1"/>
  <c r="J66" i="1"/>
  <c r="I66" i="1"/>
  <c r="J65" i="1"/>
  <c r="I65" i="1"/>
  <c r="J64" i="1"/>
  <c r="I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  <c r="U12" i="1" l="1"/>
  <c r="T12" i="1"/>
  <c r="U11" i="1"/>
  <c r="T11" i="1"/>
  <c r="U10" i="1"/>
  <c r="T10" i="1"/>
  <c r="U9" i="1"/>
  <c r="T9" i="1"/>
  <c r="U8" i="1"/>
  <c r="T8" i="1"/>
  <c r="U7" i="1"/>
  <c r="T7" i="1"/>
  <c r="U6" i="1"/>
  <c r="T6" i="1"/>
  <c r="U5" i="1"/>
  <c r="T5" i="1"/>
  <c r="U4" i="1"/>
  <c r="T4" i="1"/>
  <c r="U3" i="1"/>
  <c r="T3" i="1"/>
  <c r="U2" i="1"/>
  <c r="T2" i="1"/>
  <c r="L8" i="1" l="1"/>
  <c r="L6" i="1" l="1"/>
  <c r="L7" i="1"/>
</calcChain>
</file>

<file path=xl/sharedStrings.xml><?xml version="1.0" encoding="utf-8"?>
<sst xmlns="http://schemas.openxmlformats.org/spreadsheetml/2006/main" count="1793" uniqueCount="467">
  <si>
    <t>id</t>
  </si>
  <si>
    <t>DEPARTAMENTO</t>
  </si>
  <si>
    <t>PROVINCIA</t>
  </si>
  <si>
    <t>MUNICIPIO</t>
  </si>
  <si>
    <t>tgp_hom2012</t>
  </si>
  <si>
    <t>tgp_hom2024</t>
  </si>
  <si>
    <t>tgp_muj2012</t>
  </si>
  <si>
    <t>tgp_muj2024</t>
  </si>
  <si>
    <t>paridad_2012</t>
  </si>
  <si>
    <t>paridad_2024</t>
  </si>
  <si>
    <t>id_departamento</t>
  </si>
  <si>
    <t>Departamento</t>
  </si>
  <si>
    <t>tgp_hom_2012</t>
  </si>
  <si>
    <t>tgp_hom_2024</t>
  </si>
  <si>
    <t>tgp_m_2012</t>
  </si>
  <si>
    <t>tgp_m_2024</t>
  </si>
  <si>
    <t>Chuquisaca</t>
  </si>
  <si>
    <t>Oropeza</t>
  </si>
  <si>
    <t>Sucre</t>
  </si>
  <si>
    <t>Yotala</t>
  </si>
  <si>
    <t>La Paz</t>
  </si>
  <si>
    <t>Poroma</t>
  </si>
  <si>
    <t>Cochabamba</t>
  </si>
  <si>
    <t>Azurduy</t>
  </si>
  <si>
    <t>Villa Azurduy</t>
  </si>
  <si>
    <t>Oruro</t>
  </si>
  <si>
    <t>Tarvita</t>
  </si>
  <si>
    <t>Potosí</t>
  </si>
  <si>
    <t>Zudáñez</t>
  </si>
  <si>
    <t>Zudañez</t>
  </si>
  <si>
    <t>Tarija</t>
  </si>
  <si>
    <t>Presto</t>
  </si>
  <si>
    <t>Santa Cruz</t>
  </si>
  <si>
    <t>Villa Mojocoya</t>
  </si>
  <si>
    <t>Beni</t>
  </si>
  <si>
    <t>Icla</t>
  </si>
  <si>
    <t>Pando</t>
  </si>
  <si>
    <t>Tomina</t>
  </si>
  <si>
    <t>Padilla</t>
  </si>
  <si>
    <t>max</t>
  </si>
  <si>
    <t>Gran Chaco</t>
  </si>
  <si>
    <t>min</t>
  </si>
  <si>
    <t>Bolivia</t>
  </si>
  <si>
    <t>Sopachuy</t>
  </si>
  <si>
    <t>Villa Alcalá</t>
  </si>
  <si>
    <t>El Villar</t>
  </si>
  <si>
    <t>Hernando Siles</t>
  </si>
  <si>
    <t>Monteagudo</t>
  </si>
  <si>
    <t>San Pablo de 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</si>
  <si>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</si>
  <si>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</si>
  <si>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</si>
  <si>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</si>
  <si>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</si>
  <si>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</si>
  <si>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</si>
  <si>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>Belisario Boeto</t>
  </si>
  <si>
    <t>Villa Serrano</t>
  </si>
  <si>
    <t>Sur Cinti</t>
  </si>
  <si>
    <t>Villa Abecia</t>
  </si>
  <si>
    <t>Culpina</t>
  </si>
  <si>
    <t>Las Carreras</t>
  </si>
  <si>
    <t>Luis Calvo</t>
  </si>
  <si>
    <t>Villa Vaca Guzman</t>
  </si>
  <si>
    <t>Huacaya</t>
  </si>
  <si>
    <t>Macharetí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</si>
  <si>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</si>
  <si>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</si>
  <si>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</si>
  <si>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</si>
  <si>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</si>
  <si>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</si>
  <si>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</si>
  <si>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</si>
  <si>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Ancoraimes</t>
  </si>
  <si>
    <t>Chua Cocani</t>
  </si>
  <si>
    <t>Huarina</t>
  </si>
  <si>
    <t>Santiago de Huata</t>
  </si>
  <si>
    <t>Huatajata</t>
  </si>
  <si>
    <t>Pacajes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</si>
  <si>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</si>
  <si>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</si>
  <si>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</si>
  <si>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</si>
  <si>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</si>
  <si>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</si>
  <si>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</si>
  <si>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</si>
  <si>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</si>
  <si>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</si>
  <si>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</si>
  <si>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</si>
  <si>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</si>
  <si>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</si>
  <si>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</si>
  <si>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</si>
  <si>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</si>
  <si>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</si>
  <si>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</si>
  <si>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</si>
  <si>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</si>
  <si>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</si>
  <si>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</si>
  <si>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</si>
  <si>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</si>
  <si>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</si>
  <si>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</si>
  <si>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</si>
  <si>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</si>
  <si>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</si>
  <si>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</si>
  <si>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</si>
  <si>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</si>
  <si>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</si>
  <si>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</si>
  <si>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</si>
  <si>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</si>
  <si>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</si>
  <si>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</si>
  <si>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</si>
  <si>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</si>
  <si>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</si>
  <si>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</si>
  <si>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</si>
  <si>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</si>
  <si>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</si>
  <si>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</si>
  <si>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</si>
  <si>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</si>
  <si>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</si>
  <si>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Sud Yungas</t>
  </si>
  <si>
    <t>Chulumani</t>
  </si>
  <si>
    <t>Irupana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</si>
  <si>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</si>
  <si>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</si>
  <si>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</si>
  <si>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</si>
  <si>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</si>
  <si>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</si>
  <si>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</si>
  <si>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</si>
  <si>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</si>
  <si>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Sica Sica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</si>
  <si>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</si>
  <si>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</si>
  <si>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</si>
  <si>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</si>
  <si>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</si>
  <si>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</si>
  <si>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</si>
  <si>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</si>
  <si>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</si>
  <si>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</si>
  <si>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</si>
  <si>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</si>
  <si>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</si>
  <si>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General Juan José Pérez (Charazani)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</si>
  <si>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</si>
  <si>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</si>
  <si>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</si>
  <si>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</si>
  <si>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</si>
  <si>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</si>
  <si>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</si>
  <si>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Gualberto Villarroe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</si>
  <si>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</si>
  <si>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</si>
  <si>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</si>
  <si>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</si>
  <si>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</si>
  <si>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</si>
  <si>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</si>
  <si>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Cercado</t>
  </si>
  <si>
    <t>Campero</t>
  </si>
  <si>
    <t>Aiquile</t>
  </si>
  <si>
    <t>Pasorapa</t>
  </si>
  <si>
    <t>Omereque</t>
  </si>
  <si>
    <t>Ayopaya</t>
  </si>
  <si>
    <t>Independencia</t>
  </si>
  <si>
    <t>Morochata</t>
  </si>
  <si>
    <t>Cocapata</t>
  </si>
  <si>
    <t>Esteban Arze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</si>
  <si>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</si>
  <si>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</si>
  <si>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</si>
  <si>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</si>
  <si>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</si>
  <si>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</si>
  <si>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</si>
  <si>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</si>
  <si>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</si>
  <si>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</si>
  <si>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</si>
  <si>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Germán Jordán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</si>
  <si>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</si>
  <si>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</si>
  <si>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</si>
  <si>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</si>
  <si>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</si>
  <si>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</si>
  <si>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</si>
  <si>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</si>
  <si>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</si>
  <si>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</si>
  <si>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</si>
  <si>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</si>
  <si>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</si>
  <si>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</si>
  <si>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</si>
  <si>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</si>
  <si>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</si>
  <si>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</si>
  <si>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</si>
  <si>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</si>
  <si>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</si>
  <si>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</si>
  <si>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</si>
  <si>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</si>
  <si>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</si>
  <si>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</si>
  <si>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</si>
  <si>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</si>
  <si>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</si>
  <si>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</si>
  <si>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</si>
  <si>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</si>
  <si>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Caracollo</t>
  </si>
  <si>
    <t>El Choro</t>
  </si>
  <si>
    <t>Soracachi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</si>
  <si>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</si>
  <si>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</si>
  <si>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</si>
  <si>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</si>
  <si>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</si>
  <si>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</si>
  <si>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</si>
  <si>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</si>
  <si>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</si>
  <si>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</si>
  <si>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</si>
  <si>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</si>
  <si>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</si>
  <si>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</si>
  <si>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</si>
  <si>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</si>
  <si>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</si>
  <si>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</si>
  <si>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Pantaleón Dalence</t>
  </si>
  <si>
    <t>Huanuni</t>
  </si>
  <si>
    <t>Machacamarca</t>
  </si>
  <si>
    <t>Ladislao Cabrera</t>
  </si>
  <si>
    <t>Salinas de Garcí Mendoza</t>
  </si>
  <si>
    <t>Pampa Aullagas</t>
  </si>
  <si>
    <t>Sabaya</t>
  </si>
  <si>
    <t>Coipasa</t>
  </si>
  <si>
    <t>Chipaya</t>
  </si>
  <si>
    <t>Saucarí</t>
  </si>
  <si>
    <t>Toledo</t>
  </si>
  <si>
    <t>Tomás Barrón</t>
  </si>
  <si>
    <t>Eucaliptus</t>
  </si>
  <si>
    <t>Sur Carangas</t>
  </si>
  <si>
    <t>Santiago de 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</si>
  <si>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</si>
  <si>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</si>
  <si>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</si>
  <si>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</si>
  <si>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</si>
  <si>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</si>
  <si>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</si>
  <si>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</si>
  <si>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Huayllamarca (Santiago de Huayllamarca)</t>
  </si>
  <si>
    <t>Tomás Frías</t>
  </si>
  <si>
    <t>Tinguipaya</t>
  </si>
  <si>
    <t>Yocalla</t>
  </si>
  <si>
    <t>Belén de Urmiri</t>
  </si>
  <si>
    <t>Rafael Bustillo</t>
  </si>
  <si>
    <t>Uncía</t>
  </si>
  <si>
    <t>Chayanta</t>
  </si>
  <si>
    <t>Llallagua</t>
  </si>
  <si>
    <t>Chuquihuta - Ayllu Jucumani</t>
  </si>
  <si>
    <t>Cornelio Saavedra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</si>
  <si>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</si>
  <si>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</si>
  <si>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</si>
  <si>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</si>
  <si>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</si>
  <si>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</si>
  <si>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</si>
  <si>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</si>
  <si>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Chárcas</t>
  </si>
  <si>
    <t>San Pedro de Buena Vista</t>
  </si>
  <si>
    <t>Toro Toro</t>
  </si>
  <si>
    <t>Nor Chichas</t>
  </si>
  <si>
    <t>Cotagaita</t>
  </si>
  <si>
    <t>Vitichi</t>
  </si>
  <si>
    <t>Alonso de Ibáñez</t>
  </si>
  <si>
    <t>Sacaca (Villa de Sacaca)</t>
  </si>
  <si>
    <t>Caripuyo</t>
  </si>
  <si>
    <t>Sur Chichas</t>
  </si>
  <si>
    <t>Tupiza</t>
  </si>
  <si>
    <t>Atocha</t>
  </si>
  <si>
    <t>Nor Lipez</t>
  </si>
  <si>
    <t>Colcha ''K'' (Villa Martin)</t>
  </si>
  <si>
    <t>San Pedro de Quemes</t>
  </si>
  <si>
    <t>Sur Lipez</t>
  </si>
  <si>
    <t>San Pablo de Lipez</t>
  </si>
  <si>
    <t>Mojinete</t>
  </si>
  <si>
    <t>San Antonio de Esmoruco</t>
  </si>
  <si>
    <t>José María Linares</t>
  </si>
  <si>
    <t>Puna</t>
  </si>
  <si>
    <t>Caiza "D"</t>
  </si>
  <si>
    <t>Ckochas</t>
  </si>
  <si>
    <t>Antonio Quijarro</t>
  </si>
  <si>
    <t>Uyuni</t>
  </si>
  <si>
    <t>Tomave</t>
  </si>
  <si>
    <t>Porco</t>
  </si>
  <si>
    <t>TIOC-Jatun Ayllu Yura</t>
  </si>
  <si>
    <t>General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</si>
  <si>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</si>
  <si>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</si>
  <si>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</si>
  <si>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</si>
  <si>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</si>
  <si>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</si>
  <si>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</si>
  <si>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</si>
  <si>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</si>
  <si>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Arce</t>
  </si>
  <si>
    <t>Padcaya</t>
  </si>
  <si>
    <t>Bermejo</t>
  </si>
  <si>
    <t>Yacuiba</t>
  </si>
  <si>
    <t>Caraparí</t>
  </si>
  <si>
    <t>Villa Montes</t>
  </si>
  <si>
    <t>Avilés</t>
  </si>
  <si>
    <t>Uriondo</t>
  </si>
  <si>
    <t>Yunchará</t>
  </si>
  <si>
    <t>Méndez</t>
  </si>
  <si>
    <t>Villa San Lorenzo</t>
  </si>
  <si>
    <t>El Puente</t>
  </si>
  <si>
    <t>O'Connor</t>
  </si>
  <si>
    <t>Andrés Ibáñez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</si>
  <si>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</si>
  <si>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</si>
  <si>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</si>
  <si>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</si>
  <si>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</si>
  <si>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</si>
  <si>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</si>
  <si>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Velasco</t>
  </si>
  <si>
    <t>San Ignacio de Velasco</t>
  </si>
  <si>
    <t>San Miguel de Velasco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</si>
  <si>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</si>
  <si>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</si>
  <si>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</si>
  <si>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</si>
  <si>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</si>
  <si>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</si>
  <si>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</si>
  <si>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 de Chiquitos</t>
  </si>
  <si>
    <t>Pailón</t>
  </si>
  <si>
    <t>Roboré</t>
  </si>
  <si>
    <t>Sara</t>
  </si>
  <si>
    <t>Portachuelo</t>
  </si>
  <si>
    <t>Santa Rosa del Sara</t>
  </si>
  <si>
    <t>Colpa Bélgica</t>
  </si>
  <si>
    <t>Cordillera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</si>
  <si>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</si>
  <si>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</si>
  <si>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</si>
  <si>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</si>
  <si>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</si>
  <si>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</si>
  <si>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</si>
  <si>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</si>
  <si>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</si>
  <si>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</si>
  <si>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</si>
  <si>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</si>
  <si>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Florida</t>
  </si>
  <si>
    <t>Samaipata</t>
  </si>
  <si>
    <t>Pampa Grande</t>
  </si>
  <si>
    <t>Mairana</t>
  </si>
  <si>
    <t>Quirusillas</t>
  </si>
  <si>
    <t>Obispo Santistéban</t>
  </si>
  <si>
    <t>Montero</t>
  </si>
  <si>
    <t>General Saavedra</t>
  </si>
  <si>
    <t>Mineros</t>
  </si>
  <si>
    <t>Fernández Alonso</t>
  </si>
  <si>
    <t>San Pedro</t>
  </si>
  <si>
    <t>Ñuflo De Chávez</t>
  </si>
  <si>
    <t>Concepción</t>
  </si>
  <si>
    <t>San Javier</t>
  </si>
  <si>
    <t>San Ramón</t>
  </si>
  <si>
    <t>San Julián</t>
  </si>
  <si>
    <t>San Antonio de Lomerio</t>
  </si>
  <si>
    <t>Cuatro Cañadas</t>
  </si>
  <si>
    <t>Angel Sandoval</t>
  </si>
  <si>
    <t>San Matías</t>
  </si>
  <si>
    <t>Manuel María Caballero</t>
  </si>
  <si>
    <t>Comarapa</t>
  </si>
  <si>
    <t>Saipina</t>
  </si>
  <si>
    <t>Germán Busch</t>
  </si>
  <si>
    <t>Puerto Suarez</t>
  </si>
  <si>
    <t>Puerto Quijarro</t>
  </si>
  <si>
    <t>El Carmen Rivero Tórrez</t>
  </si>
  <si>
    <t>Guarayos</t>
  </si>
  <si>
    <t>Ascención de Guarayos</t>
  </si>
  <si>
    <t>Urubichá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</si>
  <si>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</si>
  <si>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</si>
  <si>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</si>
  <si>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</si>
  <si>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</si>
  <si>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</si>
  <si>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</si>
  <si>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Santa Rosa</t>
  </si>
  <si>
    <t>Rurrenabaque</t>
  </si>
  <si>
    <t>Yacuma</t>
  </si>
  <si>
    <t>Santa Ana de Yacuma</t>
  </si>
  <si>
    <t>Exaltación</t>
  </si>
  <si>
    <t>Moxos</t>
  </si>
  <si>
    <t>San Ignacio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</si>
  <si>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</si>
  <si>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</si>
  <si>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</si>
  <si>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</si>
  <si>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</si>
  <si>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</si>
  <si>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</si>
  <si>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</si>
  <si>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</si>
  <si>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</si>
  <si>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TIOC-Territorio Indigena Multiétnico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</si>
  <si>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</si>
  <si>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</si>
  <si>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</si>
  <si>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</si>
  <si>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</si>
  <si>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</si>
  <si>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</si>
  <si>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</si>
  <si>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</si>
  <si>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</si>
  <si>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San Lorenzo</t>
  </si>
  <si>
    <t>Sena</t>
  </si>
  <si>
    <t>Abuná</t>
  </si>
  <si>
    <t>Santa Rosa del Abuná</t>
  </si>
  <si>
    <t>Federico Román</t>
  </si>
  <si>
    <t>Nueva Esperanza</t>
  </si>
  <si>
    <t>Villa Nueva (Loma Alta)</t>
  </si>
  <si>
    <t>Santos Mercado</t>
  </si>
  <si>
    <t>Municipio</t>
  </si>
  <si>
    <t>Paridad de género en la tasa global de participación (≥14 años) 2012</t>
  </si>
  <si>
    <t>Paridad de género en la tasa global de participación (≥14 años) 2024</t>
  </si>
  <si>
    <t xml:space="preserve"> Absoluto_2012</t>
  </si>
  <si>
    <t xml:space="preserve"> Absoluto_2024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</si>
  <si>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</si>
  <si>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</si>
  <si>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</si>
  <si>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</si>
  <si>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</si>
  <si>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</si>
  <si>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</si>
  <si>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</si>
  <si>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</si>
  <si>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</si>
  <si>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Paridad de género en la tasa global de participación (≥14 años)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</si>
</sst>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"/>
    <numFmt numFmtId="165" formatCode="0.0"/>
  </numFmts>
  <fonts count="6">
    <font>
      <sz val="10"/>
      <color rgb="FF000000"/>
      <name val="Arial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</font>
    <font>
      <b/>
      <sz val="9"/>
      <color theme="1"/>
      <name val="Play"/>
    </font>
    <font>
      <sz val="10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164" fontId="1" fillId="0" borderId="1" xfId="0" applyNumberFormat="1" applyFont="1" applyBorder="1"/>
    <xf numFmtId="0" fontId="1" fillId="0" borderId="1" xfId="0" applyFont="1" applyBorder="1"/>
    <xf numFmtId="49" fontId="1" fillId="0" borderId="1" xfId="0" applyNumberFormat="1" applyFont="1" applyBorder="1"/>
    <xf numFmtId="1" fontId="2" fillId="0" borderId="1" xfId="0" applyNumberFormat="1" applyFont="1" applyBorder="1"/>
    <xf numFmtId="0" fontId="1" fillId="0" borderId="0" xfId="0" applyFont="1"/>
    <xf numFmtId="165" fontId="1" fillId="0" borderId="0" xfId="0" applyNumberFormat="1" applyFont="1"/>
    <xf numFmtId="1" fontId="1" fillId="0" borderId="1" xfId="0" applyNumberFormat="1" applyFont="1" applyBorder="1"/>
    <xf numFmtId="165" fontId="1" fillId="0" borderId="1" xfId="0" applyNumberFormat="1" applyFont="1" applyBorder="1"/>
    <xf numFmtId="4" fontId="1" fillId="0" borderId="1" xfId="0" applyNumberFormat="1" applyFont="1" applyBorder="1"/>
    <xf numFmtId="1" fontId="1" fillId="0" borderId="1" xfId="0" applyNumberFormat="1" applyFont="1" applyBorder="1" applyAlignment="1">
      <alignment horizontal="right"/>
    </xf>
    <xf numFmtId="2" fontId="1" fillId="0" borderId="1" xfId="0" applyNumberFormat="1" applyFont="1" applyBorder="1" applyAlignment="1">
      <alignment horizontal="right"/>
    </xf>
    <xf numFmtId="1" fontId="1" fillId="0" borderId="0" xfId="0" applyNumberFormat="1" applyFont="1"/>
    <xf numFmtId="1" fontId="2" fillId="0" borderId="0" xfId="0" applyNumberFormat="1" applyFont="1"/>
    <xf numFmtId="0" fontId="2" fillId="0" borderId="0" xfId="0" applyFont="1"/>
    <xf numFmtId="164" fontId="1" fillId="0" borderId="0" xfId="0" applyNumberFormat="1" applyFont="1"/>
    <xf numFmtId="49" fontId="1" fillId="0" borderId="0" xfId="0" applyNumberFormat="1" applyFont="1"/>
    <xf numFmtId="49" fontId="2" fillId="0" borderId="1" xfId="0" applyNumberFormat="1" applyFont="1" applyBorder="1"/>
    <xf numFmtId="165" fontId="1" fillId="0" borderId="0" xfId="0" applyNumberFormat="1" applyFont="1" applyAlignment="1">
      <alignment horizontal="right"/>
    </xf>
    <xf numFmtId="2" fontId="1" fillId="0" borderId="0" xfId="0" applyNumberFormat="1" applyFont="1" applyAlignment="1">
      <alignment horizontal="right"/>
    </xf>
    <xf numFmtId="4" fontId="2" fillId="0" borderId="1" xfId="0" applyNumberFormat="1" applyFont="1" applyBorder="1"/>
    <xf numFmtId="0" fontId="3" fillId="2" borderId="1" xfId="0" applyFont="1" applyFill="1" applyBorder="1"/>
    <xf numFmtId="0" fontId="4" fillId="3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 wrapText="1"/>
    </xf>
    <xf numFmtId="0" fontId="4" fillId="5" borderId="1" xfId="0" applyFont="1" applyFill="1" applyBorder="1" applyAlignment="1">
      <alignment horizontal="center" wrapText="1"/>
    </xf>
    <xf numFmtId="0" fontId="4" fillId="6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right"/>
    </xf>
    <xf numFmtId="2" fontId="2" fillId="0" borderId="0" xfId="0" applyNumberFormat="1" applyFont="1"/>
    <xf numFmtId="165" fontId="2" fillId="0" borderId="0" xfId="0" applyNumberFormat="1" applyFont="1"/>
    <xf numFmtId="0" fontId="2" fillId="0" borderId="1" xfId="0" applyFont="1" applyBorder="1"/>
    <xf numFmtId="3" fontId="2" fillId="0" borderId="1" xfId="0" applyNumberFormat="1" applyFont="1" applyBorder="1"/>
    <xf numFmtId="3" fontId="2" fillId="0" borderId="1" xfId="0" applyNumberFormat="1" applyFont="1" applyBorder="1" applyAlignment="1">
      <alignment horizontal="right"/>
    </xf>
    <xf numFmtId="0" fontId="5" fillId="0" borderId="2" xfId="0" applyFont="1" applyBorder="1" applyAlignment="1">
      <alignment horizontal="right" wrapText="1"/>
    </xf>
    <xf numFmtId="0" fontId="5" fillId="0" borderId="3" xfId="0" applyFont="1" applyBorder="1" applyAlignment="1">
      <alignment horizontal="right" wrapText="1"/>
    </xf>
    <xf numFmtId="0" fontId="5" fillId="0" borderId="4" xfId="0" applyFont="1" applyBorder="1" applyAlignment="1">
      <alignment horizontal="right" wrapText="1"/>
    </xf>
    <xf numFmtId="0" fontId="5" fillId="0" borderId="5" xfId="0" applyFont="1" applyBorder="1" applyAlignment="1">
      <alignment horizontal="right" wrapText="1"/>
    </xf>
    <xf numFmtId="49" fontId="1" fillId="0" borderId="7" xfId="0" applyNumberFormat="1" applyFont="1" applyBorder="1"/>
    <xf numFmtId="3" fontId="2" fillId="0" borderId="7" xfId="0" applyNumberFormat="1" applyFont="1" applyBorder="1"/>
    <xf numFmtId="3" fontId="2" fillId="0" borderId="7" xfId="0" applyNumberFormat="1" applyFont="1" applyBorder="1" applyAlignment="1">
      <alignment horizontal="right"/>
    </xf>
    <xf numFmtId="0" fontId="5" fillId="0" borderId="8" xfId="0" applyFont="1" applyBorder="1" applyAlignment="1">
      <alignment horizontal="right" wrapText="1"/>
    </xf>
    <xf numFmtId="1" fontId="2" fillId="0" borderId="6" xfId="0" applyNumberFormat="1" applyFont="1" applyBorder="1"/>
    <xf numFmtId="1" fontId="2" fillId="0" borderId="0" xfId="0" applyNumberFormat="1" applyFont="1" applyBorder="1"/>
    <xf numFmtId="4" fontId="1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FF"/>
    <outlinePr summaryBelow="0" summaryRight="0"/>
  </sheetPr>
  <dimension ref="A1:X1005"/>
  <sheetViews>
    <sheetView tabSelected="1" workbookViewId="0">
      <selection activeCell="N17" sqref="N17"/>
    </sheetView>
  </sheetViews>
  <sheetFormatPr baseColWidth="10" defaultColWidth="12.6640625" defaultRowHeight="15" customHeight="1"/>
  <sheetData>
    <row r="1" spans="1:24" ht="15.75" customHeight="1" thickBot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2" t="s">
        <v>8</v>
      </c>
      <c r="J1" s="2" t="s">
        <v>9</v>
      </c>
      <c r="K1" s="5"/>
      <c r="L1" s="6"/>
      <c r="M1" s="6"/>
      <c r="N1" s="7" t="s">
        <v>10</v>
      </c>
      <c r="O1" s="2" t="s">
        <v>11</v>
      </c>
      <c r="P1" s="8" t="s">
        <v>12</v>
      </c>
      <c r="Q1" s="8" t="s">
        <v>13</v>
      </c>
      <c r="R1" s="2" t="s">
        <v>14</v>
      </c>
      <c r="S1" s="2" t="s">
        <v>15</v>
      </c>
      <c r="T1" s="2" t="s">
        <v>8</v>
      </c>
      <c r="U1" s="2" t="s">
        <v>9</v>
      </c>
      <c r="V1" s="5"/>
      <c r="W1" s="5"/>
      <c r="X1" s="5"/>
    </row>
    <row r="2" spans="1:24" ht="15.75" customHeight="1" thickBot="1">
      <c r="A2" s="1">
        <v>10101</v>
      </c>
      <c r="B2" s="2" t="s">
        <v>16</v>
      </c>
      <c r="C2" s="2" t="s">
        <v>17</v>
      </c>
      <c r="D2" s="3" t="s">
        <v>18</v>
      </c>
      <c r="E2" s="30">
        <v>67.210544984381613</v>
      </c>
      <c r="F2" s="31">
        <v>74.276401688793158</v>
      </c>
      <c r="G2" s="32">
        <v>48</v>
      </c>
      <c r="H2" s="33">
        <v>61</v>
      </c>
      <c r="I2" s="9">
        <f>G2/E2</f>
        <v>0.71417364657814097</v>
      </c>
      <c r="J2" s="9">
        <f>H2/G2</f>
        <v>1.2708333333333333</v>
      </c>
      <c r="K2" s="5"/>
      <c r="L2" s="6"/>
      <c r="M2" s="6"/>
      <c r="N2" s="10">
        <v>1</v>
      </c>
      <c r="O2" s="2" t="s">
        <v>16</v>
      </c>
      <c r="P2" s="42">
        <v>74.226958793553905</v>
      </c>
      <c r="Q2" s="42">
        <v>80.198514350131305</v>
      </c>
      <c r="R2" s="11">
        <v>47</v>
      </c>
      <c r="S2" s="11">
        <v>66</v>
      </c>
      <c r="T2" s="9">
        <f t="shared" ref="T2:U2" si="0">R2/P2</f>
        <v>0.63319312503049263</v>
      </c>
      <c r="U2" s="9">
        <f t="shared" si="0"/>
        <v>0.8229578881206786</v>
      </c>
      <c r="V2" s="5"/>
      <c r="W2" s="5"/>
      <c r="X2" s="5"/>
    </row>
    <row r="3" spans="1:24" ht="15.75" customHeight="1" thickBot="1">
      <c r="A3" s="1">
        <v>10102</v>
      </c>
      <c r="B3" s="2" t="s">
        <v>16</v>
      </c>
      <c r="C3" s="2" t="s">
        <v>17</v>
      </c>
      <c r="D3" s="3" t="s">
        <v>19</v>
      </c>
      <c r="E3" s="30">
        <v>73.12935474098758</v>
      </c>
      <c r="F3" s="31">
        <v>85.398487492728322</v>
      </c>
      <c r="G3" s="34">
        <v>47</v>
      </c>
      <c r="H3" s="35">
        <v>71</v>
      </c>
      <c r="I3" s="9">
        <f t="shared" ref="I3:I66" si="1">G3/E3</f>
        <v>0.64269676884838445</v>
      </c>
      <c r="J3" s="9">
        <f t="shared" ref="J3:J66" si="2">H3/G3</f>
        <v>1.5106382978723405</v>
      </c>
      <c r="K3" s="5"/>
      <c r="L3" s="6">
        <f>AVERAGE(I:I)</f>
        <v>0.68752026911071729</v>
      </c>
      <c r="M3" s="6"/>
      <c r="N3" s="10">
        <v>2</v>
      </c>
      <c r="O3" s="2" t="s">
        <v>20</v>
      </c>
      <c r="P3" s="42">
        <v>76.228183047939595</v>
      </c>
      <c r="Q3" s="42">
        <v>81.794084083572599</v>
      </c>
      <c r="R3" s="11">
        <v>61</v>
      </c>
      <c r="S3" s="11">
        <v>71</v>
      </c>
      <c r="T3" s="9">
        <f t="shared" ref="T3:U3" si="3">R3/P3</f>
        <v>0.80022896468144</v>
      </c>
      <c r="U3" s="9">
        <f t="shared" si="3"/>
        <v>0.86803343781508924</v>
      </c>
      <c r="V3" s="5"/>
      <c r="W3" s="5"/>
      <c r="X3" s="5"/>
    </row>
    <row r="4" spans="1:24" ht="15.75" customHeight="1" thickBot="1">
      <c r="A4" s="1">
        <v>10103</v>
      </c>
      <c r="B4" s="2" t="s">
        <v>16</v>
      </c>
      <c r="C4" s="2" t="s">
        <v>17</v>
      </c>
      <c r="D4" s="3" t="s">
        <v>21</v>
      </c>
      <c r="E4" s="30">
        <v>80.258587417985339</v>
      </c>
      <c r="F4" s="31">
        <v>88.423236514522813</v>
      </c>
      <c r="G4" s="34">
        <v>48</v>
      </c>
      <c r="H4" s="35">
        <v>76</v>
      </c>
      <c r="I4" s="9">
        <f t="shared" si="1"/>
        <v>0.59806684299110358</v>
      </c>
      <c r="J4" s="9">
        <f t="shared" si="2"/>
        <v>1.5833333333333333</v>
      </c>
      <c r="K4" s="5"/>
      <c r="L4" s="6">
        <f>STDEV(I:I)</f>
        <v>0.13928172258519245</v>
      </c>
      <c r="M4" s="6"/>
      <c r="N4" s="10">
        <v>3</v>
      </c>
      <c r="O4" s="2" t="s">
        <v>22</v>
      </c>
      <c r="P4" s="42">
        <v>75.887453157620897</v>
      </c>
      <c r="Q4" s="42">
        <v>80.035483732467597</v>
      </c>
      <c r="R4" s="11">
        <v>53</v>
      </c>
      <c r="S4" s="11">
        <v>65</v>
      </c>
      <c r="T4" s="9">
        <f t="shared" ref="T4:U4" si="4">R4/P4</f>
        <v>0.69840267125472166</v>
      </c>
      <c r="U4" s="9">
        <f t="shared" si="4"/>
        <v>0.8121397781173374</v>
      </c>
      <c r="V4" s="5"/>
      <c r="W4" s="5"/>
      <c r="X4" s="5"/>
    </row>
    <row r="5" spans="1:24" ht="15.75" customHeight="1" thickBot="1">
      <c r="A5" s="1">
        <v>10201</v>
      </c>
      <c r="B5" s="2" t="s">
        <v>16</v>
      </c>
      <c r="C5" s="2" t="s">
        <v>23</v>
      </c>
      <c r="D5" s="3" t="s">
        <v>24</v>
      </c>
      <c r="E5" s="30">
        <v>81.178247734138978</v>
      </c>
      <c r="F5" s="31">
        <v>87.16780561883067</v>
      </c>
      <c r="G5" s="34">
        <v>34</v>
      </c>
      <c r="H5" s="35">
        <v>74</v>
      </c>
      <c r="I5" s="9">
        <f t="shared" si="1"/>
        <v>0.4188314104949758</v>
      </c>
      <c r="J5" s="9">
        <f t="shared" si="2"/>
        <v>2.1764705882352939</v>
      </c>
      <c r="K5" s="5"/>
      <c r="L5" s="6"/>
      <c r="M5" s="6"/>
      <c r="N5" s="10">
        <v>4</v>
      </c>
      <c r="O5" s="2" t="s">
        <v>25</v>
      </c>
      <c r="P5" s="42">
        <v>73.070536759865107</v>
      </c>
      <c r="Q5" s="42">
        <v>78.660176577208702</v>
      </c>
      <c r="R5" s="11">
        <v>54</v>
      </c>
      <c r="S5" s="11">
        <v>65</v>
      </c>
      <c r="T5" s="9">
        <f t="shared" ref="T5:U5" si="5">R5/P5</f>
        <v>0.73901195193710645</v>
      </c>
      <c r="U5" s="9">
        <f t="shared" si="5"/>
        <v>0.82633936037760369</v>
      </c>
      <c r="V5" s="5"/>
      <c r="W5" s="5"/>
      <c r="X5" s="5"/>
    </row>
    <row r="6" spans="1:24" ht="15.75" customHeight="1" thickBot="1">
      <c r="A6" s="1">
        <v>10202</v>
      </c>
      <c r="B6" s="2" t="s">
        <v>16</v>
      </c>
      <c r="C6" s="2" t="s">
        <v>23</v>
      </c>
      <c r="D6" s="3" t="s">
        <v>26</v>
      </c>
      <c r="E6" s="30">
        <v>80.534951674533602</v>
      </c>
      <c r="F6" s="31">
        <v>85.297131147540981</v>
      </c>
      <c r="G6" s="34">
        <v>50</v>
      </c>
      <c r="H6" s="35">
        <v>68</v>
      </c>
      <c r="I6" s="9">
        <f t="shared" si="1"/>
        <v>0.62084845101869945</v>
      </c>
      <c r="J6" s="9">
        <f t="shared" si="2"/>
        <v>1.36</v>
      </c>
      <c r="K6" s="5"/>
      <c r="L6" s="6">
        <f>L3-L4</f>
        <v>0.54823854652552484</v>
      </c>
      <c r="M6" s="6"/>
      <c r="N6" s="10">
        <v>5</v>
      </c>
      <c r="O6" s="2" t="s">
        <v>27</v>
      </c>
      <c r="P6" s="42">
        <v>76.590396885792899</v>
      </c>
      <c r="Q6" s="42">
        <v>82.299518183618204</v>
      </c>
      <c r="R6" s="11">
        <v>52</v>
      </c>
      <c r="S6" s="11">
        <v>65</v>
      </c>
      <c r="T6" s="9">
        <f t="shared" ref="T6:U6" si="6">R6/P6</f>
        <v>0.67893629115852927</v>
      </c>
      <c r="U6" s="9">
        <f t="shared" si="6"/>
        <v>0.78979806242581763</v>
      </c>
      <c r="V6" s="5"/>
      <c r="W6" s="5"/>
      <c r="X6" s="5"/>
    </row>
    <row r="7" spans="1:24" ht="15.75" customHeight="1" thickBot="1">
      <c r="A7" s="1">
        <v>10301</v>
      </c>
      <c r="B7" s="2" t="s">
        <v>16</v>
      </c>
      <c r="C7" s="2" t="s">
        <v>28</v>
      </c>
      <c r="D7" s="3" t="s">
        <v>29</v>
      </c>
      <c r="E7" s="30">
        <v>78.674698795180717</v>
      </c>
      <c r="F7" s="31">
        <v>86.060269920502861</v>
      </c>
      <c r="G7" s="34">
        <v>42</v>
      </c>
      <c r="H7" s="35">
        <v>67</v>
      </c>
      <c r="I7" s="9">
        <f t="shared" si="1"/>
        <v>0.53384379785604907</v>
      </c>
      <c r="J7" s="9">
        <f t="shared" si="2"/>
        <v>1.5952380952380953</v>
      </c>
      <c r="K7" s="5"/>
      <c r="L7" s="6">
        <f>L3</f>
        <v>0.68752026911071729</v>
      </c>
      <c r="M7" s="6"/>
      <c r="N7" s="10">
        <v>6</v>
      </c>
      <c r="O7" s="2" t="s">
        <v>30</v>
      </c>
      <c r="P7" s="42">
        <v>78.403185295785704</v>
      </c>
      <c r="Q7" s="42">
        <v>80.125061809790694</v>
      </c>
      <c r="R7" s="11">
        <v>54</v>
      </c>
      <c r="S7" s="11">
        <v>65</v>
      </c>
      <c r="T7" s="9">
        <f t="shared" ref="T7:U7" si="7">R7/P7</f>
        <v>0.68874752723729693</v>
      </c>
      <c r="U7" s="9">
        <f t="shared" si="7"/>
        <v>0.81123182349991618</v>
      </c>
      <c r="V7" s="5"/>
      <c r="W7" s="5"/>
      <c r="X7" s="5"/>
    </row>
    <row r="8" spans="1:24" ht="15.75" customHeight="1" thickBot="1">
      <c r="A8" s="1">
        <v>10302</v>
      </c>
      <c r="B8" s="2" t="s">
        <v>16</v>
      </c>
      <c r="C8" s="2" t="s">
        <v>28</v>
      </c>
      <c r="D8" s="3" t="s">
        <v>31</v>
      </c>
      <c r="E8" s="30">
        <v>80.800970873786397</v>
      </c>
      <c r="F8" s="31">
        <v>85.852504837669315</v>
      </c>
      <c r="G8" s="34">
        <v>43</v>
      </c>
      <c r="H8" s="35">
        <v>69</v>
      </c>
      <c r="I8" s="9">
        <f t="shared" si="1"/>
        <v>0.5321718233703816</v>
      </c>
      <c r="J8" s="9">
        <f t="shared" si="2"/>
        <v>1.6046511627906976</v>
      </c>
      <c r="K8" s="5"/>
      <c r="L8" s="6">
        <f>L3+L4</f>
        <v>0.82680199169590973</v>
      </c>
      <c r="M8" s="6"/>
      <c r="N8" s="10">
        <v>7</v>
      </c>
      <c r="O8" s="2" t="s">
        <v>32</v>
      </c>
      <c r="P8" s="42">
        <v>78.908415062926295</v>
      </c>
      <c r="Q8" s="42">
        <v>81.654791014419899</v>
      </c>
      <c r="R8" s="11">
        <v>51</v>
      </c>
      <c r="S8" s="11">
        <v>62</v>
      </c>
      <c r="T8" s="9">
        <f t="shared" ref="T8:U8" si="8">R8/P8</f>
        <v>0.64631889969313849</v>
      </c>
      <c r="U8" s="9">
        <f t="shared" si="8"/>
        <v>0.75929408709222046</v>
      </c>
      <c r="V8" s="5"/>
      <c r="W8" s="5"/>
      <c r="X8" s="5"/>
    </row>
    <row r="9" spans="1:24" ht="15.75" customHeight="1" thickBot="1">
      <c r="A9" s="1">
        <v>10303</v>
      </c>
      <c r="B9" s="2" t="s">
        <v>16</v>
      </c>
      <c r="C9" s="2" t="s">
        <v>28</v>
      </c>
      <c r="D9" s="3" t="s">
        <v>33</v>
      </c>
      <c r="E9" s="30">
        <v>76.65518561040949</v>
      </c>
      <c r="F9" s="31">
        <v>85.458951832777942</v>
      </c>
      <c r="G9" s="34">
        <v>47</v>
      </c>
      <c r="H9" s="35">
        <v>70</v>
      </c>
      <c r="I9" s="9">
        <f t="shared" si="1"/>
        <v>0.61313529705441838</v>
      </c>
      <c r="J9" s="9">
        <f t="shared" si="2"/>
        <v>1.4893617021276595</v>
      </c>
      <c r="K9" s="5"/>
      <c r="L9" s="6"/>
      <c r="M9" s="6"/>
      <c r="N9" s="10">
        <v>8</v>
      </c>
      <c r="O9" s="2" t="s">
        <v>34</v>
      </c>
      <c r="P9" s="42">
        <v>77.982164303759006</v>
      </c>
      <c r="Q9" s="42">
        <v>80.551849681433396</v>
      </c>
      <c r="R9" s="11">
        <v>50</v>
      </c>
      <c r="S9" s="11">
        <v>61</v>
      </c>
      <c r="T9" s="9">
        <f t="shared" ref="T9:U9" si="9">R9/P9</f>
        <v>0.64117225325060423</v>
      </c>
      <c r="U9" s="9">
        <f t="shared" si="9"/>
        <v>0.75727621701106695</v>
      </c>
      <c r="V9" s="5"/>
      <c r="W9" s="5"/>
      <c r="X9" s="5"/>
    </row>
    <row r="10" spans="1:24" ht="15.75" customHeight="1" thickBot="1">
      <c r="A10" s="1">
        <v>10304</v>
      </c>
      <c r="B10" s="2" t="s">
        <v>16</v>
      </c>
      <c r="C10" s="2" t="s">
        <v>28</v>
      </c>
      <c r="D10" s="3" t="s">
        <v>35</v>
      </c>
      <c r="E10" s="30">
        <v>73.269307723089241</v>
      </c>
      <c r="F10" s="31">
        <v>88.578901482127293</v>
      </c>
      <c r="G10" s="34">
        <v>40</v>
      </c>
      <c r="H10" s="35">
        <v>69</v>
      </c>
      <c r="I10" s="9">
        <f t="shared" si="1"/>
        <v>0.5459311851447296</v>
      </c>
      <c r="J10" s="9">
        <f t="shared" si="2"/>
        <v>1.7250000000000001</v>
      </c>
      <c r="K10" s="5"/>
      <c r="L10" s="6"/>
      <c r="M10" s="6"/>
      <c r="N10" s="10">
        <v>9</v>
      </c>
      <c r="O10" s="2" t="s">
        <v>36</v>
      </c>
      <c r="P10" s="42">
        <v>78.609253412226806</v>
      </c>
      <c r="Q10" s="42">
        <v>81.665780236145096</v>
      </c>
      <c r="R10" s="11">
        <v>48</v>
      </c>
      <c r="S10" s="11">
        <v>62</v>
      </c>
      <c r="T10" s="9">
        <f t="shared" ref="T10:U10" si="10">R10/P10</f>
        <v>0.61061513646857923</v>
      </c>
      <c r="U10" s="9">
        <f t="shared" si="10"/>
        <v>0.75919191392919472</v>
      </c>
      <c r="V10" s="5"/>
      <c r="W10" s="5"/>
      <c r="X10" s="5"/>
    </row>
    <row r="11" spans="1:24" ht="15.75" customHeight="1" thickBot="1">
      <c r="A11" s="1">
        <v>10401</v>
      </c>
      <c r="B11" s="2" t="s">
        <v>16</v>
      </c>
      <c r="C11" s="2" t="s">
        <v>37</v>
      </c>
      <c r="D11" s="3" t="s">
        <v>38</v>
      </c>
      <c r="E11" s="30">
        <v>84.536912751677846</v>
      </c>
      <c r="F11" s="31">
        <v>86.362339514978601</v>
      </c>
      <c r="G11" s="34">
        <v>53</v>
      </c>
      <c r="H11" s="35">
        <v>69</v>
      </c>
      <c r="I11" s="9">
        <f t="shared" si="1"/>
        <v>0.62694506192442045</v>
      </c>
      <c r="J11" s="9">
        <f t="shared" si="2"/>
        <v>1.3018867924528301</v>
      </c>
      <c r="K11" s="5"/>
      <c r="L11" s="6" t="s">
        <v>39</v>
      </c>
      <c r="M11" s="6">
        <f>MAX(I:I)</f>
        <v>1.4517209302325582</v>
      </c>
      <c r="N11" s="10">
        <v>10</v>
      </c>
      <c r="O11" s="2" t="s">
        <v>40</v>
      </c>
      <c r="P11" s="42">
        <v>78.394841232539335</v>
      </c>
      <c r="Q11" s="20">
        <v>80.003537318712418</v>
      </c>
      <c r="R11" s="11">
        <v>51</v>
      </c>
      <c r="S11" s="11">
        <v>62</v>
      </c>
      <c r="T11" s="9">
        <f t="shared" ref="T11:U11" si="11">R11/P11</f>
        <v>0.65055301086356987</v>
      </c>
      <c r="U11" s="9">
        <f t="shared" si="11"/>
        <v>0.77496573374010702</v>
      </c>
      <c r="V11" s="5"/>
      <c r="W11" s="5"/>
      <c r="X11" s="5"/>
    </row>
    <row r="12" spans="1:24" ht="15.75" customHeight="1" thickBot="1">
      <c r="A12" s="1">
        <v>10402</v>
      </c>
      <c r="B12" s="2" t="s">
        <v>16</v>
      </c>
      <c r="C12" s="2" t="s">
        <v>37</v>
      </c>
      <c r="D12" s="3" t="s">
        <v>37</v>
      </c>
      <c r="E12" s="30">
        <v>83.075866803982152</v>
      </c>
      <c r="F12" s="31">
        <v>87.677725118483409</v>
      </c>
      <c r="G12" s="34">
        <v>43</v>
      </c>
      <c r="H12" s="35">
        <v>73</v>
      </c>
      <c r="I12" s="9">
        <f t="shared" si="1"/>
        <v>0.51759917355371898</v>
      </c>
      <c r="J12" s="9">
        <f t="shared" si="2"/>
        <v>1.6976744186046511</v>
      </c>
      <c r="K12" s="5"/>
      <c r="L12" s="6" t="s">
        <v>41</v>
      </c>
      <c r="M12" s="12">
        <f>MIN(I:I)</f>
        <v>0.33901960784313728</v>
      </c>
      <c r="N12" s="10">
        <v>11</v>
      </c>
      <c r="O12" s="2" t="s">
        <v>42</v>
      </c>
      <c r="P12" s="42">
        <v>76.853576222730496</v>
      </c>
      <c r="Q12" s="20">
        <v>81.106898011878599</v>
      </c>
      <c r="R12" s="11">
        <v>54</v>
      </c>
      <c r="S12" s="11">
        <v>66</v>
      </c>
      <c r="T12" s="9">
        <f t="shared" ref="T12:U12" si="12">R12/P12</f>
        <v>0.70263483697234586</v>
      </c>
      <c r="U12" s="9">
        <f t="shared" si="12"/>
        <v>0.81374089772652747</v>
      </c>
      <c r="V12" s="5"/>
      <c r="W12" s="5"/>
      <c r="X12" s="5"/>
    </row>
    <row r="13" spans="1:24" ht="15.75" customHeight="1" thickBot="1">
      <c r="A13" s="1">
        <v>10403</v>
      </c>
      <c r="B13" s="2" t="s">
        <v>16</v>
      </c>
      <c r="C13" s="2" t="s">
        <v>37</v>
      </c>
      <c r="D13" s="3" t="s">
        <v>43</v>
      </c>
      <c r="E13" s="30">
        <v>83.051546391752566</v>
      </c>
      <c r="F13" s="31">
        <v>87.300350603817691</v>
      </c>
      <c r="G13" s="34">
        <v>37</v>
      </c>
      <c r="H13" s="35">
        <v>70</v>
      </c>
      <c r="I13" s="9">
        <f t="shared" si="1"/>
        <v>0.44550645481628603</v>
      </c>
      <c r="J13" s="9">
        <f t="shared" si="2"/>
        <v>1.8918918918918919</v>
      </c>
      <c r="K13" s="5"/>
      <c r="L13" s="6"/>
      <c r="M13" s="6"/>
      <c r="N13" s="13"/>
      <c r="O13" s="14"/>
      <c r="P13" s="14"/>
      <c r="Q13" s="14"/>
      <c r="R13" s="14"/>
      <c r="S13" s="14"/>
      <c r="T13" s="5"/>
      <c r="U13" s="5"/>
      <c r="V13" s="5"/>
      <c r="W13" s="5"/>
      <c r="X13" s="5"/>
    </row>
    <row r="14" spans="1:24" ht="15.75" customHeight="1" thickBot="1">
      <c r="A14" s="1">
        <v>10404</v>
      </c>
      <c r="B14" s="2" t="s">
        <v>16</v>
      </c>
      <c r="C14" s="2" t="s">
        <v>37</v>
      </c>
      <c r="D14" s="3" t="s">
        <v>44</v>
      </c>
      <c r="E14" s="30">
        <v>75.63676633444075</v>
      </c>
      <c r="F14" s="31">
        <v>82.623866015352405</v>
      </c>
      <c r="G14" s="34">
        <v>46</v>
      </c>
      <c r="H14" s="35">
        <v>65</v>
      </c>
      <c r="I14" s="9">
        <f t="shared" si="1"/>
        <v>0.60816983894582721</v>
      </c>
      <c r="J14" s="9">
        <f t="shared" si="2"/>
        <v>1.4130434782608696</v>
      </c>
      <c r="K14" s="5"/>
      <c r="L14" s="6"/>
      <c r="M14" s="6"/>
      <c r="N14" s="13"/>
      <c r="O14" s="14"/>
      <c r="P14" s="14"/>
      <c r="Q14" s="14"/>
      <c r="R14" s="14"/>
      <c r="S14" s="14"/>
      <c r="T14" s="5"/>
      <c r="U14" s="5"/>
      <c r="V14" s="5"/>
      <c r="W14" s="5"/>
      <c r="X14" s="5"/>
    </row>
    <row r="15" spans="1:24" ht="15.75" customHeight="1" thickBot="1">
      <c r="A15" s="1">
        <v>10405</v>
      </c>
      <c r="B15" s="2" t="s">
        <v>16</v>
      </c>
      <c r="C15" s="2" t="s">
        <v>37</v>
      </c>
      <c r="D15" s="3" t="s">
        <v>45</v>
      </c>
      <c r="E15" s="30">
        <v>79.224712295578442</v>
      </c>
      <c r="F15" s="31">
        <v>84.418604651162781</v>
      </c>
      <c r="G15" s="34">
        <v>52</v>
      </c>
      <c r="H15" s="35">
        <v>65</v>
      </c>
      <c r="I15" s="9">
        <f t="shared" si="1"/>
        <v>0.65636085626911311</v>
      </c>
      <c r="J15" s="9">
        <f t="shared" si="2"/>
        <v>1.25</v>
      </c>
      <c r="K15" s="5"/>
      <c r="L15" s="6"/>
      <c r="M15" s="6"/>
      <c r="N15" s="13"/>
      <c r="O15" s="14"/>
      <c r="P15" s="14"/>
      <c r="Q15" s="14"/>
      <c r="R15" s="14"/>
      <c r="S15" s="14"/>
      <c r="T15" s="5"/>
      <c r="U15" s="5"/>
      <c r="V15" s="5"/>
      <c r="W15" s="5"/>
      <c r="X15" s="5"/>
    </row>
    <row r="16" spans="1:24" ht="15.75" customHeight="1" thickBot="1">
      <c r="A16" s="1">
        <v>10501</v>
      </c>
      <c r="B16" s="2" t="s">
        <v>16</v>
      </c>
      <c r="C16" s="2" t="s">
        <v>46</v>
      </c>
      <c r="D16" s="3" t="s">
        <v>47</v>
      </c>
      <c r="E16" s="30">
        <v>80.274699907663887</v>
      </c>
      <c r="F16" s="31">
        <v>85.696807919030135</v>
      </c>
      <c r="G16" s="34">
        <v>49</v>
      </c>
      <c r="H16" s="35">
        <v>68</v>
      </c>
      <c r="I16" s="9">
        <f t="shared" si="1"/>
        <v>0.61040402588066145</v>
      </c>
      <c r="J16" s="9">
        <f t="shared" si="2"/>
        <v>1.3877551020408163</v>
      </c>
      <c r="K16" s="5"/>
      <c r="L16" s="6"/>
      <c r="M16" s="6"/>
      <c r="N16" s="13"/>
      <c r="O16" s="14"/>
      <c r="P16" s="14"/>
      <c r="Q16" s="14"/>
      <c r="R16" s="14"/>
      <c r="S16" s="14"/>
      <c r="T16" s="5"/>
      <c r="U16" s="5"/>
      <c r="V16" s="5"/>
      <c r="W16" s="5"/>
      <c r="X16" s="5"/>
    </row>
    <row r="17" spans="1:24" ht="15.75" customHeight="1" thickBot="1">
      <c r="A17" s="1">
        <v>10502</v>
      </c>
      <c r="B17" s="2" t="s">
        <v>16</v>
      </c>
      <c r="C17" s="2" t="s">
        <v>46</v>
      </c>
      <c r="D17" s="3" t="s">
        <v>48</v>
      </c>
      <c r="E17" s="30">
        <v>80.796252927400474</v>
      </c>
      <c r="F17" s="31">
        <v>85.458015267175568</v>
      </c>
      <c r="G17" s="34">
        <v>47</v>
      </c>
      <c r="H17" s="35">
        <v>62</v>
      </c>
      <c r="I17" s="9">
        <f t="shared" si="1"/>
        <v>0.58171014492753614</v>
      </c>
      <c r="J17" s="9">
        <f t="shared" si="2"/>
        <v>1.3191489361702127</v>
      </c>
      <c r="K17" s="5"/>
      <c r="L17" s="6"/>
      <c r="M17" s="6"/>
      <c r="N17" s="13"/>
      <c r="O17" s="14"/>
      <c r="P17" s="14"/>
      <c r="Q17" s="14"/>
      <c r="R17" s="14"/>
      <c r="S17" s="14"/>
      <c r="T17" s="5"/>
      <c r="U17" s="5"/>
      <c r="V17" s="5"/>
      <c r="W17" s="5"/>
      <c r="X17" s="5"/>
    </row>
    <row r="18" spans="1:24" ht="15.75" customHeight="1" thickBot="1">
      <c r="A18" s="1">
        <v>10601</v>
      </c>
      <c r="B18" s="2" t="s">
        <v>16</v>
      </c>
      <c r="C18" s="2" t="s">
        <v>49</v>
      </c>
      <c r="D18" s="3" t="s">
        <v>50</v>
      </c>
      <c r="E18" s="30">
        <v>76.589322769288813</v>
      </c>
      <c r="F18" s="31">
        <v>88.750255676007356</v>
      </c>
      <c r="G18" s="34">
        <v>45</v>
      </c>
      <c r="H18" s="35">
        <v>73</v>
      </c>
      <c r="I18" s="9">
        <f t="shared" si="1"/>
        <v>0.58754926108374383</v>
      </c>
      <c r="J18" s="9">
        <f t="shared" si="2"/>
        <v>1.6222222222222222</v>
      </c>
      <c r="K18" s="5"/>
      <c r="L18" s="6"/>
      <c r="M18" s="6"/>
      <c r="N18" s="13"/>
      <c r="O18" s="14"/>
      <c r="P18" s="14"/>
      <c r="Q18" s="14"/>
      <c r="R18" s="14"/>
      <c r="S18" s="14"/>
      <c r="T18" s="5"/>
      <c r="U18" s="5"/>
      <c r="V18" s="5"/>
      <c r="W18" s="5"/>
      <c r="X18" s="5"/>
    </row>
    <row r="19" spans="1:24" ht="15.75" customHeight="1" thickBot="1">
      <c r="A19" s="1">
        <v>10602</v>
      </c>
      <c r="B19" s="2" t="s">
        <v>16</v>
      </c>
      <c r="C19" s="2" t="s">
        <v>49</v>
      </c>
      <c r="D19" s="3" t="s">
        <v>49</v>
      </c>
      <c r="E19" s="30">
        <v>79.76564732780794</v>
      </c>
      <c r="F19" s="31">
        <v>90.072032571249608</v>
      </c>
      <c r="G19" s="34">
        <v>41</v>
      </c>
      <c r="H19" s="35">
        <v>73</v>
      </c>
      <c r="I19" s="9">
        <f t="shared" si="1"/>
        <v>0.51400573271228955</v>
      </c>
      <c r="J19" s="9">
        <f t="shared" si="2"/>
        <v>1.7804878048780488</v>
      </c>
      <c r="K19" s="5"/>
      <c r="L19" s="6"/>
      <c r="M19" s="6"/>
      <c r="N19" s="13"/>
      <c r="O19" s="14"/>
      <c r="P19" s="14"/>
      <c r="Q19" s="14"/>
      <c r="R19" s="14"/>
      <c r="S19" s="14"/>
      <c r="T19" s="5"/>
      <c r="U19" s="5"/>
      <c r="V19" s="5"/>
      <c r="W19" s="5"/>
      <c r="X19" s="5"/>
    </row>
    <row r="20" spans="1:24" ht="15.75" customHeight="1" thickBot="1">
      <c r="A20" s="1">
        <v>10701</v>
      </c>
      <c r="B20" s="2" t="s">
        <v>16</v>
      </c>
      <c r="C20" s="2" t="s">
        <v>51</v>
      </c>
      <c r="D20" s="3" t="s">
        <v>52</v>
      </c>
      <c r="E20" s="30">
        <v>81.132075471698116</v>
      </c>
      <c r="F20" s="31">
        <v>85.593869731800766</v>
      </c>
      <c r="G20" s="34">
        <v>48</v>
      </c>
      <c r="H20" s="35">
        <v>72</v>
      </c>
      <c r="I20" s="9">
        <f t="shared" si="1"/>
        <v>0.59162790697674417</v>
      </c>
      <c r="J20" s="9">
        <f t="shared" si="2"/>
        <v>1.5</v>
      </c>
      <c r="K20" s="5"/>
      <c r="L20" s="6"/>
      <c r="M20" s="6"/>
      <c r="N20" s="13"/>
      <c r="O20" s="14"/>
      <c r="P20" s="14"/>
      <c r="Q20" s="14"/>
      <c r="R20" s="14"/>
      <c r="S20" s="14"/>
      <c r="T20" s="5"/>
      <c r="U20" s="5"/>
      <c r="V20" s="5"/>
      <c r="W20" s="5"/>
      <c r="X20" s="5"/>
    </row>
    <row r="21" spans="1:24" ht="15.75" customHeight="1" thickBot="1">
      <c r="A21" s="1">
        <v>10702</v>
      </c>
      <c r="B21" s="2" t="s">
        <v>16</v>
      </c>
      <c r="C21" s="2" t="s">
        <v>51</v>
      </c>
      <c r="D21" s="3" t="s">
        <v>53</v>
      </c>
      <c r="E21" s="30">
        <v>77.980115122972265</v>
      </c>
      <c r="F21" s="31">
        <v>86.564816895079758</v>
      </c>
      <c r="G21" s="34">
        <v>53</v>
      </c>
      <c r="H21" s="35">
        <v>74</v>
      </c>
      <c r="I21" s="9">
        <f t="shared" si="1"/>
        <v>0.67966044826197825</v>
      </c>
      <c r="J21" s="9">
        <f t="shared" si="2"/>
        <v>1.3962264150943395</v>
      </c>
      <c r="K21" s="5"/>
      <c r="L21" s="6"/>
      <c r="M21" s="6"/>
      <c r="N21" s="13"/>
      <c r="O21" s="14"/>
      <c r="P21" s="14"/>
      <c r="Q21" s="14"/>
      <c r="R21" s="14"/>
      <c r="S21" s="14"/>
      <c r="T21" s="5"/>
      <c r="U21" s="5"/>
      <c r="V21" s="5"/>
      <c r="W21" s="5"/>
      <c r="X21" s="5"/>
    </row>
    <row r="22" spans="1:24" ht="15.75" customHeight="1" thickBot="1">
      <c r="A22" s="1">
        <v>10703</v>
      </c>
      <c r="B22" s="2" t="s">
        <v>16</v>
      </c>
      <c r="C22" s="2" t="s">
        <v>51</v>
      </c>
      <c r="D22" s="3" t="s">
        <v>54</v>
      </c>
      <c r="E22" s="30">
        <v>82.29524276606179</v>
      </c>
      <c r="F22" s="31">
        <v>88.116736536601096</v>
      </c>
      <c r="G22" s="34">
        <v>48</v>
      </c>
      <c r="H22" s="35">
        <v>73</v>
      </c>
      <c r="I22" s="9">
        <f t="shared" si="1"/>
        <v>0.58326579261025036</v>
      </c>
      <c r="J22" s="9">
        <f t="shared" si="2"/>
        <v>1.5208333333333333</v>
      </c>
      <c r="K22" s="5"/>
      <c r="L22" s="6"/>
      <c r="M22" s="6"/>
      <c r="N22" s="13"/>
      <c r="O22" s="14"/>
      <c r="P22" s="14"/>
      <c r="Q22" s="14"/>
      <c r="R22" s="14"/>
      <c r="S22" s="14"/>
      <c r="T22" s="5"/>
      <c r="U22" s="5"/>
      <c r="V22" s="5"/>
      <c r="W22" s="5"/>
      <c r="X22" s="5"/>
    </row>
    <row r="23" spans="1:24" ht="15.75" customHeight="1" thickBot="1">
      <c r="A23" s="1">
        <v>10704</v>
      </c>
      <c r="B23" s="2" t="s">
        <v>16</v>
      </c>
      <c r="C23" s="2" t="s">
        <v>51</v>
      </c>
      <c r="D23" s="3" t="s">
        <v>55</v>
      </c>
      <c r="E23" s="30">
        <v>84.195577196185837</v>
      </c>
      <c r="F23" s="31">
        <v>87.056198011767094</v>
      </c>
      <c r="G23" s="34">
        <v>47</v>
      </c>
      <c r="H23" s="35">
        <v>73</v>
      </c>
      <c r="I23" s="9">
        <f t="shared" si="1"/>
        <v>0.55822409638554216</v>
      </c>
      <c r="J23" s="9">
        <f t="shared" si="2"/>
        <v>1.553191489361702</v>
      </c>
      <c r="K23" s="5"/>
      <c r="L23" s="6"/>
      <c r="M23" s="6"/>
      <c r="N23" s="13"/>
      <c r="O23" s="14"/>
      <c r="P23" s="14"/>
      <c r="Q23" s="14"/>
      <c r="R23" s="14"/>
      <c r="S23" s="14"/>
      <c r="T23" s="5"/>
      <c r="U23" s="5"/>
      <c r="V23" s="5"/>
      <c r="W23" s="5"/>
      <c r="X23" s="5"/>
    </row>
    <row r="24" spans="1:24" ht="15.75" customHeight="1" thickBot="1">
      <c r="A24" s="1">
        <v>10801</v>
      </c>
      <c r="B24" s="2" t="s">
        <v>16</v>
      </c>
      <c r="C24" s="2" t="s">
        <v>56</v>
      </c>
      <c r="D24" s="3" t="s">
        <v>57</v>
      </c>
      <c r="E24" s="30">
        <v>76.639035418236617</v>
      </c>
      <c r="F24" s="31">
        <v>80.372807017543863</v>
      </c>
      <c r="G24" s="34">
        <v>45</v>
      </c>
      <c r="H24" s="35">
        <v>64</v>
      </c>
      <c r="I24" s="9">
        <f t="shared" si="1"/>
        <v>0.58716814159292041</v>
      </c>
      <c r="J24" s="9">
        <f t="shared" si="2"/>
        <v>1.4222222222222223</v>
      </c>
      <c r="K24" s="5"/>
      <c r="L24" s="6"/>
      <c r="M24" s="6"/>
      <c r="N24" s="13"/>
      <c r="O24" s="14"/>
      <c r="P24" s="14"/>
      <c r="Q24" s="14"/>
      <c r="R24" s="14"/>
      <c r="S24" s="14"/>
      <c r="T24" s="5"/>
      <c r="U24" s="5"/>
      <c r="V24" s="5"/>
      <c r="W24" s="5"/>
      <c r="X24" s="5"/>
    </row>
    <row r="25" spans="1:24" ht="15.75" customHeight="1" thickBot="1">
      <c r="A25" s="1">
        <v>10901</v>
      </c>
      <c r="B25" s="2" t="s">
        <v>16</v>
      </c>
      <c r="C25" s="2" t="s">
        <v>58</v>
      </c>
      <c r="D25" s="3" t="s">
        <v>59</v>
      </c>
      <c r="E25" s="30">
        <v>87.397708674304425</v>
      </c>
      <c r="F25" s="31">
        <v>84.795321637426895</v>
      </c>
      <c r="G25" s="34">
        <v>49</v>
      </c>
      <c r="H25" s="35">
        <v>66</v>
      </c>
      <c r="I25" s="9">
        <f t="shared" si="1"/>
        <v>0.56065543071161039</v>
      </c>
      <c r="J25" s="9">
        <f t="shared" si="2"/>
        <v>1.346938775510204</v>
      </c>
      <c r="K25" s="5"/>
      <c r="L25" s="6"/>
      <c r="M25" s="6"/>
      <c r="N25" s="13"/>
      <c r="O25" s="14"/>
      <c r="P25" s="14"/>
      <c r="Q25" s="14"/>
      <c r="R25" s="14"/>
      <c r="S25" s="14"/>
      <c r="T25" s="5"/>
      <c r="U25" s="5"/>
      <c r="V25" s="5"/>
      <c r="W25" s="5"/>
      <c r="X25" s="5"/>
    </row>
    <row r="26" spans="1:24" ht="15.75" customHeight="1" thickBot="1">
      <c r="A26" s="1">
        <v>10902</v>
      </c>
      <c r="B26" s="2" t="s">
        <v>16</v>
      </c>
      <c r="C26" s="2" t="s">
        <v>58</v>
      </c>
      <c r="D26" s="3" t="s">
        <v>60</v>
      </c>
      <c r="E26" s="30">
        <v>84.857405703771846</v>
      </c>
      <c r="F26" s="31">
        <v>88.673013405867493</v>
      </c>
      <c r="G26" s="34">
        <v>54</v>
      </c>
      <c r="H26" s="35">
        <v>76</v>
      </c>
      <c r="I26" s="9">
        <f t="shared" si="1"/>
        <v>0.63636166522116222</v>
      </c>
      <c r="J26" s="9">
        <f t="shared" si="2"/>
        <v>1.4074074074074074</v>
      </c>
      <c r="K26" s="5"/>
      <c r="L26" s="6"/>
      <c r="M26" s="6"/>
      <c r="N26" s="13"/>
      <c r="O26" s="14"/>
      <c r="P26" s="14"/>
      <c r="Q26" s="14"/>
      <c r="R26" s="14"/>
      <c r="S26" s="14"/>
      <c r="T26" s="5"/>
      <c r="U26" s="5"/>
      <c r="V26" s="5"/>
      <c r="W26" s="5"/>
      <c r="X26" s="5"/>
    </row>
    <row r="27" spans="1:24" ht="15.75" customHeight="1" thickBot="1">
      <c r="A27" s="1">
        <v>10903</v>
      </c>
      <c r="B27" s="2" t="s">
        <v>16</v>
      </c>
      <c r="C27" s="2" t="s">
        <v>58</v>
      </c>
      <c r="D27" s="3" t="s">
        <v>61</v>
      </c>
      <c r="E27" s="30">
        <v>85.883125410374262</v>
      </c>
      <c r="F27" s="31">
        <v>82.664054848188044</v>
      </c>
      <c r="G27" s="34">
        <v>57</v>
      </c>
      <c r="H27" s="35">
        <v>63</v>
      </c>
      <c r="I27" s="9">
        <f t="shared" si="1"/>
        <v>0.66369266055045872</v>
      </c>
      <c r="J27" s="9">
        <f t="shared" si="2"/>
        <v>1.1052631578947369</v>
      </c>
      <c r="K27" s="5"/>
      <c r="L27" s="6"/>
      <c r="M27" s="6"/>
      <c r="N27" s="13"/>
      <c r="O27" s="14"/>
      <c r="P27" s="14"/>
      <c r="Q27" s="14"/>
      <c r="R27" s="14"/>
      <c r="S27" s="14"/>
      <c r="T27" s="5"/>
      <c r="U27" s="5"/>
      <c r="V27" s="5"/>
      <c r="W27" s="5"/>
      <c r="X27" s="5"/>
    </row>
    <row r="28" spans="1:24" ht="15.75" customHeight="1" thickBot="1">
      <c r="A28" s="1">
        <v>11001</v>
      </c>
      <c r="B28" s="2" t="s">
        <v>16</v>
      </c>
      <c r="C28" s="2" t="s">
        <v>62</v>
      </c>
      <c r="D28" s="3" t="s">
        <v>63</v>
      </c>
      <c r="E28" s="30">
        <v>77.433751743375183</v>
      </c>
      <c r="F28" s="31">
        <v>76.883756152972353</v>
      </c>
      <c r="G28" s="34">
        <v>41</v>
      </c>
      <c r="H28" s="35">
        <v>62</v>
      </c>
      <c r="I28" s="9">
        <f t="shared" si="1"/>
        <v>0.52948487031700286</v>
      </c>
      <c r="J28" s="9">
        <f t="shared" si="2"/>
        <v>1.5121951219512195</v>
      </c>
      <c r="K28" s="5"/>
      <c r="L28" s="6"/>
      <c r="M28" s="6"/>
      <c r="N28" s="13"/>
      <c r="O28" s="14"/>
      <c r="P28" s="14"/>
      <c r="Q28" s="14"/>
      <c r="R28" s="14"/>
      <c r="S28" s="14"/>
      <c r="T28" s="5"/>
      <c r="U28" s="5"/>
      <c r="V28" s="5"/>
      <c r="W28" s="5"/>
      <c r="X28" s="5"/>
    </row>
    <row r="29" spans="1:24" ht="15.75" customHeight="1" thickBot="1">
      <c r="A29" s="1">
        <v>11002</v>
      </c>
      <c r="B29" s="2" t="s">
        <v>16</v>
      </c>
      <c r="C29" s="2" t="s">
        <v>62</v>
      </c>
      <c r="D29" s="3" t="s">
        <v>64</v>
      </c>
      <c r="E29" s="30">
        <v>77.481323372465312</v>
      </c>
      <c r="F29" s="31">
        <v>86.659436008676792</v>
      </c>
      <c r="G29" s="34">
        <v>41</v>
      </c>
      <c r="H29" s="35">
        <v>66</v>
      </c>
      <c r="I29" s="9">
        <f t="shared" si="1"/>
        <v>0.52915977961432514</v>
      </c>
      <c r="J29" s="9">
        <f t="shared" si="2"/>
        <v>1.6097560975609757</v>
      </c>
      <c r="K29" s="5"/>
      <c r="L29" s="6"/>
      <c r="M29" s="6"/>
      <c r="N29" s="13"/>
      <c r="O29" s="14"/>
      <c r="P29" s="14"/>
      <c r="Q29" s="14"/>
      <c r="R29" s="14"/>
      <c r="S29" s="14"/>
      <c r="T29" s="5"/>
      <c r="U29" s="5"/>
      <c r="V29" s="5"/>
      <c r="W29" s="5"/>
      <c r="X29" s="5"/>
    </row>
    <row r="30" spans="1:24" ht="15.75" customHeight="1" thickBot="1">
      <c r="A30" s="1">
        <v>11003</v>
      </c>
      <c r="B30" s="2" t="s">
        <v>16</v>
      </c>
      <c r="C30" s="2" t="s">
        <v>62</v>
      </c>
      <c r="D30" s="3" t="s">
        <v>65</v>
      </c>
      <c r="E30" s="30">
        <v>79.524807826694627</v>
      </c>
      <c r="F30" s="31">
        <v>74.627383015597928</v>
      </c>
      <c r="G30" s="34">
        <v>44</v>
      </c>
      <c r="H30" s="35">
        <v>60</v>
      </c>
      <c r="I30" s="9">
        <f t="shared" si="1"/>
        <v>0.55328646748681898</v>
      </c>
      <c r="J30" s="9">
        <f t="shared" si="2"/>
        <v>1.3636363636363635</v>
      </c>
      <c r="K30" s="5"/>
      <c r="L30" s="6"/>
      <c r="M30" s="6"/>
      <c r="N30" s="13"/>
      <c r="O30" s="14"/>
      <c r="P30" s="14"/>
      <c r="Q30" s="14"/>
      <c r="R30" s="14"/>
      <c r="S30" s="14"/>
      <c r="T30" s="5"/>
      <c r="U30" s="5"/>
      <c r="V30" s="5"/>
      <c r="W30" s="5"/>
      <c r="X30" s="5"/>
    </row>
    <row r="31" spans="1:24" ht="15.75" customHeight="1" thickBot="1">
      <c r="A31" s="1">
        <v>20101</v>
      </c>
      <c r="B31" s="2" t="s">
        <v>20</v>
      </c>
      <c r="C31" s="2" t="s">
        <v>66</v>
      </c>
      <c r="D31" s="3" t="s">
        <v>67</v>
      </c>
      <c r="E31" s="30">
        <v>70.86180706926703</v>
      </c>
      <c r="F31" s="31">
        <v>75.468066431222397</v>
      </c>
      <c r="G31" s="34">
        <v>57</v>
      </c>
      <c r="H31" s="35">
        <v>65</v>
      </c>
      <c r="I31" s="9">
        <f t="shared" si="1"/>
        <v>0.80438253492862255</v>
      </c>
      <c r="J31" s="9">
        <f t="shared" si="2"/>
        <v>1.1403508771929824</v>
      </c>
      <c r="K31" s="5"/>
      <c r="L31" s="6"/>
      <c r="M31" s="6"/>
      <c r="N31" s="13"/>
      <c r="O31" s="14"/>
      <c r="P31" s="14"/>
      <c r="Q31" s="14"/>
      <c r="R31" s="14"/>
      <c r="S31" s="14"/>
      <c r="T31" s="5"/>
      <c r="U31" s="5"/>
      <c r="V31" s="5"/>
      <c r="W31" s="5"/>
      <c r="X31" s="5"/>
    </row>
    <row r="32" spans="1:24" ht="15.75" customHeight="1" thickBot="1">
      <c r="A32" s="1">
        <v>20102</v>
      </c>
      <c r="B32" s="2" t="s">
        <v>20</v>
      </c>
      <c r="C32" s="2" t="s">
        <v>66</v>
      </c>
      <c r="D32" s="3" t="s">
        <v>68</v>
      </c>
      <c r="E32" s="30">
        <v>85.65987746315615</v>
      </c>
      <c r="F32" s="31">
        <v>90.2704831932773</v>
      </c>
      <c r="G32" s="34">
        <v>75</v>
      </c>
      <c r="H32" s="35">
        <v>82</v>
      </c>
      <c r="I32" s="9">
        <f t="shared" si="1"/>
        <v>0.8755557703460275</v>
      </c>
      <c r="J32" s="9">
        <f t="shared" si="2"/>
        <v>1.0933333333333333</v>
      </c>
      <c r="K32" s="5"/>
      <c r="L32" s="6"/>
      <c r="M32" s="6"/>
      <c r="N32" s="13"/>
      <c r="O32" s="14"/>
      <c r="P32" s="14"/>
      <c r="Q32" s="14"/>
      <c r="R32" s="14"/>
      <c r="S32" s="14"/>
      <c r="T32" s="5"/>
      <c r="U32" s="5"/>
      <c r="V32" s="5"/>
      <c r="W32" s="5"/>
      <c r="X32" s="5"/>
    </row>
    <row r="33" spans="1:24" ht="15.75" customHeight="1" thickBot="1">
      <c r="A33" s="1">
        <v>20103</v>
      </c>
      <c r="B33" s="2" t="s">
        <v>20</v>
      </c>
      <c r="C33" s="2" t="s">
        <v>66</v>
      </c>
      <c r="D33" s="3" t="s">
        <v>69</v>
      </c>
      <c r="E33" s="30">
        <v>84.105960264900659</v>
      </c>
      <c r="F33" s="31">
        <v>87.365277236722505</v>
      </c>
      <c r="G33" s="34">
        <v>74</v>
      </c>
      <c r="H33" s="35">
        <v>80</v>
      </c>
      <c r="I33" s="9">
        <f t="shared" si="1"/>
        <v>0.87984251968503935</v>
      </c>
      <c r="J33" s="9">
        <f t="shared" si="2"/>
        <v>1.0810810810810811</v>
      </c>
      <c r="K33" s="5"/>
      <c r="L33" s="6"/>
      <c r="M33" s="6"/>
      <c r="N33" s="13"/>
      <c r="O33" s="14"/>
      <c r="P33" s="14"/>
      <c r="Q33" s="14"/>
      <c r="R33" s="14"/>
      <c r="S33" s="14"/>
      <c r="T33" s="5"/>
      <c r="U33" s="5"/>
      <c r="V33" s="5"/>
      <c r="W33" s="5"/>
      <c r="X33" s="5"/>
    </row>
    <row r="34" spans="1:24" ht="15.75" customHeight="1" thickBot="1">
      <c r="A34" s="1">
        <v>20104</v>
      </c>
      <c r="B34" s="2" t="s">
        <v>20</v>
      </c>
      <c r="C34" s="2" t="s">
        <v>66</v>
      </c>
      <c r="D34" s="3" t="s">
        <v>70</v>
      </c>
      <c r="E34" s="30">
        <v>78.54164033868318</v>
      </c>
      <c r="F34" s="31">
        <v>84.510869565217391</v>
      </c>
      <c r="G34" s="34">
        <v>62</v>
      </c>
      <c r="H34" s="35">
        <v>73</v>
      </c>
      <c r="I34" s="9">
        <f t="shared" si="1"/>
        <v>0.78939018503620273</v>
      </c>
      <c r="J34" s="9">
        <f t="shared" si="2"/>
        <v>1.1774193548387097</v>
      </c>
      <c r="K34" s="5"/>
      <c r="L34" s="6"/>
      <c r="M34" s="6"/>
      <c r="N34" s="13"/>
      <c r="O34" s="14"/>
      <c r="P34" s="14"/>
      <c r="Q34" s="14"/>
      <c r="R34" s="14"/>
      <c r="S34" s="14"/>
      <c r="T34" s="5"/>
      <c r="U34" s="5"/>
      <c r="V34" s="5"/>
      <c r="W34" s="5"/>
      <c r="X34" s="5"/>
    </row>
    <row r="35" spans="1:24" ht="15.75" customHeight="1" thickBot="1">
      <c r="A35" s="1">
        <v>20105</v>
      </c>
      <c r="B35" s="2" t="s">
        <v>20</v>
      </c>
      <c r="C35" s="2" t="s">
        <v>66</v>
      </c>
      <c r="D35" s="3" t="s">
        <v>71</v>
      </c>
      <c r="E35" s="30">
        <v>73.864733608462728</v>
      </c>
      <c r="F35" s="30">
        <v>78.979897313740324</v>
      </c>
      <c r="G35" s="34">
        <v>55</v>
      </c>
      <c r="H35" s="35">
        <v>67</v>
      </c>
      <c r="I35" s="9">
        <f t="shared" si="1"/>
        <v>0.74460432351303596</v>
      </c>
      <c r="J35" s="9">
        <f t="shared" si="2"/>
        <v>1.2181818181818183</v>
      </c>
      <c r="K35" s="5"/>
      <c r="L35" s="6"/>
      <c r="M35" s="6"/>
      <c r="N35" s="13"/>
      <c r="O35" s="14"/>
      <c r="P35" s="14"/>
      <c r="Q35" s="14"/>
      <c r="R35" s="14"/>
      <c r="S35" s="14"/>
      <c r="T35" s="5"/>
      <c r="U35" s="5"/>
      <c r="V35" s="5"/>
      <c r="W35" s="5"/>
      <c r="X35" s="5"/>
    </row>
    <row r="36" spans="1:24" ht="15.75" customHeight="1" thickBot="1">
      <c r="A36" s="1">
        <v>20201</v>
      </c>
      <c r="B36" s="2" t="s">
        <v>20</v>
      </c>
      <c r="C36" s="2" t="s">
        <v>72</v>
      </c>
      <c r="D36" s="3" t="s">
        <v>73</v>
      </c>
      <c r="E36" s="30">
        <v>76.413951798474017</v>
      </c>
      <c r="F36" s="30">
        <v>85.957693422196471</v>
      </c>
      <c r="G36" s="34">
        <v>67</v>
      </c>
      <c r="H36" s="35">
        <v>80</v>
      </c>
      <c r="I36" s="9">
        <f t="shared" si="1"/>
        <v>0.87680323321974807</v>
      </c>
      <c r="J36" s="9">
        <f t="shared" si="2"/>
        <v>1.1940298507462686</v>
      </c>
      <c r="K36" s="5"/>
      <c r="L36" s="6"/>
      <c r="M36" s="6"/>
      <c r="N36" s="13"/>
      <c r="O36" s="14"/>
      <c r="P36" s="14"/>
      <c r="Q36" s="14"/>
      <c r="R36" s="14"/>
      <c r="S36" s="14"/>
      <c r="T36" s="5"/>
      <c r="U36" s="5"/>
      <c r="V36" s="5"/>
      <c r="W36" s="5"/>
      <c r="X36" s="5"/>
    </row>
    <row r="37" spans="1:24" ht="15.75" customHeight="1" thickBot="1">
      <c r="A37" s="1">
        <v>20202</v>
      </c>
      <c r="B37" s="2" t="s">
        <v>20</v>
      </c>
      <c r="C37" s="2" t="s">
        <v>72</v>
      </c>
      <c r="D37" s="3" t="s">
        <v>74</v>
      </c>
      <c r="E37" s="30">
        <v>81.195186620436459</v>
      </c>
      <c r="F37" s="30">
        <v>87.549127495676785</v>
      </c>
      <c r="G37" s="34">
        <v>75</v>
      </c>
      <c r="H37" s="35">
        <v>81</v>
      </c>
      <c r="I37" s="9">
        <f t="shared" si="1"/>
        <v>0.9237000753579504</v>
      </c>
      <c r="J37" s="9">
        <f t="shared" si="2"/>
        <v>1.08</v>
      </c>
      <c r="K37" s="5"/>
      <c r="L37" s="6"/>
      <c r="M37" s="6"/>
      <c r="N37" s="13"/>
      <c r="O37" s="14"/>
      <c r="P37" s="14"/>
      <c r="Q37" s="14"/>
      <c r="R37" s="14"/>
      <c r="S37" s="14"/>
      <c r="T37" s="5"/>
      <c r="U37" s="5"/>
      <c r="V37" s="5"/>
      <c r="W37" s="5"/>
      <c r="X37" s="5"/>
    </row>
    <row r="38" spans="1:24" ht="15.75" customHeight="1" thickBot="1">
      <c r="A38" s="1">
        <v>20203</v>
      </c>
      <c r="B38" s="2" t="s">
        <v>20</v>
      </c>
      <c r="C38" s="2" t="s">
        <v>72</v>
      </c>
      <c r="D38" s="3" t="s">
        <v>75</v>
      </c>
      <c r="E38" s="30">
        <v>71.277132761231698</v>
      </c>
      <c r="F38" s="30">
        <v>80.676156583629904</v>
      </c>
      <c r="G38" s="34">
        <v>62</v>
      </c>
      <c r="H38" s="35">
        <v>75</v>
      </c>
      <c r="I38" s="9">
        <f t="shared" si="1"/>
        <v>0.86984419263456092</v>
      </c>
      <c r="J38" s="9">
        <f t="shared" si="2"/>
        <v>1.2096774193548387</v>
      </c>
      <c r="K38" s="5"/>
      <c r="L38" s="6"/>
      <c r="M38" s="6"/>
      <c r="N38" s="13"/>
      <c r="O38" s="14"/>
      <c r="P38" s="14"/>
      <c r="Q38" s="14"/>
      <c r="R38" s="14"/>
      <c r="S38" s="14"/>
      <c r="T38" s="5"/>
      <c r="U38" s="5"/>
      <c r="V38" s="5"/>
      <c r="W38" s="5"/>
      <c r="X38" s="5"/>
    </row>
    <row r="39" spans="1:24" ht="15.75" customHeight="1" thickBot="1">
      <c r="A39" s="1">
        <v>20204</v>
      </c>
      <c r="B39" s="2" t="s">
        <v>20</v>
      </c>
      <c r="C39" s="2" t="s">
        <v>72</v>
      </c>
      <c r="D39" s="3" t="s">
        <v>76</v>
      </c>
      <c r="E39" s="30">
        <v>81.579831932773104</v>
      </c>
      <c r="F39" s="30">
        <v>87.822396343454102</v>
      </c>
      <c r="G39" s="34">
        <v>72</v>
      </c>
      <c r="H39" s="35">
        <v>81</v>
      </c>
      <c r="I39" s="9">
        <f t="shared" si="1"/>
        <v>0.88257107540173063</v>
      </c>
      <c r="J39" s="9">
        <f t="shared" si="2"/>
        <v>1.125</v>
      </c>
      <c r="K39" s="5"/>
      <c r="L39" s="6"/>
      <c r="M39" s="6"/>
      <c r="N39" s="13"/>
      <c r="O39" s="14"/>
      <c r="P39" s="14"/>
      <c r="Q39" s="14"/>
      <c r="R39" s="14"/>
      <c r="S39" s="14"/>
      <c r="T39" s="5"/>
      <c r="U39" s="5"/>
      <c r="V39" s="5"/>
      <c r="W39" s="5"/>
      <c r="X39" s="5"/>
    </row>
    <row r="40" spans="1:24" ht="15.75" customHeight="1" thickBot="1">
      <c r="A40" s="1">
        <v>20205</v>
      </c>
      <c r="B40" s="2" t="s">
        <v>20</v>
      </c>
      <c r="C40" s="2" t="s">
        <v>72</v>
      </c>
      <c r="D40" s="3" t="s">
        <v>77</v>
      </c>
      <c r="E40" s="30">
        <v>79.683216570210206</v>
      </c>
      <c r="F40" s="30">
        <v>85.167464114832498</v>
      </c>
      <c r="G40" s="34">
        <v>63</v>
      </c>
      <c r="H40" s="35">
        <v>78</v>
      </c>
      <c r="I40" s="9">
        <f t="shared" si="1"/>
        <v>0.79063073394495376</v>
      </c>
      <c r="J40" s="9">
        <f t="shared" si="2"/>
        <v>1.2380952380952381</v>
      </c>
      <c r="K40" s="5"/>
      <c r="L40" s="6"/>
      <c r="M40" s="6"/>
      <c r="N40" s="13"/>
      <c r="O40" s="14"/>
      <c r="P40" s="14"/>
      <c r="Q40" s="14"/>
      <c r="R40" s="14"/>
      <c r="S40" s="14"/>
      <c r="T40" s="5"/>
      <c r="U40" s="5"/>
      <c r="V40" s="5"/>
      <c r="W40" s="5"/>
      <c r="X40" s="5"/>
    </row>
    <row r="41" spans="1:24" ht="15.75" customHeight="1" thickBot="1">
      <c r="A41" s="1">
        <v>20206</v>
      </c>
      <c r="B41" s="2" t="s">
        <v>20</v>
      </c>
      <c r="C41" s="2" t="s">
        <v>72</v>
      </c>
      <c r="D41" s="3" t="s">
        <v>78</v>
      </c>
      <c r="E41" s="30">
        <v>72.145214521452104</v>
      </c>
      <c r="F41" s="30">
        <v>79.507785032646893</v>
      </c>
      <c r="G41" s="34">
        <v>57</v>
      </c>
      <c r="H41" s="35">
        <v>73</v>
      </c>
      <c r="I41" s="9">
        <f t="shared" si="1"/>
        <v>0.79007319304666102</v>
      </c>
      <c r="J41" s="9">
        <f t="shared" si="2"/>
        <v>1.2807017543859649</v>
      </c>
      <c r="K41" s="5"/>
      <c r="L41" s="6"/>
      <c r="M41" s="6"/>
      <c r="N41" s="13"/>
      <c r="O41" s="14"/>
      <c r="P41" s="14"/>
      <c r="Q41" s="14"/>
      <c r="R41" s="14"/>
      <c r="S41" s="14"/>
      <c r="T41" s="5"/>
      <c r="U41" s="5"/>
      <c r="V41" s="5"/>
      <c r="W41" s="5"/>
      <c r="X41" s="5"/>
    </row>
    <row r="42" spans="1:24" ht="15.75" customHeight="1" thickBot="1">
      <c r="A42" s="1">
        <v>20301</v>
      </c>
      <c r="B42" s="2" t="s">
        <v>20</v>
      </c>
      <c r="C42" s="2" t="s">
        <v>79</v>
      </c>
      <c r="D42" s="3" t="s">
        <v>80</v>
      </c>
      <c r="E42" s="30">
        <v>76.41487094482595</v>
      </c>
      <c r="F42" s="30">
        <v>83.707111366685837</v>
      </c>
      <c r="G42" s="34">
        <v>69</v>
      </c>
      <c r="H42" s="35">
        <v>82</v>
      </c>
      <c r="I42" s="9">
        <f t="shared" si="1"/>
        <v>0.902965602726991</v>
      </c>
      <c r="J42" s="9">
        <f t="shared" si="2"/>
        <v>1.1884057971014492</v>
      </c>
      <c r="K42" s="5"/>
      <c r="L42" s="6"/>
      <c r="M42" s="6"/>
      <c r="N42" s="13"/>
      <c r="O42" s="14"/>
      <c r="P42" s="14"/>
      <c r="Q42" s="14"/>
      <c r="R42" s="14"/>
      <c r="S42" s="14"/>
      <c r="T42" s="5"/>
      <c r="U42" s="5"/>
      <c r="V42" s="5"/>
      <c r="W42" s="5"/>
      <c r="X42" s="5"/>
    </row>
    <row r="43" spans="1:24" ht="15.75" customHeight="1" thickBot="1">
      <c r="A43" s="1">
        <v>20302</v>
      </c>
      <c r="B43" s="2" t="s">
        <v>20</v>
      </c>
      <c r="C43" s="2" t="s">
        <v>79</v>
      </c>
      <c r="D43" s="3" t="s">
        <v>81</v>
      </c>
      <c r="E43" s="30">
        <v>82.784080677111476</v>
      </c>
      <c r="F43" s="31">
        <v>88.847974750131513</v>
      </c>
      <c r="G43" s="34">
        <v>72</v>
      </c>
      <c r="H43" s="35">
        <v>82</v>
      </c>
      <c r="I43" s="9">
        <f t="shared" si="1"/>
        <v>0.86973243419621493</v>
      </c>
      <c r="J43" s="9">
        <f t="shared" si="2"/>
        <v>1.1388888888888888</v>
      </c>
      <c r="K43" s="5"/>
      <c r="L43" s="6"/>
      <c r="M43" s="6"/>
      <c r="N43" s="13"/>
      <c r="O43" s="14"/>
      <c r="P43" s="14"/>
      <c r="Q43" s="14"/>
      <c r="R43" s="14"/>
      <c r="S43" s="14"/>
      <c r="T43" s="5"/>
      <c r="U43" s="5"/>
      <c r="V43" s="5"/>
      <c r="W43" s="5"/>
      <c r="X43" s="5"/>
    </row>
    <row r="44" spans="1:24" ht="15.75" customHeight="1" thickBot="1">
      <c r="A44" s="1">
        <v>20303</v>
      </c>
      <c r="B44" s="2" t="s">
        <v>20</v>
      </c>
      <c r="C44" s="2" t="s">
        <v>79</v>
      </c>
      <c r="D44" s="3" t="s">
        <v>82</v>
      </c>
      <c r="E44" s="30">
        <v>80.918905347727843</v>
      </c>
      <c r="F44" s="31">
        <v>88.843595794893801</v>
      </c>
      <c r="G44" s="34">
        <v>70</v>
      </c>
      <c r="H44" s="35">
        <v>80</v>
      </c>
      <c r="I44" s="9">
        <f t="shared" si="1"/>
        <v>0.86506360533664284</v>
      </c>
      <c r="J44" s="9">
        <f t="shared" si="2"/>
        <v>1.1428571428571428</v>
      </c>
      <c r="K44" s="5"/>
      <c r="L44" s="6"/>
      <c r="M44" s="6"/>
      <c r="N44" s="13"/>
      <c r="O44" s="14"/>
      <c r="P44" s="14"/>
      <c r="Q44" s="14"/>
      <c r="R44" s="14"/>
      <c r="S44" s="14"/>
      <c r="T44" s="5"/>
      <c r="U44" s="5"/>
      <c r="V44" s="5"/>
      <c r="W44" s="5"/>
      <c r="X44" s="5"/>
    </row>
    <row r="45" spans="1:24" ht="15.75" customHeight="1" thickBot="1">
      <c r="A45" s="1">
        <v>20304</v>
      </c>
      <c r="B45" s="2" t="s">
        <v>20</v>
      </c>
      <c r="C45" s="2" t="s">
        <v>79</v>
      </c>
      <c r="D45" s="3" t="s">
        <v>83</v>
      </c>
      <c r="E45" s="30">
        <v>77.873563218390814</v>
      </c>
      <c r="F45" s="31">
        <v>90.579317812669188</v>
      </c>
      <c r="G45" s="34">
        <v>64</v>
      </c>
      <c r="H45" s="35">
        <v>85</v>
      </c>
      <c r="I45" s="9">
        <f t="shared" si="1"/>
        <v>0.82184501845018443</v>
      </c>
      <c r="J45" s="9">
        <f t="shared" si="2"/>
        <v>1.328125</v>
      </c>
      <c r="K45" s="5"/>
      <c r="L45" s="6"/>
      <c r="M45" s="6"/>
      <c r="N45" s="13"/>
      <c r="O45" s="14"/>
      <c r="P45" s="14"/>
      <c r="Q45" s="14"/>
      <c r="R45" s="14"/>
      <c r="S45" s="14"/>
      <c r="T45" s="5"/>
      <c r="U45" s="5"/>
      <c r="V45" s="5"/>
      <c r="W45" s="5"/>
      <c r="X45" s="5"/>
    </row>
    <row r="46" spans="1:24" ht="15.75" customHeight="1" thickBot="1">
      <c r="A46" s="1">
        <v>20305</v>
      </c>
      <c r="B46" s="2" t="s">
        <v>20</v>
      </c>
      <c r="C46" s="2" t="s">
        <v>79</v>
      </c>
      <c r="D46" s="3" t="s">
        <v>84</v>
      </c>
      <c r="E46" s="30">
        <v>75.370675453047781</v>
      </c>
      <c r="F46" s="31">
        <v>84.567517112632231</v>
      </c>
      <c r="G46" s="34">
        <v>58</v>
      </c>
      <c r="H46" s="35">
        <v>76</v>
      </c>
      <c r="I46" s="9">
        <f t="shared" si="1"/>
        <v>0.76953005464480873</v>
      </c>
      <c r="J46" s="9">
        <f t="shared" si="2"/>
        <v>1.3103448275862069</v>
      </c>
      <c r="K46" s="5"/>
      <c r="L46" s="6"/>
      <c r="M46" s="6"/>
      <c r="N46" s="13"/>
      <c r="O46" s="14"/>
      <c r="P46" s="14"/>
      <c r="Q46" s="14"/>
      <c r="R46" s="14"/>
      <c r="S46" s="14"/>
      <c r="T46" s="5"/>
      <c r="U46" s="5"/>
      <c r="V46" s="5"/>
      <c r="W46" s="5"/>
      <c r="X46" s="5"/>
    </row>
    <row r="47" spans="1:24" ht="15.75" customHeight="1" thickBot="1">
      <c r="A47" s="1">
        <v>20306</v>
      </c>
      <c r="B47" s="2" t="s">
        <v>20</v>
      </c>
      <c r="C47" s="2" t="s">
        <v>79</v>
      </c>
      <c r="D47" s="3" t="s">
        <v>85</v>
      </c>
      <c r="E47" s="30">
        <v>73.221075502444322</v>
      </c>
      <c r="F47" s="31">
        <v>88.665923448532141</v>
      </c>
      <c r="G47" s="34">
        <v>61</v>
      </c>
      <c r="H47" s="35">
        <v>82</v>
      </c>
      <c r="I47" s="9">
        <f t="shared" si="1"/>
        <v>0.83309347181008908</v>
      </c>
      <c r="J47" s="9">
        <f t="shared" si="2"/>
        <v>1.3442622950819672</v>
      </c>
      <c r="K47" s="5"/>
      <c r="L47" s="6"/>
      <c r="M47" s="6"/>
      <c r="N47" s="13"/>
      <c r="O47" s="14"/>
      <c r="P47" s="14"/>
      <c r="Q47" s="14"/>
      <c r="R47" s="14"/>
      <c r="S47" s="14"/>
      <c r="T47" s="5"/>
      <c r="U47" s="5"/>
      <c r="V47" s="5"/>
      <c r="W47" s="5"/>
      <c r="X47" s="5"/>
    </row>
    <row r="48" spans="1:24" ht="15.75" customHeight="1" thickBot="1">
      <c r="A48" s="1">
        <v>20307</v>
      </c>
      <c r="B48" s="2" t="s">
        <v>20</v>
      </c>
      <c r="C48" s="2" t="s">
        <v>79</v>
      </c>
      <c r="D48" s="3" t="s">
        <v>86</v>
      </c>
      <c r="E48" s="30">
        <v>80.078125</v>
      </c>
      <c r="F48" s="31">
        <v>89.007851534618126</v>
      </c>
      <c r="G48" s="34">
        <v>62</v>
      </c>
      <c r="H48" s="35">
        <v>82</v>
      </c>
      <c r="I48" s="9">
        <f t="shared" si="1"/>
        <v>0.77424390243902441</v>
      </c>
      <c r="J48" s="9">
        <f t="shared" si="2"/>
        <v>1.3225806451612903</v>
      </c>
      <c r="K48" s="5"/>
      <c r="L48" s="6"/>
      <c r="M48" s="6"/>
      <c r="N48" s="13"/>
      <c r="O48" s="14"/>
      <c r="P48" s="14"/>
      <c r="Q48" s="14"/>
      <c r="R48" s="14"/>
      <c r="S48" s="14"/>
      <c r="T48" s="5"/>
      <c r="U48" s="5"/>
      <c r="V48" s="5"/>
      <c r="W48" s="5"/>
      <c r="X48" s="5"/>
    </row>
    <row r="49" spans="1:24" ht="15.75" customHeight="1" thickBot="1">
      <c r="A49" s="1">
        <v>20308</v>
      </c>
      <c r="B49" s="2" t="s">
        <v>20</v>
      </c>
      <c r="C49" s="2" t="s">
        <v>79</v>
      </c>
      <c r="D49" s="3" t="s">
        <v>87</v>
      </c>
      <c r="E49" s="30">
        <v>84.577441631042419</v>
      </c>
      <c r="F49" s="31">
        <v>92.374239025953216</v>
      </c>
      <c r="G49" s="34">
        <v>71</v>
      </c>
      <c r="H49" s="35">
        <v>85</v>
      </c>
      <c r="I49" s="9">
        <f t="shared" si="1"/>
        <v>0.83946734059097983</v>
      </c>
      <c r="J49" s="9">
        <f t="shared" si="2"/>
        <v>1.1971830985915493</v>
      </c>
      <c r="K49" s="5"/>
      <c r="L49" s="6"/>
      <c r="M49" s="6"/>
      <c r="N49" s="13"/>
      <c r="O49" s="14"/>
      <c r="P49" s="14"/>
      <c r="Q49" s="14"/>
      <c r="R49" s="14"/>
      <c r="S49" s="14"/>
      <c r="T49" s="5"/>
      <c r="U49" s="5"/>
      <c r="V49" s="5"/>
      <c r="W49" s="5"/>
      <c r="X49" s="5"/>
    </row>
    <row r="50" spans="1:24" ht="15.75" customHeight="1" thickBot="1">
      <c r="A50" s="1">
        <v>20401</v>
      </c>
      <c r="B50" s="2" t="s">
        <v>20</v>
      </c>
      <c r="C50" s="2" t="s">
        <v>88</v>
      </c>
      <c r="D50" s="3" t="s">
        <v>89</v>
      </c>
      <c r="E50" s="30">
        <v>84.711895910780669</v>
      </c>
      <c r="F50" s="31">
        <v>86.834583779921402</v>
      </c>
      <c r="G50" s="34">
        <v>77</v>
      </c>
      <c r="H50" s="35">
        <v>81</v>
      </c>
      <c r="I50" s="9">
        <f t="shared" si="1"/>
        <v>0.90896324739440482</v>
      </c>
      <c r="J50" s="9">
        <f t="shared" si="2"/>
        <v>1.051948051948052</v>
      </c>
      <c r="K50" s="5"/>
      <c r="L50" s="6"/>
      <c r="M50" s="6"/>
      <c r="N50" s="13"/>
      <c r="O50" s="14"/>
      <c r="P50" s="14"/>
      <c r="Q50" s="14"/>
      <c r="R50" s="14"/>
      <c r="S50" s="14"/>
      <c r="T50" s="5"/>
      <c r="U50" s="5"/>
      <c r="V50" s="5"/>
      <c r="W50" s="5"/>
      <c r="X50" s="5"/>
    </row>
    <row r="51" spans="1:24" ht="15.75" customHeight="1" thickBot="1">
      <c r="A51" s="1">
        <v>20402</v>
      </c>
      <c r="B51" s="2" t="s">
        <v>20</v>
      </c>
      <c r="C51" s="2" t="s">
        <v>88</v>
      </c>
      <c r="D51" s="3" t="s">
        <v>90</v>
      </c>
      <c r="E51" s="30">
        <v>83.344155844155836</v>
      </c>
      <c r="F51" s="31">
        <v>89.618342352606092</v>
      </c>
      <c r="G51" s="34">
        <v>77</v>
      </c>
      <c r="H51" s="35">
        <v>84</v>
      </c>
      <c r="I51" s="9">
        <f t="shared" si="1"/>
        <v>0.92388001558239197</v>
      </c>
      <c r="J51" s="9">
        <f t="shared" si="2"/>
        <v>1.0909090909090908</v>
      </c>
      <c r="K51" s="5"/>
      <c r="L51" s="6"/>
      <c r="M51" s="6"/>
      <c r="N51" s="13"/>
      <c r="O51" s="14"/>
      <c r="P51" s="14"/>
      <c r="Q51" s="14"/>
      <c r="R51" s="14"/>
      <c r="S51" s="14"/>
      <c r="T51" s="5"/>
      <c r="U51" s="5"/>
      <c r="V51" s="5"/>
      <c r="W51" s="5"/>
      <c r="X51" s="5"/>
    </row>
    <row r="52" spans="1:24" ht="15.75" customHeight="1" thickBot="1">
      <c r="A52" s="1">
        <v>20403</v>
      </c>
      <c r="B52" s="2" t="s">
        <v>20</v>
      </c>
      <c r="C52" s="2" t="s">
        <v>88</v>
      </c>
      <c r="D52" s="3" t="s">
        <v>91</v>
      </c>
      <c r="E52" s="30">
        <v>80.926946933149551</v>
      </c>
      <c r="F52" s="31">
        <v>86.907953529937444</v>
      </c>
      <c r="G52" s="34">
        <v>72</v>
      </c>
      <c r="H52" s="35">
        <v>80</v>
      </c>
      <c r="I52" s="9">
        <f t="shared" si="1"/>
        <v>0.88969129231424315</v>
      </c>
      <c r="J52" s="9">
        <f t="shared" si="2"/>
        <v>1.1111111111111112</v>
      </c>
      <c r="K52" s="5"/>
      <c r="L52" s="6"/>
      <c r="M52" s="6"/>
      <c r="N52" s="13"/>
      <c r="O52" s="14"/>
      <c r="P52" s="14"/>
      <c r="Q52" s="14"/>
      <c r="R52" s="14"/>
      <c r="S52" s="14"/>
      <c r="T52" s="5"/>
      <c r="U52" s="5"/>
      <c r="V52" s="5"/>
      <c r="W52" s="5"/>
      <c r="X52" s="5"/>
    </row>
    <row r="53" spans="1:24" ht="15.75" customHeight="1" thickBot="1">
      <c r="A53" s="1">
        <v>20404</v>
      </c>
      <c r="B53" s="2" t="s">
        <v>20</v>
      </c>
      <c r="C53" s="2" t="s">
        <v>88</v>
      </c>
      <c r="D53" s="3" t="s">
        <v>92</v>
      </c>
      <c r="E53" s="30">
        <v>81.859296482412063</v>
      </c>
      <c r="F53" s="31">
        <v>92.752334370831477</v>
      </c>
      <c r="G53" s="34">
        <v>77</v>
      </c>
      <c r="H53" s="35">
        <v>90</v>
      </c>
      <c r="I53" s="9">
        <f t="shared" si="1"/>
        <v>0.94063842848373236</v>
      </c>
      <c r="J53" s="9">
        <f t="shared" si="2"/>
        <v>1.1688311688311688</v>
      </c>
      <c r="K53" s="5"/>
      <c r="L53" s="6"/>
      <c r="M53" s="6"/>
      <c r="N53" s="13"/>
      <c r="O53" s="14"/>
      <c r="P53" s="14"/>
      <c r="Q53" s="14"/>
      <c r="R53" s="14"/>
      <c r="S53" s="14"/>
      <c r="T53" s="5"/>
      <c r="U53" s="5"/>
      <c r="V53" s="5"/>
      <c r="W53" s="5"/>
      <c r="X53" s="5"/>
    </row>
    <row r="54" spans="1:24" ht="15.75" customHeight="1" thickBot="1">
      <c r="A54" s="1">
        <v>20405</v>
      </c>
      <c r="B54" s="2" t="s">
        <v>20</v>
      </c>
      <c r="C54" s="2" t="s">
        <v>88</v>
      </c>
      <c r="D54" s="3" t="s">
        <v>93</v>
      </c>
      <c r="E54" s="30">
        <v>80.178253119429584</v>
      </c>
      <c r="F54" s="31">
        <v>86.454995630643751</v>
      </c>
      <c r="G54" s="34">
        <v>72</v>
      </c>
      <c r="H54" s="35">
        <v>81</v>
      </c>
      <c r="I54" s="9">
        <f t="shared" si="1"/>
        <v>0.89799911071587379</v>
      </c>
      <c r="J54" s="9">
        <f t="shared" si="2"/>
        <v>1.125</v>
      </c>
      <c r="K54" s="5"/>
      <c r="L54" s="6"/>
      <c r="M54" s="6"/>
      <c r="N54" s="13"/>
      <c r="O54" s="14"/>
      <c r="P54" s="14"/>
      <c r="Q54" s="14"/>
      <c r="R54" s="14"/>
      <c r="S54" s="14"/>
      <c r="T54" s="5"/>
      <c r="U54" s="5"/>
      <c r="V54" s="5"/>
      <c r="W54" s="5"/>
      <c r="X54" s="5"/>
    </row>
    <row r="55" spans="1:24" ht="15.75" customHeight="1" thickBot="1">
      <c r="A55" s="1">
        <v>20501</v>
      </c>
      <c r="B55" s="2" t="s">
        <v>20</v>
      </c>
      <c r="C55" s="2" t="s">
        <v>94</v>
      </c>
      <c r="D55" s="3" t="s">
        <v>95</v>
      </c>
      <c r="E55" s="30">
        <v>83.765938069216759</v>
      </c>
      <c r="F55" s="31">
        <v>87.70116639598406</v>
      </c>
      <c r="G55" s="34">
        <v>74</v>
      </c>
      <c r="H55" s="35">
        <v>82</v>
      </c>
      <c r="I55" s="9">
        <f t="shared" si="1"/>
        <v>0.88341397118782272</v>
      </c>
      <c r="J55" s="9">
        <f t="shared" si="2"/>
        <v>1.1081081081081081</v>
      </c>
      <c r="K55" s="5"/>
      <c r="L55" s="6"/>
      <c r="M55" s="6"/>
      <c r="N55" s="13"/>
      <c r="O55" s="14"/>
      <c r="P55" s="14"/>
      <c r="Q55" s="14"/>
      <c r="R55" s="14"/>
      <c r="S55" s="14"/>
      <c r="T55" s="5"/>
      <c r="U55" s="5"/>
      <c r="V55" s="5"/>
      <c r="W55" s="5"/>
      <c r="X55" s="5"/>
    </row>
    <row r="56" spans="1:24" ht="15.75" customHeight="1" thickBot="1">
      <c r="A56" s="1">
        <v>20502</v>
      </c>
      <c r="B56" s="2" t="s">
        <v>20</v>
      </c>
      <c r="C56" s="2" t="s">
        <v>94</v>
      </c>
      <c r="D56" s="3" t="s">
        <v>96</v>
      </c>
      <c r="E56" s="30">
        <v>83.925112976113624</v>
      </c>
      <c r="F56" s="31">
        <v>87.098692033293702</v>
      </c>
      <c r="G56" s="34">
        <v>74</v>
      </c>
      <c r="H56" s="35">
        <v>80</v>
      </c>
      <c r="I56" s="9">
        <f t="shared" si="1"/>
        <v>0.88173846153846147</v>
      </c>
      <c r="J56" s="9">
        <f t="shared" si="2"/>
        <v>1.0810810810810811</v>
      </c>
      <c r="K56" s="5"/>
      <c r="L56" s="6"/>
      <c r="M56" s="6"/>
      <c r="N56" s="13"/>
      <c r="O56" s="14"/>
      <c r="P56" s="14"/>
      <c r="Q56" s="14"/>
      <c r="R56" s="14"/>
      <c r="S56" s="14"/>
      <c r="T56" s="5"/>
      <c r="U56" s="5"/>
      <c r="V56" s="5"/>
      <c r="W56" s="5"/>
      <c r="X56" s="5"/>
    </row>
    <row r="57" spans="1:24" ht="15.75" customHeight="1" thickBot="1">
      <c r="A57" s="1">
        <v>20503</v>
      </c>
      <c r="B57" s="2" t="s">
        <v>20</v>
      </c>
      <c r="C57" s="2" t="s">
        <v>94</v>
      </c>
      <c r="D57" s="3" t="s">
        <v>97</v>
      </c>
      <c r="E57" s="30">
        <v>78.959810874704488</v>
      </c>
      <c r="F57" s="31">
        <v>89.113827349121465</v>
      </c>
      <c r="G57" s="34">
        <v>62</v>
      </c>
      <c r="H57" s="35">
        <v>78</v>
      </c>
      <c r="I57" s="9">
        <f t="shared" si="1"/>
        <v>0.78520958083832337</v>
      </c>
      <c r="J57" s="9">
        <f t="shared" si="2"/>
        <v>1.2580645161290323</v>
      </c>
      <c r="K57" s="5"/>
      <c r="L57" s="6"/>
      <c r="M57" s="6"/>
      <c r="N57" s="13"/>
      <c r="O57" s="14"/>
      <c r="P57" s="14"/>
      <c r="Q57" s="14"/>
      <c r="R57" s="14"/>
      <c r="S57" s="14"/>
      <c r="T57" s="5"/>
      <c r="U57" s="5"/>
      <c r="V57" s="5"/>
      <c r="W57" s="5"/>
      <c r="X57" s="5"/>
    </row>
    <row r="58" spans="1:24" ht="15.75" customHeight="1" thickBot="1">
      <c r="A58" s="1">
        <v>20601</v>
      </c>
      <c r="B58" s="2" t="s">
        <v>20</v>
      </c>
      <c r="C58" s="2" t="s">
        <v>98</v>
      </c>
      <c r="D58" s="3" t="s">
        <v>99</v>
      </c>
      <c r="E58" s="30">
        <v>83.517341362774616</v>
      </c>
      <c r="F58" s="31">
        <v>86.857302533532049</v>
      </c>
      <c r="G58" s="34">
        <v>65</v>
      </c>
      <c r="H58" s="35">
        <v>74</v>
      </c>
      <c r="I58" s="9">
        <f t="shared" si="1"/>
        <v>0.77828147950327153</v>
      </c>
      <c r="J58" s="9">
        <f t="shared" si="2"/>
        <v>1.1384615384615384</v>
      </c>
      <c r="K58" s="5"/>
      <c r="L58" s="6"/>
      <c r="M58" s="6"/>
      <c r="N58" s="13"/>
      <c r="O58" s="14"/>
      <c r="P58" s="14"/>
      <c r="Q58" s="14"/>
      <c r="R58" s="14"/>
      <c r="S58" s="14"/>
      <c r="T58" s="5"/>
      <c r="U58" s="5"/>
      <c r="V58" s="5"/>
      <c r="W58" s="5"/>
      <c r="X58" s="5"/>
    </row>
    <row r="59" spans="1:24" ht="15.75" customHeight="1" thickBot="1">
      <c r="A59" s="1">
        <v>20602</v>
      </c>
      <c r="B59" s="2" t="s">
        <v>20</v>
      </c>
      <c r="C59" s="2" t="s">
        <v>98</v>
      </c>
      <c r="D59" s="3" t="s">
        <v>100</v>
      </c>
      <c r="E59" s="30">
        <v>82.933423453869551</v>
      </c>
      <c r="F59" s="31">
        <v>88.12706400377418</v>
      </c>
      <c r="G59" s="34">
        <v>59</v>
      </c>
      <c r="H59" s="35">
        <v>69</v>
      </c>
      <c r="I59" s="9">
        <f t="shared" si="1"/>
        <v>0.71141401792991033</v>
      </c>
      <c r="J59" s="9">
        <f t="shared" si="2"/>
        <v>1.1694915254237288</v>
      </c>
      <c r="K59" s="5"/>
      <c r="L59" s="6"/>
      <c r="M59" s="6"/>
      <c r="N59" s="13"/>
      <c r="O59" s="14"/>
      <c r="P59" s="14"/>
      <c r="Q59" s="14"/>
      <c r="R59" s="14"/>
      <c r="S59" s="14"/>
      <c r="T59" s="5"/>
      <c r="U59" s="5"/>
      <c r="V59" s="5"/>
      <c r="W59" s="5"/>
      <c r="X59" s="5"/>
    </row>
    <row r="60" spans="1:24" ht="15.75" customHeight="1" thickBot="1">
      <c r="A60" s="1">
        <v>20603</v>
      </c>
      <c r="B60" s="2" t="s">
        <v>20</v>
      </c>
      <c r="C60" s="2" t="s">
        <v>98</v>
      </c>
      <c r="D60" s="3" t="s">
        <v>101</v>
      </c>
      <c r="E60" s="30">
        <v>87.127206329884359</v>
      </c>
      <c r="F60" s="31">
        <v>86.511128989005087</v>
      </c>
      <c r="G60" s="34">
        <v>63</v>
      </c>
      <c r="H60" s="35">
        <v>70</v>
      </c>
      <c r="I60" s="9">
        <f t="shared" si="1"/>
        <v>0.72308068459657704</v>
      </c>
      <c r="J60" s="9">
        <f t="shared" si="2"/>
        <v>1.1111111111111112</v>
      </c>
      <c r="K60" s="5"/>
      <c r="L60" s="6"/>
      <c r="M60" s="6"/>
      <c r="N60" s="13"/>
      <c r="O60" s="14"/>
      <c r="P60" s="14"/>
      <c r="Q60" s="14"/>
      <c r="R60" s="14"/>
      <c r="S60" s="14"/>
      <c r="T60" s="5"/>
      <c r="U60" s="5"/>
      <c r="V60" s="5"/>
      <c r="W60" s="5"/>
      <c r="X60" s="5"/>
    </row>
    <row r="61" spans="1:24" ht="15.75" customHeight="1" thickBot="1">
      <c r="A61" s="1">
        <v>20604</v>
      </c>
      <c r="B61" s="2" t="s">
        <v>20</v>
      </c>
      <c r="C61" s="2" t="s">
        <v>98</v>
      </c>
      <c r="D61" s="3" t="s">
        <v>102</v>
      </c>
      <c r="E61" s="30">
        <v>88.5</v>
      </c>
      <c r="F61" s="31">
        <v>87.008660892738177</v>
      </c>
      <c r="G61" s="34">
        <v>79</v>
      </c>
      <c r="H61" s="35">
        <v>76</v>
      </c>
      <c r="I61" s="9">
        <f t="shared" si="1"/>
        <v>0.89265536723163841</v>
      </c>
      <c r="J61" s="9">
        <f t="shared" si="2"/>
        <v>0.96202531645569622</v>
      </c>
      <c r="K61" s="5"/>
      <c r="L61" s="6"/>
      <c r="M61" s="6"/>
      <c r="N61" s="13"/>
      <c r="O61" s="14"/>
      <c r="P61" s="14"/>
      <c r="Q61" s="14"/>
      <c r="R61" s="14"/>
      <c r="S61" s="14"/>
      <c r="T61" s="5"/>
      <c r="U61" s="5"/>
      <c r="V61" s="5"/>
      <c r="W61" s="5"/>
      <c r="X61" s="5"/>
    </row>
    <row r="62" spans="1:24" ht="15.75" customHeight="1" thickBot="1">
      <c r="A62" s="1">
        <v>20605</v>
      </c>
      <c r="B62" s="2" t="s">
        <v>20</v>
      </c>
      <c r="C62" s="2" t="s">
        <v>98</v>
      </c>
      <c r="D62" s="3" t="s">
        <v>103</v>
      </c>
      <c r="E62" s="30">
        <v>84.17639429312581</v>
      </c>
      <c r="F62" s="31">
        <v>88.480921526277896</v>
      </c>
      <c r="G62" s="34">
        <v>75</v>
      </c>
      <c r="H62" s="35">
        <v>81</v>
      </c>
      <c r="I62" s="9">
        <f t="shared" si="1"/>
        <v>0.89098613251155623</v>
      </c>
      <c r="J62" s="9">
        <f t="shared" si="2"/>
        <v>1.08</v>
      </c>
      <c r="K62" s="5"/>
      <c r="L62" s="6"/>
      <c r="M62" s="6"/>
      <c r="N62" s="13"/>
      <c r="O62" s="14"/>
      <c r="P62" s="14"/>
      <c r="Q62" s="14"/>
      <c r="R62" s="14"/>
      <c r="S62" s="14"/>
      <c r="T62" s="5"/>
      <c r="U62" s="5"/>
      <c r="V62" s="5"/>
      <c r="W62" s="5"/>
      <c r="X62" s="5"/>
    </row>
    <row r="63" spans="1:24" ht="15.75" customHeight="1" thickBot="1">
      <c r="A63" s="1">
        <v>20606</v>
      </c>
      <c r="B63" s="2" t="s">
        <v>20</v>
      </c>
      <c r="C63" s="2" t="s">
        <v>98</v>
      </c>
      <c r="D63" s="3" t="s">
        <v>104</v>
      </c>
      <c r="E63" s="30">
        <v>83.069202324352872</v>
      </c>
      <c r="F63" s="31">
        <v>87.893700787401571</v>
      </c>
      <c r="G63" s="34">
        <v>55</v>
      </c>
      <c r="H63" s="35">
        <v>64</v>
      </c>
      <c r="I63" s="9">
        <f t="shared" si="1"/>
        <v>0.66209856915739274</v>
      </c>
      <c r="J63" s="9">
        <f t="shared" si="2"/>
        <v>1.1636363636363636</v>
      </c>
      <c r="K63" s="5"/>
      <c r="L63" s="6"/>
      <c r="M63" s="6"/>
      <c r="N63" s="13"/>
      <c r="O63" s="14"/>
      <c r="P63" s="14"/>
      <c r="Q63" s="14"/>
      <c r="R63" s="14"/>
      <c r="S63" s="14"/>
      <c r="T63" s="5"/>
      <c r="U63" s="5"/>
      <c r="V63" s="5"/>
      <c r="W63" s="5"/>
      <c r="X63" s="5"/>
    </row>
    <row r="64" spans="1:24" ht="15.75" customHeight="1" thickBot="1">
      <c r="A64" s="1">
        <v>20607</v>
      </c>
      <c r="B64" s="2" t="s">
        <v>20</v>
      </c>
      <c r="C64" s="2" t="s">
        <v>98</v>
      </c>
      <c r="D64" s="3" t="s">
        <v>105</v>
      </c>
      <c r="E64" s="30">
        <v>86.148518661023459</v>
      </c>
      <c r="F64" s="31">
        <v>86.798839458413923</v>
      </c>
      <c r="G64" s="34">
        <v>52</v>
      </c>
      <c r="H64" s="35">
        <v>65</v>
      </c>
      <c r="I64" s="9">
        <f t="shared" si="1"/>
        <v>0.60360875390799473</v>
      </c>
      <c r="J64" s="9">
        <f t="shared" si="2"/>
        <v>1.25</v>
      </c>
      <c r="K64" s="5"/>
      <c r="L64" s="6"/>
      <c r="M64" s="6"/>
      <c r="N64" s="13"/>
      <c r="O64" s="14"/>
      <c r="P64" s="14"/>
      <c r="Q64" s="14"/>
      <c r="R64" s="14"/>
      <c r="S64" s="14"/>
      <c r="T64" s="5"/>
      <c r="U64" s="5"/>
      <c r="V64" s="5"/>
      <c r="W64" s="5"/>
      <c r="X64" s="5"/>
    </row>
    <row r="65" spans="1:24" ht="15.75" customHeight="1" thickBot="1">
      <c r="A65" s="1">
        <v>20608</v>
      </c>
      <c r="B65" s="2" t="s">
        <v>20</v>
      </c>
      <c r="C65" s="2" t="s">
        <v>98</v>
      </c>
      <c r="D65" s="3" t="s">
        <v>106</v>
      </c>
      <c r="E65" s="30">
        <v>87.490081988891831</v>
      </c>
      <c r="F65" s="31">
        <v>89.828897338403053</v>
      </c>
      <c r="G65" s="34">
        <v>69</v>
      </c>
      <c r="H65" s="35">
        <v>75</v>
      </c>
      <c r="I65" s="9">
        <f t="shared" si="1"/>
        <v>0.78866082224909306</v>
      </c>
      <c r="J65" s="9">
        <f t="shared" si="2"/>
        <v>1.0869565217391304</v>
      </c>
      <c r="K65" s="5"/>
      <c r="L65" s="6"/>
      <c r="M65" s="6"/>
      <c r="N65" s="13"/>
      <c r="O65" s="14"/>
      <c r="P65" s="14"/>
      <c r="Q65" s="14"/>
      <c r="R65" s="14"/>
      <c r="S65" s="14"/>
      <c r="T65" s="5"/>
      <c r="U65" s="5"/>
      <c r="V65" s="5"/>
      <c r="W65" s="5"/>
      <c r="X65" s="5"/>
    </row>
    <row r="66" spans="1:24" ht="15.75" customHeight="1" thickBot="1">
      <c r="A66" s="1">
        <v>20701</v>
      </c>
      <c r="B66" s="2" t="s">
        <v>20</v>
      </c>
      <c r="C66" s="2" t="s">
        <v>107</v>
      </c>
      <c r="D66" s="3" t="s">
        <v>108</v>
      </c>
      <c r="E66" s="30">
        <v>74.247311827956992</v>
      </c>
      <c r="F66" s="31">
        <v>82.533004497316114</v>
      </c>
      <c r="G66" s="34">
        <v>59</v>
      </c>
      <c r="H66" s="35">
        <v>72</v>
      </c>
      <c r="I66" s="9">
        <f t="shared" si="1"/>
        <v>0.79464156408399711</v>
      </c>
      <c r="J66" s="9">
        <f t="shared" si="2"/>
        <v>1.2203389830508475</v>
      </c>
      <c r="K66" s="5"/>
      <c r="L66" s="6"/>
      <c r="M66" s="6"/>
      <c r="N66" s="13"/>
      <c r="O66" s="14"/>
      <c r="P66" s="14"/>
      <c r="Q66" s="14"/>
      <c r="R66" s="14"/>
      <c r="S66" s="14"/>
      <c r="T66" s="5"/>
      <c r="U66" s="5"/>
      <c r="V66" s="5"/>
      <c r="W66" s="5"/>
      <c r="X66" s="5"/>
    </row>
    <row r="67" spans="1:24" ht="15.75" customHeight="1" thickBot="1">
      <c r="A67" s="1">
        <v>20702</v>
      </c>
      <c r="B67" s="2" t="s">
        <v>20</v>
      </c>
      <c r="C67" s="2" t="s">
        <v>107</v>
      </c>
      <c r="D67" s="3" t="s">
        <v>109</v>
      </c>
      <c r="E67" s="30">
        <v>81.2783793223891</v>
      </c>
      <c r="F67" s="31">
        <v>88.10866222450025</v>
      </c>
      <c r="G67" s="34">
        <v>59</v>
      </c>
      <c r="H67" s="35">
        <v>76</v>
      </c>
      <c r="I67" s="9">
        <f t="shared" ref="I67:I130" si="13">G67/E67</f>
        <v>0.72590030081650192</v>
      </c>
      <c r="J67" s="9">
        <f t="shared" ref="J67:J130" si="14">H67/G67</f>
        <v>1.2881355932203389</v>
      </c>
      <c r="K67" s="5"/>
      <c r="L67" s="6"/>
      <c r="M67" s="6"/>
      <c r="N67" s="13"/>
      <c r="O67" s="14"/>
      <c r="P67" s="14"/>
      <c r="Q67" s="14"/>
      <c r="R67" s="14"/>
      <c r="S67" s="14"/>
      <c r="T67" s="5"/>
      <c r="U67" s="5"/>
      <c r="V67" s="5"/>
      <c r="W67" s="5"/>
      <c r="X67" s="5"/>
    </row>
    <row r="68" spans="1:24" ht="15.75" customHeight="1" thickBot="1">
      <c r="A68" s="1">
        <v>20801</v>
      </c>
      <c r="B68" s="2" t="s">
        <v>20</v>
      </c>
      <c r="C68" s="2" t="s">
        <v>110</v>
      </c>
      <c r="D68" s="3" t="s">
        <v>111</v>
      </c>
      <c r="E68" s="30">
        <v>75.182559754924654</v>
      </c>
      <c r="F68" s="31">
        <v>81.165952599123301</v>
      </c>
      <c r="G68" s="34">
        <v>56</v>
      </c>
      <c r="H68" s="35">
        <v>69</v>
      </c>
      <c r="I68" s="9">
        <f t="shared" si="13"/>
        <v>0.74485359613380087</v>
      </c>
      <c r="J68" s="9">
        <f t="shared" si="14"/>
        <v>1.2321428571428572</v>
      </c>
      <c r="K68" s="5"/>
      <c r="L68" s="6"/>
      <c r="M68" s="6"/>
      <c r="N68" s="13"/>
      <c r="O68" s="14"/>
      <c r="P68" s="14"/>
      <c r="Q68" s="14"/>
      <c r="R68" s="14"/>
      <c r="S68" s="14"/>
      <c r="T68" s="5"/>
      <c r="U68" s="5"/>
      <c r="V68" s="5"/>
      <c r="W68" s="5"/>
      <c r="X68" s="5"/>
    </row>
    <row r="69" spans="1:24" ht="15.75" customHeight="1" thickBot="1">
      <c r="A69" s="1">
        <v>20802</v>
      </c>
      <c r="B69" s="2" t="s">
        <v>20</v>
      </c>
      <c r="C69" s="2" t="s">
        <v>110</v>
      </c>
      <c r="D69" s="3" t="s">
        <v>112</v>
      </c>
      <c r="E69" s="30">
        <v>67.712045616536003</v>
      </c>
      <c r="F69" s="31">
        <v>79.946123914995511</v>
      </c>
      <c r="G69" s="34">
        <v>62</v>
      </c>
      <c r="H69" s="35">
        <v>81</v>
      </c>
      <c r="I69" s="9">
        <f t="shared" si="13"/>
        <v>0.91564210526315781</v>
      </c>
      <c r="J69" s="9">
        <f t="shared" si="14"/>
        <v>1.3064516129032258</v>
      </c>
      <c r="K69" s="5"/>
      <c r="L69" s="6"/>
      <c r="M69" s="6"/>
      <c r="N69" s="13"/>
      <c r="O69" s="14"/>
      <c r="P69" s="14"/>
      <c r="Q69" s="14"/>
      <c r="R69" s="14"/>
      <c r="S69" s="14"/>
      <c r="T69" s="5"/>
      <c r="U69" s="5"/>
      <c r="V69" s="5"/>
      <c r="W69" s="5"/>
      <c r="X69" s="5"/>
    </row>
    <row r="70" spans="1:24" ht="15.75" customHeight="1" thickBot="1">
      <c r="A70" s="1">
        <v>20803</v>
      </c>
      <c r="B70" s="2" t="s">
        <v>20</v>
      </c>
      <c r="C70" s="2" t="s">
        <v>110</v>
      </c>
      <c r="D70" s="3" t="s">
        <v>113</v>
      </c>
      <c r="E70" s="30">
        <v>71.046915725456131</v>
      </c>
      <c r="F70" s="31">
        <v>89.568727427236027</v>
      </c>
      <c r="G70" s="34">
        <v>58</v>
      </c>
      <c r="H70" s="35">
        <v>84</v>
      </c>
      <c r="I70" s="9">
        <f t="shared" si="13"/>
        <v>0.81636196881687551</v>
      </c>
      <c r="J70" s="9">
        <f t="shared" si="14"/>
        <v>1.4482758620689655</v>
      </c>
      <c r="K70" s="5"/>
      <c r="L70" s="6"/>
      <c r="M70" s="6"/>
      <c r="N70" s="13"/>
      <c r="O70" s="14"/>
      <c r="P70" s="14"/>
      <c r="Q70" s="14"/>
      <c r="R70" s="14"/>
      <c r="S70" s="14"/>
      <c r="T70" s="5"/>
      <c r="U70" s="5"/>
      <c r="V70" s="5"/>
      <c r="W70" s="5"/>
      <c r="X70" s="5"/>
    </row>
    <row r="71" spans="1:24" ht="15.75" customHeight="1" thickBot="1">
      <c r="A71" s="1">
        <v>20804</v>
      </c>
      <c r="B71" s="2" t="s">
        <v>20</v>
      </c>
      <c r="C71" s="2" t="s">
        <v>110</v>
      </c>
      <c r="D71" s="3" t="s">
        <v>114</v>
      </c>
      <c r="E71" s="30">
        <v>83.09294871794873</v>
      </c>
      <c r="F71" s="31">
        <v>83.013603069410536</v>
      </c>
      <c r="G71" s="34">
        <v>69</v>
      </c>
      <c r="H71" s="35">
        <v>71</v>
      </c>
      <c r="I71" s="9">
        <f t="shared" si="13"/>
        <v>0.83039537126325924</v>
      </c>
      <c r="J71" s="9">
        <f t="shared" si="14"/>
        <v>1.0289855072463767</v>
      </c>
      <c r="K71" s="5"/>
      <c r="L71" s="6"/>
      <c r="M71" s="6"/>
      <c r="N71" s="13"/>
      <c r="O71" s="14"/>
      <c r="P71" s="14"/>
      <c r="Q71" s="14"/>
      <c r="R71" s="14"/>
      <c r="S71" s="14"/>
      <c r="T71" s="5"/>
      <c r="U71" s="5"/>
      <c r="V71" s="5"/>
      <c r="W71" s="5"/>
      <c r="X71" s="5"/>
    </row>
    <row r="72" spans="1:24" ht="15.75" customHeight="1" thickBot="1">
      <c r="A72" s="1">
        <v>20805</v>
      </c>
      <c r="B72" s="2" t="s">
        <v>20</v>
      </c>
      <c r="C72" s="2" t="s">
        <v>110</v>
      </c>
      <c r="D72" s="3" t="s">
        <v>115</v>
      </c>
      <c r="E72" s="30">
        <v>78.101582014987514</v>
      </c>
      <c r="F72" s="31">
        <v>90.490292859493266</v>
      </c>
      <c r="G72" s="34">
        <v>70</v>
      </c>
      <c r="H72" s="35">
        <v>86</v>
      </c>
      <c r="I72" s="9">
        <f t="shared" si="13"/>
        <v>0.89626865671641787</v>
      </c>
      <c r="J72" s="9">
        <f t="shared" si="14"/>
        <v>1.2285714285714286</v>
      </c>
      <c r="K72" s="5"/>
      <c r="L72" s="6"/>
      <c r="M72" s="6"/>
      <c r="N72" s="13"/>
      <c r="O72" s="14"/>
      <c r="P72" s="14"/>
      <c r="Q72" s="14"/>
      <c r="R72" s="14"/>
      <c r="S72" s="14"/>
      <c r="T72" s="5"/>
      <c r="U72" s="5"/>
      <c r="V72" s="5"/>
      <c r="W72" s="5"/>
      <c r="X72" s="5"/>
    </row>
    <row r="73" spans="1:24" ht="15.75" customHeight="1" thickBot="1">
      <c r="A73" s="1">
        <v>20806</v>
      </c>
      <c r="B73" s="2" t="s">
        <v>20</v>
      </c>
      <c r="C73" s="2" t="s">
        <v>110</v>
      </c>
      <c r="D73" s="3" t="s">
        <v>116</v>
      </c>
      <c r="E73" s="30">
        <v>78.822684852835607</v>
      </c>
      <c r="F73" s="31">
        <v>88.498299044224851</v>
      </c>
      <c r="G73" s="34">
        <v>69</v>
      </c>
      <c r="H73" s="35">
        <v>82</v>
      </c>
      <c r="I73" s="9">
        <f t="shared" si="13"/>
        <v>0.87538251366120223</v>
      </c>
      <c r="J73" s="9">
        <f t="shared" si="14"/>
        <v>1.1884057971014492</v>
      </c>
      <c r="K73" s="5"/>
      <c r="L73" s="6"/>
      <c r="M73" s="6"/>
      <c r="N73" s="13"/>
      <c r="O73" s="14"/>
      <c r="P73" s="14"/>
      <c r="Q73" s="14"/>
      <c r="R73" s="14"/>
      <c r="S73" s="14"/>
      <c r="T73" s="5"/>
      <c r="U73" s="5"/>
      <c r="V73" s="5"/>
      <c r="W73" s="5"/>
      <c r="X73" s="5"/>
    </row>
    <row r="74" spans="1:24" ht="15.75" customHeight="1" thickBot="1">
      <c r="A74" s="1">
        <v>20807</v>
      </c>
      <c r="B74" s="2" t="s">
        <v>20</v>
      </c>
      <c r="C74" s="2" t="s">
        <v>110</v>
      </c>
      <c r="D74" s="3" t="s">
        <v>117</v>
      </c>
      <c r="E74" s="30">
        <v>80.807311500380806</v>
      </c>
      <c r="F74" s="31">
        <v>89.547920433996381</v>
      </c>
      <c r="G74" s="34">
        <v>72</v>
      </c>
      <c r="H74" s="35">
        <v>82</v>
      </c>
      <c r="I74" s="9">
        <f t="shared" si="13"/>
        <v>0.8910084825636192</v>
      </c>
      <c r="J74" s="9">
        <f t="shared" si="14"/>
        <v>1.1388888888888888</v>
      </c>
      <c r="K74" s="5"/>
      <c r="L74" s="6"/>
      <c r="M74" s="6"/>
      <c r="N74" s="13"/>
      <c r="O74" s="14"/>
      <c r="P74" s="14"/>
      <c r="Q74" s="14"/>
      <c r="R74" s="14"/>
      <c r="S74" s="14"/>
      <c r="T74" s="5"/>
      <c r="U74" s="5"/>
      <c r="V74" s="5"/>
      <c r="W74" s="5"/>
      <c r="X74" s="5"/>
    </row>
    <row r="75" spans="1:24" ht="15.75" customHeight="1" thickBot="1">
      <c r="A75" s="1">
        <v>20901</v>
      </c>
      <c r="B75" s="2" t="s">
        <v>20</v>
      </c>
      <c r="C75" s="2" t="s">
        <v>118</v>
      </c>
      <c r="D75" s="3" t="s">
        <v>119</v>
      </c>
      <c r="E75" s="30">
        <v>87.062615101289126</v>
      </c>
      <c r="F75" s="31">
        <v>89.65517241379311</v>
      </c>
      <c r="G75" s="34">
        <v>73</v>
      </c>
      <c r="H75" s="35">
        <v>81</v>
      </c>
      <c r="I75" s="9">
        <f t="shared" si="13"/>
        <v>0.83847699629825501</v>
      </c>
      <c r="J75" s="9">
        <f t="shared" si="14"/>
        <v>1.1095890410958904</v>
      </c>
      <c r="K75" s="5"/>
      <c r="L75" s="6"/>
      <c r="M75" s="6"/>
      <c r="N75" s="13"/>
      <c r="O75" s="14"/>
      <c r="P75" s="14"/>
      <c r="Q75" s="14"/>
      <c r="R75" s="14"/>
      <c r="S75" s="14"/>
      <c r="T75" s="5"/>
      <c r="U75" s="5"/>
      <c r="V75" s="5"/>
      <c r="W75" s="5"/>
      <c r="X75" s="5"/>
    </row>
    <row r="76" spans="1:24" ht="15.75" customHeight="1" thickBot="1">
      <c r="A76" s="1">
        <v>20902</v>
      </c>
      <c r="B76" s="2" t="s">
        <v>20</v>
      </c>
      <c r="C76" s="2" t="s">
        <v>118</v>
      </c>
      <c r="D76" s="3" t="s">
        <v>120</v>
      </c>
      <c r="E76" s="30">
        <v>86.045503791982668</v>
      </c>
      <c r="F76" s="31">
        <v>89.846897663174857</v>
      </c>
      <c r="G76" s="34">
        <v>77</v>
      </c>
      <c r="H76" s="35">
        <v>84</v>
      </c>
      <c r="I76" s="9">
        <f t="shared" si="13"/>
        <v>0.89487534626038778</v>
      </c>
      <c r="J76" s="9">
        <f t="shared" si="14"/>
        <v>1.0909090909090908</v>
      </c>
      <c r="K76" s="5"/>
      <c r="L76" s="6"/>
      <c r="M76" s="6"/>
      <c r="N76" s="13"/>
      <c r="O76" s="14"/>
      <c r="P76" s="14"/>
      <c r="Q76" s="14"/>
      <c r="R76" s="14"/>
      <c r="S76" s="14"/>
      <c r="T76" s="5"/>
      <c r="U76" s="5"/>
      <c r="V76" s="5"/>
      <c r="W76" s="5"/>
      <c r="X76" s="5"/>
    </row>
    <row r="77" spans="1:24" ht="15.75" customHeight="1" thickBot="1">
      <c r="A77" s="1">
        <v>20903</v>
      </c>
      <c r="B77" s="2" t="s">
        <v>20</v>
      </c>
      <c r="C77" s="2" t="s">
        <v>118</v>
      </c>
      <c r="D77" s="3" t="s">
        <v>121</v>
      </c>
      <c r="E77" s="30">
        <v>82.35294117647058</v>
      </c>
      <c r="F77" s="31">
        <v>87.392197125256672</v>
      </c>
      <c r="G77" s="34">
        <v>69</v>
      </c>
      <c r="H77" s="35">
        <v>78</v>
      </c>
      <c r="I77" s="9">
        <f t="shared" si="13"/>
        <v>0.83785714285714297</v>
      </c>
      <c r="J77" s="9">
        <f t="shared" si="14"/>
        <v>1.1304347826086956</v>
      </c>
      <c r="K77" s="5"/>
      <c r="L77" s="6"/>
      <c r="M77" s="6"/>
      <c r="N77" s="13"/>
      <c r="O77" s="14"/>
      <c r="P77" s="14"/>
      <c r="Q77" s="14"/>
      <c r="R77" s="14"/>
      <c r="S77" s="14"/>
      <c r="T77" s="5"/>
      <c r="U77" s="5"/>
      <c r="V77" s="5"/>
      <c r="W77" s="5"/>
      <c r="X77" s="5"/>
    </row>
    <row r="78" spans="1:24" ht="15.75" customHeight="1" thickBot="1">
      <c r="A78" s="1">
        <v>20904</v>
      </c>
      <c r="B78" s="2" t="s">
        <v>20</v>
      </c>
      <c r="C78" s="2" t="s">
        <v>118</v>
      </c>
      <c r="D78" s="3" t="s">
        <v>122</v>
      </c>
      <c r="E78" s="30">
        <v>80.527383367139961</v>
      </c>
      <c r="F78" s="31">
        <v>88.404360753221013</v>
      </c>
      <c r="G78" s="34">
        <v>59</v>
      </c>
      <c r="H78" s="35">
        <v>76</v>
      </c>
      <c r="I78" s="9">
        <f t="shared" si="13"/>
        <v>0.73267002518891688</v>
      </c>
      <c r="J78" s="9">
        <f t="shared" si="14"/>
        <v>1.2881355932203389</v>
      </c>
      <c r="K78" s="5"/>
      <c r="L78" s="6"/>
      <c r="M78" s="6"/>
      <c r="N78" s="13"/>
      <c r="O78" s="14"/>
      <c r="P78" s="14"/>
      <c r="Q78" s="14"/>
      <c r="R78" s="14"/>
      <c r="S78" s="14"/>
      <c r="T78" s="5"/>
      <c r="U78" s="5"/>
      <c r="V78" s="5"/>
      <c r="W78" s="5"/>
      <c r="X78" s="5"/>
    </row>
    <row r="79" spans="1:24" ht="15.75" customHeight="1" thickBot="1">
      <c r="A79" s="1">
        <v>20905</v>
      </c>
      <c r="B79" s="2" t="s">
        <v>20</v>
      </c>
      <c r="C79" s="2" t="s">
        <v>118</v>
      </c>
      <c r="D79" s="3" t="s">
        <v>123</v>
      </c>
      <c r="E79" s="30">
        <v>87.419890814146683</v>
      </c>
      <c r="F79" s="31">
        <v>89.061891786687426</v>
      </c>
      <c r="G79" s="34">
        <v>71</v>
      </c>
      <c r="H79" s="35">
        <v>79</v>
      </c>
      <c r="I79" s="9">
        <f t="shared" si="13"/>
        <v>0.81217214227531909</v>
      </c>
      <c r="J79" s="9">
        <f t="shared" si="14"/>
        <v>1.1126760563380282</v>
      </c>
      <c r="K79" s="5"/>
      <c r="L79" s="6"/>
      <c r="M79" s="6"/>
      <c r="N79" s="13"/>
      <c r="O79" s="14"/>
      <c r="P79" s="14"/>
      <c r="Q79" s="14"/>
      <c r="R79" s="14"/>
      <c r="S79" s="14"/>
      <c r="T79" s="5"/>
      <c r="U79" s="5"/>
      <c r="V79" s="5"/>
      <c r="W79" s="5"/>
      <c r="X79" s="5"/>
    </row>
    <row r="80" spans="1:24" ht="15.75" customHeight="1" thickBot="1">
      <c r="A80" s="1">
        <v>21001</v>
      </c>
      <c r="B80" s="2" t="s">
        <v>20</v>
      </c>
      <c r="C80" s="2" t="s">
        <v>124</v>
      </c>
      <c r="D80" s="3" t="s">
        <v>124</v>
      </c>
      <c r="E80" s="30">
        <v>85.668161434977577</v>
      </c>
      <c r="F80" s="31">
        <v>89.091400027001484</v>
      </c>
      <c r="G80" s="34">
        <v>64</v>
      </c>
      <c r="H80" s="35">
        <v>78</v>
      </c>
      <c r="I80" s="9">
        <f t="shared" si="13"/>
        <v>0.7470686767169179</v>
      </c>
      <c r="J80" s="9">
        <f t="shared" si="14"/>
        <v>1.21875</v>
      </c>
      <c r="K80" s="5"/>
      <c r="L80" s="6"/>
      <c r="M80" s="6"/>
      <c r="N80" s="13"/>
      <c r="O80" s="14"/>
      <c r="P80" s="14"/>
      <c r="Q80" s="14"/>
      <c r="R80" s="14"/>
      <c r="S80" s="14"/>
      <c r="T80" s="5"/>
      <c r="U80" s="5"/>
      <c r="V80" s="5"/>
      <c r="W80" s="5"/>
      <c r="X80" s="5"/>
    </row>
    <row r="81" spans="1:24" ht="15.75" customHeight="1" thickBot="1">
      <c r="A81" s="1">
        <v>21002</v>
      </c>
      <c r="B81" s="2" t="s">
        <v>20</v>
      </c>
      <c r="C81" s="2" t="s">
        <v>124</v>
      </c>
      <c r="D81" s="3" t="s">
        <v>125</v>
      </c>
      <c r="E81" s="30">
        <v>83.854014598540147</v>
      </c>
      <c r="F81" s="31">
        <v>88.480874316939889</v>
      </c>
      <c r="G81" s="34">
        <v>51</v>
      </c>
      <c r="H81" s="35">
        <v>66</v>
      </c>
      <c r="I81" s="9">
        <f t="shared" si="13"/>
        <v>0.60819986072423393</v>
      </c>
      <c r="J81" s="9">
        <f t="shared" si="14"/>
        <v>1.2941176470588236</v>
      </c>
      <c r="K81" s="5"/>
      <c r="L81" s="6"/>
      <c r="M81" s="6"/>
      <c r="N81" s="13"/>
      <c r="O81" s="14"/>
      <c r="P81" s="14"/>
      <c r="Q81" s="14"/>
      <c r="R81" s="14"/>
      <c r="S81" s="14"/>
      <c r="T81" s="5"/>
      <c r="U81" s="5"/>
      <c r="V81" s="5"/>
      <c r="W81" s="5"/>
      <c r="X81" s="5"/>
    </row>
    <row r="82" spans="1:24" ht="15.75" customHeight="1" thickBot="1">
      <c r="A82" s="1">
        <v>21003</v>
      </c>
      <c r="B82" s="2" t="s">
        <v>20</v>
      </c>
      <c r="C82" s="2" t="s">
        <v>124</v>
      </c>
      <c r="D82" s="3" t="s">
        <v>126</v>
      </c>
      <c r="E82" s="30">
        <v>87.609932747025354</v>
      </c>
      <c r="F82" s="31">
        <v>89.936239875926248</v>
      </c>
      <c r="G82" s="34">
        <v>75</v>
      </c>
      <c r="H82" s="35">
        <v>79</v>
      </c>
      <c r="I82" s="9">
        <f t="shared" si="13"/>
        <v>0.85606731620903453</v>
      </c>
      <c r="J82" s="9">
        <f t="shared" si="14"/>
        <v>1.0533333333333332</v>
      </c>
      <c r="K82" s="5"/>
      <c r="L82" s="6"/>
      <c r="M82" s="6"/>
      <c r="N82" s="13"/>
      <c r="O82" s="14"/>
      <c r="P82" s="14"/>
      <c r="Q82" s="14"/>
      <c r="R82" s="14"/>
      <c r="S82" s="14"/>
      <c r="T82" s="5"/>
      <c r="U82" s="5"/>
      <c r="V82" s="5"/>
      <c r="W82" s="5"/>
      <c r="X82" s="5"/>
    </row>
    <row r="83" spans="1:24" ht="15.75" customHeight="1" thickBot="1">
      <c r="A83" s="1">
        <v>21004</v>
      </c>
      <c r="B83" s="2" t="s">
        <v>20</v>
      </c>
      <c r="C83" s="2" t="s">
        <v>124</v>
      </c>
      <c r="D83" s="3" t="s">
        <v>127</v>
      </c>
      <c r="E83" s="30">
        <v>82.495243272628429</v>
      </c>
      <c r="F83" s="31">
        <v>85.628465804066551</v>
      </c>
      <c r="G83" s="34">
        <v>49</v>
      </c>
      <c r="H83" s="35">
        <v>64</v>
      </c>
      <c r="I83" s="9">
        <f t="shared" si="13"/>
        <v>0.59397364085667215</v>
      </c>
      <c r="J83" s="9">
        <f t="shared" si="14"/>
        <v>1.3061224489795917</v>
      </c>
      <c r="K83" s="5"/>
      <c r="L83" s="6"/>
      <c r="M83" s="6"/>
      <c r="N83" s="13"/>
      <c r="O83" s="14"/>
      <c r="P83" s="14"/>
      <c r="Q83" s="14"/>
      <c r="R83" s="14"/>
      <c r="S83" s="14"/>
      <c r="T83" s="5"/>
      <c r="U83" s="5"/>
      <c r="V83" s="5"/>
      <c r="W83" s="5"/>
      <c r="X83" s="5"/>
    </row>
    <row r="84" spans="1:24" ht="15.75" customHeight="1" thickBot="1">
      <c r="A84" s="1">
        <v>21005</v>
      </c>
      <c r="B84" s="2" t="s">
        <v>20</v>
      </c>
      <c r="C84" s="2" t="s">
        <v>124</v>
      </c>
      <c r="D84" s="3" t="s">
        <v>128</v>
      </c>
      <c r="E84" s="30">
        <v>83.679833679833678</v>
      </c>
      <c r="F84" s="31">
        <v>86.994680851063833</v>
      </c>
      <c r="G84" s="34">
        <v>66</v>
      </c>
      <c r="H84" s="35">
        <v>76</v>
      </c>
      <c r="I84" s="9">
        <f t="shared" si="13"/>
        <v>0.78872049689440993</v>
      </c>
      <c r="J84" s="9">
        <f t="shared" si="14"/>
        <v>1.1515151515151516</v>
      </c>
      <c r="K84" s="5"/>
      <c r="L84" s="6"/>
      <c r="M84" s="6"/>
      <c r="N84" s="13"/>
      <c r="O84" s="14"/>
      <c r="P84" s="14"/>
      <c r="Q84" s="14"/>
      <c r="R84" s="14"/>
      <c r="S84" s="14"/>
      <c r="T84" s="5"/>
      <c r="U84" s="5"/>
      <c r="V84" s="5"/>
      <c r="W84" s="5"/>
      <c r="X84" s="5"/>
    </row>
    <row r="85" spans="1:24" ht="15.75" customHeight="1" thickBot="1">
      <c r="A85" s="1">
        <v>21006</v>
      </c>
      <c r="B85" s="2" t="s">
        <v>20</v>
      </c>
      <c r="C85" s="2" t="s">
        <v>124</v>
      </c>
      <c r="D85" s="3" t="s">
        <v>129</v>
      </c>
      <c r="E85" s="30">
        <v>79.292929292929287</v>
      </c>
      <c r="F85" s="31">
        <v>84.373831775700936</v>
      </c>
      <c r="G85" s="34">
        <v>62</v>
      </c>
      <c r="H85" s="35">
        <v>74</v>
      </c>
      <c r="I85" s="9">
        <f t="shared" si="13"/>
        <v>0.78191082802547773</v>
      </c>
      <c r="J85" s="9">
        <f t="shared" si="14"/>
        <v>1.1935483870967742</v>
      </c>
      <c r="K85" s="5"/>
      <c r="L85" s="6"/>
      <c r="M85" s="6"/>
      <c r="N85" s="13"/>
      <c r="O85" s="14"/>
      <c r="P85" s="14"/>
      <c r="Q85" s="14"/>
      <c r="R85" s="14"/>
      <c r="S85" s="14"/>
      <c r="T85" s="5"/>
      <c r="U85" s="5"/>
      <c r="V85" s="5"/>
      <c r="W85" s="5"/>
      <c r="X85" s="5"/>
    </row>
    <row r="86" spans="1:24" ht="15.75" customHeight="1" thickBot="1">
      <c r="A86" s="1">
        <v>21101</v>
      </c>
      <c r="B86" s="2" t="s">
        <v>20</v>
      </c>
      <c r="C86" s="2" t="s">
        <v>130</v>
      </c>
      <c r="D86" s="3" t="s">
        <v>131</v>
      </c>
      <c r="E86" s="30">
        <v>85.167982659854474</v>
      </c>
      <c r="F86" s="31">
        <v>88.97315334445625</v>
      </c>
      <c r="G86" s="34">
        <v>80</v>
      </c>
      <c r="H86" s="35">
        <v>84</v>
      </c>
      <c r="I86" s="9">
        <f t="shared" si="13"/>
        <v>0.93932012361388828</v>
      </c>
      <c r="J86" s="9">
        <f t="shared" si="14"/>
        <v>1.05</v>
      </c>
      <c r="K86" s="5"/>
      <c r="L86" s="6"/>
      <c r="M86" s="6"/>
      <c r="N86" s="13"/>
      <c r="O86" s="14"/>
      <c r="P86" s="14"/>
      <c r="Q86" s="14"/>
      <c r="R86" s="14"/>
      <c r="S86" s="14"/>
      <c r="T86" s="5"/>
      <c r="U86" s="5"/>
      <c r="V86" s="5"/>
      <c r="W86" s="5"/>
      <c r="X86" s="5"/>
    </row>
    <row r="87" spans="1:24" ht="15.75" customHeight="1" thickBot="1">
      <c r="A87" s="1">
        <v>21102</v>
      </c>
      <c r="B87" s="2" t="s">
        <v>20</v>
      </c>
      <c r="C87" s="2" t="s">
        <v>130</v>
      </c>
      <c r="D87" s="3" t="s">
        <v>132</v>
      </c>
      <c r="E87" s="30">
        <v>87.656963470319639</v>
      </c>
      <c r="F87" s="31">
        <v>90.286425902864252</v>
      </c>
      <c r="G87" s="34">
        <v>75</v>
      </c>
      <c r="H87" s="35">
        <v>80</v>
      </c>
      <c r="I87" s="9">
        <f t="shared" si="13"/>
        <v>0.85560800911606705</v>
      </c>
      <c r="J87" s="9">
        <f t="shared" si="14"/>
        <v>1.0666666666666667</v>
      </c>
      <c r="K87" s="5"/>
      <c r="L87" s="6"/>
      <c r="M87" s="6"/>
      <c r="N87" s="13"/>
      <c r="O87" s="14"/>
      <c r="P87" s="14"/>
      <c r="Q87" s="14"/>
      <c r="R87" s="14"/>
      <c r="S87" s="14"/>
      <c r="T87" s="5"/>
      <c r="U87" s="5"/>
      <c r="V87" s="5"/>
      <c r="W87" s="5"/>
      <c r="X87" s="5"/>
    </row>
    <row r="88" spans="1:24" ht="15.75" customHeight="1" thickBot="1">
      <c r="A88" s="1">
        <v>21103</v>
      </c>
      <c r="B88" s="2" t="s">
        <v>20</v>
      </c>
      <c r="C88" s="2" t="s">
        <v>130</v>
      </c>
      <c r="D88" s="3" t="s">
        <v>133</v>
      </c>
      <c r="E88" s="30">
        <v>84.937712344280854</v>
      </c>
      <c r="F88" s="31">
        <v>84.362549800796813</v>
      </c>
      <c r="G88" s="34">
        <v>61</v>
      </c>
      <c r="H88" s="35">
        <v>69</v>
      </c>
      <c r="I88" s="9">
        <f t="shared" si="13"/>
        <v>0.71817333333333344</v>
      </c>
      <c r="J88" s="9">
        <f t="shared" si="14"/>
        <v>1.1311475409836065</v>
      </c>
      <c r="K88" s="5"/>
      <c r="L88" s="6"/>
      <c r="M88" s="6"/>
      <c r="N88" s="13"/>
      <c r="O88" s="14"/>
      <c r="P88" s="14"/>
      <c r="Q88" s="14"/>
      <c r="R88" s="14"/>
      <c r="S88" s="14"/>
      <c r="T88" s="5"/>
      <c r="U88" s="5"/>
      <c r="V88" s="5"/>
      <c r="W88" s="5"/>
      <c r="X88" s="5"/>
    </row>
    <row r="89" spans="1:24" ht="15.75" customHeight="1" thickBot="1">
      <c r="A89" s="1">
        <v>21104</v>
      </c>
      <c r="B89" s="2" t="s">
        <v>20</v>
      </c>
      <c r="C89" s="2" t="s">
        <v>130</v>
      </c>
      <c r="D89" s="3" t="s">
        <v>134</v>
      </c>
      <c r="E89" s="30">
        <v>86.977145321259158</v>
      </c>
      <c r="F89" s="31">
        <v>91.016387046429969</v>
      </c>
      <c r="G89" s="34">
        <v>70</v>
      </c>
      <c r="H89" s="35">
        <v>80</v>
      </c>
      <c r="I89" s="9">
        <f t="shared" si="13"/>
        <v>0.80480912245909775</v>
      </c>
      <c r="J89" s="9">
        <f t="shared" si="14"/>
        <v>1.1428571428571428</v>
      </c>
      <c r="K89" s="5"/>
      <c r="L89" s="6"/>
      <c r="M89" s="6"/>
      <c r="N89" s="13"/>
      <c r="O89" s="14"/>
      <c r="P89" s="14"/>
      <c r="Q89" s="14"/>
      <c r="R89" s="14"/>
      <c r="S89" s="14"/>
      <c r="T89" s="5"/>
      <c r="U89" s="5"/>
      <c r="V89" s="5"/>
      <c r="W89" s="5"/>
      <c r="X89" s="5"/>
    </row>
    <row r="90" spans="1:24" ht="15.75" customHeight="1" thickBot="1">
      <c r="A90" s="1">
        <v>21105</v>
      </c>
      <c r="B90" s="2" t="s">
        <v>20</v>
      </c>
      <c r="C90" s="2" t="s">
        <v>130</v>
      </c>
      <c r="D90" s="3" t="s">
        <v>135</v>
      </c>
      <c r="E90" s="30">
        <v>88.158899923605802</v>
      </c>
      <c r="F90" s="31">
        <v>90.864392375864995</v>
      </c>
      <c r="G90" s="34">
        <v>85</v>
      </c>
      <c r="H90" s="35">
        <v>86</v>
      </c>
      <c r="I90" s="9">
        <f t="shared" si="13"/>
        <v>0.96416811091854426</v>
      </c>
      <c r="J90" s="9">
        <f t="shared" si="14"/>
        <v>1.0117647058823529</v>
      </c>
      <c r="K90" s="5"/>
      <c r="L90" s="6"/>
      <c r="M90" s="6"/>
      <c r="N90" s="13"/>
      <c r="O90" s="14"/>
      <c r="P90" s="14"/>
      <c r="Q90" s="14"/>
      <c r="R90" s="14"/>
      <c r="S90" s="14"/>
      <c r="T90" s="5"/>
      <c r="U90" s="5"/>
      <c r="V90" s="5"/>
      <c r="W90" s="5"/>
      <c r="X90" s="5"/>
    </row>
    <row r="91" spans="1:24" ht="15.75" customHeight="1" thickBot="1">
      <c r="A91" s="1">
        <v>21201</v>
      </c>
      <c r="B91" s="2" t="s">
        <v>20</v>
      </c>
      <c r="C91" s="2" t="s">
        <v>136</v>
      </c>
      <c r="D91" s="3" t="s">
        <v>137</v>
      </c>
      <c r="E91" s="30">
        <v>77.557090769525999</v>
      </c>
      <c r="F91" s="31">
        <v>87.513968123272363</v>
      </c>
      <c r="G91" s="34">
        <v>63</v>
      </c>
      <c r="H91" s="35">
        <v>78</v>
      </c>
      <c r="I91" s="9">
        <f t="shared" si="13"/>
        <v>0.81230483731287895</v>
      </c>
      <c r="J91" s="9">
        <f t="shared" si="14"/>
        <v>1.2380952380952381</v>
      </c>
      <c r="K91" s="5"/>
      <c r="L91" s="6"/>
      <c r="M91" s="6"/>
      <c r="N91" s="13"/>
      <c r="O91" s="14"/>
      <c r="P91" s="14"/>
      <c r="Q91" s="14"/>
      <c r="R91" s="14"/>
      <c r="S91" s="14"/>
      <c r="T91" s="5"/>
      <c r="U91" s="5"/>
      <c r="V91" s="5"/>
      <c r="W91" s="5"/>
      <c r="X91" s="5"/>
    </row>
    <row r="92" spans="1:24" ht="15.75" customHeight="1" thickBot="1">
      <c r="A92" s="1">
        <v>21202</v>
      </c>
      <c r="B92" s="2" t="s">
        <v>20</v>
      </c>
      <c r="C92" s="2" t="s">
        <v>136</v>
      </c>
      <c r="D92" s="3" t="s">
        <v>138</v>
      </c>
      <c r="E92" s="30">
        <v>79.768270944741531</v>
      </c>
      <c r="F92" s="31">
        <v>86.750765096663429</v>
      </c>
      <c r="G92" s="34">
        <v>63</v>
      </c>
      <c r="H92" s="35">
        <v>77</v>
      </c>
      <c r="I92" s="9">
        <f t="shared" si="13"/>
        <v>0.78978770949720678</v>
      </c>
      <c r="J92" s="9">
        <f t="shared" si="14"/>
        <v>1.2222222222222223</v>
      </c>
      <c r="K92" s="5"/>
      <c r="L92" s="6"/>
      <c r="M92" s="6"/>
      <c r="N92" s="13"/>
      <c r="O92" s="14"/>
      <c r="P92" s="14"/>
      <c r="Q92" s="14"/>
      <c r="R92" s="14"/>
      <c r="S92" s="14"/>
      <c r="T92" s="5"/>
      <c r="U92" s="5"/>
      <c r="V92" s="5"/>
      <c r="W92" s="5"/>
      <c r="X92" s="5"/>
    </row>
    <row r="93" spans="1:24" ht="15.75" customHeight="1" thickBot="1">
      <c r="A93" s="1">
        <v>21203</v>
      </c>
      <c r="B93" s="2" t="s">
        <v>20</v>
      </c>
      <c r="C93" s="2" t="s">
        <v>136</v>
      </c>
      <c r="D93" s="3" t="s">
        <v>139</v>
      </c>
      <c r="E93" s="30">
        <v>75.723758693191016</v>
      </c>
      <c r="F93" s="31">
        <v>87.828029034059185</v>
      </c>
      <c r="G93" s="34">
        <v>65</v>
      </c>
      <c r="H93" s="35">
        <v>82</v>
      </c>
      <c r="I93" s="9">
        <f t="shared" si="13"/>
        <v>0.85838316958564709</v>
      </c>
      <c r="J93" s="9">
        <f t="shared" si="14"/>
        <v>1.2615384615384615</v>
      </c>
      <c r="K93" s="5"/>
      <c r="L93" s="6"/>
      <c r="M93" s="6"/>
      <c r="N93" s="13"/>
      <c r="O93" s="14"/>
      <c r="P93" s="14"/>
      <c r="Q93" s="14"/>
      <c r="R93" s="14"/>
      <c r="S93" s="14"/>
      <c r="T93" s="5"/>
      <c r="U93" s="5"/>
      <c r="V93" s="5"/>
      <c r="W93" s="5"/>
      <c r="X93" s="5"/>
    </row>
    <row r="94" spans="1:24" ht="15.75" customHeight="1" thickBot="1">
      <c r="A94" s="1">
        <v>21204</v>
      </c>
      <c r="B94" s="2" t="s">
        <v>20</v>
      </c>
      <c r="C94" s="2" t="s">
        <v>136</v>
      </c>
      <c r="D94" s="3" t="s">
        <v>140</v>
      </c>
      <c r="E94" s="30">
        <v>77.741935483870975</v>
      </c>
      <c r="F94" s="31">
        <v>86.768189509306254</v>
      </c>
      <c r="G94" s="34">
        <v>61</v>
      </c>
      <c r="H94" s="35">
        <v>77</v>
      </c>
      <c r="I94" s="9">
        <f t="shared" si="13"/>
        <v>0.78464730290456419</v>
      </c>
      <c r="J94" s="9">
        <f t="shared" si="14"/>
        <v>1.2622950819672132</v>
      </c>
      <c r="K94" s="5"/>
      <c r="L94" s="6"/>
      <c r="M94" s="6"/>
      <c r="N94" s="13"/>
      <c r="O94" s="14"/>
      <c r="P94" s="14"/>
      <c r="Q94" s="14"/>
      <c r="R94" s="14"/>
      <c r="S94" s="14"/>
      <c r="T94" s="5"/>
      <c r="U94" s="5"/>
      <c r="V94" s="5"/>
      <c r="W94" s="5"/>
      <c r="X94" s="5"/>
    </row>
    <row r="95" spans="1:24" ht="15.75" customHeight="1" thickBot="1">
      <c r="A95" s="1">
        <v>21301</v>
      </c>
      <c r="B95" s="2" t="s">
        <v>20</v>
      </c>
      <c r="C95" s="2" t="s">
        <v>141</v>
      </c>
      <c r="D95" s="3" t="s">
        <v>142</v>
      </c>
      <c r="E95" s="30">
        <v>79.059791648428615</v>
      </c>
      <c r="F95" s="31">
        <v>87.080227618818626</v>
      </c>
      <c r="G95" s="34">
        <v>64</v>
      </c>
      <c r="H95" s="35">
        <v>78</v>
      </c>
      <c r="I95" s="9">
        <f t="shared" si="13"/>
        <v>0.80951389657845196</v>
      </c>
      <c r="J95" s="9">
        <f t="shared" si="14"/>
        <v>1.21875</v>
      </c>
      <c r="K95" s="5"/>
      <c r="L95" s="6"/>
      <c r="M95" s="6"/>
      <c r="N95" s="13"/>
      <c r="O95" s="14"/>
      <c r="P95" s="14"/>
      <c r="Q95" s="14"/>
      <c r="R95" s="14"/>
      <c r="S95" s="14"/>
      <c r="T95" s="5"/>
      <c r="U95" s="5"/>
      <c r="V95" s="5"/>
      <c r="W95" s="5"/>
      <c r="X95" s="5"/>
    </row>
    <row r="96" spans="1:24" ht="15.75" customHeight="1" thickBot="1">
      <c r="A96" s="1">
        <v>21302</v>
      </c>
      <c r="B96" s="2" t="s">
        <v>20</v>
      </c>
      <c r="C96" s="2" t="s">
        <v>141</v>
      </c>
      <c r="D96" s="3" t="s">
        <v>143</v>
      </c>
      <c r="E96" s="30">
        <v>86.843607305936075</v>
      </c>
      <c r="F96" s="31">
        <v>90.221187427240977</v>
      </c>
      <c r="G96" s="34">
        <v>80</v>
      </c>
      <c r="H96" s="35">
        <v>85</v>
      </c>
      <c r="I96" s="9">
        <f t="shared" si="13"/>
        <v>0.92119618797239566</v>
      </c>
      <c r="J96" s="9">
        <f t="shared" si="14"/>
        <v>1.0625</v>
      </c>
      <c r="K96" s="5"/>
      <c r="L96" s="6"/>
      <c r="M96" s="6"/>
      <c r="N96" s="13"/>
      <c r="O96" s="14"/>
      <c r="P96" s="14"/>
      <c r="Q96" s="14"/>
      <c r="R96" s="14"/>
      <c r="S96" s="14"/>
      <c r="T96" s="5"/>
      <c r="U96" s="5"/>
      <c r="V96" s="5"/>
      <c r="W96" s="5"/>
      <c r="X96" s="5"/>
    </row>
    <row r="97" spans="1:24" ht="15.75" customHeight="1" thickBot="1">
      <c r="A97" s="1">
        <v>21303</v>
      </c>
      <c r="B97" s="2" t="s">
        <v>20</v>
      </c>
      <c r="C97" s="2" t="s">
        <v>141</v>
      </c>
      <c r="D97" s="3" t="s">
        <v>144</v>
      </c>
      <c r="E97" s="30">
        <v>86.501569584931985</v>
      </c>
      <c r="F97" s="31">
        <v>89.194312796208536</v>
      </c>
      <c r="G97" s="34">
        <v>78</v>
      </c>
      <c r="H97" s="35">
        <v>82</v>
      </c>
      <c r="I97" s="9">
        <f t="shared" si="13"/>
        <v>0.90171774193548382</v>
      </c>
      <c r="J97" s="9">
        <f t="shared" si="14"/>
        <v>1.0512820512820513</v>
      </c>
      <c r="K97" s="5"/>
      <c r="L97" s="6"/>
      <c r="M97" s="6"/>
      <c r="N97" s="13"/>
      <c r="O97" s="14"/>
      <c r="P97" s="14"/>
      <c r="Q97" s="14"/>
      <c r="R97" s="14"/>
      <c r="S97" s="14"/>
      <c r="T97" s="5"/>
      <c r="U97" s="5"/>
      <c r="V97" s="5"/>
      <c r="W97" s="5"/>
      <c r="X97" s="5"/>
    </row>
    <row r="98" spans="1:24" ht="15.75" customHeight="1" thickBot="1">
      <c r="A98" s="1">
        <v>21304</v>
      </c>
      <c r="B98" s="2" t="s">
        <v>20</v>
      </c>
      <c r="C98" s="2" t="s">
        <v>141</v>
      </c>
      <c r="D98" s="3" t="s">
        <v>145</v>
      </c>
      <c r="E98" s="30">
        <v>78.044483593922038</v>
      </c>
      <c r="F98" s="31">
        <v>88.785896037804434</v>
      </c>
      <c r="G98" s="34">
        <v>60</v>
      </c>
      <c r="H98" s="35">
        <v>78</v>
      </c>
      <c r="I98" s="9">
        <f t="shared" si="13"/>
        <v>0.76879232505643347</v>
      </c>
      <c r="J98" s="9">
        <f t="shared" si="14"/>
        <v>1.3</v>
      </c>
      <c r="K98" s="5"/>
      <c r="L98" s="6"/>
      <c r="M98" s="6"/>
      <c r="N98" s="13"/>
      <c r="O98" s="14"/>
      <c r="P98" s="14"/>
      <c r="Q98" s="14"/>
      <c r="R98" s="14"/>
      <c r="S98" s="14"/>
      <c r="T98" s="5"/>
      <c r="U98" s="5"/>
      <c r="V98" s="5"/>
      <c r="W98" s="5"/>
      <c r="X98" s="5"/>
    </row>
    <row r="99" spans="1:24" ht="15.75" customHeight="1" thickBot="1">
      <c r="A99" s="1">
        <v>21305</v>
      </c>
      <c r="B99" s="2" t="s">
        <v>20</v>
      </c>
      <c r="C99" s="2" t="s">
        <v>141</v>
      </c>
      <c r="D99" s="3" t="s">
        <v>146</v>
      </c>
      <c r="E99" s="30">
        <v>77.425867507886437</v>
      </c>
      <c r="F99" s="31">
        <v>84.880154492786559</v>
      </c>
      <c r="G99" s="34">
        <v>65</v>
      </c>
      <c r="H99" s="35">
        <v>77</v>
      </c>
      <c r="I99" s="9">
        <f t="shared" si="13"/>
        <v>0.83951271186440679</v>
      </c>
      <c r="J99" s="9">
        <f t="shared" si="14"/>
        <v>1.1846153846153846</v>
      </c>
      <c r="K99" s="5"/>
      <c r="L99" s="6"/>
      <c r="M99" s="6"/>
      <c r="N99" s="13"/>
      <c r="O99" s="14"/>
      <c r="P99" s="14"/>
      <c r="Q99" s="14"/>
      <c r="R99" s="14"/>
      <c r="S99" s="14"/>
      <c r="T99" s="5"/>
      <c r="U99" s="5"/>
      <c r="V99" s="5"/>
      <c r="W99" s="5"/>
      <c r="X99" s="5"/>
    </row>
    <row r="100" spans="1:24" ht="15.75" customHeight="1" thickBot="1">
      <c r="A100" s="1">
        <v>21306</v>
      </c>
      <c r="B100" s="2" t="s">
        <v>20</v>
      </c>
      <c r="C100" s="2" t="s">
        <v>141</v>
      </c>
      <c r="D100" s="3" t="s">
        <v>147</v>
      </c>
      <c r="E100" s="30">
        <v>78.408473655621947</v>
      </c>
      <c r="F100" s="31">
        <v>87.172956702940496</v>
      </c>
      <c r="G100" s="34">
        <v>61</v>
      </c>
      <c r="H100" s="35">
        <v>76</v>
      </c>
      <c r="I100" s="9">
        <f t="shared" si="13"/>
        <v>0.7779771388985105</v>
      </c>
      <c r="J100" s="9">
        <f t="shared" si="14"/>
        <v>1.2459016393442623</v>
      </c>
      <c r="K100" s="5"/>
      <c r="L100" s="6"/>
      <c r="M100" s="6"/>
      <c r="N100" s="13"/>
      <c r="O100" s="14"/>
      <c r="P100" s="14"/>
      <c r="Q100" s="14"/>
      <c r="R100" s="14"/>
      <c r="S100" s="14"/>
      <c r="T100" s="5"/>
      <c r="U100" s="5"/>
      <c r="V100" s="5"/>
      <c r="W100" s="5"/>
      <c r="X100" s="5"/>
    </row>
    <row r="101" spans="1:24" ht="15.75" customHeight="1" thickBot="1">
      <c r="A101" s="1">
        <v>21307</v>
      </c>
      <c r="B101" s="2" t="s">
        <v>20</v>
      </c>
      <c r="C101" s="2" t="s">
        <v>141</v>
      </c>
      <c r="D101" s="3" t="s">
        <v>148</v>
      </c>
      <c r="E101" s="30">
        <v>82.726269315673278</v>
      </c>
      <c r="F101" s="31">
        <v>82.797345584481874</v>
      </c>
      <c r="G101" s="34">
        <v>62</v>
      </c>
      <c r="H101" s="35">
        <v>71</v>
      </c>
      <c r="I101" s="9">
        <f t="shared" si="13"/>
        <v>0.74945963975983998</v>
      </c>
      <c r="J101" s="9">
        <f t="shared" si="14"/>
        <v>1.1451612903225807</v>
      </c>
      <c r="K101" s="5"/>
      <c r="L101" s="6"/>
      <c r="M101" s="6"/>
      <c r="N101" s="13"/>
      <c r="O101" s="14"/>
      <c r="P101" s="14"/>
      <c r="Q101" s="14"/>
      <c r="R101" s="14"/>
      <c r="S101" s="14"/>
      <c r="T101" s="5"/>
      <c r="U101" s="5"/>
      <c r="V101" s="5"/>
      <c r="W101" s="5"/>
      <c r="X101" s="5"/>
    </row>
    <row r="102" spans="1:24" ht="15.75" customHeight="1" thickBot="1">
      <c r="A102" s="1">
        <v>21401</v>
      </c>
      <c r="B102" s="2" t="s">
        <v>20</v>
      </c>
      <c r="C102" s="2" t="s">
        <v>149</v>
      </c>
      <c r="D102" s="3" t="s">
        <v>150</v>
      </c>
      <c r="E102" s="30">
        <v>85.97633922637246</v>
      </c>
      <c r="F102" s="31">
        <v>85.679198941998862</v>
      </c>
      <c r="G102" s="34">
        <v>77</v>
      </c>
      <c r="H102" s="35">
        <v>79</v>
      </c>
      <c r="I102" s="9">
        <f t="shared" si="13"/>
        <v>0.89559523809523811</v>
      </c>
      <c r="J102" s="9">
        <f t="shared" si="14"/>
        <v>1.025974025974026</v>
      </c>
      <c r="K102" s="5"/>
      <c r="L102" s="6"/>
      <c r="M102" s="6"/>
      <c r="N102" s="13"/>
      <c r="O102" s="14"/>
      <c r="P102" s="14"/>
      <c r="Q102" s="14"/>
      <c r="R102" s="14"/>
      <c r="S102" s="14"/>
      <c r="T102" s="5"/>
      <c r="U102" s="5"/>
      <c r="V102" s="5"/>
      <c r="W102" s="5"/>
      <c r="X102" s="5"/>
    </row>
    <row r="103" spans="1:24" ht="15.75" customHeight="1" thickBot="1">
      <c r="A103" s="1">
        <v>21402</v>
      </c>
      <c r="B103" s="2" t="s">
        <v>20</v>
      </c>
      <c r="C103" s="2" t="s">
        <v>149</v>
      </c>
      <c r="D103" s="3" t="s">
        <v>151</v>
      </c>
      <c r="E103" s="30">
        <v>86.022544283413851</v>
      </c>
      <c r="F103" s="31">
        <v>89.922130685024257</v>
      </c>
      <c r="G103" s="34">
        <v>83</v>
      </c>
      <c r="H103" s="35">
        <v>86</v>
      </c>
      <c r="I103" s="9">
        <f t="shared" si="13"/>
        <v>0.96486334706102583</v>
      </c>
      <c r="J103" s="9">
        <f t="shared" si="14"/>
        <v>1.036144578313253</v>
      </c>
      <c r="K103" s="5"/>
      <c r="L103" s="6"/>
      <c r="M103" s="6"/>
      <c r="N103" s="13"/>
      <c r="O103" s="14"/>
      <c r="P103" s="14"/>
      <c r="Q103" s="14"/>
      <c r="R103" s="14"/>
      <c r="S103" s="14"/>
      <c r="T103" s="5"/>
      <c r="U103" s="5"/>
      <c r="V103" s="5"/>
      <c r="W103" s="5"/>
      <c r="X103" s="5"/>
    </row>
    <row r="104" spans="1:24" ht="15.75" customHeight="1" thickBot="1">
      <c r="A104" s="1">
        <v>21501</v>
      </c>
      <c r="B104" s="2" t="s">
        <v>20</v>
      </c>
      <c r="C104" s="2" t="s">
        <v>152</v>
      </c>
      <c r="D104" s="3" t="s">
        <v>153</v>
      </c>
      <c r="E104" s="30">
        <v>83.562412342215993</v>
      </c>
      <c r="F104" s="31">
        <v>89.437211255774884</v>
      </c>
      <c r="G104" s="34">
        <v>49</v>
      </c>
      <c r="H104" s="35">
        <v>69</v>
      </c>
      <c r="I104" s="9">
        <f t="shared" si="13"/>
        <v>0.58638804968110103</v>
      </c>
      <c r="J104" s="9">
        <f t="shared" si="14"/>
        <v>1.4081632653061225</v>
      </c>
      <c r="K104" s="5"/>
      <c r="L104" s="6"/>
      <c r="M104" s="6"/>
      <c r="N104" s="13"/>
      <c r="O104" s="14"/>
      <c r="P104" s="14"/>
      <c r="Q104" s="14"/>
      <c r="R104" s="14"/>
      <c r="S104" s="14"/>
      <c r="T104" s="5"/>
      <c r="U104" s="5"/>
      <c r="V104" s="5"/>
      <c r="W104" s="5"/>
      <c r="X104" s="5"/>
    </row>
    <row r="105" spans="1:24" ht="15.75" customHeight="1" thickBot="1">
      <c r="A105" s="1">
        <v>21502</v>
      </c>
      <c r="B105" s="2" t="s">
        <v>20</v>
      </c>
      <c r="C105" s="2" t="s">
        <v>152</v>
      </c>
      <c r="D105" s="3" t="s">
        <v>154</v>
      </c>
      <c r="E105" s="30">
        <v>82.847790507364977</v>
      </c>
      <c r="F105" s="31">
        <v>85.775862068965509</v>
      </c>
      <c r="G105" s="34">
        <v>49</v>
      </c>
      <c r="H105" s="35">
        <v>66</v>
      </c>
      <c r="I105" s="9">
        <f t="shared" si="13"/>
        <v>0.59144606874753058</v>
      </c>
      <c r="J105" s="9">
        <f t="shared" si="14"/>
        <v>1.346938775510204</v>
      </c>
      <c r="K105" s="5"/>
      <c r="L105" s="6"/>
      <c r="M105" s="6"/>
      <c r="N105" s="13"/>
      <c r="O105" s="14"/>
      <c r="P105" s="14"/>
      <c r="Q105" s="14"/>
      <c r="R105" s="14"/>
      <c r="S105" s="14"/>
      <c r="T105" s="5"/>
      <c r="U105" s="5"/>
      <c r="V105" s="5"/>
      <c r="W105" s="5"/>
      <c r="X105" s="5"/>
    </row>
    <row r="106" spans="1:24" ht="15.75" customHeight="1" thickBot="1">
      <c r="A106" s="1">
        <v>21601</v>
      </c>
      <c r="B106" s="2" t="s">
        <v>20</v>
      </c>
      <c r="C106" s="2" t="s">
        <v>155</v>
      </c>
      <c r="D106" s="3" t="s">
        <v>156</v>
      </c>
      <c r="E106" s="30">
        <v>81.369804006030591</v>
      </c>
      <c r="F106" s="31">
        <v>86.280851063829786</v>
      </c>
      <c r="G106" s="34">
        <v>68</v>
      </c>
      <c r="H106" s="35">
        <v>79</v>
      </c>
      <c r="I106" s="9">
        <f t="shared" si="13"/>
        <v>0.83569084171519314</v>
      </c>
      <c r="J106" s="9">
        <f t="shared" si="14"/>
        <v>1.161764705882353</v>
      </c>
      <c r="K106" s="5"/>
      <c r="L106" s="6"/>
      <c r="M106" s="6"/>
      <c r="N106" s="13"/>
      <c r="O106" s="14"/>
      <c r="P106" s="14"/>
      <c r="Q106" s="14"/>
      <c r="R106" s="14"/>
      <c r="S106" s="14"/>
      <c r="T106" s="5"/>
      <c r="U106" s="5"/>
      <c r="V106" s="5"/>
      <c r="W106" s="5"/>
      <c r="X106" s="5"/>
    </row>
    <row r="107" spans="1:24" ht="15.75" customHeight="1" thickBot="1">
      <c r="A107" s="1">
        <v>21602</v>
      </c>
      <c r="B107" s="2" t="s">
        <v>20</v>
      </c>
      <c r="C107" s="2" t="s">
        <v>155</v>
      </c>
      <c r="D107" s="3" t="s">
        <v>157</v>
      </c>
      <c r="E107" s="30">
        <v>76.77767776777678</v>
      </c>
      <c r="F107" s="31">
        <v>82.809133993968118</v>
      </c>
      <c r="G107" s="34">
        <v>67</v>
      </c>
      <c r="H107" s="35">
        <v>72</v>
      </c>
      <c r="I107" s="9">
        <f t="shared" si="13"/>
        <v>0.87264947245017588</v>
      </c>
      <c r="J107" s="9">
        <f t="shared" si="14"/>
        <v>1.0746268656716418</v>
      </c>
      <c r="K107" s="5"/>
      <c r="L107" s="6"/>
      <c r="M107" s="6"/>
      <c r="N107" s="13"/>
      <c r="O107" s="14"/>
      <c r="P107" s="14"/>
      <c r="Q107" s="14"/>
      <c r="R107" s="14"/>
      <c r="S107" s="14"/>
      <c r="T107" s="5"/>
      <c r="U107" s="5"/>
      <c r="V107" s="5"/>
      <c r="W107" s="5"/>
      <c r="X107" s="5"/>
    </row>
    <row r="108" spans="1:24" ht="15.75" customHeight="1" thickBot="1">
      <c r="A108" s="1">
        <v>21701</v>
      </c>
      <c r="B108" s="2" t="s">
        <v>20</v>
      </c>
      <c r="C108" s="2" t="s">
        <v>158</v>
      </c>
      <c r="D108" s="3" t="s">
        <v>159</v>
      </c>
      <c r="E108" s="30">
        <v>80.157058034859219</v>
      </c>
      <c r="F108" s="31">
        <v>84.141242062877495</v>
      </c>
      <c r="G108" s="34">
        <v>71</v>
      </c>
      <c r="H108" s="35">
        <v>77</v>
      </c>
      <c r="I108" s="9">
        <f t="shared" si="13"/>
        <v>0.88576105137395467</v>
      </c>
      <c r="J108" s="9">
        <f t="shared" si="14"/>
        <v>1.0845070422535212</v>
      </c>
      <c r="K108" s="5"/>
      <c r="L108" s="6"/>
      <c r="M108" s="6"/>
      <c r="N108" s="13"/>
      <c r="O108" s="14"/>
      <c r="P108" s="14"/>
      <c r="Q108" s="14"/>
      <c r="R108" s="14"/>
      <c r="S108" s="14"/>
      <c r="T108" s="5"/>
      <c r="U108" s="5"/>
      <c r="V108" s="5"/>
      <c r="W108" s="5"/>
      <c r="X108" s="5"/>
    </row>
    <row r="109" spans="1:24" ht="15.75" customHeight="1" thickBot="1">
      <c r="A109" s="1">
        <v>21702</v>
      </c>
      <c r="B109" s="2" t="s">
        <v>20</v>
      </c>
      <c r="C109" s="2" t="s">
        <v>158</v>
      </c>
      <c r="D109" s="3" t="s">
        <v>160</v>
      </c>
      <c r="E109" s="30">
        <v>78.534258456201215</v>
      </c>
      <c r="F109" s="31">
        <v>85.025380710659903</v>
      </c>
      <c r="G109" s="34">
        <v>64</v>
      </c>
      <c r="H109" s="35">
        <v>78</v>
      </c>
      <c r="I109" s="9">
        <f t="shared" si="13"/>
        <v>0.81493097736057429</v>
      </c>
      <c r="J109" s="9">
        <f t="shared" si="14"/>
        <v>1.21875</v>
      </c>
      <c r="K109" s="5"/>
      <c r="L109" s="6"/>
      <c r="M109" s="6"/>
      <c r="N109" s="13"/>
      <c r="O109" s="14"/>
      <c r="P109" s="14"/>
      <c r="Q109" s="14"/>
      <c r="R109" s="14"/>
      <c r="S109" s="14"/>
      <c r="T109" s="5"/>
      <c r="U109" s="5"/>
      <c r="V109" s="5"/>
      <c r="W109" s="5"/>
      <c r="X109" s="5"/>
    </row>
    <row r="110" spans="1:24" ht="15.75" customHeight="1" thickBot="1">
      <c r="A110" s="1">
        <v>21703</v>
      </c>
      <c r="B110" s="2" t="s">
        <v>20</v>
      </c>
      <c r="C110" s="2" t="s">
        <v>158</v>
      </c>
      <c r="D110" s="3" t="s">
        <v>161</v>
      </c>
      <c r="E110" s="30">
        <v>72.70900321543408</v>
      </c>
      <c r="F110" s="31">
        <v>83.44931921331316</v>
      </c>
      <c r="G110" s="34">
        <v>65</v>
      </c>
      <c r="H110" s="35">
        <v>75</v>
      </c>
      <c r="I110" s="9">
        <f t="shared" si="13"/>
        <v>0.89397457158651195</v>
      </c>
      <c r="J110" s="9">
        <f t="shared" si="14"/>
        <v>1.1538461538461537</v>
      </c>
      <c r="K110" s="5"/>
      <c r="L110" s="6"/>
      <c r="M110" s="6"/>
      <c r="N110" s="13"/>
      <c r="O110" s="14"/>
      <c r="P110" s="14"/>
      <c r="Q110" s="14"/>
      <c r="R110" s="14"/>
      <c r="S110" s="14"/>
      <c r="T110" s="5"/>
      <c r="U110" s="5"/>
      <c r="V110" s="5"/>
      <c r="W110" s="5"/>
      <c r="X110" s="5"/>
    </row>
    <row r="111" spans="1:24" ht="15.75" customHeight="1" thickBot="1">
      <c r="A111" s="1">
        <v>21801</v>
      </c>
      <c r="B111" s="2" t="s">
        <v>20</v>
      </c>
      <c r="C111" s="2" t="s">
        <v>162</v>
      </c>
      <c r="D111" s="3" t="s">
        <v>163</v>
      </c>
      <c r="E111" s="30">
        <v>85.145524437122461</v>
      </c>
      <c r="F111" s="31">
        <v>91.365734455606841</v>
      </c>
      <c r="G111" s="34">
        <v>75</v>
      </c>
      <c r="H111" s="35">
        <v>86</v>
      </c>
      <c r="I111" s="9">
        <f t="shared" si="13"/>
        <v>0.88084488874556599</v>
      </c>
      <c r="J111" s="9">
        <f t="shared" si="14"/>
        <v>1.1466666666666667</v>
      </c>
      <c r="K111" s="5"/>
      <c r="L111" s="6"/>
      <c r="M111" s="6"/>
      <c r="N111" s="13"/>
      <c r="O111" s="14"/>
      <c r="P111" s="14"/>
      <c r="Q111" s="14"/>
      <c r="R111" s="14"/>
      <c r="S111" s="14"/>
      <c r="T111" s="5"/>
      <c r="U111" s="5"/>
      <c r="V111" s="5"/>
      <c r="W111" s="5"/>
      <c r="X111" s="5"/>
    </row>
    <row r="112" spans="1:24" ht="15.75" customHeight="1" thickBot="1">
      <c r="A112" s="1">
        <v>21802</v>
      </c>
      <c r="B112" s="2" t="s">
        <v>20</v>
      </c>
      <c r="C112" s="2" t="s">
        <v>164</v>
      </c>
      <c r="D112" s="3" t="s">
        <v>165</v>
      </c>
      <c r="E112" s="30">
        <v>82.611756423794432</v>
      </c>
      <c r="F112" s="31">
        <v>88.501994922016678</v>
      </c>
      <c r="G112" s="34">
        <v>70</v>
      </c>
      <c r="H112" s="35">
        <v>82</v>
      </c>
      <c r="I112" s="9">
        <f t="shared" si="13"/>
        <v>0.84733702599062644</v>
      </c>
      <c r="J112" s="9">
        <f t="shared" si="14"/>
        <v>1.1714285714285715</v>
      </c>
      <c r="K112" s="5"/>
      <c r="L112" s="6"/>
      <c r="M112" s="6"/>
      <c r="N112" s="13"/>
      <c r="O112" s="14"/>
      <c r="P112" s="14"/>
      <c r="Q112" s="14"/>
      <c r="R112" s="14"/>
      <c r="S112" s="14"/>
      <c r="T112" s="5"/>
      <c r="U112" s="5"/>
      <c r="V112" s="5"/>
      <c r="W112" s="5"/>
      <c r="X112" s="5"/>
    </row>
    <row r="113" spans="1:24" ht="15.75" customHeight="1" thickBot="1">
      <c r="A113" s="1">
        <v>21803</v>
      </c>
      <c r="B113" s="2" t="s">
        <v>20</v>
      </c>
      <c r="C113" s="2" t="s">
        <v>164</v>
      </c>
      <c r="D113" s="3" t="s">
        <v>166</v>
      </c>
      <c r="E113" s="30">
        <v>85.659411011523687</v>
      </c>
      <c r="F113" s="31">
        <v>89.685534591194966</v>
      </c>
      <c r="G113" s="34">
        <v>76</v>
      </c>
      <c r="H113" s="35">
        <v>81</v>
      </c>
      <c r="I113" s="9">
        <f t="shared" si="13"/>
        <v>0.8872346786248132</v>
      </c>
      <c r="J113" s="9">
        <f t="shared" si="14"/>
        <v>1.0657894736842106</v>
      </c>
      <c r="K113" s="5"/>
      <c r="L113" s="6"/>
      <c r="M113" s="6"/>
      <c r="N113" s="13"/>
      <c r="O113" s="14"/>
      <c r="P113" s="14"/>
      <c r="Q113" s="14"/>
      <c r="R113" s="14"/>
      <c r="S113" s="14"/>
      <c r="T113" s="5"/>
      <c r="U113" s="5"/>
      <c r="V113" s="5"/>
      <c r="W113" s="5"/>
      <c r="X113" s="5"/>
    </row>
    <row r="114" spans="1:24" ht="15.75" customHeight="1" thickBot="1">
      <c r="A114" s="1">
        <v>21901</v>
      </c>
      <c r="B114" s="2" t="s">
        <v>20</v>
      </c>
      <c r="C114" s="2" t="s">
        <v>167</v>
      </c>
      <c r="D114" s="3" t="s">
        <v>168</v>
      </c>
      <c r="E114" s="30">
        <v>80.81035453010692</v>
      </c>
      <c r="F114" s="31">
        <v>88.679245283018872</v>
      </c>
      <c r="G114" s="34">
        <v>68</v>
      </c>
      <c r="H114" s="35">
        <v>85</v>
      </c>
      <c r="I114" s="9">
        <f t="shared" si="13"/>
        <v>0.84147632311977716</v>
      </c>
      <c r="J114" s="9">
        <f t="shared" si="14"/>
        <v>1.25</v>
      </c>
      <c r="K114" s="5"/>
      <c r="L114" s="6"/>
      <c r="M114" s="6"/>
      <c r="N114" s="13"/>
      <c r="O114" s="14"/>
      <c r="P114" s="14"/>
      <c r="Q114" s="14"/>
      <c r="R114" s="14"/>
      <c r="S114" s="14"/>
      <c r="T114" s="5"/>
      <c r="U114" s="5"/>
      <c r="V114" s="5"/>
      <c r="W114" s="5"/>
      <c r="X114" s="5"/>
    </row>
    <row r="115" spans="1:24" ht="15.75" customHeight="1" thickBot="1">
      <c r="A115" s="1">
        <v>21902</v>
      </c>
      <c r="B115" s="2" t="s">
        <v>20</v>
      </c>
      <c r="C115" s="2" t="s">
        <v>167</v>
      </c>
      <c r="D115" s="3" t="s">
        <v>169</v>
      </c>
      <c r="E115" s="30">
        <v>78.699340245051843</v>
      </c>
      <c r="F115" s="31">
        <v>87.195121951219505</v>
      </c>
      <c r="G115" s="34">
        <v>69</v>
      </c>
      <c r="H115" s="35">
        <v>81</v>
      </c>
      <c r="I115" s="9">
        <f t="shared" si="13"/>
        <v>0.87675449101796399</v>
      </c>
      <c r="J115" s="9">
        <f t="shared" si="14"/>
        <v>1.173913043478261</v>
      </c>
      <c r="K115" s="5"/>
      <c r="L115" s="6"/>
      <c r="M115" s="6"/>
      <c r="N115" s="13"/>
      <c r="O115" s="14"/>
      <c r="P115" s="14"/>
      <c r="Q115" s="14"/>
      <c r="R115" s="14"/>
      <c r="S115" s="14"/>
      <c r="T115" s="5"/>
      <c r="U115" s="5"/>
      <c r="V115" s="5"/>
      <c r="W115" s="5"/>
      <c r="X115" s="5"/>
    </row>
    <row r="116" spans="1:24" ht="15.75" customHeight="1" thickBot="1">
      <c r="A116" s="1">
        <v>22001</v>
      </c>
      <c r="B116" s="2" t="s">
        <v>20</v>
      </c>
      <c r="C116" s="2" t="s">
        <v>170</v>
      </c>
      <c r="D116" s="3" t="s">
        <v>170</v>
      </c>
      <c r="E116" s="30">
        <v>84.024618678084025</v>
      </c>
      <c r="F116" s="31">
        <v>88.121152645195821</v>
      </c>
      <c r="G116" s="34">
        <v>77</v>
      </c>
      <c r="H116" s="35">
        <v>79</v>
      </c>
      <c r="I116" s="9">
        <f t="shared" si="13"/>
        <v>0.91639808917197452</v>
      </c>
      <c r="J116" s="9">
        <f t="shared" si="14"/>
        <v>1.025974025974026</v>
      </c>
      <c r="K116" s="5"/>
      <c r="L116" s="6"/>
      <c r="M116" s="6"/>
      <c r="N116" s="13"/>
      <c r="O116" s="14"/>
      <c r="P116" s="14"/>
      <c r="Q116" s="14"/>
      <c r="R116" s="14"/>
      <c r="S116" s="14"/>
      <c r="T116" s="5"/>
      <c r="U116" s="5"/>
      <c r="V116" s="5"/>
      <c r="W116" s="5"/>
      <c r="X116" s="5"/>
    </row>
    <row r="117" spans="1:24" ht="15.75" customHeight="1" thickBot="1">
      <c r="A117" s="1">
        <v>22002</v>
      </c>
      <c r="B117" s="2" t="s">
        <v>20</v>
      </c>
      <c r="C117" s="2" t="s">
        <v>170</v>
      </c>
      <c r="D117" s="3" t="s">
        <v>171</v>
      </c>
      <c r="E117" s="30">
        <v>88.278798744957427</v>
      </c>
      <c r="F117" s="31">
        <v>89.990732159406861</v>
      </c>
      <c r="G117" s="34">
        <v>76</v>
      </c>
      <c r="H117" s="35">
        <v>79</v>
      </c>
      <c r="I117" s="9">
        <f t="shared" si="13"/>
        <v>0.86090886011678081</v>
      </c>
      <c r="J117" s="9">
        <f t="shared" si="14"/>
        <v>1.0394736842105263</v>
      </c>
      <c r="K117" s="5"/>
      <c r="L117" s="6"/>
      <c r="M117" s="6"/>
      <c r="N117" s="13"/>
      <c r="O117" s="14"/>
      <c r="P117" s="14"/>
      <c r="Q117" s="14"/>
      <c r="R117" s="14"/>
      <c r="S117" s="14"/>
      <c r="T117" s="5"/>
      <c r="U117" s="5"/>
      <c r="V117" s="5"/>
      <c r="W117" s="5"/>
      <c r="X117" s="5"/>
    </row>
    <row r="118" spans="1:24" ht="15.75" customHeight="1" thickBot="1">
      <c r="A118" s="1">
        <v>30101</v>
      </c>
      <c r="B118" s="2" t="s">
        <v>22</v>
      </c>
      <c r="C118" s="2" t="s">
        <v>172</v>
      </c>
      <c r="D118" s="3" t="s">
        <v>22</v>
      </c>
      <c r="E118" s="30">
        <v>71.45545624381846</v>
      </c>
      <c r="F118" s="31">
        <v>75.233324412925668</v>
      </c>
      <c r="G118" s="34">
        <v>52</v>
      </c>
      <c r="H118" s="35">
        <v>62</v>
      </c>
      <c r="I118" s="9">
        <f t="shared" si="13"/>
        <v>0.72772609305812763</v>
      </c>
      <c r="J118" s="9">
        <f t="shared" si="14"/>
        <v>1.1923076923076923</v>
      </c>
      <c r="K118" s="5"/>
      <c r="L118" s="6"/>
      <c r="M118" s="6"/>
      <c r="N118" s="13"/>
      <c r="O118" s="14"/>
      <c r="P118" s="14"/>
      <c r="Q118" s="14"/>
      <c r="R118" s="14"/>
      <c r="S118" s="14"/>
      <c r="T118" s="5"/>
      <c r="U118" s="5"/>
      <c r="V118" s="5"/>
      <c r="W118" s="5"/>
      <c r="X118" s="5"/>
    </row>
    <row r="119" spans="1:24" ht="15.75" customHeight="1" thickBot="1">
      <c r="A119" s="1">
        <v>30201</v>
      </c>
      <c r="B119" s="2" t="s">
        <v>22</v>
      </c>
      <c r="C119" s="2" t="s">
        <v>173</v>
      </c>
      <c r="D119" s="3" t="s">
        <v>174</v>
      </c>
      <c r="E119" s="30">
        <v>77.429961857161643</v>
      </c>
      <c r="F119" s="31">
        <v>85.326020719073739</v>
      </c>
      <c r="G119" s="34">
        <v>43</v>
      </c>
      <c r="H119" s="35">
        <v>70</v>
      </c>
      <c r="I119" s="9">
        <f t="shared" si="13"/>
        <v>0.55534058094105654</v>
      </c>
      <c r="J119" s="9">
        <f t="shared" si="14"/>
        <v>1.6279069767441861</v>
      </c>
      <c r="K119" s="5"/>
      <c r="L119" s="6"/>
      <c r="M119" s="6"/>
      <c r="N119" s="13"/>
      <c r="O119" s="14"/>
      <c r="P119" s="14"/>
      <c r="Q119" s="14"/>
      <c r="R119" s="14"/>
      <c r="S119" s="14"/>
      <c r="T119" s="5"/>
      <c r="U119" s="5"/>
      <c r="V119" s="5"/>
      <c r="W119" s="5"/>
      <c r="X119" s="5"/>
    </row>
    <row r="120" spans="1:24" ht="15.75" customHeight="1" thickBot="1">
      <c r="A120" s="1">
        <v>30202</v>
      </c>
      <c r="B120" s="2" t="s">
        <v>22</v>
      </c>
      <c r="C120" s="2" t="s">
        <v>173</v>
      </c>
      <c r="D120" s="3" t="s">
        <v>175</v>
      </c>
      <c r="E120" s="30">
        <v>79.387291981845692</v>
      </c>
      <c r="F120" s="31">
        <v>83.490909090909099</v>
      </c>
      <c r="G120" s="34">
        <v>46</v>
      </c>
      <c r="H120" s="35">
        <v>67</v>
      </c>
      <c r="I120" s="9">
        <f t="shared" si="13"/>
        <v>0.5794378275369223</v>
      </c>
      <c r="J120" s="9">
        <f t="shared" si="14"/>
        <v>1.4565217391304348</v>
      </c>
      <c r="K120" s="5"/>
      <c r="L120" s="6"/>
      <c r="M120" s="6"/>
      <c r="N120" s="13"/>
      <c r="O120" s="14"/>
      <c r="P120" s="14"/>
      <c r="Q120" s="14"/>
      <c r="R120" s="14"/>
      <c r="S120" s="14"/>
      <c r="T120" s="5"/>
      <c r="U120" s="5"/>
      <c r="V120" s="5"/>
      <c r="W120" s="5"/>
      <c r="X120" s="5"/>
    </row>
    <row r="121" spans="1:24" ht="15.75" customHeight="1" thickBot="1">
      <c r="A121" s="1">
        <v>30203</v>
      </c>
      <c r="B121" s="2" t="s">
        <v>22</v>
      </c>
      <c r="C121" s="2" t="s">
        <v>173</v>
      </c>
      <c r="D121" s="3" t="s">
        <v>176</v>
      </c>
      <c r="E121" s="30">
        <v>86.752347998022742</v>
      </c>
      <c r="F121" s="31">
        <v>90.019960079840317</v>
      </c>
      <c r="G121" s="34">
        <v>59</v>
      </c>
      <c r="H121" s="35">
        <v>73</v>
      </c>
      <c r="I121" s="9">
        <f t="shared" si="13"/>
        <v>0.68009686609686604</v>
      </c>
      <c r="J121" s="9">
        <f t="shared" si="14"/>
        <v>1.2372881355932204</v>
      </c>
      <c r="K121" s="5"/>
      <c r="L121" s="6"/>
      <c r="M121" s="6"/>
      <c r="N121" s="13"/>
      <c r="O121" s="14"/>
      <c r="P121" s="14"/>
      <c r="Q121" s="14"/>
      <c r="R121" s="14"/>
      <c r="S121" s="14"/>
      <c r="T121" s="5"/>
      <c r="U121" s="5"/>
      <c r="V121" s="5"/>
      <c r="W121" s="5"/>
      <c r="X121" s="5"/>
    </row>
    <row r="122" spans="1:24" ht="15.75" customHeight="1" thickBot="1">
      <c r="A122" s="1">
        <v>30301</v>
      </c>
      <c r="B122" s="2" t="s">
        <v>22</v>
      </c>
      <c r="C122" s="2" t="s">
        <v>177</v>
      </c>
      <c r="D122" s="3" t="s">
        <v>178</v>
      </c>
      <c r="E122" s="30">
        <v>86.495098039215691</v>
      </c>
      <c r="F122" s="31">
        <v>89.51749095295537</v>
      </c>
      <c r="G122" s="34">
        <v>56</v>
      </c>
      <c r="H122" s="35">
        <v>71</v>
      </c>
      <c r="I122" s="9">
        <f t="shared" si="13"/>
        <v>0.64743553414565025</v>
      </c>
      <c r="J122" s="9">
        <f t="shared" si="14"/>
        <v>1.2678571428571428</v>
      </c>
      <c r="K122" s="5"/>
      <c r="L122" s="6"/>
      <c r="M122" s="6"/>
      <c r="N122" s="13"/>
      <c r="O122" s="14"/>
      <c r="P122" s="14"/>
      <c r="Q122" s="14"/>
      <c r="R122" s="14"/>
      <c r="S122" s="14"/>
      <c r="T122" s="5"/>
      <c r="U122" s="5"/>
      <c r="V122" s="5"/>
      <c r="W122" s="5"/>
      <c r="X122" s="5"/>
    </row>
    <row r="123" spans="1:24" ht="15.75" customHeight="1" thickBot="1">
      <c r="A123" s="1">
        <v>30302</v>
      </c>
      <c r="B123" s="2" t="s">
        <v>22</v>
      </c>
      <c r="C123" s="2" t="s">
        <v>177</v>
      </c>
      <c r="D123" s="3" t="s">
        <v>179</v>
      </c>
      <c r="E123" s="30">
        <v>87.505628095452508</v>
      </c>
      <c r="F123" s="31">
        <v>89.305402425578833</v>
      </c>
      <c r="G123" s="34">
        <v>59</v>
      </c>
      <c r="H123" s="35">
        <v>72</v>
      </c>
      <c r="I123" s="9">
        <f t="shared" si="13"/>
        <v>0.67424234628248003</v>
      </c>
      <c r="J123" s="9">
        <f t="shared" si="14"/>
        <v>1.2203389830508475</v>
      </c>
      <c r="K123" s="5"/>
      <c r="L123" s="6"/>
      <c r="M123" s="6"/>
      <c r="N123" s="13"/>
      <c r="O123" s="14"/>
      <c r="P123" s="14"/>
      <c r="Q123" s="14"/>
      <c r="R123" s="14"/>
      <c r="S123" s="14"/>
      <c r="T123" s="5"/>
      <c r="U123" s="5"/>
      <c r="V123" s="5"/>
      <c r="W123" s="5"/>
      <c r="X123" s="5"/>
    </row>
    <row r="124" spans="1:24" ht="15.75" customHeight="1" thickBot="1">
      <c r="A124" s="1">
        <v>30303</v>
      </c>
      <c r="B124" s="2" t="s">
        <v>22</v>
      </c>
      <c r="C124" s="2" t="s">
        <v>177</v>
      </c>
      <c r="D124" s="3" t="s">
        <v>180</v>
      </c>
      <c r="E124" s="30">
        <v>86.445497630331758</v>
      </c>
      <c r="F124" s="31">
        <v>92.398214527255504</v>
      </c>
      <c r="G124" s="34">
        <v>62</v>
      </c>
      <c r="H124" s="35">
        <v>77</v>
      </c>
      <c r="I124" s="9">
        <f t="shared" si="13"/>
        <v>0.71721491228070167</v>
      </c>
      <c r="J124" s="9">
        <f t="shared" si="14"/>
        <v>1.2419354838709677</v>
      </c>
      <c r="K124" s="5"/>
      <c r="L124" s="6"/>
      <c r="M124" s="6"/>
      <c r="N124" s="13"/>
      <c r="O124" s="14"/>
      <c r="P124" s="14"/>
      <c r="Q124" s="14"/>
      <c r="R124" s="14"/>
      <c r="S124" s="14"/>
      <c r="T124" s="5"/>
      <c r="U124" s="5"/>
      <c r="V124" s="5"/>
      <c r="W124" s="5"/>
      <c r="X124" s="5"/>
    </row>
    <row r="125" spans="1:24" ht="15.75" customHeight="1" thickBot="1">
      <c r="A125" s="1">
        <v>30401</v>
      </c>
      <c r="B125" s="2" t="s">
        <v>22</v>
      </c>
      <c r="C125" s="2" t="s">
        <v>181</v>
      </c>
      <c r="D125" s="3" t="s">
        <v>182</v>
      </c>
      <c r="E125" s="30">
        <v>66.843853820598014</v>
      </c>
      <c r="F125" s="31">
        <v>78.872234118486801</v>
      </c>
      <c r="G125" s="34">
        <v>47</v>
      </c>
      <c r="H125" s="35">
        <v>66</v>
      </c>
      <c r="I125" s="9">
        <f t="shared" si="13"/>
        <v>0.70313121272365797</v>
      </c>
      <c r="J125" s="9">
        <f t="shared" si="14"/>
        <v>1.4042553191489362</v>
      </c>
      <c r="K125" s="5"/>
      <c r="L125" s="6"/>
      <c r="M125" s="6"/>
      <c r="N125" s="13"/>
      <c r="O125" s="14"/>
      <c r="P125" s="14"/>
      <c r="Q125" s="14"/>
      <c r="R125" s="14"/>
      <c r="S125" s="14"/>
      <c r="T125" s="5"/>
      <c r="U125" s="5"/>
      <c r="V125" s="5"/>
      <c r="W125" s="5"/>
      <c r="X125" s="5"/>
    </row>
    <row r="126" spans="1:24" ht="15.75" customHeight="1" thickBot="1">
      <c r="A126" s="1">
        <v>30402</v>
      </c>
      <c r="B126" s="2" t="s">
        <v>22</v>
      </c>
      <c r="C126" s="2" t="s">
        <v>181</v>
      </c>
      <c r="D126" s="3" t="s">
        <v>183</v>
      </c>
      <c r="E126" s="30">
        <v>81.551795295088738</v>
      </c>
      <c r="F126" s="31">
        <v>89.129622711991033</v>
      </c>
      <c r="G126" s="34">
        <v>53</v>
      </c>
      <c r="H126" s="35">
        <v>76</v>
      </c>
      <c r="I126" s="9">
        <f t="shared" si="13"/>
        <v>0.6498937246963562</v>
      </c>
      <c r="J126" s="9">
        <f t="shared" si="14"/>
        <v>1.4339622641509433</v>
      </c>
      <c r="K126" s="5"/>
      <c r="L126" s="6"/>
      <c r="M126" s="6"/>
      <c r="N126" s="13"/>
      <c r="O126" s="14"/>
      <c r="P126" s="14"/>
      <c r="Q126" s="14"/>
      <c r="R126" s="14"/>
      <c r="S126" s="14"/>
      <c r="T126" s="5"/>
      <c r="U126" s="5"/>
      <c r="V126" s="5"/>
      <c r="W126" s="5"/>
      <c r="X126" s="5"/>
    </row>
    <row r="127" spans="1:24" ht="15.75" customHeight="1" thickBot="1">
      <c r="A127" s="1">
        <v>30403</v>
      </c>
      <c r="B127" s="2" t="s">
        <v>22</v>
      </c>
      <c r="C127" s="2" t="s">
        <v>181</v>
      </c>
      <c r="D127" s="3" t="s">
        <v>184</v>
      </c>
      <c r="E127" s="30">
        <v>77.610149151380085</v>
      </c>
      <c r="F127" s="31">
        <v>83.384964890541099</v>
      </c>
      <c r="G127" s="34">
        <v>46</v>
      </c>
      <c r="H127" s="35">
        <v>65</v>
      </c>
      <c r="I127" s="9">
        <f t="shared" si="13"/>
        <v>0.59270598630439575</v>
      </c>
      <c r="J127" s="9">
        <f t="shared" si="14"/>
        <v>1.4130434782608696</v>
      </c>
      <c r="K127" s="5"/>
      <c r="L127" s="6"/>
      <c r="M127" s="6"/>
      <c r="N127" s="13"/>
      <c r="O127" s="14"/>
      <c r="P127" s="14"/>
      <c r="Q127" s="14"/>
      <c r="R127" s="14"/>
      <c r="S127" s="14"/>
      <c r="T127" s="5"/>
      <c r="U127" s="5"/>
      <c r="V127" s="5"/>
      <c r="W127" s="5"/>
      <c r="X127" s="5"/>
    </row>
    <row r="128" spans="1:24" ht="15.75" customHeight="1" thickBot="1">
      <c r="A128" s="1">
        <v>30404</v>
      </c>
      <c r="B128" s="2" t="s">
        <v>22</v>
      </c>
      <c r="C128" s="2" t="s">
        <v>181</v>
      </c>
      <c r="D128" s="3" t="s">
        <v>185</v>
      </c>
      <c r="E128" s="30">
        <v>83.298245614035082</v>
      </c>
      <c r="F128" s="31">
        <v>88.829502939604481</v>
      </c>
      <c r="G128" s="34">
        <v>60</v>
      </c>
      <c r="H128" s="35">
        <v>80</v>
      </c>
      <c r="I128" s="9">
        <f t="shared" si="13"/>
        <v>0.72030328559393431</v>
      </c>
      <c r="J128" s="9">
        <f t="shared" si="14"/>
        <v>1.3333333333333333</v>
      </c>
      <c r="K128" s="5"/>
      <c r="L128" s="6"/>
      <c r="M128" s="6"/>
      <c r="N128" s="13"/>
      <c r="O128" s="14"/>
      <c r="P128" s="14"/>
      <c r="Q128" s="14"/>
      <c r="R128" s="14"/>
      <c r="S128" s="14"/>
      <c r="T128" s="5"/>
      <c r="U128" s="5"/>
      <c r="V128" s="5"/>
      <c r="W128" s="5"/>
      <c r="X128" s="5"/>
    </row>
    <row r="129" spans="1:24" ht="15.75" customHeight="1" thickBot="1">
      <c r="A129" s="1">
        <v>30501</v>
      </c>
      <c r="B129" s="2" t="s">
        <v>22</v>
      </c>
      <c r="C129" s="2" t="s">
        <v>186</v>
      </c>
      <c r="D129" s="3" t="s">
        <v>186</v>
      </c>
      <c r="E129" s="30">
        <v>75.277093596059103</v>
      </c>
      <c r="F129" s="31">
        <v>83.382642998027606</v>
      </c>
      <c r="G129" s="34">
        <v>56</v>
      </c>
      <c r="H129" s="35">
        <v>74</v>
      </c>
      <c r="I129" s="9">
        <f t="shared" si="13"/>
        <v>0.74391820040899803</v>
      </c>
      <c r="J129" s="9">
        <f t="shared" si="14"/>
        <v>1.3214285714285714</v>
      </c>
      <c r="K129" s="5"/>
      <c r="L129" s="6"/>
      <c r="M129" s="6"/>
      <c r="N129" s="13"/>
      <c r="O129" s="14"/>
      <c r="P129" s="14"/>
      <c r="Q129" s="14"/>
      <c r="R129" s="14"/>
      <c r="S129" s="14"/>
      <c r="T129" s="5"/>
      <c r="U129" s="5"/>
      <c r="V129" s="5"/>
      <c r="W129" s="5"/>
      <c r="X129" s="5"/>
    </row>
    <row r="130" spans="1:24" ht="15.75" customHeight="1" thickBot="1">
      <c r="A130" s="1">
        <v>30502</v>
      </c>
      <c r="B130" s="2" t="s">
        <v>22</v>
      </c>
      <c r="C130" s="2" t="s">
        <v>186</v>
      </c>
      <c r="D130" s="3" t="s">
        <v>187</v>
      </c>
      <c r="E130" s="30">
        <v>82.608695652173907</v>
      </c>
      <c r="F130" s="31">
        <v>91.707159054097829</v>
      </c>
      <c r="G130" s="34">
        <v>66</v>
      </c>
      <c r="H130" s="35">
        <v>82</v>
      </c>
      <c r="I130" s="9">
        <f t="shared" si="13"/>
        <v>0.79894736842105274</v>
      </c>
      <c r="J130" s="9">
        <f t="shared" si="14"/>
        <v>1.2424242424242424</v>
      </c>
      <c r="K130" s="5"/>
      <c r="L130" s="6"/>
      <c r="M130" s="6"/>
      <c r="N130" s="13"/>
      <c r="O130" s="14"/>
      <c r="P130" s="14"/>
      <c r="Q130" s="14"/>
      <c r="R130" s="14"/>
      <c r="S130" s="14"/>
      <c r="T130" s="5"/>
      <c r="U130" s="5"/>
      <c r="V130" s="5"/>
      <c r="W130" s="5"/>
      <c r="X130" s="5"/>
    </row>
    <row r="131" spans="1:24" ht="15.75" customHeight="1" thickBot="1">
      <c r="A131" s="1">
        <v>30601</v>
      </c>
      <c r="B131" s="2" t="s">
        <v>22</v>
      </c>
      <c r="C131" s="2" t="s">
        <v>188</v>
      </c>
      <c r="D131" s="3" t="s">
        <v>188</v>
      </c>
      <c r="E131" s="30">
        <v>86.33445429532253</v>
      </c>
      <c r="F131" s="31">
        <v>88.137032842582101</v>
      </c>
      <c r="G131" s="34">
        <v>64</v>
      </c>
      <c r="H131" s="35">
        <v>76</v>
      </c>
      <c r="I131" s="9">
        <f t="shared" ref="I131:I194" si="15">G131/E131</f>
        <v>0.74130311614730882</v>
      </c>
      <c r="J131" s="9">
        <f t="shared" ref="J131:J194" si="16">H131/G131</f>
        <v>1.1875</v>
      </c>
      <c r="K131" s="5"/>
      <c r="L131" s="6"/>
      <c r="M131" s="6"/>
      <c r="N131" s="13"/>
      <c r="O131" s="14"/>
      <c r="P131" s="14"/>
      <c r="Q131" s="14"/>
      <c r="R131" s="14"/>
      <c r="S131" s="14"/>
      <c r="T131" s="5"/>
      <c r="U131" s="5"/>
      <c r="V131" s="5"/>
      <c r="W131" s="5"/>
      <c r="X131" s="5"/>
    </row>
    <row r="132" spans="1:24" ht="15.75" customHeight="1" thickBot="1">
      <c r="A132" s="1">
        <v>30602</v>
      </c>
      <c r="B132" s="2" t="s">
        <v>22</v>
      </c>
      <c r="C132" s="2" t="s">
        <v>188</v>
      </c>
      <c r="D132" s="3" t="s">
        <v>189</v>
      </c>
      <c r="E132" s="30">
        <v>83.727810650887562</v>
      </c>
      <c r="F132" s="31">
        <v>88.644600144962553</v>
      </c>
      <c r="G132" s="34">
        <v>72</v>
      </c>
      <c r="H132" s="35">
        <v>77</v>
      </c>
      <c r="I132" s="9">
        <f t="shared" si="15"/>
        <v>0.8599293286219083</v>
      </c>
      <c r="J132" s="9">
        <f t="shared" si="16"/>
        <v>1.0694444444444444</v>
      </c>
      <c r="K132" s="5"/>
      <c r="L132" s="6"/>
      <c r="M132" s="6"/>
      <c r="N132" s="13"/>
      <c r="O132" s="14"/>
      <c r="P132" s="14"/>
      <c r="Q132" s="14"/>
      <c r="R132" s="14"/>
      <c r="S132" s="14"/>
      <c r="T132" s="5"/>
      <c r="U132" s="5"/>
      <c r="V132" s="5"/>
      <c r="W132" s="5"/>
      <c r="X132" s="5"/>
    </row>
    <row r="133" spans="1:24" ht="15.75" customHeight="1" thickBot="1">
      <c r="A133" s="1">
        <v>30701</v>
      </c>
      <c r="B133" s="2" t="s">
        <v>22</v>
      </c>
      <c r="C133" s="2" t="s">
        <v>190</v>
      </c>
      <c r="D133" s="3" t="s">
        <v>190</v>
      </c>
      <c r="E133" s="30">
        <v>80.12711207564719</v>
      </c>
      <c r="F133" s="31">
        <v>83.221175414984287</v>
      </c>
      <c r="G133" s="34">
        <v>56</v>
      </c>
      <c r="H133" s="35">
        <v>66</v>
      </c>
      <c r="I133" s="9">
        <f t="shared" si="15"/>
        <v>0.69888953375894758</v>
      </c>
      <c r="J133" s="9">
        <f t="shared" si="16"/>
        <v>1.1785714285714286</v>
      </c>
      <c r="K133" s="5"/>
      <c r="L133" s="6"/>
      <c r="M133" s="6"/>
      <c r="N133" s="13"/>
      <c r="O133" s="14"/>
      <c r="P133" s="14"/>
      <c r="Q133" s="14"/>
      <c r="R133" s="14"/>
      <c r="S133" s="14"/>
      <c r="T133" s="5"/>
      <c r="U133" s="5"/>
      <c r="V133" s="5"/>
      <c r="W133" s="5"/>
      <c r="X133" s="5"/>
    </row>
    <row r="134" spans="1:24" ht="15.75" customHeight="1" thickBot="1">
      <c r="A134" s="1">
        <v>30702</v>
      </c>
      <c r="B134" s="2" t="s">
        <v>22</v>
      </c>
      <c r="C134" s="2" t="s">
        <v>190</v>
      </c>
      <c r="D134" s="3" t="s">
        <v>191</v>
      </c>
      <c r="E134" s="30">
        <v>72.968421052631584</v>
      </c>
      <c r="F134" s="31">
        <v>83.441669517618891</v>
      </c>
      <c r="G134" s="34">
        <v>45</v>
      </c>
      <c r="H134" s="35">
        <v>67</v>
      </c>
      <c r="I134" s="9">
        <f t="shared" si="15"/>
        <v>0.61670513560300055</v>
      </c>
      <c r="J134" s="9">
        <f t="shared" si="16"/>
        <v>1.4888888888888889</v>
      </c>
      <c r="K134" s="5"/>
      <c r="L134" s="6"/>
      <c r="M134" s="6"/>
      <c r="N134" s="13"/>
      <c r="O134" s="14"/>
      <c r="P134" s="14"/>
      <c r="Q134" s="14"/>
      <c r="R134" s="14"/>
      <c r="S134" s="14"/>
      <c r="T134" s="5"/>
      <c r="U134" s="5"/>
      <c r="V134" s="5"/>
      <c r="W134" s="5"/>
      <c r="X134" s="5"/>
    </row>
    <row r="135" spans="1:24" ht="15.75" customHeight="1" thickBot="1">
      <c r="A135" s="1">
        <v>30703</v>
      </c>
      <c r="B135" s="2" t="s">
        <v>22</v>
      </c>
      <c r="C135" s="2" t="s">
        <v>190</v>
      </c>
      <c r="D135" s="3" t="s">
        <v>192</v>
      </c>
      <c r="E135" s="30">
        <v>83.822422874341612</v>
      </c>
      <c r="F135" s="31">
        <v>85.989010989010993</v>
      </c>
      <c r="G135" s="34">
        <v>52</v>
      </c>
      <c r="H135" s="35">
        <v>70</v>
      </c>
      <c r="I135" s="9">
        <f t="shared" si="15"/>
        <v>0.620359066427289</v>
      </c>
      <c r="J135" s="9">
        <f t="shared" si="16"/>
        <v>1.3461538461538463</v>
      </c>
      <c r="K135" s="5"/>
      <c r="L135" s="6"/>
      <c r="M135" s="6"/>
      <c r="N135" s="13"/>
      <c r="O135" s="14"/>
      <c r="P135" s="14"/>
      <c r="Q135" s="14"/>
      <c r="R135" s="14"/>
      <c r="S135" s="14"/>
      <c r="T135" s="5"/>
      <c r="U135" s="5"/>
      <c r="V135" s="5"/>
      <c r="W135" s="5"/>
      <c r="X135" s="5"/>
    </row>
    <row r="136" spans="1:24" ht="15.75" customHeight="1" thickBot="1">
      <c r="A136" s="1">
        <v>30801</v>
      </c>
      <c r="B136" s="2" t="s">
        <v>22</v>
      </c>
      <c r="C136" s="2" t="s">
        <v>193</v>
      </c>
      <c r="D136" s="3" t="s">
        <v>194</v>
      </c>
      <c r="E136" s="30">
        <v>74.704554508033453</v>
      </c>
      <c r="F136" s="31">
        <v>80.78233610467494</v>
      </c>
      <c r="G136" s="34">
        <v>50</v>
      </c>
      <c r="H136" s="35">
        <v>69</v>
      </c>
      <c r="I136" s="9">
        <f t="shared" si="15"/>
        <v>0.66930323498044797</v>
      </c>
      <c r="J136" s="9">
        <f t="shared" si="16"/>
        <v>1.38</v>
      </c>
      <c r="K136" s="5"/>
      <c r="L136" s="6"/>
      <c r="M136" s="6"/>
      <c r="N136" s="13"/>
      <c r="O136" s="14"/>
      <c r="P136" s="14"/>
      <c r="Q136" s="14"/>
      <c r="R136" s="14"/>
      <c r="S136" s="14"/>
      <c r="T136" s="5"/>
      <c r="U136" s="5"/>
      <c r="V136" s="5"/>
      <c r="W136" s="5"/>
      <c r="X136" s="5"/>
    </row>
    <row r="137" spans="1:24" ht="15.75" customHeight="1" thickBot="1">
      <c r="A137" s="1">
        <v>30802</v>
      </c>
      <c r="B137" s="2" t="s">
        <v>22</v>
      </c>
      <c r="C137" s="2" t="s">
        <v>193</v>
      </c>
      <c r="D137" s="3" t="s">
        <v>195</v>
      </c>
      <c r="E137" s="30">
        <v>77.567667779013718</v>
      </c>
      <c r="F137" s="31">
        <v>85.137549124687382</v>
      </c>
      <c r="G137" s="34">
        <v>53</v>
      </c>
      <c r="H137" s="35">
        <v>70</v>
      </c>
      <c r="I137" s="9">
        <f t="shared" si="15"/>
        <v>0.68327437858508611</v>
      </c>
      <c r="J137" s="9">
        <f t="shared" si="16"/>
        <v>1.320754716981132</v>
      </c>
      <c r="K137" s="5"/>
      <c r="L137" s="6"/>
      <c r="M137" s="6"/>
      <c r="N137" s="13"/>
      <c r="O137" s="14"/>
      <c r="P137" s="14"/>
      <c r="Q137" s="14"/>
      <c r="R137" s="14"/>
      <c r="S137" s="14"/>
      <c r="T137" s="5"/>
      <c r="U137" s="5"/>
      <c r="V137" s="5"/>
      <c r="W137" s="5"/>
      <c r="X137" s="5"/>
    </row>
    <row r="138" spans="1:24" ht="15.75" customHeight="1" thickBot="1">
      <c r="A138" s="1">
        <v>30803</v>
      </c>
      <c r="B138" s="2" t="s">
        <v>22</v>
      </c>
      <c r="C138" s="2" t="s">
        <v>193</v>
      </c>
      <c r="D138" s="3" t="s">
        <v>196</v>
      </c>
      <c r="E138" s="30">
        <v>59.980620155038757</v>
      </c>
      <c r="F138" s="31">
        <v>68.855638681075092</v>
      </c>
      <c r="G138" s="34">
        <v>41</v>
      </c>
      <c r="H138" s="35">
        <v>67</v>
      </c>
      <c r="I138" s="9">
        <f t="shared" si="15"/>
        <v>0.68355411954765755</v>
      </c>
      <c r="J138" s="9">
        <f t="shared" si="16"/>
        <v>1.6341463414634145</v>
      </c>
      <c r="K138" s="5"/>
      <c r="L138" s="6"/>
      <c r="M138" s="6"/>
      <c r="N138" s="13"/>
      <c r="O138" s="14"/>
      <c r="P138" s="14"/>
      <c r="Q138" s="14"/>
      <c r="R138" s="14"/>
      <c r="S138" s="14"/>
      <c r="T138" s="5"/>
      <c r="U138" s="5"/>
      <c r="V138" s="5"/>
      <c r="W138" s="5"/>
      <c r="X138" s="5"/>
    </row>
    <row r="139" spans="1:24" ht="15.75" customHeight="1" thickBot="1">
      <c r="A139" s="1">
        <v>30901</v>
      </c>
      <c r="B139" s="2" t="s">
        <v>22</v>
      </c>
      <c r="C139" s="2" t="s">
        <v>197</v>
      </c>
      <c r="D139" s="3" t="s">
        <v>197</v>
      </c>
      <c r="E139" s="30">
        <v>72.03488623116445</v>
      </c>
      <c r="F139" s="31">
        <v>75.746749342997987</v>
      </c>
      <c r="G139" s="34">
        <v>50</v>
      </c>
      <c r="H139" s="35">
        <v>62</v>
      </c>
      <c r="I139" s="9">
        <f t="shared" si="15"/>
        <v>0.69410812754735085</v>
      </c>
      <c r="J139" s="9">
        <f t="shared" si="16"/>
        <v>1.24</v>
      </c>
      <c r="K139" s="5"/>
      <c r="L139" s="6"/>
      <c r="M139" s="6"/>
      <c r="N139" s="13"/>
      <c r="O139" s="14"/>
      <c r="P139" s="14"/>
      <c r="Q139" s="14"/>
      <c r="R139" s="14"/>
      <c r="S139" s="14"/>
      <c r="T139" s="5"/>
      <c r="U139" s="5"/>
      <c r="V139" s="5"/>
      <c r="W139" s="5"/>
      <c r="X139" s="5"/>
    </row>
    <row r="140" spans="1:24" ht="15.75" customHeight="1" thickBot="1">
      <c r="A140" s="1">
        <v>30902</v>
      </c>
      <c r="B140" s="2" t="s">
        <v>22</v>
      </c>
      <c r="C140" s="2" t="s">
        <v>197</v>
      </c>
      <c r="D140" s="3" t="s">
        <v>198</v>
      </c>
      <c r="E140" s="30">
        <v>77.570921985815602</v>
      </c>
      <c r="F140" s="31">
        <v>80.869178120304937</v>
      </c>
      <c r="G140" s="34">
        <v>51</v>
      </c>
      <c r="H140" s="35">
        <v>63</v>
      </c>
      <c r="I140" s="9">
        <f t="shared" si="15"/>
        <v>0.65746285714285713</v>
      </c>
      <c r="J140" s="9">
        <f t="shared" si="16"/>
        <v>1.2352941176470589</v>
      </c>
      <c r="K140" s="5"/>
      <c r="L140" s="6"/>
      <c r="M140" s="6"/>
      <c r="N140" s="13"/>
      <c r="O140" s="14"/>
      <c r="P140" s="14"/>
      <c r="Q140" s="14"/>
      <c r="R140" s="14"/>
      <c r="S140" s="14"/>
      <c r="T140" s="5"/>
      <c r="U140" s="5"/>
      <c r="V140" s="5"/>
      <c r="W140" s="5"/>
      <c r="X140" s="5"/>
    </row>
    <row r="141" spans="1:24" ht="15.75" customHeight="1" thickBot="1">
      <c r="A141" s="1">
        <v>30903</v>
      </c>
      <c r="B141" s="2" t="s">
        <v>22</v>
      </c>
      <c r="C141" s="2" t="s">
        <v>197</v>
      </c>
      <c r="D141" s="3" t="s">
        <v>199</v>
      </c>
      <c r="E141" s="30">
        <v>74.392813574359536</v>
      </c>
      <c r="F141" s="31">
        <v>76.774964385827857</v>
      </c>
      <c r="G141" s="34">
        <v>53</v>
      </c>
      <c r="H141" s="35">
        <v>64</v>
      </c>
      <c r="I141" s="9">
        <f t="shared" si="15"/>
        <v>0.71243440667859281</v>
      </c>
      <c r="J141" s="9">
        <f t="shared" si="16"/>
        <v>1.2075471698113207</v>
      </c>
      <c r="K141" s="5"/>
      <c r="L141" s="6"/>
      <c r="M141" s="6"/>
      <c r="N141" s="13"/>
      <c r="O141" s="14"/>
      <c r="P141" s="14"/>
      <c r="Q141" s="14"/>
      <c r="R141" s="14"/>
      <c r="S141" s="14"/>
      <c r="T141" s="5"/>
      <c r="U141" s="5"/>
      <c r="V141" s="5"/>
      <c r="W141" s="5"/>
      <c r="X141" s="5"/>
    </row>
    <row r="142" spans="1:24" ht="15.75" customHeight="1" thickBot="1">
      <c r="A142" s="1">
        <v>30904</v>
      </c>
      <c r="B142" s="2" t="s">
        <v>22</v>
      </c>
      <c r="C142" s="2" t="s">
        <v>197</v>
      </c>
      <c r="D142" s="3" t="s">
        <v>200</v>
      </c>
      <c r="E142" s="30">
        <v>74.216482019076963</v>
      </c>
      <c r="F142" s="31">
        <v>77.613125165387657</v>
      </c>
      <c r="G142" s="34">
        <v>49</v>
      </c>
      <c r="H142" s="35">
        <v>62</v>
      </c>
      <c r="I142" s="9">
        <f t="shared" si="15"/>
        <v>0.66023070168436171</v>
      </c>
      <c r="J142" s="9">
        <f t="shared" si="16"/>
        <v>1.2653061224489797</v>
      </c>
      <c r="K142" s="5"/>
      <c r="L142" s="6"/>
      <c r="M142" s="6"/>
      <c r="N142" s="13"/>
      <c r="O142" s="14"/>
      <c r="P142" s="14"/>
      <c r="Q142" s="14"/>
      <c r="R142" s="14"/>
      <c r="S142" s="14"/>
      <c r="T142" s="5"/>
      <c r="U142" s="5"/>
      <c r="V142" s="5"/>
      <c r="W142" s="5"/>
      <c r="X142" s="5"/>
    </row>
    <row r="143" spans="1:24" ht="15.75" customHeight="1" thickBot="1">
      <c r="A143" s="1">
        <v>30905</v>
      </c>
      <c r="B143" s="2" t="s">
        <v>22</v>
      </c>
      <c r="C143" s="2" t="s">
        <v>197</v>
      </c>
      <c r="D143" s="3" t="s">
        <v>201</v>
      </c>
      <c r="E143" s="30">
        <v>72.06109395677106</v>
      </c>
      <c r="F143" s="31">
        <v>74.605487779489536</v>
      </c>
      <c r="G143" s="34">
        <v>49</v>
      </c>
      <c r="H143" s="35">
        <v>61</v>
      </c>
      <c r="I143" s="9">
        <f t="shared" si="15"/>
        <v>0.67997857525441885</v>
      </c>
      <c r="J143" s="9">
        <f t="shared" si="16"/>
        <v>1.2448979591836735</v>
      </c>
      <c r="K143" s="5"/>
      <c r="L143" s="6"/>
      <c r="M143" s="6"/>
      <c r="N143" s="13"/>
      <c r="O143" s="14"/>
      <c r="P143" s="14"/>
      <c r="Q143" s="14"/>
      <c r="R143" s="14"/>
      <c r="S143" s="14"/>
      <c r="T143" s="5"/>
      <c r="U143" s="5"/>
      <c r="V143" s="5"/>
      <c r="W143" s="5"/>
      <c r="X143" s="5"/>
    </row>
    <row r="144" spans="1:24" ht="15.75" customHeight="1" thickBot="1">
      <c r="A144" s="1">
        <v>31001</v>
      </c>
      <c r="B144" s="2" t="s">
        <v>22</v>
      </c>
      <c r="C144" s="2" t="s">
        <v>202</v>
      </c>
      <c r="D144" s="3" t="s">
        <v>203</v>
      </c>
      <c r="E144" s="30">
        <v>73.989877326928024</v>
      </c>
      <c r="F144" s="31">
        <v>76.931269890155022</v>
      </c>
      <c r="G144" s="34">
        <v>49</v>
      </c>
      <c r="H144" s="35">
        <v>61</v>
      </c>
      <c r="I144" s="9">
        <f t="shared" si="15"/>
        <v>0.66225275362318847</v>
      </c>
      <c r="J144" s="9">
        <f t="shared" si="16"/>
        <v>1.2448979591836735</v>
      </c>
      <c r="K144" s="5"/>
      <c r="L144" s="6"/>
      <c r="M144" s="6"/>
      <c r="N144" s="13"/>
      <c r="O144" s="14"/>
      <c r="P144" s="14"/>
      <c r="Q144" s="14"/>
      <c r="R144" s="14"/>
      <c r="S144" s="14"/>
      <c r="T144" s="5"/>
      <c r="U144" s="5"/>
      <c r="V144" s="5"/>
      <c r="W144" s="5"/>
      <c r="X144" s="5"/>
    </row>
    <row r="145" spans="1:24" ht="15.75" customHeight="1" thickBot="1">
      <c r="A145" s="1">
        <v>31002</v>
      </c>
      <c r="B145" s="2" t="s">
        <v>22</v>
      </c>
      <c r="C145" s="2" t="s">
        <v>202</v>
      </c>
      <c r="D145" s="3" t="s">
        <v>204</v>
      </c>
      <c r="E145" s="30">
        <v>83.26729655592807</v>
      </c>
      <c r="F145" s="31">
        <v>88.465447154471548</v>
      </c>
      <c r="G145" s="34">
        <v>62</v>
      </c>
      <c r="H145" s="35">
        <v>78</v>
      </c>
      <c r="I145" s="9">
        <f t="shared" si="15"/>
        <v>0.7445900439238653</v>
      </c>
      <c r="J145" s="9">
        <f t="shared" si="16"/>
        <v>1.2580645161290323</v>
      </c>
      <c r="K145" s="5"/>
      <c r="L145" s="6"/>
      <c r="M145" s="6"/>
      <c r="N145" s="13"/>
      <c r="O145" s="14"/>
      <c r="P145" s="14"/>
      <c r="Q145" s="14"/>
      <c r="R145" s="14"/>
      <c r="S145" s="14"/>
      <c r="T145" s="5"/>
      <c r="U145" s="5"/>
      <c r="V145" s="5"/>
      <c r="W145" s="5"/>
      <c r="X145" s="5"/>
    </row>
    <row r="146" spans="1:24" ht="15.75" customHeight="1" thickBot="1">
      <c r="A146" s="1">
        <v>31003</v>
      </c>
      <c r="B146" s="2" t="s">
        <v>22</v>
      </c>
      <c r="C146" s="2" t="s">
        <v>202</v>
      </c>
      <c r="D146" s="3" t="s">
        <v>205</v>
      </c>
      <c r="E146" s="30">
        <v>85.564459544296326</v>
      </c>
      <c r="F146" s="31">
        <v>89.900708428627212</v>
      </c>
      <c r="G146" s="34">
        <v>62</v>
      </c>
      <c r="H146" s="35">
        <v>75</v>
      </c>
      <c r="I146" s="9">
        <f t="shared" si="15"/>
        <v>0.72459991368148458</v>
      </c>
      <c r="J146" s="9">
        <f t="shared" si="16"/>
        <v>1.2096774193548387</v>
      </c>
      <c r="K146" s="5"/>
      <c r="L146" s="6"/>
      <c r="M146" s="6"/>
      <c r="N146" s="13"/>
      <c r="O146" s="14"/>
      <c r="P146" s="14"/>
      <c r="Q146" s="14"/>
      <c r="R146" s="14"/>
      <c r="S146" s="14"/>
      <c r="T146" s="5"/>
      <c r="U146" s="5"/>
      <c r="V146" s="5"/>
      <c r="W146" s="5"/>
      <c r="X146" s="5"/>
    </row>
    <row r="147" spans="1:24" ht="15.75" customHeight="1" thickBot="1">
      <c r="A147" s="1">
        <v>31101</v>
      </c>
      <c r="B147" s="2" t="s">
        <v>22</v>
      </c>
      <c r="C147" s="2" t="s">
        <v>206</v>
      </c>
      <c r="D147" s="3" t="s">
        <v>206</v>
      </c>
      <c r="E147" s="30">
        <v>85.274336283185832</v>
      </c>
      <c r="F147" s="31">
        <v>88.568866972991145</v>
      </c>
      <c r="G147" s="34">
        <v>65</v>
      </c>
      <c r="H147" s="35">
        <v>76</v>
      </c>
      <c r="I147" s="9">
        <f t="shared" si="15"/>
        <v>0.76224574512245757</v>
      </c>
      <c r="J147" s="9">
        <f t="shared" si="16"/>
        <v>1.1692307692307693</v>
      </c>
      <c r="K147" s="5"/>
      <c r="L147" s="6"/>
      <c r="M147" s="6"/>
      <c r="N147" s="13"/>
      <c r="O147" s="14"/>
      <c r="P147" s="14"/>
      <c r="Q147" s="14"/>
      <c r="R147" s="14"/>
      <c r="S147" s="14"/>
      <c r="T147" s="5"/>
      <c r="U147" s="5"/>
      <c r="V147" s="5"/>
      <c r="W147" s="5"/>
      <c r="X147" s="5"/>
    </row>
    <row r="148" spans="1:24" ht="15.75" customHeight="1" thickBot="1">
      <c r="A148" s="1">
        <v>31201</v>
      </c>
      <c r="B148" s="2" t="s">
        <v>22</v>
      </c>
      <c r="C148" s="2" t="s">
        <v>207</v>
      </c>
      <c r="D148" s="3" t="s">
        <v>208</v>
      </c>
      <c r="E148" s="30">
        <v>88.278902023642559</v>
      </c>
      <c r="F148" s="31">
        <v>92.344497607655512</v>
      </c>
      <c r="G148" s="34">
        <v>64</v>
      </c>
      <c r="H148" s="35">
        <v>82</v>
      </c>
      <c r="I148" s="9">
        <f t="shared" si="15"/>
        <v>0.72497503404448482</v>
      </c>
      <c r="J148" s="9">
        <f t="shared" si="16"/>
        <v>1.28125</v>
      </c>
      <c r="K148" s="5"/>
      <c r="L148" s="6"/>
      <c r="M148" s="6"/>
      <c r="N148" s="13"/>
      <c r="O148" s="14"/>
      <c r="P148" s="14"/>
      <c r="Q148" s="14"/>
      <c r="R148" s="14"/>
      <c r="S148" s="14"/>
      <c r="T148" s="5"/>
      <c r="U148" s="5"/>
      <c r="V148" s="5"/>
      <c r="W148" s="5"/>
      <c r="X148" s="5"/>
    </row>
    <row r="149" spans="1:24" ht="15.75" customHeight="1" thickBot="1">
      <c r="A149" s="1">
        <v>31202</v>
      </c>
      <c r="B149" s="2" t="s">
        <v>22</v>
      </c>
      <c r="C149" s="2" t="s">
        <v>207</v>
      </c>
      <c r="D149" s="3" t="s">
        <v>209</v>
      </c>
      <c r="E149" s="30">
        <v>85.680956547098276</v>
      </c>
      <c r="F149" s="31">
        <v>90.384615384615387</v>
      </c>
      <c r="G149" s="34">
        <v>65</v>
      </c>
      <c r="H149" s="35">
        <v>79</v>
      </c>
      <c r="I149" s="9">
        <f t="shared" si="15"/>
        <v>0.75862831858407087</v>
      </c>
      <c r="J149" s="9">
        <f t="shared" si="16"/>
        <v>1.2153846153846153</v>
      </c>
      <c r="K149" s="5"/>
      <c r="L149" s="6"/>
      <c r="M149" s="6"/>
      <c r="N149" s="13"/>
      <c r="O149" s="14"/>
      <c r="P149" s="14"/>
      <c r="Q149" s="14"/>
      <c r="R149" s="14"/>
      <c r="S149" s="14"/>
      <c r="T149" s="5"/>
      <c r="U149" s="5"/>
      <c r="V149" s="5"/>
      <c r="W149" s="5"/>
      <c r="X149" s="5"/>
    </row>
    <row r="150" spans="1:24" ht="15.75" customHeight="1" thickBot="1">
      <c r="A150" s="1">
        <v>31203</v>
      </c>
      <c r="B150" s="2" t="s">
        <v>22</v>
      </c>
      <c r="C150" s="2" t="s">
        <v>207</v>
      </c>
      <c r="D150" s="3" t="s">
        <v>210</v>
      </c>
      <c r="E150" s="30">
        <v>87.908324552160167</v>
      </c>
      <c r="F150" s="31">
        <v>91.625835189309583</v>
      </c>
      <c r="G150" s="34">
        <v>68</v>
      </c>
      <c r="H150" s="35">
        <v>77</v>
      </c>
      <c r="I150" s="9">
        <f t="shared" si="15"/>
        <v>0.77353311357506749</v>
      </c>
      <c r="J150" s="9">
        <f t="shared" si="16"/>
        <v>1.1323529411764706</v>
      </c>
      <c r="K150" s="5"/>
      <c r="L150" s="6"/>
      <c r="M150" s="6"/>
      <c r="N150" s="13"/>
      <c r="O150" s="14"/>
      <c r="P150" s="14"/>
      <c r="Q150" s="14"/>
      <c r="R150" s="14"/>
      <c r="S150" s="14"/>
      <c r="T150" s="5"/>
      <c r="U150" s="5"/>
      <c r="V150" s="5"/>
      <c r="W150" s="5"/>
      <c r="X150" s="5"/>
    </row>
    <row r="151" spans="1:24" ht="15.75" customHeight="1" thickBot="1">
      <c r="A151" s="1">
        <v>31204</v>
      </c>
      <c r="B151" s="2" t="s">
        <v>22</v>
      </c>
      <c r="C151" s="2" t="s">
        <v>207</v>
      </c>
      <c r="D151" s="3" t="s">
        <v>211</v>
      </c>
      <c r="E151" s="30">
        <v>84.159036749027976</v>
      </c>
      <c r="F151" s="31">
        <v>87.400211599499855</v>
      </c>
      <c r="G151" s="34">
        <v>60</v>
      </c>
      <c r="H151" s="35">
        <v>72</v>
      </c>
      <c r="I151" s="9">
        <f t="shared" si="15"/>
        <v>0.7129359165424739</v>
      </c>
      <c r="J151" s="9">
        <f t="shared" si="16"/>
        <v>1.2</v>
      </c>
      <c r="K151" s="5"/>
      <c r="L151" s="6"/>
      <c r="M151" s="6"/>
      <c r="N151" s="13"/>
      <c r="O151" s="14"/>
      <c r="P151" s="14"/>
      <c r="Q151" s="14"/>
      <c r="R151" s="14"/>
      <c r="S151" s="14"/>
      <c r="T151" s="5"/>
      <c r="U151" s="5"/>
      <c r="V151" s="5"/>
      <c r="W151" s="5"/>
      <c r="X151" s="5"/>
    </row>
    <row r="152" spans="1:24" ht="15.75" customHeight="1" thickBot="1">
      <c r="A152" s="1">
        <v>31205</v>
      </c>
      <c r="B152" s="2" t="s">
        <v>22</v>
      </c>
      <c r="C152" s="2" t="s">
        <v>207</v>
      </c>
      <c r="D152" s="3" t="s">
        <v>212</v>
      </c>
      <c r="E152" s="30">
        <v>84.3998351680697</v>
      </c>
      <c r="F152" s="31">
        <v>89.769679424411436</v>
      </c>
      <c r="G152" s="34">
        <v>60</v>
      </c>
      <c r="H152" s="35">
        <v>73</v>
      </c>
      <c r="I152" s="9">
        <f t="shared" si="15"/>
        <v>0.71090186231429164</v>
      </c>
      <c r="J152" s="9">
        <f t="shared" si="16"/>
        <v>1.2166666666666666</v>
      </c>
      <c r="K152" s="5"/>
      <c r="L152" s="6"/>
      <c r="M152" s="6"/>
      <c r="N152" s="13"/>
      <c r="O152" s="14"/>
      <c r="P152" s="14"/>
      <c r="Q152" s="14"/>
      <c r="R152" s="14"/>
      <c r="S152" s="14"/>
      <c r="T152" s="5"/>
      <c r="U152" s="5"/>
      <c r="V152" s="5"/>
      <c r="W152" s="5"/>
      <c r="X152" s="5"/>
    </row>
    <row r="153" spans="1:24" ht="15.75" customHeight="1" thickBot="1">
      <c r="A153" s="1">
        <v>31206</v>
      </c>
      <c r="B153" s="2" t="s">
        <v>22</v>
      </c>
      <c r="C153" s="2" t="s">
        <v>207</v>
      </c>
      <c r="D153" s="3" t="s">
        <v>213</v>
      </c>
      <c r="E153" s="30">
        <v>81.728118538938659</v>
      </c>
      <c r="F153" s="31">
        <v>87.178408271219041</v>
      </c>
      <c r="G153" s="34">
        <v>56</v>
      </c>
      <c r="H153" s="35">
        <v>69</v>
      </c>
      <c r="I153" s="9">
        <f t="shared" si="15"/>
        <v>0.68519869294824498</v>
      </c>
      <c r="J153" s="9">
        <f t="shared" si="16"/>
        <v>1.2321428571428572</v>
      </c>
      <c r="K153" s="5"/>
      <c r="L153" s="6"/>
      <c r="M153" s="6"/>
      <c r="N153" s="13"/>
      <c r="O153" s="14"/>
      <c r="P153" s="14"/>
      <c r="Q153" s="14"/>
      <c r="R153" s="14"/>
      <c r="S153" s="14"/>
      <c r="T153" s="5"/>
      <c r="U153" s="5"/>
      <c r="V153" s="5"/>
      <c r="W153" s="5"/>
      <c r="X153" s="5"/>
    </row>
    <row r="154" spans="1:24" ht="15.75" customHeight="1" thickBot="1">
      <c r="A154" s="1">
        <v>31301</v>
      </c>
      <c r="B154" s="2" t="s">
        <v>22</v>
      </c>
      <c r="C154" s="2" t="s">
        <v>214</v>
      </c>
      <c r="D154" s="3" t="s">
        <v>214</v>
      </c>
      <c r="E154" s="30">
        <v>85.212320574162675</v>
      </c>
      <c r="F154" s="31">
        <v>88.587273788674835</v>
      </c>
      <c r="G154" s="34">
        <v>54</v>
      </c>
      <c r="H154" s="35">
        <v>74</v>
      </c>
      <c r="I154" s="9">
        <f t="shared" si="15"/>
        <v>0.63371117739954386</v>
      </c>
      <c r="J154" s="9">
        <f t="shared" si="16"/>
        <v>1.3703703703703705</v>
      </c>
      <c r="K154" s="5"/>
      <c r="L154" s="6"/>
      <c r="M154" s="6"/>
      <c r="N154" s="13"/>
      <c r="O154" s="14"/>
      <c r="P154" s="14"/>
      <c r="Q154" s="14"/>
      <c r="R154" s="14"/>
      <c r="S154" s="14"/>
      <c r="T154" s="5"/>
      <c r="U154" s="5"/>
      <c r="V154" s="5"/>
      <c r="W154" s="5"/>
      <c r="X154" s="5"/>
    </row>
    <row r="155" spans="1:24" ht="15.75" customHeight="1" thickBot="1">
      <c r="A155" s="1">
        <v>31302</v>
      </c>
      <c r="B155" s="2" t="s">
        <v>22</v>
      </c>
      <c r="C155" s="2" t="s">
        <v>214</v>
      </c>
      <c r="D155" s="3" t="s">
        <v>215</v>
      </c>
      <c r="E155" s="30">
        <v>82.514619883040936</v>
      </c>
      <c r="F155" s="31">
        <v>81.271676300578036</v>
      </c>
      <c r="G155" s="34">
        <v>59</v>
      </c>
      <c r="H155" s="35">
        <v>68</v>
      </c>
      <c r="I155" s="9">
        <f t="shared" si="15"/>
        <v>0.71502480510276401</v>
      </c>
      <c r="J155" s="9">
        <f t="shared" si="16"/>
        <v>1.152542372881356</v>
      </c>
      <c r="K155" s="5"/>
      <c r="L155" s="6"/>
      <c r="M155" s="6"/>
      <c r="N155" s="13"/>
      <c r="O155" s="14"/>
      <c r="P155" s="14"/>
      <c r="Q155" s="14"/>
      <c r="R155" s="14"/>
      <c r="S155" s="14"/>
      <c r="T155" s="5"/>
      <c r="U155" s="5"/>
      <c r="V155" s="5"/>
      <c r="W155" s="5"/>
      <c r="X155" s="5"/>
    </row>
    <row r="156" spans="1:24" ht="15.75" customHeight="1" thickBot="1">
      <c r="A156" s="1">
        <v>31303</v>
      </c>
      <c r="B156" s="2" t="s">
        <v>22</v>
      </c>
      <c r="C156" s="2" t="s">
        <v>214</v>
      </c>
      <c r="D156" s="3" t="s">
        <v>216</v>
      </c>
      <c r="E156" s="30">
        <v>84.007187780772682</v>
      </c>
      <c r="F156" s="31">
        <v>86.129266521423389</v>
      </c>
      <c r="G156" s="34">
        <v>54</v>
      </c>
      <c r="H156" s="35">
        <v>74</v>
      </c>
      <c r="I156" s="9">
        <f t="shared" si="15"/>
        <v>0.64280213903743322</v>
      </c>
      <c r="J156" s="9">
        <f t="shared" si="16"/>
        <v>1.3703703703703705</v>
      </c>
      <c r="K156" s="5"/>
      <c r="L156" s="6"/>
      <c r="M156" s="6"/>
      <c r="N156" s="13"/>
      <c r="O156" s="14"/>
      <c r="P156" s="14"/>
      <c r="Q156" s="14"/>
      <c r="R156" s="14"/>
      <c r="S156" s="14"/>
      <c r="T156" s="5"/>
      <c r="U156" s="5"/>
      <c r="V156" s="5"/>
      <c r="W156" s="5"/>
      <c r="X156" s="5"/>
    </row>
    <row r="157" spans="1:24" ht="15.75" customHeight="1" thickBot="1">
      <c r="A157" s="1">
        <v>31304</v>
      </c>
      <c r="B157" s="2" t="s">
        <v>22</v>
      </c>
      <c r="C157" s="2" t="s">
        <v>214</v>
      </c>
      <c r="D157" s="3" t="s">
        <v>217</v>
      </c>
      <c r="E157" s="30">
        <v>92.158516020236092</v>
      </c>
      <c r="F157" s="31">
        <v>87.82074448861583</v>
      </c>
      <c r="G157" s="34">
        <v>69</v>
      </c>
      <c r="H157" s="35">
        <v>74</v>
      </c>
      <c r="I157" s="9">
        <f t="shared" si="15"/>
        <v>0.74870997255260752</v>
      </c>
      <c r="J157" s="9">
        <f t="shared" si="16"/>
        <v>1.0724637681159421</v>
      </c>
      <c r="K157" s="5"/>
      <c r="L157" s="6"/>
      <c r="M157" s="6"/>
      <c r="N157" s="13"/>
      <c r="O157" s="14"/>
      <c r="P157" s="14"/>
      <c r="Q157" s="14"/>
      <c r="R157" s="14"/>
      <c r="S157" s="14"/>
      <c r="T157" s="5"/>
      <c r="U157" s="5"/>
      <c r="V157" s="5"/>
      <c r="W157" s="5"/>
      <c r="X157" s="5"/>
    </row>
    <row r="158" spans="1:24" ht="15.75" customHeight="1" thickBot="1">
      <c r="A158" s="1">
        <v>31401</v>
      </c>
      <c r="B158" s="2" t="s">
        <v>22</v>
      </c>
      <c r="C158" s="2" t="s">
        <v>218</v>
      </c>
      <c r="D158" s="3" t="s">
        <v>218</v>
      </c>
      <c r="E158" s="30">
        <v>71.273066556085425</v>
      </c>
      <c r="F158" s="31">
        <v>80.644090305444877</v>
      </c>
      <c r="G158" s="34">
        <v>54</v>
      </c>
      <c r="H158" s="35">
        <v>69</v>
      </c>
      <c r="I158" s="9">
        <f t="shared" si="15"/>
        <v>0.75764945454545451</v>
      </c>
      <c r="J158" s="9">
        <f t="shared" si="16"/>
        <v>1.2777777777777777</v>
      </c>
      <c r="K158" s="5"/>
      <c r="L158" s="6"/>
      <c r="M158" s="6"/>
      <c r="N158" s="13"/>
      <c r="O158" s="14"/>
      <c r="P158" s="14"/>
      <c r="Q158" s="14"/>
      <c r="R158" s="14"/>
      <c r="S158" s="14"/>
      <c r="T158" s="5"/>
      <c r="U158" s="5"/>
      <c r="V158" s="5"/>
      <c r="W158" s="5"/>
      <c r="X158" s="5"/>
    </row>
    <row r="159" spans="1:24" ht="15.75" customHeight="1" thickBot="1">
      <c r="A159" s="1">
        <v>31402</v>
      </c>
      <c r="B159" s="2" t="s">
        <v>22</v>
      </c>
      <c r="C159" s="2" t="s">
        <v>218</v>
      </c>
      <c r="D159" s="3" t="s">
        <v>219</v>
      </c>
      <c r="E159" s="30">
        <v>74.036363636363632</v>
      </c>
      <c r="F159" s="31">
        <v>85.690626035110967</v>
      </c>
      <c r="G159" s="34">
        <v>49</v>
      </c>
      <c r="H159" s="35">
        <v>73</v>
      </c>
      <c r="I159" s="9">
        <f t="shared" si="15"/>
        <v>0.66183693516699416</v>
      </c>
      <c r="J159" s="9">
        <f t="shared" si="16"/>
        <v>1.489795918367347</v>
      </c>
      <c r="K159" s="5"/>
      <c r="L159" s="6"/>
      <c r="M159" s="6"/>
      <c r="N159" s="13"/>
      <c r="O159" s="14"/>
      <c r="P159" s="14"/>
      <c r="Q159" s="14"/>
      <c r="R159" s="14"/>
      <c r="S159" s="14"/>
      <c r="T159" s="5"/>
      <c r="U159" s="5"/>
      <c r="V159" s="5"/>
      <c r="W159" s="5"/>
      <c r="X159" s="5"/>
    </row>
    <row r="160" spans="1:24" ht="15.75" customHeight="1" thickBot="1">
      <c r="A160" s="1">
        <v>31403</v>
      </c>
      <c r="B160" s="2" t="s">
        <v>22</v>
      </c>
      <c r="C160" s="2" t="s">
        <v>218</v>
      </c>
      <c r="D160" s="3" t="s">
        <v>220</v>
      </c>
      <c r="E160" s="30">
        <v>73.549083063646165</v>
      </c>
      <c r="F160" s="31">
        <v>81.658452967645161</v>
      </c>
      <c r="G160" s="34">
        <v>50</v>
      </c>
      <c r="H160" s="35">
        <v>71</v>
      </c>
      <c r="I160" s="9">
        <f t="shared" si="15"/>
        <v>0.67981812848342626</v>
      </c>
      <c r="J160" s="9">
        <f t="shared" si="16"/>
        <v>1.42</v>
      </c>
      <c r="K160" s="5"/>
      <c r="L160" s="6"/>
      <c r="M160" s="6"/>
      <c r="N160" s="13"/>
      <c r="O160" s="14"/>
      <c r="P160" s="14"/>
      <c r="Q160" s="14"/>
      <c r="R160" s="14"/>
      <c r="S160" s="14"/>
      <c r="T160" s="5"/>
      <c r="U160" s="5"/>
      <c r="V160" s="5"/>
      <c r="W160" s="5"/>
      <c r="X160" s="5"/>
    </row>
    <row r="161" spans="1:24" ht="15.75" customHeight="1" thickBot="1">
      <c r="A161" s="1">
        <v>31404</v>
      </c>
      <c r="B161" s="2" t="s">
        <v>22</v>
      </c>
      <c r="C161" s="2" t="s">
        <v>218</v>
      </c>
      <c r="D161" s="3" t="s">
        <v>221</v>
      </c>
      <c r="E161" s="30">
        <v>75.84650112866818</v>
      </c>
      <c r="F161" s="31">
        <v>84.051724137931032</v>
      </c>
      <c r="G161" s="34">
        <v>45</v>
      </c>
      <c r="H161" s="35">
        <v>73</v>
      </c>
      <c r="I161" s="9">
        <f t="shared" si="15"/>
        <v>0.59330357142857137</v>
      </c>
      <c r="J161" s="9">
        <f t="shared" si="16"/>
        <v>1.6222222222222222</v>
      </c>
      <c r="K161" s="5"/>
      <c r="L161" s="6"/>
      <c r="M161" s="6"/>
      <c r="N161" s="13"/>
      <c r="O161" s="14"/>
      <c r="P161" s="14"/>
      <c r="Q161" s="14"/>
      <c r="R161" s="14"/>
      <c r="S161" s="14"/>
      <c r="T161" s="5"/>
      <c r="U161" s="5"/>
      <c r="V161" s="5"/>
      <c r="W161" s="5"/>
      <c r="X161" s="5"/>
    </row>
    <row r="162" spans="1:24" ht="15.75" customHeight="1" thickBot="1">
      <c r="A162" s="1">
        <v>31405</v>
      </c>
      <c r="B162" s="2" t="s">
        <v>22</v>
      </c>
      <c r="C162" s="2" t="s">
        <v>218</v>
      </c>
      <c r="D162" s="3" t="s">
        <v>222</v>
      </c>
      <c r="E162" s="30">
        <v>78.111587982832617</v>
      </c>
      <c r="F162" s="31">
        <v>82.444918265813797</v>
      </c>
      <c r="G162" s="34">
        <v>56</v>
      </c>
      <c r="H162" s="35">
        <v>69</v>
      </c>
      <c r="I162" s="9">
        <f t="shared" si="15"/>
        <v>0.71692307692307689</v>
      </c>
      <c r="J162" s="9">
        <f t="shared" si="16"/>
        <v>1.2321428571428572</v>
      </c>
      <c r="K162" s="5"/>
      <c r="L162" s="6"/>
      <c r="M162" s="6"/>
      <c r="N162" s="13"/>
      <c r="O162" s="14"/>
      <c r="P162" s="14"/>
      <c r="Q162" s="14"/>
      <c r="R162" s="14"/>
      <c r="S162" s="14"/>
      <c r="T162" s="5"/>
      <c r="U162" s="5"/>
      <c r="V162" s="5"/>
      <c r="W162" s="5"/>
      <c r="X162" s="5"/>
    </row>
    <row r="163" spans="1:24" ht="15.75" customHeight="1" thickBot="1">
      <c r="A163" s="1">
        <v>31501</v>
      </c>
      <c r="B163" s="2" t="s">
        <v>22</v>
      </c>
      <c r="C163" s="2" t="s">
        <v>223</v>
      </c>
      <c r="D163" s="3" t="s">
        <v>223</v>
      </c>
      <c r="E163" s="30">
        <v>89.53744493392071</v>
      </c>
      <c r="F163" s="31">
        <v>85.810162991371044</v>
      </c>
      <c r="G163" s="34">
        <v>76</v>
      </c>
      <c r="H163" s="35">
        <v>74</v>
      </c>
      <c r="I163" s="9">
        <f t="shared" si="15"/>
        <v>0.84880688806888061</v>
      </c>
      <c r="J163" s="9">
        <f t="shared" si="16"/>
        <v>0.97368421052631582</v>
      </c>
      <c r="K163" s="5"/>
      <c r="L163" s="6"/>
      <c r="M163" s="6"/>
      <c r="N163" s="13"/>
      <c r="O163" s="14"/>
      <c r="P163" s="14"/>
      <c r="Q163" s="14"/>
      <c r="R163" s="14"/>
      <c r="S163" s="14"/>
      <c r="T163" s="5"/>
      <c r="U163" s="5"/>
      <c r="V163" s="5"/>
      <c r="W163" s="5"/>
      <c r="X163" s="5"/>
    </row>
    <row r="164" spans="1:24" ht="15.75" customHeight="1" thickBot="1">
      <c r="A164" s="1">
        <v>31601</v>
      </c>
      <c r="B164" s="2" t="s">
        <v>22</v>
      </c>
      <c r="C164" s="2" t="s">
        <v>224</v>
      </c>
      <c r="D164" s="3" t="s">
        <v>224</v>
      </c>
      <c r="E164" s="30">
        <v>83.367496339677899</v>
      </c>
      <c r="F164" s="31">
        <v>90.089137331923254</v>
      </c>
      <c r="G164" s="34">
        <v>60</v>
      </c>
      <c r="H164" s="35">
        <v>79</v>
      </c>
      <c r="I164" s="9">
        <f t="shared" si="15"/>
        <v>0.71970495258166489</v>
      </c>
      <c r="J164" s="9">
        <f t="shared" si="16"/>
        <v>1.3166666666666667</v>
      </c>
      <c r="K164" s="5"/>
      <c r="L164" s="6"/>
      <c r="M164" s="6"/>
      <c r="N164" s="13"/>
      <c r="O164" s="14"/>
      <c r="P164" s="14"/>
      <c r="Q164" s="14"/>
      <c r="R164" s="14"/>
      <c r="S164" s="14"/>
      <c r="T164" s="5"/>
      <c r="U164" s="5"/>
      <c r="V164" s="5"/>
      <c r="W164" s="5"/>
      <c r="X164" s="5"/>
    </row>
    <row r="165" spans="1:24" ht="15.75" customHeight="1" thickBot="1">
      <c r="A165" s="1">
        <v>31602</v>
      </c>
      <c r="B165" s="2" t="s">
        <v>22</v>
      </c>
      <c r="C165" s="2" t="s">
        <v>224</v>
      </c>
      <c r="D165" s="3" t="s">
        <v>225</v>
      </c>
      <c r="E165" s="30">
        <v>84.936806809388699</v>
      </c>
      <c r="F165" s="31">
        <v>87.669717389117977</v>
      </c>
      <c r="G165" s="34">
        <v>60</v>
      </c>
      <c r="H165" s="35">
        <v>73</v>
      </c>
      <c r="I165" s="9">
        <f t="shared" si="15"/>
        <v>0.70640753112663224</v>
      </c>
      <c r="J165" s="9">
        <f t="shared" si="16"/>
        <v>1.2166666666666666</v>
      </c>
      <c r="K165" s="5"/>
      <c r="L165" s="6"/>
      <c r="M165" s="6"/>
      <c r="N165" s="13"/>
      <c r="O165" s="14"/>
      <c r="P165" s="14"/>
      <c r="Q165" s="14"/>
      <c r="R165" s="14"/>
      <c r="S165" s="14"/>
      <c r="T165" s="5"/>
      <c r="U165" s="5"/>
      <c r="V165" s="5"/>
      <c r="W165" s="5"/>
      <c r="X165" s="5"/>
    </row>
    <row r="166" spans="1:24" ht="15.75" customHeight="1" thickBot="1">
      <c r="A166" s="1">
        <v>40101</v>
      </c>
      <c r="B166" s="2" t="s">
        <v>25</v>
      </c>
      <c r="C166" s="2" t="s">
        <v>172</v>
      </c>
      <c r="D166" s="3" t="s">
        <v>25</v>
      </c>
      <c r="E166" s="30">
        <v>68.59223796612477</v>
      </c>
      <c r="F166" s="31">
        <v>74.173513681109995</v>
      </c>
      <c r="G166" s="34">
        <v>49</v>
      </c>
      <c r="H166" s="35">
        <v>60</v>
      </c>
      <c r="I166" s="9">
        <f t="shared" si="15"/>
        <v>0.71436654427574342</v>
      </c>
      <c r="J166" s="9">
        <f t="shared" si="16"/>
        <v>1.2244897959183674</v>
      </c>
      <c r="K166" s="5"/>
      <c r="L166" s="6"/>
      <c r="M166" s="6"/>
      <c r="N166" s="13"/>
      <c r="O166" s="14"/>
      <c r="P166" s="14"/>
      <c r="Q166" s="14"/>
      <c r="R166" s="14"/>
      <c r="S166" s="14"/>
      <c r="T166" s="5"/>
      <c r="U166" s="5"/>
      <c r="V166" s="5"/>
      <c r="W166" s="5"/>
      <c r="X166" s="5"/>
    </row>
    <row r="167" spans="1:24" ht="15.75" customHeight="1" thickBot="1">
      <c r="A167" s="1">
        <v>40102</v>
      </c>
      <c r="B167" s="2" t="s">
        <v>25</v>
      </c>
      <c r="C167" s="2" t="s">
        <v>172</v>
      </c>
      <c r="D167" s="3" t="s">
        <v>226</v>
      </c>
      <c r="E167" s="30">
        <v>75.552731893265573</v>
      </c>
      <c r="F167" s="31">
        <v>82.378587864841961</v>
      </c>
      <c r="G167" s="34">
        <v>57</v>
      </c>
      <c r="H167" s="35">
        <v>70</v>
      </c>
      <c r="I167" s="9">
        <f t="shared" si="15"/>
        <v>0.75443995963673049</v>
      </c>
      <c r="J167" s="9">
        <f t="shared" si="16"/>
        <v>1.2280701754385965</v>
      </c>
      <c r="K167" s="5"/>
      <c r="L167" s="6"/>
      <c r="M167" s="6"/>
      <c r="N167" s="13"/>
      <c r="O167" s="14"/>
      <c r="P167" s="14"/>
      <c r="Q167" s="14"/>
      <c r="R167" s="14"/>
      <c r="S167" s="14"/>
      <c r="T167" s="5"/>
      <c r="U167" s="5"/>
      <c r="V167" s="5"/>
      <c r="W167" s="5"/>
      <c r="X167" s="5"/>
    </row>
    <row r="168" spans="1:24" ht="15.75" customHeight="1" thickBot="1">
      <c r="A168" s="1">
        <v>40103</v>
      </c>
      <c r="B168" s="2" t="s">
        <v>25</v>
      </c>
      <c r="C168" s="2" t="s">
        <v>172</v>
      </c>
      <c r="D168" s="3" t="s">
        <v>227</v>
      </c>
      <c r="E168" s="30">
        <v>81.104173512980609</v>
      </c>
      <c r="F168" s="31">
        <v>86.314021830394623</v>
      </c>
      <c r="G168" s="34">
        <v>75</v>
      </c>
      <c r="H168" s="35">
        <v>80</v>
      </c>
      <c r="I168" s="9">
        <f t="shared" si="15"/>
        <v>0.92473662884927066</v>
      </c>
      <c r="J168" s="9">
        <f t="shared" si="16"/>
        <v>1.0666666666666667</v>
      </c>
      <c r="K168" s="5"/>
      <c r="L168" s="6"/>
      <c r="M168" s="6"/>
      <c r="N168" s="13"/>
      <c r="O168" s="14"/>
      <c r="P168" s="14"/>
      <c r="Q168" s="14"/>
      <c r="R168" s="14"/>
      <c r="S168" s="14"/>
      <c r="T168" s="5"/>
      <c r="U168" s="5"/>
      <c r="V168" s="5"/>
      <c r="W168" s="5"/>
      <c r="X168" s="5"/>
    </row>
    <row r="169" spans="1:24" ht="15.75" customHeight="1" thickBot="1">
      <c r="A169" s="1">
        <v>40104</v>
      </c>
      <c r="B169" s="2" t="s">
        <v>25</v>
      </c>
      <c r="C169" s="2" t="s">
        <v>172</v>
      </c>
      <c r="D169" s="3" t="s">
        <v>228</v>
      </c>
      <c r="E169" s="30">
        <v>80.674108119938708</v>
      </c>
      <c r="F169" s="31">
        <v>87.924850555081122</v>
      </c>
      <c r="G169" s="34">
        <v>66</v>
      </c>
      <c r="H169" s="35">
        <v>77</v>
      </c>
      <c r="I169" s="9">
        <f t="shared" si="15"/>
        <v>0.81810634834508966</v>
      </c>
      <c r="J169" s="9">
        <f t="shared" si="16"/>
        <v>1.1666666666666667</v>
      </c>
      <c r="K169" s="5"/>
      <c r="L169" s="6"/>
      <c r="M169" s="6"/>
      <c r="N169" s="13"/>
      <c r="O169" s="14"/>
      <c r="P169" s="14"/>
      <c r="Q169" s="14"/>
      <c r="R169" s="14"/>
      <c r="S169" s="14"/>
      <c r="T169" s="5"/>
      <c r="U169" s="5"/>
      <c r="V169" s="5"/>
      <c r="W169" s="5"/>
      <c r="X169" s="5"/>
    </row>
    <row r="170" spans="1:24" ht="15.75" customHeight="1" thickBot="1">
      <c r="A170" s="1">
        <v>40201</v>
      </c>
      <c r="B170" s="2" t="s">
        <v>25</v>
      </c>
      <c r="C170" s="2" t="s">
        <v>229</v>
      </c>
      <c r="D170" s="3" t="s">
        <v>230</v>
      </c>
      <c r="E170" s="30">
        <v>75.477297457710947</v>
      </c>
      <c r="F170" s="31">
        <v>84.562926224426533</v>
      </c>
      <c r="G170" s="34">
        <v>62</v>
      </c>
      <c r="H170" s="35">
        <v>72</v>
      </c>
      <c r="I170" s="9">
        <f t="shared" si="15"/>
        <v>0.82143905635648762</v>
      </c>
      <c r="J170" s="9">
        <f t="shared" si="16"/>
        <v>1.1612903225806452</v>
      </c>
      <c r="K170" s="5"/>
      <c r="L170" s="6"/>
      <c r="M170" s="6"/>
      <c r="N170" s="13"/>
      <c r="O170" s="14"/>
      <c r="P170" s="14"/>
      <c r="Q170" s="14"/>
      <c r="R170" s="14"/>
      <c r="S170" s="14"/>
      <c r="T170" s="5"/>
      <c r="U170" s="5"/>
      <c r="V170" s="5"/>
      <c r="W170" s="5"/>
      <c r="X170" s="5"/>
    </row>
    <row r="171" spans="1:24" ht="15.75" customHeight="1" thickBot="1">
      <c r="A171" s="1">
        <v>40202</v>
      </c>
      <c r="B171" s="2" t="s">
        <v>25</v>
      </c>
      <c r="C171" s="2" t="s">
        <v>229</v>
      </c>
      <c r="D171" s="3" t="s">
        <v>231</v>
      </c>
      <c r="E171" s="30">
        <v>85.255570117955443</v>
      </c>
      <c r="F171" s="31">
        <v>85.30734632683658</v>
      </c>
      <c r="G171" s="34">
        <v>72</v>
      </c>
      <c r="H171" s="35">
        <v>74</v>
      </c>
      <c r="I171" s="9">
        <f t="shared" si="15"/>
        <v>0.84451960030745576</v>
      </c>
      <c r="J171" s="9">
        <f t="shared" si="16"/>
        <v>1.0277777777777777</v>
      </c>
      <c r="K171" s="5"/>
      <c r="L171" s="6"/>
      <c r="M171" s="6"/>
      <c r="N171" s="13"/>
      <c r="O171" s="14"/>
      <c r="P171" s="14"/>
      <c r="Q171" s="14"/>
      <c r="R171" s="14"/>
      <c r="S171" s="14"/>
      <c r="T171" s="5"/>
      <c r="U171" s="5"/>
      <c r="V171" s="5"/>
      <c r="W171" s="5"/>
      <c r="X171" s="5"/>
    </row>
    <row r="172" spans="1:24" ht="15.75" customHeight="1" thickBot="1">
      <c r="A172" s="1">
        <v>40301</v>
      </c>
      <c r="B172" s="2" t="s">
        <v>25</v>
      </c>
      <c r="C172" s="2" t="s">
        <v>232</v>
      </c>
      <c r="D172" s="3" t="s">
        <v>233</v>
      </c>
      <c r="E172" s="30">
        <v>74.833333333333329</v>
      </c>
      <c r="F172" s="31">
        <v>81.953472459801574</v>
      </c>
      <c r="G172" s="34">
        <v>56</v>
      </c>
      <c r="H172" s="35">
        <v>71</v>
      </c>
      <c r="I172" s="9">
        <f t="shared" si="15"/>
        <v>0.74832962138084635</v>
      </c>
      <c r="J172" s="9">
        <f t="shared" si="16"/>
        <v>1.2678571428571428</v>
      </c>
      <c r="K172" s="5"/>
      <c r="L172" s="6"/>
      <c r="M172" s="6"/>
      <c r="N172" s="13"/>
      <c r="O172" s="14"/>
      <c r="P172" s="14"/>
      <c r="Q172" s="14"/>
      <c r="R172" s="14"/>
      <c r="S172" s="14"/>
      <c r="T172" s="5"/>
      <c r="U172" s="5"/>
      <c r="V172" s="5"/>
      <c r="W172" s="5"/>
      <c r="X172" s="5"/>
    </row>
    <row r="173" spans="1:24" ht="15.75" customHeight="1" thickBot="1">
      <c r="A173" s="1">
        <v>40302</v>
      </c>
      <c r="B173" s="2" t="s">
        <v>25</v>
      </c>
      <c r="C173" s="2" t="s">
        <v>232</v>
      </c>
      <c r="D173" s="3" t="s">
        <v>234</v>
      </c>
      <c r="E173" s="30">
        <v>79.027355623100306</v>
      </c>
      <c r="F173" s="31">
        <v>81.38297872340425</v>
      </c>
      <c r="G173" s="34">
        <v>66</v>
      </c>
      <c r="H173" s="35">
        <v>76</v>
      </c>
      <c r="I173" s="9">
        <f t="shared" si="15"/>
        <v>0.83515384615384614</v>
      </c>
      <c r="J173" s="9">
        <f t="shared" si="16"/>
        <v>1.1515151515151516</v>
      </c>
      <c r="K173" s="5"/>
      <c r="L173" s="6"/>
      <c r="M173" s="6"/>
      <c r="N173" s="13"/>
      <c r="O173" s="14"/>
      <c r="P173" s="14"/>
      <c r="Q173" s="14"/>
      <c r="R173" s="14"/>
      <c r="S173" s="14"/>
      <c r="T173" s="5"/>
      <c r="U173" s="5"/>
      <c r="V173" s="5"/>
      <c r="W173" s="5"/>
      <c r="X173" s="5"/>
    </row>
    <row r="174" spans="1:24" ht="15.75" customHeight="1" thickBot="1">
      <c r="A174" s="1">
        <v>40401</v>
      </c>
      <c r="B174" s="2" t="s">
        <v>25</v>
      </c>
      <c r="C174" s="2" t="s">
        <v>235</v>
      </c>
      <c r="D174" s="3" t="s">
        <v>236</v>
      </c>
      <c r="E174" s="30">
        <v>67.119062307217774</v>
      </c>
      <c r="F174" s="31">
        <v>79.671764267064532</v>
      </c>
      <c r="G174" s="34">
        <v>60</v>
      </c>
      <c r="H174" s="35">
        <v>79</v>
      </c>
      <c r="I174" s="9">
        <f t="shared" si="15"/>
        <v>0.89393382352941164</v>
      </c>
      <c r="J174" s="9">
        <f t="shared" si="16"/>
        <v>1.3166666666666667</v>
      </c>
      <c r="K174" s="5"/>
      <c r="L174" s="6"/>
      <c r="M174" s="6"/>
      <c r="N174" s="13"/>
      <c r="O174" s="14"/>
      <c r="P174" s="14"/>
      <c r="Q174" s="14"/>
      <c r="R174" s="14"/>
      <c r="S174" s="14"/>
      <c r="T174" s="5"/>
      <c r="U174" s="5"/>
      <c r="V174" s="5"/>
      <c r="W174" s="5"/>
      <c r="X174" s="5"/>
    </row>
    <row r="175" spans="1:24" ht="15.75" customHeight="1" thickBot="1">
      <c r="A175" s="1">
        <v>40402</v>
      </c>
      <c r="B175" s="2" t="s">
        <v>25</v>
      </c>
      <c r="C175" s="2" t="s">
        <v>235</v>
      </c>
      <c r="D175" s="3" t="s">
        <v>237</v>
      </c>
      <c r="E175" s="30">
        <v>81.980094290204292</v>
      </c>
      <c r="F175" s="31">
        <v>87.637969094922738</v>
      </c>
      <c r="G175" s="34">
        <v>68</v>
      </c>
      <c r="H175" s="35">
        <v>78</v>
      </c>
      <c r="I175" s="9">
        <f t="shared" si="15"/>
        <v>0.82946964856230032</v>
      </c>
      <c r="J175" s="9">
        <f t="shared" si="16"/>
        <v>1.1470588235294117</v>
      </c>
      <c r="K175" s="5"/>
      <c r="L175" s="6"/>
      <c r="M175" s="6"/>
      <c r="N175" s="13"/>
      <c r="O175" s="14"/>
      <c r="P175" s="14"/>
      <c r="Q175" s="14"/>
      <c r="R175" s="14"/>
      <c r="S175" s="14"/>
      <c r="T175" s="5"/>
      <c r="U175" s="5"/>
      <c r="V175" s="5"/>
      <c r="W175" s="5"/>
      <c r="X175" s="5"/>
    </row>
    <row r="176" spans="1:24" ht="15.75" customHeight="1" thickBot="1">
      <c r="A176" s="1">
        <v>40501</v>
      </c>
      <c r="B176" s="2" t="s">
        <v>25</v>
      </c>
      <c r="C176" s="2" t="s">
        <v>238</v>
      </c>
      <c r="D176" s="3" t="s">
        <v>239</v>
      </c>
      <c r="E176" s="30">
        <v>37.197231833910031</v>
      </c>
      <c r="F176" s="31">
        <v>73.907455012853475</v>
      </c>
      <c r="G176" s="34">
        <v>54</v>
      </c>
      <c r="H176" s="35">
        <v>68</v>
      </c>
      <c r="I176" s="9">
        <f t="shared" si="15"/>
        <v>1.4517209302325582</v>
      </c>
      <c r="J176" s="9">
        <f t="shared" si="16"/>
        <v>1.2592592592592593</v>
      </c>
      <c r="K176" s="5"/>
      <c r="L176" s="6"/>
      <c r="M176" s="6"/>
      <c r="N176" s="13"/>
      <c r="O176" s="14"/>
      <c r="P176" s="14"/>
      <c r="Q176" s="14"/>
      <c r="R176" s="14"/>
      <c r="S176" s="14"/>
      <c r="T176" s="5"/>
      <c r="U176" s="5"/>
      <c r="V176" s="5"/>
      <c r="W176" s="5"/>
      <c r="X176" s="5"/>
    </row>
    <row r="177" spans="1:24" ht="15.75" customHeight="1" thickBot="1">
      <c r="A177" s="1">
        <v>40502</v>
      </c>
      <c r="B177" s="2" t="s">
        <v>25</v>
      </c>
      <c r="C177" s="2" t="s">
        <v>238</v>
      </c>
      <c r="D177" s="3" t="s">
        <v>240</v>
      </c>
      <c r="E177" s="30">
        <v>78.359173126614991</v>
      </c>
      <c r="F177" s="31">
        <v>78.422712933753942</v>
      </c>
      <c r="G177" s="34">
        <v>57</v>
      </c>
      <c r="H177" s="35">
        <v>68</v>
      </c>
      <c r="I177" s="9">
        <f t="shared" si="15"/>
        <v>0.72741962077493816</v>
      </c>
      <c r="J177" s="9">
        <f t="shared" si="16"/>
        <v>1.1929824561403508</v>
      </c>
      <c r="K177" s="5"/>
      <c r="L177" s="6"/>
      <c r="M177" s="6"/>
      <c r="N177" s="13"/>
      <c r="O177" s="14"/>
      <c r="P177" s="14"/>
      <c r="Q177" s="14"/>
      <c r="R177" s="14"/>
      <c r="S177" s="14"/>
      <c r="T177" s="5"/>
      <c r="U177" s="5"/>
      <c r="V177" s="5"/>
      <c r="W177" s="5"/>
      <c r="X177" s="5"/>
    </row>
    <row r="178" spans="1:24" ht="15.75" customHeight="1" thickBot="1">
      <c r="A178" s="1">
        <v>40503</v>
      </c>
      <c r="B178" s="2" t="s">
        <v>25</v>
      </c>
      <c r="C178" s="2" t="s">
        <v>238</v>
      </c>
      <c r="D178" s="3" t="s">
        <v>241</v>
      </c>
      <c r="E178" s="30">
        <v>78.686131386861319</v>
      </c>
      <c r="F178" s="31">
        <v>86.62900188323917</v>
      </c>
      <c r="G178" s="34">
        <v>43</v>
      </c>
      <c r="H178" s="35">
        <v>79</v>
      </c>
      <c r="I178" s="9">
        <f t="shared" si="15"/>
        <v>0.54647495361781073</v>
      </c>
      <c r="J178" s="9">
        <f t="shared" si="16"/>
        <v>1.8372093023255813</v>
      </c>
      <c r="K178" s="5"/>
      <c r="L178" s="6"/>
      <c r="M178" s="6"/>
      <c r="N178" s="13"/>
      <c r="O178" s="14"/>
      <c r="P178" s="14"/>
      <c r="Q178" s="14"/>
      <c r="R178" s="14"/>
      <c r="S178" s="14"/>
      <c r="T178" s="5"/>
      <c r="U178" s="5"/>
      <c r="V178" s="5"/>
      <c r="W178" s="5"/>
      <c r="X178" s="5"/>
    </row>
    <row r="179" spans="1:24" ht="15.75" customHeight="1" thickBot="1">
      <c r="A179" s="1">
        <v>40504</v>
      </c>
      <c r="B179" s="2" t="s">
        <v>25</v>
      </c>
      <c r="C179" s="2" t="s">
        <v>238</v>
      </c>
      <c r="D179" s="3" t="s">
        <v>242</v>
      </c>
      <c r="E179" s="30">
        <v>79.792746113989637</v>
      </c>
      <c r="F179" s="31">
        <v>83.174603174603178</v>
      </c>
      <c r="G179" s="34">
        <v>58</v>
      </c>
      <c r="H179" s="35">
        <v>67</v>
      </c>
      <c r="I179" s="9">
        <f t="shared" si="15"/>
        <v>0.72688311688311691</v>
      </c>
      <c r="J179" s="9">
        <f t="shared" si="16"/>
        <v>1.1551724137931034</v>
      </c>
      <c r="K179" s="5"/>
      <c r="L179" s="6"/>
      <c r="M179" s="6"/>
      <c r="N179" s="13"/>
      <c r="O179" s="14"/>
      <c r="P179" s="14"/>
      <c r="Q179" s="14"/>
      <c r="R179" s="14"/>
      <c r="S179" s="14"/>
      <c r="T179" s="5"/>
      <c r="U179" s="5"/>
      <c r="V179" s="5"/>
      <c r="W179" s="5"/>
      <c r="X179" s="5"/>
    </row>
    <row r="180" spans="1:24" ht="15.75" customHeight="1" thickBot="1">
      <c r="A180" s="1">
        <v>40505</v>
      </c>
      <c r="B180" s="2" t="s">
        <v>25</v>
      </c>
      <c r="C180" s="2" t="s">
        <v>238</v>
      </c>
      <c r="D180" s="3" t="s">
        <v>243</v>
      </c>
      <c r="E180" s="30">
        <v>74.758324382384529</v>
      </c>
      <c r="F180" s="31">
        <v>85.491071428571431</v>
      </c>
      <c r="G180" s="34">
        <v>48</v>
      </c>
      <c r="H180" s="35">
        <v>70</v>
      </c>
      <c r="I180" s="9">
        <f t="shared" si="15"/>
        <v>0.64206896551724146</v>
      </c>
      <c r="J180" s="9">
        <f t="shared" si="16"/>
        <v>1.4583333333333333</v>
      </c>
      <c r="K180" s="5"/>
      <c r="L180" s="6"/>
      <c r="M180" s="6"/>
      <c r="N180" s="13"/>
      <c r="O180" s="14"/>
      <c r="P180" s="14"/>
      <c r="Q180" s="14"/>
      <c r="R180" s="14"/>
      <c r="S180" s="14"/>
      <c r="T180" s="5"/>
      <c r="U180" s="5"/>
      <c r="V180" s="5"/>
      <c r="W180" s="5"/>
      <c r="X180" s="5"/>
    </row>
    <row r="181" spans="1:24" ht="15.75" customHeight="1" thickBot="1">
      <c r="A181" s="1">
        <v>40601</v>
      </c>
      <c r="B181" s="2" t="s">
        <v>25</v>
      </c>
      <c r="C181" s="2" t="s">
        <v>244</v>
      </c>
      <c r="D181" s="3" t="s">
        <v>244</v>
      </c>
      <c r="E181" s="30">
        <v>75.36032944406314</v>
      </c>
      <c r="F181" s="31">
        <v>82.102844010341855</v>
      </c>
      <c r="G181" s="34">
        <v>53</v>
      </c>
      <c r="H181" s="35">
        <v>61</v>
      </c>
      <c r="I181" s="9">
        <f t="shared" si="15"/>
        <v>0.70328779599271407</v>
      </c>
      <c r="J181" s="9">
        <f t="shared" si="16"/>
        <v>1.1509433962264151</v>
      </c>
      <c r="K181" s="5"/>
      <c r="L181" s="6"/>
      <c r="M181" s="6"/>
      <c r="N181" s="13"/>
      <c r="O181" s="14"/>
      <c r="P181" s="14"/>
      <c r="Q181" s="14"/>
      <c r="R181" s="14"/>
      <c r="S181" s="14"/>
      <c r="T181" s="5"/>
      <c r="U181" s="5"/>
      <c r="V181" s="5"/>
      <c r="W181" s="5"/>
      <c r="X181" s="5"/>
    </row>
    <row r="182" spans="1:24" ht="15.75" customHeight="1" thickBot="1">
      <c r="A182" s="1">
        <v>40602</v>
      </c>
      <c r="B182" s="2" t="s">
        <v>25</v>
      </c>
      <c r="C182" s="2" t="s">
        <v>244</v>
      </c>
      <c r="D182" s="3" t="s">
        <v>245</v>
      </c>
      <c r="E182" s="30">
        <v>80.365510777881909</v>
      </c>
      <c r="F182" s="31">
        <v>84.002509410288582</v>
      </c>
      <c r="G182" s="34">
        <v>60</v>
      </c>
      <c r="H182" s="35">
        <v>71</v>
      </c>
      <c r="I182" s="9">
        <f t="shared" si="15"/>
        <v>0.74658892128279886</v>
      </c>
      <c r="J182" s="9">
        <f t="shared" si="16"/>
        <v>1.1833333333333333</v>
      </c>
      <c r="K182" s="5"/>
      <c r="L182" s="6"/>
      <c r="M182" s="6"/>
      <c r="N182" s="13"/>
      <c r="O182" s="14"/>
      <c r="P182" s="14"/>
      <c r="Q182" s="14"/>
      <c r="R182" s="14"/>
      <c r="S182" s="14"/>
      <c r="T182" s="5"/>
      <c r="U182" s="5"/>
      <c r="V182" s="5"/>
      <c r="W182" s="5"/>
      <c r="X182" s="5"/>
    </row>
    <row r="183" spans="1:24" ht="15.75" customHeight="1" thickBot="1">
      <c r="A183" s="1">
        <v>40603</v>
      </c>
      <c r="B183" s="2" t="s">
        <v>25</v>
      </c>
      <c r="C183" s="2" t="s">
        <v>244</v>
      </c>
      <c r="D183" s="3" t="s">
        <v>246</v>
      </c>
      <c r="E183" s="30">
        <v>80.625</v>
      </c>
      <c r="F183" s="31">
        <v>83.203401842664775</v>
      </c>
      <c r="G183" s="34">
        <v>50</v>
      </c>
      <c r="H183" s="35">
        <v>58</v>
      </c>
      <c r="I183" s="9">
        <f t="shared" si="15"/>
        <v>0.62015503875968991</v>
      </c>
      <c r="J183" s="9">
        <f t="shared" si="16"/>
        <v>1.1599999999999999</v>
      </c>
      <c r="K183" s="5"/>
      <c r="L183" s="6"/>
      <c r="M183" s="6"/>
      <c r="N183" s="13"/>
      <c r="O183" s="14"/>
      <c r="P183" s="14"/>
      <c r="Q183" s="14"/>
      <c r="R183" s="14"/>
      <c r="S183" s="14"/>
      <c r="T183" s="5"/>
      <c r="U183" s="5"/>
      <c r="V183" s="5"/>
      <c r="W183" s="5"/>
      <c r="X183" s="5"/>
    </row>
    <row r="184" spans="1:24" ht="15.75" customHeight="1" thickBot="1">
      <c r="A184" s="1">
        <v>40701</v>
      </c>
      <c r="B184" s="2" t="s">
        <v>25</v>
      </c>
      <c r="C184" s="2" t="s">
        <v>247</v>
      </c>
      <c r="D184" s="3" t="s">
        <v>248</v>
      </c>
      <c r="E184" s="30">
        <v>77.745896935613459</v>
      </c>
      <c r="F184" s="31">
        <v>76.278823217598728</v>
      </c>
      <c r="G184" s="34">
        <v>39</v>
      </c>
      <c r="H184" s="35">
        <v>52</v>
      </c>
      <c r="I184" s="9">
        <f t="shared" si="15"/>
        <v>0.50163418954827277</v>
      </c>
      <c r="J184" s="9">
        <f t="shared" si="16"/>
        <v>1.3333333333333333</v>
      </c>
      <c r="K184" s="5"/>
      <c r="L184" s="6"/>
      <c r="M184" s="6"/>
      <c r="N184" s="13"/>
      <c r="O184" s="14"/>
      <c r="P184" s="14"/>
      <c r="Q184" s="14"/>
      <c r="R184" s="14"/>
      <c r="S184" s="14"/>
      <c r="T184" s="5"/>
      <c r="U184" s="5"/>
      <c r="V184" s="5"/>
      <c r="W184" s="5"/>
      <c r="X184" s="5"/>
    </row>
    <row r="185" spans="1:24" ht="15.75" customHeight="1" thickBot="1">
      <c r="A185" s="1">
        <v>40702</v>
      </c>
      <c r="B185" s="2" t="s">
        <v>25</v>
      </c>
      <c r="C185" s="2" t="s">
        <v>247</v>
      </c>
      <c r="D185" s="3" t="s">
        <v>249</v>
      </c>
      <c r="E185" s="30">
        <v>71.976047904191617</v>
      </c>
      <c r="F185" s="31">
        <v>79.504205400619739</v>
      </c>
      <c r="G185" s="34">
        <v>51</v>
      </c>
      <c r="H185" s="35">
        <v>62</v>
      </c>
      <c r="I185" s="9">
        <f t="shared" si="15"/>
        <v>0.70856905158069883</v>
      </c>
      <c r="J185" s="9">
        <f t="shared" si="16"/>
        <v>1.2156862745098038</v>
      </c>
      <c r="K185" s="5"/>
      <c r="L185" s="6"/>
      <c r="M185" s="6"/>
      <c r="N185" s="13"/>
      <c r="O185" s="14"/>
      <c r="P185" s="14"/>
      <c r="Q185" s="14"/>
      <c r="R185" s="14"/>
      <c r="S185" s="14"/>
      <c r="T185" s="5"/>
      <c r="U185" s="5"/>
      <c r="V185" s="5"/>
      <c r="W185" s="5"/>
      <c r="X185" s="5"/>
    </row>
    <row r="186" spans="1:24" ht="15.75" customHeight="1" thickBot="1">
      <c r="A186" s="1">
        <v>40801</v>
      </c>
      <c r="B186" s="2" t="s">
        <v>25</v>
      </c>
      <c r="C186" s="2" t="s">
        <v>250</v>
      </c>
      <c r="D186" s="3" t="s">
        <v>251</v>
      </c>
      <c r="E186" s="30">
        <v>83.272227314390463</v>
      </c>
      <c r="F186" s="31">
        <v>84.236621644725602</v>
      </c>
      <c r="G186" s="34">
        <v>72</v>
      </c>
      <c r="H186" s="35">
        <v>72</v>
      </c>
      <c r="I186" s="9">
        <f t="shared" si="15"/>
        <v>0.86463401210787016</v>
      </c>
      <c r="J186" s="9">
        <f t="shared" si="16"/>
        <v>1</v>
      </c>
      <c r="K186" s="5"/>
      <c r="L186" s="6"/>
      <c r="M186" s="6"/>
      <c r="N186" s="13"/>
      <c r="O186" s="14"/>
      <c r="P186" s="14"/>
      <c r="Q186" s="14"/>
      <c r="R186" s="14"/>
      <c r="S186" s="14"/>
      <c r="T186" s="5"/>
      <c r="U186" s="5"/>
      <c r="V186" s="5"/>
      <c r="W186" s="5"/>
      <c r="X186" s="5"/>
    </row>
    <row r="187" spans="1:24" ht="15.75" customHeight="1" thickBot="1">
      <c r="A187" s="1">
        <v>40802</v>
      </c>
      <c r="B187" s="2" t="s">
        <v>25</v>
      </c>
      <c r="C187" s="2" t="s">
        <v>250</v>
      </c>
      <c r="D187" s="3" t="s">
        <v>252</v>
      </c>
      <c r="E187" s="30">
        <v>79.607109448082326</v>
      </c>
      <c r="F187" s="31">
        <v>85.382631126397243</v>
      </c>
      <c r="G187" s="34">
        <v>57</v>
      </c>
      <c r="H187" s="35">
        <v>71</v>
      </c>
      <c r="I187" s="9">
        <f t="shared" si="15"/>
        <v>0.7160164512338425</v>
      </c>
      <c r="J187" s="9">
        <f t="shared" si="16"/>
        <v>1.2456140350877194</v>
      </c>
      <c r="K187" s="5"/>
      <c r="L187" s="6"/>
      <c r="M187" s="6"/>
      <c r="N187" s="13"/>
      <c r="O187" s="14"/>
      <c r="P187" s="14"/>
      <c r="Q187" s="14"/>
      <c r="R187" s="14"/>
      <c r="S187" s="14"/>
      <c r="T187" s="5"/>
      <c r="U187" s="5"/>
      <c r="V187" s="5"/>
      <c r="W187" s="5"/>
      <c r="X187" s="5"/>
    </row>
    <row r="188" spans="1:24" ht="15.75" customHeight="1" thickBot="1">
      <c r="A188" s="1">
        <v>40901</v>
      </c>
      <c r="B188" s="2" t="s">
        <v>25</v>
      </c>
      <c r="C188" s="2" t="s">
        <v>253</v>
      </c>
      <c r="D188" s="3" t="s">
        <v>253</v>
      </c>
      <c r="E188" s="30">
        <v>75.193525686136525</v>
      </c>
      <c r="F188" s="31">
        <v>82.311157311157316</v>
      </c>
      <c r="G188" s="34">
        <v>48</v>
      </c>
      <c r="H188" s="35">
        <v>69</v>
      </c>
      <c r="I188" s="9">
        <f t="shared" si="15"/>
        <v>0.63835283107159568</v>
      </c>
      <c r="J188" s="9">
        <f t="shared" si="16"/>
        <v>1.4375</v>
      </c>
      <c r="K188" s="5"/>
      <c r="L188" s="6"/>
      <c r="M188" s="6"/>
      <c r="N188" s="13"/>
      <c r="O188" s="14"/>
      <c r="P188" s="14"/>
      <c r="Q188" s="14"/>
      <c r="R188" s="14"/>
      <c r="S188" s="14"/>
      <c r="T188" s="5"/>
      <c r="U188" s="5"/>
      <c r="V188" s="5"/>
      <c r="W188" s="5"/>
      <c r="X188" s="5"/>
    </row>
    <row r="189" spans="1:24" ht="15.75" customHeight="1" thickBot="1">
      <c r="A189" s="1">
        <v>40902</v>
      </c>
      <c r="B189" s="2" t="s">
        <v>25</v>
      </c>
      <c r="C189" s="2" t="s">
        <v>253</v>
      </c>
      <c r="D189" s="3" t="s">
        <v>254</v>
      </c>
      <c r="E189" s="30">
        <v>75.851393188854487</v>
      </c>
      <c r="F189" s="31">
        <v>80.530973451327441</v>
      </c>
      <c r="G189" s="34">
        <v>50</v>
      </c>
      <c r="H189" s="35">
        <v>56</v>
      </c>
      <c r="I189" s="9">
        <f t="shared" si="15"/>
        <v>0.65918367346938778</v>
      </c>
      <c r="J189" s="9">
        <f t="shared" si="16"/>
        <v>1.1200000000000001</v>
      </c>
      <c r="K189" s="5"/>
      <c r="L189" s="6"/>
      <c r="M189" s="6"/>
      <c r="N189" s="13"/>
      <c r="O189" s="14"/>
      <c r="P189" s="14"/>
      <c r="Q189" s="14"/>
      <c r="R189" s="14"/>
      <c r="S189" s="14"/>
      <c r="T189" s="5"/>
      <c r="U189" s="5"/>
      <c r="V189" s="5"/>
      <c r="W189" s="5"/>
      <c r="X189" s="5"/>
    </row>
    <row r="190" spans="1:24" ht="15.75" customHeight="1" thickBot="1">
      <c r="A190" s="1">
        <v>40903</v>
      </c>
      <c r="B190" s="2" t="s">
        <v>25</v>
      </c>
      <c r="C190" s="2" t="s">
        <v>253</v>
      </c>
      <c r="D190" s="3" t="s">
        <v>255</v>
      </c>
      <c r="E190" s="30">
        <v>69.831546707503833</v>
      </c>
      <c r="F190" s="31">
        <v>76.103896103896105</v>
      </c>
      <c r="G190" s="34">
        <v>47</v>
      </c>
      <c r="H190" s="35">
        <v>59</v>
      </c>
      <c r="I190" s="9">
        <f t="shared" si="15"/>
        <v>0.67304824561403509</v>
      </c>
      <c r="J190" s="9">
        <f t="shared" si="16"/>
        <v>1.2553191489361701</v>
      </c>
      <c r="K190" s="5"/>
      <c r="L190" s="6"/>
      <c r="M190" s="6"/>
      <c r="N190" s="13"/>
      <c r="O190" s="14"/>
      <c r="P190" s="14"/>
      <c r="Q190" s="14"/>
      <c r="R190" s="14"/>
      <c r="S190" s="14"/>
      <c r="T190" s="5"/>
      <c r="U190" s="5"/>
      <c r="V190" s="5"/>
      <c r="W190" s="5"/>
      <c r="X190" s="5"/>
    </row>
    <row r="191" spans="1:24" ht="15.75" customHeight="1" thickBot="1">
      <c r="A191" s="1">
        <v>41001</v>
      </c>
      <c r="B191" s="2" t="s">
        <v>25</v>
      </c>
      <c r="C191" s="2" t="s">
        <v>256</v>
      </c>
      <c r="D191" s="3" t="s">
        <v>257</v>
      </c>
      <c r="E191" s="30">
        <v>81.77339901477832</v>
      </c>
      <c r="F191" s="31">
        <v>84.942408376963357</v>
      </c>
      <c r="G191" s="34">
        <v>69</v>
      </c>
      <c r="H191" s="35">
        <v>76</v>
      </c>
      <c r="I191" s="9">
        <f t="shared" si="15"/>
        <v>0.84379518072289161</v>
      </c>
      <c r="J191" s="9">
        <f t="shared" si="16"/>
        <v>1.1014492753623188</v>
      </c>
      <c r="K191" s="5"/>
      <c r="L191" s="6"/>
      <c r="M191" s="6"/>
      <c r="N191" s="13"/>
      <c r="O191" s="14"/>
      <c r="P191" s="14"/>
      <c r="Q191" s="14"/>
      <c r="R191" s="14"/>
      <c r="S191" s="14"/>
      <c r="T191" s="5"/>
      <c r="U191" s="5"/>
      <c r="V191" s="5"/>
      <c r="W191" s="5"/>
      <c r="X191" s="5"/>
    </row>
    <row r="192" spans="1:24" ht="15.75" customHeight="1" thickBot="1">
      <c r="A192" s="1">
        <v>41101</v>
      </c>
      <c r="B192" s="2" t="s">
        <v>25</v>
      </c>
      <c r="C192" s="2" t="s">
        <v>258</v>
      </c>
      <c r="D192" s="3" t="s">
        <v>259</v>
      </c>
      <c r="E192" s="30">
        <v>78.209909429941391</v>
      </c>
      <c r="F192" s="31">
        <v>84.650226472068439</v>
      </c>
      <c r="G192" s="34">
        <v>62</v>
      </c>
      <c r="H192" s="35">
        <v>73</v>
      </c>
      <c r="I192" s="9">
        <f t="shared" si="15"/>
        <v>0.79273841961852864</v>
      </c>
      <c r="J192" s="9">
        <f t="shared" si="16"/>
        <v>1.1774193548387097</v>
      </c>
      <c r="K192" s="5"/>
      <c r="L192" s="6"/>
      <c r="M192" s="6"/>
      <c r="N192" s="13"/>
      <c r="O192" s="14"/>
      <c r="P192" s="14"/>
      <c r="Q192" s="14"/>
      <c r="R192" s="14"/>
      <c r="S192" s="14"/>
      <c r="T192" s="5"/>
      <c r="U192" s="5"/>
      <c r="V192" s="5"/>
      <c r="W192" s="5"/>
      <c r="X192" s="5"/>
    </row>
    <row r="193" spans="1:24" ht="15.75" customHeight="1" thickBot="1">
      <c r="A193" s="1">
        <v>41201</v>
      </c>
      <c r="B193" s="2" t="s">
        <v>25</v>
      </c>
      <c r="C193" s="2" t="s">
        <v>260</v>
      </c>
      <c r="D193" s="3" t="s">
        <v>261</v>
      </c>
      <c r="E193" s="30">
        <v>77.593152064451161</v>
      </c>
      <c r="F193" s="31">
        <v>84.494563028594442</v>
      </c>
      <c r="G193" s="34">
        <v>60</v>
      </c>
      <c r="H193" s="35">
        <v>74</v>
      </c>
      <c r="I193" s="9">
        <f t="shared" si="15"/>
        <v>0.77326411421155095</v>
      </c>
      <c r="J193" s="9">
        <f t="shared" si="16"/>
        <v>1.2333333333333334</v>
      </c>
      <c r="K193" s="5"/>
      <c r="L193" s="6"/>
      <c r="M193" s="6"/>
      <c r="N193" s="13"/>
      <c r="O193" s="14"/>
      <c r="P193" s="14"/>
      <c r="Q193" s="14"/>
      <c r="R193" s="14"/>
      <c r="S193" s="14"/>
      <c r="T193" s="5"/>
      <c r="U193" s="5"/>
      <c r="V193" s="5"/>
      <c r="W193" s="5"/>
      <c r="X193" s="5"/>
    </row>
    <row r="194" spans="1:24" ht="15.75" customHeight="1" thickBot="1">
      <c r="A194" s="1">
        <v>41202</v>
      </c>
      <c r="B194" s="2" t="s">
        <v>25</v>
      </c>
      <c r="C194" s="2" t="s">
        <v>260</v>
      </c>
      <c r="D194" s="3" t="s">
        <v>262</v>
      </c>
      <c r="E194" s="30">
        <v>79.09215955983494</v>
      </c>
      <c r="F194" s="31">
        <v>86.49602824360106</v>
      </c>
      <c r="G194" s="34">
        <v>65</v>
      </c>
      <c r="H194" s="35">
        <v>77</v>
      </c>
      <c r="I194" s="9">
        <f t="shared" si="15"/>
        <v>0.82182608695652171</v>
      </c>
      <c r="J194" s="9">
        <f t="shared" si="16"/>
        <v>1.1846153846153846</v>
      </c>
      <c r="K194" s="5"/>
      <c r="L194" s="6"/>
      <c r="M194" s="6"/>
      <c r="N194" s="13"/>
      <c r="O194" s="14"/>
      <c r="P194" s="14"/>
      <c r="Q194" s="14"/>
      <c r="R194" s="14"/>
      <c r="S194" s="14"/>
      <c r="T194" s="5"/>
      <c r="U194" s="5"/>
      <c r="V194" s="5"/>
      <c r="W194" s="5"/>
      <c r="X194" s="5"/>
    </row>
    <row r="195" spans="1:24" ht="15.75" customHeight="1" thickBot="1">
      <c r="A195" s="1">
        <v>41301</v>
      </c>
      <c r="B195" s="2" t="s">
        <v>25</v>
      </c>
      <c r="C195" s="2" t="s">
        <v>263</v>
      </c>
      <c r="D195" s="3" t="s">
        <v>263</v>
      </c>
      <c r="E195" s="30">
        <v>80.929332042594382</v>
      </c>
      <c r="F195" s="31">
        <v>87.976190476190482</v>
      </c>
      <c r="G195" s="34">
        <v>69</v>
      </c>
      <c r="H195" s="35">
        <v>80</v>
      </c>
      <c r="I195" s="9">
        <f t="shared" ref="I195:I258" si="17">G195/E195</f>
        <v>0.8525956937799043</v>
      </c>
      <c r="J195" s="9">
        <f t="shared" ref="J195:J258" si="18">H195/G195</f>
        <v>1.1594202898550725</v>
      </c>
      <c r="K195" s="5"/>
      <c r="L195" s="6"/>
      <c r="M195" s="6"/>
      <c r="N195" s="13"/>
      <c r="O195" s="14"/>
      <c r="P195" s="14"/>
      <c r="Q195" s="14"/>
      <c r="R195" s="14"/>
      <c r="S195" s="14"/>
      <c r="T195" s="5"/>
      <c r="U195" s="5"/>
      <c r="V195" s="5"/>
      <c r="W195" s="5"/>
      <c r="X195" s="5"/>
    </row>
    <row r="196" spans="1:24" ht="15.75" customHeight="1" thickBot="1">
      <c r="A196" s="1">
        <v>41401</v>
      </c>
      <c r="B196" s="2" t="s">
        <v>25</v>
      </c>
      <c r="C196" s="2" t="s">
        <v>264</v>
      </c>
      <c r="D196" s="3" t="s">
        <v>265</v>
      </c>
      <c r="E196" s="30">
        <v>79.909365558912384</v>
      </c>
      <c r="F196" s="31">
        <v>83.428994630623947</v>
      </c>
      <c r="G196" s="34">
        <v>62</v>
      </c>
      <c r="H196" s="35">
        <v>69</v>
      </c>
      <c r="I196" s="9">
        <f t="shared" si="17"/>
        <v>0.77587901701323259</v>
      </c>
      <c r="J196" s="9">
        <f t="shared" si="18"/>
        <v>1.1129032258064515</v>
      </c>
      <c r="K196" s="5"/>
      <c r="L196" s="6"/>
      <c r="M196" s="6"/>
      <c r="N196" s="13"/>
      <c r="O196" s="14"/>
      <c r="P196" s="14"/>
      <c r="Q196" s="14"/>
      <c r="R196" s="14"/>
      <c r="S196" s="14"/>
      <c r="T196" s="5"/>
      <c r="U196" s="5"/>
      <c r="V196" s="5"/>
      <c r="W196" s="5"/>
      <c r="X196" s="5"/>
    </row>
    <row r="197" spans="1:24" ht="15.75" customHeight="1" thickBot="1">
      <c r="A197" s="1">
        <v>41501</v>
      </c>
      <c r="B197" s="2" t="s">
        <v>25</v>
      </c>
      <c r="C197" s="2" t="s">
        <v>266</v>
      </c>
      <c r="D197" s="3" t="s">
        <v>267</v>
      </c>
      <c r="E197" s="30">
        <v>87.5</v>
      </c>
      <c r="F197" s="31">
        <v>76.169265033407569</v>
      </c>
      <c r="G197" s="34">
        <v>63</v>
      </c>
      <c r="H197" s="35">
        <v>62</v>
      </c>
      <c r="I197" s="9">
        <f t="shared" si="17"/>
        <v>0.72</v>
      </c>
      <c r="J197" s="9">
        <f t="shared" si="18"/>
        <v>0.98412698412698407</v>
      </c>
      <c r="K197" s="5"/>
      <c r="L197" s="6"/>
      <c r="M197" s="6"/>
      <c r="N197" s="13"/>
      <c r="O197" s="14"/>
      <c r="P197" s="14"/>
      <c r="Q197" s="14"/>
      <c r="R197" s="14"/>
      <c r="S197" s="14"/>
      <c r="T197" s="5"/>
      <c r="U197" s="5"/>
      <c r="V197" s="5"/>
      <c r="W197" s="5"/>
      <c r="X197" s="5"/>
    </row>
    <row r="198" spans="1:24" ht="15.75" customHeight="1" thickBot="1">
      <c r="A198" s="1">
        <v>41502</v>
      </c>
      <c r="B198" s="2" t="s">
        <v>25</v>
      </c>
      <c r="C198" s="2" t="s">
        <v>266</v>
      </c>
      <c r="D198" s="3" t="s">
        <v>268</v>
      </c>
      <c r="E198" s="30">
        <v>72.183098591549296</v>
      </c>
      <c r="F198" s="31">
        <v>77.345537757437071</v>
      </c>
      <c r="G198" s="34">
        <v>59</v>
      </c>
      <c r="H198" s="35">
        <v>70</v>
      </c>
      <c r="I198" s="9">
        <f t="shared" si="17"/>
        <v>0.81736585365853653</v>
      </c>
      <c r="J198" s="9">
        <f t="shared" si="18"/>
        <v>1.1864406779661016</v>
      </c>
      <c r="K198" s="5"/>
      <c r="L198" s="6"/>
      <c r="M198" s="6"/>
      <c r="N198" s="13"/>
      <c r="O198" s="14"/>
      <c r="P198" s="14"/>
      <c r="Q198" s="14"/>
      <c r="R198" s="14"/>
      <c r="S198" s="14"/>
      <c r="T198" s="5"/>
      <c r="U198" s="5"/>
      <c r="V198" s="5"/>
      <c r="W198" s="5"/>
      <c r="X198" s="5"/>
    </row>
    <row r="199" spans="1:24" ht="15.75" customHeight="1" thickBot="1">
      <c r="A199" s="1">
        <v>41503</v>
      </c>
      <c r="B199" s="2" t="s">
        <v>25</v>
      </c>
      <c r="C199" s="2" t="s">
        <v>266</v>
      </c>
      <c r="D199" s="3" t="s">
        <v>232</v>
      </c>
      <c r="E199" s="30">
        <v>76.078431372549019</v>
      </c>
      <c r="F199" s="31">
        <v>81.865284974093271</v>
      </c>
      <c r="G199" s="34">
        <v>52</v>
      </c>
      <c r="H199" s="35">
        <v>70</v>
      </c>
      <c r="I199" s="9">
        <f t="shared" si="17"/>
        <v>0.68350515463917527</v>
      </c>
      <c r="J199" s="9">
        <f t="shared" si="18"/>
        <v>1.3461538461538463</v>
      </c>
      <c r="K199" s="5"/>
      <c r="L199" s="6"/>
      <c r="M199" s="6"/>
      <c r="N199" s="13"/>
      <c r="O199" s="14"/>
      <c r="P199" s="14"/>
      <c r="Q199" s="14"/>
      <c r="R199" s="14"/>
      <c r="S199" s="14"/>
      <c r="T199" s="5"/>
      <c r="U199" s="5"/>
      <c r="V199" s="5"/>
      <c r="W199" s="5"/>
      <c r="X199" s="5"/>
    </row>
    <row r="200" spans="1:24" ht="15.75" customHeight="1" thickBot="1">
      <c r="A200" s="1">
        <v>41601</v>
      </c>
      <c r="B200" s="2" t="s">
        <v>25</v>
      </c>
      <c r="C200" s="2" t="s">
        <v>269</v>
      </c>
      <c r="D200" s="3" t="s">
        <v>270</v>
      </c>
      <c r="E200" s="30">
        <v>83.090753424657535</v>
      </c>
      <c r="F200" s="31">
        <v>88.272836059034702</v>
      </c>
      <c r="G200" s="34">
        <v>67</v>
      </c>
      <c r="H200" s="35">
        <v>79</v>
      </c>
      <c r="I200" s="9">
        <f t="shared" si="17"/>
        <v>0.80634724368882016</v>
      </c>
      <c r="J200" s="9">
        <f t="shared" si="18"/>
        <v>1.1791044776119404</v>
      </c>
      <c r="K200" s="5"/>
      <c r="L200" s="6"/>
      <c r="M200" s="6"/>
      <c r="N200" s="13"/>
      <c r="O200" s="14"/>
      <c r="P200" s="14"/>
      <c r="Q200" s="14"/>
      <c r="R200" s="14"/>
      <c r="S200" s="14"/>
      <c r="T200" s="5"/>
      <c r="U200" s="5"/>
      <c r="V200" s="5"/>
      <c r="W200" s="5"/>
      <c r="X200" s="5"/>
    </row>
    <row r="201" spans="1:24" ht="15.75" customHeight="1" thickBot="1">
      <c r="A201" s="1">
        <v>50101</v>
      </c>
      <c r="B201" s="2" t="s">
        <v>27</v>
      </c>
      <c r="C201" s="2" t="s">
        <v>271</v>
      </c>
      <c r="D201" s="3" t="s">
        <v>27</v>
      </c>
      <c r="E201" s="30">
        <v>69.38229571984435</v>
      </c>
      <c r="F201" s="31">
        <v>75.229931122552955</v>
      </c>
      <c r="G201" s="34">
        <v>43</v>
      </c>
      <c r="H201" s="35">
        <v>56</v>
      </c>
      <c r="I201" s="9">
        <f t="shared" si="17"/>
        <v>0.61975464423413962</v>
      </c>
      <c r="J201" s="9">
        <f t="shared" si="18"/>
        <v>1.3023255813953489</v>
      </c>
      <c r="K201" s="5"/>
      <c r="L201" s="6"/>
      <c r="M201" s="6"/>
      <c r="N201" s="13"/>
      <c r="O201" s="14"/>
      <c r="P201" s="14"/>
      <c r="Q201" s="14"/>
      <c r="R201" s="14"/>
      <c r="S201" s="14"/>
      <c r="T201" s="5"/>
      <c r="U201" s="5"/>
      <c r="V201" s="5"/>
      <c r="W201" s="5"/>
      <c r="X201" s="5"/>
    </row>
    <row r="202" spans="1:24" ht="15.75" customHeight="1" thickBot="1">
      <c r="A202" s="1">
        <v>50102</v>
      </c>
      <c r="B202" s="2" t="s">
        <v>27</v>
      </c>
      <c r="C202" s="2" t="s">
        <v>271</v>
      </c>
      <c r="D202" s="3" t="s">
        <v>272</v>
      </c>
      <c r="E202" s="30">
        <v>85.249505385799068</v>
      </c>
      <c r="F202" s="31">
        <v>88.611294428207785</v>
      </c>
      <c r="G202" s="34">
        <v>58</v>
      </c>
      <c r="H202" s="35">
        <v>71</v>
      </c>
      <c r="I202" s="9">
        <f t="shared" si="17"/>
        <v>0.68035585353274886</v>
      </c>
      <c r="J202" s="9">
        <f t="shared" si="18"/>
        <v>1.2241379310344827</v>
      </c>
      <c r="K202" s="5"/>
      <c r="L202" s="6"/>
      <c r="M202" s="6"/>
      <c r="N202" s="13"/>
      <c r="O202" s="14"/>
      <c r="P202" s="14"/>
      <c r="Q202" s="14"/>
      <c r="R202" s="14"/>
      <c r="S202" s="14"/>
      <c r="T202" s="5"/>
      <c r="U202" s="5"/>
      <c r="V202" s="5"/>
      <c r="W202" s="5"/>
      <c r="X202" s="5"/>
    </row>
    <row r="203" spans="1:24" ht="15.75" customHeight="1" thickBot="1">
      <c r="A203" s="1">
        <v>50103</v>
      </c>
      <c r="B203" s="2" t="s">
        <v>27</v>
      </c>
      <c r="C203" s="2" t="s">
        <v>271</v>
      </c>
      <c r="D203" s="3" t="s">
        <v>273</v>
      </c>
      <c r="E203" s="30">
        <v>78.763679384797399</v>
      </c>
      <c r="F203" s="31">
        <v>86.990629766833734</v>
      </c>
      <c r="G203" s="34">
        <v>53</v>
      </c>
      <c r="H203" s="35">
        <v>69</v>
      </c>
      <c r="I203" s="9">
        <f t="shared" si="17"/>
        <v>0.6728989861058956</v>
      </c>
      <c r="J203" s="9">
        <f t="shared" si="18"/>
        <v>1.3018867924528301</v>
      </c>
      <c r="K203" s="5"/>
      <c r="L203" s="6"/>
      <c r="M203" s="6"/>
      <c r="N203" s="13"/>
      <c r="O203" s="14"/>
      <c r="P203" s="14"/>
      <c r="Q203" s="14"/>
      <c r="R203" s="14"/>
      <c r="S203" s="14"/>
      <c r="T203" s="5"/>
      <c r="U203" s="5"/>
      <c r="V203" s="5"/>
      <c r="W203" s="5"/>
      <c r="X203" s="5"/>
    </row>
    <row r="204" spans="1:24" ht="15.75" customHeight="1" thickBot="1">
      <c r="A204" s="1">
        <v>50104</v>
      </c>
      <c r="B204" s="2" t="s">
        <v>27</v>
      </c>
      <c r="C204" s="2" t="s">
        <v>271</v>
      </c>
      <c r="D204" s="3" t="s">
        <v>274</v>
      </c>
      <c r="E204" s="30">
        <v>82.731958762886592</v>
      </c>
      <c r="F204" s="31">
        <v>87.963610916724988</v>
      </c>
      <c r="G204" s="34">
        <v>57</v>
      </c>
      <c r="H204" s="35">
        <v>72</v>
      </c>
      <c r="I204" s="9">
        <f t="shared" si="17"/>
        <v>0.68897196261682248</v>
      </c>
      <c r="J204" s="9">
        <f t="shared" si="18"/>
        <v>1.263157894736842</v>
      </c>
      <c r="K204" s="5"/>
      <c r="L204" s="6"/>
      <c r="M204" s="6"/>
      <c r="N204" s="13"/>
      <c r="O204" s="14"/>
      <c r="P204" s="14"/>
      <c r="Q204" s="14"/>
      <c r="R204" s="14"/>
      <c r="S204" s="14"/>
      <c r="T204" s="5"/>
      <c r="U204" s="5"/>
      <c r="V204" s="5"/>
      <c r="W204" s="5"/>
      <c r="X204" s="5"/>
    </row>
    <row r="205" spans="1:24" ht="15.75" customHeight="1" thickBot="1">
      <c r="A205" s="1">
        <v>50201</v>
      </c>
      <c r="B205" s="2" t="s">
        <v>27</v>
      </c>
      <c r="C205" s="2" t="s">
        <v>275</v>
      </c>
      <c r="D205" s="3" t="s">
        <v>276</v>
      </c>
      <c r="E205" s="30">
        <v>74.173971679028995</v>
      </c>
      <c r="F205" s="31">
        <v>79.81209049326246</v>
      </c>
      <c r="G205" s="34">
        <v>54</v>
      </c>
      <c r="H205" s="35">
        <v>68</v>
      </c>
      <c r="I205" s="9">
        <f t="shared" si="17"/>
        <v>0.72801818181818179</v>
      </c>
      <c r="J205" s="9">
        <f t="shared" si="18"/>
        <v>1.2592592592592593</v>
      </c>
      <c r="K205" s="5"/>
      <c r="L205" s="6"/>
      <c r="M205" s="6"/>
      <c r="N205" s="13"/>
      <c r="O205" s="14"/>
      <c r="P205" s="14"/>
      <c r="Q205" s="14"/>
      <c r="R205" s="14"/>
      <c r="S205" s="14"/>
      <c r="T205" s="5"/>
      <c r="U205" s="5"/>
      <c r="V205" s="5"/>
      <c r="W205" s="5"/>
      <c r="X205" s="5"/>
    </row>
    <row r="206" spans="1:24" ht="15.75" customHeight="1" thickBot="1">
      <c r="A206" s="1">
        <v>50202</v>
      </c>
      <c r="B206" s="2" t="s">
        <v>27</v>
      </c>
      <c r="C206" s="2" t="s">
        <v>275</v>
      </c>
      <c r="D206" s="3" t="s">
        <v>277</v>
      </c>
      <c r="E206" s="30">
        <v>80.341716260318677</v>
      </c>
      <c r="F206" s="31">
        <v>85.495024456063419</v>
      </c>
      <c r="G206" s="34">
        <v>59</v>
      </c>
      <c r="H206" s="35">
        <v>70</v>
      </c>
      <c r="I206" s="9">
        <f t="shared" si="17"/>
        <v>0.73436320191158899</v>
      </c>
      <c r="J206" s="9">
        <f t="shared" si="18"/>
        <v>1.1864406779661016</v>
      </c>
      <c r="K206" s="5"/>
      <c r="L206" s="6"/>
      <c r="M206" s="6"/>
      <c r="N206" s="13"/>
      <c r="O206" s="14"/>
      <c r="P206" s="14"/>
      <c r="Q206" s="14"/>
      <c r="R206" s="14"/>
      <c r="S206" s="14"/>
      <c r="T206" s="5"/>
      <c r="U206" s="5"/>
      <c r="V206" s="5"/>
      <c r="W206" s="5"/>
      <c r="X206" s="5"/>
    </row>
    <row r="207" spans="1:24" ht="15.75" customHeight="1" thickBot="1">
      <c r="A207" s="1">
        <v>50203</v>
      </c>
      <c r="B207" s="2" t="s">
        <v>27</v>
      </c>
      <c r="C207" s="2" t="s">
        <v>275</v>
      </c>
      <c r="D207" s="3" t="s">
        <v>278</v>
      </c>
      <c r="E207" s="30">
        <v>68.853102906520036</v>
      </c>
      <c r="F207" s="31">
        <v>74.151731954381233</v>
      </c>
      <c r="G207" s="34">
        <v>47</v>
      </c>
      <c r="H207" s="35">
        <v>58</v>
      </c>
      <c r="I207" s="9">
        <f t="shared" si="17"/>
        <v>0.68261266400456355</v>
      </c>
      <c r="J207" s="9">
        <f t="shared" si="18"/>
        <v>1.2340425531914894</v>
      </c>
      <c r="K207" s="5"/>
      <c r="L207" s="6"/>
      <c r="M207" s="6"/>
      <c r="N207" s="13"/>
      <c r="O207" s="14"/>
      <c r="P207" s="14"/>
      <c r="Q207" s="14"/>
      <c r="R207" s="14"/>
      <c r="S207" s="14"/>
      <c r="T207" s="5"/>
      <c r="U207" s="5"/>
      <c r="V207" s="5"/>
      <c r="W207" s="5"/>
      <c r="X207" s="5"/>
    </row>
    <row r="208" spans="1:24" ht="15.75" customHeight="1" thickBot="1">
      <c r="A208" s="1">
        <v>50204</v>
      </c>
      <c r="B208" s="2" t="s">
        <v>27</v>
      </c>
      <c r="C208" s="2" t="s">
        <v>275</v>
      </c>
      <c r="D208" s="3" t="s">
        <v>279</v>
      </c>
      <c r="E208" s="30">
        <v>80.826070481242894</v>
      </c>
      <c r="F208" s="31">
        <v>85.831420137750086</v>
      </c>
      <c r="G208" s="34">
        <v>38</v>
      </c>
      <c r="H208" s="35">
        <v>59</v>
      </c>
      <c r="I208" s="9">
        <f t="shared" si="17"/>
        <v>0.47014533520862634</v>
      </c>
      <c r="J208" s="9">
        <f t="shared" si="18"/>
        <v>1.5526315789473684</v>
      </c>
      <c r="K208" s="5"/>
      <c r="L208" s="6"/>
      <c r="M208" s="6"/>
      <c r="N208" s="13"/>
      <c r="O208" s="14"/>
      <c r="P208" s="14"/>
      <c r="Q208" s="14"/>
      <c r="R208" s="14"/>
      <c r="S208" s="14"/>
      <c r="T208" s="5"/>
      <c r="U208" s="5"/>
      <c r="V208" s="5"/>
      <c r="W208" s="5"/>
      <c r="X208" s="5"/>
    </row>
    <row r="209" spans="1:24" ht="15.75" customHeight="1" thickBot="1">
      <c r="A209" s="1">
        <v>50301</v>
      </c>
      <c r="B209" s="2" t="s">
        <v>27</v>
      </c>
      <c r="C209" s="2" t="s">
        <v>280</v>
      </c>
      <c r="D209" s="3" t="s">
        <v>281</v>
      </c>
      <c r="E209" s="30">
        <v>79.14323962516734</v>
      </c>
      <c r="F209" s="31">
        <v>87.551165687844815</v>
      </c>
      <c r="G209" s="34">
        <v>58</v>
      </c>
      <c r="H209" s="35">
        <v>74</v>
      </c>
      <c r="I209" s="9">
        <f t="shared" si="17"/>
        <v>0.73284844384303105</v>
      </c>
      <c r="J209" s="9">
        <f t="shared" si="18"/>
        <v>1.2758620689655173</v>
      </c>
      <c r="K209" s="5"/>
      <c r="L209" s="6"/>
      <c r="M209" s="6"/>
      <c r="N209" s="13"/>
      <c r="O209" s="14"/>
      <c r="P209" s="14"/>
      <c r="Q209" s="14"/>
      <c r="R209" s="14"/>
      <c r="S209" s="14"/>
      <c r="T209" s="5"/>
      <c r="U209" s="5"/>
      <c r="V209" s="5"/>
      <c r="W209" s="5"/>
      <c r="X209" s="5"/>
    </row>
    <row r="210" spans="1:24" ht="15.75" customHeight="1" thickBot="1">
      <c r="A210" s="1">
        <v>50302</v>
      </c>
      <c r="B210" s="2" t="s">
        <v>27</v>
      </c>
      <c r="C210" s="2" t="s">
        <v>280</v>
      </c>
      <c r="D210" s="3" t="s">
        <v>282</v>
      </c>
      <c r="E210" s="30">
        <v>77.21749696233293</v>
      </c>
      <c r="F210" s="31">
        <v>84.014315538323885</v>
      </c>
      <c r="G210" s="34">
        <v>50</v>
      </c>
      <c r="H210" s="35">
        <v>67</v>
      </c>
      <c r="I210" s="9">
        <f t="shared" si="17"/>
        <v>0.64752163650668759</v>
      </c>
      <c r="J210" s="9">
        <f t="shared" si="18"/>
        <v>1.34</v>
      </c>
      <c r="K210" s="5"/>
      <c r="L210" s="6"/>
      <c r="M210" s="6"/>
      <c r="N210" s="13"/>
      <c r="O210" s="14"/>
      <c r="P210" s="14"/>
      <c r="Q210" s="14"/>
      <c r="R210" s="14"/>
      <c r="S210" s="14"/>
      <c r="T210" s="5"/>
      <c r="U210" s="5"/>
      <c r="V210" s="5"/>
      <c r="W210" s="5"/>
      <c r="X210" s="5"/>
    </row>
    <row r="211" spans="1:24" ht="15.75" customHeight="1" thickBot="1">
      <c r="A211" s="1">
        <v>50303</v>
      </c>
      <c r="B211" s="2" t="s">
        <v>27</v>
      </c>
      <c r="C211" s="2" t="s">
        <v>280</v>
      </c>
      <c r="D211" s="3" t="s">
        <v>283</v>
      </c>
      <c r="E211" s="30">
        <v>83.664670658682638</v>
      </c>
      <c r="F211" s="31">
        <v>86.676454395301889</v>
      </c>
      <c r="G211" s="34">
        <v>57</v>
      </c>
      <c r="H211" s="35">
        <v>70</v>
      </c>
      <c r="I211" s="9">
        <f t="shared" si="17"/>
        <v>0.68129115373604343</v>
      </c>
      <c r="J211" s="9">
        <f t="shared" si="18"/>
        <v>1.2280701754385965</v>
      </c>
      <c r="K211" s="5"/>
      <c r="L211" s="6"/>
      <c r="M211" s="6"/>
      <c r="N211" s="13"/>
      <c r="O211" s="14"/>
      <c r="P211" s="14"/>
      <c r="Q211" s="14"/>
      <c r="R211" s="14"/>
      <c r="S211" s="14"/>
      <c r="T211" s="5"/>
      <c r="U211" s="5"/>
      <c r="V211" s="5"/>
      <c r="W211" s="5"/>
      <c r="X211" s="5"/>
    </row>
    <row r="212" spans="1:24" ht="15.75" customHeight="1" thickBot="1">
      <c r="A212" s="1">
        <v>50401</v>
      </c>
      <c r="B212" s="2" t="s">
        <v>27</v>
      </c>
      <c r="C212" s="2" t="s">
        <v>277</v>
      </c>
      <c r="D212" s="3" t="s">
        <v>284</v>
      </c>
      <c r="E212" s="30">
        <v>84.414831981460026</v>
      </c>
      <c r="F212" s="31">
        <v>89.899983603869487</v>
      </c>
      <c r="G212" s="34">
        <v>57</v>
      </c>
      <c r="H212" s="35">
        <v>66</v>
      </c>
      <c r="I212" s="9">
        <f t="shared" si="17"/>
        <v>0.67523678792038433</v>
      </c>
      <c r="J212" s="9">
        <f t="shared" si="18"/>
        <v>1.1578947368421053</v>
      </c>
      <c r="K212" s="5"/>
      <c r="L212" s="6"/>
      <c r="M212" s="6"/>
      <c r="N212" s="13"/>
      <c r="O212" s="14"/>
      <c r="P212" s="14"/>
      <c r="Q212" s="14"/>
      <c r="R212" s="14"/>
      <c r="S212" s="14"/>
      <c r="T212" s="5"/>
      <c r="U212" s="5"/>
      <c r="V212" s="5"/>
      <c r="W212" s="5"/>
      <c r="X212" s="5"/>
    </row>
    <row r="213" spans="1:24" ht="15.75" customHeight="1" thickBot="1">
      <c r="A213" s="1">
        <v>50402</v>
      </c>
      <c r="B213" s="2" t="s">
        <v>27</v>
      </c>
      <c r="C213" s="2" t="s">
        <v>277</v>
      </c>
      <c r="D213" s="3" t="s">
        <v>285</v>
      </c>
      <c r="E213" s="30">
        <v>82.692032613360027</v>
      </c>
      <c r="F213" s="31">
        <v>91.061452513966472</v>
      </c>
      <c r="G213" s="34">
        <v>58</v>
      </c>
      <c r="H213" s="35">
        <v>78</v>
      </c>
      <c r="I213" s="9">
        <f t="shared" si="17"/>
        <v>0.7013976820619271</v>
      </c>
      <c r="J213" s="9">
        <f t="shared" si="18"/>
        <v>1.3448275862068966</v>
      </c>
      <c r="K213" s="5"/>
      <c r="L213" s="6"/>
      <c r="M213" s="6"/>
      <c r="N213" s="13"/>
      <c r="O213" s="14"/>
      <c r="P213" s="14"/>
      <c r="Q213" s="14"/>
      <c r="R213" s="14"/>
      <c r="S213" s="14"/>
      <c r="T213" s="5"/>
      <c r="U213" s="5"/>
      <c r="V213" s="5"/>
      <c r="W213" s="5"/>
      <c r="X213" s="5"/>
    </row>
    <row r="214" spans="1:24" ht="15.75" customHeight="1" thickBot="1">
      <c r="A214" s="1">
        <v>50403</v>
      </c>
      <c r="B214" s="2" t="s">
        <v>27</v>
      </c>
      <c r="C214" s="2" t="s">
        <v>277</v>
      </c>
      <c r="D214" s="3" t="s">
        <v>286</v>
      </c>
      <c r="E214" s="30">
        <v>81.583324093580217</v>
      </c>
      <c r="F214" s="31">
        <v>85.982846746946208</v>
      </c>
      <c r="G214" s="34">
        <v>57</v>
      </c>
      <c r="H214" s="35">
        <v>73</v>
      </c>
      <c r="I214" s="9">
        <f t="shared" si="17"/>
        <v>0.69867219353085075</v>
      </c>
      <c r="J214" s="9">
        <f t="shared" si="18"/>
        <v>1.2807017543859649</v>
      </c>
      <c r="K214" s="5"/>
      <c r="L214" s="6"/>
      <c r="M214" s="6"/>
      <c r="N214" s="13"/>
      <c r="O214" s="14"/>
      <c r="P214" s="14"/>
      <c r="Q214" s="14"/>
      <c r="R214" s="14"/>
      <c r="S214" s="14"/>
      <c r="T214" s="5"/>
      <c r="U214" s="5"/>
      <c r="V214" s="5"/>
      <c r="W214" s="5"/>
      <c r="X214" s="5"/>
    </row>
    <row r="215" spans="1:24" ht="15.75" customHeight="1" thickBot="1">
      <c r="A215" s="1">
        <v>50404</v>
      </c>
      <c r="B215" s="2" t="s">
        <v>27</v>
      </c>
      <c r="C215" s="2" t="s">
        <v>277</v>
      </c>
      <c r="D215" s="3" t="s">
        <v>287</v>
      </c>
      <c r="E215" s="30">
        <v>85.682451253481901</v>
      </c>
      <c r="F215" s="31">
        <v>90.368671723408013</v>
      </c>
      <c r="G215" s="34">
        <v>62</v>
      </c>
      <c r="H215" s="35">
        <v>72</v>
      </c>
      <c r="I215" s="9">
        <f t="shared" si="17"/>
        <v>0.72360208062418718</v>
      </c>
      <c r="J215" s="9">
        <f t="shared" si="18"/>
        <v>1.1612903225806452</v>
      </c>
      <c r="K215" s="5"/>
      <c r="L215" s="6"/>
      <c r="M215" s="6"/>
      <c r="N215" s="13"/>
      <c r="O215" s="14"/>
      <c r="P215" s="14"/>
      <c r="Q215" s="14"/>
      <c r="R215" s="14"/>
      <c r="S215" s="14"/>
      <c r="T215" s="5"/>
      <c r="U215" s="5"/>
      <c r="V215" s="5"/>
      <c r="W215" s="5"/>
      <c r="X215" s="5"/>
    </row>
    <row r="216" spans="1:24" ht="15.75" customHeight="1" thickBot="1">
      <c r="A216" s="1">
        <v>50405</v>
      </c>
      <c r="B216" s="2" t="s">
        <v>27</v>
      </c>
      <c r="C216" s="2" t="s">
        <v>277</v>
      </c>
      <c r="D216" s="3" t="s">
        <v>288</v>
      </c>
      <c r="E216" s="30">
        <v>82.421471759327531</v>
      </c>
      <c r="F216" s="31">
        <v>89.466237942122177</v>
      </c>
      <c r="G216" s="34">
        <v>61</v>
      </c>
      <c r="H216" s="35">
        <v>74</v>
      </c>
      <c r="I216" s="9">
        <f t="shared" si="17"/>
        <v>0.74009840758633028</v>
      </c>
      <c r="J216" s="9">
        <f t="shared" si="18"/>
        <v>1.2131147540983607</v>
      </c>
      <c r="K216" s="5"/>
      <c r="L216" s="6"/>
      <c r="M216" s="6"/>
      <c r="N216" s="13"/>
      <c r="O216" s="14"/>
      <c r="P216" s="14"/>
      <c r="Q216" s="14"/>
      <c r="R216" s="14"/>
      <c r="S216" s="14"/>
      <c r="T216" s="5"/>
      <c r="U216" s="5"/>
      <c r="V216" s="5"/>
      <c r="W216" s="5"/>
      <c r="X216" s="5"/>
    </row>
    <row r="217" spans="1:24" ht="15.75" customHeight="1" thickBot="1">
      <c r="A217" s="1">
        <v>50501</v>
      </c>
      <c r="B217" s="2" t="s">
        <v>27</v>
      </c>
      <c r="C217" s="2" t="s">
        <v>289</v>
      </c>
      <c r="D217" s="3" t="s">
        <v>290</v>
      </c>
      <c r="E217" s="30">
        <v>80.026294498381873</v>
      </c>
      <c r="F217" s="31">
        <v>88.361469712015889</v>
      </c>
      <c r="G217" s="34">
        <v>60</v>
      </c>
      <c r="H217" s="35">
        <v>77</v>
      </c>
      <c r="I217" s="9">
        <f t="shared" si="17"/>
        <v>0.74975357007456089</v>
      </c>
      <c r="J217" s="9">
        <f t="shared" si="18"/>
        <v>1.2833333333333334</v>
      </c>
      <c r="K217" s="5"/>
      <c r="L217" s="6"/>
      <c r="M217" s="6"/>
      <c r="N217" s="13"/>
      <c r="O217" s="14"/>
      <c r="P217" s="14"/>
      <c r="Q217" s="14"/>
      <c r="R217" s="14"/>
      <c r="S217" s="14"/>
      <c r="T217" s="5"/>
      <c r="U217" s="5"/>
      <c r="V217" s="5"/>
      <c r="W217" s="5"/>
      <c r="X217" s="5"/>
    </row>
    <row r="218" spans="1:24" ht="15.75" customHeight="1" thickBot="1">
      <c r="A218" s="1">
        <v>50502</v>
      </c>
      <c r="B218" s="2" t="s">
        <v>27</v>
      </c>
      <c r="C218" s="2" t="s">
        <v>289</v>
      </c>
      <c r="D218" s="3" t="s">
        <v>291</v>
      </c>
      <c r="E218" s="30">
        <v>79.936397802833199</v>
      </c>
      <c r="F218" s="31">
        <v>89.429800968262512</v>
      </c>
      <c r="G218" s="34">
        <v>53</v>
      </c>
      <c r="H218" s="35">
        <v>78</v>
      </c>
      <c r="I218" s="9">
        <f t="shared" si="17"/>
        <v>0.66302712477396009</v>
      </c>
      <c r="J218" s="9">
        <f t="shared" si="18"/>
        <v>1.4716981132075471</v>
      </c>
      <c r="K218" s="5"/>
      <c r="L218" s="6"/>
      <c r="M218" s="6"/>
      <c r="N218" s="13"/>
      <c r="O218" s="14"/>
      <c r="P218" s="14"/>
      <c r="Q218" s="14"/>
      <c r="R218" s="14"/>
      <c r="S218" s="14"/>
      <c r="T218" s="5"/>
      <c r="U218" s="5"/>
      <c r="V218" s="5"/>
      <c r="W218" s="5"/>
      <c r="X218" s="5"/>
    </row>
    <row r="219" spans="1:24" ht="15.75" customHeight="1" thickBot="1">
      <c r="A219" s="1">
        <v>50601</v>
      </c>
      <c r="B219" s="2" t="s">
        <v>27</v>
      </c>
      <c r="C219" s="2" t="s">
        <v>292</v>
      </c>
      <c r="D219" s="3" t="s">
        <v>293</v>
      </c>
      <c r="E219" s="30">
        <v>81.850500514547662</v>
      </c>
      <c r="F219" s="31">
        <v>85.912106933358984</v>
      </c>
      <c r="G219" s="34">
        <v>53</v>
      </c>
      <c r="H219" s="35">
        <v>70</v>
      </c>
      <c r="I219" s="9">
        <f t="shared" si="17"/>
        <v>0.64752200251457315</v>
      </c>
      <c r="J219" s="9">
        <f t="shared" si="18"/>
        <v>1.320754716981132</v>
      </c>
      <c r="K219" s="5"/>
      <c r="L219" s="6"/>
      <c r="M219" s="6"/>
      <c r="N219" s="13"/>
      <c r="O219" s="14"/>
      <c r="P219" s="14"/>
      <c r="Q219" s="14"/>
      <c r="R219" s="14"/>
      <c r="S219" s="14"/>
      <c r="T219" s="5"/>
      <c r="U219" s="5"/>
      <c r="V219" s="5"/>
      <c r="W219" s="5"/>
      <c r="X219" s="5"/>
    </row>
    <row r="220" spans="1:24" ht="15.75" customHeight="1" thickBot="1">
      <c r="A220" s="1">
        <v>50602</v>
      </c>
      <c r="B220" s="2" t="s">
        <v>27</v>
      </c>
      <c r="C220" s="2" t="s">
        <v>292</v>
      </c>
      <c r="D220" s="3" t="s">
        <v>294</v>
      </c>
      <c r="E220" s="30">
        <v>76.179104477611929</v>
      </c>
      <c r="F220" s="31">
        <v>85.601577909270219</v>
      </c>
      <c r="G220" s="34">
        <v>48</v>
      </c>
      <c r="H220" s="35">
        <v>71</v>
      </c>
      <c r="I220" s="9">
        <f t="shared" si="17"/>
        <v>0.6300940438871474</v>
      </c>
      <c r="J220" s="9">
        <f t="shared" si="18"/>
        <v>1.4791666666666667</v>
      </c>
      <c r="K220" s="5"/>
      <c r="L220" s="6"/>
      <c r="M220" s="6"/>
      <c r="N220" s="13"/>
      <c r="O220" s="14"/>
      <c r="P220" s="14"/>
      <c r="Q220" s="14"/>
      <c r="R220" s="14"/>
      <c r="S220" s="14"/>
      <c r="T220" s="5"/>
      <c r="U220" s="5"/>
      <c r="V220" s="5"/>
      <c r="W220" s="5"/>
      <c r="X220" s="5"/>
    </row>
    <row r="221" spans="1:24" ht="15.75" customHeight="1" thickBot="1">
      <c r="A221" s="1">
        <v>50701</v>
      </c>
      <c r="B221" s="2" t="s">
        <v>27</v>
      </c>
      <c r="C221" s="2" t="s">
        <v>295</v>
      </c>
      <c r="D221" s="3" t="s">
        <v>296</v>
      </c>
      <c r="E221" s="30">
        <v>84.855618330194602</v>
      </c>
      <c r="F221" s="31">
        <v>89.292861907938629</v>
      </c>
      <c r="G221" s="34">
        <v>72</v>
      </c>
      <c r="H221" s="35">
        <v>79</v>
      </c>
      <c r="I221" s="9">
        <f t="shared" si="17"/>
        <v>0.84850009247272051</v>
      </c>
      <c r="J221" s="9">
        <f t="shared" si="18"/>
        <v>1.0972222222222223</v>
      </c>
      <c r="K221" s="5"/>
      <c r="L221" s="6"/>
      <c r="M221" s="6"/>
      <c r="N221" s="13"/>
      <c r="O221" s="14"/>
      <c r="P221" s="14"/>
      <c r="Q221" s="14"/>
      <c r="R221" s="14"/>
      <c r="S221" s="14"/>
      <c r="T221" s="5"/>
      <c r="U221" s="5"/>
      <c r="V221" s="5"/>
      <c r="W221" s="5"/>
      <c r="X221" s="5"/>
    </row>
    <row r="222" spans="1:24" ht="15.75" customHeight="1" thickBot="1">
      <c r="A222" s="1">
        <v>50702</v>
      </c>
      <c r="B222" s="2" t="s">
        <v>27</v>
      </c>
      <c r="C222" s="2" t="s">
        <v>295</v>
      </c>
      <c r="D222" s="3" t="s">
        <v>297</v>
      </c>
      <c r="E222" s="30">
        <v>84.875328083989501</v>
      </c>
      <c r="F222" s="31">
        <v>88.869100623330368</v>
      </c>
      <c r="G222" s="34">
        <v>75</v>
      </c>
      <c r="H222" s="35">
        <v>79</v>
      </c>
      <c r="I222" s="9">
        <f t="shared" si="17"/>
        <v>0.8836490143022806</v>
      </c>
      <c r="J222" s="9">
        <f t="shared" si="18"/>
        <v>1.0533333333333332</v>
      </c>
      <c r="K222" s="5"/>
      <c r="L222" s="6"/>
      <c r="M222" s="6"/>
      <c r="N222" s="13"/>
      <c r="O222" s="14"/>
      <c r="P222" s="14"/>
      <c r="Q222" s="14"/>
      <c r="R222" s="14"/>
      <c r="S222" s="14"/>
      <c r="T222" s="5"/>
      <c r="U222" s="5"/>
      <c r="V222" s="5"/>
      <c r="W222" s="5"/>
      <c r="X222" s="5"/>
    </row>
    <row r="223" spans="1:24" ht="15.75" customHeight="1" thickBot="1">
      <c r="A223" s="1">
        <v>50801</v>
      </c>
      <c r="B223" s="2" t="s">
        <v>27</v>
      </c>
      <c r="C223" s="2" t="s">
        <v>298</v>
      </c>
      <c r="D223" s="3" t="s">
        <v>299</v>
      </c>
      <c r="E223" s="30">
        <v>73.266052560281764</v>
      </c>
      <c r="F223" s="31">
        <v>78.784229208924955</v>
      </c>
      <c r="G223" s="34">
        <v>52</v>
      </c>
      <c r="H223" s="35">
        <v>63</v>
      </c>
      <c r="I223" s="9">
        <f t="shared" si="17"/>
        <v>0.70974207266340017</v>
      </c>
      <c r="J223" s="9">
        <f t="shared" si="18"/>
        <v>1.2115384615384615</v>
      </c>
      <c r="K223" s="5"/>
      <c r="L223" s="6"/>
      <c r="M223" s="6"/>
      <c r="N223" s="13"/>
      <c r="O223" s="14"/>
      <c r="P223" s="14"/>
      <c r="Q223" s="14"/>
      <c r="R223" s="14"/>
      <c r="S223" s="14"/>
      <c r="T223" s="5"/>
      <c r="U223" s="5"/>
      <c r="V223" s="5"/>
      <c r="W223" s="5"/>
      <c r="X223" s="5"/>
    </row>
    <row r="224" spans="1:24" ht="15.75" customHeight="1" thickBot="1">
      <c r="A224" s="1">
        <v>50802</v>
      </c>
      <c r="B224" s="2" t="s">
        <v>27</v>
      </c>
      <c r="C224" s="2" t="s">
        <v>298</v>
      </c>
      <c r="D224" s="3" t="s">
        <v>300</v>
      </c>
      <c r="E224" s="30">
        <v>78.89237199582027</v>
      </c>
      <c r="F224" s="31">
        <v>84.042249500428198</v>
      </c>
      <c r="G224" s="34">
        <v>45</v>
      </c>
      <c r="H224" s="35">
        <v>55</v>
      </c>
      <c r="I224" s="9">
        <f t="shared" si="17"/>
        <v>0.57039735099337752</v>
      </c>
      <c r="J224" s="9">
        <f t="shared" si="18"/>
        <v>1.2222222222222223</v>
      </c>
      <c r="K224" s="5"/>
      <c r="L224" s="6"/>
      <c r="M224" s="6"/>
      <c r="N224" s="13"/>
      <c r="O224" s="14"/>
      <c r="P224" s="14"/>
      <c r="Q224" s="14"/>
      <c r="R224" s="14"/>
      <c r="S224" s="14"/>
      <c r="T224" s="5"/>
      <c r="U224" s="5"/>
      <c r="V224" s="5"/>
      <c r="W224" s="5"/>
      <c r="X224" s="5"/>
    </row>
    <row r="225" spans="1:24" ht="15.75" customHeight="1" thickBot="1">
      <c r="A225" s="1">
        <v>50901</v>
      </c>
      <c r="B225" s="2" t="s">
        <v>27</v>
      </c>
      <c r="C225" s="2" t="s">
        <v>301</v>
      </c>
      <c r="D225" s="3" t="s">
        <v>302</v>
      </c>
      <c r="E225" s="30">
        <v>80.322142441296336</v>
      </c>
      <c r="F225" s="31">
        <v>81.548886737657313</v>
      </c>
      <c r="G225" s="34">
        <v>54</v>
      </c>
      <c r="H225" s="35">
        <v>65</v>
      </c>
      <c r="I225" s="9">
        <f t="shared" si="17"/>
        <v>0.67229282435370863</v>
      </c>
      <c r="J225" s="9">
        <f t="shared" si="18"/>
        <v>1.2037037037037037</v>
      </c>
      <c r="K225" s="5"/>
      <c r="L225" s="6"/>
      <c r="M225" s="6"/>
      <c r="N225" s="13"/>
      <c r="O225" s="14"/>
      <c r="P225" s="14"/>
      <c r="Q225" s="14"/>
      <c r="R225" s="14"/>
      <c r="S225" s="14"/>
      <c r="T225" s="5"/>
      <c r="U225" s="5"/>
      <c r="V225" s="5"/>
      <c r="W225" s="5"/>
      <c r="X225" s="5"/>
    </row>
    <row r="226" spans="1:24" ht="15.75" customHeight="1" thickBot="1">
      <c r="A226" s="1">
        <v>50902</v>
      </c>
      <c r="B226" s="2" t="s">
        <v>27</v>
      </c>
      <c r="C226" s="2" t="s">
        <v>301</v>
      </c>
      <c r="D226" s="3" t="s">
        <v>303</v>
      </c>
      <c r="E226" s="30">
        <v>84.009546539379471</v>
      </c>
      <c r="F226" s="31">
        <v>81.507823613086771</v>
      </c>
      <c r="G226" s="34">
        <v>69</v>
      </c>
      <c r="H226" s="35">
        <v>69</v>
      </c>
      <c r="I226" s="9">
        <f t="shared" si="17"/>
        <v>0.82133522727272734</v>
      </c>
      <c r="J226" s="9">
        <f t="shared" si="18"/>
        <v>1</v>
      </c>
      <c r="K226" s="5"/>
      <c r="L226" s="6"/>
      <c r="M226" s="6"/>
      <c r="N226" s="13"/>
      <c r="O226" s="14"/>
      <c r="P226" s="14"/>
      <c r="Q226" s="14"/>
      <c r="R226" s="14"/>
      <c r="S226" s="14"/>
      <c r="T226" s="5"/>
      <c r="U226" s="5"/>
      <c r="V226" s="5"/>
      <c r="W226" s="5"/>
      <c r="X226" s="5"/>
    </row>
    <row r="227" spans="1:24" ht="15.75" customHeight="1" thickBot="1">
      <c r="A227" s="1">
        <v>51001</v>
      </c>
      <c r="B227" s="2" t="s">
        <v>27</v>
      </c>
      <c r="C227" s="2" t="s">
        <v>304</v>
      </c>
      <c r="D227" s="3" t="s">
        <v>305</v>
      </c>
      <c r="E227" s="30">
        <v>77.952105697770435</v>
      </c>
      <c r="F227" s="31">
        <v>82.794759825327517</v>
      </c>
      <c r="G227" s="34">
        <v>57</v>
      </c>
      <c r="H227" s="35">
        <v>68</v>
      </c>
      <c r="I227" s="9">
        <f t="shared" si="17"/>
        <v>0.73121822033898309</v>
      </c>
      <c r="J227" s="9">
        <f t="shared" si="18"/>
        <v>1.1929824561403508</v>
      </c>
      <c r="K227" s="5"/>
      <c r="L227" s="6"/>
      <c r="M227" s="6"/>
      <c r="N227" s="13"/>
      <c r="O227" s="14"/>
      <c r="P227" s="14"/>
      <c r="Q227" s="14"/>
      <c r="R227" s="14"/>
      <c r="S227" s="14"/>
      <c r="T227" s="5"/>
      <c r="U227" s="5"/>
      <c r="V227" s="5"/>
      <c r="W227" s="5"/>
      <c r="X227" s="5"/>
    </row>
    <row r="228" spans="1:24" ht="15.75" customHeight="1" thickBot="1">
      <c r="A228" s="1">
        <v>51002</v>
      </c>
      <c r="B228" s="2" t="s">
        <v>27</v>
      </c>
      <c r="C228" s="2" t="s">
        <v>304</v>
      </c>
      <c r="D228" s="3" t="s">
        <v>306</v>
      </c>
      <c r="E228" s="30">
        <v>76.691729323308266</v>
      </c>
      <c r="F228" s="31">
        <v>81.102362204724415</v>
      </c>
      <c r="G228" s="34">
        <v>26</v>
      </c>
      <c r="H228" s="35">
        <v>69</v>
      </c>
      <c r="I228" s="9">
        <f t="shared" si="17"/>
        <v>0.33901960784313728</v>
      </c>
      <c r="J228" s="9">
        <f t="shared" si="18"/>
        <v>2.6538461538461537</v>
      </c>
      <c r="K228" s="5"/>
      <c r="L228" s="6"/>
      <c r="M228" s="6"/>
      <c r="N228" s="13"/>
      <c r="O228" s="14"/>
      <c r="P228" s="14"/>
      <c r="Q228" s="14"/>
      <c r="R228" s="14"/>
      <c r="S228" s="14"/>
      <c r="T228" s="5"/>
      <c r="U228" s="5"/>
      <c r="V228" s="5"/>
      <c r="W228" s="5"/>
      <c r="X228" s="5"/>
    </row>
    <row r="229" spans="1:24" ht="15.75" customHeight="1" thickBot="1">
      <c r="A229" s="1">
        <v>51003</v>
      </c>
      <c r="B229" s="2" t="s">
        <v>27</v>
      </c>
      <c r="C229" s="2" t="s">
        <v>304</v>
      </c>
      <c r="D229" s="3" t="s">
        <v>307</v>
      </c>
      <c r="E229" s="30">
        <v>81.767955801104975</v>
      </c>
      <c r="F229" s="31">
        <v>81.899109792284861</v>
      </c>
      <c r="G229" s="34">
        <v>58</v>
      </c>
      <c r="H229" s="35">
        <v>57</v>
      </c>
      <c r="I229" s="9">
        <f t="shared" si="17"/>
        <v>0.70932432432432435</v>
      </c>
      <c r="J229" s="9">
        <f t="shared" si="18"/>
        <v>0.98275862068965514</v>
      </c>
      <c r="K229" s="5"/>
      <c r="L229" s="6"/>
      <c r="M229" s="6"/>
      <c r="N229" s="13"/>
      <c r="O229" s="14"/>
      <c r="P229" s="14"/>
      <c r="Q229" s="14"/>
      <c r="R229" s="14"/>
      <c r="S229" s="14"/>
      <c r="T229" s="5"/>
      <c r="U229" s="5"/>
      <c r="V229" s="5"/>
      <c r="W229" s="5"/>
      <c r="X229" s="5"/>
    </row>
    <row r="230" spans="1:24" ht="15.75" customHeight="1" thickBot="1">
      <c r="A230" s="1">
        <v>51101</v>
      </c>
      <c r="B230" s="2" t="s">
        <v>27</v>
      </c>
      <c r="C230" s="2" t="s">
        <v>308</v>
      </c>
      <c r="D230" s="3" t="s">
        <v>309</v>
      </c>
      <c r="E230" s="30">
        <v>76.907996078980531</v>
      </c>
      <c r="F230" s="31">
        <v>85.173066988117782</v>
      </c>
      <c r="G230" s="34">
        <v>54</v>
      </c>
      <c r="H230" s="35">
        <v>74</v>
      </c>
      <c r="I230" s="9">
        <f t="shared" si="17"/>
        <v>0.70213765477057544</v>
      </c>
      <c r="J230" s="9">
        <f t="shared" si="18"/>
        <v>1.3703703703703705</v>
      </c>
      <c r="K230" s="5"/>
      <c r="L230" s="6"/>
      <c r="M230" s="6"/>
      <c r="N230" s="13"/>
      <c r="O230" s="14"/>
      <c r="P230" s="14"/>
      <c r="Q230" s="14"/>
      <c r="R230" s="14"/>
      <c r="S230" s="14"/>
      <c r="T230" s="5"/>
      <c r="U230" s="5"/>
      <c r="V230" s="5"/>
      <c r="W230" s="5"/>
      <c r="X230" s="5"/>
    </row>
    <row r="231" spans="1:24" ht="15.75" customHeight="1" thickBot="1">
      <c r="A231" s="1">
        <v>51102</v>
      </c>
      <c r="B231" s="2" t="s">
        <v>27</v>
      </c>
      <c r="C231" s="2" t="s">
        <v>308</v>
      </c>
      <c r="D231" s="3" t="s">
        <v>310</v>
      </c>
      <c r="E231" s="30">
        <v>74.794586756887384</v>
      </c>
      <c r="F231" s="31">
        <v>82.62411347517731</v>
      </c>
      <c r="G231" s="34">
        <v>50</v>
      </c>
      <c r="H231" s="35">
        <v>64</v>
      </c>
      <c r="I231" s="9">
        <f t="shared" si="17"/>
        <v>0.66849757673667209</v>
      </c>
      <c r="J231" s="9">
        <f t="shared" si="18"/>
        <v>1.28</v>
      </c>
      <c r="K231" s="5"/>
      <c r="L231" s="6"/>
      <c r="M231" s="6"/>
      <c r="N231" s="13"/>
      <c r="O231" s="14"/>
      <c r="P231" s="14"/>
      <c r="Q231" s="14"/>
      <c r="R231" s="14"/>
      <c r="S231" s="14"/>
      <c r="T231" s="5"/>
      <c r="U231" s="5"/>
      <c r="V231" s="5"/>
      <c r="W231" s="5"/>
      <c r="X231" s="5"/>
    </row>
    <row r="232" spans="1:24" ht="15.75" customHeight="1" thickBot="1">
      <c r="A232" s="1">
        <v>51103</v>
      </c>
      <c r="B232" s="2" t="s">
        <v>27</v>
      </c>
      <c r="C232" s="2" t="s">
        <v>308</v>
      </c>
      <c r="D232" s="3" t="s">
        <v>311</v>
      </c>
      <c r="E232" s="30">
        <v>80.898641588296755</v>
      </c>
      <c r="F232" s="31">
        <v>88.802083333333343</v>
      </c>
      <c r="G232" s="34">
        <v>54</v>
      </c>
      <c r="H232" s="35">
        <v>74</v>
      </c>
      <c r="I232" s="9">
        <f t="shared" si="17"/>
        <v>0.66750193748385434</v>
      </c>
      <c r="J232" s="9">
        <f t="shared" si="18"/>
        <v>1.3703703703703705</v>
      </c>
      <c r="K232" s="5"/>
      <c r="L232" s="6"/>
      <c r="M232" s="6"/>
      <c r="N232" s="13"/>
      <c r="O232" s="14"/>
      <c r="P232" s="14"/>
      <c r="Q232" s="14"/>
      <c r="R232" s="14"/>
      <c r="S232" s="14"/>
      <c r="T232" s="5"/>
      <c r="U232" s="5"/>
      <c r="V232" s="5"/>
      <c r="W232" s="5"/>
      <c r="X232" s="5"/>
    </row>
    <row r="233" spans="1:24" ht="15.75" customHeight="1" thickBot="1">
      <c r="A233" s="1">
        <v>51201</v>
      </c>
      <c r="B233" s="2" t="s">
        <v>27</v>
      </c>
      <c r="C233" s="2" t="s">
        <v>312</v>
      </c>
      <c r="D233" s="3" t="s">
        <v>313</v>
      </c>
      <c r="E233" s="30">
        <v>73.872472783825813</v>
      </c>
      <c r="F233" s="31">
        <v>79.61034598589184</v>
      </c>
      <c r="G233" s="34">
        <v>55</v>
      </c>
      <c r="H233" s="35">
        <v>66</v>
      </c>
      <c r="I233" s="9">
        <f t="shared" si="17"/>
        <v>0.7445263157894737</v>
      </c>
      <c r="J233" s="9">
        <f t="shared" si="18"/>
        <v>1.2</v>
      </c>
      <c r="K233" s="5"/>
      <c r="L233" s="6"/>
      <c r="M233" s="6"/>
      <c r="N233" s="13"/>
      <c r="O233" s="14"/>
      <c r="P233" s="14"/>
      <c r="Q233" s="14"/>
      <c r="R233" s="14"/>
      <c r="S233" s="14"/>
      <c r="T233" s="5"/>
      <c r="U233" s="5"/>
      <c r="V233" s="5"/>
      <c r="W233" s="5"/>
      <c r="X233" s="5"/>
    </row>
    <row r="234" spans="1:24" ht="15.75" customHeight="1" thickBot="1">
      <c r="A234" s="1">
        <v>51202</v>
      </c>
      <c r="B234" s="2" t="s">
        <v>27</v>
      </c>
      <c r="C234" s="2" t="s">
        <v>312</v>
      </c>
      <c r="D234" s="3" t="s">
        <v>314</v>
      </c>
      <c r="E234" s="30">
        <v>75.84233947870311</v>
      </c>
      <c r="F234" s="31">
        <v>83.706865884027039</v>
      </c>
      <c r="G234" s="34">
        <v>53</v>
      </c>
      <c r="H234" s="35">
        <v>70</v>
      </c>
      <c r="I234" s="9">
        <f t="shared" si="17"/>
        <v>0.69881810561609392</v>
      </c>
      <c r="J234" s="9">
        <f t="shared" si="18"/>
        <v>1.320754716981132</v>
      </c>
      <c r="K234" s="5"/>
      <c r="L234" s="6"/>
      <c r="M234" s="6"/>
      <c r="N234" s="13"/>
      <c r="O234" s="14"/>
      <c r="P234" s="14"/>
      <c r="Q234" s="14"/>
      <c r="R234" s="14"/>
      <c r="S234" s="14"/>
      <c r="T234" s="5"/>
      <c r="U234" s="5"/>
      <c r="V234" s="5"/>
      <c r="W234" s="5"/>
      <c r="X234" s="5"/>
    </row>
    <row r="235" spans="1:24" ht="15.75" customHeight="1" thickBot="1">
      <c r="A235" s="1">
        <v>51203</v>
      </c>
      <c r="B235" s="2" t="s">
        <v>27</v>
      </c>
      <c r="C235" s="2" t="s">
        <v>312</v>
      </c>
      <c r="D235" s="3" t="s">
        <v>315</v>
      </c>
      <c r="E235" s="30">
        <v>79.76324689966178</v>
      </c>
      <c r="F235" s="31">
        <v>87.408726625111314</v>
      </c>
      <c r="G235" s="34">
        <v>28</v>
      </c>
      <c r="H235" s="35">
        <v>53</v>
      </c>
      <c r="I235" s="9">
        <f t="shared" si="17"/>
        <v>0.35103886925795053</v>
      </c>
      <c r="J235" s="9">
        <f t="shared" si="18"/>
        <v>1.8928571428571428</v>
      </c>
      <c r="K235" s="5"/>
      <c r="L235" s="6"/>
      <c r="M235" s="6"/>
      <c r="N235" s="13"/>
      <c r="O235" s="14"/>
      <c r="P235" s="14"/>
      <c r="Q235" s="14"/>
      <c r="R235" s="14"/>
      <c r="S235" s="14"/>
      <c r="T235" s="5"/>
      <c r="U235" s="5"/>
      <c r="V235" s="5"/>
      <c r="W235" s="5"/>
      <c r="X235" s="5"/>
    </row>
    <row r="236" spans="1:24" ht="15.75" customHeight="1" thickBot="1">
      <c r="A236" s="1">
        <v>51204</v>
      </c>
      <c r="B236" s="2" t="s">
        <v>27</v>
      </c>
      <c r="C236" s="2"/>
      <c r="D236" s="3" t="s">
        <v>316</v>
      </c>
      <c r="E236" s="30">
        <v>75.596529284164859</v>
      </c>
      <c r="F236" s="31">
        <v>83.798882681564251</v>
      </c>
      <c r="G236" s="34">
        <v>50</v>
      </c>
      <c r="H236" s="35">
        <v>68</v>
      </c>
      <c r="I236" s="9">
        <f t="shared" si="17"/>
        <v>0.66140602582496411</v>
      </c>
      <c r="J236" s="9">
        <f t="shared" si="18"/>
        <v>1.36</v>
      </c>
      <c r="K236" s="5"/>
      <c r="L236" s="6"/>
      <c r="M236" s="6"/>
      <c r="N236" s="13"/>
      <c r="O236" s="14"/>
      <c r="P236" s="14"/>
      <c r="Q236" s="14"/>
      <c r="R236" s="14"/>
      <c r="S236" s="14"/>
      <c r="T236" s="5"/>
      <c r="U236" s="5"/>
      <c r="V236" s="5"/>
      <c r="W236" s="5"/>
      <c r="X236" s="5"/>
    </row>
    <row r="237" spans="1:24" ht="15.75" customHeight="1" thickBot="1">
      <c r="A237" s="1">
        <v>51301</v>
      </c>
      <c r="B237" s="2" t="s">
        <v>27</v>
      </c>
      <c r="C237" s="2" t="s">
        <v>317</v>
      </c>
      <c r="D237" s="3" t="s">
        <v>318</v>
      </c>
      <c r="E237" s="30">
        <v>83.795620437956202</v>
      </c>
      <c r="F237" s="31">
        <v>92.900302114803623</v>
      </c>
      <c r="G237" s="34">
        <v>55</v>
      </c>
      <c r="H237" s="35">
        <v>81</v>
      </c>
      <c r="I237" s="9">
        <f t="shared" si="17"/>
        <v>0.65635888501742157</v>
      </c>
      <c r="J237" s="9">
        <f t="shared" si="18"/>
        <v>1.4727272727272727</v>
      </c>
      <c r="K237" s="5"/>
      <c r="L237" s="6"/>
      <c r="M237" s="6"/>
      <c r="N237" s="13"/>
      <c r="O237" s="14"/>
      <c r="P237" s="14"/>
      <c r="Q237" s="14"/>
      <c r="R237" s="14"/>
      <c r="S237" s="14"/>
      <c r="T237" s="5"/>
      <c r="U237" s="5"/>
      <c r="V237" s="5"/>
      <c r="W237" s="5"/>
      <c r="X237" s="5"/>
    </row>
    <row r="238" spans="1:24" ht="15.75" customHeight="1" thickBot="1">
      <c r="A238" s="1">
        <v>51302</v>
      </c>
      <c r="B238" s="2" t="s">
        <v>27</v>
      </c>
      <c r="C238" s="2" t="s">
        <v>317</v>
      </c>
      <c r="D238" s="3" t="s">
        <v>319</v>
      </c>
      <c r="E238" s="30">
        <v>78.110480123902946</v>
      </c>
      <c r="F238" s="31">
        <v>91.287878787878782</v>
      </c>
      <c r="G238" s="34">
        <v>52</v>
      </c>
      <c r="H238" s="35">
        <v>81</v>
      </c>
      <c r="I238" s="9">
        <f t="shared" si="17"/>
        <v>0.66572372769332444</v>
      </c>
      <c r="J238" s="9">
        <f t="shared" si="18"/>
        <v>1.5576923076923077</v>
      </c>
      <c r="K238" s="5"/>
      <c r="L238" s="6"/>
      <c r="M238" s="6"/>
      <c r="N238" s="13"/>
      <c r="O238" s="14"/>
      <c r="P238" s="14"/>
      <c r="Q238" s="14"/>
      <c r="R238" s="14"/>
      <c r="S238" s="14"/>
      <c r="T238" s="5"/>
      <c r="U238" s="5"/>
      <c r="V238" s="5"/>
      <c r="W238" s="5"/>
      <c r="X238" s="5"/>
    </row>
    <row r="239" spans="1:24" ht="15.75" customHeight="1" thickBot="1">
      <c r="A239" s="1">
        <v>51401</v>
      </c>
      <c r="B239" s="2" t="s">
        <v>27</v>
      </c>
      <c r="C239" s="2" t="s">
        <v>320</v>
      </c>
      <c r="D239" s="3" t="s">
        <v>321</v>
      </c>
      <c r="E239" s="30">
        <v>81.246182040317649</v>
      </c>
      <c r="F239" s="31">
        <v>77.385377942998758</v>
      </c>
      <c r="G239" s="34">
        <v>69</v>
      </c>
      <c r="H239" s="35">
        <v>66</v>
      </c>
      <c r="I239" s="9">
        <f t="shared" si="17"/>
        <v>0.8492706766917294</v>
      </c>
      <c r="J239" s="9">
        <f t="shared" si="18"/>
        <v>0.95652173913043481</v>
      </c>
      <c r="K239" s="5"/>
      <c r="L239" s="6"/>
      <c r="M239" s="6"/>
      <c r="N239" s="13"/>
      <c r="O239" s="14"/>
      <c r="P239" s="14"/>
      <c r="Q239" s="14"/>
      <c r="R239" s="14"/>
      <c r="S239" s="14"/>
      <c r="T239" s="5"/>
      <c r="U239" s="5"/>
      <c r="V239" s="5"/>
      <c r="W239" s="5"/>
      <c r="X239" s="5"/>
    </row>
    <row r="240" spans="1:24" ht="15.75" customHeight="1" thickBot="1">
      <c r="A240" s="1">
        <v>51402</v>
      </c>
      <c r="B240" s="2" t="s">
        <v>27</v>
      </c>
      <c r="C240" s="2" t="s">
        <v>320</v>
      </c>
      <c r="D240" s="3" t="s">
        <v>322</v>
      </c>
      <c r="E240" s="30">
        <v>78.449612403100772</v>
      </c>
      <c r="F240" s="31">
        <v>82.081911262798641</v>
      </c>
      <c r="G240" s="34">
        <v>63</v>
      </c>
      <c r="H240" s="35">
        <v>69</v>
      </c>
      <c r="I240" s="9">
        <f t="shared" si="17"/>
        <v>0.80306324110671945</v>
      </c>
      <c r="J240" s="9">
        <f t="shared" si="18"/>
        <v>1.0952380952380953</v>
      </c>
      <c r="K240" s="5"/>
      <c r="L240" s="6"/>
      <c r="M240" s="6"/>
      <c r="N240" s="13"/>
      <c r="O240" s="14"/>
      <c r="P240" s="14"/>
      <c r="Q240" s="14"/>
      <c r="R240" s="14"/>
      <c r="S240" s="14"/>
      <c r="T240" s="5"/>
      <c r="U240" s="5"/>
      <c r="V240" s="5"/>
      <c r="W240" s="5"/>
      <c r="X240" s="5"/>
    </row>
    <row r="241" spans="1:24" ht="15.75" customHeight="1" thickBot="1">
      <c r="A241" s="1">
        <v>51501</v>
      </c>
      <c r="B241" s="2" t="s">
        <v>27</v>
      </c>
      <c r="C241" s="2" t="s">
        <v>323</v>
      </c>
      <c r="D241" s="3" t="s">
        <v>324</v>
      </c>
      <c r="E241" s="30">
        <v>74.812478093235185</v>
      </c>
      <c r="F241" s="31">
        <v>80.969070897128447</v>
      </c>
      <c r="G241" s="34">
        <v>55</v>
      </c>
      <c r="H241" s="35">
        <v>66</v>
      </c>
      <c r="I241" s="9">
        <f t="shared" si="17"/>
        <v>0.7351714767616192</v>
      </c>
      <c r="J241" s="9">
        <f t="shared" si="18"/>
        <v>1.2</v>
      </c>
      <c r="K241" s="5"/>
      <c r="L241" s="6"/>
      <c r="M241" s="6"/>
      <c r="N241" s="13"/>
      <c r="O241" s="14"/>
      <c r="P241" s="14"/>
      <c r="Q241" s="14"/>
      <c r="R241" s="14"/>
      <c r="S241" s="14"/>
      <c r="T241" s="5"/>
      <c r="U241" s="5"/>
      <c r="V241" s="5"/>
      <c r="W241" s="5"/>
      <c r="X241" s="5"/>
    </row>
    <row r="242" spans="1:24" ht="15.75" customHeight="1" thickBot="1">
      <c r="A242" s="1">
        <v>51601</v>
      </c>
      <c r="B242" s="2" t="s">
        <v>27</v>
      </c>
      <c r="C242" s="2" t="s">
        <v>325</v>
      </c>
      <c r="D242" s="3" t="s">
        <v>326</v>
      </c>
      <c r="E242" s="30">
        <v>79.518072289156621</v>
      </c>
      <c r="F242" s="31">
        <v>76.735218508997434</v>
      </c>
      <c r="G242" s="34">
        <v>58</v>
      </c>
      <c r="H242" s="35">
        <v>62</v>
      </c>
      <c r="I242" s="9">
        <f t="shared" si="17"/>
        <v>0.72939393939393948</v>
      </c>
      <c r="J242" s="9">
        <f t="shared" si="18"/>
        <v>1.0689655172413792</v>
      </c>
      <c r="K242" s="5"/>
      <c r="L242" s="6"/>
      <c r="M242" s="6"/>
      <c r="N242" s="13"/>
      <c r="O242" s="14"/>
      <c r="P242" s="14"/>
      <c r="Q242" s="14"/>
      <c r="R242" s="14"/>
      <c r="S242" s="14"/>
      <c r="T242" s="5"/>
      <c r="U242" s="5"/>
      <c r="V242" s="5"/>
      <c r="W242" s="5"/>
      <c r="X242" s="5"/>
    </row>
    <row r="243" spans="1:24" ht="15.75" customHeight="1" thickBot="1">
      <c r="A243" s="1">
        <v>60101</v>
      </c>
      <c r="B243" s="2" t="s">
        <v>30</v>
      </c>
      <c r="C243" s="2" t="s">
        <v>172</v>
      </c>
      <c r="D243" s="3" t="s">
        <v>30</v>
      </c>
      <c r="E243" s="30">
        <v>74.915859605742156</v>
      </c>
      <c r="F243" s="31">
        <v>77.814281462487685</v>
      </c>
      <c r="G243" s="34">
        <v>55</v>
      </c>
      <c r="H243" s="35">
        <v>64</v>
      </c>
      <c r="I243" s="9">
        <f t="shared" si="17"/>
        <v>0.73415696341798842</v>
      </c>
      <c r="J243" s="9">
        <f t="shared" si="18"/>
        <v>1.1636363636363636</v>
      </c>
      <c r="K243" s="5"/>
      <c r="L243" s="6"/>
      <c r="M243" s="6"/>
      <c r="N243" s="13"/>
      <c r="O243" s="14"/>
      <c r="P243" s="14"/>
      <c r="Q243" s="14"/>
      <c r="R243" s="14"/>
      <c r="S243" s="14"/>
      <c r="T243" s="5"/>
      <c r="U243" s="5"/>
      <c r="V243" s="5"/>
      <c r="W243" s="5"/>
      <c r="X243" s="5"/>
    </row>
    <row r="244" spans="1:24" ht="15.75" customHeight="1" thickBot="1">
      <c r="A244" s="1">
        <v>60201</v>
      </c>
      <c r="B244" s="2" t="s">
        <v>30</v>
      </c>
      <c r="C244" s="2" t="s">
        <v>327</v>
      </c>
      <c r="D244" s="3" t="s">
        <v>328</v>
      </c>
      <c r="E244" s="30">
        <v>84.902905533654547</v>
      </c>
      <c r="F244" s="31">
        <v>85.257498585172613</v>
      </c>
      <c r="G244" s="34">
        <v>53</v>
      </c>
      <c r="H244" s="35">
        <v>67</v>
      </c>
      <c r="I244" s="9">
        <f t="shared" si="17"/>
        <v>0.62424247635425623</v>
      </c>
      <c r="J244" s="9">
        <f t="shared" si="18"/>
        <v>1.2641509433962264</v>
      </c>
      <c r="K244" s="5"/>
      <c r="L244" s="6"/>
      <c r="M244" s="6"/>
      <c r="N244" s="13"/>
      <c r="O244" s="14"/>
      <c r="P244" s="14"/>
      <c r="Q244" s="14"/>
      <c r="R244" s="14"/>
      <c r="S244" s="14"/>
      <c r="T244" s="5"/>
      <c r="U244" s="5"/>
      <c r="V244" s="5"/>
      <c r="W244" s="5"/>
      <c r="X244" s="5"/>
    </row>
    <row r="245" spans="1:24" ht="15.75" customHeight="1" thickBot="1">
      <c r="A245" s="1">
        <v>60202</v>
      </c>
      <c r="B245" s="2" t="s">
        <v>30</v>
      </c>
      <c r="C245" s="2" t="s">
        <v>327</v>
      </c>
      <c r="D245" s="3" t="s">
        <v>329</v>
      </c>
      <c r="E245" s="30">
        <v>80.06068833346643</v>
      </c>
      <c r="F245" s="31">
        <v>80.302804295942721</v>
      </c>
      <c r="G245" s="34">
        <v>58</v>
      </c>
      <c r="H245" s="35">
        <v>65</v>
      </c>
      <c r="I245" s="9">
        <f t="shared" si="17"/>
        <v>0.72445042888489919</v>
      </c>
      <c r="J245" s="9">
        <f t="shared" si="18"/>
        <v>1.1206896551724137</v>
      </c>
      <c r="K245" s="5"/>
      <c r="L245" s="6"/>
      <c r="M245" s="6"/>
      <c r="N245" s="13"/>
      <c r="O245" s="14"/>
      <c r="P245" s="14"/>
      <c r="Q245" s="14"/>
      <c r="R245" s="14"/>
      <c r="S245" s="14"/>
      <c r="T245" s="5"/>
      <c r="U245" s="5"/>
      <c r="V245" s="5"/>
      <c r="W245" s="5"/>
      <c r="X245" s="5"/>
    </row>
    <row r="246" spans="1:24" ht="15.75" customHeight="1" thickBot="1">
      <c r="A246" s="1">
        <v>60301</v>
      </c>
      <c r="B246" s="2" t="s">
        <v>30</v>
      </c>
      <c r="C246" s="2" t="s">
        <v>40</v>
      </c>
      <c r="D246" s="3" t="s">
        <v>330</v>
      </c>
      <c r="E246" s="30">
        <v>77.657935285053924</v>
      </c>
      <c r="F246" s="31">
        <v>80.462032828648361</v>
      </c>
      <c r="G246" s="34">
        <v>51</v>
      </c>
      <c r="H246" s="35">
        <v>63</v>
      </c>
      <c r="I246" s="9">
        <f t="shared" si="17"/>
        <v>0.65672619047619052</v>
      </c>
      <c r="J246" s="9">
        <f t="shared" si="18"/>
        <v>1.2352941176470589</v>
      </c>
      <c r="K246" s="5"/>
      <c r="L246" s="6"/>
      <c r="M246" s="6"/>
      <c r="N246" s="13"/>
      <c r="O246" s="14"/>
      <c r="P246" s="14"/>
      <c r="Q246" s="14"/>
      <c r="R246" s="14"/>
      <c r="S246" s="14"/>
      <c r="T246" s="5"/>
      <c r="U246" s="5"/>
      <c r="V246" s="5"/>
      <c r="W246" s="5"/>
      <c r="X246" s="5"/>
    </row>
    <row r="247" spans="1:24" ht="15.75" customHeight="1" thickBot="1">
      <c r="A247" s="1">
        <v>60302</v>
      </c>
      <c r="B247" s="2" t="s">
        <v>30</v>
      </c>
      <c r="C247" s="2" t="s">
        <v>40</v>
      </c>
      <c r="D247" s="3" t="s">
        <v>331</v>
      </c>
      <c r="E247" s="30">
        <v>87.663003663003664</v>
      </c>
      <c r="F247" s="31">
        <v>82.698302736404571</v>
      </c>
      <c r="G247" s="34">
        <v>50</v>
      </c>
      <c r="H247" s="35">
        <v>64</v>
      </c>
      <c r="I247" s="9">
        <f t="shared" si="17"/>
        <v>0.57036603710513123</v>
      </c>
      <c r="J247" s="9">
        <f t="shared" si="18"/>
        <v>1.28</v>
      </c>
      <c r="K247" s="5"/>
      <c r="L247" s="6"/>
      <c r="M247" s="6"/>
      <c r="N247" s="13"/>
      <c r="O247" s="14"/>
      <c r="P247" s="14"/>
      <c r="Q247" s="14"/>
      <c r="R247" s="14"/>
      <c r="S247" s="14"/>
      <c r="T247" s="5"/>
      <c r="U247" s="5"/>
      <c r="V247" s="5"/>
      <c r="W247" s="5"/>
      <c r="X247" s="5"/>
    </row>
    <row r="248" spans="1:24" ht="15.75" customHeight="1" thickBot="1">
      <c r="A248" s="1">
        <v>60303</v>
      </c>
      <c r="B248" s="2" t="s">
        <v>30</v>
      </c>
      <c r="C248" s="2" t="s">
        <v>40</v>
      </c>
      <c r="D248" s="3" t="s">
        <v>332</v>
      </c>
      <c r="E248" s="30">
        <v>75.660830758668041</v>
      </c>
      <c r="F248" s="31">
        <v>78.068174813536345</v>
      </c>
      <c r="G248" s="34">
        <v>51</v>
      </c>
      <c r="H248" s="35">
        <v>61</v>
      </c>
      <c r="I248" s="9">
        <f t="shared" si="17"/>
        <v>0.67406079854809431</v>
      </c>
      <c r="J248" s="9">
        <f t="shared" si="18"/>
        <v>1.196078431372549</v>
      </c>
      <c r="K248" s="5"/>
      <c r="L248" s="6"/>
      <c r="M248" s="6"/>
      <c r="N248" s="13"/>
      <c r="O248" s="14"/>
      <c r="P248" s="14"/>
      <c r="Q248" s="14"/>
      <c r="R248" s="14"/>
      <c r="S248" s="14"/>
      <c r="T248" s="5"/>
      <c r="U248" s="5"/>
      <c r="V248" s="5"/>
      <c r="W248" s="5"/>
      <c r="X248" s="5"/>
    </row>
    <row r="249" spans="1:24" ht="15.75" customHeight="1" thickBot="1">
      <c r="A249" s="1">
        <v>60401</v>
      </c>
      <c r="B249" s="2" t="s">
        <v>30</v>
      </c>
      <c r="C249" s="2" t="s">
        <v>333</v>
      </c>
      <c r="D249" s="3" t="s">
        <v>334</v>
      </c>
      <c r="E249" s="30">
        <v>87.1924882629108</v>
      </c>
      <c r="F249" s="31">
        <v>87.480733002226401</v>
      </c>
      <c r="G249" s="34">
        <v>63</v>
      </c>
      <c r="H249" s="35">
        <v>68</v>
      </c>
      <c r="I249" s="9">
        <f t="shared" si="17"/>
        <v>0.72253930648287745</v>
      </c>
      <c r="J249" s="9">
        <f t="shared" si="18"/>
        <v>1.0793650793650793</v>
      </c>
      <c r="K249" s="5"/>
      <c r="L249" s="6"/>
      <c r="M249" s="6"/>
      <c r="N249" s="13"/>
      <c r="O249" s="14"/>
      <c r="P249" s="14"/>
      <c r="Q249" s="14"/>
      <c r="R249" s="14"/>
      <c r="S249" s="14"/>
      <c r="T249" s="5"/>
      <c r="U249" s="5"/>
      <c r="V249" s="5"/>
      <c r="W249" s="5"/>
      <c r="X249" s="5"/>
    </row>
    <row r="250" spans="1:24" ht="15.75" customHeight="1" thickBot="1">
      <c r="A250" s="1">
        <v>60402</v>
      </c>
      <c r="B250" s="2" t="s">
        <v>30</v>
      </c>
      <c r="C250" s="2" t="s">
        <v>333</v>
      </c>
      <c r="D250" s="3" t="s">
        <v>335</v>
      </c>
      <c r="E250" s="30">
        <v>86.748329621380847</v>
      </c>
      <c r="F250" s="31">
        <v>87.165775401069524</v>
      </c>
      <c r="G250" s="34">
        <v>62</v>
      </c>
      <c r="H250" s="35">
        <v>72</v>
      </c>
      <c r="I250" s="9">
        <f t="shared" si="17"/>
        <v>0.71471116816431324</v>
      </c>
      <c r="J250" s="9">
        <f t="shared" si="18"/>
        <v>1.1612903225806452</v>
      </c>
      <c r="K250" s="5"/>
      <c r="L250" s="6"/>
      <c r="M250" s="6"/>
      <c r="N250" s="13"/>
      <c r="O250" s="14"/>
      <c r="P250" s="14"/>
      <c r="Q250" s="14"/>
      <c r="R250" s="14"/>
      <c r="S250" s="14"/>
      <c r="T250" s="5"/>
      <c r="U250" s="5"/>
      <c r="V250" s="5"/>
      <c r="W250" s="5"/>
      <c r="X250" s="5"/>
    </row>
    <row r="251" spans="1:24" ht="15.75" customHeight="1" thickBot="1">
      <c r="A251" s="1">
        <v>60501</v>
      </c>
      <c r="B251" s="2" t="s">
        <v>30</v>
      </c>
      <c r="C251" s="2" t="s">
        <v>336</v>
      </c>
      <c r="D251" s="3" t="s">
        <v>337</v>
      </c>
      <c r="E251" s="30">
        <v>82.752315943442227</v>
      </c>
      <c r="F251" s="31">
        <v>83.925031537213911</v>
      </c>
      <c r="G251" s="34">
        <v>57</v>
      </c>
      <c r="H251" s="35">
        <v>69</v>
      </c>
      <c r="I251" s="9">
        <f t="shared" si="17"/>
        <v>0.68880247459125055</v>
      </c>
      <c r="J251" s="9">
        <f t="shared" si="18"/>
        <v>1.2105263157894737</v>
      </c>
      <c r="K251" s="5"/>
      <c r="L251" s="6"/>
      <c r="M251" s="6"/>
      <c r="N251" s="13"/>
      <c r="O251" s="14"/>
      <c r="P251" s="14"/>
      <c r="Q251" s="14"/>
      <c r="R251" s="14"/>
      <c r="S251" s="14"/>
      <c r="T251" s="5"/>
      <c r="U251" s="5"/>
      <c r="V251" s="5"/>
      <c r="W251" s="5"/>
      <c r="X251" s="5"/>
    </row>
    <row r="252" spans="1:24" ht="15.75" customHeight="1" thickBot="1">
      <c r="A252" s="1">
        <v>60502</v>
      </c>
      <c r="B252" s="2" t="s">
        <v>30</v>
      </c>
      <c r="C252" s="2" t="s">
        <v>336</v>
      </c>
      <c r="D252" s="3" t="s">
        <v>338</v>
      </c>
      <c r="E252" s="30">
        <v>86.36247769564109</v>
      </c>
      <c r="F252" s="31">
        <v>87.936962750716333</v>
      </c>
      <c r="G252" s="34">
        <v>49</v>
      </c>
      <c r="H252" s="35">
        <v>72</v>
      </c>
      <c r="I252" s="9">
        <f t="shared" si="17"/>
        <v>0.56737603305785123</v>
      </c>
      <c r="J252" s="9">
        <f t="shared" si="18"/>
        <v>1.4693877551020409</v>
      </c>
      <c r="K252" s="5"/>
      <c r="L252" s="6"/>
      <c r="M252" s="6"/>
      <c r="N252" s="13"/>
      <c r="O252" s="14"/>
      <c r="P252" s="14"/>
      <c r="Q252" s="14"/>
      <c r="R252" s="14"/>
      <c r="S252" s="14"/>
      <c r="T252" s="5"/>
      <c r="U252" s="5"/>
      <c r="V252" s="5"/>
      <c r="W252" s="5"/>
      <c r="X252" s="5"/>
    </row>
    <row r="253" spans="1:24" ht="15.75" customHeight="1" thickBot="1">
      <c r="A253" s="1">
        <v>60601</v>
      </c>
      <c r="B253" s="2" t="s">
        <v>30</v>
      </c>
      <c r="C253" s="2" t="s">
        <v>339</v>
      </c>
      <c r="D253" s="3" t="s">
        <v>213</v>
      </c>
      <c r="E253" s="30">
        <v>85.771861260381044</v>
      </c>
      <c r="F253" s="31">
        <v>86.10966057441253</v>
      </c>
      <c r="G253" s="34">
        <v>48</v>
      </c>
      <c r="H253" s="35">
        <v>67</v>
      </c>
      <c r="I253" s="9">
        <f t="shared" si="17"/>
        <v>0.55962409226826149</v>
      </c>
      <c r="J253" s="9">
        <f t="shared" si="18"/>
        <v>1.3958333333333333</v>
      </c>
      <c r="K253" s="5"/>
      <c r="L253" s="6"/>
      <c r="M253" s="6"/>
      <c r="N253" s="13"/>
      <c r="O253" s="14"/>
      <c r="P253" s="14"/>
      <c r="Q253" s="14"/>
      <c r="R253" s="14"/>
      <c r="S253" s="14"/>
      <c r="T253" s="5"/>
      <c r="U253" s="5"/>
      <c r="V253" s="5"/>
      <c r="W253" s="5"/>
      <c r="X253" s="5"/>
    </row>
    <row r="254" spans="1:24" ht="15.75" customHeight="1" thickBot="1">
      <c r="A254" s="1">
        <v>70101</v>
      </c>
      <c r="B254" s="2" t="s">
        <v>32</v>
      </c>
      <c r="C254" s="2" t="s">
        <v>340</v>
      </c>
      <c r="D254" s="3" t="s">
        <v>341</v>
      </c>
      <c r="E254" s="30">
        <v>77.58704317247475</v>
      </c>
      <c r="F254" s="31">
        <v>80.037500460855384</v>
      </c>
      <c r="G254" s="34">
        <v>55</v>
      </c>
      <c r="H254" s="35">
        <v>64</v>
      </c>
      <c r="I254" s="9">
        <f t="shared" si="17"/>
        <v>0.70888124809365249</v>
      </c>
      <c r="J254" s="9">
        <f t="shared" si="18"/>
        <v>1.1636363636363636</v>
      </c>
      <c r="K254" s="5"/>
      <c r="L254" s="6"/>
      <c r="M254" s="6"/>
      <c r="N254" s="13"/>
      <c r="O254" s="14"/>
      <c r="P254" s="14"/>
      <c r="Q254" s="14"/>
      <c r="R254" s="14"/>
      <c r="S254" s="14"/>
      <c r="T254" s="5"/>
      <c r="U254" s="5"/>
      <c r="V254" s="5"/>
      <c r="W254" s="5"/>
      <c r="X254" s="5"/>
    </row>
    <row r="255" spans="1:24" ht="15.75" customHeight="1" thickBot="1">
      <c r="A255" s="1">
        <v>70102</v>
      </c>
      <c r="B255" s="2" t="s">
        <v>32</v>
      </c>
      <c r="C255" s="2" t="s">
        <v>340</v>
      </c>
      <c r="D255" s="3" t="s">
        <v>342</v>
      </c>
      <c r="E255" s="30">
        <v>81.103499946484007</v>
      </c>
      <c r="F255" s="31">
        <v>83.441944806482695</v>
      </c>
      <c r="G255" s="34">
        <v>46</v>
      </c>
      <c r="H255" s="35">
        <v>61</v>
      </c>
      <c r="I255" s="9">
        <f t="shared" si="17"/>
        <v>0.56717650940283726</v>
      </c>
      <c r="J255" s="9">
        <f t="shared" si="18"/>
        <v>1.326086956521739</v>
      </c>
      <c r="K255" s="5"/>
      <c r="L255" s="6"/>
      <c r="M255" s="6"/>
      <c r="N255" s="13"/>
      <c r="O255" s="14"/>
      <c r="P255" s="14"/>
      <c r="Q255" s="14"/>
      <c r="R255" s="14"/>
      <c r="S255" s="14"/>
      <c r="T255" s="5"/>
      <c r="U255" s="5"/>
      <c r="V255" s="5"/>
      <c r="W255" s="5"/>
      <c r="X255" s="5"/>
    </row>
    <row r="256" spans="1:24" ht="15.75" customHeight="1" thickBot="1">
      <c r="A256" s="1">
        <v>70103</v>
      </c>
      <c r="B256" s="2" t="s">
        <v>32</v>
      </c>
      <c r="C256" s="2" t="s">
        <v>340</v>
      </c>
      <c r="D256" s="3" t="s">
        <v>343</v>
      </c>
      <c r="E256" s="30">
        <v>83.242655059847664</v>
      </c>
      <c r="F256" s="31">
        <v>81.092047298863903</v>
      </c>
      <c r="G256" s="34">
        <v>52</v>
      </c>
      <c r="H256" s="35">
        <v>61</v>
      </c>
      <c r="I256" s="9">
        <f t="shared" si="17"/>
        <v>0.62467973856209147</v>
      </c>
      <c r="J256" s="9">
        <f t="shared" si="18"/>
        <v>1.1730769230769231</v>
      </c>
      <c r="K256" s="5"/>
      <c r="L256" s="6"/>
      <c r="M256" s="6"/>
      <c r="N256" s="13"/>
      <c r="O256" s="14"/>
      <c r="P256" s="14"/>
      <c r="Q256" s="14"/>
      <c r="R256" s="14"/>
      <c r="S256" s="14"/>
      <c r="T256" s="5"/>
      <c r="U256" s="5"/>
      <c r="V256" s="5"/>
      <c r="W256" s="5"/>
      <c r="X256" s="5"/>
    </row>
    <row r="257" spans="1:24" ht="15.75" customHeight="1" thickBot="1">
      <c r="A257" s="1">
        <v>70104</v>
      </c>
      <c r="B257" s="2" t="s">
        <v>32</v>
      </c>
      <c r="C257" s="2" t="s">
        <v>340</v>
      </c>
      <c r="D257" s="3" t="s">
        <v>344</v>
      </c>
      <c r="E257" s="30">
        <v>80.16091051805337</v>
      </c>
      <c r="F257" s="31">
        <v>82.539871695564955</v>
      </c>
      <c r="G257" s="34">
        <v>51</v>
      </c>
      <c r="H257" s="35">
        <v>64</v>
      </c>
      <c r="I257" s="9">
        <f t="shared" si="17"/>
        <v>0.63622031823745417</v>
      </c>
      <c r="J257" s="9">
        <f t="shared" si="18"/>
        <v>1.2549019607843137</v>
      </c>
      <c r="K257" s="5"/>
      <c r="L257" s="6"/>
      <c r="M257" s="6"/>
      <c r="N257" s="13"/>
      <c r="O257" s="14"/>
      <c r="P257" s="14"/>
      <c r="Q257" s="14"/>
      <c r="R257" s="14"/>
      <c r="S257" s="14"/>
      <c r="T257" s="5"/>
      <c r="U257" s="5"/>
      <c r="V257" s="5"/>
      <c r="W257" s="5"/>
      <c r="X257" s="5"/>
    </row>
    <row r="258" spans="1:24" ht="15.75" customHeight="1" thickBot="1">
      <c r="A258" s="1">
        <v>70105</v>
      </c>
      <c r="B258" s="2" t="s">
        <v>32</v>
      </c>
      <c r="C258" s="2" t="s">
        <v>340</v>
      </c>
      <c r="D258" s="3" t="s">
        <v>345</v>
      </c>
      <c r="E258" s="30">
        <v>82.635899202112398</v>
      </c>
      <c r="F258" s="31">
        <v>82.820512820512832</v>
      </c>
      <c r="G258" s="34">
        <v>52</v>
      </c>
      <c r="H258" s="35">
        <v>63</v>
      </c>
      <c r="I258" s="9">
        <f t="shared" si="17"/>
        <v>0.62926646290636279</v>
      </c>
      <c r="J258" s="9">
        <f t="shared" si="18"/>
        <v>1.2115384615384615</v>
      </c>
      <c r="K258" s="5"/>
      <c r="L258" s="6"/>
      <c r="M258" s="6"/>
      <c r="N258" s="13"/>
      <c r="O258" s="14"/>
      <c r="P258" s="14"/>
      <c r="Q258" s="14"/>
      <c r="R258" s="14"/>
      <c r="S258" s="14"/>
      <c r="T258" s="5"/>
      <c r="U258" s="5"/>
      <c r="V258" s="5"/>
      <c r="W258" s="5"/>
      <c r="X258" s="5"/>
    </row>
    <row r="259" spans="1:24" ht="15.75" customHeight="1" thickBot="1">
      <c r="A259" s="1">
        <v>70201</v>
      </c>
      <c r="B259" s="2" t="s">
        <v>32</v>
      </c>
      <c r="C259" s="2" t="s">
        <v>346</v>
      </c>
      <c r="D259" s="3" t="s">
        <v>346</v>
      </c>
      <c r="E259" s="30">
        <v>80.45824186017748</v>
      </c>
      <c r="F259" s="31">
        <v>82.0539852405864</v>
      </c>
      <c r="G259" s="34">
        <v>46</v>
      </c>
      <c r="H259" s="35">
        <v>60</v>
      </c>
      <c r="I259" s="9">
        <f t="shared" ref="I259:I322" si="19">G259/E259</f>
        <v>0.57172514507513161</v>
      </c>
      <c r="J259" s="9">
        <f t="shared" ref="J259:J322" si="20">H259/G259</f>
        <v>1.3043478260869565</v>
      </c>
      <c r="K259" s="5"/>
      <c r="L259" s="6"/>
      <c r="M259" s="6"/>
      <c r="N259" s="13"/>
      <c r="O259" s="14"/>
      <c r="P259" s="14"/>
      <c r="Q259" s="14"/>
      <c r="R259" s="14"/>
      <c r="S259" s="14"/>
      <c r="T259" s="5"/>
      <c r="U259" s="5"/>
      <c r="V259" s="5"/>
      <c r="W259" s="5"/>
      <c r="X259" s="5"/>
    </row>
    <row r="260" spans="1:24" ht="15.75" customHeight="1" thickBot="1">
      <c r="A260" s="1">
        <v>70202</v>
      </c>
      <c r="B260" s="2" t="s">
        <v>32</v>
      </c>
      <c r="C260" s="2" t="s">
        <v>346</v>
      </c>
      <c r="D260" s="3" t="s">
        <v>347</v>
      </c>
      <c r="E260" s="30">
        <v>79.07959614933084</v>
      </c>
      <c r="F260" s="31">
        <v>79.022909191277947</v>
      </c>
      <c r="G260" s="34">
        <v>36</v>
      </c>
      <c r="H260" s="35">
        <v>47</v>
      </c>
      <c r="I260" s="9">
        <f t="shared" si="19"/>
        <v>0.45523752969121134</v>
      </c>
      <c r="J260" s="9">
        <f t="shared" si="20"/>
        <v>1.3055555555555556</v>
      </c>
      <c r="K260" s="5"/>
      <c r="L260" s="6"/>
      <c r="M260" s="6"/>
      <c r="N260" s="13"/>
      <c r="O260" s="14"/>
      <c r="P260" s="14"/>
      <c r="Q260" s="14"/>
      <c r="R260" s="14"/>
      <c r="S260" s="14"/>
      <c r="T260" s="5"/>
      <c r="U260" s="5"/>
      <c r="V260" s="5"/>
      <c r="W260" s="5"/>
      <c r="X260" s="5"/>
    </row>
    <row r="261" spans="1:24" ht="15.75" customHeight="1" thickBot="1">
      <c r="A261" s="1">
        <v>70301</v>
      </c>
      <c r="B261" s="2" t="s">
        <v>32</v>
      </c>
      <c r="C261" s="2" t="s">
        <v>348</v>
      </c>
      <c r="D261" s="3" t="s">
        <v>349</v>
      </c>
      <c r="E261" s="30">
        <v>79.712469553852543</v>
      </c>
      <c r="F261" s="31">
        <v>86.574531095755177</v>
      </c>
      <c r="G261" s="34">
        <v>45</v>
      </c>
      <c r="H261" s="35">
        <v>60</v>
      </c>
      <c r="I261" s="9">
        <f t="shared" si="19"/>
        <v>0.56452899090773589</v>
      </c>
      <c r="J261" s="9">
        <f t="shared" si="20"/>
        <v>1.3333333333333333</v>
      </c>
      <c r="K261" s="5"/>
      <c r="L261" s="6"/>
      <c r="M261" s="6"/>
      <c r="N261" s="13"/>
      <c r="O261" s="14"/>
      <c r="P261" s="14"/>
      <c r="Q261" s="14"/>
      <c r="R261" s="14"/>
      <c r="S261" s="14"/>
      <c r="T261" s="5"/>
      <c r="U261" s="5"/>
      <c r="V261" s="5"/>
      <c r="W261" s="5"/>
      <c r="X261" s="5"/>
    </row>
    <row r="262" spans="1:24" ht="15.75" customHeight="1" thickBot="1">
      <c r="A262" s="1">
        <v>70302</v>
      </c>
      <c r="B262" s="2" t="s">
        <v>32</v>
      </c>
      <c r="C262" s="2" t="s">
        <v>348</v>
      </c>
      <c r="D262" s="3" t="s">
        <v>350</v>
      </c>
      <c r="E262" s="30">
        <v>77.275104602510453</v>
      </c>
      <c r="F262" s="31">
        <v>87.204761019155669</v>
      </c>
      <c r="G262" s="34">
        <v>42</v>
      </c>
      <c r="H262" s="35">
        <v>60</v>
      </c>
      <c r="I262" s="9">
        <f t="shared" si="19"/>
        <v>0.54351269035533001</v>
      </c>
      <c r="J262" s="9">
        <f t="shared" si="20"/>
        <v>1.4285714285714286</v>
      </c>
      <c r="K262" s="5"/>
      <c r="L262" s="6"/>
      <c r="M262" s="6"/>
      <c r="N262" s="13"/>
      <c r="O262" s="14"/>
      <c r="P262" s="14"/>
      <c r="Q262" s="14"/>
      <c r="R262" s="14"/>
      <c r="S262" s="14"/>
      <c r="T262" s="5"/>
      <c r="U262" s="5"/>
      <c r="V262" s="5"/>
      <c r="W262" s="5"/>
      <c r="X262" s="5"/>
    </row>
    <row r="263" spans="1:24" ht="15.75" customHeight="1" thickBot="1">
      <c r="A263" s="1">
        <v>70303</v>
      </c>
      <c r="B263" s="2" t="s">
        <v>32</v>
      </c>
      <c r="C263" s="2" t="s">
        <v>348</v>
      </c>
      <c r="D263" s="3" t="s">
        <v>351</v>
      </c>
      <c r="E263" s="30">
        <v>84.694793536804312</v>
      </c>
      <c r="F263" s="31">
        <v>88.859571973028437</v>
      </c>
      <c r="G263" s="34">
        <v>44</v>
      </c>
      <c r="H263" s="35">
        <v>60</v>
      </c>
      <c r="I263" s="9">
        <f t="shared" si="19"/>
        <v>0.51951245363010068</v>
      </c>
      <c r="J263" s="9">
        <f t="shared" si="20"/>
        <v>1.3636363636363635</v>
      </c>
      <c r="K263" s="5"/>
      <c r="L263" s="6"/>
      <c r="M263" s="6"/>
      <c r="N263" s="13"/>
      <c r="O263" s="14"/>
      <c r="P263" s="14"/>
      <c r="Q263" s="14"/>
      <c r="R263" s="14"/>
      <c r="S263" s="14"/>
      <c r="T263" s="5"/>
      <c r="U263" s="5"/>
      <c r="V263" s="5"/>
      <c r="W263" s="5"/>
      <c r="X263" s="5"/>
    </row>
    <row r="264" spans="1:24" ht="15.75" customHeight="1" thickBot="1">
      <c r="A264" s="1">
        <v>70401</v>
      </c>
      <c r="B264" s="2" t="s">
        <v>32</v>
      </c>
      <c r="C264" s="2" t="s">
        <v>352</v>
      </c>
      <c r="D264" s="3" t="s">
        <v>353</v>
      </c>
      <c r="E264" s="30">
        <v>78.796741174012951</v>
      </c>
      <c r="F264" s="31">
        <v>79.242365674526482</v>
      </c>
      <c r="G264" s="34">
        <v>39</v>
      </c>
      <c r="H264" s="35">
        <v>59</v>
      </c>
      <c r="I264" s="9">
        <f t="shared" si="19"/>
        <v>0.49494432661717924</v>
      </c>
      <c r="J264" s="9">
        <f t="shared" si="20"/>
        <v>1.5128205128205128</v>
      </c>
      <c r="K264" s="5"/>
      <c r="L264" s="6"/>
      <c r="M264" s="6"/>
      <c r="N264" s="13"/>
      <c r="O264" s="14"/>
      <c r="P264" s="14"/>
      <c r="Q264" s="14"/>
      <c r="R264" s="14"/>
      <c r="S264" s="14"/>
      <c r="T264" s="5"/>
      <c r="U264" s="5"/>
      <c r="V264" s="5"/>
      <c r="W264" s="5"/>
      <c r="X264" s="5"/>
    </row>
    <row r="265" spans="1:24" ht="15.75" customHeight="1" thickBot="1">
      <c r="A265" s="1">
        <v>70402</v>
      </c>
      <c r="B265" s="2" t="s">
        <v>32</v>
      </c>
      <c r="C265" s="2" t="s">
        <v>352</v>
      </c>
      <c r="D265" s="3" t="s">
        <v>354</v>
      </c>
      <c r="E265" s="30">
        <v>79.839633447880871</v>
      </c>
      <c r="F265" s="31">
        <v>83.113417346182359</v>
      </c>
      <c r="G265" s="34">
        <v>44</v>
      </c>
      <c r="H265" s="35">
        <v>58</v>
      </c>
      <c r="I265" s="9">
        <f t="shared" si="19"/>
        <v>0.55110473457675757</v>
      </c>
      <c r="J265" s="9">
        <f t="shared" si="20"/>
        <v>1.3181818181818181</v>
      </c>
      <c r="K265" s="5"/>
      <c r="L265" s="6"/>
      <c r="M265" s="6"/>
      <c r="N265" s="13"/>
      <c r="O265" s="14"/>
      <c r="P265" s="14"/>
      <c r="Q265" s="14"/>
      <c r="R265" s="14"/>
      <c r="S265" s="14"/>
      <c r="T265" s="5"/>
      <c r="U265" s="5"/>
      <c r="V265" s="5"/>
      <c r="W265" s="5"/>
      <c r="X265" s="5"/>
    </row>
    <row r="266" spans="1:24" ht="15.75" customHeight="1" thickBot="1">
      <c r="A266" s="1">
        <v>70403</v>
      </c>
      <c r="B266" s="2" t="s">
        <v>32</v>
      </c>
      <c r="C266" s="2" t="s">
        <v>352</v>
      </c>
      <c r="D266" s="3" t="s">
        <v>355</v>
      </c>
      <c r="E266" s="30">
        <v>84.985123627782912</v>
      </c>
      <c r="F266" s="31">
        <v>87.51720769128292</v>
      </c>
      <c r="G266" s="34">
        <v>52</v>
      </c>
      <c r="H266" s="35">
        <v>69</v>
      </c>
      <c r="I266" s="9">
        <f t="shared" si="19"/>
        <v>0.61187179332407793</v>
      </c>
      <c r="J266" s="9">
        <f t="shared" si="20"/>
        <v>1.3269230769230769</v>
      </c>
      <c r="K266" s="5"/>
      <c r="L266" s="6"/>
      <c r="M266" s="6"/>
      <c r="N266" s="13"/>
      <c r="O266" s="14"/>
      <c r="P266" s="14"/>
      <c r="Q266" s="14"/>
      <c r="R266" s="14"/>
      <c r="S266" s="14"/>
      <c r="T266" s="5"/>
      <c r="U266" s="5"/>
      <c r="V266" s="5"/>
      <c r="W266" s="5"/>
      <c r="X266" s="5"/>
    </row>
    <row r="267" spans="1:24" ht="15.75" customHeight="1" thickBot="1">
      <c r="A267" s="1">
        <v>70404</v>
      </c>
      <c r="B267" s="2" t="s">
        <v>32</v>
      </c>
      <c r="C267" s="2" t="s">
        <v>352</v>
      </c>
      <c r="D267" s="3" t="s">
        <v>356</v>
      </c>
      <c r="E267" s="30">
        <v>85.44600938967136</v>
      </c>
      <c r="F267" s="31">
        <v>81.849225111636457</v>
      </c>
      <c r="G267" s="34">
        <v>45</v>
      </c>
      <c r="H267" s="35">
        <v>55</v>
      </c>
      <c r="I267" s="9">
        <f t="shared" si="19"/>
        <v>0.52664835164835166</v>
      </c>
      <c r="J267" s="9">
        <f t="shared" si="20"/>
        <v>1.2222222222222223</v>
      </c>
      <c r="K267" s="5"/>
      <c r="L267" s="6"/>
      <c r="M267" s="6"/>
      <c r="N267" s="13"/>
      <c r="O267" s="14"/>
      <c r="P267" s="14"/>
      <c r="Q267" s="14"/>
      <c r="R267" s="14"/>
      <c r="S267" s="14"/>
      <c r="T267" s="5"/>
      <c r="U267" s="5"/>
      <c r="V267" s="5"/>
      <c r="W267" s="5"/>
      <c r="X267" s="5"/>
    </row>
    <row r="268" spans="1:24" ht="15.75" customHeight="1" thickBot="1">
      <c r="A268" s="1">
        <v>70501</v>
      </c>
      <c r="B268" s="2" t="s">
        <v>32</v>
      </c>
      <c r="C268" s="2" t="s">
        <v>357</v>
      </c>
      <c r="D268" s="3" t="s">
        <v>358</v>
      </c>
      <c r="E268" s="30">
        <v>83.574501368791559</v>
      </c>
      <c r="F268" s="31">
        <v>89.51550523873145</v>
      </c>
      <c r="G268" s="34">
        <v>38</v>
      </c>
      <c r="H268" s="35">
        <v>64</v>
      </c>
      <c r="I268" s="9">
        <f t="shared" si="19"/>
        <v>0.45468413664014973</v>
      </c>
      <c r="J268" s="9">
        <f t="shared" si="20"/>
        <v>1.6842105263157894</v>
      </c>
      <c r="K268" s="5"/>
      <c r="L268" s="6"/>
      <c r="M268" s="6"/>
      <c r="N268" s="13"/>
      <c r="O268" s="14"/>
      <c r="P268" s="14"/>
      <c r="Q268" s="14"/>
      <c r="R268" s="14"/>
      <c r="S268" s="14"/>
      <c r="T268" s="5"/>
      <c r="U268" s="5"/>
      <c r="V268" s="5"/>
      <c r="W268" s="5"/>
      <c r="X268" s="5"/>
    </row>
    <row r="269" spans="1:24" ht="15.75" customHeight="1" thickBot="1">
      <c r="A269" s="1">
        <v>70502</v>
      </c>
      <c r="B269" s="2" t="s">
        <v>32</v>
      </c>
      <c r="C269" s="2" t="s">
        <v>357</v>
      </c>
      <c r="D269" s="3" t="s">
        <v>359</v>
      </c>
      <c r="E269" s="30">
        <v>86.385395537525355</v>
      </c>
      <c r="F269" s="31">
        <v>89.686966420034153</v>
      </c>
      <c r="G269" s="34">
        <v>48</v>
      </c>
      <c r="H269" s="35">
        <v>55</v>
      </c>
      <c r="I269" s="9">
        <f t="shared" si="19"/>
        <v>0.5556494787264018</v>
      </c>
      <c r="J269" s="9">
        <f t="shared" si="20"/>
        <v>1.1458333333333333</v>
      </c>
      <c r="K269" s="5"/>
      <c r="L269" s="6"/>
      <c r="M269" s="6"/>
      <c r="N269" s="13"/>
      <c r="O269" s="14"/>
      <c r="P269" s="14"/>
      <c r="Q269" s="14"/>
      <c r="R269" s="14"/>
      <c r="S269" s="14"/>
      <c r="T269" s="5"/>
      <c r="U269" s="5"/>
      <c r="V269" s="5"/>
      <c r="W269" s="5"/>
      <c r="X269" s="5"/>
    </row>
    <row r="270" spans="1:24" ht="15.75" customHeight="1" thickBot="1">
      <c r="A270" s="1">
        <v>70503</v>
      </c>
      <c r="B270" s="2" t="s">
        <v>32</v>
      </c>
      <c r="C270" s="2" t="s">
        <v>357</v>
      </c>
      <c r="D270" s="3" t="s">
        <v>360</v>
      </c>
      <c r="E270" s="30">
        <v>67.635493246708847</v>
      </c>
      <c r="F270" s="31">
        <v>73.60316761988561</v>
      </c>
      <c r="G270" s="34">
        <v>41</v>
      </c>
      <c r="H270" s="35">
        <v>53</v>
      </c>
      <c r="I270" s="9">
        <f t="shared" si="19"/>
        <v>0.60619059656218399</v>
      </c>
      <c r="J270" s="9">
        <f t="shared" si="20"/>
        <v>1.2926829268292683</v>
      </c>
      <c r="K270" s="5"/>
      <c r="L270" s="6"/>
      <c r="M270" s="6"/>
      <c r="N270" s="13"/>
      <c r="O270" s="14"/>
      <c r="P270" s="14"/>
      <c r="Q270" s="14"/>
      <c r="R270" s="14"/>
      <c r="S270" s="14"/>
      <c r="T270" s="5"/>
      <c r="U270" s="5"/>
      <c r="V270" s="5"/>
      <c r="W270" s="5"/>
      <c r="X270" s="5"/>
    </row>
    <row r="271" spans="1:24" ht="15.75" customHeight="1" thickBot="1">
      <c r="A271" s="1">
        <v>70601</v>
      </c>
      <c r="B271" s="2" t="s">
        <v>32</v>
      </c>
      <c r="C271" s="2" t="s">
        <v>361</v>
      </c>
      <c r="D271" s="3" t="s">
        <v>362</v>
      </c>
      <c r="E271" s="30">
        <v>76.417769376181482</v>
      </c>
      <c r="F271" s="31">
        <v>79.133858267716533</v>
      </c>
      <c r="G271" s="34">
        <v>46</v>
      </c>
      <c r="H271" s="35">
        <v>58</v>
      </c>
      <c r="I271" s="9">
        <f t="shared" si="19"/>
        <v>0.60195423623995048</v>
      </c>
      <c r="J271" s="9">
        <f t="shared" si="20"/>
        <v>1.2608695652173914</v>
      </c>
      <c r="K271" s="5"/>
      <c r="L271" s="6"/>
      <c r="M271" s="6"/>
      <c r="N271" s="13"/>
      <c r="O271" s="14"/>
      <c r="P271" s="14"/>
      <c r="Q271" s="14"/>
      <c r="R271" s="14"/>
      <c r="S271" s="14"/>
      <c r="T271" s="5"/>
      <c r="U271" s="5"/>
      <c r="V271" s="5"/>
      <c r="W271" s="5"/>
      <c r="X271" s="5"/>
    </row>
    <row r="272" spans="1:24" ht="15.75" customHeight="1" thickBot="1">
      <c r="A272" s="1">
        <v>70602</v>
      </c>
      <c r="B272" s="2" t="s">
        <v>32</v>
      </c>
      <c r="C272" s="2" t="s">
        <v>361</v>
      </c>
      <c r="D272" s="3" t="s">
        <v>363</v>
      </c>
      <c r="E272" s="30">
        <v>84.278943805010158</v>
      </c>
      <c r="F272" s="31">
        <v>83.225435189181411</v>
      </c>
      <c r="G272" s="34">
        <v>38</v>
      </c>
      <c r="H272" s="35">
        <v>54</v>
      </c>
      <c r="I272" s="9">
        <f t="shared" si="19"/>
        <v>0.45088367609254498</v>
      </c>
      <c r="J272" s="9">
        <f t="shared" si="20"/>
        <v>1.4210526315789473</v>
      </c>
      <c r="K272" s="5"/>
      <c r="L272" s="6"/>
      <c r="M272" s="6"/>
      <c r="N272" s="13"/>
      <c r="O272" s="14"/>
      <c r="P272" s="14"/>
      <c r="Q272" s="14"/>
      <c r="R272" s="14"/>
      <c r="S272" s="14"/>
      <c r="T272" s="5"/>
      <c r="U272" s="5"/>
      <c r="V272" s="5"/>
      <c r="W272" s="5"/>
      <c r="X272" s="5"/>
    </row>
    <row r="273" spans="1:24" ht="15.75" customHeight="1" thickBot="1">
      <c r="A273" s="1">
        <v>70603</v>
      </c>
      <c r="B273" s="2" t="s">
        <v>32</v>
      </c>
      <c r="C273" s="2" t="s">
        <v>361</v>
      </c>
      <c r="D273" s="3" t="s">
        <v>364</v>
      </c>
      <c r="E273" s="30">
        <v>80.55950687529635</v>
      </c>
      <c r="F273" s="31">
        <v>79.132530120481931</v>
      </c>
      <c r="G273" s="34">
        <v>37</v>
      </c>
      <c r="H273" s="35">
        <v>50</v>
      </c>
      <c r="I273" s="9">
        <f t="shared" si="19"/>
        <v>0.45928781636256621</v>
      </c>
      <c r="J273" s="9">
        <f t="shared" si="20"/>
        <v>1.3513513513513513</v>
      </c>
      <c r="K273" s="5"/>
      <c r="L273" s="6"/>
      <c r="M273" s="6"/>
      <c r="N273" s="13"/>
      <c r="O273" s="14"/>
      <c r="P273" s="14"/>
      <c r="Q273" s="14"/>
      <c r="R273" s="14"/>
      <c r="S273" s="14"/>
      <c r="T273" s="5"/>
      <c r="U273" s="5"/>
      <c r="V273" s="5"/>
      <c r="W273" s="5"/>
      <c r="X273" s="5"/>
    </row>
    <row r="274" spans="1:24" ht="15.75" customHeight="1" thickBot="1">
      <c r="A274" s="1">
        <v>70701</v>
      </c>
      <c r="B274" s="2" t="s">
        <v>32</v>
      </c>
      <c r="C274" s="2" t="s">
        <v>365</v>
      </c>
      <c r="D274" s="3" t="s">
        <v>366</v>
      </c>
      <c r="E274" s="30">
        <v>81.172839506172849</v>
      </c>
      <c r="F274" s="31">
        <v>85.586481113320076</v>
      </c>
      <c r="G274" s="34">
        <v>30</v>
      </c>
      <c r="H274" s="35">
        <v>62</v>
      </c>
      <c r="I274" s="9">
        <f t="shared" si="19"/>
        <v>0.36958174904942959</v>
      </c>
      <c r="J274" s="9">
        <f t="shared" si="20"/>
        <v>2.0666666666666669</v>
      </c>
      <c r="K274" s="5"/>
      <c r="L274" s="6"/>
      <c r="M274" s="6"/>
      <c r="N274" s="13"/>
      <c r="O274" s="14"/>
      <c r="P274" s="14"/>
      <c r="Q274" s="14"/>
      <c r="R274" s="14"/>
      <c r="S274" s="14"/>
      <c r="T274" s="5"/>
      <c r="U274" s="5"/>
      <c r="V274" s="5"/>
      <c r="W274" s="5"/>
      <c r="X274" s="5"/>
    </row>
    <row r="275" spans="1:24" ht="15.75" customHeight="1" thickBot="1">
      <c r="A275" s="1">
        <v>70702</v>
      </c>
      <c r="B275" s="2" t="s">
        <v>32</v>
      </c>
      <c r="C275" s="2" t="s">
        <v>365</v>
      </c>
      <c r="D275" s="3" t="s">
        <v>367</v>
      </c>
      <c r="E275" s="30">
        <v>76.912608146203937</v>
      </c>
      <c r="F275" s="31">
        <v>80.867883273063654</v>
      </c>
      <c r="G275" s="34">
        <v>37</v>
      </c>
      <c r="H275" s="35">
        <v>51</v>
      </c>
      <c r="I275" s="9">
        <f t="shared" si="19"/>
        <v>0.48106547017189089</v>
      </c>
      <c r="J275" s="9">
        <f t="shared" si="20"/>
        <v>1.3783783783783783</v>
      </c>
      <c r="K275" s="5"/>
      <c r="L275" s="6"/>
      <c r="M275" s="6"/>
      <c r="N275" s="13"/>
      <c r="O275" s="14"/>
      <c r="P275" s="14"/>
      <c r="Q275" s="14"/>
      <c r="R275" s="14"/>
      <c r="S275" s="14"/>
      <c r="T275" s="5"/>
      <c r="U275" s="5"/>
      <c r="V275" s="5"/>
      <c r="W275" s="5"/>
      <c r="X275" s="5"/>
    </row>
    <row r="276" spans="1:24" ht="15.75" customHeight="1" thickBot="1">
      <c r="A276" s="1">
        <v>70703</v>
      </c>
      <c r="B276" s="2" t="s">
        <v>32</v>
      </c>
      <c r="C276" s="2" t="s">
        <v>365</v>
      </c>
      <c r="D276" s="3" t="s">
        <v>368</v>
      </c>
      <c r="E276" s="30">
        <v>86.038822525597269</v>
      </c>
      <c r="F276" s="31">
        <v>87.491215741391429</v>
      </c>
      <c r="G276" s="34">
        <v>46</v>
      </c>
      <c r="H276" s="35">
        <v>55</v>
      </c>
      <c r="I276" s="9">
        <f t="shared" si="19"/>
        <v>0.53464237014999383</v>
      </c>
      <c r="J276" s="9">
        <f t="shared" si="20"/>
        <v>1.1956521739130435</v>
      </c>
      <c r="K276" s="5"/>
      <c r="L276" s="6"/>
      <c r="M276" s="6"/>
      <c r="N276" s="13"/>
      <c r="O276" s="14"/>
      <c r="P276" s="14"/>
      <c r="Q276" s="14"/>
      <c r="R276" s="14"/>
      <c r="S276" s="14"/>
      <c r="T276" s="5"/>
      <c r="U276" s="5"/>
      <c r="V276" s="5"/>
      <c r="W276" s="5"/>
      <c r="X276" s="5"/>
    </row>
    <row r="277" spans="1:24" ht="15.75" customHeight="1" thickBot="1">
      <c r="A277" s="1">
        <v>70704</v>
      </c>
      <c r="B277" s="2" t="s">
        <v>32</v>
      </c>
      <c r="C277" s="2" t="s">
        <v>365</v>
      </c>
      <c r="D277" s="3" t="s">
        <v>369</v>
      </c>
      <c r="E277" s="30">
        <v>70.963995354239259</v>
      </c>
      <c r="F277" s="31">
        <v>70.80867850098619</v>
      </c>
      <c r="G277" s="34">
        <v>39</v>
      </c>
      <c r="H277" s="35">
        <v>55</v>
      </c>
      <c r="I277" s="9">
        <f t="shared" si="19"/>
        <v>0.54957446808510635</v>
      </c>
      <c r="J277" s="9">
        <f t="shared" si="20"/>
        <v>1.4102564102564104</v>
      </c>
      <c r="K277" s="5"/>
      <c r="L277" s="6"/>
      <c r="M277" s="6"/>
      <c r="N277" s="13"/>
      <c r="O277" s="14"/>
      <c r="P277" s="14"/>
      <c r="Q277" s="14"/>
      <c r="R277" s="14"/>
      <c r="S277" s="14"/>
      <c r="T277" s="5"/>
      <c r="U277" s="5"/>
      <c r="V277" s="5"/>
      <c r="W277" s="5"/>
      <c r="X277" s="5"/>
    </row>
    <row r="278" spans="1:24" ht="15.75" customHeight="1" thickBot="1">
      <c r="A278" s="1">
        <v>70705</v>
      </c>
      <c r="B278" s="2" t="s">
        <v>32</v>
      </c>
      <c r="C278" s="2" t="s">
        <v>365</v>
      </c>
      <c r="D278" s="3" t="s">
        <v>370</v>
      </c>
      <c r="E278" s="30">
        <v>74.573978901812282</v>
      </c>
      <c r="F278" s="31">
        <v>80.448408871745428</v>
      </c>
      <c r="G278" s="34">
        <v>29</v>
      </c>
      <c r="H278" s="35">
        <v>55</v>
      </c>
      <c r="I278" s="9">
        <f t="shared" si="19"/>
        <v>0.38887558940877764</v>
      </c>
      <c r="J278" s="9">
        <f t="shared" si="20"/>
        <v>1.896551724137931</v>
      </c>
      <c r="K278" s="5"/>
      <c r="L278" s="6"/>
      <c r="M278" s="6"/>
      <c r="N278" s="13"/>
      <c r="O278" s="14"/>
      <c r="P278" s="14"/>
      <c r="Q278" s="14"/>
      <c r="R278" s="14"/>
      <c r="S278" s="14"/>
      <c r="T278" s="5"/>
      <c r="U278" s="5"/>
      <c r="V278" s="5"/>
      <c r="W278" s="5"/>
      <c r="X278" s="5"/>
    </row>
    <row r="279" spans="1:24" ht="15.75" customHeight="1" thickBot="1">
      <c r="A279" s="1">
        <v>70706</v>
      </c>
      <c r="B279" s="2" t="s">
        <v>32</v>
      </c>
      <c r="C279" s="2" t="s">
        <v>365</v>
      </c>
      <c r="D279" s="3" t="s">
        <v>371</v>
      </c>
      <c r="E279" s="30">
        <v>67.040771591407278</v>
      </c>
      <c r="F279" s="31">
        <v>74.593345656192227</v>
      </c>
      <c r="G279" s="34">
        <v>44</v>
      </c>
      <c r="H279" s="35">
        <v>57</v>
      </c>
      <c r="I279" s="9">
        <f t="shared" si="19"/>
        <v>0.65631702851164009</v>
      </c>
      <c r="J279" s="9">
        <f t="shared" si="20"/>
        <v>1.2954545454545454</v>
      </c>
      <c r="K279" s="5"/>
      <c r="L279" s="6"/>
      <c r="M279" s="6"/>
      <c r="N279" s="13"/>
      <c r="O279" s="14"/>
      <c r="P279" s="14"/>
      <c r="Q279" s="14"/>
      <c r="R279" s="14"/>
      <c r="S279" s="14"/>
      <c r="T279" s="5"/>
      <c r="U279" s="5"/>
      <c r="V279" s="5"/>
      <c r="W279" s="5"/>
      <c r="X279" s="5"/>
    </row>
    <row r="280" spans="1:24" ht="15.75" customHeight="1" thickBot="1">
      <c r="A280" s="1">
        <v>70707</v>
      </c>
      <c r="B280" s="2" t="s">
        <v>32</v>
      </c>
      <c r="C280" s="2" t="s">
        <v>365</v>
      </c>
      <c r="D280" s="3" t="s">
        <v>372</v>
      </c>
      <c r="E280" s="30">
        <v>69.567658618753512</v>
      </c>
      <c r="F280" s="31">
        <v>70.063357972544878</v>
      </c>
      <c r="G280" s="34">
        <v>36</v>
      </c>
      <c r="H280" s="35">
        <v>56</v>
      </c>
      <c r="I280" s="9">
        <f t="shared" si="19"/>
        <v>0.51748184019370458</v>
      </c>
      <c r="J280" s="9">
        <f t="shared" si="20"/>
        <v>1.5555555555555556</v>
      </c>
      <c r="K280" s="5"/>
      <c r="L280" s="6"/>
      <c r="M280" s="6"/>
      <c r="N280" s="13"/>
      <c r="O280" s="14"/>
      <c r="P280" s="14"/>
      <c r="Q280" s="14"/>
      <c r="R280" s="14"/>
      <c r="S280" s="14"/>
      <c r="T280" s="5"/>
      <c r="U280" s="5"/>
      <c r="V280" s="5"/>
      <c r="W280" s="5"/>
      <c r="X280" s="5"/>
    </row>
    <row r="281" spans="1:24" ht="15.75" customHeight="1" thickBot="1">
      <c r="A281" s="1">
        <v>70801</v>
      </c>
      <c r="B281" s="2" t="s">
        <v>32</v>
      </c>
      <c r="C281" s="2" t="s">
        <v>373</v>
      </c>
      <c r="D281" s="3" t="s">
        <v>373</v>
      </c>
      <c r="E281" s="30">
        <v>83.692450782824366</v>
      </c>
      <c r="F281" s="31">
        <v>83.904892546867856</v>
      </c>
      <c r="G281" s="34">
        <v>55</v>
      </c>
      <c r="H281" s="35">
        <v>69</v>
      </c>
      <c r="I281" s="9">
        <f t="shared" si="19"/>
        <v>0.65716799407297655</v>
      </c>
      <c r="J281" s="9">
        <f t="shared" si="20"/>
        <v>1.2545454545454546</v>
      </c>
      <c r="K281" s="5"/>
      <c r="L281" s="6"/>
      <c r="M281" s="6"/>
      <c r="N281" s="13"/>
      <c r="O281" s="14"/>
      <c r="P281" s="14"/>
      <c r="Q281" s="14"/>
      <c r="R281" s="14"/>
      <c r="S281" s="14"/>
      <c r="T281" s="5"/>
      <c r="U281" s="5"/>
      <c r="V281" s="5"/>
      <c r="W281" s="5"/>
      <c r="X281" s="5"/>
    </row>
    <row r="282" spans="1:24" ht="15.75" customHeight="1" thickBot="1">
      <c r="A282" s="1">
        <v>70802</v>
      </c>
      <c r="B282" s="2" t="s">
        <v>32</v>
      </c>
      <c r="C282" s="2" t="s">
        <v>373</v>
      </c>
      <c r="D282" s="3" t="s">
        <v>374</v>
      </c>
      <c r="E282" s="30">
        <v>87.857142857142861</v>
      </c>
      <c r="F282" s="31">
        <v>85.698447893569835</v>
      </c>
      <c r="G282" s="34">
        <v>47</v>
      </c>
      <c r="H282" s="35">
        <v>63</v>
      </c>
      <c r="I282" s="9">
        <f t="shared" si="19"/>
        <v>0.53495934959349589</v>
      </c>
      <c r="J282" s="9">
        <f t="shared" si="20"/>
        <v>1.3404255319148937</v>
      </c>
      <c r="K282" s="5"/>
      <c r="L282" s="6"/>
      <c r="M282" s="6"/>
      <c r="N282" s="13"/>
      <c r="O282" s="14"/>
      <c r="P282" s="14"/>
      <c r="Q282" s="14"/>
      <c r="R282" s="14"/>
      <c r="S282" s="14"/>
      <c r="T282" s="5"/>
      <c r="U282" s="5"/>
      <c r="V282" s="5"/>
      <c r="W282" s="5"/>
      <c r="X282" s="5"/>
    </row>
    <row r="283" spans="1:24" ht="15.75" customHeight="1" thickBot="1">
      <c r="A283" s="1">
        <v>70803</v>
      </c>
      <c r="B283" s="2" t="s">
        <v>32</v>
      </c>
      <c r="C283" s="2" t="s">
        <v>373</v>
      </c>
      <c r="D283" s="3" t="s">
        <v>375</v>
      </c>
      <c r="E283" s="30">
        <v>90</v>
      </c>
      <c r="F283" s="31">
        <v>90.687160940325498</v>
      </c>
      <c r="G283" s="34">
        <v>64</v>
      </c>
      <c r="H283" s="35">
        <v>73</v>
      </c>
      <c r="I283" s="9">
        <f t="shared" si="19"/>
        <v>0.71111111111111114</v>
      </c>
      <c r="J283" s="9">
        <f t="shared" si="20"/>
        <v>1.140625</v>
      </c>
      <c r="K283" s="5"/>
      <c r="L283" s="6"/>
      <c r="M283" s="6"/>
      <c r="N283" s="13"/>
      <c r="O283" s="14"/>
      <c r="P283" s="14"/>
      <c r="Q283" s="14"/>
      <c r="R283" s="14"/>
      <c r="S283" s="14"/>
      <c r="T283" s="5"/>
      <c r="U283" s="5"/>
      <c r="V283" s="5"/>
      <c r="W283" s="5"/>
      <c r="X283" s="5"/>
    </row>
    <row r="284" spans="1:24" ht="15.75" customHeight="1" thickBot="1">
      <c r="A284" s="1">
        <v>70804</v>
      </c>
      <c r="B284" s="2" t="s">
        <v>32</v>
      </c>
      <c r="C284" s="2" t="s">
        <v>373</v>
      </c>
      <c r="D284" s="3" t="s">
        <v>376</v>
      </c>
      <c r="E284" s="30">
        <v>87.539598732840545</v>
      </c>
      <c r="F284" s="31">
        <v>85.155195681511472</v>
      </c>
      <c r="G284" s="34">
        <v>54</v>
      </c>
      <c r="H284" s="35">
        <v>68</v>
      </c>
      <c r="I284" s="9">
        <f t="shared" si="19"/>
        <v>0.61686369119420992</v>
      </c>
      <c r="J284" s="9">
        <f t="shared" si="20"/>
        <v>1.2592592592592593</v>
      </c>
      <c r="K284" s="5"/>
      <c r="L284" s="6"/>
      <c r="M284" s="6"/>
      <c r="N284" s="13"/>
      <c r="O284" s="14"/>
      <c r="P284" s="14"/>
      <c r="Q284" s="14"/>
      <c r="R284" s="14"/>
      <c r="S284" s="14"/>
      <c r="T284" s="5"/>
      <c r="U284" s="5"/>
      <c r="V284" s="5"/>
      <c r="W284" s="5"/>
      <c r="X284" s="5"/>
    </row>
    <row r="285" spans="1:24" ht="15.75" customHeight="1" thickBot="1">
      <c r="A285" s="1">
        <v>70805</v>
      </c>
      <c r="B285" s="2" t="s">
        <v>32</v>
      </c>
      <c r="C285" s="2" t="s">
        <v>373</v>
      </c>
      <c r="D285" s="3" t="s">
        <v>377</v>
      </c>
      <c r="E285" s="30">
        <v>82.512315270935972</v>
      </c>
      <c r="F285" s="31">
        <v>86.347724620770123</v>
      </c>
      <c r="G285" s="34">
        <v>59</v>
      </c>
      <c r="H285" s="35">
        <v>65</v>
      </c>
      <c r="I285" s="9">
        <f t="shared" si="19"/>
        <v>0.71504477611940287</v>
      </c>
      <c r="J285" s="9">
        <f t="shared" si="20"/>
        <v>1.1016949152542372</v>
      </c>
      <c r="K285" s="5"/>
      <c r="L285" s="6"/>
      <c r="M285" s="6"/>
      <c r="N285" s="13"/>
      <c r="O285" s="14"/>
      <c r="P285" s="14"/>
      <c r="Q285" s="14"/>
      <c r="R285" s="14"/>
      <c r="S285" s="14"/>
      <c r="T285" s="5"/>
      <c r="U285" s="5"/>
      <c r="V285" s="5"/>
      <c r="W285" s="5"/>
      <c r="X285" s="5"/>
    </row>
    <row r="286" spans="1:24" ht="15.75" customHeight="1" thickBot="1">
      <c r="A286" s="1">
        <v>70901</v>
      </c>
      <c r="B286" s="2" t="s">
        <v>32</v>
      </c>
      <c r="C286" s="2" t="s">
        <v>378</v>
      </c>
      <c r="D286" s="3" t="s">
        <v>379</v>
      </c>
      <c r="E286" s="30">
        <v>85.887402171168887</v>
      </c>
      <c r="F286" s="31">
        <v>86.811279826464201</v>
      </c>
      <c r="G286" s="34">
        <v>56</v>
      </c>
      <c r="H286" s="35">
        <v>69</v>
      </c>
      <c r="I286" s="9">
        <f t="shared" si="19"/>
        <v>0.65201646090534982</v>
      </c>
      <c r="J286" s="9">
        <f t="shared" si="20"/>
        <v>1.2321428571428572</v>
      </c>
      <c r="K286" s="5"/>
      <c r="L286" s="6"/>
      <c r="M286" s="6"/>
      <c r="N286" s="13"/>
      <c r="O286" s="14"/>
      <c r="P286" s="14"/>
      <c r="Q286" s="14"/>
      <c r="R286" s="14"/>
      <c r="S286" s="14"/>
      <c r="T286" s="5"/>
      <c r="U286" s="5"/>
      <c r="V286" s="5"/>
      <c r="W286" s="5"/>
      <c r="X286" s="5"/>
    </row>
    <row r="287" spans="1:24" ht="15.75" customHeight="1" thickBot="1">
      <c r="A287" s="1">
        <v>70902</v>
      </c>
      <c r="B287" s="2" t="s">
        <v>32</v>
      </c>
      <c r="C287" s="2" t="s">
        <v>378</v>
      </c>
      <c r="D287" s="3" t="s">
        <v>380</v>
      </c>
      <c r="E287" s="30">
        <v>87.185701302635565</v>
      </c>
      <c r="F287" s="31">
        <v>87.413793103448285</v>
      </c>
      <c r="G287" s="34">
        <v>54</v>
      </c>
      <c r="H287" s="35">
        <v>66</v>
      </c>
      <c r="I287" s="9">
        <f t="shared" si="19"/>
        <v>0.61936761640027793</v>
      </c>
      <c r="J287" s="9">
        <f t="shared" si="20"/>
        <v>1.2222222222222223</v>
      </c>
      <c r="K287" s="5"/>
      <c r="L287" s="6"/>
      <c r="M287" s="6"/>
      <c r="N287" s="13"/>
      <c r="O287" s="14"/>
      <c r="P287" s="14"/>
      <c r="Q287" s="14"/>
      <c r="R287" s="14"/>
      <c r="S287" s="14"/>
      <c r="T287" s="5"/>
      <c r="U287" s="5"/>
      <c r="V287" s="5"/>
      <c r="W287" s="5"/>
      <c r="X287" s="5"/>
    </row>
    <row r="288" spans="1:24" ht="15.75" customHeight="1" thickBot="1">
      <c r="A288" s="1">
        <v>70903</v>
      </c>
      <c r="B288" s="2" t="s">
        <v>32</v>
      </c>
      <c r="C288" s="2" t="s">
        <v>378</v>
      </c>
      <c r="D288" s="3" t="s">
        <v>381</v>
      </c>
      <c r="E288" s="30">
        <v>86.118038237738986</v>
      </c>
      <c r="F288" s="31">
        <v>87.611972908018359</v>
      </c>
      <c r="G288" s="34">
        <v>53</v>
      </c>
      <c r="H288" s="35">
        <v>64</v>
      </c>
      <c r="I288" s="9">
        <f t="shared" si="19"/>
        <v>0.61543436293436293</v>
      </c>
      <c r="J288" s="9">
        <f t="shared" si="20"/>
        <v>1.2075471698113207</v>
      </c>
      <c r="K288" s="5"/>
      <c r="L288" s="6"/>
      <c r="M288" s="6"/>
      <c r="N288" s="13"/>
      <c r="O288" s="14"/>
      <c r="P288" s="14"/>
      <c r="Q288" s="14"/>
      <c r="R288" s="14"/>
      <c r="S288" s="14"/>
      <c r="T288" s="5"/>
      <c r="U288" s="5"/>
      <c r="V288" s="5"/>
      <c r="W288" s="5"/>
      <c r="X288" s="5"/>
    </row>
    <row r="289" spans="1:24" ht="15.75" customHeight="1" thickBot="1">
      <c r="A289" s="1">
        <v>70904</v>
      </c>
      <c r="B289" s="2" t="s">
        <v>32</v>
      </c>
      <c r="C289" s="2" t="s">
        <v>378</v>
      </c>
      <c r="D289" s="3" t="s">
        <v>382</v>
      </c>
      <c r="E289" s="30">
        <v>85.363716038562671</v>
      </c>
      <c r="F289" s="31">
        <v>85.413290113452192</v>
      </c>
      <c r="G289" s="34">
        <v>53</v>
      </c>
      <c r="H289" s="35">
        <v>62</v>
      </c>
      <c r="I289" s="9">
        <f t="shared" si="19"/>
        <v>0.62087268993839828</v>
      </c>
      <c r="J289" s="9">
        <f t="shared" si="20"/>
        <v>1.1698113207547169</v>
      </c>
      <c r="K289" s="5"/>
      <c r="L289" s="6"/>
      <c r="M289" s="6"/>
      <c r="N289" s="13"/>
      <c r="O289" s="14"/>
      <c r="P289" s="14"/>
      <c r="Q289" s="14"/>
      <c r="R289" s="14"/>
      <c r="S289" s="14"/>
      <c r="T289" s="5"/>
      <c r="U289" s="5"/>
      <c r="V289" s="5"/>
      <c r="W289" s="5"/>
      <c r="X289" s="5"/>
    </row>
    <row r="290" spans="1:24" ht="15.75" customHeight="1" thickBot="1">
      <c r="A290" s="1">
        <v>71001</v>
      </c>
      <c r="B290" s="2" t="s">
        <v>32</v>
      </c>
      <c r="C290" s="2" t="s">
        <v>383</v>
      </c>
      <c r="D290" s="3" t="s">
        <v>384</v>
      </c>
      <c r="E290" s="30">
        <v>76.1151996599272</v>
      </c>
      <c r="F290" s="31">
        <v>78.013382556529763</v>
      </c>
      <c r="G290" s="34">
        <v>48</v>
      </c>
      <c r="H290" s="35">
        <v>60</v>
      </c>
      <c r="I290" s="9">
        <f t="shared" si="19"/>
        <v>0.63062305839645361</v>
      </c>
      <c r="J290" s="9">
        <f t="shared" si="20"/>
        <v>1.25</v>
      </c>
      <c r="K290" s="5"/>
      <c r="L290" s="6"/>
      <c r="M290" s="6"/>
      <c r="N290" s="13"/>
      <c r="O290" s="14"/>
      <c r="P290" s="14"/>
      <c r="Q290" s="14"/>
      <c r="R290" s="14"/>
      <c r="S290" s="14"/>
      <c r="T290" s="5"/>
      <c r="U290" s="5"/>
      <c r="V290" s="5"/>
      <c r="W290" s="5"/>
      <c r="X290" s="5"/>
    </row>
    <row r="291" spans="1:24" ht="15.75" customHeight="1" thickBot="1">
      <c r="A291" s="1">
        <v>71002</v>
      </c>
      <c r="B291" s="2" t="s">
        <v>32</v>
      </c>
      <c r="C291" s="2" t="s">
        <v>383</v>
      </c>
      <c r="D291" s="3" t="s">
        <v>385</v>
      </c>
      <c r="E291" s="30">
        <v>80.331849453662485</v>
      </c>
      <c r="F291" s="31">
        <v>81.850660950339403</v>
      </c>
      <c r="G291" s="34">
        <v>33</v>
      </c>
      <c r="H291" s="35">
        <v>50</v>
      </c>
      <c r="I291" s="9">
        <f t="shared" si="19"/>
        <v>0.41079596977329974</v>
      </c>
      <c r="J291" s="9">
        <f t="shared" si="20"/>
        <v>1.5151515151515151</v>
      </c>
      <c r="K291" s="5"/>
      <c r="L291" s="6"/>
      <c r="M291" s="6"/>
      <c r="N291" s="13"/>
      <c r="O291" s="14"/>
      <c r="P291" s="14"/>
      <c r="Q291" s="14"/>
      <c r="R291" s="14"/>
      <c r="S291" s="14"/>
      <c r="T291" s="5"/>
      <c r="U291" s="5"/>
      <c r="V291" s="5"/>
      <c r="W291" s="5"/>
      <c r="X291" s="5"/>
    </row>
    <row r="292" spans="1:24" ht="15.75" customHeight="1" thickBot="1">
      <c r="A292" s="1">
        <v>71003</v>
      </c>
      <c r="B292" s="2" t="s">
        <v>32</v>
      </c>
      <c r="C292" s="2" t="s">
        <v>383</v>
      </c>
      <c r="D292" s="3" t="s">
        <v>386</v>
      </c>
      <c r="E292" s="30">
        <v>80.275344180225289</v>
      </c>
      <c r="F292" s="31">
        <v>79.595540575576877</v>
      </c>
      <c r="G292" s="34">
        <v>38</v>
      </c>
      <c r="H292" s="35">
        <v>53</v>
      </c>
      <c r="I292" s="9">
        <f t="shared" si="19"/>
        <v>0.47337075148113494</v>
      </c>
      <c r="J292" s="9">
        <f t="shared" si="20"/>
        <v>1.3947368421052631</v>
      </c>
      <c r="K292" s="5"/>
      <c r="L292" s="6"/>
      <c r="M292" s="6"/>
      <c r="N292" s="13"/>
      <c r="O292" s="14"/>
      <c r="P292" s="14"/>
      <c r="Q292" s="14"/>
      <c r="R292" s="14"/>
      <c r="S292" s="14"/>
      <c r="T292" s="5"/>
      <c r="U292" s="5"/>
      <c r="V292" s="5"/>
      <c r="W292" s="5"/>
      <c r="X292" s="5"/>
    </row>
    <row r="293" spans="1:24" ht="15.75" customHeight="1" thickBot="1">
      <c r="A293" s="1">
        <v>71004</v>
      </c>
      <c r="B293" s="2" t="s">
        <v>32</v>
      </c>
      <c r="C293" s="2" t="s">
        <v>383</v>
      </c>
      <c r="D293" s="3" t="s">
        <v>387</v>
      </c>
      <c r="E293" s="30">
        <v>81.854703716103117</v>
      </c>
      <c r="F293" s="31">
        <v>86.920313520574794</v>
      </c>
      <c r="G293" s="34">
        <v>36</v>
      </c>
      <c r="H293" s="35">
        <v>58</v>
      </c>
      <c r="I293" s="9">
        <f t="shared" si="19"/>
        <v>0.43980368098159506</v>
      </c>
      <c r="J293" s="9">
        <f t="shared" si="20"/>
        <v>1.6111111111111112</v>
      </c>
      <c r="K293" s="5"/>
      <c r="L293" s="6"/>
      <c r="M293" s="6"/>
      <c r="N293" s="13"/>
      <c r="O293" s="14"/>
      <c r="P293" s="14"/>
      <c r="Q293" s="14"/>
      <c r="R293" s="14"/>
      <c r="S293" s="14"/>
      <c r="T293" s="5"/>
      <c r="U293" s="5"/>
      <c r="V293" s="5"/>
      <c r="W293" s="5"/>
      <c r="X293" s="5"/>
    </row>
    <row r="294" spans="1:24" ht="15.75" customHeight="1" thickBot="1">
      <c r="A294" s="1">
        <v>71005</v>
      </c>
      <c r="B294" s="2" t="s">
        <v>32</v>
      </c>
      <c r="C294" s="2" t="s">
        <v>383</v>
      </c>
      <c r="D294" s="3" t="s">
        <v>388</v>
      </c>
      <c r="E294" s="30">
        <v>84.064345858992084</v>
      </c>
      <c r="F294" s="31">
        <v>84.87036429274697</v>
      </c>
      <c r="G294" s="34">
        <v>42</v>
      </c>
      <c r="H294" s="35">
        <v>58</v>
      </c>
      <c r="I294" s="9">
        <f t="shared" si="19"/>
        <v>0.49961728210494843</v>
      </c>
      <c r="J294" s="9">
        <f t="shared" si="20"/>
        <v>1.3809523809523809</v>
      </c>
      <c r="K294" s="5"/>
      <c r="L294" s="6"/>
      <c r="M294" s="6"/>
      <c r="N294" s="13"/>
      <c r="O294" s="14"/>
      <c r="P294" s="14"/>
      <c r="Q294" s="14"/>
      <c r="R294" s="14"/>
      <c r="S294" s="14"/>
      <c r="T294" s="5"/>
      <c r="U294" s="5"/>
      <c r="V294" s="5"/>
      <c r="W294" s="5"/>
      <c r="X294" s="5"/>
    </row>
    <row r="295" spans="1:24" ht="15.75" customHeight="1" thickBot="1">
      <c r="A295" s="1">
        <v>71101</v>
      </c>
      <c r="B295" s="2" t="s">
        <v>32</v>
      </c>
      <c r="C295" s="2" t="s">
        <v>389</v>
      </c>
      <c r="D295" s="3" t="s">
        <v>390</v>
      </c>
      <c r="E295" s="30">
        <v>79.993900579444954</v>
      </c>
      <c r="F295" s="31">
        <v>87.096479195244626</v>
      </c>
      <c r="G295" s="34">
        <v>45</v>
      </c>
      <c r="H295" s="35">
        <v>58</v>
      </c>
      <c r="I295" s="9">
        <f t="shared" si="19"/>
        <v>0.56254288982081579</v>
      </c>
      <c r="J295" s="9">
        <f t="shared" si="20"/>
        <v>1.288888888888889</v>
      </c>
      <c r="K295" s="5"/>
      <c r="L295" s="6"/>
      <c r="M295" s="6"/>
      <c r="N295" s="13"/>
      <c r="O295" s="14"/>
      <c r="P295" s="14"/>
      <c r="Q295" s="14"/>
      <c r="R295" s="14"/>
      <c r="S295" s="14"/>
      <c r="T295" s="5"/>
      <c r="U295" s="5"/>
      <c r="V295" s="5"/>
      <c r="W295" s="5"/>
      <c r="X295" s="5"/>
    </row>
    <row r="296" spans="1:24" ht="15.75" customHeight="1" thickBot="1">
      <c r="A296" s="1">
        <v>71102</v>
      </c>
      <c r="B296" s="2" t="s">
        <v>32</v>
      </c>
      <c r="C296" s="2" t="s">
        <v>389</v>
      </c>
      <c r="D296" s="3" t="s">
        <v>391</v>
      </c>
      <c r="E296" s="30">
        <v>84.84210526315789</v>
      </c>
      <c r="F296" s="31">
        <v>84.81118297517213</v>
      </c>
      <c r="G296" s="34">
        <v>47</v>
      </c>
      <c r="H296" s="35">
        <v>57</v>
      </c>
      <c r="I296" s="9">
        <f t="shared" si="19"/>
        <v>0.55397022332506207</v>
      </c>
      <c r="J296" s="9">
        <f t="shared" si="20"/>
        <v>1.2127659574468086</v>
      </c>
      <c r="K296" s="5"/>
      <c r="L296" s="6"/>
      <c r="M296" s="6"/>
      <c r="N296" s="13"/>
      <c r="O296" s="14"/>
      <c r="P296" s="14"/>
      <c r="Q296" s="14"/>
      <c r="R296" s="14"/>
      <c r="S296" s="14"/>
      <c r="T296" s="5"/>
      <c r="U296" s="5"/>
      <c r="V296" s="5"/>
      <c r="W296" s="5"/>
      <c r="X296" s="5"/>
    </row>
    <row r="297" spans="1:24" ht="15.75" customHeight="1" thickBot="1">
      <c r="A297" s="1">
        <v>71103</v>
      </c>
      <c r="B297" s="2" t="s">
        <v>32</v>
      </c>
      <c r="C297" s="2" t="s">
        <v>389</v>
      </c>
      <c r="D297" s="3" t="s">
        <v>392</v>
      </c>
      <c r="E297" s="30">
        <v>79.468242245199406</v>
      </c>
      <c r="F297" s="30">
        <v>83.859770912877494</v>
      </c>
      <c r="G297" s="34">
        <v>42</v>
      </c>
      <c r="H297" s="35">
        <v>60</v>
      </c>
      <c r="I297" s="9">
        <f t="shared" si="19"/>
        <v>0.52851301115241633</v>
      </c>
      <c r="J297" s="9">
        <f t="shared" si="20"/>
        <v>1.4285714285714286</v>
      </c>
      <c r="K297" s="5"/>
      <c r="L297" s="6"/>
      <c r="M297" s="6"/>
      <c r="N297" s="13"/>
      <c r="O297" s="14"/>
      <c r="P297" s="14"/>
      <c r="Q297" s="14"/>
      <c r="R297" s="14"/>
      <c r="S297" s="14"/>
      <c r="T297" s="5"/>
      <c r="U297" s="5"/>
      <c r="V297" s="5"/>
      <c r="W297" s="5"/>
      <c r="X297" s="5"/>
    </row>
    <row r="298" spans="1:24" ht="15.75" customHeight="1" thickBot="1">
      <c r="A298" s="1">
        <v>71104</v>
      </c>
      <c r="B298" s="2" t="s">
        <v>32</v>
      </c>
      <c r="C298" s="2" t="s">
        <v>389</v>
      </c>
      <c r="D298" s="3" t="s">
        <v>393</v>
      </c>
      <c r="E298" s="30">
        <v>81.461052889624298</v>
      </c>
      <c r="F298" s="30">
        <v>84.879635653871205</v>
      </c>
      <c r="G298" s="34">
        <v>43</v>
      </c>
      <c r="H298" s="35">
        <v>60</v>
      </c>
      <c r="I298" s="9">
        <f t="shared" si="19"/>
        <v>0.52785961480589838</v>
      </c>
      <c r="J298" s="9">
        <f t="shared" si="20"/>
        <v>1.3953488372093024</v>
      </c>
      <c r="K298" s="5"/>
      <c r="L298" s="6"/>
      <c r="M298" s="6"/>
      <c r="N298" s="13"/>
      <c r="O298" s="14"/>
      <c r="P298" s="14"/>
      <c r="Q298" s="14"/>
      <c r="R298" s="14"/>
      <c r="S298" s="14"/>
      <c r="T298" s="5"/>
      <c r="U298" s="5"/>
      <c r="V298" s="5"/>
      <c r="W298" s="5"/>
      <c r="X298" s="5"/>
    </row>
    <row r="299" spans="1:24" ht="15.75" customHeight="1" thickBot="1">
      <c r="A299" s="1">
        <v>71105</v>
      </c>
      <c r="B299" s="2" t="s">
        <v>32</v>
      </c>
      <c r="C299" s="2" t="s">
        <v>389</v>
      </c>
      <c r="D299" s="3" t="s">
        <v>394</v>
      </c>
      <c r="E299" s="30">
        <v>76.909413854351698</v>
      </c>
      <c r="F299" s="30">
        <v>81.123919308357301</v>
      </c>
      <c r="G299" s="34">
        <v>48</v>
      </c>
      <c r="H299" s="35">
        <v>54</v>
      </c>
      <c r="I299" s="9">
        <f t="shared" si="19"/>
        <v>0.62411085450346415</v>
      </c>
      <c r="J299" s="9">
        <f t="shared" si="20"/>
        <v>1.125</v>
      </c>
      <c r="K299" s="5"/>
      <c r="L299" s="6"/>
      <c r="M299" s="6"/>
      <c r="N299" s="13"/>
      <c r="O299" s="14"/>
      <c r="P299" s="14"/>
      <c r="Q299" s="14"/>
      <c r="R299" s="14"/>
      <c r="S299" s="14"/>
      <c r="T299" s="5"/>
      <c r="U299" s="5"/>
      <c r="V299" s="5"/>
      <c r="W299" s="5"/>
      <c r="X299" s="5"/>
    </row>
    <row r="300" spans="1:24" ht="15.75" customHeight="1" thickBot="1">
      <c r="A300" s="1">
        <v>71106</v>
      </c>
      <c r="B300" s="2" t="s">
        <v>32</v>
      </c>
      <c r="C300" s="2" t="s">
        <v>389</v>
      </c>
      <c r="D300" s="3" t="s">
        <v>395</v>
      </c>
      <c r="E300" s="30">
        <v>84.842293449112503</v>
      </c>
      <c r="F300" s="30">
        <v>88.438298861259597</v>
      </c>
      <c r="G300" s="34">
        <v>39</v>
      </c>
      <c r="H300" s="35">
        <v>54</v>
      </c>
      <c r="I300" s="9">
        <f t="shared" si="19"/>
        <v>0.45967639975918123</v>
      </c>
      <c r="J300" s="9">
        <f t="shared" si="20"/>
        <v>1.3846153846153846</v>
      </c>
      <c r="K300" s="5"/>
      <c r="L300" s="6"/>
      <c r="M300" s="6"/>
      <c r="N300" s="13"/>
      <c r="O300" s="14"/>
      <c r="P300" s="14"/>
      <c r="Q300" s="14"/>
      <c r="R300" s="14"/>
      <c r="S300" s="14"/>
      <c r="T300" s="5"/>
      <c r="U300" s="5"/>
      <c r="V300" s="5"/>
      <c r="W300" s="5"/>
      <c r="X300" s="5"/>
    </row>
    <row r="301" spans="1:24" ht="15.75" customHeight="1" thickBot="1">
      <c r="A301" s="1">
        <v>71201</v>
      </c>
      <c r="B301" s="2" t="s">
        <v>32</v>
      </c>
      <c r="C301" s="2" t="s">
        <v>396</v>
      </c>
      <c r="D301" s="3" t="s">
        <v>397</v>
      </c>
      <c r="E301" s="30">
        <v>77.351019600079198</v>
      </c>
      <c r="F301" s="31">
        <v>79.55346650998824</v>
      </c>
      <c r="G301" s="34">
        <v>39</v>
      </c>
      <c r="H301" s="35">
        <v>55</v>
      </c>
      <c r="I301" s="9">
        <f t="shared" si="19"/>
        <v>0.50419503455336567</v>
      </c>
      <c r="J301" s="9">
        <f t="shared" si="20"/>
        <v>1.4102564102564104</v>
      </c>
      <c r="K301" s="5"/>
      <c r="L301" s="6"/>
      <c r="M301" s="6"/>
      <c r="N301" s="13"/>
      <c r="O301" s="14"/>
      <c r="P301" s="14"/>
      <c r="Q301" s="14"/>
      <c r="R301" s="14"/>
      <c r="S301" s="14"/>
      <c r="T301" s="5"/>
      <c r="U301" s="5"/>
      <c r="V301" s="5"/>
      <c r="W301" s="5"/>
      <c r="X301" s="5"/>
    </row>
    <row r="302" spans="1:24" ht="15.75" customHeight="1" thickBot="1">
      <c r="A302" s="1">
        <v>71301</v>
      </c>
      <c r="B302" s="2" t="s">
        <v>32</v>
      </c>
      <c r="C302" s="2" t="s">
        <v>398</v>
      </c>
      <c r="D302" s="3" t="s">
        <v>399</v>
      </c>
      <c r="E302" s="30">
        <v>85.782080485952932</v>
      </c>
      <c r="F302" s="31">
        <v>87.489711934156375</v>
      </c>
      <c r="G302" s="34">
        <v>60</v>
      </c>
      <c r="H302" s="35">
        <v>73</v>
      </c>
      <c r="I302" s="9">
        <f t="shared" si="19"/>
        <v>0.69944678026111962</v>
      </c>
      <c r="J302" s="9">
        <f t="shared" si="20"/>
        <v>1.2166666666666666</v>
      </c>
      <c r="K302" s="5"/>
      <c r="L302" s="6"/>
      <c r="M302" s="6"/>
      <c r="N302" s="13"/>
      <c r="O302" s="14"/>
      <c r="P302" s="14"/>
      <c r="Q302" s="14"/>
      <c r="R302" s="14"/>
      <c r="S302" s="14"/>
      <c r="T302" s="5"/>
      <c r="U302" s="5"/>
      <c r="V302" s="5"/>
      <c r="W302" s="5"/>
      <c r="X302" s="5"/>
    </row>
    <row r="303" spans="1:24" ht="15.75" customHeight="1" thickBot="1">
      <c r="A303" s="1">
        <v>71302</v>
      </c>
      <c r="B303" s="2" t="s">
        <v>32</v>
      </c>
      <c r="C303" s="2" t="s">
        <v>398</v>
      </c>
      <c r="D303" s="3" t="s">
        <v>400</v>
      </c>
      <c r="E303" s="30">
        <v>84.7723704866562</v>
      </c>
      <c r="F303" s="31">
        <v>88.617511520737324</v>
      </c>
      <c r="G303" s="34">
        <v>55</v>
      </c>
      <c r="H303" s="35">
        <v>68</v>
      </c>
      <c r="I303" s="9">
        <f t="shared" si="19"/>
        <v>0.64879629629629632</v>
      </c>
      <c r="J303" s="9">
        <f t="shared" si="20"/>
        <v>1.2363636363636363</v>
      </c>
      <c r="K303" s="5"/>
      <c r="L303" s="6"/>
      <c r="M303" s="6"/>
      <c r="N303" s="13"/>
      <c r="O303" s="14"/>
      <c r="P303" s="14"/>
      <c r="Q303" s="14"/>
      <c r="R303" s="14"/>
      <c r="S303" s="14"/>
      <c r="T303" s="5"/>
      <c r="U303" s="5"/>
      <c r="V303" s="5"/>
      <c r="W303" s="5"/>
      <c r="X303" s="5"/>
    </row>
    <row r="304" spans="1:24" ht="15.75" customHeight="1" thickBot="1">
      <c r="A304" s="1">
        <v>71401</v>
      </c>
      <c r="B304" s="2" t="s">
        <v>32</v>
      </c>
      <c r="C304" s="2" t="s">
        <v>401</v>
      </c>
      <c r="D304" s="3" t="s">
        <v>402</v>
      </c>
      <c r="E304" s="30">
        <v>75.12086763360773</v>
      </c>
      <c r="F304" s="31">
        <v>83.328115216030056</v>
      </c>
      <c r="G304" s="34">
        <v>48</v>
      </c>
      <c r="H304" s="35">
        <v>61</v>
      </c>
      <c r="I304" s="9">
        <f t="shared" si="19"/>
        <v>0.6389702556966429</v>
      </c>
      <c r="J304" s="9">
        <f t="shared" si="20"/>
        <v>1.2708333333333333</v>
      </c>
      <c r="K304" s="5"/>
      <c r="L304" s="6"/>
      <c r="M304" s="6"/>
      <c r="N304" s="13"/>
      <c r="O304" s="14"/>
      <c r="P304" s="14"/>
      <c r="Q304" s="14"/>
      <c r="R304" s="14"/>
      <c r="S304" s="14"/>
      <c r="T304" s="5"/>
      <c r="U304" s="5"/>
      <c r="V304" s="5"/>
      <c r="W304" s="5"/>
      <c r="X304" s="5"/>
    </row>
    <row r="305" spans="1:24" ht="15.75" customHeight="1" thickBot="1">
      <c r="A305" s="1">
        <v>71402</v>
      </c>
      <c r="B305" s="2" t="s">
        <v>32</v>
      </c>
      <c r="C305" s="2" t="s">
        <v>401</v>
      </c>
      <c r="D305" s="3" t="s">
        <v>403</v>
      </c>
      <c r="E305" s="30">
        <v>80.346044011422819</v>
      </c>
      <c r="F305" s="31">
        <v>83.71526084836664</v>
      </c>
      <c r="G305" s="34">
        <v>56</v>
      </c>
      <c r="H305" s="35">
        <v>64</v>
      </c>
      <c r="I305" s="9">
        <f t="shared" si="19"/>
        <v>0.69698515575998321</v>
      </c>
      <c r="J305" s="9">
        <f t="shared" si="20"/>
        <v>1.1428571428571428</v>
      </c>
      <c r="K305" s="5"/>
      <c r="L305" s="6"/>
      <c r="M305" s="6"/>
      <c r="N305" s="13"/>
      <c r="O305" s="14"/>
      <c r="P305" s="14"/>
      <c r="Q305" s="14"/>
      <c r="R305" s="14"/>
      <c r="S305" s="14"/>
      <c r="T305" s="5"/>
      <c r="U305" s="5"/>
      <c r="V305" s="5"/>
      <c r="W305" s="5"/>
      <c r="X305" s="5"/>
    </row>
    <row r="306" spans="1:24" ht="15.75" customHeight="1" thickBot="1">
      <c r="A306" s="1">
        <v>71403</v>
      </c>
      <c r="B306" s="2" t="s">
        <v>32</v>
      </c>
      <c r="C306" s="2" t="s">
        <v>401</v>
      </c>
      <c r="D306" s="3" t="s">
        <v>404</v>
      </c>
      <c r="E306" s="30">
        <v>81.658075601374563</v>
      </c>
      <c r="F306" s="31">
        <v>87.206266318537857</v>
      </c>
      <c r="G306" s="34">
        <v>40</v>
      </c>
      <c r="H306" s="35">
        <v>61</v>
      </c>
      <c r="I306" s="9">
        <f t="shared" si="19"/>
        <v>0.48984744871120467</v>
      </c>
      <c r="J306" s="9">
        <f t="shared" si="20"/>
        <v>1.5249999999999999</v>
      </c>
      <c r="K306" s="5"/>
      <c r="L306" s="6"/>
      <c r="M306" s="6"/>
      <c r="N306" s="13"/>
      <c r="O306" s="14"/>
      <c r="P306" s="14"/>
      <c r="Q306" s="14"/>
      <c r="R306" s="14"/>
      <c r="S306" s="14"/>
      <c r="T306" s="5"/>
      <c r="U306" s="5"/>
      <c r="V306" s="5"/>
      <c r="W306" s="5"/>
      <c r="X306" s="5"/>
    </row>
    <row r="307" spans="1:24" ht="15.75" customHeight="1" thickBot="1">
      <c r="A307" s="1">
        <v>71501</v>
      </c>
      <c r="B307" s="2" t="s">
        <v>32</v>
      </c>
      <c r="C307" s="2" t="s">
        <v>405</v>
      </c>
      <c r="D307" s="3" t="s">
        <v>406</v>
      </c>
      <c r="E307" s="30">
        <v>80.514086878437524</v>
      </c>
      <c r="F307" s="31">
        <v>86.956162117452436</v>
      </c>
      <c r="G307" s="34">
        <v>46</v>
      </c>
      <c r="H307" s="35">
        <v>61</v>
      </c>
      <c r="I307" s="9">
        <f t="shared" si="19"/>
        <v>0.57132859333612163</v>
      </c>
      <c r="J307" s="9">
        <f t="shared" si="20"/>
        <v>1.326086956521739</v>
      </c>
      <c r="K307" s="5"/>
      <c r="L307" s="6"/>
      <c r="M307" s="6"/>
      <c r="N307" s="13"/>
      <c r="O307" s="14"/>
      <c r="P307" s="14"/>
      <c r="Q307" s="14"/>
      <c r="R307" s="14"/>
      <c r="S307" s="14"/>
      <c r="T307" s="5"/>
      <c r="U307" s="5"/>
      <c r="V307" s="5"/>
      <c r="W307" s="5"/>
      <c r="X307" s="5"/>
    </row>
    <row r="308" spans="1:24" ht="15.75" customHeight="1" thickBot="1">
      <c r="A308" s="1">
        <v>71502</v>
      </c>
      <c r="B308" s="2" t="s">
        <v>32</v>
      </c>
      <c r="C308" s="2" t="s">
        <v>405</v>
      </c>
      <c r="D308" s="3" t="s">
        <v>407</v>
      </c>
      <c r="E308" s="30">
        <v>73.530731269627637</v>
      </c>
      <c r="F308" s="31">
        <v>78.044280442804421</v>
      </c>
      <c r="G308" s="34">
        <v>44</v>
      </c>
      <c r="H308" s="35">
        <v>52</v>
      </c>
      <c r="I308" s="9">
        <f t="shared" si="19"/>
        <v>0.59838926174496643</v>
      </c>
      <c r="J308" s="9">
        <f t="shared" si="20"/>
        <v>1.1818181818181819</v>
      </c>
      <c r="K308" s="5"/>
      <c r="L308" s="6"/>
      <c r="M308" s="6"/>
      <c r="N308" s="13"/>
      <c r="O308" s="14"/>
      <c r="P308" s="14"/>
      <c r="Q308" s="14"/>
      <c r="R308" s="14"/>
      <c r="S308" s="14"/>
      <c r="T308" s="5"/>
      <c r="U308" s="5"/>
      <c r="V308" s="5"/>
      <c r="W308" s="5"/>
      <c r="X308" s="5"/>
    </row>
    <row r="309" spans="1:24" ht="15.75" customHeight="1" thickBot="1">
      <c r="A309" s="1">
        <v>71503</v>
      </c>
      <c r="B309" s="2" t="s">
        <v>32</v>
      </c>
      <c r="C309" s="2" t="s">
        <v>405</v>
      </c>
      <c r="D309" s="3" t="s">
        <v>338</v>
      </c>
      <c r="E309" s="30">
        <v>87.340851218624962</v>
      </c>
      <c r="F309" s="31">
        <v>88.656387665198238</v>
      </c>
      <c r="G309" s="34">
        <v>42</v>
      </c>
      <c r="H309" s="35">
        <v>63</v>
      </c>
      <c r="I309" s="9">
        <f t="shared" si="19"/>
        <v>0.48087463556851306</v>
      </c>
      <c r="J309" s="9">
        <f t="shared" si="20"/>
        <v>1.5</v>
      </c>
      <c r="K309" s="5"/>
      <c r="L309" s="6"/>
      <c r="M309" s="6"/>
      <c r="N309" s="13"/>
      <c r="O309" s="14"/>
      <c r="P309" s="14"/>
      <c r="Q309" s="14"/>
      <c r="R309" s="14"/>
      <c r="S309" s="14"/>
      <c r="T309" s="5"/>
      <c r="U309" s="5"/>
      <c r="V309" s="5"/>
      <c r="W309" s="5"/>
      <c r="X309" s="5"/>
    </row>
    <row r="310" spans="1:24" ht="15.75" customHeight="1" thickBot="1">
      <c r="A310" s="1">
        <v>80101</v>
      </c>
      <c r="B310" s="2" t="s">
        <v>34</v>
      </c>
      <c r="C310" s="2" t="s">
        <v>172</v>
      </c>
      <c r="D310" s="3" t="s">
        <v>408</v>
      </c>
      <c r="E310" s="30">
        <v>74.794019752278061</v>
      </c>
      <c r="F310" s="31">
        <v>77.355238970588232</v>
      </c>
      <c r="G310" s="34">
        <v>52</v>
      </c>
      <c r="H310" s="35">
        <v>61</v>
      </c>
      <c r="I310" s="9">
        <f t="shared" si="19"/>
        <v>0.69524275031916838</v>
      </c>
      <c r="J310" s="9">
        <f t="shared" si="20"/>
        <v>1.1730769230769231</v>
      </c>
      <c r="K310" s="5"/>
      <c r="L310" s="6"/>
      <c r="M310" s="6"/>
      <c r="N310" s="13"/>
      <c r="O310" s="14"/>
      <c r="P310" s="14"/>
      <c r="Q310" s="14"/>
      <c r="R310" s="14"/>
      <c r="S310" s="14"/>
      <c r="T310" s="5"/>
      <c r="U310" s="5"/>
      <c r="V310" s="5"/>
      <c r="W310" s="5"/>
      <c r="X310" s="5"/>
    </row>
    <row r="311" spans="1:24" ht="15.75" customHeight="1" thickBot="1">
      <c r="A311" s="1">
        <v>80102</v>
      </c>
      <c r="B311" s="2" t="s">
        <v>34</v>
      </c>
      <c r="C311" s="2" t="s">
        <v>172</v>
      </c>
      <c r="D311" s="3" t="s">
        <v>391</v>
      </c>
      <c r="E311" s="30">
        <v>87.893462469733649</v>
      </c>
      <c r="F311" s="31">
        <v>89.46259220231822</v>
      </c>
      <c r="G311" s="34">
        <v>51</v>
      </c>
      <c r="H311" s="35">
        <v>66</v>
      </c>
      <c r="I311" s="9">
        <f t="shared" si="19"/>
        <v>0.58024793388429752</v>
      </c>
      <c r="J311" s="9">
        <f t="shared" si="20"/>
        <v>1.2941176470588236</v>
      </c>
      <c r="K311" s="5"/>
      <c r="L311" s="6"/>
      <c r="M311" s="6"/>
      <c r="N311" s="13"/>
      <c r="O311" s="14"/>
      <c r="P311" s="14"/>
      <c r="Q311" s="14"/>
      <c r="R311" s="14"/>
      <c r="S311" s="14"/>
      <c r="T311" s="5"/>
      <c r="U311" s="5"/>
      <c r="V311" s="5"/>
      <c r="W311" s="5"/>
      <c r="X311" s="5"/>
    </row>
    <row r="312" spans="1:24" ht="15.75" customHeight="1" thickBot="1">
      <c r="A312" s="1">
        <v>80201</v>
      </c>
      <c r="B312" s="2" t="s">
        <v>34</v>
      </c>
      <c r="C312" s="2" t="s">
        <v>409</v>
      </c>
      <c r="D312" s="3" t="s">
        <v>410</v>
      </c>
      <c r="E312" s="30">
        <v>76.152461188300435</v>
      </c>
      <c r="F312" s="31">
        <v>78.034564750913418</v>
      </c>
      <c r="G312" s="34">
        <v>49</v>
      </c>
      <c r="H312" s="35">
        <v>62</v>
      </c>
      <c r="I312" s="9">
        <f t="shared" si="19"/>
        <v>0.64344604541196415</v>
      </c>
      <c r="J312" s="9">
        <f t="shared" si="20"/>
        <v>1.2653061224489797</v>
      </c>
      <c r="K312" s="5"/>
      <c r="L312" s="6"/>
      <c r="M312" s="6"/>
      <c r="N312" s="13"/>
      <c r="O312" s="14"/>
      <c r="P312" s="14"/>
      <c r="Q312" s="14"/>
      <c r="R312" s="14"/>
      <c r="S312" s="14"/>
      <c r="T312" s="5"/>
      <c r="U312" s="5"/>
      <c r="V312" s="5"/>
      <c r="W312" s="5"/>
      <c r="X312" s="5"/>
    </row>
    <row r="313" spans="1:24" ht="15.75" customHeight="1" thickBot="1">
      <c r="A313" s="1">
        <v>80202</v>
      </c>
      <c r="B313" s="2" t="s">
        <v>34</v>
      </c>
      <c r="C313" s="2" t="s">
        <v>409</v>
      </c>
      <c r="D313" s="3" t="s">
        <v>411</v>
      </c>
      <c r="E313" s="30">
        <v>77.075153268581658</v>
      </c>
      <c r="F313" s="31">
        <v>78.85957822029539</v>
      </c>
      <c r="G313" s="34">
        <v>49</v>
      </c>
      <c r="H313" s="35">
        <v>60</v>
      </c>
      <c r="I313" s="9">
        <f t="shared" si="19"/>
        <v>0.63574314058450265</v>
      </c>
      <c r="J313" s="9">
        <f t="shared" si="20"/>
        <v>1.2244897959183674</v>
      </c>
      <c r="K313" s="5"/>
      <c r="L313" s="6"/>
      <c r="M313" s="6"/>
      <c r="N313" s="13"/>
      <c r="O313" s="14"/>
      <c r="P313" s="14"/>
      <c r="Q313" s="14"/>
      <c r="R313" s="14"/>
      <c r="S313" s="14"/>
      <c r="T313" s="5"/>
      <c r="U313" s="5"/>
      <c r="V313" s="5"/>
      <c r="W313" s="5"/>
      <c r="X313" s="5"/>
    </row>
    <row r="314" spans="1:24" ht="15.75" customHeight="1" thickBot="1">
      <c r="A314" s="1">
        <v>80301</v>
      </c>
      <c r="B314" s="2" t="s">
        <v>34</v>
      </c>
      <c r="C314" s="2" t="s">
        <v>412</v>
      </c>
      <c r="D314" s="3" t="s">
        <v>413</v>
      </c>
      <c r="E314" s="30">
        <v>78.769971547384543</v>
      </c>
      <c r="F314" s="31">
        <v>81.177402323125662</v>
      </c>
      <c r="G314" s="34">
        <v>46</v>
      </c>
      <c r="H314" s="35">
        <v>58</v>
      </c>
      <c r="I314" s="9">
        <f t="shared" si="19"/>
        <v>0.583978883023062</v>
      </c>
      <c r="J314" s="9">
        <f t="shared" si="20"/>
        <v>1.2608695652173914</v>
      </c>
      <c r="K314" s="5"/>
      <c r="L314" s="6"/>
      <c r="M314" s="6"/>
      <c r="N314" s="13"/>
      <c r="O314" s="14"/>
      <c r="P314" s="14"/>
      <c r="Q314" s="14"/>
      <c r="R314" s="14"/>
      <c r="S314" s="14"/>
      <c r="T314" s="5"/>
      <c r="U314" s="5"/>
      <c r="V314" s="5"/>
      <c r="W314" s="5"/>
      <c r="X314" s="5"/>
    </row>
    <row r="315" spans="1:24" ht="15.75" customHeight="1" thickBot="1">
      <c r="A315" s="1">
        <v>80302</v>
      </c>
      <c r="B315" s="2" t="s">
        <v>34</v>
      </c>
      <c r="C315" s="2" t="s">
        <v>412</v>
      </c>
      <c r="D315" s="3" t="s">
        <v>414</v>
      </c>
      <c r="E315" s="30">
        <v>80.79284469036611</v>
      </c>
      <c r="F315" s="31">
        <v>85.766448985324061</v>
      </c>
      <c r="G315" s="34">
        <v>53</v>
      </c>
      <c r="H315" s="35">
        <v>65</v>
      </c>
      <c r="I315" s="9">
        <f t="shared" si="19"/>
        <v>0.65599868655596205</v>
      </c>
      <c r="J315" s="9">
        <f t="shared" si="20"/>
        <v>1.2264150943396226</v>
      </c>
      <c r="K315" s="5"/>
      <c r="L315" s="6"/>
      <c r="M315" s="6"/>
      <c r="N315" s="13"/>
      <c r="O315" s="14"/>
      <c r="P315" s="14"/>
      <c r="Q315" s="14"/>
      <c r="R315" s="14"/>
      <c r="S315" s="14"/>
      <c r="T315" s="5"/>
      <c r="U315" s="5"/>
      <c r="V315" s="5"/>
      <c r="W315" s="5"/>
      <c r="X315" s="5"/>
    </row>
    <row r="316" spans="1:24" ht="15.75" customHeight="1" thickBot="1">
      <c r="A316" s="1">
        <v>80303</v>
      </c>
      <c r="B316" s="2" t="s">
        <v>34</v>
      </c>
      <c r="C316" s="2" t="s">
        <v>412</v>
      </c>
      <c r="D316" s="3" t="s">
        <v>415</v>
      </c>
      <c r="E316" s="30">
        <v>79.228855721393032</v>
      </c>
      <c r="F316" s="31">
        <v>82.470930232558132</v>
      </c>
      <c r="G316" s="34">
        <v>42</v>
      </c>
      <c r="H316" s="35">
        <v>57</v>
      </c>
      <c r="I316" s="9">
        <f t="shared" si="19"/>
        <v>0.53010989010989018</v>
      </c>
      <c r="J316" s="9">
        <f t="shared" si="20"/>
        <v>1.3571428571428572</v>
      </c>
      <c r="K316" s="5"/>
      <c r="L316" s="6"/>
      <c r="M316" s="6"/>
      <c r="N316" s="13"/>
      <c r="O316" s="14"/>
      <c r="P316" s="14"/>
      <c r="Q316" s="14"/>
      <c r="R316" s="14"/>
      <c r="S316" s="14"/>
      <c r="T316" s="5"/>
      <c r="U316" s="5"/>
      <c r="V316" s="5"/>
      <c r="W316" s="5"/>
      <c r="X316" s="5"/>
    </row>
    <row r="317" spans="1:24" ht="15.75" customHeight="1" thickBot="1">
      <c r="A317" s="1">
        <v>80304</v>
      </c>
      <c r="B317" s="2" t="s">
        <v>34</v>
      </c>
      <c r="C317" s="2" t="s">
        <v>412</v>
      </c>
      <c r="D317" s="3" t="s">
        <v>416</v>
      </c>
      <c r="E317" s="30">
        <v>78.341693714960172</v>
      </c>
      <c r="F317" s="31">
        <v>85.827327963826477</v>
      </c>
      <c r="G317" s="34">
        <v>53</v>
      </c>
      <c r="H317" s="35">
        <v>70</v>
      </c>
      <c r="I317" s="9">
        <f t="shared" si="19"/>
        <v>0.67652354048964214</v>
      </c>
      <c r="J317" s="9">
        <f t="shared" si="20"/>
        <v>1.320754716981132</v>
      </c>
      <c r="K317" s="5"/>
      <c r="L317" s="6"/>
      <c r="M317" s="6"/>
      <c r="N317" s="13"/>
      <c r="O317" s="14"/>
      <c r="P317" s="14"/>
      <c r="Q317" s="14"/>
      <c r="R317" s="14"/>
      <c r="S317" s="14"/>
      <c r="T317" s="5"/>
      <c r="U317" s="5"/>
      <c r="V317" s="5"/>
      <c r="W317" s="5"/>
      <c r="X317" s="5"/>
    </row>
    <row r="318" spans="1:24" ht="15.75" customHeight="1" thickBot="1">
      <c r="A318" s="1">
        <v>80401</v>
      </c>
      <c r="B318" s="2" t="s">
        <v>34</v>
      </c>
      <c r="C318" s="2" t="s">
        <v>417</v>
      </c>
      <c r="D318" s="3" t="s">
        <v>418</v>
      </c>
      <c r="E318" s="30">
        <v>79.198439439616948</v>
      </c>
      <c r="F318" s="31">
        <v>80.938314509122506</v>
      </c>
      <c r="G318" s="34">
        <v>53</v>
      </c>
      <c r="H318" s="35">
        <v>60</v>
      </c>
      <c r="I318" s="9">
        <f t="shared" si="19"/>
        <v>0.66920510523958809</v>
      </c>
      <c r="J318" s="9">
        <f t="shared" si="20"/>
        <v>1.1320754716981132</v>
      </c>
      <c r="K318" s="5"/>
      <c r="L318" s="6"/>
      <c r="M318" s="6"/>
      <c r="N318" s="13"/>
      <c r="O318" s="14"/>
      <c r="P318" s="14"/>
      <c r="Q318" s="14"/>
      <c r="R318" s="14"/>
      <c r="S318" s="14"/>
      <c r="T318" s="5"/>
      <c r="U318" s="5"/>
      <c r="V318" s="5"/>
      <c r="W318" s="5"/>
      <c r="X318" s="5"/>
    </row>
    <row r="319" spans="1:24" ht="15.75" customHeight="1" thickBot="1">
      <c r="A319" s="1">
        <v>80402</v>
      </c>
      <c r="B319" s="2" t="s">
        <v>34</v>
      </c>
      <c r="C319" s="2" t="s">
        <v>417</v>
      </c>
      <c r="D319" s="3" t="s">
        <v>419</v>
      </c>
      <c r="E319" s="30">
        <v>84.866986480593113</v>
      </c>
      <c r="F319" s="31">
        <v>86.167051832287882</v>
      </c>
      <c r="G319" s="34">
        <v>41</v>
      </c>
      <c r="H319" s="35">
        <v>56</v>
      </c>
      <c r="I319" s="9">
        <f t="shared" si="19"/>
        <v>0.48310894141829391</v>
      </c>
      <c r="J319" s="9">
        <f t="shared" si="20"/>
        <v>1.3658536585365855</v>
      </c>
      <c r="K319" s="5"/>
      <c r="L319" s="6"/>
      <c r="M319" s="6"/>
      <c r="N319" s="13"/>
      <c r="O319" s="14"/>
      <c r="P319" s="14"/>
      <c r="Q319" s="14"/>
      <c r="R319" s="14"/>
      <c r="S319" s="14"/>
      <c r="T319" s="5"/>
      <c r="U319" s="5"/>
      <c r="V319" s="5"/>
      <c r="W319" s="5"/>
      <c r="X319" s="5"/>
    </row>
    <row r="320" spans="1:24" ht="15.75" customHeight="1" thickBot="1">
      <c r="A320" s="1">
        <v>80501</v>
      </c>
      <c r="B320" s="2" t="s">
        <v>34</v>
      </c>
      <c r="C320" s="2" t="s">
        <v>420</v>
      </c>
      <c r="D320" s="3" t="s">
        <v>421</v>
      </c>
      <c r="E320" s="30">
        <v>79.475308641975303</v>
      </c>
      <c r="F320" s="31">
        <v>79.753623188405797</v>
      </c>
      <c r="G320" s="34">
        <v>50</v>
      </c>
      <c r="H320" s="35">
        <v>55</v>
      </c>
      <c r="I320" s="9">
        <f t="shared" si="19"/>
        <v>0.62912621359223309</v>
      </c>
      <c r="J320" s="9">
        <f t="shared" si="20"/>
        <v>1.1000000000000001</v>
      </c>
      <c r="K320" s="5"/>
      <c r="L320" s="6"/>
      <c r="M320" s="6"/>
      <c r="N320" s="13"/>
      <c r="O320" s="14"/>
      <c r="P320" s="14"/>
      <c r="Q320" s="14"/>
      <c r="R320" s="14"/>
      <c r="S320" s="14"/>
      <c r="T320" s="5"/>
      <c r="U320" s="5"/>
      <c r="V320" s="5"/>
      <c r="W320" s="5"/>
      <c r="X320" s="5"/>
    </row>
    <row r="321" spans="1:24" ht="15.75" customHeight="1" thickBot="1">
      <c r="A321" s="1">
        <v>80601</v>
      </c>
      <c r="B321" s="2" t="s">
        <v>34</v>
      </c>
      <c r="C321" s="2" t="s">
        <v>422</v>
      </c>
      <c r="D321" s="3" t="s">
        <v>423</v>
      </c>
      <c r="E321" s="30">
        <v>84.363081617086195</v>
      </c>
      <c r="F321" s="31">
        <v>82.720588235294116</v>
      </c>
      <c r="G321" s="34">
        <v>46</v>
      </c>
      <c r="H321" s="35">
        <v>57</v>
      </c>
      <c r="I321" s="9">
        <f t="shared" si="19"/>
        <v>0.54526220614828214</v>
      </c>
      <c r="J321" s="9">
        <f t="shared" si="20"/>
        <v>1.2391304347826086</v>
      </c>
      <c r="K321" s="5"/>
      <c r="L321" s="6"/>
      <c r="M321" s="6"/>
      <c r="N321" s="13"/>
      <c r="O321" s="14"/>
      <c r="P321" s="14"/>
      <c r="Q321" s="14"/>
      <c r="R321" s="14"/>
      <c r="S321" s="14"/>
      <c r="T321" s="5"/>
      <c r="U321" s="5"/>
      <c r="V321" s="5"/>
      <c r="W321" s="5"/>
      <c r="X321" s="5"/>
    </row>
    <row r="322" spans="1:24" ht="15.75" customHeight="1" thickBot="1">
      <c r="A322" s="1">
        <v>80602</v>
      </c>
      <c r="B322" s="2" t="s">
        <v>34</v>
      </c>
      <c r="C322" s="2" t="s">
        <v>422</v>
      </c>
      <c r="D322" s="3" t="s">
        <v>424</v>
      </c>
      <c r="E322" s="30">
        <v>86.175213675213683</v>
      </c>
      <c r="F322" s="31">
        <v>90.576628678346665</v>
      </c>
      <c r="G322" s="34">
        <v>46</v>
      </c>
      <c r="H322" s="35">
        <v>64</v>
      </c>
      <c r="I322" s="9">
        <f t="shared" si="19"/>
        <v>0.53379618150260344</v>
      </c>
      <c r="J322" s="9">
        <f t="shared" si="20"/>
        <v>1.3913043478260869</v>
      </c>
      <c r="K322" s="5"/>
      <c r="L322" s="6"/>
      <c r="M322" s="6"/>
      <c r="N322" s="13"/>
      <c r="O322" s="14"/>
      <c r="P322" s="14"/>
      <c r="Q322" s="14"/>
      <c r="R322" s="14"/>
      <c r="S322" s="14"/>
      <c r="T322" s="5"/>
      <c r="U322" s="5"/>
      <c r="V322" s="5"/>
      <c r="W322" s="5"/>
      <c r="X322" s="5"/>
    </row>
    <row r="323" spans="1:24" ht="15.75" customHeight="1" thickBot="1">
      <c r="A323" s="1">
        <v>80701</v>
      </c>
      <c r="B323" s="2" t="s">
        <v>34</v>
      </c>
      <c r="C323" s="2" t="s">
        <v>425</v>
      </c>
      <c r="D323" s="3" t="s">
        <v>426</v>
      </c>
      <c r="E323" s="30">
        <v>78.390297684674749</v>
      </c>
      <c r="F323" s="31">
        <v>83.501979762428519</v>
      </c>
      <c r="G323" s="34">
        <v>45</v>
      </c>
      <c r="H323" s="35">
        <v>61</v>
      </c>
      <c r="I323" s="9">
        <f t="shared" ref="I323:I344" si="21">G323/E323</f>
        <v>0.57405063291139247</v>
      </c>
      <c r="J323" s="9">
        <f t="shared" ref="J323:J344" si="22">H323/G323</f>
        <v>1.3555555555555556</v>
      </c>
      <c r="K323" s="5"/>
      <c r="L323" s="6"/>
      <c r="M323" s="6"/>
      <c r="N323" s="13"/>
      <c r="O323" s="14"/>
      <c r="P323" s="14"/>
      <c r="Q323" s="14"/>
      <c r="R323" s="14"/>
      <c r="S323" s="14"/>
      <c r="T323" s="5"/>
      <c r="U323" s="5"/>
      <c r="V323" s="5"/>
      <c r="W323" s="5"/>
      <c r="X323" s="5"/>
    </row>
    <row r="324" spans="1:24" ht="15.75" customHeight="1" thickBot="1">
      <c r="A324" s="1">
        <v>80702</v>
      </c>
      <c r="B324" s="2" t="s">
        <v>34</v>
      </c>
      <c r="C324" s="2" t="s">
        <v>425</v>
      </c>
      <c r="D324" s="3" t="s">
        <v>392</v>
      </c>
      <c r="E324" s="30">
        <v>82.039660056657226</v>
      </c>
      <c r="F324" s="31">
        <v>82.980972515856237</v>
      </c>
      <c r="G324" s="34">
        <v>48</v>
      </c>
      <c r="H324" s="35">
        <v>60</v>
      </c>
      <c r="I324" s="9">
        <f t="shared" si="21"/>
        <v>0.58508287292817673</v>
      </c>
      <c r="J324" s="9">
        <f t="shared" si="22"/>
        <v>1.25</v>
      </c>
      <c r="K324" s="5"/>
      <c r="L324" s="6"/>
      <c r="M324" s="6"/>
      <c r="N324" s="13"/>
      <c r="O324" s="14"/>
      <c r="P324" s="14"/>
      <c r="Q324" s="14"/>
      <c r="R324" s="14"/>
      <c r="S324" s="14"/>
      <c r="T324" s="5"/>
      <c r="U324" s="5"/>
      <c r="V324" s="5"/>
      <c r="W324" s="5"/>
      <c r="X324" s="5"/>
    </row>
    <row r="325" spans="1:24" ht="15.75" customHeight="1" thickBot="1">
      <c r="A325" s="1">
        <v>80703</v>
      </c>
      <c r="B325" s="2" t="s">
        <v>34</v>
      </c>
      <c r="C325" s="2" t="s">
        <v>425</v>
      </c>
      <c r="D325" s="3" t="s">
        <v>427</v>
      </c>
      <c r="E325" s="30">
        <v>85.13513513513513</v>
      </c>
      <c r="F325" s="31">
        <v>83.94736842105263</v>
      </c>
      <c r="G325" s="34">
        <v>40</v>
      </c>
      <c r="H325" s="35">
        <v>59</v>
      </c>
      <c r="I325" s="9">
        <f t="shared" si="21"/>
        <v>0.46984126984126989</v>
      </c>
      <c r="J325" s="9">
        <f t="shared" si="22"/>
        <v>1.4750000000000001</v>
      </c>
      <c r="K325" s="5"/>
      <c r="L325" s="6"/>
      <c r="M325" s="6"/>
      <c r="N325" s="13"/>
      <c r="O325" s="14"/>
      <c r="P325" s="14"/>
      <c r="Q325" s="14"/>
      <c r="R325" s="14"/>
      <c r="S325" s="14"/>
      <c r="T325" s="5"/>
      <c r="U325" s="5"/>
      <c r="V325" s="5"/>
      <c r="W325" s="5"/>
      <c r="X325" s="5"/>
    </row>
    <row r="326" spans="1:24" ht="15.75" customHeight="1" thickBot="1">
      <c r="A326" s="1">
        <v>80801</v>
      </c>
      <c r="B326" s="2" t="s">
        <v>34</v>
      </c>
      <c r="C326" s="2" t="s">
        <v>428</v>
      </c>
      <c r="D326" s="3" t="s">
        <v>429</v>
      </c>
      <c r="E326" s="30">
        <v>78.686058174523566</v>
      </c>
      <c r="F326" s="31">
        <v>81.018276762402081</v>
      </c>
      <c r="G326" s="34">
        <v>43</v>
      </c>
      <c r="H326" s="35">
        <v>57</v>
      </c>
      <c r="I326" s="9">
        <f t="shared" si="21"/>
        <v>0.54647546207775655</v>
      </c>
      <c r="J326" s="9">
        <f t="shared" si="22"/>
        <v>1.3255813953488371</v>
      </c>
      <c r="K326" s="5"/>
      <c r="L326" s="6"/>
      <c r="M326" s="6"/>
      <c r="N326" s="13"/>
      <c r="O326" s="14"/>
      <c r="P326" s="14"/>
      <c r="Q326" s="14"/>
      <c r="R326" s="14"/>
      <c r="S326" s="14"/>
      <c r="T326" s="5"/>
      <c r="U326" s="5"/>
      <c r="V326" s="5"/>
      <c r="W326" s="5"/>
      <c r="X326" s="5"/>
    </row>
    <row r="327" spans="1:24" ht="15.75" customHeight="1" thickBot="1">
      <c r="A327" s="1">
        <v>80802</v>
      </c>
      <c r="B327" s="2" t="s">
        <v>34</v>
      </c>
      <c r="C327" s="2" t="s">
        <v>428</v>
      </c>
      <c r="D327" s="3" t="s">
        <v>430</v>
      </c>
      <c r="E327" s="30">
        <v>80.88923556942278</v>
      </c>
      <c r="F327" s="31">
        <v>84.595717481623524</v>
      </c>
      <c r="G327" s="34">
        <v>44</v>
      </c>
      <c r="H327" s="35">
        <v>61</v>
      </c>
      <c r="I327" s="9">
        <f t="shared" si="21"/>
        <v>0.54395371263259396</v>
      </c>
      <c r="J327" s="9">
        <f t="shared" si="22"/>
        <v>1.3863636363636365</v>
      </c>
      <c r="K327" s="5"/>
      <c r="L327" s="6"/>
      <c r="M327" s="6"/>
      <c r="N327" s="13"/>
      <c r="O327" s="14"/>
      <c r="P327" s="14"/>
      <c r="Q327" s="14"/>
      <c r="R327" s="14"/>
      <c r="S327" s="14"/>
      <c r="T327" s="5"/>
      <c r="U327" s="5"/>
      <c r="V327" s="5"/>
      <c r="W327" s="5"/>
      <c r="X327" s="5"/>
    </row>
    <row r="328" spans="1:24" ht="15.75" customHeight="1" thickBot="1">
      <c r="A328" s="1">
        <v>80803</v>
      </c>
      <c r="B328" s="2" t="s">
        <v>34</v>
      </c>
      <c r="C328" s="2" t="s">
        <v>428</v>
      </c>
      <c r="D328" s="3" t="s">
        <v>431</v>
      </c>
      <c r="E328" s="30">
        <v>83.798882681564251</v>
      </c>
      <c r="F328" s="31">
        <v>80.845070422535215</v>
      </c>
      <c r="G328" s="34">
        <v>36</v>
      </c>
      <c r="H328" s="35">
        <v>54</v>
      </c>
      <c r="I328" s="9">
        <f t="shared" si="21"/>
        <v>0.42959999999999998</v>
      </c>
      <c r="J328" s="9">
        <f t="shared" si="22"/>
        <v>1.5</v>
      </c>
      <c r="K328" s="5"/>
      <c r="L328" s="6"/>
      <c r="M328" s="6"/>
      <c r="N328" s="13"/>
      <c r="O328" s="14"/>
      <c r="P328" s="14"/>
      <c r="Q328" s="14"/>
      <c r="R328" s="14"/>
      <c r="S328" s="14"/>
      <c r="T328" s="5"/>
      <c r="U328" s="5"/>
      <c r="V328" s="5"/>
      <c r="W328" s="5"/>
      <c r="X328" s="5"/>
    </row>
    <row r="329" spans="1:24" ht="15.75" customHeight="1" thickBot="1">
      <c r="A329" s="1">
        <v>80804</v>
      </c>
      <c r="B329" s="2" t="s">
        <v>34</v>
      </c>
      <c r="C329" s="2"/>
      <c r="D329" s="3" t="s">
        <v>432</v>
      </c>
      <c r="E329" s="30">
        <v>84.518013631937677</v>
      </c>
      <c r="F329" s="31">
        <v>80.434782608695656</v>
      </c>
      <c r="G329" s="34">
        <v>44</v>
      </c>
      <c r="H329" s="35">
        <v>56</v>
      </c>
      <c r="I329" s="9">
        <f t="shared" si="21"/>
        <v>0.52059907834101382</v>
      </c>
      <c r="J329" s="9">
        <f t="shared" si="22"/>
        <v>1.2727272727272727</v>
      </c>
      <c r="K329" s="5"/>
      <c r="L329" s="6"/>
      <c r="M329" s="6"/>
      <c r="N329" s="13"/>
      <c r="O329" s="14"/>
      <c r="P329" s="14"/>
      <c r="Q329" s="14"/>
      <c r="R329" s="14"/>
      <c r="S329" s="14"/>
      <c r="T329" s="5"/>
      <c r="U329" s="5"/>
      <c r="V329" s="5"/>
      <c r="W329" s="5"/>
      <c r="X329" s="5"/>
    </row>
    <row r="330" spans="1:24" ht="15.75" customHeight="1" thickBot="1">
      <c r="A330" s="1">
        <v>90101</v>
      </c>
      <c r="B330" s="2" t="s">
        <v>36</v>
      </c>
      <c r="C330" s="2" t="s">
        <v>433</v>
      </c>
      <c r="D330" s="3" t="s">
        <v>434</v>
      </c>
      <c r="E330" s="30">
        <v>77.050769417181627</v>
      </c>
      <c r="F330" s="31">
        <v>78.112740037167043</v>
      </c>
      <c r="G330" s="34">
        <v>55</v>
      </c>
      <c r="H330" s="35">
        <v>63</v>
      </c>
      <c r="I330" s="9">
        <f t="shared" si="21"/>
        <v>0.71381506526183369</v>
      </c>
      <c r="J330" s="9">
        <f t="shared" si="22"/>
        <v>1.1454545454545455</v>
      </c>
      <c r="K330" s="5"/>
      <c r="L330" s="6"/>
      <c r="M330" s="6"/>
      <c r="N330" s="13"/>
      <c r="O330" s="14"/>
      <c r="P330" s="14"/>
      <c r="Q330" s="14"/>
      <c r="R330" s="14"/>
      <c r="S330" s="14"/>
      <c r="T330" s="5"/>
      <c r="U330" s="5"/>
      <c r="V330" s="5"/>
      <c r="W330" s="5"/>
      <c r="X330" s="5"/>
    </row>
    <row r="331" spans="1:24" ht="15.75" customHeight="1" thickBot="1">
      <c r="A331" s="1">
        <v>90102</v>
      </c>
      <c r="B331" s="2" t="s">
        <v>36</v>
      </c>
      <c r="C331" s="2" t="s">
        <v>433</v>
      </c>
      <c r="D331" s="3" t="s">
        <v>435</v>
      </c>
      <c r="E331" s="30">
        <v>78.009787928221868</v>
      </c>
      <c r="F331" s="31">
        <v>79.572446555819482</v>
      </c>
      <c r="G331" s="34">
        <v>42</v>
      </c>
      <c r="H331" s="35">
        <v>62</v>
      </c>
      <c r="I331" s="9">
        <f t="shared" si="21"/>
        <v>0.53839397741530737</v>
      </c>
      <c r="J331" s="9">
        <f t="shared" si="22"/>
        <v>1.4761904761904763</v>
      </c>
      <c r="K331" s="5"/>
      <c r="L331" s="6"/>
      <c r="M331" s="6"/>
      <c r="N331" s="13"/>
      <c r="O331" s="14"/>
      <c r="P331" s="14"/>
      <c r="Q331" s="14"/>
      <c r="R331" s="14"/>
      <c r="S331" s="14"/>
      <c r="T331" s="5"/>
      <c r="U331" s="5"/>
      <c r="V331" s="5"/>
      <c r="W331" s="5"/>
      <c r="X331" s="5"/>
    </row>
    <row r="332" spans="1:24" ht="15.75" customHeight="1" thickBot="1">
      <c r="A332" s="1">
        <v>90103</v>
      </c>
      <c r="B332" s="2" t="s">
        <v>36</v>
      </c>
      <c r="C332" s="2" t="s">
        <v>433</v>
      </c>
      <c r="D332" s="3" t="s">
        <v>436</v>
      </c>
      <c r="E332" s="30">
        <v>90.241102181400692</v>
      </c>
      <c r="F332" s="31">
        <v>89.960238568588466</v>
      </c>
      <c r="G332" s="34">
        <v>41</v>
      </c>
      <c r="H332" s="35">
        <v>73</v>
      </c>
      <c r="I332" s="9">
        <f t="shared" si="21"/>
        <v>0.45433842239185751</v>
      </c>
      <c r="J332" s="9">
        <f t="shared" si="22"/>
        <v>1.7804878048780488</v>
      </c>
      <c r="K332" s="5"/>
      <c r="L332" s="6"/>
      <c r="M332" s="6"/>
      <c r="N332" s="13"/>
      <c r="O332" s="14"/>
      <c r="P332" s="14"/>
      <c r="Q332" s="14"/>
      <c r="R332" s="14"/>
      <c r="S332" s="14"/>
      <c r="T332" s="5"/>
      <c r="U332" s="5"/>
      <c r="V332" s="5"/>
      <c r="W332" s="5"/>
      <c r="X332" s="5"/>
    </row>
    <row r="333" spans="1:24" ht="15.75" customHeight="1" thickBot="1">
      <c r="A333" s="1">
        <v>90104</v>
      </c>
      <c r="B333" s="2" t="s">
        <v>36</v>
      </c>
      <c r="C333" s="2" t="s">
        <v>433</v>
      </c>
      <c r="D333" s="3" t="s">
        <v>437</v>
      </c>
      <c r="E333" s="30">
        <v>87.658802177858448</v>
      </c>
      <c r="F333" s="31">
        <v>88.681757656458061</v>
      </c>
      <c r="G333" s="34">
        <v>54</v>
      </c>
      <c r="H333" s="35">
        <v>70</v>
      </c>
      <c r="I333" s="9">
        <f t="shared" si="21"/>
        <v>0.61602484472049679</v>
      </c>
      <c r="J333" s="9">
        <f t="shared" si="22"/>
        <v>1.2962962962962963</v>
      </c>
      <c r="K333" s="5"/>
      <c r="L333" s="6"/>
      <c r="M333" s="6"/>
      <c r="N333" s="13"/>
      <c r="O333" s="14"/>
      <c r="P333" s="14"/>
      <c r="Q333" s="14"/>
      <c r="R333" s="14"/>
      <c r="S333" s="14"/>
      <c r="T333" s="5"/>
      <c r="U333" s="5"/>
      <c r="V333" s="5"/>
      <c r="W333" s="5"/>
      <c r="X333" s="5"/>
    </row>
    <row r="334" spans="1:24" ht="15.75" customHeight="1" thickBot="1">
      <c r="A334" s="1">
        <v>90201</v>
      </c>
      <c r="B334" s="2" t="s">
        <v>36</v>
      </c>
      <c r="C334" s="2" t="s">
        <v>438</v>
      </c>
      <c r="D334" s="3" t="s">
        <v>439</v>
      </c>
      <c r="E334" s="30">
        <v>64.818856394587527</v>
      </c>
      <c r="F334" s="31">
        <v>76.069900142653353</v>
      </c>
      <c r="G334" s="34">
        <v>39</v>
      </c>
      <c r="H334" s="35">
        <v>56</v>
      </c>
      <c r="I334" s="9">
        <f t="shared" si="21"/>
        <v>0.60167676767676759</v>
      </c>
      <c r="J334" s="9">
        <f t="shared" si="22"/>
        <v>1.4358974358974359</v>
      </c>
      <c r="K334" s="5"/>
      <c r="L334" s="6"/>
      <c r="M334" s="6"/>
      <c r="N334" s="13"/>
      <c r="O334" s="14"/>
      <c r="P334" s="14"/>
      <c r="Q334" s="14"/>
      <c r="R334" s="14"/>
      <c r="S334" s="14"/>
      <c r="T334" s="5"/>
      <c r="U334" s="5"/>
      <c r="V334" s="5"/>
      <c r="W334" s="5"/>
      <c r="X334" s="5"/>
    </row>
    <row r="335" spans="1:24" ht="15.75" customHeight="1" thickBot="1">
      <c r="A335" s="1">
        <v>90202</v>
      </c>
      <c r="B335" s="2" t="s">
        <v>36</v>
      </c>
      <c r="C335" s="2" t="s">
        <v>438</v>
      </c>
      <c r="D335" s="3" t="s">
        <v>388</v>
      </c>
      <c r="E335" s="30">
        <v>73.873045078196881</v>
      </c>
      <c r="F335" s="31">
        <v>87.510993843447665</v>
      </c>
      <c r="G335" s="34">
        <v>29</v>
      </c>
      <c r="H335" s="35">
        <v>64</v>
      </c>
      <c r="I335" s="9">
        <f t="shared" si="21"/>
        <v>0.39256537982565376</v>
      </c>
      <c r="J335" s="9">
        <f t="shared" si="22"/>
        <v>2.2068965517241379</v>
      </c>
      <c r="K335" s="5"/>
      <c r="L335" s="6"/>
      <c r="M335" s="6"/>
      <c r="N335" s="13"/>
      <c r="O335" s="14"/>
      <c r="P335" s="14"/>
      <c r="Q335" s="14"/>
      <c r="R335" s="14"/>
      <c r="S335" s="14"/>
      <c r="T335" s="5"/>
      <c r="U335" s="5"/>
      <c r="V335" s="5"/>
      <c r="W335" s="5"/>
      <c r="X335" s="5"/>
    </row>
    <row r="336" spans="1:24" ht="15.75" customHeight="1" thickBot="1">
      <c r="A336" s="1">
        <v>90203</v>
      </c>
      <c r="B336" s="2" t="s">
        <v>36</v>
      </c>
      <c r="C336" s="2" t="s">
        <v>438</v>
      </c>
      <c r="D336" s="3" t="s">
        <v>440</v>
      </c>
      <c r="E336" s="30">
        <v>84.650112866817153</v>
      </c>
      <c r="F336" s="31">
        <v>85.198438516590755</v>
      </c>
      <c r="G336" s="34">
        <v>38</v>
      </c>
      <c r="H336" s="35">
        <v>57</v>
      </c>
      <c r="I336" s="9">
        <f t="shared" si="21"/>
        <v>0.44890666666666668</v>
      </c>
      <c r="J336" s="9">
        <f t="shared" si="22"/>
        <v>1.5</v>
      </c>
      <c r="K336" s="5"/>
      <c r="L336" s="6"/>
      <c r="M336" s="6"/>
      <c r="N336" s="13"/>
      <c r="O336" s="14"/>
      <c r="P336" s="14"/>
      <c r="Q336" s="14"/>
      <c r="R336" s="14"/>
      <c r="S336" s="14"/>
      <c r="T336" s="5"/>
      <c r="U336" s="5"/>
      <c r="V336" s="5"/>
      <c r="W336" s="5"/>
      <c r="X336" s="5"/>
    </row>
    <row r="337" spans="1:24" ht="15.75" customHeight="1" thickBot="1">
      <c r="A337" s="1">
        <v>90301</v>
      </c>
      <c r="B337" s="2" t="s">
        <v>36</v>
      </c>
      <c r="C337" s="2" t="s">
        <v>441</v>
      </c>
      <c r="D337" s="3" t="s">
        <v>442</v>
      </c>
      <c r="E337" s="30">
        <v>74.58926615553122</v>
      </c>
      <c r="F337" s="31">
        <v>78.896182834913688</v>
      </c>
      <c r="G337" s="34">
        <v>48</v>
      </c>
      <c r="H337" s="35">
        <v>59</v>
      </c>
      <c r="I337" s="9">
        <f t="shared" si="21"/>
        <v>0.64352422907488982</v>
      </c>
      <c r="J337" s="9">
        <f t="shared" si="22"/>
        <v>1.2291666666666667</v>
      </c>
      <c r="K337" s="5"/>
      <c r="L337" s="6"/>
      <c r="M337" s="6"/>
      <c r="N337" s="13"/>
      <c r="O337" s="14"/>
      <c r="P337" s="14"/>
      <c r="Q337" s="14"/>
      <c r="R337" s="14"/>
      <c r="S337" s="14"/>
      <c r="T337" s="5"/>
      <c r="U337" s="5"/>
      <c r="V337" s="5"/>
      <c r="W337" s="5"/>
      <c r="X337" s="5"/>
    </row>
    <row r="338" spans="1:24" ht="15.75" customHeight="1" thickBot="1">
      <c r="A338" s="1">
        <v>90302</v>
      </c>
      <c r="B338" s="2" t="s">
        <v>36</v>
      </c>
      <c r="C338" s="2" t="s">
        <v>441</v>
      </c>
      <c r="D338" s="3" t="s">
        <v>443</v>
      </c>
      <c r="E338" s="30">
        <v>79.395604395604394</v>
      </c>
      <c r="F338" s="31">
        <v>85.015290519877666</v>
      </c>
      <c r="G338" s="34">
        <v>43</v>
      </c>
      <c r="H338" s="35">
        <v>64</v>
      </c>
      <c r="I338" s="9">
        <f t="shared" si="21"/>
        <v>0.54159169550173014</v>
      </c>
      <c r="J338" s="9">
        <f t="shared" si="22"/>
        <v>1.4883720930232558</v>
      </c>
      <c r="K338" s="5"/>
      <c r="L338" s="6"/>
      <c r="M338" s="6"/>
      <c r="N338" s="13"/>
      <c r="O338" s="14"/>
      <c r="P338" s="14"/>
      <c r="Q338" s="14"/>
      <c r="R338" s="14"/>
      <c r="S338" s="14"/>
      <c r="T338" s="5"/>
      <c r="U338" s="5"/>
      <c r="V338" s="5"/>
      <c r="W338" s="5"/>
      <c r="X338" s="5"/>
    </row>
    <row r="339" spans="1:24" ht="15.75" customHeight="1" thickBot="1">
      <c r="A339" s="1">
        <v>90303</v>
      </c>
      <c r="B339" s="2" t="s">
        <v>36</v>
      </c>
      <c r="C339" s="2" t="s">
        <v>441</v>
      </c>
      <c r="D339" s="3" t="s">
        <v>444</v>
      </c>
      <c r="E339" s="30">
        <v>80.633677465290148</v>
      </c>
      <c r="F339" s="31">
        <v>88.340935005701255</v>
      </c>
      <c r="G339" s="34">
        <v>38</v>
      </c>
      <c r="H339" s="35">
        <v>61</v>
      </c>
      <c r="I339" s="9">
        <f t="shared" si="21"/>
        <v>0.47126710816777034</v>
      </c>
      <c r="J339" s="9">
        <f t="shared" si="22"/>
        <v>1.6052631578947369</v>
      </c>
      <c r="K339" s="5"/>
      <c r="L339" s="6"/>
      <c r="M339" s="6"/>
      <c r="N339" s="13"/>
      <c r="O339" s="14"/>
      <c r="P339" s="14"/>
      <c r="Q339" s="14"/>
      <c r="R339" s="14"/>
      <c r="S339" s="14"/>
      <c r="T339" s="5"/>
      <c r="U339" s="5"/>
      <c r="V339" s="5"/>
      <c r="W339" s="5"/>
      <c r="X339" s="5"/>
    </row>
    <row r="340" spans="1:24" ht="15.75" customHeight="1" thickBot="1">
      <c r="A340" s="1">
        <v>90401</v>
      </c>
      <c r="B340" s="2" t="s">
        <v>36</v>
      </c>
      <c r="C340" s="2" t="s">
        <v>445</v>
      </c>
      <c r="D340" s="3" t="s">
        <v>446</v>
      </c>
      <c r="E340" s="30">
        <v>84.141414141414145</v>
      </c>
      <c r="F340" s="31">
        <v>88.568773234200748</v>
      </c>
      <c r="G340" s="34">
        <v>42</v>
      </c>
      <c r="H340" s="35">
        <v>56</v>
      </c>
      <c r="I340" s="9">
        <f t="shared" si="21"/>
        <v>0.49915966386554622</v>
      </c>
      <c r="J340" s="9">
        <f t="shared" si="22"/>
        <v>1.3333333333333333</v>
      </c>
      <c r="K340" s="5"/>
      <c r="L340" s="6"/>
      <c r="M340" s="6"/>
      <c r="N340" s="13"/>
      <c r="O340" s="14"/>
      <c r="P340" s="14"/>
      <c r="Q340" s="14"/>
      <c r="R340" s="14"/>
      <c r="S340" s="14"/>
      <c r="T340" s="5"/>
      <c r="U340" s="5"/>
      <c r="V340" s="5"/>
      <c r="W340" s="5"/>
      <c r="X340" s="5"/>
    </row>
    <row r="341" spans="1:24" ht="15.75" customHeight="1" thickBot="1">
      <c r="A341" s="1">
        <v>90402</v>
      </c>
      <c r="B341" s="2" t="s">
        <v>36</v>
      </c>
      <c r="C341" s="2" t="s">
        <v>445</v>
      </c>
      <c r="D341" s="3" t="s">
        <v>110</v>
      </c>
      <c r="E341" s="30">
        <v>82.899022801302934</v>
      </c>
      <c r="F341" s="31">
        <v>89.870903674280044</v>
      </c>
      <c r="G341" s="34">
        <v>35</v>
      </c>
      <c r="H341" s="35">
        <v>59</v>
      </c>
      <c r="I341" s="9">
        <f t="shared" si="21"/>
        <v>0.42220039292730843</v>
      </c>
      <c r="J341" s="9">
        <f t="shared" si="22"/>
        <v>1.6857142857142857</v>
      </c>
      <c r="K341" s="5"/>
      <c r="L341" s="6"/>
      <c r="M341" s="6"/>
      <c r="N341" s="13"/>
      <c r="O341" s="14"/>
      <c r="P341" s="14"/>
      <c r="Q341" s="14"/>
      <c r="R341" s="14"/>
      <c r="S341" s="14"/>
      <c r="T341" s="5"/>
      <c r="U341" s="5"/>
      <c r="V341" s="5"/>
      <c r="W341" s="5"/>
      <c r="X341" s="5"/>
    </row>
    <row r="342" spans="1:24" ht="15.75" customHeight="1" thickBot="1">
      <c r="A342" s="1">
        <v>90501</v>
      </c>
      <c r="B342" s="2" t="s">
        <v>36</v>
      </c>
      <c r="C342" s="2" t="s">
        <v>447</v>
      </c>
      <c r="D342" s="3" t="s">
        <v>448</v>
      </c>
      <c r="E342" s="30">
        <v>87.090163934426229</v>
      </c>
      <c r="F342" s="31">
        <v>87.037037037037038</v>
      </c>
      <c r="G342" s="34">
        <v>48</v>
      </c>
      <c r="H342" s="35">
        <v>60</v>
      </c>
      <c r="I342" s="9">
        <f t="shared" si="21"/>
        <v>0.55115294117647062</v>
      </c>
      <c r="J342" s="9">
        <f t="shared" si="22"/>
        <v>1.25</v>
      </c>
      <c r="K342" s="5"/>
      <c r="L342" s="6"/>
      <c r="M342" s="6"/>
      <c r="N342" s="13"/>
      <c r="O342" s="14"/>
      <c r="P342" s="14"/>
      <c r="Q342" s="14"/>
      <c r="R342" s="14"/>
      <c r="S342" s="14"/>
      <c r="T342" s="5"/>
      <c r="U342" s="5"/>
      <c r="V342" s="5"/>
      <c r="W342" s="5"/>
      <c r="X342" s="5"/>
    </row>
    <row r="343" spans="1:24" ht="15.75" customHeight="1" thickBot="1">
      <c r="A343" s="1">
        <v>90502</v>
      </c>
      <c r="B343" s="2" t="s">
        <v>36</v>
      </c>
      <c r="C343" s="2" t="s">
        <v>447</v>
      </c>
      <c r="D343" s="3" t="s">
        <v>449</v>
      </c>
      <c r="E343" s="30">
        <v>80.83067092651757</v>
      </c>
      <c r="F343" s="31">
        <v>88.447653429602894</v>
      </c>
      <c r="G343" s="34">
        <v>38</v>
      </c>
      <c r="H343" s="35">
        <v>63</v>
      </c>
      <c r="I343" s="9">
        <f t="shared" si="21"/>
        <v>0.47011857707509885</v>
      </c>
      <c r="J343" s="9">
        <f t="shared" si="22"/>
        <v>1.6578947368421053</v>
      </c>
      <c r="K343" s="5"/>
      <c r="L343" s="6"/>
      <c r="M343" s="6"/>
      <c r="N343" s="13"/>
      <c r="O343" s="14"/>
      <c r="P343" s="14"/>
      <c r="Q343" s="14"/>
      <c r="R343" s="14"/>
      <c r="S343" s="14"/>
      <c r="T343" s="5"/>
      <c r="U343" s="5"/>
      <c r="V343" s="5"/>
      <c r="W343" s="5"/>
      <c r="X343" s="5"/>
    </row>
    <row r="344" spans="1:24" ht="15.75" customHeight="1" thickBot="1">
      <c r="A344" s="1">
        <v>90503</v>
      </c>
      <c r="B344" s="2" t="s">
        <v>36</v>
      </c>
      <c r="C344" s="2" t="s">
        <v>447</v>
      </c>
      <c r="D344" s="36" t="s">
        <v>450</v>
      </c>
      <c r="E344" s="37">
        <v>90.217391304347828</v>
      </c>
      <c r="F344" s="38">
        <v>90.342298288508559</v>
      </c>
      <c r="G344" s="39">
        <v>36</v>
      </c>
      <c r="H344" s="35">
        <v>58</v>
      </c>
      <c r="I344" s="9">
        <f t="shared" si="21"/>
        <v>0.39903614457831327</v>
      </c>
      <c r="J344" s="9">
        <f t="shared" si="22"/>
        <v>1.6111111111111112</v>
      </c>
      <c r="K344" s="6"/>
      <c r="L344" s="13"/>
      <c r="M344" s="14"/>
      <c r="N344" s="14"/>
      <c r="O344" s="14"/>
      <c r="P344" s="14"/>
      <c r="Q344" s="14"/>
      <c r="R344" s="5"/>
      <c r="S344" s="5"/>
      <c r="T344" s="5"/>
      <c r="U344" s="5"/>
      <c r="V344" s="5"/>
    </row>
    <row r="345" spans="1:24" ht="15.75" customHeight="1">
      <c r="A345" s="15"/>
      <c r="B345" s="5"/>
      <c r="C345" s="5"/>
      <c r="D345" s="40"/>
      <c r="E345" s="40"/>
      <c r="F345" s="40"/>
      <c r="G345" s="40"/>
      <c r="H345" s="5"/>
      <c r="I345" s="5"/>
      <c r="J345" s="6"/>
      <c r="K345" s="6"/>
      <c r="L345" s="13"/>
      <c r="M345" s="14"/>
      <c r="N345" s="14"/>
      <c r="O345" s="14"/>
      <c r="P345" s="14"/>
      <c r="Q345" s="14"/>
      <c r="R345" s="5"/>
      <c r="S345" s="5"/>
      <c r="T345" s="5"/>
      <c r="U345" s="5"/>
      <c r="V345" s="5"/>
    </row>
    <row r="346" spans="1:24" ht="15.75" customHeight="1">
      <c r="A346" s="15"/>
      <c r="B346" s="5"/>
      <c r="C346" s="5"/>
      <c r="D346" s="41"/>
      <c r="E346" s="41"/>
      <c r="F346" s="41"/>
      <c r="G346" s="41"/>
      <c r="H346" s="5"/>
      <c r="I346" s="5"/>
      <c r="J346" s="6"/>
      <c r="K346" s="6"/>
      <c r="L346" s="13"/>
      <c r="M346" s="14"/>
      <c r="N346" s="14"/>
      <c r="O346" s="14"/>
      <c r="P346" s="14"/>
      <c r="Q346" s="14"/>
      <c r="R346" s="5"/>
      <c r="S346" s="5"/>
      <c r="T346" s="5"/>
      <c r="U346" s="5"/>
      <c r="V346" s="5"/>
    </row>
    <row r="347" spans="1:24" ht="15.75" customHeight="1">
      <c r="A347" s="15"/>
      <c r="B347" s="5"/>
      <c r="C347" s="5"/>
      <c r="D347" s="16"/>
      <c r="E347" s="13"/>
      <c r="F347" s="13"/>
      <c r="G347" s="5"/>
      <c r="H347" s="5"/>
      <c r="I347" s="5"/>
      <c r="J347" s="6"/>
      <c r="K347" s="6"/>
      <c r="L347" s="13"/>
      <c r="M347" s="14"/>
      <c r="N347" s="14"/>
      <c r="O347" s="14"/>
      <c r="P347" s="14"/>
      <c r="Q347" s="14"/>
      <c r="R347" s="5"/>
      <c r="S347" s="5"/>
      <c r="T347" s="5"/>
      <c r="U347" s="5"/>
      <c r="V347" s="5"/>
    </row>
    <row r="348" spans="1:24" ht="15.75" customHeight="1">
      <c r="A348" s="15"/>
      <c r="B348" s="5"/>
      <c r="C348" s="5"/>
      <c r="D348" s="16"/>
      <c r="E348" s="13"/>
      <c r="F348" s="13"/>
      <c r="G348" s="5"/>
      <c r="H348" s="5"/>
      <c r="I348" s="5"/>
      <c r="J348" s="6"/>
      <c r="K348" s="6"/>
      <c r="L348" s="13"/>
      <c r="M348" s="14"/>
      <c r="N348" s="14"/>
      <c r="O348" s="14"/>
      <c r="P348" s="14"/>
      <c r="Q348" s="14"/>
      <c r="R348" s="5"/>
      <c r="S348" s="5"/>
      <c r="T348" s="5"/>
      <c r="U348" s="5"/>
      <c r="V348" s="5"/>
    </row>
    <row r="349" spans="1:24" ht="15.75" customHeight="1">
      <c r="A349" s="15"/>
      <c r="B349" s="5"/>
      <c r="C349" s="5"/>
      <c r="D349" s="16"/>
      <c r="E349" s="13"/>
      <c r="F349" s="13"/>
      <c r="G349" s="5"/>
      <c r="H349" s="5"/>
      <c r="I349" s="5"/>
      <c r="J349" s="6"/>
      <c r="K349" s="6"/>
      <c r="L349" s="13"/>
      <c r="M349" s="14"/>
      <c r="N349" s="14"/>
      <c r="O349" s="14"/>
      <c r="P349" s="14"/>
      <c r="Q349" s="14"/>
      <c r="R349" s="5"/>
      <c r="S349" s="5"/>
      <c r="T349" s="5"/>
      <c r="U349" s="5"/>
      <c r="V349" s="5"/>
    </row>
    <row r="350" spans="1:24" ht="15.75" customHeight="1">
      <c r="A350" s="15"/>
      <c r="B350" s="5"/>
      <c r="C350" s="5"/>
      <c r="D350" s="16"/>
      <c r="E350" s="13"/>
      <c r="F350" s="13"/>
      <c r="G350" s="5"/>
      <c r="H350" s="5"/>
      <c r="I350" s="5"/>
      <c r="J350" s="6"/>
      <c r="K350" s="6"/>
      <c r="L350" s="13"/>
      <c r="M350" s="14"/>
      <c r="N350" s="14"/>
      <c r="O350" s="14"/>
      <c r="P350" s="14"/>
      <c r="Q350" s="14"/>
      <c r="R350" s="5"/>
      <c r="S350" s="5"/>
      <c r="T350" s="5"/>
      <c r="U350" s="5"/>
      <c r="V350" s="5"/>
    </row>
    <row r="351" spans="1:24" ht="15.75" customHeight="1">
      <c r="A351" s="15"/>
      <c r="B351" s="5"/>
      <c r="C351" s="5"/>
      <c r="D351" s="16"/>
      <c r="E351" s="13"/>
      <c r="F351" s="13"/>
      <c r="G351" s="5"/>
      <c r="H351" s="5"/>
      <c r="I351" s="5"/>
      <c r="J351" s="6"/>
      <c r="K351" s="6"/>
      <c r="L351" s="13"/>
      <c r="M351" s="14"/>
      <c r="N351" s="14"/>
      <c r="O351" s="14"/>
      <c r="P351" s="14"/>
      <c r="Q351" s="14"/>
      <c r="R351" s="5"/>
      <c r="S351" s="5"/>
      <c r="T351" s="5"/>
      <c r="U351" s="5"/>
      <c r="V351" s="5"/>
    </row>
    <row r="352" spans="1:24" ht="15.75" customHeight="1">
      <c r="A352" s="15"/>
      <c r="B352" s="5"/>
      <c r="C352" s="5"/>
      <c r="D352" s="16"/>
      <c r="E352" s="13"/>
      <c r="F352" s="13"/>
      <c r="G352" s="5"/>
      <c r="H352" s="5"/>
      <c r="I352" s="5"/>
      <c r="J352" s="6"/>
      <c r="K352" s="6"/>
      <c r="L352" s="13"/>
      <c r="M352" s="14"/>
      <c r="N352" s="14"/>
      <c r="O352" s="14"/>
      <c r="P352" s="14"/>
      <c r="Q352" s="14"/>
      <c r="R352" s="5"/>
      <c r="S352" s="5"/>
      <c r="T352" s="5"/>
      <c r="U352" s="5"/>
      <c r="V352" s="5"/>
    </row>
    <row r="353" spans="1:22" ht="15.75" customHeight="1">
      <c r="A353" s="15"/>
      <c r="B353" s="5"/>
      <c r="C353" s="5"/>
      <c r="D353" s="16"/>
      <c r="E353" s="13"/>
      <c r="F353" s="13"/>
      <c r="G353" s="5"/>
      <c r="H353" s="5"/>
      <c r="I353" s="5"/>
      <c r="J353" s="6"/>
      <c r="K353" s="6"/>
      <c r="L353" s="13"/>
      <c r="M353" s="14"/>
      <c r="N353" s="14"/>
      <c r="O353" s="14"/>
      <c r="P353" s="14"/>
      <c r="Q353" s="14"/>
      <c r="R353" s="5"/>
      <c r="S353" s="5"/>
      <c r="T353" s="5"/>
      <c r="U353" s="5"/>
      <c r="V353" s="5"/>
    </row>
    <row r="354" spans="1:22" ht="15.75" customHeight="1">
      <c r="A354" s="15"/>
      <c r="B354" s="5"/>
      <c r="C354" s="5"/>
      <c r="D354" s="16"/>
      <c r="E354" s="13"/>
      <c r="F354" s="13"/>
      <c r="G354" s="5"/>
      <c r="H354" s="5"/>
      <c r="I354" s="5"/>
      <c r="J354" s="6"/>
      <c r="K354" s="6"/>
      <c r="L354" s="13"/>
      <c r="M354" s="14"/>
      <c r="N354" s="14"/>
      <c r="O354" s="14"/>
      <c r="P354" s="14"/>
      <c r="Q354" s="14"/>
      <c r="R354" s="5"/>
      <c r="S354" s="5"/>
      <c r="T354" s="5"/>
      <c r="U354" s="5"/>
      <c r="V354" s="5"/>
    </row>
    <row r="355" spans="1:22" ht="15.75" customHeight="1">
      <c r="A355" s="15"/>
      <c r="B355" s="5"/>
      <c r="C355" s="5"/>
      <c r="D355" s="16"/>
      <c r="E355" s="13"/>
      <c r="F355" s="13"/>
      <c r="G355" s="5"/>
      <c r="H355" s="5"/>
      <c r="I355" s="5"/>
      <c r="J355" s="6"/>
      <c r="K355" s="6"/>
      <c r="L355" s="13"/>
      <c r="M355" s="14"/>
      <c r="N355" s="14"/>
      <c r="O355" s="14"/>
      <c r="P355" s="14"/>
      <c r="Q355" s="14"/>
      <c r="R355" s="5"/>
      <c r="S355" s="5"/>
      <c r="T355" s="5"/>
      <c r="U355" s="5"/>
      <c r="V355" s="5"/>
    </row>
    <row r="356" spans="1:22" ht="15.75" customHeight="1">
      <c r="A356" s="15"/>
      <c r="B356" s="5"/>
      <c r="C356" s="5"/>
      <c r="D356" s="16"/>
      <c r="E356" s="13"/>
      <c r="F356" s="13"/>
      <c r="G356" s="5"/>
      <c r="H356" s="5"/>
      <c r="I356" s="5"/>
      <c r="J356" s="6"/>
      <c r="K356" s="6"/>
      <c r="L356" s="13"/>
      <c r="M356" s="14"/>
      <c r="N356" s="14"/>
      <c r="O356" s="14"/>
      <c r="P356" s="14"/>
      <c r="Q356" s="14"/>
      <c r="R356" s="5"/>
      <c r="S356" s="5"/>
      <c r="T356" s="5"/>
      <c r="U356" s="5"/>
      <c r="V356" s="5"/>
    </row>
    <row r="357" spans="1:22" ht="15.75" customHeight="1">
      <c r="A357" s="15"/>
      <c r="B357" s="5"/>
      <c r="C357" s="5"/>
      <c r="D357" s="16"/>
      <c r="E357" s="13"/>
      <c r="F357" s="13"/>
      <c r="G357" s="5"/>
      <c r="H357" s="5"/>
      <c r="I357" s="5"/>
      <c r="J357" s="6"/>
      <c r="K357" s="6"/>
      <c r="L357" s="13"/>
      <c r="M357" s="14"/>
      <c r="N357" s="14"/>
      <c r="O357" s="14"/>
      <c r="P357" s="14"/>
      <c r="Q357" s="14"/>
      <c r="R357" s="5"/>
      <c r="S357" s="5"/>
      <c r="T357" s="5"/>
      <c r="U357" s="5"/>
      <c r="V357" s="5"/>
    </row>
    <row r="358" spans="1:22" ht="15.75" customHeight="1">
      <c r="A358" s="15"/>
      <c r="B358" s="5"/>
      <c r="C358" s="5"/>
      <c r="D358" s="16"/>
      <c r="E358" s="13"/>
      <c r="F358" s="13"/>
      <c r="G358" s="5"/>
      <c r="H358" s="5"/>
      <c r="I358" s="5"/>
      <c r="J358" s="6"/>
      <c r="K358" s="6"/>
      <c r="L358" s="13"/>
      <c r="M358" s="14"/>
      <c r="N358" s="14"/>
      <c r="O358" s="14"/>
      <c r="P358" s="14"/>
      <c r="Q358" s="14"/>
      <c r="R358" s="5"/>
      <c r="S358" s="5"/>
      <c r="T358" s="5"/>
      <c r="U358" s="5"/>
      <c r="V358" s="5"/>
    </row>
    <row r="359" spans="1:22" ht="15.75" customHeight="1">
      <c r="A359" s="15"/>
      <c r="B359" s="5"/>
      <c r="C359" s="5"/>
      <c r="D359" s="16"/>
      <c r="E359" s="13"/>
      <c r="F359" s="13"/>
      <c r="G359" s="5"/>
      <c r="H359" s="5"/>
      <c r="I359" s="5"/>
      <c r="J359" s="6"/>
      <c r="K359" s="6"/>
      <c r="L359" s="13"/>
      <c r="M359" s="14"/>
      <c r="N359" s="14"/>
      <c r="O359" s="14"/>
      <c r="P359" s="14"/>
      <c r="Q359" s="14"/>
      <c r="R359" s="5"/>
      <c r="S359" s="5"/>
      <c r="T359" s="5"/>
      <c r="U359" s="5"/>
      <c r="V359" s="5"/>
    </row>
    <row r="360" spans="1:22" ht="15.75" customHeight="1">
      <c r="A360" s="15"/>
      <c r="B360" s="5"/>
      <c r="C360" s="5"/>
      <c r="D360" s="16"/>
      <c r="E360" s="13"/>
      <c r="F360" s="13"/>
      <c r="G360" s="5"/>
      <c r="H360" s="5"/>
      <c r="I360" s="5"/>
      <c r="J360" s="6"/>
      <c r="K360" s="6"/>
      <c r="L360" s="13"/>
      <c r="M360" s="14"/>
      <c r="N360" s="14"/>
      <c r="O360" s="14"/>
      <c r="P360" s="14"/>
      <c r="Q360" s="14"/>
      <c r="R360" s="5"/>
      <c r="S360" s="5"/>
      <c r="T360" s="5"/>
      <c r="U360" s="5"/>
      <c r="V360" s="5"/>
    </row>
    <row r="361" spans="1:22" ht="15.75" customHeight="1">
      <c r="A361" s="15"/>
      <c r="B361" s="5"/>
      <c r="C361" s="5"/>
      <c r="D361" s="16"/>
      <c r="E361" s="13"/>
      <c r="F361" s="13"/>
      <c r="G361" s="5"/>
      <c r="H361" s="5"/>
      <c r="I361" s="5"/>
      <c r="J361" s="6"/>
      <c r="K361" s="6"/>
      <c r="L361" s="13"/>
      <c r="M361" s="14"/>
      <c r="N361" s="14"/>
      <c r="O361" s="14"/>
      <c r="P361" s="14"/>
      <c r="Q361" s="14"/>
      <c r="R361" s="5"/>
      <c r="S361" s="5"/>
      <c r="T361" s="5"/>
      <c r="U361" s="5"/>
      <c r="V361" s="5"/>
    </row>
    <row r="362" spans="1:22" ht="15.75" customHeight="1">
      <c r="A362" s="15"/>
      <c r="B362" s="5"/>
      <c r="C362" s="5"/>
      <c r="D362" s="16"/>
      <c r="E362" s="13"/>
      <c r="F362" s="13"/>
      <c r="G362" s="5"/>
      <c r="H362" s="5"/>
      <c r="I362" s="5"/>
      <c r="J362" s="6"/>
      <c r="K362" s="6"/>
      <c r="L362" s="13"/>
      <c r="M362" s="14"/>
      <c r="N362" s="14"/>
      <c r="O362" s="14"/>
      <c r="P362" s="14"/>
      <c r="Q362" s="14"/>
      <c r="R362" s="5"/>
      <c r="S362" s="5"/>
      <c r="T362" s="5"/>
      <c r="U362" s="5"/>
      <c r="V362" s="5"/>
    </row>
    <row r="363" spans="1:22" ht="15.75" customHeight="1">
      <c r="A363" s="15"/>
      <c r="B363" s="5"/>
      <c r="C363" s="5"/>
      <c r="D363" s="16"/>
      <c r="E363" s="13"/>
      <c r="F363" s="13"/>
      <c r="G363" s="5"/>
      <c r="H363" s="5"/>
      <c r="I363" s="5"/>
      <c r="J363" s="6"/>
      <c r="K363" s="6"/>
      <c r="L363" s="13"/>
      <c r="M363" s="14"/>
      <c r="N363" s="14"/>
      <c r="O363" s="14"/>
      <c r="P363" s="14"/>
      <c r="Q363" s="14"/>
      <c r="R363" s="5"/>
      <c r="S363" s="5"/>
      <c r="T363" s="5"/>
      <c r="U363" s="5"/>
      <c r="V363" s="5"/>
    </row>
    <row r="364" spans="1:22" ht="15.75" customHeight="1">
      <c r="A364" s="15"/>
      <c r="B364" s="5"/>
      <c r="C364" s="5"/>
      <c r="D364" s="16"/>
      <c r="E364" s="13"/>
      <c r="F364" s="13"/>
      <c r="G364" s="5"/>
      <c r="H364" s="5"/>
      <c r="I364" s="5"/>
      <c r="J364" s="6"/>
      <c r="K364" s="6"/>
      <c r="L364" s="13"/>
      <c r="M364" s="14"/>
      <c r="N364" s="14"/>
      <c r="O364" s="14"/>
      <c r="P364" s="14"/>
      <c r="Q364" s="14"/>
      <c r="R364" s="5"/>
      <c r="S364" s="5"/>
      <c r="T364" s="5"/>
      <c r="U364" s="5"/>
      <c r="V364" s="5"/>
    </row>
    <row r="365" spans="1:22" ht="15.75" customHeight="1">
      <c r="A365" s="15"/>
      <c r="B365" s="5"/>
      <c r="C365" s="5"/>
      <c r="D365" s="16"/>
      <c r="E365" s="13"/>
      <c r="F365" s="13"/>
      <c r="G365" s="5"/>
      <c r="H365" s="5"/>
      <c r="I365" s="5"/>
      <c r="J365" s="6"/>
      <c r="K365" s="6"/>
      <c r="L365" s="13"/>
      <c r="M365" s="14"/>
      <c r="N365" s="14"/>
      <c r="O365" s="14"/>
      <c r="P365" s="14"/>
      <c r="Q365" s="14"/>
      <c r="R365" s="5"/>
      <c r="S365" s="5"/>
      <c r="T365" s="5"/>
      <c r="U365" s="5"/>
      <c r="V365" s="5"/>
    </row>
    <row r="366" spans="1:22" ht="15.75" customHeight="1">
      <c r="A366" s="15"/>
      <c r="B366" s="5"/>
      <c r="C366" s="5"/>
      <c r="D366" s="16"/>
      <c r="E366" s="13"/>
      <c r="F366" s="13"/>
      <c r="G366" s="5"/>
      <c r="H366" s="5"/>
      <c r="I366" s="5"/>
      <c r="J366" s="6"/>
      <c r="K366" s="6"/>
      <c r="L366" s="13"/>
      <c r="M366" s="14"/>
      <c r="N366" s="14"/>
      <c r="O366" s="14"/>
      <c r="P366" s="14"/>
      <c r="Q366" s="14"/>
      <c r="R366" s="5"/>
      <c r="S366" s="5"/>
      <c r="T366" s="5"/>
      <c r="U366" s="5"/>
      <c r="V366" s="5"/>
    </row>
    <row r="367" spans="1:22" ht="15.75" customHeight="1">
      <c r="A367" s="15"/>
      <c r="B367" s="5"/>
      <c r="C367" s="5"/>
      <c r="D367" s="16"/>
      <c r="E367" s="13"/>
      <c r="F367" s="13"/>
      <c r="G367" s="5"/>
      <c r="H367" s="5"/>
      <c r="I367" s="5"/>
      <c r="J367" s="6"/>
      <c r="K367" s="6"/>
      <c r="L367" s="13"/>
      <c r="M367" s="14"/>
      <c r="N367" s="14"/>
      <c r="O367" s="14"/>
      <c r="P367" s="14"/>
      <c r="Q367" s="14"/>
      <c r="R367" s="5"/>
      <c r="S367" s="5"/>
      <c r="T367" s="5"/>
      <c r="U367" s="5"/>
      <c r="V367" s="5"/>
    </row>
    <row r="368" spans="1:22" ht="15.75" customHeight="1">
      <c r="A368" s="15"/>
      <c r="B368" s="5"/>
      <c r="C368" s="5"/>
      <c r="D368" s="16"/>
      <c r="E368" s="13"/>
      <c r="F368" s="13"/>
      <c r="G368" s="5"/>
      <c r="H368" s="5"/>
      <c r="I368" s="5"/>
      <c r="J368" s="6"/>
      <c r="K368" s="6"/>
      <c r="L368" s="13"/>
      <c r="M368" s="14"/>
      <c r="N368" s="14"/>
      <c r="O368" s="14"/>
      <c r="P368" s="14"/>
      <c r="Q368" s="14"/>
      <c r="R368" s="5"/>
      <c r="S368" s="5"/>
      <c r="T368" s="5"/>
      <c r="U368" s="5"/>
      <c r="V368" s="5"/>
    </row>
    <row r="369" spans="1:22" ht="15.75" customHeight="1">
      <c r="A369" s="15"/>
      <c r="B369" s="5"/>
      <c r="C369" s="5"/>
      <c r="D369" s="16"/>
      <c r="E369" s="13"/>
      <c r="F369" s="13"/>
      <c r="G369" s="5"/>
      <c r="H369" s="5"/>
      <c r="I369" s="5"/>
      <c r="J369" s="6"/>
      <c r="K369" s="6"/>
      <c r="L369" s="13"/>
      <c r="M369" s="14"/>
      <c r="N369" s="14"/>
      <c r="O369" s="14"/>
      <c r="P369" s="14"/>
      <c r="Q369" s="14"/>
      <c r="R369" s="5"/>
      <c r="S369" s="5"/>
      <c r="T369" s="5"/>
      <c r="U369" s="5"/>
      <c r="V369" s="5"/>
    </row>
    <row r="370" spans="1:22" ht="15.75" customHeight="1">
      <c r="A370" s="15"/>
      <c r="B370" s="5"/>
      <c r="C370" s="5"/>
      <c r="D370" s="16"/>
      <c r="E370" s="13"/>
      <c r="F370" s="13"/>
      <c r="G370" s="5"/>
      <c r="H370" s="5"/>
      <c r="I370" s="5"/>
      <c r="J370" s="6"/>
      <c r="K370" s="6"/>
      <c r="L370" s="13"/>
      <c r="M370" s="14"/>
      <c r="N370" s="14"/>
      <c r="O370" s="14"/>
      <c r="P370" s="14"/>
      <c r="Q370" s="14"/>
      <c r="R370" s="5"/>
      <c r="S370" s="5"/>
      <c r="T370" s="5"/>
      <c r="U370" s="5"/>
      <c r="V370" s="5"/>
    </row>
    <row r="371" spans="1:22" ht="15.75" customHeight="1">
      <c r="A371" s="15"/>
      <c r="B371" s="5"/>
      <c r="C371" s="5"/>
      <c r="D371" s="16"/>
      <c r="E371" s="13"/>
      <c r="F371" s="13"/>
      <c r="G371" s="5"/>
      <c r="H371" s="5"/>
      <c r="I371" s="5"/>
      <c r="J371" s="6"/>
      <c r="K371" s="6"/>
      <c r="L371" s="13"/>
      <c r="M371" s="14"/>
      <c r="N371" s="14"/>
      <c r="O371" s="14"/>
      <c r="P371" s="14"/>
      <c r="Q371" s="14"/>
      <c r="R371" s="5"/>
      <c r="S371" s="5"/>
      <c r="T371" s="5"/>
      <c r="U371" s="5"/>
      <c r="V371" s="5"/>
    </row>
    <row r="372" spans="1:22" ht="15.75" customHeight="1">
      <c r="A372" s="15"/>
      <c r="B372" s="5"/>
      <c r="C372" s="5"/>
      <c r="D372" s="16"/>
      <c r="E372" s="13"/>
      <c r="F372" s="13"/>
      <c r="G372" s="5"/>
      <c r="H372" s="5"/>
      <c r="I372" s="5"/>
      <c r="J372" s="6"/>
      <c r="K372" s="6"/>
      <c r="L372" s="13"/>
      <c r="M372" s="14"/>
      <c r="N372" s="14"/>
      <c r="O372" s="14"/>
      <c r="P372" s="14"/>
      <c r="Q372" s="14"/>
      <c r="R372" s="5"/>
      <c r="S372" s="5"/>
      <c r="T372" s="5"/>
      <c r="U372" s="5"/>
      <c r="V372" s="5"/>
    </row>
    <row r="373" spans="1:22" ht="15.75" customHeight="1">
      <c r="A373" s="15"/>
      <c r="B373" s="5"/>
      <c r="C373" s="5"/>
      <c r="D373" s="16"/>
      <c r="E373" s="13"/>
      <c r="F373" s="13"/>
      <c r="G373" s="5"/>
      <c r="H373" s="5"/>
      <c r="I373" s="5"/>
      <c r="J373" s="6"/>
      <c r="K373" s="6"/>
      <c r="L373" s="13"/>
      <c r="M373" s="14"/>
      <c r="N373" s="14"/>
      <c r="O373" s="14"/>
      <c r="P373" s="14"/>
      <c r="Q373" s="14"/>
      <c r="R373" s="5"/>
      <c r="S373" s="5"/>
      <c r="T373" s="5"/>
      <c r="U373" s="5"/>
      <c r="V373" s="5"/>
    </row>
    <row r="374" spans="1:22" ht="15.75" customHeight="1">
      <c r="A374" s="15"/>
      <c r="B374" s="5"/>
      <c r="C374" s="5"/>
      <c r="D374" s="16"/>
      <c r="E374" s="13"/>
      <c r="F374" s="13"/>
      <c r="G374" s="5"/>
      <c r="H374" s="5"/>
      <c r="I374" s="5"/>
      <c r="J374" s="6"/>
      <c r="K374" s="6"/>
      <c r="L374" s="13"/>
      <c r="M374" s="14"/>
      <c r="N374" s="14"/>
      <c r="O374" s="14"/>
      <c r="P374" s="14"/>
      <c r="Q374" s="14"/>
      <c r="R374" s="5"/>
      <c r="S374" s="5"/>
      <c r="T374" s="5"/>
      <c r="U374" s="5"/>
      <c r="V374" s="5"/>
    </row>
    <row r="375" spans="1:22" ht="15.75" customHeight="1">
      <c r="A375" s="15"/>
      <c r="B375" s="5"/>
      <c r="C375" s="5"/>
      <c r="D375" s="16"/>
      <c r="E375" s="13"/>
      <c r="F375" s="13"/>
      <c r="G375" s="5"/>
      <c r="H375" s="5"/>
      <c r="I375" s="5"/>
      <c r="J375" s="6"/>
      <c r="K375" s="6"/>
      <c r="L375" s="13"/>
      <c r="M375" s="14"/>
      <c r="N375" s="14"/>
      <c r="O375" s="14"/>
      <c r="P375" s="14"/>
      <c r="Q375" s="14"/>
      <c r="R375" s="5"/>
      <c r="S375" s="5"/>
      <c r="T375" s="5"/>
      <c r="U375" s="5"/>
      <c r="V375" s="5"/>
    </row>
    <row r="376" spans="1:22" ht="15.75" customHeight="1">
      <c r="A376" s="15"/>
      <c r="B376" s="5"/>
      <c r="C376" s="5"/>
      <c r="D376" s="16"/>
      <c r="E376" s="13"/>
      <c r="F376" s="13"/>
      <c r="G376" s="5"/>
      <c r="H376" s="5"/>
      <c r="I376" s="5"/>
      <c r="J376" s="6"/>
      <c r="K376" s="6"/>
      <c r="L376" s="13"/>
      <c r="M376" s="14"/>
      <c r="N376" s="14"/>
      <c r="O376" s="14"/>
      <c r="P376" s="14"/>
      <c r="Q376" s="14"/>
      <c r="R376" s="5"/>
      <c r="S376" s="5"/>
      <c r="T376" s="5"/>
      <c r="U376" s="5"/>
      <c r="V376" s="5"/>
    </row>
    <row r="377" spans="1:22" ht="15.75" customHeight="1">
      <c r="A377" s="15"/>
      <c r="B377" s="5"/>
      <c r="C377" s="5"/>
      <c r="D377" s="16"/>
      <c r="E377" s="13"/>
      <c r="F377" s="13"/>
      <c r="G377" s="5"/>
      <c r="H377" s="5"/>
      <c r="I377" s="5"/>
      <c r="J377" s="6"/>
      <c r="K377" s="6"/>
      <c r="L377" s="13"/>
      <c r="M377" s="14"/>
      <c r="N377" s="14"/>
      <c r="O377" s="14"/>
      <c r="P377" s="14"/>
      <c r="Q377" s="14"/>
      <c r="R377" s="5"/>
      <c r="S377" s="5"/>
      <c r="T377" s="5"/>
      <c r="U377" s="5"/>
      <c r="V377" s="5"/>
    </row>
    <row r="378" spans="1:22" ht="15.75" customHeight="1">
      <c r="A378" s="15"/>
      <c r="B378" s="5"/>
      <c r="C378" s="5"/>
      <c r="D378" s="16"/>
      <c r="E378" s="13"/>
      <c r="F378" s="13"/>
      <c r="G378" s="5"/>
      <c r="H378" s="5"/>
      <c r="I378" s="5"/>
      <c r="J378" s="6"/>
      <c r="K378" s="6"/>
      <c r="L378" s="13"/>
      <c r="M378" s="14"/>
      <c r="N378" s="14"/>
      <c r="O378" s="14"/>
      <c r="P378" s="14"/>
      <c r="Q378" s="14"/>
      <c r="R378" s="5"/>
      <c r="S378" s="5"/>
      <c r="T378" s="5"/>
      <c r="U378" s="5"/>
      <c r="V378" s="5"/>
    </row>
    <row r="379" spans="1:22" ht="15.75" customHeight="1">
      <c r="A379" s="15"/>
      <c r="B379" s="5"/>
      <c r="C379" s="5"/>
      <c r="D379" s="16"/>
      <c r="E379" s="13"/>
      <c r="F379" s="13"/>
      <c r="G379" s="5"/>
      <c r="H379" s="5"/>
      <c r="I379" s="5"/>
      <c r="J379" s="6"/>
      <c r="K379" s="6"/>
      <c r="L379" s="13"/>
      <c r="M379" s="14"/>
      <c r="N379" s="14"/>
      <c r="O379" s="14"/>
      <c r="P379" s="14"/>
      <c r="Q379" s="14"/>
      <c r="R379" s="5"/>
      <c r="S379" s="5"/>
      <c r="T379" s="5"/>
      <c r="U379" s="5"/>
      <c r="V379" s="5"/>
    </row>
    <row r="380" spans="1:22" ht="15.75" customHeight="1">
      <c r="A380" s="15"/>
      <c r="B380" s="5"/>
      <c r="C380" s="5"/>
      <c r="D380" s="16"/>
      <c r="E380" s="13"/>
      <c r="F380" s="13"/>
      <c r="G380" s="5"/>
      <c r="H380" s="5"/>
      <c r="I380" s="5"/>
      <c r="J380" s="6"/>
      <c r="K380" s="6"/>
      <c r="L380" s="13"/>
      <c r="M380" s="14"/>
      <c r="N380" s="14"/>
      <c r="O380" s="14"/>
      <c r="P380" s="14"/>
      <c r="Q380" s="14"/>
      <c r="R380" s="5"/>
      <c r="S380" s="5"/>
      <c r="T380" s="5"/>
      <c r="U380" s="5"/>
      <c r="V380" s="5"/>
    </row>
    <row r="381" spans="1:22" ht="15.75" customHeight="1">
      <c r="A381" s="15"/>
      <c r="B381" s="5"/>
      <c r="C381" s="5"/>
      <c r="D381" s="16"/>
      <c r="E381" s="13"/>
      <c r="F381" s="13"/>
      <c r="G381" s="5"/>
      <c r="H381" s="5"/>
      <c r="I381" s="5"/>
      <c r="J381" s="6"/>
      <c r="K381" s="6"/>
      <c r="L381" s="13"/>
      <c r="M381" s="14"/>
      <c r="N381" s="14"/>
      <c r="O381" s="14"/>
      <c r="P381" s="14"/>
      <c r="Q381" s="14"/>
      <c r="R381" s="5"/>
      <c r="S381" s="5"/>
      <c r="T381" s="5"/>
      <c r="U381" s="5"/>
      <c r="V381" s="5"/>
    </row>
    <row r="382" spans="1:22" ht="15.75" customHeight="1">
      <c r="A382" s="15"/>
      <c r="B382" s="5"/>
      <c r="C382" s="5"/>
      <c r="D382" s="16"/>
      <c r="E382" s="13"/>
      <c r="F382" s="13"/>
      <c r="G382" s="5"/>
      <c r="H382" s="5"/>
      <c r="I382" s="5"/>
      <c r="J382" s="6"/>
      <c r="K382" s="6"/>
      <c r="L382" s="13"/>
      <c r="M382" s="14"/>
      <c r="N382" s="14"/>
      <c r="O382" s="14"/>
      <c r="P382" s="14"/>
      <c r="Q382" s="14"/>
      <c r="R382" s="5"/>
      <c r="S382" s="5"/>
      <c r="T382" s="5"/>
      <c r="U382" s="5"/>
      <c r="V382" s="5"/>
    </row>
    <row r="383" spans="1:22" ht="15.75" customHeight="1">
      <c r="A383" s="15"/>
      <c r="B383" s="5"/>
      <c r="C383" s="5"/>
      <c r="D383" s="16"/>
      <c r="E383" s="13"/>
      <c r="F383" s="13"/>
      <c r="G383" s="5"/>
      <c r="H383" s="5"/>
      <c r="I383" s="5"/>
      <c r="J383" s="6"/>
      <c r="K383" s="6"/>
      <c r="L383" s="13"/>
      <c r="M383" s="14"/>
      <c r="N383" s="14"/>
      <c r="O383" s="14"/>
      <c r="P383" s="14"/>
      <c r="Q383" s="14"/>
      <c r="R383" s="5"/>
      <c r="S383" s="5"/>
      <c r="T383" s="5"/>
      <c r="U383" s="5"/>
      <c r="V383" s="5"/>
    </row>
    <row r="384" spans="1:22" ht="15.75" customHeight="1">
      <c r="A384" s="15"/>
      <c r="B384" s="5"/>
      <c r="C384" s="5"/>
      <c r="D384" s="16"/>
      <c r="E384" s="13"/>
      <c r="F384" s="13"/>
      <c r="G384" s="5"/>
      <c r="H384" s="5"/>
      <c r="I384" s="5"/>
      <c r="J384" s="6"/>
      <c r="K384" s="6"/>
      <c r="L384" s="13"/>
      <c r="M384" s="14"/>
      <c r="N384" s="14"/>
      <c r="O384" s="14"/>
      <c r="P384" s="14"/>
      <c r="Q384" s="14"/>
      <c r="R384" s="5"/>
      <c r="S384" s="5"/>
      <c r="T384" s="5"/>
      <c r="U384" s="5"/>
      <c r="V384" s="5"/>
    </row>
    <row r="385" spans="1:22" ht="15.75" customHeight="1">
      <c r="A385" s="15"/>
      <c r="B385" s="5"/>
      <c r="C385" s="5"/>
      <c r="D385" s="16"/>
      <c r="E385" s="13"/>
      <c r="F385" s="13"/>
      <c r="G385" s="5"/>
      <c r="H385" s="5"/>
      <c r="I385" s="5"/>
      <c r="J385" s="6"/>
      <c r="K385" s="6"/>
      <c r="L385" s="13"/>
      <c r="M385" s="14"/>
      <c r="N385" s="14"/>
      <c r="O385" s="14"/>
      <c r="P385" s="14"/>
      <c r="Q385" s="14"/>
      <c r="R385" s="5"/>
      <c r="S385" s="5"/>
      <c r="T385" s="5"/>
      <c r="U385" s="5"/>
      <c r="V385" s="5"/>
    </row>
    <row r="386" spans="1:22" ht="15.75" customHeight="1">
      <c r="A386" s="15"/>
      <c r="B386" s="5"/>
      <c r="C386" s="5"/>
      <c r="D386" s="16"/>
      <c r="E386" s="13"/>
      <c r="F386" s="13"/>
      <c r="G386" s="5"/>
      <c r="H386" s="5"/>
      <c r="I386" s="5"/>
      <c r="J386" s="6"/>
      <c r="K386" s="6"/>
      <c r="L386" s="13"/>
      <c r="M386" s="14"/>
      <c r="N386" s="14"/>
      <c r="O386" s="14"/>
      <c r="P386" s="14"/>
      <c r="Q386" s="14"/>
      <c r="R386" s="5"/>
      <c r="S386" s="5"/>
      <c r="T386" s="5"/>
      <c r="U386" s="5"/>
      <c r="V386" s="5"/>
    </row>
    <row r="387" spans="1:22" ht="15.75" customHeight="1">
      <c r="A387" s="15"/>
      <c r="B387" s="5"/>
      <c r="C387" s="5"/>
      <c r="D387" s="16"/>
      <c r="E387" s="13"/>
      <c r="F387" s="13"/>
      <c r="G387" s="5"/>
      <c r="H387" s="5"/>
      <c r="I387" s="5"/>
      <c r="J387" s="6"/>
      <c r="K387" s="6"/>
      <c r="L387" s="13"/>
      <c r="M387" s="14"/>
      <c r="N387" s="14"/>
      <c r="O387" s="14"/>
      <c r="P387" s="14"/>
      <c r="Q387" s="14"/>
      <c r="R387" s="5"/>
      <c r="S387" s="5"/>
      <c r="T387" s="5"/>
      <c r="U387" s="5"/>
      <c r="V387" s="5"/>
    </row>
    <row r="388" spans="1:22" ht="15.75" customHeight="1">
      <c r="A388" s="15"/>
      <c r="B388" s="5"/>
      <c r="C388" s="5"/>
      <c r="D388" s="16"/>
      <c r="E388" s="13"/>
      <c r="F388" s="13"/>
      <c r="G388" s="5"/>
      <c r="H388" s="5"/>
      <c r="I388" s="5"/>
      <c r="J388" s="6"/>
      <c r="K388" s="6"/>
      <c r="L388" s="13"/>
      <c r="M388" s="14"/>
      <c r="N388" s="14"/>
      <c r="O388" s="14"/>
      <c r="P388" s="14"/>
      <c r="Q388" s="14"/>
      <c r="R388" s="5"/>
      <c r="S388" s="5"/>
      <c r="T388" s="5"/>
      <c r="U388" s="5"/>
      <c r="V388" s="5"/>
    </row>
    <row r="389" spans="1:22" ht="15.75" customHeight="1">
      <c r="A389" s="15"/>
      <c r="B389" s="5"/>
      <c r="C389" s="5"/>
      <c r="D389" s="16"/>
      <c r="E389" s="13"/>
      <c r="F389" s="13"/>
      <c r="G389" s="5"/>
      <c r="H389" s="5"/>
      <c r="I389" s="5"/>
      <c r="J389" s="6"/>
      <c r="K389" s="6"/>
      <c r="L389" s="13"/>
      <c r="M389" s="14"/>
      <c r="N389" s="14"/>
      <c r="O389" s="14"/>
      <c r="P389" s="14"/>
      <c r="Q389" s="14"/>
      <c r="R389" s="5"/>
      <c r="S389" s="5"/>
      <c r="T389" s="5"/>
      <c r="U389" s="5"/>
      <c r="V389" s="5"/>
    </row>
    <row r="390" spans="1:22" ht="15.75" customHeight="1">
      <c r="A390" s="15"/>
      <c r="B390" s="5"/>
      <c r="C390" s="5"/>
      <c r="D390" s="16"/>
      <c r="E390" s="13"/>
      <c r="F390" s="13"/>
      <c r="G390" s="5"/>
      <c r="H390" s="5"/>
      <c r="I390" s="5"/>
      <c r="J390" s="6"/>
      <c r="K390" s="6"/>
      <c r="L390" s="13"/>
      <c r="M390" s="14"/>
      <c r="N390" s="14"/>
      <c r="O390" s="14"/>
      <c r="P390" s="14"/>
      <c r="Q390" s="14"/>
      <c r="R390" s="5"/>
      <c r="S390" s="5"/>
      <c r="T390" s="5"/>
      <c r="U390" s="5"/>
      <c r="V390" s="5"/>
    </row>
    <row r="391" spans="1:22" ht="15.75" customHeight="1">
      <c r="A391" s="15"/>
      <c r="B391" s="5"/>
      <c r="C391" s="5"/>
      <c r="D391" s="16"/>
      <c r="E391" s="13"/>
      <c r="F391" s="13"/>
      <c r="G391" s="5"/>
      <c r="H391" s="5"/>
      <c r="I391" s="5"/>
      <c r="J391" s="6"/>
      <c r="K391" s="6"/>
      <c r="L391" s="13"/>
      <c r="M391" s="14"/>
      <c r="N391" s="14"/>
      <c r="O391" s="14"/>
      <c r="P391" s="14"/>
      <c r="Q391" s="14"/>
      <c r="R391" s="5"/>
      <c r="S391" s="5"/>
      <c r="T391" s="5"/>
      <c r="U391" s="5"/>
      <c r="V391" s="5"/>
    </row>
    <row r="392" spans="1:22" ht="15.75" customHeight="1">
      <c r="A392" s="15"/>
      <c r="B392" s="5"/>
      <c r="C392" s="5"/>
      <c r="D392" s="16"/>
      <c r="E392" s="13"/>
      <c r="F392" s="13"/>
      <c r="G392" s="5"/>
      <c r="H392" s="5"/>
      <c r="I392" s="5"/>
      <c r="J392" s="6"/>
      <c r="K392" s="6"/>
      <c r="L392" s="13"/>
      <c r="M392" s="14"/>
      <c r="N392" s="14"/>
      <c r="O392" s="14"/>
      <c r="P392" s="14"/>
      <c r="Q392" s="14"/>
      <c r="R392" s="5"/>
      <c r="S392" s="5"/>
      <c r="T392" s="5"/>
      <c r="U392" s="5"/>
      <c r="V392" s="5"/>
    </row>
    <row r="393" spans="1:22" ht="15.75" customHeight="1">
      <c r="A393" s="15"/>
      <c r="B393" s="5"/>
      <c r="C393" s="5"/>
      <c r="D393" s="16"/>
      <c r="E393" s="13"/>
      <c r="F393" s="13"/>
      <c r="G393" s="5"/>
      <c r="H393" s="5"/>
      <c r="I393" s="5"/>
      <c r="J393" s="6"/>
      <c r="K393" s="6"/>
      <c r="L393" s="13"/>
      <c r="M393" s="14"/>
      <c r="N393" s="14"/>
      <c r="O393" s="14"/>
      <c r="P393" s="14"/>
      <c r="Q393" s="14"/>
      <c r="R393" s="5"/>
      <c r="S393" s="5"/>
      <c r="T393" s="5"/>
      <c r="U393" s="5"/>
      <c r="V393" s="5"/>
    </row>
    <row r="394" spans="1:22" ht="15.75" customHeight="1">
      <c r="A394" s="15"/>
      <c r="B394" s="5"/>
      <c r="C394" s="5"/>
      <c r="D394" s="16"/>
      <c r="E394" s="13"/>
      <c r="F394" s="13"/>
      <c r="G394" s="5"/>
      <c r="H394" s="5"/>
      <c r="I394" s="5"/>
      <c r="J394" s="6"/>
      <c r="K394" s="6"/>
      <c r="L394" s="13"/>
      <c r="M394" s="14"/>
      <c r="N394" s="14"/>
      <c r="O394" s="14"/>
      <c r="P394" s="14"/>
      <c r="Q394" s="14"/>
      <c r="R394" s="5"/>
      <c r="S394" s="5"/>
      <c r="T394" s="5"/>
      <c r="U394" s="5"/>
      <c r="V394" s="5"/>
    </row>
    <row r="395" spans="1:22" ht="15.75" customHeight="1">
      <c r="A395" s="15"/>
      <c r="B395" s="5"/>
      <c r="C395" s="5"/>
      <c r="D395" s="16"/>
      <c r="E395" s="13"/>
      <c r="F395" s="13"/>
      <c r="G395" s="5"/>
      <c r="H395" s="5"/>
      <c r="I395" s="5"/>
      <c r="J395" s="6"/>
      <c r="K395" s="6"/>
      <c r="L395" s="13"/>
      <c r="M395" s="14"/>
      <c r="N395" s="14"/>
      <c r="O395" s="14"/>
      <c r="P395" s="14"/>
      <c r="Q395" s="14"/>
      <c r="R395" s="5"/>
      <c r="S395" s="5"/>
      <c r="T395" s="5"/>
      <c r="U395" s="5"/>
      <c r="V395" s="5"/>
    </row>
    <row r="396" spans="1:22" ht="15.75" customHeight="1">
      <c r="A396" s="15"/>
      <c r="B396" s="5"/>
      <c r="C396" s="5"/>
      <c r="D396" s="16"/>
      <c r="E396" s="13"/>
      <c r="F396" s="13"/>
      <c r="G396" s="5"/>
      <c r="H396" s="5"/>
      <c r="I396" s="5"/>
      <c r="J396" s="6"/>
      <c r="K396" s="6"/>
      <c r="L396" s="13"/>
      <c r="M396" s="14"/>
      <c r="N396" s="14"/>
      <c r="O396" s="14"/>
      <c r="P396" s="14"/>
      <c r="Q396" s="14"/>
      <c r="R396" s="5"/>
      <c r="S396" s="5"/>
      <c r="T396" s="5"/>
      <c r="U396" s="5"/>
      <c r="V396" s="5"/>
    </row>
    <row r="397" spans="1:22" ht="15.75" customHeight="1">
      <c r="A397" s="15"/>
      <c r="B397" s="5"/>
      <c r="C397" s="5"/>
      <c r="D397" s="16"/>
      <c r="E397" s="13"/>
      <c r="F397" s="13"/>
      <c r="G397" s="5"/>
      <c r="H397" s="5"/>
      <c r="I397" s="5"/>
      <c r="J397" s="6"/>
      <c r="K397" s="6"/>
      <c r="L397" s="13"/>
      <c r="M397" s="14"/>
      <c r="N397" s="14"/>
      <c r="O397" s="14"/>
      <c r="P397" s="14"/>
      <c r="Q397" s="14"/>
      <c r="R397" s="5"/>
      <c r="S397" s="5"/>
      <c r="T397" s="5"/>
      <c r="U397" s="5"/>
      <c r="V397" s="5"/>
    </row>
    <row r="398" spans="1:22" ht="15.75" customHeight="1">
      <c r="A398" s="15"/>
      <c r="B398" s="5"/>
      <c r="C398" s="5"/>
      <c r="D398" s="16"/>
      <c r="E398" s="13"/>
      <c r="F398" s="13"/>
      <c r="G398" s="5"/>
      <c r="H398" s="5"/>
      <c r="I398" s="5"/>
      <c r="J398" s="6"/>
      <c r="K398" s="6"/>
      <c r="L398" s="13"/>
      <c r="M398" s="14"/>
      <c r="N398" s="14"/>
      <c r="O398" s="14"/>
      <c r="P398" s="14"/>
      <c r="Q398" s="14"/>
      <c r="R398" s="5"/>
      <c r="S398" s="5"/>
      <c r="T398" s="5"/>
      <c r="U398" s="5"/>
      <c r="V398" s="5"/>
    </row>
    <row r="399" spans="1:22" ht="15.75" customHeight="1">
      <c r="A399" s="15"/>
      <c r="B399" s="5"/>
      <c r="C399" s="5"/>
      <c r="D399" s="16"/>
      <c r="E399" s="13"/>
      <c r="F399" s="13"/>
      <c r="G399" s="5"/>
      <c r="H399" s="5"/>
      <c r="I399" s="5"/>
      <c r="J399" s="6"/>
      <c r="K399" s="6"/>
      <c r="L399" s="13"/>
      <c r="M399" s="14"/>
      <c r="N399" s="14"/>
      <c r="O399" s="14"/>
      <c r="P399" s="14"/>
      <c r="Q399" s="14"/>
      <c r="R399" s="5"/>
      <c r="S399" s="5"/>
      <c r="T399" s="5"/>
      <c r="U399" s="5"/>
      <c r="V399" s="5"/>
    </row>
    <row r="400" spans="1:22" ht="15.75" customHeight="1">
      <c r="A400" s="15"/>
      <c r="B400" s="5"/>
      <c r="C400" s="5"/>
      <c r="D400" s="16"/>
      <c r="E400" s="13"/>
      <c r="F400" s="13"/>
      <c r="G400" s="5"/>
      <c r="H400" s="5"/>
      <c r="I400" s="5"/>
      <c r="J400" s="6"/>
      <c r="K400" s="6"/>
      <c r="L400" s="13"/>
      <c r="M400" s="14"/>
      <c r="N400" s="14"/>
      <c r="O400" s="14"/>
      <c r="P400" s="14"/>
      <c r="Q400" s="14"/>
      <c r="R400" s="5"/>
      <c r="S400" s="5"/>
      <c r="T400" s="5"/>
      <c r="U400" s="5"/>
      <c r="V400" s="5"/>
    </row>
    <row r="401" spans="1:22" ht="15.75" customHeight="1">
      <c r="A401" s="15"/>
      <c r="B401" s="5"/>
      <c r="C401" s="5"/>
      <c r="D401" s="16"/>
      <c r="E401" s="13"/>
      <c r="F401" s="13"/>
      <c r="G401" s="5"/>
      <c r="H401" s="5"/>
      <c r="I401" s="5"/>
      <c r="J401" s="6"/>
      <c r="K401" s="6"/>
      <c r="L401" s="13"/>
      <c r="M401" s="14"/>
      <c r="N401" s="14"/>
      <c r="O401" s="14"/>
      <c r="P401" s="14"/>
      <c r="Q401" s="14"/>
      <c r="R401" s="5"/>
      <c r="S401" s="5"/>
      <c r="T401" s="5"/>
      <c r="U401" s="5"/>
      <c r="V401" s="5"/>
    </row>
    <row r="402" spans="1:22" ht="15.75" customHeight="1">
      <c r="A402" s="15"/>
      <c r="B402" s="5"/>
      <c r="C402" s="5"/>
      <c r="D402" s="16"/>
      <c r="E402" s="13"/>
      <c r="F402" s="13"/>
      <c r="G402" s="5"/>
      <c r="H402" s="5"/>
      <c r="I402" s="5"/>
      <c r="J402" s="6"/>
      <c r="K402" s="6"/>
      <c r="L402" s="13"/>
      <c r="M402" s="14"/>
      <c r="N402" s="14"/>
      <c r="O402" s="14"/>
      <c r="P402" s="14"/>
      <c r="Q402" s="14"/>
      <c r="R402" s="5"/>
      <c r="S402" s="5"/>
      <c r="T402" s="5"/>
      <c r="U402" s="5"/>
      <c r="V402" s="5"/>
    </row>
    <row r="403" spans="1:22" ht="15.75" customHeight="1">
      <c r="A403" s="15"/>
      <c r="B403" s="5"/>
      <c r="C403" s="5"/>
      <c r="D403" s="16"/>
      <c r="E403" s="13"/>
      <c r="F403" s="13"/>
      <c r="G403" s="5"/>
      <c r="H403" s="5"/>
      <c r="I403" s="5"/>
      <c r="J403" s="6"/>
      <c r="K403" s="6"/>
      <c r="L403" s="13"/>
      <c r="M403" s="14"/>
      <c r="N403" s="14"/>
      <c r="O403" s="14"/>
      <c r="P403" s="14"/>
      <c r="Q403" s="14"/>
      <c r="R403" s="5"/>
      <c r="S403" s="5"/>
      <c r="T403" s="5"/>
      <c r="U403" s="5"/>
      <c r="V403" s="5"/>
    </row>
    <row r="404" spans="1:22" ht="15.75" customHeight="1">
      <c r="A404" s="15"/>
      <c r="B404" s="5"/>
      <c r="C404" s="5"/>
      <c r="D404" s="16"/>
      <c r="E404" s="13"/>
      <c r="F404" s="13"/>
      <c r="G404" s="5"/>
      <c r="H404" s="5"/>
      <c r="I404" s="5"/>
      <c r="J404" s="6"/>
      <c r="K404" s="6"/>
      <c r="L404" s="13"/>
      <c r="M404" s="14"/>
      <c r="N404" s="14"/>
      <c r="O404" s="14"/>
      <c r="P404" s="14"/>
      <c r="Q404" s="14"/>
      <c r="R404" s="5"/>
      <c r="S404" s="5"/>
      <c r="T404" s="5"/>
      <c r="U404" s="5"/>
      <c r="V404" s="5"/>
    </row>
    <row r="405" spans="1:22" ht="15.75" customHeight="1">
      <c r="A405" s="15"/>
      <c r="B405" s="5"/>
      <c r="C405" s="5"/>
      <c r="D405" s="16"/>
      <c r="E405" s="13"/>
      <c r="F405" s="13"/>
      <c r="G405" s="5"/>
      <c r="H405" s="5"/>
      <c r="I405" s="5"/>
      <c r="J405" s="6"/>
      <c r="K405" s="6"/>
      <c r="L405" s="13"/>
      <c r="M405" s="14"/>
      <c r="N405" s="14"/>
      <c r="O405" s="14"/>
      <c r="P405" s="14"/>
      <c r="Q405" s="14"/>
      <c r="R405" s="5"/>
      <c r="S405" s="5"/>
      <c r="T405" s="5"/>
      <c r="U405" s="5"/>
      <c r="V405" s="5"/>
    </row>
    <row r="406" spans="1:22" ht="15.75" customHeight="1">
      <c r="A406" s="15"/>
      <c r="B406" s="5"/>
      <c r="C406" s="5"/>
      <c r="D406" s="16"/>
      <c r="E406" s="13"/>
      <c r="F406" s="13"/>
      <c r="G406" s="5"/>
      <c r="H406" s="5"/>
      <c r="I406" s="5"/>
      <c r="J406" s="6"/>
      <c r="K406" s="6"/>
      <c r="L406" s="13"/>
      <c r="M406" s="14"/>
      <c r="N406" s="14"/>
      <c r="O406" s="14"/>
      <c r="P406" s="14"/>
      <c r="Q406" s="14"/>
      <c r="R406" s="5"/>
      <c r="S406" s="5"/>
      <c r="T406" s="5"/>
      <c r="U406" s="5"/>
      <c r="V406" s="5"/>
    </row>
    <row r="407" spans="1:22" ht="15.75" customHeight="1">
      <c r="A407" s="15"/>
      <c r="B407" s="5"/>
      <c r="C407" s="5"/>
      <c r="D407" s="16"/>
      <c r="E407" s="13"/>
      <c r="F407" s="13"/>
      <c r="G407" s="5"/>
      <c r="H407" s="5"/>
      <c r="I407" s="5"/>
      <c r="J407" s="6"/>
      <c r="K407" s="6"/>
      <c r="L407" s="13"/>
      <c r="M407" s="14"/>
      <c r="N407" s="14"/>
      <c r="O407" s="14"/>
      <c r="P407" s="14"/>
      <c r="Q407" s="14"/>
      <c r="R407" s="5"/>
      <c r="S407" s="5"/>
      <c r="T407" s="5"/>
      <c r="U407" s="5"/>
      <c r="V407" s="5"/>
    </row>
    <row r="408" spans="1:22" ht="15.75" customHeight="1">
      <c r="A408" s="15"/>
      <c r="B408" s="5"/>
      <c r="C408" s="5"/>
      <c r="D408" s="16"/>
      <c r="E408" s="13"/>
      <c r="F408" s="13"/>
      <c r="G408" s="5"/>
      <c r="H408" s="5"/>
      <c r="I408" s="5"/>
      <c r="J408" s="6"/>
      <c r="K408" s="6"/>
      <c r="L408" s="13"/>
      <c r="M408" s="14"/>
      <c r="N408" s="14"/>
      <c r="O408" s="14"/>
      <c r="P408" s="14"/>
      <c r="Q408" s="14"/>
      <c r="R408" s="5"/>
      <c r="S408" s="5"/>
      <c r="T408" s="5"/>
      <c r="U408" s="5"/>
      <c r="V408" s="5"/>
    </row>
    <row r="409" spans="1:22" ht="15.75" customHeight="1">
      <c r="A409" s="15"/>
      <c r="B409" s="5"/>
      <c r="C409" s="5"/>
      <c r="D409" s="16"/>
      <c r="E409" s="13"/>
      <c r="F409" s="13"/>
      <c r="G409" s="5"/>
      <c r="H409" s="5"/>
      <c r="I409" s="5"/>
      <c r="J409" s="6"/>
      <c r="K409" s="6"/>
      <c r="L409" s="13"/>
      <c r="M409" s="14"/>
      <c r="N409" s="14"/>
      <c r="O409" s="14"/>
      <c r="P409" s="14"/>
      <c r="Q409" s="14"/>
      <c r="R409" s="5"/>
      <c r="S409" s="5"/>
      <c r="T409" s="5"/>
      <c r="U409" s="5"/>
      <c r="V409" s="5"/>
    </row>
    <row r="410" spans="1:22" ht="15.75" customHeight="1">
      <c r="A410" s="15"/>
      <c r="B410" s="5"/>
      <c r="C410" s="5"/>
      <c r="D410" s="16"/>
      <c r="E410" s="13"/>
      <c r="F410" s="13"/>
      <c r="G410" s="5"/>
      <c r="H410" s="5"/>
      <c r="I410" s="5"/>
      <c r="J410" s="6"/>
      <c r="K410" s="6"/>
      <c r="L410" s="13"/>
      <c r="M410" s="14"/>
      <c r="N410" s="14"/>
      <c r="O410" s="14"/>
      <c r="P410" s="14"/>
      <c r="Q410" s="14"/>
      <c r="R410" s="5"/>
      <c r="S410" s="5"/>
      <c r="T410" s="5"/>
      <c r="U410" s="5"/>
      <c r="V410" s="5"/>
    </row>
    <row r="411" spans="1:22" ht="15.75" customHeight="1">
      <c r="A411" s="15"/>
      <c r="B411" s="5"/>
      <c r="C411" s="5"/>
      <c r="D411" s="16"/>
      <c r="E411" s="13"/>
      <c r="F411" s="13"/>
      <c r="G411" s="5"/>
      <c r="H411" s="5"/>
      <c r="I411" s="5"/>
      <c r="J411" s="6"/>
      <c r="K411" s="6"/>
      <c r="L411" s="13"/>
      <c r="M411" s="14"/>
      <c r="N411" s="14"/>
      <c r="O411" s="14"/>
      <c r="P411" s="14"/>
      <c r="Q411" s="14"/>
      <c r="R411" s="5"/>
      <c r="S411" s="5"/>
      <c r="T411" s="5"/>
      <c r="U411" s="5"/>
      <c r="V411" s="5"/>
    </row>
    <row r="412" spans="1:22" ht="15.75" customHeight="1">
      <c r="A412" s="15"/>
      <c r="B412" s="5"/>
      <c r="C412" s="5"/>
      <c r="D412" s="16"/>
      <c r="E412" s="13"/>
      <c r="F412" s="13"/>
      <c r="G412" s="5"/>
      <c r="H412" s="5"/>
      <c r="I412" s="5"/>
      <c r="J412" s="6"/>
      <c r="K412" s="6"/>
      <c r="L412" s="13"/>
      <c r="M412" s="14"/>
      <c r="N412" s="14"/>
      <c r="O412" s="14"/>
      <c r="P412" s="14"/>
      <c r="Q412" s="14"/>
      <c r="R412" s="5"/>
      <c r="S412" s="5"/>
      <c r="T412" s="5"/>
      <c r="U412" s="5"/>
      <c r="V412" s="5"/>
    </row>
    <row r="413" spans="1:22" ht="15.75" customHeight="1">
      <c r="A413" s="15"/>
      <c r="B413" s="5"/>
      <c r="C413" s="5"/>
      <c r="D413" s="16"/>
      <c r="E413" s="13"/>
      <c r="F413" s="13"/>
      <c r="G413" s="5"/>
      <c r="H413" s="5"/>
      <c r="I413" s="5"/>
      <c r="J413" s="6"/>
      <c r="K413" s="6"/>
      <c r="L413" s="13"/>
      <c r="M413" s="14"/>
      <c r="N413" s="14"/>
      <c r="O413" s="14"/>
      <c r="P413" s="14"/>
      <c r="Q413" s="14"/>
      <c r="R413" s="5"/>
      <c r="S413" s="5"/>
      <c r="T413" s="5"/>
      <c r="U413" s="5"/>
      <c r="V413" s="5"/>
    </row>
    <row r="414" spans="1:22" ht="15.75" customHeight="1">
      <c r="A414" s="15"/>
      <c r="B414" s="5"/>
      <c r="C414" s="5"/>
      <c r="D414" s="16"/>
      <c r="E414" s="13"/>
      <c r="F414" s="13"/>
      <c r="G414" s="5"/>
      <c r="H414" s="5"/>
      <c r="I414" s="5"/>
      <c r="J414" s="6"/>
      <c r="K414" s="6"/>
      <c r="L414" s="13"/>
      <c r="M414" s="14"/>
      <c r="N414" s="14"/>
      <c r="O414" s="14"/>
      <c r="P414" s="14"/>
      <c r="Q414" s="14"/>
      <c r="R414" s="5"/>
      <c r="S414" s="5"/>
      <c r="T414" s="5"/>
      <c r="U414" s="5"/>
      <c r="V414" s="5"/>
    </row>
    <row r="415" spans="1:22" ht="15.75" customHeight="1">
      <c r="A415" s="15"/>
      <c r="B415" s="5"/>
      <c r="C415" s="5"/>
      <c r="D415" s="16"/>
      <c r="E415" s="13"/>
      <c r="F415" s="13"/>
      <c r="G415" s="5"/>
      <c r="H415" s="5"/>
      <c r="I415" s="5"/>
      <c r="J415" s="6"/>
      <c r="K415" s="6"/>
      <c r="L415" s="13"/>
      <c r="M415" s="14"/>
      <c r="N415" s="14"/>
      <c r="O415" s="14"/>
      <c r="P415" s="14"/>
      <c r="Q415" s="14"/>
      <c r="R415" s="5"/>
      <c r="S415" s="5"/>
      <c r="T415" s="5"/>
      <c r="U415" s="5"/>
      <c r="V415" s="5"/>
    </row>
    <row r="416" spans="1:22" ht="15.75" customHeight="1">
      <c r="A416" s="15"/>
      <c r="B416" s="5"/>
      <c r="C416" s="5"/>
      <c r="D416" s="16"/>
      <c r="E416" s="13"/>
      <c r="F416" s="13"/>
      <c r="G416" s="5"/>
      <c r="H416" s="5"/>
      <c r="I416" s="5"/>
      <c r="J416" s="6"/>
      <c r="K416" s="6"/>
      <c r="L416" s="13"/>
      <c r="M416" s="14"/>
      <c r="N416" s="14"/>
      <c r="O416" s="14"/>
      <c r="P416" s="14"/>
      <c r="Q416" s="14"/>
      <c r="R416" s="5"/>
      <c r="S416" s="5"/>
      <c r="T416" s="5"/>
      <c r="U416" s="5"/>
      <c r="V416" s="5"/>
    </row>
    <row r="417" spans="1:22" ht="15.75" customHeight="1">
      <c r="A417" s="15"/>
      <c r="B417" s="5"/>
      <c r="C417" s="5"/>
      <c r="D417" s="16"/>
      <c r="E417" s="13"/>
      <c r="F417" s="13"/>
      <c r="G417" s="5"/>
      <c r="H417" s="5"/>
      <c r="I417" s="5"/>
      <c r="J417" s="6"/>
      <c r="K417" s="6"/>
      <c r="L417" s="13"/>
      <c r="M417" s="14"/>
      <c r="N417" s="14"/>
      <c r="O417" s="14"/>
      <c r="P417" s="14"/>
      <c r="Q417" s="14"/>
      <c r="R417" s="5"/>
      <c r="S417" s="5"/>
      <c r="T417" s="5"/>
      <c r="U417" s="5"/>
      <c r="V417" s="5"/>
    </row>
    <row r="418" spans="1:22" ht="15.75" customHeight="1">
      <c r="A418" s="15"/>
      <c r="B418" s="5"/>
      <c r="C418" s="5"/>
      <c r="D418" s="16"/>
      <c r="E418" s="13"/>
      <c r="F418" s="13"/>
      <c r="G418" s="5"/>
      <c r="H418" s="5"/>
      <c r="I418" s="5"/>
      <c r="J418" s="6"/>
      <c r="K418" s="6"/>
      <c r="L418" s="13"/>
      <c r="M418" s="14"/>
      <c r="N418" s="14"/>
      <c r="O418" s="14"/>
      <c r="P418" s="14"/>
      <c r="Q418" s="14"/>
      <c r="R418" s="5"/>
      <c r="S418" s="5"/>
      <c r="T418" s="5"/>
      <c r="U418" s="5"/>
      <c r="V418" s="5"/>
    </row>
    <row r="419" spans="1:22" ht="15.75" customHeight="1">
      <c r="A419" s="15"/>
      <c r="B419" s="5"/>
      <c r="C419" s="5"/>
      <c r="D419" s="16"/>
      <c r="E419" s="13"/>
      <c r="F419" s="13"/>
      <c r="G419" s="5"/>
      <c r="H419" s="5"/>
      <c r="I419" s="5"/>
      <c r="J419" s="6"/>
      <c r="K419" s="6"/>
      <c r="L419" s="13"/>
      <c r="M419" s="14"/>
      <c r="N419" s="14"/>
      <c r="O419" s="14"/>
      <c r="P419" s="14"/>
      <c r="Q419" s="14"/>
      <c r="R419" s="5"/>
      <c r="S419" s="5"/>
      <c r="T419" s="5"/>
      <c r="U419" s="5"/>
      <c r="V419" s="5"/>
    </row>
    <row r="420" spans="1:22" ht="15.75" customHeight="1">
      <c r="A420" s="15"/>
      <c r="B420" s="5"/>
      <c r="C420" s="5"/>
      <c r="D420" s="16"/>
      <c r="E420" s="13"/>
      <c r="F420" s="13"/>
      <c r="G420" s="5"/>
      <c r="H420" s="5"/>
      <c r="I420" s="5"/>
      <c r="J420" s="6"/>
      <c r="K420" s="6"/>
      <c r="L420" s="13"/>
      <c r="M420" s="14"/>
      <c r="N420" s="14"/>
      <c r="O420" s="14"/>
      <c r="P420" s="14"/>
      <c r="Q420" s="14"/>
      <c r="R420" s="5"/>
      <c r="S420" s="5"/>
      <c r="T420" s="5"/>
      <c r="U420" s="5"/>
      <c r="V420" s="5"/>
    </row>
    <row r="421" spans="1:22" ht="15.75" customHeight="1">
      <c r="A421" s="15"/>
      <c r="B421" s="5"/>
      <c r="C421" s="5"/>
      <c r="D421" s="16"/>
      <c r="E421" s="13"/>
      <c r="F421" s="13"/>
      <c r="G421" s="5"/>
      <c r="H421" s="5"/>
      <c r="I421" s="5"/>
      <c r="J421" s="6"/>
      <c r="K421" s="6"/>
      <c r="L421" s="13"/>
      <c r="M421" s="14"/>
      <c r="N421" s="14"/>
      <c r="O421" s="14"/>
      <c r="P421" s="14"/>
      <c r="Q421" s="14"/>
      <c r="R421" s="5"/>
      <c r="S421" s="5"/>
      <c r="T421" s="5"/>
      <c r="U421" s="5"/>
      <c r="V421" s="5"/>
    </row>
    <row r="422" spans="1:22" ht="15.75" customHeight="1">
      <c r="A422" s="15"/>
      <c r="B422" s="5"/>
      <c r="C422" s="5"/>
      <c r="D422" s="16"/>
      <c r="E422" s="13"/>
      <c r="F422" s="13"/>
      <c r="G422" s="5"/>
      <c r="H422" s="5"/>
      <c r="I422" s="5"/>
      <c r="J422" s="6"/>
      <c r="K422" s="6"/>
      <c r="L422" s="13"/>
      <c r="M422" s="14"/>
      <c r="N422" s="14"/>
      <c r="O422" s="14"/>
      <c r="P422" s="14"/>
      <c r="Q422" s="14"/>
      <c r="R422" s="5"/>
      <c r="S422" s="5"/>
      <c r="T422" s="5"/>
      <c r="U422" s="5"/>
      <c r="V422" s="5"/>
    </row>
    <row r="423" spans="1:22" ht="15.75" customHeight="1">
      <c r="A423" s="15"/>
      <c r="B423" s="5"/>
      <c r="C423" s="5"/>
      <c r="D423" s="16"/>
      <c r="E423" s="13"/>
      <c r="F423" s="13"/>
      <c r="G423" s="5"/>
      <c r="H423" s="5"/>
      <c r="I423" s="5"/>
      <c r="J423" s="6"/>
      <c r="K423" s="6"/>
      <c r="L423" s="13"/>
      <c r="M423" s="14"/>
      <c r="N423" s="14"/>
      <c r="O423" s="14"/>
      <c r="P423" s="14"/>
      <c r="Q423" s="14"/>
      <c r="R423" s="5"/>
      <c r="S423" s="5"/>
      <c r="T423" s="5"/>
      <c r="U423" s="5"/>
      <c r="V423" s="5"/>
    </row>
    <row r="424" spans="1:22" ht="15.75" customHeight="1">
      <c r="A424" s="15"/>
      <c r="B424" s="5"/>
      <c r="C424" s="5"/>
      <c r="D424" s="16"/>
      <c r="E424" s="13"/>
      <c r="F424" s="13"/>
      <c r="G424" s="5"/>
      <c r="H424" s="5"/>
      <c r="I424" s="5"/>
      <c r="J424" s="6"/>
      <c r="K424" s="6"/>
      <c r="L424" s="13"/>
      <c r="M424" s="14"/>
      <c r="N424" s="14"/>
      <c r="O424" s="14"/>
      <c r="P424" s="14"/>
      <c r="Q424" s="14"/>
      <c r="R424" s="5"/>
      <c r="S424" s="5"/>
      <c r="T424" s="5"/>
      <c r="U424" s="5"/>
      <c r="V424" s="5"/>
    </row>
    <row r="425" spans="1:22" ht="15.75" customHeight="1">
      <c r="A425" s="15"/>
      <c r="B425" s="5"/>
      <c r="C425" s="5"/>
      <c r="D425" s="16"/>
      <c r="E425" s="13"/>
      <c r="F425" s="13"/>
      <c r="G425" s="5"/>
      <c r="H425" s="5"/>
      <c r="I425" s="5"/>
      <c r="J425" s="6"/>
      <c r="K425" s="6"/>
      <c r="L425" s="13"/>
      <c r="M425" s="14"/>
      <c r="N425" s="14"/>
      <c r="O425" s="14"/>
      <c r="P425" s="14"/>
      <c r="Q425" s="14"/>
      <c r="R425" s="5"/>
      <c r="S425" s="5"/>
      <c r="T425" s="5"/>
      <c r="U425" s="5"/>
      <c r="V425" s="5"/>
    </row>
    <row r="426" spans="1:22" ht="15.75" customHeight="1">
      <c r="A426" s="15"/>
      <c r="B426" s="5"/>
      <c r="C426" s="5"/>
      <c r="D426" s="16"/>
      <c r="E426" s="13"/>
      <c r="F426" s="13"/>
      <c r="G426" s="5"/>
      <c r="H426" s="5"/>
      <c r="I426" s="5"/>
      <c r="J426" s="6"/>
      <c r="K426" s="6"/>
      <c r="L426" s="13"/>
      <c r="M426" s="14"/>
      <c r="N426" s="14"/>
      <c r="O426" s="14"/>
      <c r="P426" s="14"/>
      <c r="Q426" s="14"/>
      <c r="R426" s="5"/>
      <c r="S426" s="5"/>
      <c r="T426" s="5"/>
      <c r="U426" s="5"/>
      <c r="V426" s="5"/>
    </row>
    <row r="427" spans="1:22" ht="15.75" customHeight="1">
      <c r="A427" s="15"/>
      <c r="B427" s="5"/>
      <c r="C427" s="5"/>
      <c r="D427" s="16"/>
      <c r="E427" s="13"/>
      <c r="F427" s="13"/>
      <c r="G427" s="5"/>
      <c r="H427" s="5"/>
      <c r="I427" s="5"/>
      <c r="J427" s="6"/>
      <c r="K427" s="6"/>
      <c r="L427" s="13"/>
      <c r="M427" s="14"/>
      <c r="N427" s="14"/>
      <c r="O427" s="14"/>
      <c r="P427" s="14"/>
      <c r="Q427" s="14"/>
      <c r="R427" s="5"/>
      <c r="S427" s="5"/>
      <c r="T427" s="5"/>
      <c r="U427" s="5"/>
      <c r="V427" s="5"/>
    </row>
    <row r="428" spans="1:22" ht="15.75" customHeight="1">
      <c r="A428" s="15"/>
      <c r="B428" s="5"/>
      <c r="C428" s="5"/>
      <c r="D428" s="16"/>
      <c r="E428" s="13"/>
      <c r="F428" s="13"/>
      <c r="G428" s="5"/>
      <c r="H428" s="5"/>
      <c r="I428" s="5"/>
      <c r="J428" s="6"/>
      <c r="K428" s="6"/>
      <c r="L428" s="13"/>
      <c r="M428" s="14"/>
      <c r="N428" s="14"/>
      <c r="O428" s="14"/>
      <c r="P428" s="14"/>
      <c r="Q428" s="14"/>
      <c r="R428" s="5"/>
      <c r="S428" s="5"/>
      <c r="T428" s="5"/>
      <c r="U428" s="5"/>
      <c r="V428" s="5"/>
    </row>
    <row r="429" spans="1:22" ht="15.75" customHeight="1">
      <c r="A429" s="15"/>
      <c r="B429" s="5"/>
      <c r="C429" s="5"/>
      <c r="D429" s="16"/>
      <c r="E429" s="13"/>
      <c r="F429" s="13"/>
      <c r="G429" s="5"/>
      <c r="H429" s="5"/>
      <c r="I429" s="5"/>
      <c r="J429" s="6"/>
      <c r="K429" s="6"/>
      <c r="L429" s="13"/>
      <c r="M429" s="14"/>
      <c r="N429" s="14"/>
      <c r="O429" s="14"/>
      <c r="P429" s="14"/>
      <c r="Q429" s="14"/>
      <c r="R429" s="5"/>
      <c r="S429" s="5"/>
      <c r="T429" s="5"/>
      <c r="U429" s="5"/>
      <c r="V429" s="5"/>
    </row>
    <row r="430" spans="1:22" ht="15.75" customHeight="1">
      <c r="A430" s="15"/>
      <c r="B430" s="5"/>
      <c r="C430" s="5"/>
      <c r="D430" s="16"/>
      <c r="E430" s="13"/>
      <c r="F430" s="13"/>
      <c r="G430" s="5"/>
      <c r="H430" s="5"/>
      <c r="I430" s="5"/>
      <c r="J430" s="6"/>
      <c r="K430" s="6"/>
      <c r="L430" s="13"/>
      <c r="M430" s="14"/>
      <c r="N430" s="14"/>
      <c r="O430" s="14"/>
      <c r="P430" s="14"/>
      <c r="Q430" s="14"/>
      <c r="R430" s="5"/>
      <c r="S430" s="5"/>
      <c r="T430" s="5"/>
      <c r="U430" s="5"/>
      <c r="V430" s="5"/>
    </row>
    <row r="431" spans="1:22" ht="15.75" customHeight="1">
      <c r="A431" s="15"/>
      <c r="B431" s="5"/>
      <c r="C431" s="5"/>
      <c r="D431" s="16"/>
      <c r="E431" s="13"/>
      <c r="F431" s="13"/>
      <c r="G431" s="5"/>
      <c r="H431" s="5"/>
      <c r="I431" s="5"/>
      <c r="J431" s="6"/>
      <c r="K431" s="6"/>
      <c r="L431" s="13"/>
      <c r="M431" s="14"/>
      <c r="N431" s="14"/>
      <c r="O431" s="14"/>
      <c r="P431" s="14"/>
      <c r="Q431" s="14"/>
      <c r="R431" s="5"/>
      <c r="S431" s="5"/>
      <c r="T431" s="5"/>
      <c r="U431" s="5"/>
      <c r="V431" s="5"/>
    </row>
    <row r="432" spans="1:22" ht="15.75" customHeight="1">
      <c r="A432" s="15"/>
      <c r="B432" s="5"/>
      <c r="C432" s="5"/>
      <c r="D432" s="16"/>
      <c r="E432" s="13"/>
      <c r="F432" s="13"/>
      <c r="G432" s="5"/>
      <c r="H432" s="5"/>
      <c r="I432" s="5"/>
      <c r="J432" s="6"/>
      <c r="K432" s="6"/>
      <c r="L432" s="13"/>
      <c r="M432" s="14"/>
      <c r="N432" s="14"/>
      <c r="O432" s="14"/>
      <c r="P432" s="14"/>
      <c r="Q432" s="14"/>
      <c r="R432" s="5"/>
      <c r="S432" s="5"/>
      <c r="T432" s="5"/>
      <c r="U432" s="5"/>
      <c r="V432" s="5"/>
    </row>
    <row r="433" spans="1:22" ht="15.75" customHeight="1">
      <c r="A433" s="15"/>
      <c r="B433" s="5"/>
      <c r="C433" s="5"/>
      <c r="D433" s="16"/>
      <c r="E433" s="13"/>
      <c r="F433" s="13"/>
      <c r="G433" s="5"/>
      <c r="H433" s="5"/>
      <c r="I433" s="5"/>
      <c r="J433" s="6"/>
      <c r="K433" s="6"/>
      <c r="L433" s="13"/>
      <c r="M433" s="14"/>
      <c r="N433" s="14"/>
      <c r="O433" s="14"/>
      <c r="P433" s="14"/>
      <c r="Q433" s="14"/>
      <c r="R433" s="5"/>
      <c r="S433" s="5"/>
      <c r="T433" s="5"/>
      <c r="U433" s="5"/>
      <c r="V433" s="5"/>
    </row>
    <row r="434" spans="1:22" ht="15.75" customHeight="1">
      <c r="A434" s="15"/>
      <c r="B434" s="5"/>
      <c r="C434" s="5"/>
      <c r="D434" s="16"/>
      <c r="E434" s="13"/>
      <c r="F434" s="13"/>
      <c r="G434" s="5"/>
      <c r="H434" s="5"/>
      <c r="I434" s="5"/>
      <c r="J434" s="6"/>
      <c r="K434" s="6"/>
      <c r="L434" s="13"/>
      <c r="M434" s="14"/>
      <c r="N434" s="14"/>
      <c r="O434" s="14"/>
      <c r="P434" s="14"/>
      <c r="Q434" s="14"/>
      <c r="R434" s="5"/>
      <c r="S434" s="5"/>
      <c r="T434" s="5"/>
      <c r="U434" s="5"/>
      <c r="V434" s="5"/>
    </row>
    <row r="435" spans="1:22" ht="15.75" customHeight="1">
      <c r="A435" s="15"/>
      <c r="B435" s="5"/>
      <c r="C435" s="5"/>
      <c r="D435" s="16"/>
      <c r="E435" s="13"/>
      <c r="F435" s="13"/>
      <c r="G435" s="5"/>
      <c r="H435" s="5"/>
      <c r="I435" s="5"/>
      <c r="J435" s="6"/>
      <c r="K435" s="6"/>
      <c r="L435" s="13"/>
      <c r="M435" s="14"/>
      <c r="N435" s="14"/>
      <c r="O435" s="14"/>
      <c r="P435" s="14"/>
      <c r="Q435" s="14"/>
      <c r="R435" s="5"/>
      <c r="S435" s="5"/>
      <c r="T435" s="5"/>
      <c r="U435" s="5"/>
      <c r="V435" s="5"/>
    </row>
    <row r="436" spans="1:22" ht="15.75" customHeight="1">
      <c r="A436" s="15"/>
      <c r="B436" s="5"/>
      <c r="C436" s="5"/>
      <c r="D436" s="16"/>
      <c r="E436" s="13"/>
      <c r="F436" s="13"/>
      <c r="G436" s="5"/>
      <c r="H436" s="5"/>
      <c r="I436" s="5"/>
      <c r="J436" s="6"/>
      <c r="K436" s="6"/>
      <c r="L436" s="13"/>
      <c r="M436" s="14"/>
      <c r="N436" s="14"/>
      <c r="O436" s="14"/>
      <c r="P436" s="14"/>
      <c r="Q436" s="14"/>
      <c r="R436" s="5"/>
      <c r="S436" s="5"/>
      <c r="T436" s="5"/>
      <c r="U436" s="5"/>
      <c r="V436" s="5"/>
    </row>
    <row r="437" spans="1:22" ht="15.75" customHeight="1">
      <c r="A437" s="15"/>
      <c r="B437" s="5"/>
      <c r="C437" s="5"/>
      <c r="D437" s="16"/>
      <c r="E437" s="13"/>
      <c r="F437" s="13"/>
      <c r="G437" s="5"/>
      <c r="H437" s="5"/>
      <c r="I437" s="5"/>
      <c r="J437" s="6"/>
      <c r="K437" s="6"/>
      <c r="L437" s="13"/>
      <c r="M437" s="14"/>
      <c r="N437" s="14"/>
      <c r="O437" s="14"/>
      <c r="P437" s="14"/>
      <c r="Q437" s="14"/>
      <c r="R437" s="5"/>
      <c r="S437" s="5"/>
      <c r="T437" s="5"/>
      <c r="U437" s="5"/>
      <c r="V437" s="5"/>
    </row>
    <row r="438" spans="1:22" ht="15.75" customHeight="1">
      <c r="A438" s="15"/>
      <c r="B438" s="5"/>
      <c r="C438" s="5"/>
      <c r="D438" s="16"/>
      <c r="E438" s="13"/>
      <c r="F438" s="13"/>
      <c r="G438" s="5"/>
      <c r="H438" s="5"/>
      <c r="I438" s="5"/>
      <c r="J438" s="6"/>
      <c r="K438" s="6"/>
      <c r="L438" s="13"/>
      <c r="M438" s="14"/>
      <c r="N438" s="14"/>
      <c r="O438" s="14"/>
      <c r="P438" s="14"/>
      <c r="Q438" s="14"/>
      <c r="R438" s="5"/>
      <c r="S438" s="5"/>
      <c r="T438" s="5"/>
      <c r="U438" s="5"/>
      <c r="V438" s="5"/>
    </row>
    <row r="439" spans="1:22" ht="15.75" customHeight="1">
      <c r="A439" s="15"/>
      <c r="B439" s="5"/>
      <c r="C439" s="5"/>
      <c r="D439" s="16"/>
      <c r="E439" s="13"/>
      <c r="F439" s="13"/>
      <c r="G439" s="5"/>
      <c r="H439" s="5"/>
      <c r="I439" s="5"/>
      <c r="J439" s="6"/>
      <c r="K439" s="6"/>
      <c r="L439" s="13"/>
      <c r="M439" s="14"/>
      <c r="N439" s="14"/>
      <c r="O439" s="14"/>
      <c r="P439" s="14"/>
      <c r="Q439" s="14"/>
      <c r="R439" s="5"/>
      <c r="S439" s="5"/>
      <c r="T439" s="5"/>
      <c r="U439" s="5"/>
      <c r="V439" s="5"/>
    </row>
    <row r="440" spans="1:22" ht="15.75" customHeight="1">
      <c r="A440" s="15"/>
      <c r="B440" s="5"/>
      <c r="C440" s="5"/>
      <c r="D440" s="16"/>
      <c r="E440" s="13"/>
      <c r="F440" s="13"/>
      <c r="G440" s="5"/>
      <c r="H440" s="5"/>
      <c r="I440" s="5"/>
      <c r="J440" s="6"/>
      <c r="K440" s="6"/>
      <c r="L440" s="13"/>
      <c r="M440" s="14"/>
      <c r="N440" s="14"/>
      <c r="O440" s="14"/>
      <c r="P440" s="14"/>
      <c r="Q440" s="14"/>
      <c r="R440" s="5"/>
      <c r="S440" s="5"/>
      <c r="T440" s="5"/>
      <c r="U440" s="5"/>
      <c r="V440" s="5"/>
    </row>
    <row r="441" spans="1:22" ht="15.75" customHeight="1">
      <c r="A441" s="15"/>
      <c r="B441" s="5"/>
      <c r="C441" s="5"/>
      <c r="D441" s="16"/>
      <c r="E441" s="13"/>
      <c r="F441" s="13"/>
      <c r="G441" s="5"/>
      <c r="H441" s="5"/>
      <c r="I441" s="5"/>
      <c r="J441" s="6"/>
      <c r="K441" s="6"/>
      <c r="L441" s="13"/>
      <c r="M441" s="14"/>
      <c r="N441" s="14"/>
      <c r="O441" s="14"/>
      <c r="P441" s="14"/>
      <c r="Q441" s="14"/>
      <c r="R441" s="5"/>
      <c r="S441" s="5"/>
      <c r="T441" s="5"/>
      <c r="U441" s="5"/>
      <c r="V441" s="5"/>
    </row>
    <row r="442" spans="1:22" ht="15.75" customHeight="1">
      <c r="A442" s="15"/>
      <c r="B442" s="5"/>
      <c r="C442" s="5"/>
      <c r="D442" s="16"/>
      <c r="E442" s="13"/>
      <c r="F442" s="13"/>
      <c r="G442" s="5"/>
      <c r="H442" s="5"/>
      <c r="I442" s="5"/>
      <c r="J442" s="6"/>
      <c r="K442" s="6"/>
      <c r="L442" s="13"/>
      <c r="M442" s="14"/>
      <c r="N442" s="14"/>
      <c r="O442" s="14"/>
      <c r="P442" s="14"/>
      <c r="Q442" s="14"/>
      <c r="R442" s="5"/>
      <c r="S442" s="5"/>
      <c r="T442" s="5"/>
      <c r="U442" s="5"/>
      <c r="V442" s="5"/>
    </row>
    <row r="443" spans="1:22" ht="15.75" customHeight="1">
      <c r="A443" s="15"/>
      <c r="B443" s="5"/>
      <c r="C443" s="5"/>
      <c r="D443" s="16"/>
      <c r="E443" s="13"/>
      <c r="F443" s="13"/>
      <c r="G443" s="5"/>
      <c r="H443" s="5"/>
      <c r="I443" s="5"/>
      <c r="J443" s="6"/>
      <c r="K443" s="6"/>
      <c r="L443" s="13"/>
      <c r="M443" s="14"/>
      <c r="N443" s="14"/>
      <c r="O443" s="14"/>
      <c r="P443" s="14"/>
      <c r="Q443" s="14"/>
      <c r="R443" s="5"/>
      <c r="S443" s="5"/>
      <c r="T443" s="5"/>
      <c r="U443" s="5"/>
      <c r="V443" s="5"/>
    </row>
    <row r="444" spans="1:22" ht="15.75" customHeight="1">
      <c r="A444" s="15"/>
      <c r="B444" s="5"/>
      <c r="C444" s="5"/>
      <c r="D444" s="16"/>
      <c r="E444" s="13"/>
      <c r="F444" s="13"/>
      <c r="G444" s="5"/>
      <c r="H444" s="5"/>
      <c r="I444" s="5"/>
      <c r="J444" s="6"/>
      <c r="K444" s="6"/>
      <c r="L444" s="13"/>
      <c r="M444" s="14"/>
      <c r="N444" s="14"/>
      <c r="O444" s="14"/>
      <c r="P444" s="14"/>
      <c r="Q444" s="14"/>
      <c r="R444" s="5"/>
      <c r="S444" s="5"/>
      <c r="T444" s="5"/>
      <c r="U444" s="5"/>
      <c r="V444" s="5"/>
    </row>
    <row r="445" spans="1:22" ht="15.75" customHeight="1">
      <c r="A445" s="15"/>
      <c r="B445" s="5"/>
      <c r="C445" s="5"/>
      <c r="D445" s="16"/>
      <c r="E445" s="13"/>
      <c r="F445" s="13"/>
      <c r="G445" s="5"/>
      <c r="H445" s="5"/>
      <c r="I445" s="5"/>
      <c r="J445" s="6"/>
      <c r="K445" s="6"/>
      <c r="L445" s="13"/>
      <c r="M445" s="14"/>
      <c r="N445" s="14"/>
      <c r="O445" s="14"/>
      <c r="P445" s="14"/>
      <c r="Q445" s="14"/>
      <c r="R445" s="5"/>
      <c r="S445" s="5"/>
      <c r="T445" s="5"/>
      <c r="U445" s="5"/>
      <c r="V445" s="5"/>
    </row>
    <row r="446" spans="1:22" ht="15.75" customHeight="1">
      <c r="A446" s="15"/>
      <c r="B446" s="5"/>
      <c r="C446" s="5"/>
      <c r="D446" s="16"/>
      <c r="E446" s="13"/>
      <c r="F446" s="13"/>
      <c r="G446" s="5"/>
      <c r="H446" s="5"/>
      <c r="I446" s="5"/>
      <c r="J446" s="6"/>
      <c r="K446" s="6"/>
      <c r="L446" s="13"/>
      <c r="M446" s="14"/>
      <c r="N446" s="14"/>
      <c r="O446" s="14"/>
      <c r="P446" s="14"/>
      <c r="Q446" s="14"/>
      <c r="R446" s="5"/>
      <c r="S446" s="5"/>
      <c r="T446" s="5"/>
      <c r="U446" s="5"/>
      <c r="V446" s="5"/>
    </row>
    <row r="447" spans="1:22" ht="15.75" customHeight="1">
      <c r="A447" s="15"/>
      <c r="B447" s="5"/>
      <c r="C447" s="5"/>
      <c r="D447" s="16"/>
      <c r="E447" s="13"/>
      <c r="F447" s="13"/>
      <c r="G447" s="5"/>
      <c r="H447" s="5"/>
      <c r="I447" s="5"/>
      <c r="J447" s="6"/>
      <c r="K447" s="6"/>
      <c r="L447" s="13"/>
      <c r="M447" s="14"/>
      <c r="N447" s="14"/>
      <c r="O447" s="14"/>
      <c r="P447" s="14"/>
      <c r="Q447" s="14"/>
      <c r="R447" s="5"/>
      <c r="S447" s="5"/>
      <c r="T447" s="5"/>
      <c r="U447" s="5"/>
      <c r="V447" s="5"/>
    </row>
    <row r="448" spans="1:22" ht="15.75" customHeight="1">
      <c r="A448" s="15"/>
      <c r="B448" s="5"/>
      <c r="C448" s="5"/>
      <c r="D448" s="16"/>
      <c r="E448" s="13"/>
      <c r="F448" s="13"/>
      <c r="G448" s="5"/>
      <c r="H448" s="5"/>
      <c r="I448" s="5"/>
      <c r="J448" s="6"/>
      <c r="K448" s="6"/>
      <c r="L448" s="13"/>
      <c r="M448" s="14"/>
      <c r="N448" s="14"/>
      <c r="O448" s="14"/>
      <c r="P448" s="14"/>
      <c r="Q448" s="14"/>
      <c r="R448" s="5"/>
      <c r="S448" s="5"/>
      <c r="T448" s="5"/>
      <c r="U448" s="5"/>
      <c r="V448" s="5"/>
    </row>
    <row r="449" spans="1:22" ht="15.75" customHeight="1">
      <c r="A449" s="15"/>
      <c r="B449" s="5"/>
      <c r="C449" s="5"/>
      <c r="D449" s="16"/>
      <c r="E449" s="13"/>
      <c r="F449" s="13"/>
      <c r="G449" s="5"/>
      <c r="H449" s="5"/>
      <c r="I449" s="5"/>
      <c r="J449" s="6"/>
      <c r="K449" s="6"/>
      <c r="L449" s="13"/>
      <c r="M449" s="14"/>
      <c r="N449" s="14"/>
      <c r="O449" s="14"/>
      <c r="P449" s="14"/>
      <c r="Q449" s="14"/>
      <c r="R449" s="5"/>
      <c r="S449" s="5"/>
      <c r="T449" s="5"/>
      <c r="U449" s="5"/>
      <c r="V449" s="5"/>
    </row>
    <row r="450" spans="1:22" ht="15.75" customHeight="1">
      <c r="A450" s="15"/>
      <c r="B450" s="5"/>
      <c r="C450" s="5"/>
      <c r="D450" s="16"/>
      <c r="E450" s="13"/>
      <c r="F450" s="13"/>
      <c r="G450" s="5"/>
      <c r="H450" s="5"/>
      <c r="I450" s="5"/>
      <c r="J450" s="6"/>
      <c r="K450" s="6"/>
      <c r="L450" s="13"/>
      <c r="M450" s="14"/>
      <c r="N450" s="14"/>
      <c r="O450" s="14"/>
      <c r="P450" s="14"/>
      <c r="Q450" s="14"/>
      <c r="R450" s="5"/>
      <c r="S450" s="5"/>
      <c r="T450" s="5"/>
      <c r="U450" s="5"/>
      <c r="V450" s="5"/>
    </row>
    <row r="451" spans="1:22" ht="15.75" customHeight="1">
      <c r="A451" s="15"/>
      <c r="B451" s="5"/>
      <c r="C451" s="5"/>
      <c r="D451" s="16"/>
      <c r="E451" s="13"/>
      <c r="F451" s="13"/>
      <c r="G451" s="5"/>
      <c r="H451" s="5"/>
      <c r="I451" s="5"/>
      <c r="J451" s="6"/>
      <c r="K451" s="6"/>
      <c r="L451" s="13"/>
      <c r="M451" s="14"/>
      <c r="N451" s="14"/>
      <c r="O451" s="14"/>
      <c r="P451" s="14"/>
      <c r="Q451" s="14"/>
      <c r="R451" s="5"/>
      <c r="S451" s="5"/>
      <c r="T451" s="5"/>
      <c r="U451" s="5"/>
      <c r="V451" s="5"/>
    </row>
    <row r="452" spans="1:22" ht="15.75" customHeight="1">
      <c r="A452" s="15"/>
      <c r="B452" s="5"/>
      <c r="C452" s="5"/>
      <c r="D452" s="16"/>
      <c r="E452" s="13"/>
      <c r="F452" s="13"/>
      <c r="G452" s="5"/>
      <c r="H452" s="5"/>
      <c r="I452" s="5"/>
      <c r="J452" s="6"/>
      <c r="K452" s="6"/>
      <c r="L452" s="13"/>
      <c r="M452" s="14"/>
      <c r="N452" s="14"/>
      <c r="O452" s="14"/>
      <c r="P452" s="14"/>
      <c r="Q452" s="14"/>
      <c r="R452" s="5"/>
      <c r="S452" s="5"/>
      <c r="T452" s="5"/>
      <c r="U452" s="5"/>
      <c r="V452" s="5"/>
    </row>
    <row r="453" spans="1:22" ht="15.75" customHeight="1">
      <c r="A453" s="15"/>
      <c r="B453" s="5"/>
      <c r="C453" s="5"/>
      <c r="D453" s="16"/>
      <c r="E453" s="13"/>
      <c r="F453" s="13"/>
      <c r="G453" s="5"/>
      <c r="H453" s="5"/>
      <c r="I453" s="5"/>
      <c r="J453" s="6"/>
      <c r="K453" s="6"/>
      <c r="L453" s="13"/>
      <c r="M453" s="14"/>
      <c r="N453" s="14"/>
      <c r="O453" s="14"/>
      <c r="P453" s="14"/>
      <c r="Q453" s="14"/>
      <c r="R453" s="5"/>
      <c r="S453" s="5"/>
      <c r="T453" s="5"/>
      <c r="U453" s="5"/>
      <c r="V453" s="5"/>
    </row>
    <row r="454" spans="1:22" ht="15.75" customHeight="1">
      <c r="A454" s="15"/>
      <c r="B454" s="5"/>
      <c r="C454" s="5"/>
      <c r="D454" s="16"/>
      <c r="E454" s="13"/>
      <c r="F454" s="13"/>
      <c r="G454" s="5"/>
      <c r="H454" s="5"/>
      <c r="I454" s="5"/>
      <c r="J454" s="6"/>
      <c r="K454" s="6"/>
      <c r="L454" s="13"/>
      <c r="M454" s="14"/>
      <c r="N454" s="14"/>
      <c r="O454" s="14"/>
      <c r="P454" s="14"/>
      <c r="Q454" s="14"/>
      <c r="R454" s="5"/>
      <c r="S454" s="5"/>
      <c r="T454" s="5"/>
      <c r="U454" s="5"/>
      <c r="V454" s="5"/>
    </row>
    <row r="455" spans="1:22" ht="15.75" customHeight="1">
      <c r="A455" s="15"/>
      <c r="B455" s="5"/>
      <c r="C455" s="5"/>
      <c r="D455" s="16"/>
      <c r="E455" s="13"/>
      <c r="F455" s="13"/>
      <c r="G455" s="5"/>
      <c r="H455" s="5"/>
      <c r="I455" s="5"/>
      <c r="J455" s="6"/>
      <c r="K455" s="6"/>
      <c r="L455" s="13"/>
      <c r="M455" s="14"/>
      <c r="N455" s="14"/>
      <c r="O455" s="14"/>
      <c r="P455" s="14"/>
      <c r="Q455" s="14"/>
      <c r="R455" s="5"/>
      <c r="S455" s="5"/>
      <c r="T455" s="5"/>
      <c r="U455" s="5"/>
      <c r="V455" s="5"/>
    </row>
    <row r="456" spans="1:22" ht="15.75" customHeight="1">
      <c r="A456" s="15"/>
      <c r="B456" s="5"/>
      <c r="C456" s="5"/>
      <c r="D456" s="16"/>
      <c r="E456" s="13"/>
      <c r="F456" s="13"/>
      <c r="G456" s="5"/>
      <c r="H456" s="5"/>
      <c r="I456" s="5"/>
      <c r="J456" s="6"/>
      <c r="K456" s="6"/>
      <c r="L456" s="13"/>
      <c r="M456" s="14"/>
      <c r="N456" s="14"/>
      <c r="O456" s="14"/>
      <c r="P456" s="14"/>
      <c r="Q456" s="14"/>
      <c r="R456" s="5"/>
      <c r="S456" s="5"/>
      <c r="T456" s="5"/>
      <c r="U456" s="5"/>
      <c r="V456" s="5"/>
    </row>
    <row r="457" spans="1:22" ht="15.75" customHeight="1">
      <c r="A457" s="15"/>
      <c r="B457" s="5"/>
      <c r="C457" s="5"/>
      <c r="D457" s="16"/>
      <c r="E457" s="13"/>
      <c r="F457" s="13"/>
      <c r="G457" s="5"/>
      <c r="H457" s="5"/>
      <c r="I457" s="5"/>
      <c r="J457" s="6"/>
      <c r="K457" s="6"/>
      <c r="L457" s="13"/>
      <c r="M457" s="14"/>
      <c r="N457" s="14"/>
      <c r="O457" s="14"/>
      <c r="P457" s="14"/>
      <c r="Q457" s="14"/>
      <c r="R457" s="5"/>
      <c r="S457" s="5"/>
      <c r="T457" s="5"/>
      <c r="U457" s="5"/>
      <c r="V457" s="5"/>
    </row>
    <row r="458" spans="1:22" ht="15.75" customHeight="1">
      <c r="A458" s="15"/>
      <c r="B458" s="5"/>
      <c r="C458" s="5"/>
      <c r="D458" s="16"/>
      <c r="E458" s="13"/>
      <c r="F458" s="13"/>
      <c r="G458" s="5"/>
      <c r="H458" s="5"/>
      <c r="I458" s="5"/>
      <c r="J458" s="6"/>
      <c r="K458" s="6"/>
      <c r="L458" s="13"/>
      <c r="M458" s="14"/>
      <c r="N458" s="14"/>
      <c r="O458" s="14"/>
      <c r="P458" s="14"/>
      <c r="Q458" s="14"/>
      <c r="R458" s="5"/>
      <c r="S458" s="5"/>
      <c r="T458" s="5"/>
      <c r="U458" s="5"/>
      <c r="V458" s="5"/>
    </row>
    <row r="459" spans="1:22" ht="15.75" customHeight="1">
      <c r="A459" s="15"/>
      <c r="B459" s="5"/>
      <c r="C459" s="5"/>
      <c r="D459" s="16"/>
      <c r="E459" s="13"/>
      <c r="F459" s="13"/>
      <c r="G459" s="5"/>
      <c r="H459" s="5"/>
      <c r="I459" s="5"/>
      <c r="J459" s="6"/>
      <c r="K459" s="6"/>
      <c r="L459" s="13"/>
      <c r="M459" s="14"/>
      <c r="N459" s="14"/>
      <c r="O459" s="14"/>
      <c r="P459" s="14"/>
      <c r="Q459" s="14"/>
      <c r="R459" s="5"/>
      <c r="S459" s="5"/>
      <c r="T459" s="5"/>
      <c r="U459" s="5"/>
      <c r="V459" s="5"/>
    </row>
    <row r="460" spans="1:22" ht="15.75" customHeight="1">
      <c r="A460" s="15"/>
      <c r="B460" s="5"/>
      <c r="C460" s="5"/>
      <c r="D460" s="16"/>
      <c r="E460" s="13"/>
      <c r="F460" s="13"/>
      <c r="G460" s="5"/>
      <c r="H460" s="5"/>
      <c r="I460" s="5"/>
      <c r="J460" s="6"/>
      <c r="K460" s="6"/>
      <c r="L460" s="13"/>
      <c r="M460" s="14"/>
      <c r="N460" s="14"/>
      <c r="O460" s="14"/>
      <c r="P460" s="14"/>
      <c r="Q460" s="14"/>
      <c r="R460" s="5"/>
      <c r="S460" s="5"/>
      <c r="T460" s="5"/>
      <c r="U460" s="5"/>
      <c r="V460" s="5"/>
    </row>
    <row r="461" spans="1:22" ht="15.75" customHeight="1">
      <c r="A461" s="15"/>
      <c r="B461" s="5"/>
      <c r="C461" s="5"/>
      <c r="D461" s="16"/>
      <c r="E461" s="13"/>
      <c r="F461" s="13"/>
      <c r="G461" s="5"/>
      <c r="H461" s="5"/>
      <c r="I461" s="5"/>
      <c r="J461" s="6"/>
      <c r="K461" s="6"/>
      <c r="L461" s="13"/>
      <c r="M461" s="14"/>
      <c r="N461" s="14"/>
      <c r="O461" s="14"/>
      <c r="P461" s="14"/>
      <c r="Q461" s="14"/>
      <c r="R461" s="5"/>
      <c r="S461" s="5"/>
      <c r="T461" s="5"/>
      <c r="U461" s="5"/>
      <c r="V461" s="5"/>
    </row>
    <row r="462" spans="1:22" ht="15.75" customHeight="1">
      <c r="A462" s="15"/>
      <c r="B462" s="5"/>
      <c r="C462" s="5"/>
      <c r="D462" s="16"/>
      <c r="E462" s="13"/>
      <c r="F462" s="13"/>
      <c r="G462" s="5"/>
      <c r="H462" s="5"/>
      <c r="I462" s="5"/>
      <c r="J462" s="6"/>
      <c r="K462" s="6"/>
      <c r="L462" s="13"/>
      <c r="M462" s="14"/>
      <c r="N462" s="14"/>
      <c r="O462" s="14"/>
      <c r="P462" s="14"/>
      <c r="Q462" s="14"/>
      <c r="R462" s="5"/>
      <c r="S462" s="5"/>
      <c r="T462" s="5"/>
      <c r="U462" s="5"/>
      <c r="V462" s="5"/>
    </row>
    <row r="463" spans="1:22" ht="15.75" customHeight="1">
      <c r="A463" s="15"/>
      <c r="B463" s="5"/>
      <c r="C463" s="5"/>
      <c r="D463" s="16"/>
      <c r="E463" s="13"/>
      <c r="F463" s="13"/>
      <c r="G463" s="5"/>
      <c r="H463" s="5"/>
      <c r="I463" s="5"/>
      <c r="J463" s="6"/>
      <c r="K463" s="6"/>
      <c r="L463" s="13"/>
      <c r="M463" s="14"/>
      <c r="N463" s="14"/>
      <c r="O463" s="14"/>
      <c r="P463" s="14"/>
      <c r="Q463" s="14"/>
      <c r="R463" s="5"/>
      <c r="S463" s="5"/>
      <c r="T463" s="5"/>
      <c r="U463" s="5"/>
      <c r="V463" s="5"/>
    </row>
    <row r="464" spans="1:22" ht="15.75" customHeight="1">
      <c r="A464" s="15"/>
      <c r="B464" s="5"/>
      <c r="C464" s="5"/>
      <c r="D464" s="16"/>
      <c r="E464" s="13"/>
      <c r="F464" s="13"/>
      <c r="G464" s="5"/>
      <c r="H464" s="5"/>
      <c r="I464" s="5"/>
      <c r="J464" s="6"/>
      <c r="K464" s="6"/>
      <c r="L464" s="13"/>
      <c r="M464" s="14"/>
      <c r="N464" s="14"/>
      <c r="O464" s="14"/>
      <c r="P464" s="14"/>
      <c r="Q464" s="14"/>
      <c r="R464" s="5"/>
      <c r="S464" s="5"/>
      <c r="T464" s="5"/>
      <c r="U464" s="5"/>
      <c r="V464" s="5"/>
    </row>
    <row r="465" spans="1:22" ht="15.75" customHeight="1">
      <c r="A465" s="15"/>
      <c r="B465" s="5"/>
      <c r="C465" s="5"/>
      <c r="D465" s="16"/>
      <c r="E465" s="13"/>
      <c r="F465" s="13"/>
      <c r="G465" s="5"/>
      <c r="H465" s="5"/>
      <c r="I465" s="5"/>
      <c r="J465" s="6"/>
      <c r="K465" s="6"/>
      <c r="L465" s="13"/>
      <c r="M465" s="14"/>
      <c r="N465" s="14"/>
      <c r="O465" s="14"/>
      <c r="P465" s="14"/>
      <c r="Q465" s="14"/>
      <c r="R465" s="5"/>
      <c r="S465" s="5"/>
      <c r="T465" s="5"/>
      <c r="U465" s="5"/>
      <c r="V465" s="5"/>
    </row>
    <row r="466" spans="1:22" ht="15.75" customHeight="1">
      <c r="A466" s="15"/>
      <c r="B466" s="5"/>
      <c r="C466" s="5"/>
      <c r="D466" s="16"/>
      <c r="E466" s="13"/>
      <c r="F466" s="13"/>
      <c r="G466" s="5"/>
      <c r="H466" s="5"/>
      <c r="I466" s="5"/>
      <c r="J466" s="6"/>
      <c r="K466" s="6"/>
      <c r="L466" s="13"/>
      <c r="M466" s="14"/>
      <c r="N466" s="14"/>
      <c r="O466" s="14"/>
      <c r="P466" s="14"/>
      <c r="Q466" s="14"/>
      <c r="R466" s="5"/>
      <c r="S466" s="5"/>
      <c r="T466" s="5"/>
      <c r="U466" s="5"/>
      <c r="V466" s="5"/>
    </row>
    <row r="467" spans="1:22" ht="15.75" customHeight="1">
      <c r="A467" s="15"/>
      <c r="B467" s="5"/>
      <c r="C467" s="5"/>
      <c r="D467" s="16"/>
      <c r="E467" s="13"/>
      <c r="F467" s="13"/>
      <c r="G467" s="5"/>
      <c r="H467" s="5"/>
      <c r="I467" s="5"/>
      <c r="J467" s="6"/>
      <c r="K467" s="6"/>
      <c r="L467" s="13"/>
      <c r="M467" s="14"/>
      <c r="N467" s="14"/>
      <c r="O467" s="14"/>
      <c r="P467" s="14"/>
      <c r="Q467" s="14"/>
      <c r="R467" s="5"/>
      <c r="S467" s="5"/>
      <c r="T467" s="5"/>
      <c r="U467" s="5"/>
      <c r="V467" s="5"/>
    </row>
    <row r="468" spans="1:22" ht="15.75" customHeight="1">
      <c r="A468" s="15"/>
      <c r="B468" s="5"/>
      <c r="C468" s="5"/>
      <c r="D468" s="16"/>
      <c r="E468" s="13"/>
      <c r="F468" s="13"/>
      <c r="G468" s="5"/>
      <c r="H468" s="5"/>
      <c r="I468" s="5"/>
      <c r="J468" s="6"/>
      <c r="K468" s="6"/>
      <c r="L468" s="13"/>
      <c r="M468" s="14"/>
      <c r="N468" s="14"/>
      <c r="O468" s="14"/>
      <c r="P468" s="14"/>
      <c r="Q468" s="14"/>
      <c r="R468" s="5"/>
      <c r="S468" s="5"/>
      <c r="T468" s="5"/>
      <c r="U468" s="5"/>
      <c r="V468" s="5"/>
    </row>
    <row r="469" spans="1:22" ht="15.75" customHeight="1">
      <c r="A469" s="15"/>
      <c r="B469" s="5"/>
      <c r="C469" s="5"/>
      <c r="D469" s="16"/>
      <c r="E469" s="13"/>
      <c r="F469" s="13"/>
      <c r="G469" s="5"/>
      <c r="H469" s="5"/>
      <c r="I469" s="5"/>
      <c r="J469" s="6"/>
      <c r="K469" s="6"/>
      <c r="L469" s="13"/>
      <c r="M469" s="14"/>
      <c r="N469" s="14"/>
      <c r="O469" s="14"/>
      <c r="P469" s="14"/>
      <c r="Q469" s="14"/>
      <c r="R469" s="5"/>
      <c r="S469" s="5"/>
      <c r="T469" s="5"/>
      <c r="U469" s="5"/>
      <c r="V469" s="5"/>
    </row>
    <row r="470" spans="1:22" ht="15.75" customHeight="1">
      <c r="A470" s="15"/>
      <c r="B470" s="5"/>
      <c r="C470" s="5"/>
      <c r="D470" s="16"/>
      <c r="E470" s="13"/>
      <c r="F470" s="13"/>
      <c r="G470" s="5"/>
      <c r="H470" s="5"/>
      <c r="I470" s="5"/>
      <c r="J470" s="6"/>
      <c r="K470" s="6"/>
      <c r="L470" s="13"/>
      <c r="M470" s="14"/>
      <c r="N470" s="14"/>
      <c r="O470" s="14"/>
      <c r="P470" s="14"/>
      <c r="Q470" s="14"/>
      <c r="R470" s="5"/>
      <c r="S470" s="5"/>
      <c r="T470" s="5"/>
      <c r="U470" s="5"/>
      <c r="V470" s="5"/>
    </row>
    <row r="471" spans="1:22" ht="15.75" customHeight="1">
      <c r="A471" s="15"/>
      <c r="B471" s="5"/>
      <c r="C471" s="5"/>
      <c r="D471" s="16"/>
      <c r="E471" s="13"/>
      <c r="F471" s="13"/>
      <c r="G471" s="5"/>
      <c r="H471" s="5"/>
      <c r="I471" s="5"/>
      <c r="J471" s="6"/>
      <c r="K471" s="6"/>
      <c r="L471" s="13"/>
      <c r="M471" s="14"/>
      <c r="N471" s="14"/>
      <c r="O471" s="14"/>
      <c r="P471" s="14"/>
      <c r="Q471" s="14"/>
      <c r="R471" s="5"/>
      <c r="S471" s="5"/>
      <c r="T471" s="5"/>
      <c r="U471" s="5"/>
      <c r="V471" s="5"/>
    </row>
    <row r="472" spans="1:22" ht="15.75" customHeight="1">
      <c r="A472" s="15"/>
      <c r="B472" s="5"/>
      <c r="C472" s="5"/>
      <c r="D472" s="16"/>
      <c r="E472" s="13"/>
      <c r="F472" s="13"/>
      <c r="G472" s="5"/>
      <c r="H472" s="5"/>
      <c r="I472" s="5"/>
      <c r="J472" s="6"/>
      <c r="K472" s="6"/>
      <c r="L472" s="13"/>
      <c r="M472" s="14"/>
      <c r="N472" s="14"/>
      <c r="O472" s="14"/>
      <c r="P472" s="14"/>
      <c r="Q472" s="14"/>
      <c r="R472" s="5"/>
      <c r="S472" s="5"/>
      <c r="T472" s="5"/>
      <c r="U472" s="5"/>
      <c r="V472" s="5"/>
    </row>
    <row r="473" spans="1:22" ht="15.75" customHeight="1">
      <c r="A473" s="15"/>
      <c r="B473" s="5"/>
      <c r="C473" s="5"/>
      <c r="D473" s="16"/>
      <c r="E473" s="13"/>
      <c r="F473" s="13"/>
      <c r="G473" s="5"/>
      <c r="H473" s="5"/>
      <c r="I473" s="5"/>
      <c r="J473" s="6"/>
      <c r="K473" s="6"/>
      <c r="L473" s="13"/>
      <c r="M473" s="14"/>
      <c r="N473" s="14"/>
      <c r="O473" s="14"/>
      <c r="P473" s="14"/>
      <c r="Q473" s="14"/>
      <c r="R473" s="5"/>
      <c r="S473" s="5"/>
      <c r="T473" s="5"/>
      <c r="U473" s="5"/>
      <c r="V473" s="5"/>
    </row>
    <row r="474" spans="1:22" ht="15.75" customHeight="1">
      <c r="A474" s="15"/>
      <c r="B474" s="5"/>
      <c r="C474" s="5"/>
      <c r="D474" s="16"/>
      <c r="E474" s="13"/>
      <c r="F474" s="13"/>
      <c r="G474" s="5"/>
      <c r="H474" s="5"/>
      <c r="I474" s="5"/>
      <c r="J474" s="6"/>
      <c r="K474" s="6"/>
      <c r="L474" s="13"/>
      <c r="M474" s="14"/>
      <c r="N474" s="14"/>
      <c r="O474" s="14"/>
      <c r="P474" s="14"/>
      <c r="Q474" s="14"/>
      <c r="R474" s="5"/>
      <c r="S474" s="5"/>
      <c r="T474" s="5"/>
      <c r="U474" s="5"/>
      <c r="V474" s="5"/>
    </row>
    <row r="475" spans="1:22" ht="15.75" customHeight="1">
      <c r="A475" s="15"/>
      <c r="B475" s="5"/>
      <c r="C475" s="5"/>
      <c r="D475" s="16"/>
      <c r="E475" s="13"/>
      <c r="F475" s="13"/>
      <c r="G475" s="5"/>
      <c r="H475" s="5"/>
      <c r="I475" s="5"/>
      <c r="J475" s="6"/>
      <c r="K475" s="6"/>
      <c r="L475" s="13"/>
      <c r="M475" s="14"/>
      <c r="N475" s="14"/>
      <c r="O475" s="14"/>
      <c r="P475" s="14"/>
      <c r="Q475" s="14"/>
      <c r="R475" s="5"/>
      <c r="S475" s="5"/>
      <c r="T475" s="5"/>
      <c r="U475" s="5"/>
      <c r="V475" s="5"/>
    </row>
    <row r="476" spans="1:22" ht="15.75" customHeight="1">
      <c r="A476" s="15"/>
      <c r="B476" s="5"/>
      <c r="C476" s="5"/>
      <c r="D476" s="16"/>
      <c r="E476" s="13"/>
      <c r="F476" s="13"/>
      <c r="G476" s="5"/>
      <c r="H476" s="5"/>
      <c r="I476" s="5"/>
      <c r="J476" s="6"/>
      <c r="K476" s="6"/>
      <c r="L476" s="13"/>
      <c r="M476" s="14"/>
      <c r="N476" s="14"/>
      <c r="O476" s="14"/>
      <c r="P476" s="14"/>
      <c r="Q476" s="14"/>
      <c r="R476" s="5"/>
      <c r="S476" s="5"/>
      <c r="T476" s="5"/>
      <c r="U476" s="5"/>
      <c r="V476" s="5"/>
    </row>
    <row r="477" spans="1:22" ht="15.75" customHeight="1">
      <c r="A477" s="15"/>
      <c r="B477" s="5"/>
      <c r="C477" s="5"/>
      <c r="D477" s="16"/>
      <c r="E477" s="13"/>
      <c r="F477" s="13"/>
      <c r="G477" s="5"/>
      <c r="H477" s="5"/>
      <c r="I477" s="5"/>
      <c r="J477" s="6"/>
      <c r="K477" s="6"/>
      <c r="L477" s="13"/>
      <c r="M477" s="14"/>
      <c r="N477" s="14"/>
      <c r="O477" s="14"/>
      <c r="P477" s="14"/>
      <c r="Q477" s="14"/>
      <c r="R477" s="5"/>
      <c r="S477" s="5"/>
      <c r="T477" s="5"/>
      <c r="U477" s="5"/>
      <c r="V477" s="5"/>
    </row>
    <row r="478" spans="1:22" ht="15.75" customHeight="1">
      <c r="A478" s="15"/>
      <c r="B478" s="5"/>
      <c r="C478" s="5"/>
      <c r="D478" s="16"/>
      <c r="E478" s="13"/>
      <c r="F478" s="13"/>
      <c r="G478" s="5"/>
      <c r="H478" s="5"/>
      <c r="I478" s="5"/>
      <c r="J478" s="6"/>
      <c r="K478" s="6"/>
      <c r="L478" s="13"/>
      <c r="M478" s="14"/>
      <c r="N478" s="14"/>
      <c r="O478" s="14"/>
      <c r="P478" s="14"/>
      <c r="Q478" s="14"/>
      <c r="R478" s="5"/>
      <c r="S478" s="5"/>
      <c r="T478" s="5"/>
      <c r="U478" s="5"/>
      <c r="V478" s="5"/>
    </row>
    <row r="479" spans="1:22" ht="15.75" customHeight="1">
      <c r="A479" s="15"/>
      <c r="B479" s="5"/>
      <c r="C479" s="5"/>
      <c r="D479" s="16"/>
      <c r="E479" s="13"/>
      <c r="F479" s="13"/>
      <c r="G479" s="5"/>
      <c r="H479" s="5"/>
      <c r="I479" s="5"/>
      <c r="J479" s="6"/>
      <c r="K479" s="6"/>
      <c r="L479" s="13"/>
      <c r="M479" s="14"/>
      <c r="N479" s="14"/>
      <c r="O479" s="14"/>
      <c r="P479" s="14"/>
      <c r="Q479" s="14"/>
      <c r="R479" s="5"/>
      <c r="S479" s="5"/>
      <c r="T479" s="5"/>
      <c r="U479" s="5"/>
      <c r="V479" s="5"/>
    </row>
    <row r="480" spans="1:22" ht="15.75" customHeight="1">
      <c r="A480" s="15"/>
      <c r="B480" s="5"/>
      <c r="C480" s="5"/>
      <c r="D480" s="16"/>
      <c r="E480" s="13"/>
      <c r="F480" s="13"/>
      <c r="G480" s="5"/>
      <c r="H480" s="5"/>
      <c r="I480" s="5"/>
      <c r="J480" s="6"/>
      <c r="K480" s="6"/>
      <c r="L480" s="13"/>
      <c r="M480" s="14"/>
      <c r="N480" s="14"/>
      <c r="O480" s="14"/>
      <c r="P480" s="14"/>
      <c r="Q480" s="14"/>
      <c r="R480" s="5"/>
      <c r="S480" s="5"/>
      <c r="T480" s="5"/>
      <c r="U480" s="5"/>
      <c r="V480" s="5"/>
    </row>
    <row r="481" spans="1:22" ht="15.75" customHeight="1">
      <c r="A481" s="15"/>
      <c r="B481" s="5"/>
      <c r="C481" s="5"/>
      <c r="D481" s="16"/>
      <c r="E481" s="13"/>
      <c r="F481" s="13"/>
      <c r="G481" s="5"/>
      <c r="H481" s="5"/>
      <c r="I481" s="5"/>
      <c r="J481" s="6"/>
      <c r="K481" s="6"/>
      <c r="L481" s="13"/>
      <c r="M481" s="14"/>
      <c r="N481" s="14"/>
      <c r="O481" s="14"/>
      <c r="P481" s="14"/>
      <c r="Q481" s="14"/>
      <c r="R481" s="5"/>
      <c r="S481" s="5"/>
      <c r="T481" s="5"/>
      <c r="U481" s="5"/>
      <c r="V481" s="5"/>
    </row>
    <row r="482" spans="1:22" ht="15.75" customHeight="1">
      <c r="A482" s="15"/>
      <c r="B482" s="5"/>
      <c r="C482" s="5"/>
      <c r="D482" s="16"/>
      <c r="E482" s="13"/>
      <c r="F482" s="13"/>
      <c r="G482" s="5"/>
      <c r="H482" s="5"/>
      <c r="I482" s="5"/>
      <c r="J482" s="6"/>
      <c r="K482" s="6"/>
      <c r="L482" s="13"/>
      <c r="M482" s="14"/>
      <c r="N482" s="14"/>
      <c r="O482" s="14"/>
      <c r="P482" s="14"/>
      <c r="Q482" s="14"/>
      <c r="R482" s="5"/>
      <c r="S482" s="5"/>
      <c r="T482" s="5"/>
      <c r="U482" s="5"/>
      <c r="V482" s="5"/>
    </row>
    <row r="483" spans="1:22" ht="15.75" customHeight="1">
      <c r="A483" s="15"/>
      <c r="B483" s="5"/>
      <c r="C483" s="5"/>
      <c r="D483" s="16"/>
      <c r="E483" s="13"/>
      <c r="F483" s="13"/>
      <c r="G483" s="5"/>
      <c r="H483" s="5"/>
      <c r="I483" s="5"/>
      <c r="J483" s="6"/>
      <c r="K483" s="6"/>
      <c r="L483" s="13"/>
      <c r="M483" s="14"/>
      <c r="N483" s="14"/>
      <c r="O483" s="14"/>
      <c r="P483" s="14"/>
      <c r="Q483" s="14"/>
      <c r="R483" s="5"/>
      <c r="S483" s="5"/>
      <c r="T483" s="5"/>
      <c r="U483" s="5"/>
      <c r="V483" s="5"/>
    </row>
    <row r="484" spans="1:22" ht="15.75" customHeight="1">
      <c r="A484" s="15"/>
      <c r="B484" s="5"/>
      <c r="C484" s="5"/>
      <c r="D484" s="16"/>
      <c r="E484" s="13"/>
      <c r="F484" s="13"/>
      <c r="G484" s="5"/>
      <c r="H484" s="5"/>
      <c r="I484" s="5"/>
      <c r="J484" s="6"/>
      <c r="K484" s="6"/>
      <c r="L484" s="13"/>
      <c r="M484" s="14"/>
      <c r="N484" s="14"/>
      <c r="O484" s="14"/>
      <c r="P484" s="14"/>
      <c r="Q484" s="14"/>
      <c r="R484" s="5"/>
      <c r="S484" s="5"/>
      <c r="T484" s="5"/>
      <c r="U484" s="5"/>
      <c r="V484" s="5"/>
    </row>
    <row r="485" spans="1:22" ht="15.75" customHeight="1">
      <c r="A485" s="15"/>
      <c r="B485" s="5"/>
      <c r="C485" s="5"/>
      <c r="D485" s="16"/>
      <c r="E485" s="13"/>
      <c r="F485" s="13"/>
      <c r="G485" s="5"/>
      <c r="H485" s="5"/>
      <c r="I485" s="5"/>
      <c r="J485" s="6"/>
      <c r="K485" s="6"/>
      <c r="L485" s="13"/>
      <c r="M485" s="14"/>
      <c r="N485" s="14"/>
      <c r="O485" s="14"/>
      <c r="P485" s="14"/>
      <c r="Q485" s="14"/>
      <c r="R485" s="5"/>
      <c r="S485" s="5"/>
      <c r="T485" s="5"/>
      <c r="U485" s="5"/>
      <c r="V485" s="5"/>
    </row>
    <row r="486" spans="1:22" ht="15.75" customHeight="1">
      <c r="A486" s="15"/>
      <c r="B486" s="5"/>
      <c r="C486" s="5"/>
      <c r="D486" s="16"/>
      <c r="E486" s="13"/>
      <c r="F486" s="13"/>
      <c r="G486" s="5"/>
      <c r="H486" s="5"/>
      <c r="I486" s="5"/>
      <c r="J486" s="6"/>
      <c r="K486" s="6"/>
      <c r="L486" s="13"/>
      <c r="M486" s="14"/>
      <c r="N486" s="14"/>
      <c r="O486" s="14"/>
      <c r="P486" s="14"/>
      <c r="Q486" s="14"/>
      <c r="R486" s="5"/>
      <c r="S486" s="5"/>
      <c r="T486" s="5"/>
      <c r="U486" s="5"/>
      <c r="V486" s="5"/>
    </row>
    <row r="487" spans="1:22" ht="15.75" customHeight="1">
      <c r="A487" s="15"/>
      <c r="B487" s="5"/>
      <c r="C487" s="5"/>
      <c r="D487" s="16"/>
      <c r="E487" s="13"/>
      <c r="F487" s="13"/>
      <c r="G487" s="5"/>
      <c r="H487" s="5"/>
      <c r="I487" s="5"/>
      <c r="J487" s="6"/>
      <c r="K487" s="6"/>
      <c r="L487" s="13"/>
      <c r="M487" s="14"/>
      <c r="N487" s="14"/>
      <c r="O487" s="14"/>
      <c r="P487" s="14"/>
      <c r="Q487" s="14"/>
      <c r="R487" s="5"/>
      <c r="S487" s="5"/>
      <c r="T487" s="5"/>
      <c r="U487" s="5"/>
      <c r="V487" s="5"/>
    </row>
    <row r="488" spans="1:22" ht="15.75" customHeight="1">
      <c r="A488" s="15"/>
      <c r="B488" s="5"/>
      <c r="C488" s="5"/>
      <c r="D488" s="16"/>
      <c r="E488" s="13"/>
      <c r="F488" s="13"/>
      <c r="G488" s="5"/>
      <c r="H488" s="5"/>
      <c r="I488" s="5"/>
      <c r="J488" s="6"/>
      <c r="K488" s="6"/>
      <c r="L488" s="13"/>
      <c r="M488" s="14"/>
      <c r="N488" s="14"/>
      <c r="O488" s="14"/>
      <c r="P488" s="14"/>
      <c r="Q488" s="14"/>
      <c r="R488" s="5"/>
      <c r="S488" s="5"/>
      <c r="T488" s="5"/>
      <c r="U488" s="5"/>
      <c r="V488" s="5"/>
    </row>
    <row r="489" spans="1:22" ht="15.75" customHeight="1">
      <c r="A489" s="15"/>
      <c r="B489" s="5"/>
      <c r="C489" s="5"/>
      <c r="D489" s="16"/>
      <c r="E489" s="13"/>
      <c r="F489" s="13"/>
      <c r="G489" s="5"/>
      <c r="H489" s="5"/>
      <c r="I489" s="5"/>
      <c r="J489" s="6"/>
      <c r="K489" s="6"/>
      <c r="L489" s="13"/>
      <c r="M489" s="14"/>
      <c r="N489" s="14"/>
      <c r="O489" s="14"/>
      <c r="P489" s="14"/>
      <c r="Q489" s="14"/>
      <c r="R489" s="5"/>
      <c r="S489" s="5"/>
      <c r="T489" s="5"/>
      <c r="U489" s="5"/>
      <c r="V489" s="5"/>
    </row>
    <row r="490" spans="1:22" ht="15.75" customHeight="1">
      <c r="A490" s="15"/>
      <c r="B490" s="5"/>
      <c r="C490" s="5"/>
      <c r="D490" s="16"/>
      <c r="E490" s="13"/>
      <c r="F490" s="13"/>
      <c r="G490" s="5"/>
      <c r="H490" s="5"/>
      <c r="I490" s="5"/>
      <c r="J490" s="6"/>
      <c r="K490" s="6"/>
      <c r="L490" s="13"/>
      <c r="M490" s="14"/>
      <c r="N490" s="14"/>
      <c r="O490" s="14"/>
      <c r="P490" s="14"/>
      <c r="Q490" s="14"/>
      <c r="R490" s="5"/>
      <c r="S490" s="5"/>
      <c r="T490" s="5"/>
      <c r="U490" s="5"/>
      <c r="V490" s="5"/>
    </row>
    <row r="491" spans="1:22" ht="15.75" customHeight="1">
      <c r="A491" s="15"/>
      <c r="B491" s="5"/>
      <c r="C491" s="5"/>
      <c r="D491" s="16"/>
      <c r="E491" s="13"/>
      <c r="F491" s="13"/>
      <c r="G491" s="5"/>
      <c r="H491" s="5"/>
      <c r="I491" s="5"/>
      <c r="J491" s="6"/>
      <c r="K491" s="6"/>
      <c r="L491" s="13"/>
      <c r="M491" s="14"/>
      <c r="N491" s="14"/>
      <c r="O491" s="14"/>
      <c r="P491" s="14"/>
      <c r="Q491" s="14"/>
      <c r="R491" s="5"/>
      <c r="S491" s="5"/>
      <c r="T491" s="5"/>
      <c r="U491" s="5"/>
      <c r="V491" s="5"/>
    </row>
    <row r="492" spans="1:22" ht="15.75" customHeight="1">
      <c r="A492" s="15"/>
      <c r="B492" s="5"/>
      <c r="C492" s="5"/>
      <c r="D492" s="16"/>
      <c r="E492" s="13"/>
      <c r="F492" s="13"/>
      <c r="G492" s="5"/>
      <c r="H492" s="5"/>
      <c r="I492" s="5"/>
      <c r="J492" s="6"/>
      <c r="K492" s="6"/>
      <c r="L492" s="13"/>
      <c r="M492" s="14"/>
      <c r="N492" s="14"/>
      <c r="O492" s="14"/>
      <c r="P492" s="14"/>
      <c r="Q492" s="14"/>
      <c r="R492" s="5"/>
      <c r="S492" s="5"/>
      <c r="T492" s="5"/>
      <c r="U492" s="5"/>
      <c r="V492" s="5"/>
    </row>
    <row r="493" spans="1:22" ht="15.75" customHeight="1">
      <c r="A493" s="15"/>
      <c r="B493" s="5"/>
      <c r="C493" s="5"/>
      <c r="D493" s="16"/>
      <c r="E493" s="13"/>
      <c r="F493" s="13"/>
      <c r="G493" s="5"/>
      <c r="H493" s="5"/>
      <c r="I493" s="5"/>
      <c r="J493" s="6"/>
      <c r="K493" s="6"/>
      <c r="L493" s="13"/>
      <c r="M493" s="14"/>
      <c r="N493" s="14"/>
      <c r="O493" s="14"/>
      <c r="P493" s="14"/>
      <c r="Q493" s="14"/>
      <c r="R493" s="5"/>
      <c r="S493" s="5"/>
      <c r="T493" s="5"/>
      <c r="U493" s="5"/>
      <c r="V493" s="5"/>
    </row>
    <row r="494" spans="1:22" ht="15.75" customHeight="1">
      <c r="A494" s="15"/>
      <c r="B494" s="5"/>
      <c r="C494" s="5"/>
      <c r="D494" s="16"/>
      <c r="E494" s="13"/>
      <c r="F494" s="13"/>
      <c r="G494" s="5"/>
      <c r="H494" s="5"/>
      <c r="I494" s="5"/>
      <c r="J494" s="6"/>
      <c r="K494" s="6"/>
      <c r="L494" s="13"/>
      <c r="M494" s="14"/>
      <c r="N494" s="14"/>
      <c r="O494" s="14"/>
      <c r="P494" s="14"/>
      <c r="Q494" s="14"/>
      <c r="R494" s="5"/>
      <c r="S494" s="5"/>
      <c r="T494" s="5"/>
      <c r="U494" s="5"/>
      <c r="V494" s="5"/>
    </row>
    <row r="495" spans="1:22" ht="15.75" customHeight="1">
      <c r="A495" s="15"/>
      <c r="B495" s="5"/>
      <c r="C495" s="5"/>
      <c r="D495" s="16"/>
      <c r="E495" s="13"/>
      <c r="F495" s="13"/>
      <c r="G495" s="5"/>
      <c r="H495" s="5"/>
      <c r="I495" s="5"/>
      <c r="J495" s="6"/>
      <c r="K495" s="6"/>
      <c r="L495" s="13"/>
      <c r="M495" s="14"/>
      <c r="N495" s="14"/>
      <c r="O495" s="14"/>
      <c r="P495" s="14"/>
      <c r="Q495" s="14"/>
      <c r="R495" s="5"/>
      <c r="S495" s="5"/>
      <c r="T495" s="5"/>
      <c r="U495" s="5"/>
      <c r="V495" s="5"/>
    </row>
    <row r="496" spans="1:22" ht="15.75" customHeight="1">
      <c r="A496" s="15"/>
      <c r="B496" s="5"/>
      <c r="C496" s="5"/>
      <c r="D496" s="16"/>
      <c r="E496" s="13"/>
      <c r="F496" s="13"/>
      <c r="G496" s="5"/>
      <c r="H496" s="5"/>
      <c r="I496" s="5"/>
      <c r="J496" s="6"/>
      <c r="K496" s="6"/>
      <c r="L496" s="13"/>
      <c r="M496" s="14"/>
      <c r="N496" s="14"/>
      <c r="O496" s="14"/>
      <c r="P496" s="14"/>
      <c r="Q496" s="14"/>
      <c r="R496" s="5"/>
      <c r="S496" s="5"/>
      <c r="T496" s="5"/>
      <c r="U496" s="5"/>
      <c r="V496" s="5"/>
    </row>
    <row r="497" spans="1:22" ht="15.75" customHeight="1">
      <c r="A497" s="15"/>
      <c r="B497" s="5"/>
      <c r="C497" s="5"/>
      <c r="D497" s="16"/>
      <c r="E497" s="13"/>
      <c r="F497" s="13"/>
      <c r="G497" s="5"/>
      <c r="H497" s="5"/>
      <c r="I497" s="5"/>
      <c r="J497" s="6"/>
      <c r="K497" s="6"/>
      <c r="L497" s="13"/>
      <c r="M497" s="14"/>
      <c r="N497" s="14"/>
      <c r="O497" s="14"/>
      <c r="P497" s="14"/>
      <c r="Q497" s="14"/>
      <c r="R497" s="5"/>
      <c r="S497" s="5"/>
      <c r="T497" s="5"/>
      <c r="U497" s="5"/>
      <c r="V497" s="5"/>
    </row>
    <row r="498" spans="1:22" ht="15.75" customHeight="1">
      <c r="A498" s="15"/>
      <c r="B498" s="5"/>
      <c r="C498" s="5"/>
      <c r="D498" s="16"/>
      <c r="E498" s="13"/>
      <c r="F498" s="13"/>
      <c r="G498" s="5"/>
      <c r="H498" s="5"/>
      <c r="I498" s="5"/>
      <c r="J498" s="6"/>
      <c r="K498" s="6"/>
      <c r="L498" s="13"/>
      <c r="M498" s="14"/>
      <c r="N498" s="14"/>
      <c r="O498" s="14"/>
      <c r="P498" s="14"/>
      <c r="Q498" s="14"/>
      <c r="R498" s="5"/>
      <c r="S498" s="5"/>
      <c r="T498" s="5"/>
      <c r="U498" s="5"/>
      <c r="V498" s="5"/>
    </row>
    <row r="499" spans="1:22" ht="15.75" customHeight="1">
      <c r="A499" s="15"/>
      <c r="B499" s="5"/>
      <c r="C499" s="5"/>
      <c r="D499" s="16"/>
      <c r="E499" s="13"/>
      <c r="F499" s="13"/>
      <c r="G499" s="5"/>
      <c r="H499" s="5"/>
      <c r="I499" s="5"/>
      <c r="J499" s="6"/>
      <c r="K499" s="6"/>
      <c r="L499" s="13"/>
      <c r="M499" s="14"/>
      <c r="N499" s="14"/>
      <c r="O499" s="14"/>
      <c r="P499" s="14"/>
      <c r="Q499" s="14"/>
      <c r="R499" s="5"/>
      <c r="S499" s="5"/>
      <c r="T499" s="5"/>
      <c r="U499" s="5"/>
      <c r="V499" s="5"/>
    </row>
    <row r="500" spans="1:22" ht="15.75" customHeight="1">
      <c r="A500" s="15"/>
      <c r="B500" s="5"/>
      <c r="C500" s="5"/>
      <c r="D500" s="16"/>
      <c r="E500" s="13"/>
      <c r="F500" s="13"/>
      <c r="G500" s="5"/>
      <c r="H500" s="5"/>
      <c r="I500" s="5"/>
      <c r="J500" s="6"/>
      <c r="K500" s="6"/>
      <c r="L500" s="13"/>
      <c r="M500" s="14"/>
      <c r="N500" s="14"/>
      <c r="O500" s="14"/>
      <c r="P500" s="14"/>
      <c r="Q500" s="14"/>
      <c r="R500" s="5"/>
      <c r="S500" s="5"/>
      <c r="T500" s="5"/>
      <c r="U500" s="5"/>
      <c r="V500" s="5"/>
    </row>
    <row r="501" spans="1:22" ht="15.75" customHeight="1">
      <c r="A501" s="15"/>
      <c r="B501" s="5"/>
      <c r="C501" s="5"/>
      <c r="D501" s="16"/>
      <c r="E501" s="13"/>
      <c r="F501" s="13"/>
      <c r="G501" s="5"/>
      <c r="H501" s="5"/>
      <c r="I501" s="5"/>
      <c r="J501" s="6"/>
      <c r="K501" s="6"/>
      <c r="L501" s="13"/>
      <c r="M501" s="14"/>
      <c r="N501" s="14"/>
      <c r="O501" s="14"/>
      <c r="P501" s="14"/>
      <c r="Q501" s="14"/>
      <c r="R501" s="5"/>
      <c r="S501" s="5"/>
      <c r="T501" s="5"/>
      <c r="U501" s="5"/>
      <c r="V501" s="5"/>
    </row>
    <row r="502" spans="1:22" ht="15.75" customHeight="1">
      <c r="A502" s="15"/>
      <c r="B502" s="5"/>
      <c r="C502" s="5"/>
      <c r="D502" s="16"/>
      <c r="E502" s="13"/>
      <c r="F502" s="13"/>
      <c r="G502" s="5"/>
      <c r="H502" s="5"/>
      <c r="I502" s="5"/>
      <c r="J502" s="6"/>
      <c r="K502" s="6"/>
      <c r="L502" s="13"/>
      <c r="M502" s="14"/>
      <c r="N502" s="14"/>
      <c r="O502" s="14"/>
      <c r="P502" s="14"/>
      <c r="Q502" s="14"/>
      <c r="R502" s="5"/>
      <c r="S502" s="5"/>
      <c r="T502" s="5"/>
      <c r="U502" s="5"/>
      <c r="V502" s="5"/>
    </row>
    <row r="503" spans="1:22" ht="15.75" customHeight="1">
      <c r="A503" s="15"/>
      <c r="B503" s="5"/>
      <c r="C503" s="5"/>
      <c r="D503" s="16"/>
      <c r="E503" s="13"/>
      <c r="F503" s="13"/>
      <c r="G503" s="5"/>
      <c r="H503" s="5"/>
      <c r="I503" s="5"/>
      <c r="J503" s="6"/>
      <c r="K503" s="6"/>
      <c r="L503" s="13"/>
      <c r="M503" s="14"/>
      <c r="N503" s="14"/>
      <c r="O503" s="14"/>
      <c r="P503" s="14"/>
      <c r="Q503" s="14"/>
      <c r="R503" s="5"/>
      <c r="S503" s="5"/>
      <c r="T503" s="5"/>
      <c r="U503" s="5"/>
      <c r="V503" s="5"/>
    </row>
    <row r="504" spans="1:22" ht="15.75" customHeight="1">
      <c r="A504" s="15"/>
      <c r="B504" s="5"/>
      <c r="C504" s="5"/>
      <c r="D504" s="16"/>
      <c r="E504" s="13"/>
      <c r="F504" s="13"/>
      <c r="G504" s="5"/>
      <c r="H504" s="5"/>
      <c r="I504" s="5"/>
      <c r="J504" s="6"/>
      <c r="K504" s="6"/>
      <c r="L504" s="13"/>
      <c r="M504" s="14"/>
      <c r="N504" s="14"/>
      <c r="O504" s="14"/>
      <c r="P504" s="14"/>
      <c r="Q504" s="14"/>
      <c r="R504" s="5"/>
      <c r="S504" s="5"/>
      <c r="T504" s="5"/>
      <c r="U504" s="5"/>
      <c r="V504" s="5"/>
    </row>
    <row r="505" spans="1:22" ht="15.75" customHeight="1">
      <c r="A505" s="15"/>
      <c r="B505" s="5"/>
      <c r="C505" s="5"/>
      <c r="D505" s="16"/>
      <c r="E505" s="13"/>
      <c r="F505" s="13"/>
      <c r="G505" s="5"/>
      <c r="H505" s="5"/>
      <c r="I505" s="5"/>
      <c r="J505" s="6"/>
      <c r="K505" s="6"/>
      <c r="L505" s="13"/>
      <c r="M505" s="14"/>
      <c r="N505" s="14"/>
      <c r="O505" s="14"/>
      <c r="P505" s="14"/>
      <c r="Q505" s="14"/>
      <c r="R505" s="5"/>
      <c r="S505" s="5"/>
      <c r="T505" s="5"/>
      <c r="U505" s="5"/>
      <c r="V505" s="5"/>
    </row>
    <row r="506" spans="1:22" ht="15.75" customHeight="1">
      <c r="A506" s="15"/>
      <c r="B506" s="5"/>
      <c r="C506" s="5"/>
      <c r="D506" s="16"/>
      <c r="E506" s="13"/>
      <c r="F506" s="13"/>
      <c r="G506" s="5"/>
      <c r="H506" s="5"/>
      <c r="I506" s="5"/>
      <c r="J506" s="6"/>
      <c r="K506" s="6"/>
      <c r="L506" s="13"/>
      <c r="M506" s="14"/>
      <c r="N506" s="14"/>
      <c r="O506" s="14"/>
      <c r="P506" s="14"/>
      <c r="Q506" s="14"/>
      <c r="R506" s="5"/>
      <c r="S506" s="5"/>
      <c r="T506" s="5"/>
      <c r="U506" s="5"/>
      <c r="V506" s="5"/>
    </row>
    <row r="507" spans="1:22" ht="15.75" customHeight="1">
      <c r="A507" s="15"/>
      <c r="B507" s="5"/>
      <c r="C507" s="5"/>
      <c r="D507" s="16"/>
      <c r="E507" s="13"/>
      <c r="F507" s="13"/>
      <c r="G507" s="5"/>
      <c r="H507" s="5"/>
      <c r="I507" s="5"/>
      <c r="J507" s="6"/>
      <c r="K507" s="6"/>
      <c r="L507" s="13"/>
      <c r="M507" s="14"/>
      <c r="N507" s="14"/>
      <c r="O507" s="14"/>
      <c r="P507" s="14"/>
      <c r="Q507" s="14"/>
      <c r="R507" s="5"/>
      <c r="S507" s="5"/>
      <c r="T507" s="5"/>
      <c r="U507" s="5"/>
      <c r="V507" s="5"/>
    </row>
    <row r="508" spans="1:22" ht="15.75" customHeight="1">
      <c r="A508" s="15"/>
      <c r="B508" s="5"/>
      <c r="C508" s="5"/>
      <c r="D508" s="16"/>
      <c r="E508" s="13"/>
      <c r="F508" s="13"/>
      <c r="G508" s="5"/>
      <c r="H508" s="5"/>
      <c r="I508" s="5"/>
      <c r="J508" s="6"/>
      <c r="K508" s="6"/>
      <c r="L508" s="13"/>
      <c r="M508" s="14"/>
      <c r="N508" s="14"/>
      <c r="O508" s="14"/>
      <c r="P508" s="14"/>
      <c r="Q508" s="14"/>
      <c r="R508" s="5"/>
      <c r="S508" s="5"/>
      <c r="T508" s="5"/>
      <c r="U508" s="5"/>
      <c r="V508" s="5"/>
    </row>
    <row r="509" spans="1:22" ht="15.75" customHeight="1">
      <c r="A509" s="15"/>
      <c r="B509" s="5"/>
      <c r="C509" s="5"/>
      <c r="D509" s="16"/>
      <c r="E509" s="13"/>
      <c r="F509" s="13"/>
      <c r="G509" s="5"/>
      <c r="H509" s="5"/>
      <c r="I509" s="5"/>
      <c r="J509" s="6"/>
      <c r="K509" s="6"/>
      <c r="L509" s="13"/>
      <c r="M509" s="14"/>
      <c r="N509" s="14"/>
      <c r="O509" s="14"/>
      <c r="P509" s="14"/>
      <c r="Q509" s="14"/>
      <c r="R509" s="5"/>
      <c r="S509" s="5"/>
      <c r="T509" s="5"/>
      <c r="U509" s="5"/>
      <c r="V509" s="5"/>
    </row>
    <row r="510" spans="1:22" ht="15.75" customHeight="1">
      <c r="A510" s="15"/>
      <c r="B510" s="5"/>
      <c r="C510" s="5"/>
      <c r="D510" s="16"/>
      <c r="E510" s="13"/>
      <c r="F510" s="13"/>
      <c r="G510" s="5"/>
      <c r="H510" s="5"/>
      <c r="I510" s="5"/>
      <c r="J510" s="6"/>
      <c r="K510" s="6"/>
      <c r="L510" s="13"/>
      <c r="M510" s="14"/>
      <c r="N510" s="14"/>
      <c r="O510" s="14"/>
      <c r="P510" s="14"/>
      <c r="Q510" s="14"/>
      <c r="R510" s="5"/>
      <c r="S510" s="5"/>
      <c r="T510" s="5"/>
      <c r="U510" s="5"/>
      <c r="V510" s="5"/>
    </row>
    <row r="511" spans="1:22" ht="15.75" customHeight="1">
      <c r="A511" s="15"/>
      <c r="B511" s="5"/>
      <c r="C511" s="5"/>
      <c r="D511" s="16"/>
      <c r="E511" s="13"/>
      <c r="F511" s="13"/>
      <c r="G511" s="5"/>
      <c r="H511" s="5"/>
      <c r="I511" s="5"/>
      <c r="J511" s="6"/>
      <c r="K511" s="6"/>
      <c r="L511" s="13"/>
      <c r="M511" s="14"/>
      <c r="N511" s="14"/>
      <c r="O511" s="14"/>
      <c r="P511" s="14"/>
      <c r="Q511" s="14"/>
      <c r="R511" s="5"/>
      <c r="S511" s="5"/>
      <c r="T511" s="5"/>
      <c r="U511" s="5"/>
      <c r="V511" s="5"/>
    </row>
    <row r="512" spans="1:22" ht="15.75" customHeight="1">
      <c r="A512" s="15"/>
      <c r="B512" s="5"/>
      <c r="C512" s="5"/>
      <c r="D512" s="16"/>
      <c r="E512" s="13"/>
      <c r="F512" s="13"/>
      <c r="G512" s="5"/>
      <c r="H512" s="5"/>
      <c r="I512" s="5"/>
      <c r="J512" s="6"/>
      <c r="K512" s="6"/>
      <c r="L512" s="13"/>
      <c r="M512" s="14"/>
      <c r="N512" s="14"/>
      <c r="O512" s="14"/>
      <c r="P512" s="14"/>
      <c r="Q512" s="14"/>
      <c r="R512" s="5"/>
      <c r="S512" s="5"/>
      <c r="T512" s="5"/>
      <c r="U512" s="5"/>
      <c r="V512" s="5"/>
    </row>
    <row r="513" spans="1:22" ht="15.75" customHeight="1">
      <c r="A513" s="15"/>
      <c r="B513" s="5"/>
      <c r="C513" s="5"/>
      <c r="D513" s="16"/>
      <c r="E513" s="13"/>
      <c r="F513" s="13"/>
      <c r="G513" s="5"/>
      <c r="H513" s="5"/>
      <c r="I513" s="5"/>
      <c r="J513" s="6"/>
      <c r="K513" s="6"/>
      <c r="L513" s="13"/>
      <c r="M513" s="14"/>
      <c r="N513" s="14"/>
      <c r="O513" s="14"/>
      <c r="P513" s="14"/>
      <c r="Q513" s="14"/>
      <c r="R513" s="5"/>
      <c r="S513" s="5"/>
      <c r="T513" s="5"/>
      <c r="U513" s="5"/>
      <c r="V513" s="5"/>
    </row>
    <row r="514" spans="1:22" ht="15.75" customHeight="1">
      <c r="A514" s="15"/>
      <c r="B514" s="5"/>
      <c r="C514" s="5"/>
      <c r="D514" s="16"/>
      <c r="E514" s="13"/>
      <c r="F514" s="13"/>
      <c r="G514" s="5"/>
      <c r="H514" s="5"/>
      <c r="I514" s="5"/>
      <c r="J514" s="6"/>
      <c r="K514" s="6"/>
      <c r="L514" s="13"/>
      <c r="M514" s="14"/>
      <c r="N514" s="14"/>
      <c r="O514" s="14"/>
      <c r="P514" s="14"/>
      <c r="Q514" s="14"/>
      <c r="R514" s="5"/>
      <c r="S514" s="5"/>
      <c r="T514" s="5"/>
      <c r="U514" s="5"/>
      <c r="V514" s="5"/>
    </row>
    <row r="515" spans="1:22" ht="15.75" customHeight="1">
      <c r="A515" s="15"/>
      <c r="B515" s="5"/>
      <c r="C515" s="5"/>
      <c r="D515" s="16"/>
      <c r="E515" s="13"/>
      <c r="F515" s="13"/>
      <c r="G515" s="5"/>
      <c r="H515" s="5"/>
      <c r="I515" s="5"/>
      <c r="J515" s="6"/>
      <c r="K515" s="6"/>
      <c r="L515" s="13"/>
      <c r="M515" s="14"/>
      <c r="N515" s="14"/>
      <c r="O515" s="14"/>
      <c r="P515" s="14"/>
      <c r="Q515" s="14"/>
      <c r="R515" s="5"/>
      <c r="S515" s="5"/>
      <c r="T515" s="5"/>
      <c r="U515" s="5"/>
      <c r="V515" s="5"/>
    </row>
    <row r="516" spans="1:22" ht="15.75" customHeight="1">
      <c r="A516" s="15"/>
      <c r="B516" s="5"/>
      <c r="C516" s="5"/>
      <c r="D516" s="16"/>
      <c r="E516" s="13"/>
      <c r="F516" s="13"/>
      <c r="G516" s="5"/>
      <c r="H516" s="5"/>
      <c r="I516" s="5"/>
      <c r="J516" s="6"/>
      <c r="K516" s="6"/>
      <c r="L516" s="13"/>
      <c r="M516" s="14"/>
      <c r="N516" s="14"/>
      <c r="O516" s="14"/>
      <c r="P516" s="14"/>
      <c r="Q516" s="14"/>
      <c r="R516" s="5"/>
      <c r="S516" s="5"/>
      <c r="T516" s="5"/>
      <c r="U516" s="5"/>
      <c r="V516" s="5"/>
    </row>
    <row r="517" spans="1:22" ht="15.75" customHeight="1">
      <c r="A517" s="15"/>
      <c r="B517" s="5"/>
      <c r="C517" s="5"/>
      <c r="D517" s="16"/>
      <c r="E517" s="13"/>
      <c r="F517" s="13"/>
      <c r="G517" s="5"/>
      <c r="H517" s="5"/>
      <c r="I517" s="5"/>
      <c r="J517" s="6"/>
      <c r="K517" s="6"/>
      <c r="L517" s="13"/>
      <c r="M517" s="14"/>
      <c r="N517" s="14"/>
      <c r="O517" s="14"/>
      <c r="P517" s="14"/>
      <c r="Q517" s="14"/>
      <c r="R517" s="5"/>
      <c r="S517" s="5"/>
      <c r="T517" s="5"/>
      <c r="U517" s="5"/>
      <c r="V517" s="5"/>
    </row>
    <row r="518" spans="1:22" ht="15.75" customHeight="1">
      <c r="A518" s="15"/>
      <c r="B518" s="5"/>
      <c r="C518" s="5"/>
      <c r="D518" s="16"/>
      <c r="E518" s="13"/>
      <c r="F518" s="13"/>
      <c r="G518" s="5"/>
      <c r="H518" s="5"/>
      <c r="I518" s="5"/>
      <c r="J518" s="6"/>
      <c r="K518" s="6"/>
      <c r="L518" s="13"/>
      <c r="M518" s="14"/>
      <c r="N518" s="14"/>
      <c r="O518" s="14"/>
      <c r="P518" s="14"/>
      <c r="Q518" s="14"/>
      <c r="R518" s="5"/>
      <c r="S518" s="5"/>
      <c r="T518" s="5"/>
      <c r="U518" s="5"/>
      <c r="V518" s="5"/>
    </row>
    <row r="519" spans="1:22" ht="15.75" customHeight="1">
      <c r="A519" s="15"/>
      <c r="B519" s="5"/>
      <c r="C519" s="5"/>
      <c r="D519" s="16"/>
      <c r="E519" s="13"/>
      <c r="F519" s="13"/>
      <c r="G519" s="5"/>
      <c r="H519" s="5"/>
      <c r="I519" s="5"/>
      <c r="J519" s="6"/>
      <c r="K519" s="6"/>
      <c r="L519" s="13"/>
      <c r="M519" s="14"/>
      <c r="N519" s="14"/>
      <c r="O519" s="14"/>
      <c r="P519" s="14"/>
      <c r="Q519" s="14"/>
      <c r="R519" s="5"/>
      <c r="S519" s="5"/>
      <c r="T519" s="5"/>
      <c r="U519" s="5"/>
      <c r="V519" s="5"/>
    </row>
    <row r="520" spans="1:22" ht="15.75" customHeight="1">
      <c r="A520" s="15"/>
      <c r="B520" s="5"/>
      <c r="C520" s="5"/>
      <c r="D520" s="16"/>
      <c r="E520" s="13"/>
      <c r="F520" s="13"/>
      <c r="G520" s="5"/>
      <c r="H520" s="5"/>
      <c r="I520" s="5"/>
      <c r="J520" s="6"/>
      <c r="K520" s="6"/>
      <c r="L520" s="13"/>
      <c r="M520" s="14"/>
      <c r="N520" s="14"/>
      <c r="O520" s="14"/>
      <c r="P520" s="14"/>
      <c r="Q520" s="14"/>
      <c r="R520" s="5"/>
      <c r="S520" s="5"/>
      <c r="T520" s="5"/>
      <c r="U520" s="5"/>
      <c r="V520" s="5"/>
    </row>
    <row r="521" spans="1:22" ht="15.75" customHeight="1">
      <c r="A521" s="15"/>
      <c r="B521" s="5"/>
      <c r="C521" s="5"/>
      <c r="D521" s="16"/>
      <c r="E521" s="13"/>
      <c r="F521" s="13"/>
      <c r="G521" s="5"/>
      <c r="H521" s="5"/>
      <c r="I521" s="5"/>
      <c r="J521" s="6"/>
      <c r="K521" s="6"/>
      <c r="L521" s="13"/>
      <c r="M521" s="14"/>
      <c r="N521" s="14"/>
      <c r="O521" s="14"/>
      <c r="P521" s="14"/>
      <c r="Q521" s="14"/>
      <c r="R521" s="5"/>
      <c r="S521" s="5"/>
      <c r="T521" s="5"/>
      <c r="U521" s="5"/>
      <c r="V521" s="5"/>
    </row>
    <row r="522" spans="1:22" ht="15.75" customHeight="1">
      <c r="A522" s="15"/>
      <c r="B522" s="5"/>
      <c r="C522" s="5"/>
      <c r="D522" s="16"/>
      <c r="E522" s="13"/>
      <c r="F522" s="13"/>
      <c r="G522" s="5"/>
      <c r="H522" s="5"/>
      <c r="I522" s="5"/>
      <c r="J522" s="6"/>
      <c r="K522" s="6"/>
      <c r="L522" s="13"/>
      <c r="M522" s="14"/>
      <c r="N522" s="14"/>
      <c r="O522" s="14"/>
      <c r="P522" s="14"/>
      <c r="Q522" s="14"/>
      <c r="R522" s="5"/>
      <c r="S522" s="5"/>
      <c r="T522" s="5"/>
      <c r="U522" s="5"/>
      <c r="V522" s="5"/>
    </row>
    <row r="523" spans="1:22" ht="15.75" customHeight="1">
      <c r="A523" s="15"/>
      <c r="B523" s="5"/>
      <c r="C523" s="5"/>
      <c r="D523" s="16"/>
      <c r="E523" s="13"/>
      <c r="F523" s="13"/>
      <c r="G523" s="5"/>
      <c r="H523" s="5"/>
      <c r="I523" s="5"/>
      <c r="J523" s="6"/>
      <c r="K523" s="6"/>
      <c r="L523" s="13"/>
      <c r="M523" s="14"/>
      <c r="N523" s="14"/>
      <c r="O523" s="14"/>
      <c r="P523" s="14"/>
      <c r="Q523" s="14"/>
      <c r="R523" s="5"/>
      <c r="S523" s="5"/>
      <c r="T523" s="5"/>
      <c r="U523" s="5"/>
      <c r="V523" s="5"/>
    </row>
    <row r="524" spans="1:22" ht="15.75" customHeight="1">
      <c r="A524" s="15"/>
      <c r="B524" s="5"/>
      <c r="C524" s="5"/>
      <c r="D524" s="16"/>
      <c r="E524" s="13"/>
      <c r="F524" s="13"/>
      <c r="G524" s="5"/>
      <c r="H524" s="5"/>
      <c r="I524" s="5"/>
      <c r="J524" s="6"/>
      <c r="K524" s="6"/>
      <c r="L524" s="13"/>
      <c r="M524" s="14"/>
      <c r="N524" s="14"/>
      <c r="O524" s="14"/>
      <c r="P524" s="14"/>
      <c r="Q524" s="14"/>
      <c r="R524" s="5"/>
      <c r="S524" s="5"/>
      <c r="T524" s="5"/>
      <c r="U524" s="5"/>
      <c r="V524" s="5"/>
    </row>
    <row r="525" spans="1:22" ht="15.75" customHeight="1">
      <c r="A525" s="15"/>
      <c r="B525" s="5"/>
      <c r="C525" s="5"/>
      <c r="D525" s="16"/>
      <c r="E525" s="13"/>
      <c r="F525" s="13"/>
      <c r="G525" s="5"/>
      <c r="H525" s="5"/>
      <c r="I525" s="5"/>
      <c r="J525" s="6"/>
      <c r="K525" s="6"/>
      <c r="L525" s="13"/>
      <c r="M525" s="14"/>
      <c r="N525" s="14"/>
      <c r="O525" s="14"/>
      <c r="P525" s="14"/>
      <c r="Q525" s="14"/>
      <c r="R525" s="5"/>
      <c r="S525" s="5"/>
      <c r="T525" s="5"/>
      <c r="U525" s="5"/>
      <c r="V525" s="5"/>
    </row>
    <row r="526" spans="1:22" ht="15.75" customHeight="1">
      <c r="A526" s="15"/>
      <c r="B526" s="5"/>
      <c r="C526" s="5"/>
      <c r="D526" s="16"/>
      <c r="E526" s="13"/>
      <c r="F526" s="13"/>
      <c r="G526" s="5"/>
      <c r="H526" s="5"/>
      <c r="I526" s="5"/>
      <c r="J526" s="6"/>
      <c r="K526" s="6"/>
      <c r="L526" s="13"/>
      <c r="M526" s="14"/>
      <c r="N526" s="14"/>
      <c r="O526" s="14"/>
      <c r="P526" s="14"/>
      <c r="Q526" s="14"/>
      <c r="R526" s="5"/>
      <c r="S526" s="5"/>
      <c r="T526" s="5"/>
      <c r="U526" s="5"/>
      <c r="V526" s="5"/>
    </row>
    <row r="527" spans="1:22" ht="15.75" customHeight="1">
      <c r="A527" s="15"/>
      <c r="B527" s="5"/>
      <c r="C527" s="5"/>
      <c r="D527" s="16"/>
      <c r="E527" s="13"/>
      <c r="F527" s="13"/>
      <c r="G527" s="5"/>
      <c r="H527" s="5"/>
      <c r="I527" s="5"/>
      <c r="J527" s="6"/>
      <c r="K527" s="6"/>
      <c r="L527" s="13"/>
      <c r="M527" s="14"/>
      <c r="N527" s="14"/>
      <c r="O527" s="14"/>
      <c r="P527" s="14"/>
      <c r="Q527" s="14"/>
      <c r="R527" s="5"/>
      <c r="S527" s="5"/>
      <c r="T527" s="5"/>
      <c r="U527" s="5"/>
      <c r="V527" s="5"/>
    </row>
    <row r="528" spans="1:22" ht="15.75" customHeight="1">
      <c r="A528" s="15"/>
      <c r="B528" s="5"/>
      <c r="C528" s="5"/>
      <c r="D528" s="16"/>
      <c r="E528" s="13"/>
      <c r="F528" s="13"/>
      <c r="G528" s="5"/>
      <c r="H528" s="5"/>
      <c r="I528" s="5"/>
      <c r="J528" s="6"/>
      <c r="K528" s="6"/>
      <c r="L528" s="13"/>
      <c r="M528" s="14"/>
      <c r="N528" s="14"/>
      <c r="O528" s="14"/>
      <c r="P528" s="14"/>
      <c r="Q528" s="14"/>
      <c r="R528" s="5"/>
      <c r="S528" s="5"/>
      <c r="T528" s="5"/>
      <c r="U528" s="5"/>
      <c r="V528" s="5"/>
    </row>
    <row r="529" spans="1:22" ht="15.75" customHeight="1">
      <c r="A529" s="15"/>
      <c r="B529" s="5"/>
      <c r="C529" s="5"/>
      <c r="D529" s="16"/>
      <c r="E529" s="13"/>
      <c r="F529" s="13"/>
      <c r="G529" s="5"/>
      <c r="H529" s="5"/>
      <c r="I529" s="5"/>
      <c r="J529" s="6"/>
      <c r="K529" s="6"/>
      <c r="L529" s="13"/>
      <c r="M529" s="14"/>
      <c r="N529" s="14"/>
      <c r="O529" s="14"/>
      <c r="P529" s="14"/>
      <c r="Q529" s="14"/>
      <c r="R529" s="5"/>
      <c r="S529" s="5"/>
      <c r="T529" s="5"/>
      <c r="U529" s="5"/>
      <c r="V529" s="5"/>
    </row>
    <row r="530" spans="1:22" ht="15.75" customHeight="1">
      <c r="A530" s="15"/>
      <c r="B530" s="5"/>
      <c r="C530" s="5"/>
      <c r="D530" s="16"/>
      <c r="E530" s="13"/>
      <c r="F530" s="13"/>
      <c r="G530" s="5"/>
      <c r="H530" s="5"/>
      <c r="I530" s="5"/>
      <c r="J530" s="6"/>
      <c r="K530" s="6"/>
      <c r="L530" s="13"/>
      <c r="M530" s="14"/>
      <c r="N530" s="14"/>
      <c r="O530" s="14"/>
      <c r="P530" s="14"/>
      <c r="Q530" s="14"/>
      <c r="R530" s="5"/>
      <c r="S530" s="5"/>
      <c r="T530" s="5"/>
      <c r="U530" s="5"/>
      <c r="V530" s="5"/>
    </row>
    <row r="531" spans="1:22" ht="15.75" customHeight="1">
      <c r="A531" s="15"/>
      <c r="B531" s="5"/>
      <c r="C531" s="5"/>
      <c r="D531" s="16"/>
      <c r="E531" s="13"/>
      <c r="F531" s="13"/>
      <c r="G531" s="5"/>
      <c r="H531" s="5"/>
      <c r="I531" s="5"/>
      <c r="J531" s="6"/>
      <c r="K531" s="6"/>
      <c r="L531" s="13"/>
      <c r="M531" s="14"/>
      <c r="N531" s="14"/>
      <c r="O531" s="14"/>
      <c r="P531" s="14"/>
      <c r="Q531" s="14"/>
      <c r="R531" s="5"/>
      <c r="S531" s="5"/>
      <c r="T531" s="5"/>
      <c r="U531" s="5"/>
      <c r="V531" s="5"/>
    </row>
    <row r="532" spans="1:22" ht="15.75" customHeight="1">
      <c r="A532" s="15"/>
      <c r="B532" s="5"/>
      <c r="C532" s="5"/>
      <c r="D532" s="16"/>
      <c r="E532" s="13"/>
      <c r="F532" s="13"/>
      <c r="G532" s="5"/>
      <c r="H532" s="5"/>
      <c r="I532" s="5"/>
      <c r="J532" s="6"/>
      <c r="K532" s="6"/>
      <c r="L532" s="13"/>
      <c r="M532" s="14"/>
      <c r="N532" s="14"/>
      <c r="O532" s="14"/>
      <c r="P532" s="14"/>
      <c r="Q532" s="14"/>
      <c r="R532" s="5"/>
      <c r="S532" s="5"/>
      <c r="T532" s="5"/>
      <c r="U532" s="5"/>
      <c r="V532" s="5"/>
    </row>
    <row r="533" spans="1:22" ht="15.75" customHeight="1">
      <c r="A533" s="15"/>
      <c r="B533" s="5"/>
      <c r="C533" s="5"/>
      <c r="D533" s="16"/>
      <c r="E533" s="13"/>
      <c r="F533" s="13"/>
      <c r="G533" s="5"/>
      <c r="H533" s="5"/>
      <c r="I533" s="5"/>
      <c r="J533" s="6"/>
      <c r="K533" s="6"/>
      <c r="L533" s="13"/>
      <c r="M533" s="14"/>
      <c r="N533" s="14"/>
      <c r="O533" s="14"/>
      <c r="P533" s="14"/>
      <c r="Q533" s="14"/>
      <c r="R533" s="5"/>
      <c r="S533" s="5"/>
      <c r="T533" s="5"/>
      <c r="U533" s="5"/>
      <c r="V533" s="5"/>
    </row>
    <row r="534" spans="1:22" ht="15.75" customHeight="1">
      <c r="A534" s="15"/>
      <c r="B534" s="5"/>
      <c r="C534" s="5"/>
      <c r="D534" s="16"/>
      <c r="E534" s="13"/>
      <c r="F534" s="13"/>
      <c r="G534" s="5"/>
      <c r="H534" s="5"/>
      <c r="I534" s="5"/>
      <c r="J534" s="6"/>
      <c r="K534" s="6"/>
      <c r="L534" s="13"/>
      <c r="M534" s="14"/>
      <c r="N534" s="14"/>
      <c r="O534" s="14"/>
      <c r="P534" s="14"/>
      <c r="Q534" s="14"/>
      <c r="R534" s="5"/>
      <c r="S534" s="5"/>
      <c r="T534" s="5"/>
      <c r="U534" s="5"/>
      <c r="V534" s="5"/>
    </row>
    <row r="535" spans="1:22" ht="15.75" customHeight="1">
      <c r="A535" s="15"/>
      <c r="B535" s="5"/>
      <c r="C535" s="5"/>
      <c r="D535" s="16"/>
      <c r="E535" s="13"/>
      <c r="F535" s="13"/>
      <c r="G535" s="5"/>
      <c r="H535" s="5"/>
      <c r="I535" s="5"/>
      <c r="J535" s="6"/>
      <c r="K535" s="6"/>
      <c r="L535" s="13"/>
      <c r="M535" s="14"/>
      <c r="N535" s="14"/>
      <c r="O535" s="14"/>
      <c r="P535" s="14"/>
      <c r="Q535" s="14"/>
      <c r="R535" s="5"/>
      <c r="S535" s="5"/>
      <c r="T535" s="5"/>
      <c r="U535" s="5"/>
      <c r="V535" s="5"/>
    </row>
    <row r="536" spans="1:22" ht="15.75" customHeight="1">
      <c r="A536" s="15"/>
      <c r="B536" s="5"/>
      <c r="C536" s="5"/>
      <c r="D536" s="16"/>
      <c r="E536" s="13"/>
      <c r="F536" s="13"/>
      <c r="G536" s="5"/>
      <c r="H536" s="5"/>
      <c r="I536" s="5"/>
      <c r="J536" s="6"/>
      <c r="K536" s="6"/>
      <c r="L536" s="13"/>
      <c r="M536" s="14"/>
      <c r="N536" s="14"/>
      <c r="O536" s="14"/>
      <c r="P536" s="14"/>
      <c r="Q536" s="14"/>
      <c r="R536" s="5"/>
      <c r="S536" s="5"/>
      <c r="T536" s="5"/>
      <c r="U536" s="5"/>
      <c r="V536" s="5"/>
    </row>
    <row r="537" spans="1:22" ht="15.75" customHeight="1">
      <c r="A537" s="15"/>
      <c r="B537" s="5"/>
      <c r="C537" s="5"/>
      <c r="D537" s="16"/>
      <c r="E537" s="13"/>
      <c r="F537" s="13"/>
      <c r="G537" s="5"/>
      <c r="H537" s="5"/>
      <c r="I537" s="5"/>
      <c r="J537" s="6"/>
      <c r="K537" s="6"/>
      <c r="L537" s="13"/>
      <c r="M537" s="14"/>
      <c r="N537" s="14"/>
      <c r="O537" s="14"/>
      <c r="P537" s="14"/>
      <c r="Q537" s="14"/>
      <c r="R537" s="5"/>
      <c r="S537" s="5"/>
      <c r="T537" s="5"/>
      <c r="U537" s="5"/>
      <c r="V537" s="5"/>
    </row>
    <row r="538" spans="1:22" ht="15.75" customHeight="1">
      <c r="A538" s="15"/>
      <c r="B538" s="5"/>
      <c r="C538" s="5"/>
      <c r="D538" s="16"/>
      <c r="E538" s="13"/>
      <c r="F538" s="13"/>
      <c r="G538" s="5"/>
      <c r="H538" s="5"/>
      <c r="I538" s="5"/>
      <c r="J538" s="6"/>
      <c r="K538" s="6"/>
      <c r="L538" s="13"/>
      <c r="M538" s="14"/>
      <c r="N538" s="14"/>
      <c r="O538" s="14"/>
      <c r="P538" s="14"/>
      <c r="Q538" s="14"/>
      <c r="R538" s="5"/>
      <c r="S538" s="5"/>
      <c r="T538" s="5"/>
      <c r="U538" s="5"/>
      <c r="V538" s="5"/>
    </row>
    <row r="539" spans="1:22" ht="15.75" customHeight="1">
      <c r="A539" s="15"/>
      <c r="B539" s="5"/>
      <c r="C539" s="5"/>
      <c r="D539" s="16"/>
      <c r="E539" s="13"/>
      <c r="F539" s="13"/>
      <c r="G539" s="5"/>
      <c r="H539" s="5"/>
      <c r="I539" s="5"/>
      <c r="J539" s="6"/>
      <c r="K539" s="6"/>
      <c r="L539" s="13"/>
      <c r="M539" s="14"/>
      <c r="N539" s="14"/>
      <c r="O539" s="14"/>
      <c r="P539" s="14"/>
      <c r="Q539" s="14"/>
      <c r="R539" s="5"/>
      <c r="S539" s="5"/>
      <c r="T539" s="5"/>
      <c r="U539" s="5"/>
      <c r="V539" s="5"/>
    </row>
    <row r="540" spans="1:22" ht="15.75" customHeight="1">
      <c r="A540" s="15"/>
      <c r="B540" s="5"/>
      <c r="C540" s="5"/>
      <c r="D540" s="16"/>
      <c r="E540" s="13"/>
      <c r="F540" s="13"/>
      <c r="G540" s="5"/>
      <c r="H540" s="5"/>
      <c r="I540" s="5"/>
      <c r="J540" s="6"/>
      <c r="K540" s="6"/>
      <c r="L540" s="13"/>
      <c r="M540" s="14"/>
      <c r="N540" s="14"/>
      <c r="O540" s="14"/>
      <c r="P540" s="14"/>
      <c r="Q540" s="14"/>
      <c r="R540" s="5"/>
      <c r="S540" s="5"/>
      <c r="T540" s="5"/>
      <c r="U540" s="5"/>
      <c r="V540" s="5"/>
    </row>
    <row r="541" spans="1:22" ht="15.75" customHeight="1">
      <c r="A541" s="15"/>
      <c r="B541" s="5"/>
      <c r="C541" s="5"/>
      <c r="D541" s="16"/>
      <c r="E541" s="13"/>
      <c r="F541" s="13"/>
      <c r="G541" s="5"/>
      <c r="H541" s="5"/>
      <c r="I541" s="5"/>
      <c r="J541" s="6"/>
      <c r="K541" s="6"/>
      <c r="L541" s="13"/>
      <c r="M541" s="14"/>
      <c r="N541" s="14"/>
      <c r="O541" s="14"/>
      <c r="P541" s="14"/>
      <c r="Q541" s="14"/>
      <c r="R541" s="5"/>
      <c r="S541" s="5"/>
      <c r="T541" s="5"/>
      <c r="U541" s="5"/>
      <c r="V541" s="5"/>
    </row>
    <row r="542" spans="1:22" ht="15.75" customHeight="1">
      <c r="A542" s="15"/>
      <c r="B542" s="5"/>
      <c r="C542" s="5"/>
      <c r="D542" s="16"/>
      <c r="E542" s="13"/>
      <c r="F542" s="13"/>
      <c r="G542" s="5"/>
      <c r="H542" s="5"/>
      <c r="I542" s="5"/>
      <c r="J542" s="6"/>
      <c r="K542" s="6"/>
      <c r="L542" s="13"/>
      <c r="M542" s="14"/>
      <c r="N542" s="14"/>
      <c r="O542" s="14"/>
      <c r="P542" s="14"/>
      <c r="Q542" s="14"/>
      <c r="R542" s="5"/>
      <c r="S542" s="5"/>
      <c r="T542" s="5"/>
      <c r="U542" s="5"/>
      <c r="V542" s="5"/>
    </row>
    <row r="543" spans="1:22" ht="15.75" customHeight="1">
      <c r="A543" s="15"/>
      <c r="B543" s="5"/>
      <c r="C543" s="5"/>
      <c r="D543" s="16"/>
      <c r="E543" s="13"/>
      <c r="F543" s="13"/>
      <c r="G543" s="5"/>
      <c r="H543" s="5"/>
      <c r="I543" s="5"/>
      <c r="J543" s="6"/>
      <c r="K543" s="6"/>
      <c r="L543" s="13"/>
      <c r="M543" s="14"/>
      <c r="N543" s="14"/>
      <c r="O543" s="14"/>
      <c r="P543" s="14"/>
      <c r="Q543" s="14"/>
      <c r="R543" s="5"/>
      <c r="S543" s="5"/>
      <c r="T543" s="5"/>
      <c r="U543" s="5"/>
      <c r="V543" s="5"/>
    </row>
    <row r="544" spans="1:22" ht="15.75" customHeight="1">
      <c r="A544" s="15"/>
      <c r="B544" s="5"/>
      <c r="C544" s="5"/>
      <c r="D544" s="16"/>
      <c r="E544" s="13"/>
      <c r="F544" s="13"/>
      <c r="G544" s="5"/>
      <c r="H544" s="5"/>
      <c r="I544" s="5"/>
      <c r="J544" s="6"/>
      <c r="K544" s="6"/>
      <c r="L544" s="13"/>
      <c r="M544" s="14"/>
      <c r="N544" s="14"/>
      <c r="O544" s="14"/>
      <c r="P544" s="14"/>
      <c r="Q544" s="14"/>
      <c r="R544" s="5"/>
      <c r="S544" s="5"/>
      <c r="T544" s="5"/>
      <c r="U544" s="5"/>
      <c r="V544" s="5"/>
    </row>
    <row r="545" spans="5:17" ht="15.75" customHeight="1">
      <c r="E545" s="13"/>
      <c r="F545" s="13"/>
      <c r="L545" s="13"/>
      <c r="M545" s="14"/>
      <c r="N545" s="14"/>
      <c r="O545" s="14"/>
      <c r="P545" s="14"/>
      <c r="Q545" s="14"/>
    </row>
    <row r="546" spans="5:17" ht="15.75" customHeight="1">
      <c r="E546" s="13"/>
      <c r="F546" s="13"/>
      <c r="L546" s="13"/>
      <c r="M546" s="14"/>
      <c r="N546" s="14"/>
      <c r="O546" s="14"/>
      <c r="P546" s="14"/>
      <c r="Q546" s="14"/>
    </row>
    <row r="547" spans="5:17" ht="15.75" customHeight="1">
      <c r="E547" s="13"/>
      <c r="F547" s="13"/>
      <c r="L547" s="13"/>
      <c r="M547" s="14"/>
      <c r="N547" s="14"/>
      <c r="O547" s="14"/>
      <c r="P547" s="14"/>
      <c r="Q547" s="14"/>
    </row>
    <row r="548" spans="5:17" ht="15.75" customHeight="1">
      <c r="E548" s="13"/>
      <c r="F548" s="13"/>
      <c r="L548" s="13"/>
      <c r="M548" s="14"/>
      <c r="N548" s="14"/>
      <c r="O548" s="14"/>
      <c r="P548" s="14"/>
      <c r="Q548" s="14"/>
    </row>
    <row r="549" spans="5:17" ht="15.75" customHeight="1">
      <c r="E549" s="13"/>
      <c r="F549" s="13"/>
      <c r="L549" s="13"/>
      <c r="M549" s="14"/>
      <c r="N549" s="14"/>
      <c r="O549" s="14"/>
      <c r="P549" s="14"/>
      <c r="Q549" s="14"/>
    </row>
    <row r="550" spans="5:17" ht="15.75" customHeight="1">
      <c r="E550" s="13"/>
      <c r="F550" s="13"/>
      <c r="L550" s="13"/>
      <c r="M550" s="14"/>
      <c r="N550" s="14"/>
      <c r="O550" s="14"/>
      <c r="P550" s="14"/>
      <c r="Q550" s="14"/>
    </row>
    <row r="551" spans="5:17" ht="15.75" customHeight="1">
      <c r="E551" s="13"/>
      <c r="F551" s="13"/>
      <c r="L551" s="13"/>
      <c r="M551" s="14"/>
      <c r="N551" s="14"/>
      <c r="O551" s="14"/>
      <c r="P551" s="14"/>
      <c r="Q551" s="14"/>
    </row>
    <row r="552" spans="5:17" ht="15.75" customHeight="1">
      <c r="E552" s="13"/>
      <c r="F552" s="13"/>
      <c r="L552" s="13"/>
      <c r="M552" s="14"/>
      <c r="N552" s="14"/>
      <c r="O552" s="14"/>
      <c r="P552" s="14"/>
      <c r="Q552" s="14"/>
    </row>
    <row r="553" spans="5:17" ht="15.75" customHeight="1">
      <c r="E553" s="13"/>
      <c r="F553" s="13"/>
      <c r="L553" s="13"/>
      <c r="M553" s="14"/>
      <c r="N553" s="14"/>
      <c r="O553" s="14"/>
      <c r="P553" s="14"/>
      <c r="Q553" s="14"/>
    </row>
    <row r="554" spans="5:17" ht="15.75" customHeight="1">
      <c r="E554" s="13"/>
      <c r="F554" s="13"/>
      <c r="L554" s="13"/>
      <c r="M554" s="14"/>
      <c r="N554" s="14"/>
      <c r="O554" s="14"/>
      <c r="P554" s="14"/>
      <c r="Q554" s="14"/>
    </row>
    <row r="555" spans="5:17" ht="15.75" customHeight="1">
      <c r="E555" s="13"/>
      <c r="F555" s="13"/>
      <c r="L555" s="13"/>
      <c r="M555" s="14"/>
      <c r="N555" s="14"/>
      <c r="O555" s="14"/>
      <c r="P555" s="14"/>
      <c r="Q555" s="14"/>
    </row>
    <row r="556" spans="5:17" ht="15.75" customHeight="1">
      <c r="E556" s="13"/>
      <c r="F556" s="13"/>
      <c r="L556" s="13"/>
      <c r="M556" s="14"/>
      <c r="N556" s="14"/>
      <c r="O556" s="14"/>
      <c r="P556" s="14"/>
      <c r="Q556" s="14"/>
    </row>
    <row r="557" spans="5:17" ht="15.75" customHeight="1">
      <c r="E557" s="13"/>
      <c r="F557" s="13"/>
      <c r="L557" s="13"/>
      <c r="M557" s="14"/>
      <c r="N557" s="14"/>
      <c r="O557" s="14"/>
      <c r="P557" s="14"/>
      <c r="Q557" s="14"/>
    </row>
    <row r="558" spans="5:17" ht="15.75" customHeight="1">
      <c r="E558" s="13"/>
      <c r="F558" s="13"/>
      <c r="L558" s="13"/>
      <c r="M558" s="14"/>
      <c r="N558" s="14"/>
      <c r="O558" s="14"/>
      <c r="P558" s="14"/>
      <c r="Q558" s="14"/>
    </row>
    <row r="559" spans="5:17" ht="15.75" customHeight="1">
      <c r="E559" s="13"/>
      <c r="F559" s="13"/>
      <c r="L559" s="13"/>
      <c r="M559" s="14"/>
      <c r="N559" s="14"/>
      <c r="O559" s="14"/>
      <c r="P559" s="14"/>
      <c r="Q559" s="14"/>
    </row>
    <row r="560" spans="5:17" ht="15.75" customHeight="1">
      <c r="E560" s="13"/>
      <c r="F560" s="13"/>
      <c r="L560" s="13"/>
      <c r="M560" s="14"/>
      <c r="N560" s="14"/>
      <c r="O560" s="14"/>
      <c r="P560" s="14"/>
      <c r="Q560" s="14"/>
    </row>
    <row r="561" spans="5:17" ht="15.75" customHeight="1">
      <c r="E561" s="13"/>
      <c r="F561" s="13"/>
      <c r="L561" s="13"/>
      <c r="M561" s="14"/>
      <c r="N561" s="14"/>
      <c r="O561" s="14"/>
      <c r="P561" s="14"/>
      <c r="Q561" s="14"/>
    </row>
    <row r="562" spans="5:17" ht="15.75" customHeight="1">
      <c r="E562" s="13"/>
      <c r="F562" s="13"/>
      <c r="L562" s="13"/>
      <c r="M562" s="14"/>
      <c r="N562" s="14"/>
      <c r="O562" s="14"/>
      <c r="P562" s="14"/>
      <c r="Q562" s="14"/>
    </row>
    <row r="563" spans="5:17" ht="15.75" customHeight="1">
      <c r="E563" s="13"/>
      <c r="F563" s="13"/>
      <c r="L563" s="13"/>
      <c r="M563" s="14"/>
      <c r="N563" s="14"/>
      <c r="O563" s="14"/>
      <c r="P563" s="14"/>
      <c r="Q563" s="14"/>
    </row>
    <row r="564" spans="5:17" ht="15.75" customHeight="1">
      <c r="E564" s="13"/>
      <c r="F564" s="13"/>
      <c r="L564" s="13"/>
      <c r="M564" s="14"/>
      <c r="N564" s="14"/>
      <c r="O564" s="14"/>
      <c r="P564" s="14"/>
      <c r="Q564" s="14"/>
    </row>
    <row r="565" spans="5:17" ht="15.75" customHeight="1">
      <c r="E565" s="13"/>
      <c r="F565" s="13"/>
      <c r="L565" s="13"/>
      <c r="M565" s="14"/>
      <c r="N565" s="14"/>
      <c r="O565" s="14"/>
      <c r="P565" s="14"/>
      <c r="Q565" s="14"/>
    </row>
    <row r="566" spans="5:17" ht="15.75" customHeight="1">
      <c r="E566" s="13"/>
      <c r="F566" s="13"/>
      <c r="L566" s="13"/>
      <c r="M566" s="14"/>
      <c r="N566" s="14"/>
      <c r="O566" s="14"/>
      <c r="P566" s="14"/>
      <c r="Q566" s="14"/>
    </row>
    <row r="567" spans="5:17" ht="15.75" customHeight="1">
      <c r="E567" s="13"/>
      <c r="F567" s="13"/>
      <c r="L567" s="13"/>
      <c r="M567" s="14"/>
      <c r="N567" s="14"/>
      <c r="O567" s="14"/>
      <c r="P567" s="14"/>
      <c r="Q567" s="14"/>
    </row>
    <row r="568" spans="5:17" ht="15.75" customHeight="1">
      <c r="E568" s="13"/>
      <c r="F568" s="13"/>
      <c r="L568" s="13"/>
      <c r="M568" s="14"/>
      <c r="N568" s="14"/>
      <c r="O568" s="14"/>
      <c r="P568" s="14"/>
      <c r="Q568" s="14"/>
    </row>
    <row r="569" spans="5:17" ht="15.75" customHeight="1">
      <c r="E569" s="13"/>
      <c r="F569" s="13"/>
      <c r="L569" s="13"/>
      <c r="M569" s="14"/>
      <c r="N569" s="14"/>
      <c r="O569" s="14"/>
      <c r="P569" s="14"/>
      <c r="Q569" s="14"/>
    </row>
    <row r="570" spans="5:17" ht="15.75" customHeight="1">
      <c r="E570" s="13"/>
      <c r="F570" s="13"/>
      <c r="L570" s="13"/>
      <c r="M570" s="14"/>
      <c r="N570" s="14"/>
      <c r="O570" s="14"/>
      <c r="P570" s="14"/>
      <c r="Q570" s="14"/>
    </row>
    <row r="571" spans="5:17" ht="15.75" customHeight="1">
      <c r="E571" s="13"/>
      <c r="F571" s="13"/>
      <c r="L571" s="13"/>
      <c r="M571" s="14"/>
      <c r="N571" s="14"/>
      <c r="O571" s="14"/>
      <c r="P571" s="14"/>
      <c r="Q571" s="14"/>
    </row>
    <row r="572" spans="5:17" ht="15.75" customHeight="1">
      <c r="E572" s="13"/>
      <c r="F572" s="13"/>
      <c r="L572" s="13"/>
      <c r="M572" s="14"/>
      <c r="N572" s="14"/>
      <c r="O572" s="14"/>
      <c r="P572" s="14"/>
      <c r="Q572" s="14"/>
    </row>
    <row r="573" spans="5:17" ht="15.75" customHeight="1">
      <c r="E573" s="13"/>
      <c r="F573" s="13"/>
      <c r="L573" s="13"/>
      <c r="M573" s="14"/>
      <c r="N573" s="14"/>
      <c r="O573" s="14"/>
      <c r="P573" s="14"/>
      <c r="Q573" s="14"/>
    </row>
    <row r="574" spans="5:17" ht="15.75" customHeight="1">
      <c r="E574" s="13"/>
      <c r="F574" s="13"/>
      <c r="L574" s="13"/>
      <c r="M574" s="14"/>
      <c r="N574" s="14"/>
      <c r="O574" s="14"/>
      <c r="P574" s="14"/>
      <c r="Q574" s="14"/>
    </row>
    <row r="575" spans="5:17" ht="15.75" customHeight="1">
      <c r="E575" s="13"/>
      <c r="F575" s="13"/>
      <c r="L575" s="13"/>
      <c r="M575" s="14"/>
      <c r="N575" s="14"/>
      <c r="O575" s="14"/>
      <c r="P575" s="14"/>
      <c r="Q575" s="14"/>
    </row>
    <row r="576" spans="5:17" ht="15.75" customHeight="1">
      <c r="E576" s="13"/>
      <c r="F576" s="13"/>
      <c r="L576" s="13"/>
      <c r="M576" s="14"/>
      <c r="N576" s="14"/>
      <c r="O576" s="14"/>
      <c r="P576" s="14"/>
      <c r="Q576" s="14"/>
    </row>
    <row r="577" spans="5:17" ht="15.75" customHeight="1">
      <c r="E577" s="13"/>
      <c r="F577" s="13"/>
      <c r="L577" s="13"/>
      <c r="M577" s="14"/>
      <c r="N577" s="14"/>
      <c r="O577" s="14"/>
      <c r="P577" s="14"/>
      <c r="Q577" s="14"/>
    </row>
    <row r="578" spans="5:17" ht="15.75" customHeight="1">
      <c r="E578" s="13"/>
      <c r="F578" s="13"/>
      <c r="L578" s="13"/>
      <c r="M578" s="14"/>
      <c r="N578" s="14"/>
      <c r="O578" s="14"/>
      <c r="P578" s="14"/>
      <c r="Q578" s="14"/>
    </row>
    <row r="579" spans="5:17" ht="15.75" customHeight="1">
      <c r="E579" s="13"/>
      <c r="F579" s="13"/>
      <c r="L579" s="13"/>
      <c r="M579" s="14"/>
      <c r="N579" s="14"/>
      <c r="O579" s="14"/>
      <c r="P579" s="14"/>
      <c r="Q579" s="14"/>
    </row>
    <row r="580" spans="5:17" ht="15.75" customHeight="1">
      <c r="E580" s="13"/>
      <c r="F580" s="13"/>
      <c r="L580" s="13"/>
      <c r="M580" s="14"/>
      <c r="N580" s="14"/>
      <c r="O580" s="14"/>
      <c r="P580" s="14"/>
      <c r="Q580" s="14"/>
    </row>
    <row r="581" spans="5:17" ht="15.75" customHeight="1">
      <c r="E581" s="13"/>
      <c r="F581" s="13"/>
      <c r="L581" s="13"/>
      <c r="M581" s="14"/>
      <c r="N581" s="14"/>
      <c r="O581" s="14"/>
      <c r="P581" s="14"/>
      <c r="Q581" s="14"/>
    </row>
    <row r="582" spans="5:17" ht="15.75" customHeight="1">
      <c r="E582" s="13"/>
      <c r="F582" s="13"/>
      <c r="L582" s="13"/>
      <c r="M582" s="14"/>
      <c r="N582" s="14"/>
      <c r="O582" s="14"/>
      <c r="P582" s="14"/>
      <c r="Q582" s="14"/>
    </row>
    <row r="583" spans="5:17" ht="15.75" customHeight="1">
      <c r="E583" s="13"/>
      <c r="F583" s="13"/>
      <c r="L583" s="13"/>
      <c r="M583" s="14"/>
      <c r="N583" s="14"/>
      <c r="O583" s="14"/>
      <c r="P583" s="14"/>
      <c r="Q583" s="14"/>
    </row>
    <row r="584" spans="5:17" ht="15.75" customHeight="1">
      <c r="E584" s="13"/>
      <c r="F584" s="13"/>
      <c r="L584" s="13"/>
      <c r="M584" s="14"/>
      <c r="N584" s="14"/>
      <c r="O584" s="14"/>
      <c r="P584" s="14"/>
      <c r="Q584" s="14"/>
    </row>
    <row r="585" spans="5:17" ht="15.75" customHeight="1">
      <c r="E585" s="13"/>
      <c r="F585" s="13"/>
      <c r="L585" s="13"/>
      <c r="M585" s="14"/>
      <c r="N585" s="14"/>
      <c r="O585" s="14"/>
      <c r="P585" s="14"/>
      <c r="Q585" s="14"/>
    </row>
    <row r="586" spans="5:17" ht="15.75" customHeight="1">
      <c r="E586" s="13"/>
      <c r="F586" s="13"/>
      <c r="L586" s="13"/>
      <c r="M586" s="14"/>
      <c r="N586" s="14"/>
      <c r="O586" s="14"/>
      <c r="P586" s="14"/>
      <c r="Q586" s="14"/>
    </row>
    <row r="587" spans="5:17" ht="15.75" customHeight="1">
      <c r="E587" s="13"/>
      <c r="F587" s="13"/>
      <c r="L587" s="13"/>
      <c r="M587" s="14"/>
      <c r="N587" s="14"/>
      <c r="O587" s="14"/>
      <c r="P587" s="14"/>
      <c r="Q587" s="14"/>
    </row>
    <row r="588" spans="5:17" ht="15.75" customHeight="1">
      <c r="E588" s="13"/>
      <c r="F588" s="13"/>
      <c r="L588" s="13"/>
      <c r="M588" s="14"/>
      <c r="N588" s="14"/>
      <c r="O588" s="14"/>
      <c r="P588" s="14"/>
      <c r="Q588" s="14"/>
    </row>
    <row r="589" spans="5:17" ht="15.75" customHeight="1">
      <c r="E589" s="13"/>
      <c r="F589" s="13"/>
      <c r="L589" s="13"/>
      <c r="M589" s="14"/>
      <c r="N589" s="14"/>
      <c r="O589" s="14"/>
      <c r="P589" s="14"/>
      <c r="Q589" s="14"/>
    </row>
    <row r="590" spans="5:17" ht="15.75" customHeight="1">
      <c r="E590" s="13"/>
      <c r="F590" s="13"/>
      <c r="L590" s="13"/>
      <c r="M590" s="14"/>
      <c r="N590" s="14"/>
      <c r="O590" s="14"/>
      <c r="P590" s="14"/>
      <c r="Q590" s="14"/>
    </row>
    <row r="591" spans="5:17" ht="15.75" customHeight="1">
      <c r="E591" s="13"/>
      <c r="F591" s="13"/>
      <c r="L591" s="13"/>
      <c r="M591" s="14"/>
      <c r="N591" s="14"/>
      <c r="O591" s="14"/>
      <c r="P591" s="14"/>
      <c r="Q591" s="14"/>
    </row>
    <row r="592" spans="5:17" ht="15.75" customHeight="1">
      <c r="E592" s="13"/>
      <c r="F592" s="13"/>
      <c r="L592" s="13"/>
      <c r="M592" s="14"/>
      <c r="N592" s="14"/>
      <c r="O592" s="14"/>
      <c r="P592" s="14"/>
      <c r="Q592" s="14"/>
    </row>
    <row r="593" spans="5:17" ht="15.75" customHeight="1">
      <c r="E593" s="13"/>
      <c r="F593" s="13"/>
      <c r="L593" s="13"/>
      <c r="M593" s="14"/>
      <c r="N593" s="14"/>
      <c r="O593" s="14"/>
      <c r="P593" s="14"/>
      <c r="Q593" s="14"/>
    </row>
    <row r="594" spans="5:17" ht="15.75" customHeight="1">
      <c r="E594" s="13"/>
      <c r="F594" s="13"/>
      <c r="L594" s="13"/>
      <c r="M594" s="14"/>
      <c r="N594" s="14"/>
      <c r="O594" s="14"/>
      <c r="P594" s="14"/>
      <c r="Q594" s="14"/>
    </row>
    <row r="595" spans="5:17" ht="15.75" customHeight="1">
      <c r="E595" s="13"/>
      <c r="F595" s="13"/>
      <c r="L595" s="13"/>
      <c r="M595" s="14"/>
      <c r="N595" s="14"/>
      <c r="O595" s="14"/>
      <c r="P595" s="14"/>
      <c r="Q595" s="14"/>
    </row>
    <row r="596" spans="5:17" ht="15.75" customHeight="1">
      <c r="E596" s="13"/>
      <c r="F596" s="13"/>
      <c r="L596" s="13"/>
      <c r="M596" s="14"/>
      <c r="N596" s="14"/>
      <c r="O596" s="14"/>
      <c r="P596" s="14"/>
      <c r="Q596" s="14"/>
    </row>
    <row r="597" spans="5:17" ht="15.75" customHeight="1">
      <c r="E597" s="13"/>
      <c r="F597" s="13"/>
      <c r="L597" s="13"/>
      <c r="M597" s="14"/>
      <c r="N597" s="14"/>
      <c r="O597" s="14"/>
      <c r="P597" s="14"/>
      <c r="Q597" s="14"/>
    </row>
    <row r="598" spans="5:17" ht="15.75" customHeight="1">
      <c r="E598" s="13"/>
      <c r="F598" s="13"/>
      <c r="L598" s="13"/>
      <c r="M598" s="14"/>
      <c r="N598" s="14"/>
      <c r="O598" s="14"/>
      <c r="P598" s="14"/>
      <c r="Q598" s="14"/>
    </row>
    <row r="599" spans="5:17" ht="15.75" customHeight="1">
      <c r="E599" s="13"/>
      <c r="F599" s="13"/>
      <c r="L599" s="13"/>
      <c r="M599" s="14"/>
      <c r="N599" s="14"/>
      <c r="O599" s="14"/>
      <c r="P599" s="14"/>
      <c r="Q599" s="14"/>
    </row>
    <row r="600" spans="5:17" ht="15.75" customHeight="1">
      <c r="E600" s="13"/>
      <c r="F600" s="13"/>
      <c r="L600" s="13"/>
      <c r="M600" s="14"/>
      <c r="N600" s="14"/>
      <c r="O600" s="14"/>
      <c r="P600" s="14"/>
      <c r="Q600" s="14"/>
    </row>
    <row r="601" spans="5:17" ht="15.75" customHeight="1">
      <c r="E601" s="13"/>
      <c r="F601" s="13"/>
      <c r="L601" s="13"/>
      <c r="M601" s="14"/>
      <c r="N601" s="14"/>
      <c r="O601" s="14"/>
      <c r="P601" s="14"/>
      <c r="Q601" s="14"/>
    </row>
    <row r="602" spans="5:17" ht="15.75" customHeight="1">
      <c r="E602" s="13"/>
      <c r="F602" s="13"/>
      <c r="L602" s="13"/>
      <c r="M602" s="14"/>
      <c r="N602" s="14"/>
      <c r="O602" s="14"/>
      <c r="P602" s="14"/>
      <c r="Q602" s="14"/>
    </row>
    <row r="603" spans="5:17" ht="15.75" customHeight="1">
      <c r="E603" s="13"/>
      <c r="F603" s="13"/>
      <c r="L603" s="13"/>
      <c r="M603" s="14"/>
      <c r="N603" s="14"/>
      <c r="O603" s="14"/>
      <c r="P603" s="14"/>
      <c r="Q603" s="14"/>
    </row>
    <row r="604" spans="5:17" ht="15.75" customHeight="1">
      <c r="E604" s="13"/>
      <c r="F604" s="13"/>
      <c r="L604" s="13"/>
      <c r="M604" s="14"/>
      <c r="N604" s="14"/>
      <c r="O604" s="14"/>
      <c r="P604" s="14"/>
      <c r="Q604" s="14"/>
    </row>
    <row r="605" spans="5:17" ht="15.75" customHeight="1">
      <c r="E605" s="13"/>
      <c r="F605" s="13"/>
      <c r="L605" s="13"/>
      <c r="M605" s="14"/>
      <c r="N605" s="14"/>
      <c r="O605" s="14"/>
      <c r="P605" s="14"/>
      <c r="Q605" s="14"/>
    </row>
    <row r="606" spans="5:17" ht="15.75" customHeight="1">
      <c r="E606" s="13"/>
      <c r="F606" s="13"/>
      <c r="L606" s="13"/>
      <c r="M606" s="14"/>
      <c r="N606" s="14"/>
      <c r="O606" s="14"/>
      <c r="P606" s="14"/>
      <c r="Q606" s="14"/>
    </row>
    <row r="607" spans="5:17" ht="15.75" customHeight="1">
      <c r="E607" s="13"/>
      <c r="F607" s="13"/>
      <c r="L607" s="13"/>
      <c r="M607" s="14"/>
      <c r="N607" s="14"/>
      <c r="O607" s="14"/>
      <c r="P607" s="14"/>
      <c r="Q607" s="14"/>
    </row>
    <row r="608" spans="5:17" ht="15.75" customHeight="1">
      <c r="E608" s="13"/>
      <c r="F608" s="13"/>
      <c r="L608" s="13"/>
      <c r="M608" s="14"/>
      <c r="N608" s="14"/>
      <c r="O608" s="14"/>
      <c r="P608" s="14"/>
      <c r="Q608" s="14"/>
    </row>
    <row r="609" spans="5:17" ht="15.75" customHeight="1">
      <c r="E609" s="13"/>
      <c r="F609" s="13"/>
      <c r="L609" s="13"/>
      <c r="M609" s="14"/>
      <c r="N609" s="14"/>
      <c r="O609" s="14"/>
      <c r="P609" s="14"/>
      <c r="Q609" s="14"/>
    </row>
    <row r="610" spans="5:17" ht="15.75" customHeight="1">
      <c r="E610" s="13"/>
      <c r="F610" s="13"/>
      <c r="L610" s="13"/>
      <c r="M610" s="14"/>
      <c r="N610" s="14"/>
      <c r="O610" s="14"/>
      <c r="P610" s="14"/>
      <c r="Q610" s="14"/>
    </row>
    <row r="611" spans="5:17" ht="15.75" customHeight="1">
      <c r="E611" s="13"/>
      <c r="F611" s="13"/>
      <c r="L611" s="13"/>
      <c r="M611" s="14"/>
      <c r="N611" s="14"/>
      <c r="O611" s="14"/>
      <c r="P611" s="14"/>
      <c r="Q611" s="14"/>
    </row>
    <row r="612" spans="5:17" ht="15.75" customHeight="1">
      <c r="E612" s="13"/>
      <c r="F612" s="13"/>
      <c r="L612" s="13"/>
      <c r="M612" s="14"/>
      <c r="N612" s="14"/>
      <c r="O612" s="14"/>
      <c r="P612" s="14"/>
      <c r="Q612" s="14"/>
    </row>
    <row r="613" spans="5:17" ht="15.75" customHeight="1">
      <c r="E613" s="13"/>
      <c r="F613" s="13"/>
      <c r="L613" s="13"/>
      <c r="M613" s="14"/>
      <c r="N613" s="14"/>
      <c r="O613" s="14"/>
      <c r="P613" s="14"/>
      <c r="Q613" s="14"/>
    </row>
    <row r="614" spans="5:17" ht="15.75" customHeight="1">
      <c r="E614" s="13"/>
      <c r="F614" s="13"/>
      <c r="L614" s="13"/>
      <c r="M614" s="14"/>
      <c r="N614" s="14"/>
      <c r="O614" s="14"/>
      <c r="P614" s="14"/>
      <c r="Q614" s="14"/>
    </row>
    <row r="615" spans="5:17" ht="15.75" customHeight="1">
      <c r="E615" s="13"/>
      <c r="F615" s="13"/>
      <c r="L615" s="13"/>
      <c r="M615" s="14"/>
      <c r="N615" s="14"/>
      <c r="O615" s="14"/>
      <c r="P615" s="14"/>
      <c r="Q615" s="14"/>
    </row>
    <row r="616" spans="5:17" ht="15.75" customHeight="1">
      <c r="E616" s="13"/>
      <c r="F616" s="13"/>
      <c r="L616" s="13"/>
      <c r="M616" s="14"/>
      <c r="N616" s="14"/>
      <c r="O616" s="14"/>
      <c r="P616" s="14"/>
      <c r="Q616" s="14"/>
    </row>
    <row r="617" spans="5:17" ht="15.75" customHeight="1">
      <c r="E617" s="13"/>
      <c r="F617" s="13"/>
      <c r="L617" s="13"/>
      <c r="M617" s="14"/>
      <c r="N617" s="14"/>
      <c r="O617" s="14"/>
      <c r="P617" s="14"/>
      <c r="Q617" s="14"/>
    </row>
    <row r="618" spans="5:17" ht="15.75" customHeight="1">
      <c r="E618" s="13"/>
      <c r="F618" s="13"/>
      <c r="L618" s="13"/>
      <c r="M618" s="14"/>
      <c r="N618" s="14"/>
      <c r="O618" s="14"/>
      <c r="P618" s="14"/>
      <c r="Q618" s="14"/>
    </row>
    <row r="619" spans="5:17" ht="15.75" customHeight="1">
      <c r="E619" s="13"/>
      <c r="F619" s="13"/>
      <c r="L619" s="13"/>
      <c r="M619" s="14"/>
      <c r="N619" s="14"/>
      <c r="O619" s="14"/>
      <c r="P619" s="14"/>
      <c r="Q619" s="14"/>
    </row>
    <row r="620" spans="5:17" ht="15.75" customHeight="1">
      <c r="E620" s="13"/>
      <c r="F620" s="13"/>
      <c r="L620" s="13"/>
      <c r="M620" s="14"/>
      <c r="N620" s="14"/>
      <c r="O620" s="14"/>
      <c r="P620" s="14"/>
      <c r="Q620" s="14"/>
    </row>
    <row r="621" spans="5:17" ht="15.75" customHeight="1">
      <c r="E621" s="13"/>
      <c r="F621" s="13"/>
      <c r="L621" s="13"/>
      <c r="M621" s="14"/>
      <c r="N621" s="14"/>
      <c r="O621" s="14"/>
      <c r="P621" s="14"/>
      <c r="Q621" s="14"/>
    </row>
    <row r="622" spans="5:17" ht="15.75" customHeight="1">
      <c r="E622" s="13"/>
      <c r="F622" s="13"/>
      <c r="L622" s="13"/>
      <c r="M622" s="14"/>
      <c r="N622" s="14"/>
      <c r="O622" s="14"/>
      <c r="P622" s="14"/>
      <c r="Q622" s="14"/>
    </row>
    <row r="623" spans="5:17" ht="15.75" customHeight="1">
      <c r="E623" s="13"/>
      <c r="F623" s="13"/>
      <c r="L623" s="13"/>
      <c r="M623" s="14"/>
      <c r="N623" s="14"/>
      <c r="O623" s="14"/>
      <c r="P623" s="14"/>
      <c r="Q623" s="14"/>
    </row>
    <row r="624" spans="5:17" ht="15.75" customHeight="1">
      <c r="E624" s="13"/>
      <c r="F624" s="13"/>
      <c r="L624" s="13"/>
      <c r="M624" s="14"/>
      <c r="N624" s="14"/>
      <c r="O624" s="14"/>
      <c r="P624" s="14"/>
      <c r="Q624" s="14"/>
    </row>
    <row r="625" spans="5:17" ht="15.75" customHeight="1">
      <c r="E625" s="13"/>
      <c r="F625" s="13"/>
      <c r="L625" s="13"/>
      <c r="M625" s="14"/>
      <c r="N625" s="14"/>
      <c r="O625" s="14"/>
      <c r="P625" s="14"/>
      <c r="Q625" s="14"/>
    </row>
    <row r="626" spans="5:17" ht="15.75" customHeight="1">
      <c r="E626" s="13"/>
      <c r="F626" s="13"/>
      <c r="L626" s="13"/>
      <c r="M626" s="14"/>
      <c r="N626" s="14"/>
      <c r="O626" s="14"/>
      <c r="P626" s="14"/>
      <c r="Q626" s="14"/>
    </row>
    <row r="627" spans="5:17" ht="15.75" customHeight="1">
      <c r="E627" s="13"/>
      <c r="F627" s="13"/>
      <c r="L627" s="13"/>
      <c r="M627" s="14"/>
      <c r="N627" s="14"/>
      <c r="O627" s="14"/>
      <c r="P627" s="14"/>
      <c r="Q627" s="14"/>
    </row>
    <row r="628" spans="5:17" ht="15.75" customHeight="1">
      <c r="E628" s="13"/>
      <c r="F628" s="13"/>
      <c r="L628" s="13"/>
      <c r="M628" s="14"/>
      <c r="N628" s="14"/>
      <c r="O628" s="14"/>
      <c r="P628" s="14"/>
      <c r="Q628" s="14"/>
    </row>
    <row r="629" spans="5:17" ht="15.75" customHeight="1">
      <c r="E629" s="13"/>
      <c r="F629" s="13"/>
      <c r="L629" s="13"/>
      <c r="M629" s="14"/>
      <c r="N629" s="14"/>
      <c r="O629" s="14"/>
      <c r="P629" s="14"/>
      <c r="Q629" s="14"/>
    </row>
    <row r="630" spans="5:17" ht="15.75" customHeight="1">
      <c r="E630" s="13"/>
      <c r="F630" s="13"/>
      <c r="L630" s="13"/>
      <c r="M630" s="14"/>
      <c r="N630" s="14"/>
      <c r="O630" s="14"/>
      <c r="P630" s="14"/>
      <c r="Q630" s="14"/>
    </row>
    <row r="631" spans="5:17" ht="15.75" customHeight="1">
      <c r="E631" s="13"/>
      <c r="F631" s="13"/>
      <c r="L631" s="13"/>
      <c r="M631" s="14"/>
      <c r="N631" s="14"/>
      <c r="O631" s="14"/>
      <c r="P631" s="14"/>
      <c r="Q631" s="14"/>
    </row>
    <row r="632" spans="5:17" ht="15.75" customHeight="1">
      <c r="E632" s="13"/>
      <c r="F632" s="13"/>
      <c r="L632" s="13"/>
      <c r="M632" s="14"/>
      <c r="N632" s="14"/>
      <c r="O632" s="14"/>
      <c r="P632" s="14"/>
      <c r="Q632" s="14"/>
    </row>
    <row r="633" spans="5:17" ht="15.75" customHeight="1">
      <c r="E633" s="13"/>
      <c r="F633" s="13"/>
      <c r="L633" s="13"/>
      <c r="M633" s="14"/>
      <c r="N633" s="14"/>
      <c r="O633" s="14"/>
      <c r="P633" s="14"/>
      <c r="Q633" s="14"/>
    </row>
    <row r="634" spans="5:17" ht="15.75" customHeight="1">
      <c r="E634" s="13"/>
      <c r="F634" s="13"/>
      <c r="L634" s="13"/>
      <c r="M634" s="14"/>
      <c r="N634" s="14"/>
      <c r="O634" s="14"/>
      <c r="P634" s="14"/>
      <c r="Q634" s="14"/>
    </row>
    <row r="635" spans="5:17" ht="15.75" customHeight="1">
      <c r="E635" s="13"/>
      <c r="F635" s="13"/>
      <c r="L635" s="13"/>
      <c r="M635" s="14"/>
      <c r="N635" s="14"/>
      <c r="O635" s="14"/>
      <c r="P635" s="14"/>
      <c r="Q635" s="14"/>
    </row>
    <row r="636" spans="5:17" ht="15.75" customHeight="1">
      <c r="E636" s="13"/>
      <c r="F636" s="13"/>
      <c r="L636" s="13"/>
      <c r="M636" s="14"/>
      <c r="N636" s="14"/>
      <c r="O636" s="14"/>
      <c r="P636" s="14"/>
      <c r="Q636" s="14"/>
    </row>
    <row r="637" spans="5:17" ht="15.75" customHeight="1">
      <c r="E637" s="13"/>
      <c r="F637" s="13"/>
      <c r="L637" s="13"/>
      <c r="M637" s="14"/>
      <c r="N637" s="14"/>
      <c r="O637" s="14"/>
      <c r="P637" s="14"/>
      <c r="Q637" s="14"/>
    </row>
    <row r="638" spans="5:17" ht="15.75" customHeight="1">
      <c r="E638" s="13"/>
      <c r="F638" s="13"/>
      <c r="L638" s="13"/>
      <c r="M638" s="14"/>
      <c r="N638" s="14"/>
      <c r="O638" s="14"/>
      <c r="P638" s="14"/>
      <c r="Q638" s="14"/>
    </row>
    <row r="639" spans="5:17" ht="15.75" customHeight="1">
      <c r="E639" s="13"/>
      <c r="F639" s="13"/>
      <c r="L639" s="13"/>
      <c r="M639" s="14"/>
      <c r="N639" s="14"/>
      <c r="O639" s="14"/>
      <c r="P639" s="14"/>
      <c r="Q639" s="14"/>
    </row>
    <row r="640" spans="5:17" ht="15.75" customHeight="1">
      <c r="E640" s="13"/>
      <c r="F640" s="13"/>
      <c r="L640" s="13"/>
      <c r="M640" s="14"/>
      <c r="N640" s="14"/>
      <c r="O640" s="14"/>
      <c r="P640" s="14"/>
      <c r="Q640" s="14"/>
    </row>
    <row r="641" spans="5:17" ht="15.75" customHeight="1">
      <c r="E641" s="13"/>
      <c r="F641" s="13"/>
      <c r="L641" s="13"/>
      <c r="M641" s="14"/>
      <c r="N641" s="14"/>
      <c r="O641" s="14"/>
      <c r="P641" s="14"/>
      <c r="Q641" s="14"/>
    </row>
    <row r="642" spans="5:17" ht="15.75" customHeight="1">
      <c r="E642" s="13"/>
      <c r="F642" s="13"/>
      <c r="L642" s="13"/>
      <c r="M642" s="14"/>
      <c r="N642" s="14"/>
      <c r="O642" s="14"/>
      <c r="P642" s="14"/>
      <c r="Q642" s="14"/>
    </row>
    <row r="643" spans="5:17" ht="15.75" customHeight="1">
      <c r="E643" s="13"/>
      <c r="F643" s="13"/>
      <c r="L643" s="13"/>
      <c r="M643" s="14"/>
      <c r="N643" s="14"/>
      <c r="O643" s="14"/>
      <c r="P643" s="14"/>
      <c r="Q643" s="14"/>
    </row>
    <row r="644" spans="5:17" ht="15.75" customHeight="1">
      <c r="E644" s="13"/>
      <c r="F644" s="13"/>
      <c r="L644" s="13"/>
      <c r="M644" s="14"/>
      <c r="N644" s="14"/>
      <c r="O644" s="14"/>
      <c r="P644" s="14"/>
      <c r="Q644" s="14"/>
    </row>
    <row r="645" spans="5:17" ht="15.75" customHeight="1">
      <c r="E645" s="13"/>
      <c r="F645" s="13"/>
      <c r="L645" s="13"/>
      <c r="M645" s="14"/>
      <c r="N645" s="14"/>
      <c r="O645" s="14"/>
      <c r="P645" s="14"/>
      <c r="Q645" s="14"/>
    </row>
    <row r="646" spans="5:17" ht="15.75" customHeight="1">
      <c r="E646" s="13"/>
      <c r="F646" s="13"/>
      <c r="L646" s="13"/>
      <c r="M646" s="14"/>
      <c r="N646" s="14"/>
      <c r="O646" s="14"/>
      <c r="P646" s="14"/>
      <c r="Q646" s="14"/>
    </row>
    <row r="647" spans="5:17" ht="15.75" customHeight="1">
      <c r="E647" s="13"/>
      <c r="F647" s="13"/>
      <c r="L647" s="13"/>
      <c r="M647" s="14"/>
      <c r="N647" s="14"/>
      <c r="O647" s="14"/>
      <c r="P647" s="14"/>
      <c r="Q647" s="14"/>
    </row>
    <row r="648" spans="5:17" ht="15.75" customHeight="1">
      <c r="E648" s="13"/>
      <c r="F648" s="13"/>
      <c r="L648" s="13"/>
      <c r="M648" s="14"/>
      <c r="N648" s="14"/>
      <c r="O648" s="14"/>
      <c r="P648" s="14"/>
      <c r="Q648" s="14"/>
    </row>
    <row r="649" spans="5:17" ht="15.75" customHeight="1">
      <c r="E649" s="13"/>
      <c r="F649" s="13"/>
      <c r="L649" s="13"/>
      <c r="M649" s="14"/>
      <c r="N649" s="14"/>
      <c r="O649" s="14"/>
      <c r="P649" s="14"/>
      <c r="Q649" s="14"/>
    </row>
    <row r="650" spans="5:17" ht="15.75" customHeight="1">
      <c r="E650" s="13"/>
      <c r="F650" s="13"/>
      <c r="L650" s="13"/>
      <c r="M650" s="14"/>
      <c r="N650" s="14"/>
      <c r="O650" s="14"/>
      <c r="P650" s="14"/>
      <c r="Q650" s="14"/>
    </row>
    <row r="651" spans="5:17" ht="15.75" customHeight="1">
      <c r="E651" s="13"/>
      <c r="F651" s="13"/>
      <c r="L651" s="13"/>
      <c r="M651" s="14"/>
      <c r="N651" s="14"/>
      <c r="O651" s="14"/>
      <c r="P651" s="14"/>
      <c r="Q651" s="14"/>
    </row>
    <row r="652" spans="5:17" ht="15.75" customHeight="1">
      <c r="E652" s="13"/>
      <c r="F652" s="13"/>
      <c r="L652" s="13"/>
      <c r="M652" s="14"/>
      <c r="N652" s="14"/>
      <c r="O652" s="14"/>
      <c r="P652" s="14"/>
      <c r="Q652" s="14"/>
    </row>
    <row r="653" spans="5:17" ht="15.75" customHeight="1">
      <c r="E653" s="13"/>
      <c r="F653" s="13"/>
      <c r="L653" s="13"/>
      <c r="M653" s="14"/>
      <c r="N653" s="14"/>
      <c r="O653" s="14"/>
      <c r="P653" s="14"/>
      <c r="Q653" s="14"/>
    </row>
    <row r="654" spans="5:17" ht="15.75" customHeight="1">
      <c r="E654" s="13"/>
      <c r="F654" s="13"/>
      <c r="L654" s="13"/>
      <c r="M654" s="14"/>
      <c r="N654" s="14"/>
      <c r="O654" s="14"/>
      <c r="P654" s="14"/>
      <c r="Q654" s="14"/>
    </row>
    <row r="655" spans="5:17" ht="15.75" customHeight="1">
      <c r="E655" s="13"/>
      <c r="F655" s="13"/>
      <c r="L655" s="13"/>
      <c r="M655" s="14"/>
      <c r="N655" s="14"/>
      <c r="O655" s="14"/>
      <c r="P655" s="14"/>
      <c r="Q655" s="14"/>
    </row>
    <row r="656" spans="5:17" ht="15.75" customHeight="1">
      <c r="E656" s="13"/>
      <c r="F656" s="13"/>
      <c r="L656" s="13"/>
      <c r="M656" s="14"/>
      <c r="N656" s="14"/>
      <c r="O656" s="14"/>
      <c r="P656" s="14"/>
      <c r="Q656" s="14"/>
    </row>
    <row r="657" spans="5:17" ht="15.75" customHeight="1">
      <c r="E657" s="13"/>
      <c r="F657" s="13"/>
      <c r="L657" s="13"/>
      <c r="M657" s="14"/>
      <c r="N657" s="14"/>
      <c r="O657" s="14"/>
      <c r="P657" s="14"/>
      <c r="Q657" s="14"/>
    </row>
    <row r="658" spans="5:17" ht="15.75" customHeight="1">
      <c r="E658" s="13"/>
      <c r="F658" s="13"/>
      <c r="L658" s="13"/>
      <c r="M658" s="14"/>
      <c r="N658" s="14"/>
      <c r="O658" s="14"/>
      <c r="P658" s="14"/>
      <c r="Q658" s="14"/>
    </row>
    <row r="659" spans="5:17" ht="15.75" customHeight="1">
      <c r="E659" s="13"/>
      <c r="F659" s="13"/>
      <c r="L659" s="13"/>
      <c r="M659" s="14"/>
      <c r="N659" s="14"/>
      <c r="O659" s="14"/>
      <c r="P659" s="14"/>
      <c r="Q659" s="14"/>
    </row>
    <row r="660" spans="5:17" ht="15.75" customHeight="1">
      <c r="E660" s="13"/>
      <c r="F660" s="13"/>
      <c r="L660" s="13"/>
      <c r="M660" s="14"/>
      <c r="N660" s="14"/>
      <c r="O660" s="14"/>
      <c r="P660" s="14"/>
      <c r="Q660" s="14"/>
    </row>
    <row r="661" spans="5:17" ht="15.75" customHeight="1">
      <c r="E661" s="13"/>
      <c r="F661" s="13"/>
      <c r="L661" s="13"/>
      <c r="M661" s="14"/>
      <c r="N661" s="14"/>
      <c r="O661" s="14"/>
      <c r="P661" s="14"/>
      <c r="Q661" s="14"/>
    </row>
    <row r="662" spans="5:17" ht="15.75" customHeight="1">
      <c r="E662" s="13"/>
      <c r="F662" s="13"/>
      <c r="L662" s="13"/>
      <c r="M662" s="14"/>
      <c r="N662" s="14"/>
      <c r="O662" s="14"/>
      <c r="P662" s="14"/>
      <c r="Q662" s="14"/>
    </row>
    <row r="663" spans="5:17" ht="15.75" customHeight="1">
      <c r="E663" s="13"/>
      <c r="F663" s="13"/>
      <c r="L663" s="13"/>
      <c r="M663" s="14"/>
      <c r="N663" s="14"/>
      <c r="O663" s="14"/>
      <c r="P663" s="14"/>
      <c r="Q663" s="14"/>
    </row>
    <row r="664" spans="5:17" ht="15.75" customHeight="1">
      <c r="E664" s="13"/>
      <c r="F664" s="13"/>
      <c r="L664" s="13"/>
      <c r="M664" s="14"/>
      <c r="N664" s="14"/>
      <c r="O664" s="14"/>
      <c r="P664" s="14"/>
      <c r="Q664" s="14"/>
    </row>
    <row r="665" spans="5:17" ht="15.75" customHeight="1">
      <c r="E665" s="13"/>
      <c r="F665" s="13"/>
      <c r="L665" s="13"/>
      <c r="M665" s="14"/>
      <c r="N665" s="14"/>
      <c r="O665" s="14"/>
      <c r="P665" s="14"/>
      <c r="Q665" s="14"/>
    </row>
    <row r="666" spans="5:17" ht="15.75" customHeight="1">
      <c r="E666" s="13"/>
      <c r="F666" s="13"/>
      <c r="L666" s="13"/>
      <c r="M666" s="14"/>
      <c r="N666" s="14"/>
      <c r="O666" s="14"/>
      <c r="P666" s="14"/>
      <c r="Q666" s="14"/>
    </row>
    <row r="667" spans="5:17" ht="15.75" customHeight="1">
      <c r="E667" s="13"/>
      <c r="F667" s="13"/>
      <c r="L667" s="13"/>
      <c r="M667" s="14"/>
      <c r="N667" s="14"/>
      <c r="O667" s="14"/>
      <c r="P667" s="14"/>
      <c r="Q667" s="14"/>
    </row>
    <row r="668" spans="5:17" ht="15.75" customHeight="1">
      <c r="E668" s="13"/>
      <c r="F668" s="13"/>
      <c r="L668" s="13"/>
      <c r="M668" s="14"/>
      <c r="N668" s="14"/>
      <c r="O668" s="14"/>
      <c r="P668" s="14"/>
      <c r="Q668" s="14"/>
    </row>
    <row r="669" spans="5:17" ht="15.75" customHeight="1">
      <c r="E669" s="13"/>
      <c r="F669" s="13"/>
      <c r="L669" s="13"/>
      <c r="M669" s="14"/>
      <c r="N669" s="14"/>
      <c r="O669" s="14"/>
      <c r="P669" s="14"/>
      <c r="Q669" s="14"/>
    </row>
    <row r="670" spans="5:17" ht="15.75" customHeight="1">
      <c r="E670" s="13"/>
      <c r="F670" s="13"/>
      <c r="L670" s="13"/>
      <c r="M670" s="14"/>
      <c r="N670" s="14"/>
      <c r="O670" s="14"/>
      <c r="P670" s="14"/>
      <c r="Q670" s="14"/>
    </row>
    <row r="671" spans="5:17" ht="15.75" customHeight="1">
      <c r="E671" s="13"/>
      <c r="F671" s="13"/>
      <c r="L671" s="13"/>
      <c r="M671" s="14"/>
      <c r="N671" s="14"/>
      <c r="O671" s="14"/>
      <c r="P671" s="14"/>
      <c r="Q671" s="14"/>
    </row>
    <row r="672" spans="5:17" ht="15.75" customHeight="1">
      <c r="E672" s="13"/>
      <c r="F672" s="13"/>
      <c r="L672" s="13"/>
      <c r="M672" s="14"/>
      <c r="N672" s="14"/>
      <c r="O672" s="14"/>
      <c r="P672" s="14"/>
      <c r="Q672" s="14"/>
    </row>
    <row r="673" spans="5:17" ht="15.75" customHeight="1">
      <c r="E673" s="13"/>
      <c r="F673" s="13"/>
      <c r="L673" s="13"/>
      <c r="M673" s="14"/>
      <c r="N673" s="14"/>
      <c r="O673" s="14"/>
      <c r="P673" s="14"/>
      <c r="Q673" s="14"/>
    </row>
    <row r="674" spans="5:17" ht="15.75" customHeight="1">
      <c r="E674" s="13"/>
      <c r="F674" s="13"/>
      <c r="L674" s="13"/>
      <c r="M674" s="14"/>
      <c r="N674" s="14"/>
      <c r="O674" s="14"/>
      <c r="P674" s="14"/>
      <c r="Q674" s="14"/>
    </row>
    <row r="675" spans="5:17" ht="15.75" customHeight="1">
      <c r="E675" s="13"/>
      <c r="F675" s="13"/>
      <c r="L675" s="13"/>
      <c r="M675" s="14"/>
      <c r="N675" s="14"/>
      <c r="O675" s="14"/>
      <c r="P675" s="14"/>
      <c r="Q675" s="14"/>
    </row>
    <row r="676" spans="5:17" ht="15.75" customHeight="1">
      <c r="E676" s="13"/>
      <c r="F676" s="13"/>
      <c r="L676" s="13"/>
      <c r="M676" s="14"/>
      <c r="N676" s="14"/>
      <c r="O676" s="14"/>
      <c r="P676" s="14"/>
      <c r="Q676" s="14"/>
    </row>
    <row r="677" spans="5:17" ht="15.75" customHeight="1">
      <c r="E677" s="13"/>
      <c r="F677" s="13"/>
      <c r="L677" s="13"/>
      <c r="M677" s="14"/>
      <c r="N677" s="14"/>
      <c r="O677" s="14"/>
      <c r="P677" s="14"/>
      <c r="Q677" s="14"/>
    </row>
    <row r="678" spans="5:17" ht="15.75" customHeight="1">
      <c r="E678" s="13"/>
      <c r="F678" s="13"/>
      <c r="L678" s="13"/>
      <c r="M678" s="14"/>
      <c r="N678" s="14"/>
      <c r="O678" s="14"/>
      <c r="P678" s="14"/>
      <c r="Q678" s="14"/>
    </row>
    <row r="679" spans="5:17" ht="15.75" customHeight="1">
      <c r="E679" s="13"/>
      <c r="F679" s="13"/>
      <c r="L679" s="13"/>
      <c r="M679" s="14"/>
      <c r="N679" s="14"/>
      <c r="O679" s="14"/>
      <c r="P679" s="14"/>
      <c r="Q679" s="14"/>
    </row>
    <row r="680" spans="5:17" ht="15.75" customHeight="1">
      <c r="E680" s="13"/>
      <c r="F680" s="13"/>
      <c r="L680" s="13"/>
      <c r="M680" s="14"/>
      <c r="N680" s="14"/>
      <c r="O680" s="14"/>
      <c r="P680" s="14"/>
      <c r="Q680" s="14"/>
    </row>
    <row r="681" spans="5:17" ht="15.75" customHeight="1">
      <c r="E681" s="13"/>
      <c r="F681" s="13"/>
      <c r="L681" s="13"/>
      <c r="M681" s="14"/>
      <c r="N681" s="14"/>
      <c r="O681" s="14"/>
      <c r="P681" s="14"/>
      <c r="Q681" s="14"/>
    </row>
    <row r="682" spans="5:17" ht="15.75" customHeight="1">
      <c r="E682" s="13"/>
      <c r="F682" s="13"/>
      <c r="L682" s="13"/>
      <c r="M682" s="14"/>
      <c r="N682" s="14"/>
      <c r="O682" s="14"/>
      <c r="P682" s="14"/>
      <c r="Q682" s="14"/>
    </row>
    <row r="683" spans="5:17" ht="15.75" customHeight="1">
      <c r="E683" s="13"/>
      <c r="F683" s="13"/>
      <c r="L683" s="13"/>
      <c r="M683" s="14"/>
      <c r="N683" s="14"/>
      <c r="O683" s="14"/>
      <c r="P683" s="14"/>
      <c r="Q683" s="14"/>
    </row>
    <row r="684" spans="5:17" ht="15.75" customHeight="1">
      <c r="E684" s="13"/>
      <c r="F684" s="13"/>
      <c r="L684" s="13"/>
      <c r="M684" s="14"/>
      <c r="N684" s="14"/>
      <c r="O684" s="14"/>
      <c r="P684" s="14"/>
      <c r="Q684" s="14"/>
    </row>
    <row r="685" spans="5:17" ht="15.75" customHeight="1">
      <c r="E685" s="13"/>
      <c r="F685" s="13"/>
      <c r="L685" s="13"/>
      <c r="M685" s="14"/>
      <c r="N685" s="14"/>
      <c r="O685" s="14"/>
      <c r="P685" s="14"/>
      <c r="Q685" s="14"/>
    </row>
    <row r="686" spans="5:17" ht="15.75" customHeight="1">
      <c r="E686" s="13"/>
      <c r="F686" s="13"/>
      <c r="L686" s="13"/>
      <c r="M686" s="14"/>
      <c r="N686" s="14"/>
      <c r="O686" s="14"/>
      <c r="P686" s="14"/>
      <c r="Q686" s="14"/>
    </row>
    <row r="687" spans="5:17" ht="15.75" customHeight="1">
      <c r="E687" s="13"/>
      <c r="F687" s="13"/>
      <c r="L687" s="13"/>
      <c r="M687" s="14"/>
      <c r="N687" s="14"/>
      <c r="O687" s="14"/>
      <c r="P687" s="14"/>
      <c r="Q687" s="14"/>
    </row>
    <row r="688" spans="5:17" ht="15.75" customHeight="1">
      <c r="E688" s="13"/>
      <c r="F688" s="13"/>
      <c r="L688" s="13"/>
      <c r="M688" s="14"/>
      <c r="N688" s="14"/>
      <c r="O688" s="14"/>
      <c r="P688" s="14"/>
      <c r="Q688" s="14"/>
    </row>
    <row r="689" spans="5:17" ht="15.75" customHeight="1">
      <c r="E689" s="13"/>
      <c r="F689" s="13"/>
      <c r="L689" s="13"/>
      <c r="M689" s="14"/>
      <c r="N689" s="14"/>
      <c r="O689" s="14"/>
      <c r="P689" s="14"/>
      <c r="Q689" s="14"/>
    </row>
    <row r="690" spans="5:17" ht="15.75" customHeight="1">
      <c r="E690" s="13"/>
      <c r="F690" s="13"/>
      <c r="L690" s="13"/>
      <c r="M690" s="14"/>
      <c r="N690" s="14"/>
      <c r="O690" s="14"/>
      <c r="P690" s="14"/>
      <c r="Q690" s="14"/>
    </row>
    <row r="691" spans="5:17" ht="15.75" customHeight="1">
      <c r="E691" s="13"/>
      <c r="F691" s="13"/>
      <c r="L691" s="13"/>
      <c r="M691" s="14"/>
      <c r="N691" s="14"/>
      <c r="O691" s="14"/>
      <c r="P691" s="14"/>
      <c r="Q691" s="14"/>
    </row>
    <row r="692" spans="5:17" ht="15.75" customHeight="1">
      <c r="E692" s="13"/>
      <c r="F692" s="13"/>
      <c r="L692" s="13"/>
      <c r="M692" s="14"/>
      <c r="N692" s="14"/>
      <c r="O692" s="14"/>
      <c r="P692" s="14"/>
      <c r="Q692" s="14"/>
    </row>
    <row r="693" spans="5:17" ht="15.75" customHeight="1">
      <c r="E693" s="13"/>
      <c r="F693" s="13"/>
      <c r="L693" s="13"/>
      <c r="M693" s="14"/>
      <c r="N693" s="14"/>
      <c r="O693" s="14"/>
      <c r="P693" s="14"/>
      <c r="Q693" s="14"/>
    </row>
    <row r="694" spans="5:17" ht="15.75" customHeight="1">
      <c r="E694" s="13"/>
      <c r="F694" s="13"/>
      <c r="L694" s="13"/>
      <c r="M694" s="14"/>
      <c r="N694" s="14"/>
      <c r="O694" s="14"/>
      <c r="P694" s="14"/>
      <c r="Q694" s="14"/>
    </row>
    <row r="695" spans="5:17" ht="15.75" customHeight="1">
      <c r="E695" s="13"/>
      <c r="F695" s="13"/>
      <c r="L695" s="13"/>
      <c r="M695" s="14"/>
      <c r="N695" s="14"/>
      <c r="O695" s="14"/>
      <c r="P695" s="14"/>
      <c r="Q695" s="14"/>
    </row>
    <row r="696" spans="5:17" ht="15.75" customHeight="1">
      <c r="E696" s="13"/>
      <c r="F696" s="13"/>
      <c r="L696" s="13"/>
      <c r="M696" s="14"/>
      <c r="N696" s="14"/>
      <c r="O696" s="14"/>
      <c r="P696" s="14"/>
      <c r="Q696" s="14"/>
    </row>
    <row r="697" spans="5:17" ht="15.75" customHeight="1">
      <c r="E697" s="13"/>
      <c r="F697" s="13"/>
      <c r="L697" s="13"/>
      <c r="M697" s="14"/>
      <c r="N697" s="14"/>
      <c r="O697" s="14"/>
      <c r="P697" s="14"/>
      <c r="Q697" s="14"/>
    </row>
    <row r="698" spans="5:17" ht="15.75" customHeight="1">
      <c r="E698" s="13"/>
      <c r="F698" s="13"/>
      <c r="L698" s="13"/>
      <c r="M698" s="14"/>
      <c r="N698" s="14"/>
      <c r="O698" s="14"/>
      <c r="P698" s="14"/>
      <c r="Q698" s="14"/>
    </row>
    <row r="699" spans="5:17" ht="15.75" customHeight="1">
      <c r="E699" s="13"/>
      <c r="F699" s="13"/>
      <c r="L699" s="13"/>
      <c r="M699" s="14"/>
      <c r="N699" s="14"/>
      <c r="O699" s="14"/>
      <c r="P699" s="14"/>
      <c r="Q699" s="14"/>
    </row>
    <row r="700" spans="5:17" ht="15.75" customHeight="1">
      <c r="E700" s="13"/>
      <c r="F700" s="13"/>
      <c r="L700" s="13"/>
      <c r="M700" s="14"/>
      <c r="N700" s="14"/>
      <c r="O700" s="14"/>
      <c r="P700" s="14"/>
      <c r="Q700" s="14"/>
    </row>
    <row r="701" spans="5:17" ht="15.75" customHeight="1">
      <c r="E701" s="13"/>
      <c r="F701" s="13"/>
      <c r="L701" s="13"/>
      <c r="M701" s="14"/>
      <c r="N701" s="14"/>
      <c r="O701" s="14"/>
      <c r="P701" s="14"/>
      <c r="Q701" s="14"/>
    </row>
    <row r="702" spans="5:17" ht="15.75" customHeight="1">
      <c r="E702" s="13"/>
      <c r="F702" s="13"/>
      <c r="L702" s="13"/>
      <c r="M702" s="14"/>
      <c r="N702" s="14"/>
      <c r="O702" s="14"/>
      <c r="P702" s="14"/>
      <c r="Q702" s="14"/>
    </row>
    <row r="703" spans="5:17" ht="15.75" customHeight="1">
      <c r="E703" s="13"/>
      <c r="F703" s="13"/>
      <c r="L703" s="13"/>
      <c r="M703" s="14"/>
      <c r="N703" s="14"/>
      <c r="O703" s="14"/>
      <c r="P703" s="14"/>
      <c r="Q703" s="14"/>
    </row>
    <row r="704" spans="5:17" ht="15.75" customHeight="1">
      <c r="E704" s="13"/>
      <c r="F704" s="13"/>
      <c r="L704" s="13"/>
      <c r="M704" s="14"/>
      <c r="N704" s="14"/>
      <c r="O704" s="14"/>
      <c r="P704" s="14"/>
      <c r="Q704" s="14"/>
    </row>
    <row r="705" spans="5:17" ht="15.75" customHeight="1">
      <c r="E705" s="13"/>
      <c r="F705" s="13"/>
      <c r="L705" s="13"/>
      <c r="M705" s="14"/>
      <c r="N705" s="14"/>
      <c r="O705" s="14"/>
      <c r="P705" s="14"/>
      <c r="Q705" s="14"/>
    </row>
    <row r="706" spans="5:17" ht="15.75" customHeight="1">
      <c r="E706" s="13"/>
      <c r="F706" s="13"/>
      <c r="L706" s="13"/>
      <c r="M706" s="14"/>
      <c r="N706" s="14"/>
      <c r="O706" s="14"/>
      <c r="P706" s="14"/>
      <c r="Q706" s="14"/>
    </row>
    <row r="707" spans="5:17" ht="15.75" customHeight="1">
      <c r="E707" s="13"/>
      <c r="F707" s="13"/>
      <c r="L707" s="13"/>
      <c r="M707" s="14"/>
      <c r="N707" s="14"/>
      <c r="O707" s="14"/>
      <c r="P707" s="14"/>
      <c r="Q707" s="14"/>
    </row>
    <row r="708" spans="5:17" ht="15.75" customHeight="1">
      <c r="E708" s="13"/>
      <c r="F708" s="13"/>
      <c r="L708" s="13"/>
      <c r="M708" s="14"/>
      <c r="N708" s="14"/>
      <c r="O708" s="14"/>
      <c r="P708" s="14"/>
      <c r="Q708" s="14"/>
    </row>
    <row r="709" spans="5:17" ht="15.75" customHeight="1">
      <c r="E709" s="13"/>
      <c r="F709" s="13"/>
      <c r="L709" s="13"/>
      <c r="M709" s="14"/>
      <c r="N709" s="14"/>
      <c r="O709" s="14"/>
      <c r="P709" s="14"/>
      <c r="Q709" s="14"/>
    </row>
    <row r="710" spans="5:17" ht="15.75" customHeight="1">
      <c r="E710" s="13"/>
      <c r="F710" s="13"/>
      <c r="L710" s="13"/>
      <c r="M710" s="14"/>
      <c r="N710" s="14"/>
      <c r="O710" s="14"/>
      <c r="P710" s="14"/>
      <c r="Q710" s="14"/>
    </row>
    <row r="711" spans="5:17" ht="15.75" customHeight="1">
      <c r="E711" s="13"/>
      <c r="F711" s="13"/>
      <c r="L711" s="13"/>
      <c r="M711" s="14"/>
      <c r="N711" s="14"/>
      <c r="O711" s="14"/>
      <c r="P711" s="14"/>
      <c r="Q711" s="14"/>
    </row>
    <row r="712" spans="5:17" ht="15.75" customHeight="1">
      <c r="E712" s="13"/>
      <c r="F712" s="13"/>
      <c r="L712" s="13"/>
      <c r="M712" s="14"/>
      <c r="N712" s="14"/>
      <c r="O712" s="14"/>
      <c r="P712" s="14"/>
      <c r="Q712" s="14"/>
    </row>
    <row r="713" spans="5:17" ht="15.75" customHeight="1">
      <c r="E713" s="13"/>
      <c r="F713" s="13"/>
      <c r="L713" s="13"/>
      <c r="M713" s="14"/>
      <c r="N713" s="14"/>
      <c r="O713" s="14"/>
      <c r="P713" s="14"/>
      <c r="Q713" s="14"/>
    </row>
    <row r="714" spans="5:17" ht="15.75" customHeight="1">
      <c r="E714" s="13"/>
      <c r="F714" s="13"/>
      <c r="L714" s="13"/>
      <c r="M714" s="14"/>
      <c r="N714" s="14"/>
      <c r="O714" s="14"/>
      <c r="P714" s="14"/>
      <c r="Q714" s="14"/>
    </row>
    <row r="715" spans="5:17" ht="15.75" customHeight="1">
      <c r="E715" s="13"/>
      <c r="F715" s="13"/>
      <c r="L715" s="13"/>
      <c r="M715" s="14"/>
      <c r="N715" s="14"/>
      <c r="O715" s="14"/>
      <c r="P715" s="14"/>
      <c r="Q715" s="14"/>
    </row>
    <row r="716" spans="5:17" ht="15.75" customHeight="1">
      <c r="E716" s="13"/>
      <c r="F716" s="13"/>
      <c r="L716" s="13"/>
      <c r="M716" s="14"/>
      <c r="N716" s="14"/>
      <c r="O716" s="14"/>
      <c r="P716" s="14"/>
      <c r="Q716" s="14"/>
    </row>
    <row r="717" spans="5:17" ht="15.75" customHeight="1">
      <c r="E717" s="13"/>
      <c r="F717" s="13"/>
      <c r="L717" s="13"/>
      <c r="M717" s="14"/>
      <c r="N717" s="14"/>
      <c r="O717" s="14"/>
      <c r="P717" s="14"/>
      <c r="Q717" s="14"/>
    </row>
    <row r="718" spans="5:17" ht="15.75" customHeight="1">
      <c r="E718" s="13"/>
      <c r="F718" s="13"/>
      <c r="L718" s="13"/>
      <c r="M718" s="14"/>
      <c r="N718" s="14"/>
      <c r="O718" s="14"/>
      <c r="P718" s="14"/>
      <c r="Q718" s="14"/>
    </row>
    <row r="719" spans="5:17" ht="15.75" customHeight="1">
      <c r="E719" s="13"/>
      <c r="F719" s="13"/>
      <c r="L719" s="13"/>
      <c r="M719" s="14"/>
      <c r="N719" s="14"/>
      <c r="O719" s="14"/>
      <c r="P719" s="14"/>
      <c r="Q719" s="14"/>
    </row>
    <row r="720" spans="5:17" ht="15.75" customHeight="1">
      <c r="E720" s="13"/>
      <c r="F720" s="13"/>
      <c r="L720" s="13"/>
      <c r="M720" s="14"/>
      <c r="N720" s="14"/>
      <c r="O720" s="14"/>
      <c r="P720" s="14"/>
      <c r="Q720" s="14"/>
    </row>
    <row r="721" spans="5:17" ht="15.75" customHeight="1">
      <c r="E721" s="13"/>
      <c r="F721" s="13"/>
      <c r="L721" s="13"/>
      <c r="M721" s="14"/>
      <c r="N721" s="14"/>
      <c r="O721" s="14"/>
      <c r="P721" s="14"/>
      <c r="Q721" s="14"/>
    </row>
    <row r="722" spans="5:17" ht="15.75" customHeight="1">
      <c r="E722" s="13"/>
      <c r="F722" s="13"/>
      <c r="L722" s="13"/>
      <c r="M722" s="14"/>
      <c r="N722" s="14"/>
      <c r="O722" s="14"/>
      <c r="P722" s="14"/>
      <c r="Q722" s="14"/>
    </row>
    <row r="723" spans="5:17" ht="15.75" customHeight="1">
      <c r="E723" s="13"/>
      <c r="F723" s="13"/>
      <c r="L723" s="13"/>
      <c r="M723" s="14"/>
      <c r="N723" s="14"/>
      <c r="O723" s="14"/>
      <c r="P723" s="14"/>
      <c r="Q723" s="14"/>
    </row>
    <row r="724" spans="5:17" ht="15.75" customHeight="1">
      <c r="E724" s="13"/>
      <c r="F724" s="13"/>
      <c r="L724" s="13"/>
      <c r="M724" s="14"/>
      <c r="N724" s="14"/>
      <c r="O724" s="14"/>
      <c r="P724" s="14"/>
      <c r="Q724" s="14"/>
    </row>
    <row r="725" spans="5:17" ht="15.75" customHeight="1">
      <c r="E725" s="13"/>
      <c r="F725" s="13"/>
      <c r="L725" s="13"/>
      <c r="M725" s="14"/>
      <c r="N725" s="14"/>
      <c r="O725" s="14"/>
      <c r="P725" s="14"/>
      <c r="Q725" s="14"/>
    </row>
    <row r="726" spans="5:17" ht="15.75" customHeight="1">
      <c r="E726" s="13"/>
      <c r="F726" s="13"/>
      <c r="L726" s="13"/>
      <c r="M726" s="14"/>
      <c r="N726" s="14"/>
      <c r="O726" s="14"/>
      <c r="P726" s="14"/>
      <c r="Q726" s="14"/>
    </row>
    <row r="727" spans="5:17" ht="15.75" customHeight="1">
      <c r="E727" s="13"/>
      <c r="F727" s="13"/>
      <c r="L727" s="13"/>
      <c r="M727" s="14"/>
      <c r="N727" s="14"/>
      <c r="O727" s="14"/>
      <c r="P727" s="14"/>
      <c r="Q727" s="14"/>
    </row>
    <row r="728" spans="5:17" ht="15.75" customHeight="1">
      <c r="E728" s="13"/>
      <c r="F728" s="13"/>
      <c r="L728" s="13"/>
      <c r="M728" s="14"/>
      <c r="N728" s="14"/>
      <c r="O728" s="14"/>
      <c r="P728" s="14"/>
      <c r="Q728" s="14"/>
    </row>
    <row r="729" spans="5:17" ht="15.75" customHeight="1">
      <c r="E729" s="13"/>
      <c r="F729" s="13"/>
      <c r="L729" s="13"/>
      <c r="M729" s="14"/>
      <c r="N729" s="14"/>
      <c r="O729" s="14"/>
      <c r="P729" s="14"/>
      <c r="Q729" s="14"/>
    </row>
    <row r="730" spans="5:17" ht="15.75" customHeight="1">
      <c r="E730" s="13"/>
      <c r="F730" s="13"/>
      <c r="L730" s="13"/>
      <c r="M730" s="14"/>
      <c r="N730" s="14"/>
      <c r="O730" s="14"/>
      <c r="P730" s="14"/>
      <c r="Q730" s="14"/>
    </row>
    <row r="731" spans="5:17" ht="15.75" customHeight="1">
      <c r="E731" s="13"/>
      <c r="F731" s="13"/>
      <c r="L731" s="13"/>
      <c r="M731" s="14"/>
      <c r="N731" s="14"/>
      <c r="O731" s="14"/>
      <c r="P731" s="14"/>
      <c r="Q731" s="14"/>
    </row>
    <row r="732" spans="5:17" ht="15.75" customHeight="1">
      <c r="E732" s="13"/>
      <c r="F732" s="13"/>
      <c r="L732" s="13"/>
      <c r="M732" s="14"/>
      <c r="N732" s="14"/>
      <c r="O732" s="14"/>
      <c r="P732" s="14"/>
      <c r="Q732" s="14"/>
    </row>
    <row r="733" spans="5:17" ht="15.75" customHeight="1">
      <c r="E733" s="13"/>
      <c r="F733" s="13"/>
      <c r="L733" s="13"/>
      <c r="M733" s="14"/>
      <c r="N733" s="14"/>
      <c r="O733" s="14"/>
      <c r="P733" s="14"/>
      <c r="Q733" s="14"/>
    </row>
    <row r="734" spans="5:17" ht="15.75" customHeight="1">
      <c r="E734" s="13"/>
      <c r="F734" s="13"/>
      <c r="L734" s="13"/>
      <c r="M734" s="14"/>
      <c r="N734" s="14"/>
      <c r="O734" s="14"/>
      <c r="P734" s="14"/>
      <c r="Q734" s="14"/>
    </row>
    <row r="735" spans="5:17" ht="15.75" customHeight="1">
      <c r="E735" s="13"/>
      <c r="F735" s="13"/>
      <c r="L735" s="13"/>
      <c r="M735" s="14"/>
      <c r="N735" s="14"/>
      <c r="O735" s="14"/>
      <c r="P735" s="14"/>
      <c r="Q735" s="14"/>
    </row>
    <row r="736" spans="5:17" ht="15.75" customHeight="1">
      <c r="E736" s="13"/>
      <c r="F736" s="13"/>
      <c r="L736" s="13"/>
      <c r="M736" s="14"/>
      <c r="N736" s="14"/>
      <c r="O736" s="14"/>
      <c r="P736" s="14"/>
      <c r="Q736" s="14"/>
    </row>
    <row r="737" spans="5:17" ht="15.75" customHeight="1">
      <c r="E737" s="13"/>
      <c r="F737" s="13"/>
      <c r="L737" s="13"/>
      <c r="M737" s="14"/>
      <c r="N737" s="14"/>
      <c r="O737" s="14"/>
      <c r="P737" s="14"/>
      <c r="Q737" s="14"/>
    </row>
    <row r="738" spans="5:17" ht="15.75" customHeight="1">
      <c r="E738" s="13"/>
      <c r="F738" s="13"/>
      <c r="L738" s="13"/>
      <c r="M738" s="14"/>
      <c r="N738" s="14"/>
      <c r="O738" s="14"/>
      <c r="P738" s="14"/>
      <c r="Q738" s="14"/>
    </row>
    <row r="739" spans="5:17" ht="15.75" customHeight="1">
      <c r="E739" s="13"/>
      <c r="F739" s="13"/>
      <c r="L739" s="13"/>
      <c r="M739" s="14"/>
      <c r="N739" s="14"/>
      <c r="O739" s="14"/>
      <c r="P739" s="14"/>
      <c r="Q739" s="14"/>
    </row>
    <row r="740" spans="5:17" ht="15.75" customHeight="1">
      <c r="E740" s="13"/>
      <c r="F740" s="13"/>
      <c r="L740" s="13"/>
      <c r="M740" s="14"/>
      <c r="N740" s="14"/>
      <c r="O740" s="14"/>
      <c r="P740" s="14"/>
      <c r="Q740" s="14"/>
    </row>
    <row r="741" spans="5:17" ht="15.75" customHeight="1">
      <c r="E741" s="13"/>
      <c r="F741" s="13"/>
      <c r="L741" s="13"/>
      <c r="M741" s="14"/>
      <c r="N741" s="14"/>
      <c r="O741" s="14"/>
      <c r="P741" s="14"/>
      <c r="Q741" s="14"/>
    </row>
    <row r="742" spans="5:17" ht="15.75" customHeight="1">
      <c r="E742" s="13"/>
      <c r="F742" s="13"/>
      <c r="L742" s="13"/>
      <c r="M742" s="14"/>
      <c r="N742" s="14"/>
      <c r="O742" s="14"/>
      <c r="P742" s="14"/>
      <c r="Q742" s="14"/>
    </row>
    <row r="743" spans="5:17" ht="15.75" customHeight="1">
      <c r="E743" s="13"/>
      <c r="F743" s="13"/>
      <c r="L743" s="13"/>
      <c r="M743" s="14"/>
      <c r="N743" s="14"/>
      <c r="O743" s="14"/>
      <c r="P743" s="14"/>
      <c r="Q743" s="14"/>
    </row>
    <row r="744" spans="5:17" ht="15.75" customHeight="1">
      <c r="E744" s="13"/>
      <c r="F744" s="13"/>
      <c r="L744" s="13"/>
      <c r="M744" s="14"/>
      <c r="N744" s="14"/>
      <c r="O744" s="14"/>
      <c r="P744" s="14"/>
      <c r="Q744" s="14"/>
    </row>
    <row r="745" spans="5:17" ht="15.75" customHeight="1">
      <c r="E745" s="13"/>
      <c r="F745" s="13"/>
      <c r="L745" s="13"/>
      <c r="M745" s="14"/>
      <c r="N745" s="14"/>
      <c r="O745" s="14"/>
      <c r="P745" s="14"/>
      <c r="Q745" s="14"/>
    </row>
    <row r="746" spans="5:17" ht="15.75" customHeight="1">
      <c r="E746" s="13"/>
      <c r="F746" s="13"/>
      <c r="L746" s="13"/>
      <c r="M746" s="14"/>
      <c r="N746" s="14"/>
      <c r="O746" s="14"/>
      <c r="P746" s="14"/>
      <c r="Q746" s="14"/>
    </row>
    <row r="747" spans="5:17" ht="15.75" customHeight="1">
      <c r="E747" s="13"/>
      <c r="F747" s="13"/>
      <c r="L747" s="13"/>
      <c r="M747" s="14"/>
      <c r="N747" s="14"/>
      <c r="O747" s="14"/>
      <c r="P747" s="14"/>
      <c r="Q747" s="14"/>
    </row>
    <row r="748" spans="5:17" ht="15.75" customHeight="1">
      <c r="E748" s="13"/>
      <c r="F748" s="13"/>
      <c r="L748" s="13"/>
      <c r="M748" s="14"/>
      <c r="N748" s="14"/>
      <c r="O748" s="14"/>
      <c r="P748" s="14"/>
      <c r="Q748" s="14"/>
    </row>
    <row r="749" spans="5:17" ht="15.75" customHeight="1">
      <c r="E749" s="13"/>
      <c r="F749" s="13"/>
      <c r="L749" s="13"/>
      <c r="M749" s="14"/>
      <c r="N749" s="14"/>
      <c r="O749" s="14"/>
      <c r="P749" s="14"/>
      <c r="Q749" s="14"/>
    </row>
    <row r="750" spans="5:17" ht="15.75" customHeight="1">
      <c r="E750" s="13"/>
      <c r="F750" s="13"/>
      <c r="L750" s="13"/>
      <c r="M750" s="14"/>
      <c r="N750" s="14"/>
      <c r="O750" s="14"/>
      <c r="P750" s="14"/>
      <c r="Q750" s="14"/>
    </row>
    <row r="751" spans="5:17" ht="15.75" customHeight="1">
      <c r="E751" s="13"/>
      <c r="F751" s="13"/>
      <c r="L751" s="13"/>
      <c r="M751" s="14"/>
      <c r="N751" s="14"/>
      <c r="O751" s="14"/>
      <c r="P751" s="14"/>
      <c r="Q751" s="14"/>
    </row>
    <row r="752" spans="5:17" ht="15.75" customHeight="1">
      <c r="E752" s="13"/>
      <c r="F752" s="13"/>
      <c r="L752" s="13"/>
      <c r="M752" s="14"/>
      <c r="N752" s="14"/>
      <c r="O752" s="14"/>
      <c r="P752" s="14"/>
      <c r="Q752" s="14"/>
    </row>
    <row r="753" spans="5:17" ht="15.75" customHeight="1">
      <c r="E753" s="13"/>
      <c r="F753" s="13"/>
      <c r="L753" s="13"/>
      <c r="M753" s="14"/>
      <c r="N753" s="14"/>
      <c r="O753" s="14"/>
      <c r="P753" s="14"/>
      <c r="Q753" s="14"/>
    </row>
    <row r="754" spans="5:17" ht="15.75" customHeight="1">
      <c r="E754" s="13"/>
      <c r="F754" s="13"/>
      <c r="L754" s="13"/>
      <c r="M754" s="14"/>
      <c r="N754" s="14"/>
      <c r="O754" s="14"/>
      <c r="P754" s="14"/>
      <c r="Q754" s="14"/>
    </row>
    <row r="755" spans="5:17" ht="15.75" customHeight="1">
      <c r="E755" s="13"/>
      <c r="F755" s="13"/>
      <c r="L755" s="13"/>
      <c r="M755" s="14"/>
      <c r="N755" s="14"/>
      <c r="O755" s="14"/>
      <c r="P755" s="14"/>
      <c r="Q755" s="14"/>
    </row>
    <row r="756" spans="5:17" ht="15.75" customHeight="1">
      <c r="E756" s="13"/>
      <c r="F756" s="13"/>
      <c r="L756" s="13"/>
      <c r="M756" s="14"/>
      <c r="N756" s="14"/>
      <c r="O756" s="14"/>
      <c r="P756" s="14"/>
      <c r="Q756" s="14"/>
    </row>
    <row r="757" spans="5:17" ht="15.75" customHeight="1">
      <c r="E757" s="13"/>
      <c r="F757" s="13"/>
      <c r="L757" s="13"/>
      <c r="M757" s="14"/>
      <c r="N757" s="14"/>
      <c r="O757" s="14"/>
      <c r="P757" s="14"/>
      <c r="Q757" s="14"/>
    </row>
    <row r="758" spans="5:17" ht="15.75" customHeight="1">
      <c r="E758" s="13"/>
      <c r="F758" s="13"/>
      <c r="L758" s="13"/>
      <c r="M758" s="14"/>
      <c r="N758" s="14"/>
      <c r="O758" s="14"/>
      <c r="P758" s="14"/>
      <c r="Q758" s="14"/>
    </row>
    <row r="759" spans="5:17" ht="15.75" customHeight="1">
      <c r="E759" s="13"/>
      <c r="F759" s="13"/>
      <c r="L759" s="13"/>
      <c r="M759" s="14"/>
      <c r="N759" s="14"/>
      <c r="O759" s="14"/>
      <c r="P759" s="14"/>
      <c r="Q759" s="14"/>
    </row>
    <row r="760" spans="5:17" ht="15.75" customHeight="1">
      <c r="E760" s="13"/>
      <c r="F760" s="13"/>
      <c r="L760" s="13"/>
      <c r="M760" s="14"/>
      <c r="N760" s="14"/>
      <c r="O760" s="14"/>
      <c r="P760" s="14"/>
      <c r="Q760" s="14"/>
    </row>
    <row r="761" spans="5:17" ht="15.75" customHeight="1">
      <c r="E761" s="13"/>
      <c r="F761" s="13"/>
      <c r="L761" s="13"/>
      <c r="M761" s="14"/>
      <c r="N761" s="14"/>
      <c r="O761" s="14"/>
      <c r="P761" s="14"/>
      <c r="Q761" s="14"/>
    </row>
    <row r="762" spans="5:17" ht="15.75" customHeight="1">
      <c r="E762" s="13"/>
      <c r="F762" s="13"/>
      <c r="L762" s="13"/>
      <c r="M762" s="14"/>
      <c r="N762" s="14"/>
      <c r="O762" s="14"/>
      <c r="P762" s="14"/>
      <c r="Q762" s="14"/>
    </row>
    <row r="763" spans="5:17" ht="15.75" customHeight="1">
      <c r="E763" s="13"/>
      <c r="F763" s="13"/>
      <c r="L763" s="13"/>
      <c r="M763" s="14"/>
      <c r="N763" s="14"/>
      <c r="O763" s="14"/>
      <c r="P763" s="14"/>
      <c r="Q763" s="14"/>
    </row>
    <row r="764" spans="5:17" ht="15.75" customHeight="1">
      <c r="E764" s="13"/>
      <c r="F764" s="13"/>
      <c r="L764" s="13"/>
      <c r="M764" s="14"/>
      <c r="N764" s="14"/>
      <c r="O764" s="14"/>
      <c r="P764" s="14"/>
      <c r="Q764" s="14"/>
    </row>
    <row r="765" spans="5:17" ht="15.75" customHeight="1">
      <c r="E765" s="13"/>
      <c r="F765" s="13"/>
      <c r="L765" s="13"/>
      <c r="M765" s="14"/>
      <c r="N765" s="14"/>
      <c r="O765" s="14"/>
      <c r="P765" s="14"/>
      <c r="Q765" s="14"/>
    </row>
    <row r="766" spans="5:17" ht="15.75" customHeight="1">
      <c r="E766" s="13"/>
      <c r="F766" s="13"/>
      <c r="L766" s="13"/>
      <c r="M766" s="14"/>
      <c r="N766" s="14"/>
      <c r="O766" s="14"/>
      <c r="P766" s="14"/>
      <c r="Q766" s="14"/>
    </row>
    <row r="767" spans="5:17" ht="15.75" customHeight="1">
      <c r="E767" s="13"/>
      <c r="F767" s="13"/>
      <c r="L767" s="13"/>
      <c r="M767" s="14"/>
      <c r="N767" s="14"/>
      <c r="O767" s="14"/>
      <c r="P767" s="14"/>
      <c r="Q767" s="14"/>
    </row>
    <row r="768" spans="5:17" ht="15.75" customHeight="1">
      <c r="E768" s="13"/>
      <c r="F768" s="13"/>
      <c r="L768" s="13"/>
      <c r="M768" s="14"/>
      <c r="N768" s="14"/>
      <c r="O768" s="14"/>
      <c r="P768" s="14"/>
      <c r="Q768" s="14"/>
    </row>
    <row r="769" spans="5:17" ht="15.75" customHeight="1">
      <c r="E769" s="13"/>
      <c r="F769" s="13"/>
      <c r="L769" s="13"/>
      <c r="M769" s="14"/>
      <c r="N769" s="14"/>
      <c r="O769" s="14"/>
      <c r="P769" s="14"/>
      <c r="Q769" s="14"/>
    </row>
    <row r="770" spans="5:17" ht="15.75" customHeight="1">
      <c r="E770" s="13"/>
      <c r="F770" s="13"/>
      <c r="L770" s="13"/>
      <c r="M770" s="14"/>
      <c r="N770" s="14"/>
      <c r="O770" s="14"/>
      <c r="P770" s="14"/>
      <c r="Q770" s="14"/>
    </row>
    <row r="771" spans="5:17" ht="15.75" customHeight="1">
      <c r="E771" s="13"/>
      <c r="F771" s="13"/>
      <c r="L771" s="13"/>
      <c r="M771" s="14"/>
      <c r="N771" s="14"/>
      <c r="O771" s="14"/>
      <c r="P771" s="14"/>
      <c r="Q771" s="14"/>
    </row>
    <row r="772" spans="5:17" ht="15.75" customHeight="1">
      <c r="E772" s="13"/>
      <c r="F772" s="13"/>
      <c r="L772" s="13"/>
      <c r="M772" s="14"/>
      <c r="N772" s="14"/>
      <c r="O772" s="14"/>
      <c r="P772" s="14"/>
      <c r="Q772" s="14"/>
    </row>
    <row r="773" spans="5:17" ht="15.75" customHeight="1">
      <c r="E773" s="13"/>
      <c r="F773" s="13"/>
      <c r="L773" s="13"/>
      <c r="M773" s="14"/>
      <c r="N773" s="14"/>
      <c r="O773" s="14"/>
      <c r="P773" s="14"/>
      <c r="Q773" s="14"/>
    </row>
    <row r="774" spans="5:17" ht="15.75" customHeight="1">
      <c r="E774" s="13"/>
      <c r="F774" s="13"/>
      <c r="L774" s="13"/>
      <c r="M774" s="14"/>
      <c r="N774" s="14"/>
      <c r="O774" s="14"/>
      <c r="P774" s="14"/>
      <c r="Q774" s="14"/>
    </row>
    <row r="775" spans="5:17" ht="15.75" customHeight="1">
      <c r="E775" s="13"/>
      <c r="F775" s="13"/>
      <c r="L775" s="13"/>
      <c r="M775" s="14"/>
      <c r="N775" s="14"/>
      <c r="O775" s="14"/>
      <c r="P775" s="14"/>
      <c r="Q775" s="14"/>
    </row>
    <row r="776" spans="5:17" ht="15.75" customHeight="1">
      <c r="E776" s="13"/>
      <c r="F776" s="13"/>
      <c r="L776" s="13"/>
      <c r="M776" s="14"/>
      <c r="N776" s="14"/>
      <c r="O776" s="14"/>
      <c r="P776" s="14"/>
      <c r="Q776" s="14"/>
    </row>
    <row r="777" spans="5:17" ht="15.75" customHeight="1">
      <c r="E777" s="13"/>
      <c r="F777" s="13"/>
      <c r="L777" s="13"/>
      <c r="M777" s="14"/>
      <c r="N777" s="14"/>
      <c r="O777" s="14"/>
      <c r="P777" s="14"/>
      <c r="Q777" s="14"/>
    </row>
    <row r="778" spans="5:17" ht="15.75" customHeight="1">
      <c r="E778" s="13"/>
      <c r="F778" s="13"/>
      <c r="L778" s="13"/>
      <c r="M778" s="14"/>
      <c r="N778" s="14"/>
      <c r="O778" s="14"/>
      <c r="P778" s="14"/>
      <c r="Q778" s="14"/>
    </row>
    <row r="779" spans="5:17" ht="15.75" customHeight="1">
      <c r="E779" s="13"/>
      <c r="F779" s="13"/>
      <c r="L779" s="13"/>
      <c r="M779" s="14"/>
      <c r="N779" s="14"/>
      <c r="O779" s="14"/>
      <c r="P779" s="14"/>
      <c r="Q779" s="14"/>
    </row>
    <row r="780" spans="5:17" ht="15.75" customHeight="1">
      <c r="E780" s="13"/>
      <c r="F780" s="13"/>
      <c r="L780" s="13"/>
      <c r="M780" s="14"/>
      <c r="N780" s="14"/>
      <c r="O780" s="14"/>
      <c r="P780" s="14"/>
      <c r="Q780" s="14"/>
    </row>
    <row r="781" spans="5:17" ht="15.75" customHeight="1">
      <c r="E781" s="13"/>
      <c r="F781" s="13"/>
      <c r="L781" s="13"/>
      <c r="M781" s="14"/>
      <c r="N781" s="14"/>
      <c r="O781" s="14"/>
      <c r="P781" s="14"/>
      <c r="Q781" s="14"/>
    </row>
    <row r="782" spans="5:17" ht="15.75" customHeight="1">
      <c r="E782" s="13"/>
      <c r="F782" s="13"/>
      <c r="L782" s="13"/>
      <c r="M782" s="14"/>
      <c r="N782" s="14"/>
      <c r="O782" s="14"/>
      <c r="P782" s="14"/>
      <c r="Q782" s="14"/>
    </row>
    <row r="783" spans="5:17" ht="15.75" customHeight="1">
      <c r="E783" s="13"/>
      <c r="F783" s="13"/>
      <c r="L783" s="13"/>
      <c r="M783" s="14"/>
      <c r="N783" s="14"/>
      <c r="O783" s="14"/>
      <c r="P783" s="14"/>
      <c r="Q783" s="14"/>
    </row>
    <row r="784" spans="5:17" ht="15.75" customHeight="1">
      <c r="E784" s="13"/>
      <c r="F784" s="13"/>
      <c r="L784" s="13"/>
      <c r="M784" s="14"/>
      <c r="N784" s="14"/>
      <c r="O784" s="14"/>
      <c r="P784" s="14"/>
      <c r="Q784" s="14"/>
    </row>
    <row r="785" spans="5:17" ht="15.75" customHeight="1">
      <c r="E785" s="13"/>
      <c r="F785" s="13"/>
      <c r="L785" s="13"/>
      <c r="M785" s="14"/>
      <c r="N785" s="14"/>
      <c r="O785" s="14"/>
      <c r="P785" s="14"/>
      <c r="Q785" s="14"/>
    </row>
    <row r="786" spans="5:17" ht="15.75" customHeight="1">
      <c r="E786" s="13"/>
      <c r="F786" s="13"/>
      <c r="L786" s="13"/>
      <c r="M786" s="14"/>
      <c r="N786" s="14"/>
      <c r="O786" s="14"/>
      <c r="P786" s="14"/>
      <c r="Q786" s="14"/>
    </row>
    <row r="787" spans="5:17" ht="15.75" customHeight="1">
      <c r="E787" s="13"/>
      <c r="F787" s="13"/>
      <c r="L787" s="13"/>
      <c r="M787" s="14"/>
      <c r="N787" s="14"/>
      <c r="O787" s="14"/>
      <c r="P787" s="14"/>
      <c r="Q787" s="14"/>
    </row>
    <row r="788" spans="5:17" ht="15.75" customHeight="1">
      <c r="E788" s="13"/>
      <c r="F788" s="13"/>
      <c r="L788" s="13"/>
      <c r="M788" s="14"/>
      <c r="N788" s="14"/>
      <c r="O788" s="14"/>
      <c r="P788" s="14"/>
      <c r="Q788" s="14"/>
    </row>
    <row r="789" spans="5:17" ht="15.75" customHeight="1">
      <c r="E789" s="13"/>
      <c r="F789" s="13"/>
      <c r="L789" s="13"/>
      <c r="M789" s="14"/>
      <c r="N789" s="14"/>
      <c r="O789" s="14"/>
      <c r="P789" s="14"/>
      <c r="Q789" s="14"/>
    </row>
    <row r="790" spans="5:17" ht="15.75" customHeight="1">
      <c r="E790" s="13"/>
      <c r="F790" s="13"/>
      <c r="L790" s="13"/>
      <c r="M790" s="14"/>
      <c r="N790" s="14"/>
      <c r="O790" s="14"/>
      <c r="P790" s="14"/>
      <c r="Q790" s="14"/>
    </row>
    <row r="791" spans="5:17" ht="15.75" customHeight="1">
      <c r="E791" s="13"/>
      <c r="F791" s="13"/>
      <c r="L791" s="13"/>
      <c r="M791" s="14"/>
      <c r="N791" s="14"/>
      <c r="O791" s="14"/>
      <c r="P791" s="14"/>
      <c r="Q791" s="14"/>
    </row>
    <row r="792" spans="5:17" ht="15.75" customHeight="1">
      <c r="E792" s="13"/>
      <c r="F792" s="13"/>
      <c r="L792" s="13"/>
      <c r="M792" s="14"/>
      <c r="N792" s="14"/>
      <c r="O792" s="14"/>
      <c r="P792" s="14"/>
      <c r="Q792" s="14"/>
    </row>
    <row r="793" spans="5:17" ht="15.75" customHeight="1">
      <c r="E793" s="13"/>
      <c r="F793" s="13"/>
      <c r="L793" s="13"/>
      <c r="M793" s="14"/>
      <c r="N793" s="14"/>
      <c r="O793" s="14"/>
      <c r="P793" s="14"/>
      <c r="Q793" s="14"/>
    </row>
    <row r="794" spans="5:17" ht="15.75" customHeight="1">
      <c r="E794" s="13"/>
      <c r="F794" s="13"/>
      <c r="L794" s="13"/>
      <c r="M794" s="14"/>
      <c r="N794" s="14"/>
      <c r="O794" s="14"/>
      <c r="P794" s="14"/>
      <c r="Q794" s="14"/>
    </row>
    <row r="795" spans="5:17" ht="15.75" customHeight="1">
      <c r="E795" s="13"/>
      <c r="F795" s="13"/>
      <c r="L795" s="13"/>
      <c r="M795" s="14"/>
      <c r="N795" s="14"/>
      <c r="O795" s="14"/>
      <c r="P795" s="14"/>
      <c r="Q795" s="14"/>
    </row>
    <row r="796" spans="5:17" ht="15.75" customHeight="1">
      <c r="E796" s="13"/>
      <c r="F796" s="13"/>
      <c r="L796" s="13"/>
      <c r="M796" s="14"/>
      <c r="N796" s="14"/>
      <c r="O796" s="14"/>
      <c r="P796" s="14"/>
      <c r="Q796" s="14"/>
    </row>
    <row r="797" spans="5:17" ht="15.75" customHeight="1">
      <c r="E797" s="13"/>
      <c r="F797" s="13"/>
      <c r="L797" s="13"/>
      <c r="M797" s="14"/>
      <c r="N797" s="14"/>
      <c r="O797" s="14"/>
      <c r="P797" s="14"/>
      <c r="Q797" s="14"/>
    </row>
    <row r="798" spans="5:17" ht="15.75" customHeight="1">
      <c r="E798" s="13"/>
      <c r="F798" s="13"/>
      <c r="L798" s="13"/>
      <c r="M798" s="14"/>
      <c r="N798" s="14"/>
      <c r="O798" s="14"/>
      <c r="P798" s="14"/>
      <c r="Q798" s="14"/>
    </row>
    <row r="799" spans="5:17" ht="15.75" customHeight="1">
      <c r="E799" s="13"/>
      <c r="F799" s="13"/>
      <c r="L799" s="13"/>
      <c r="M799" s="14"/>
      <c r="N799" s="14"/>
      <c r="O799" s="14"/>
      <c r="P799" s="14"/>
      <c r="Q799" s="14"/>
    </row>
    <row r="800" spans="5:17" ht="15.75" customHeight="1">
      <c r="E800" s="13"/>
      <c r="F800" s="13"/>
      <c r="L800" s="13"/>
      <c r="M800" s="14"/>
      <c r="N800" s="14"/>
      <c r="O800" s="14"/>
      <c r="P800" s="14"/>
      <c r="Q800" s="14"/>
    </row>
    <row r="801" spans="5:17" ht="15.75" customHeight="1">
      <c r="E801" s="13"/>
      <c r="F801" s="13"/>
      <c r="L801" s="13"/>
      <c r="M801" s="14"/>
      <c r="N801" s="14"/>
      <c r="O801" s="14"/>
      <c r="P801" s="14"/>
      <c r="Q801" s="14"/>
    </row>
    <row r="802" spans="5:17" ht="15.75" customHeight="1">
      <c r="E802" s="13"/>
      <c r="F802" s="13"/>
      <c r="L802" s="13"/>
      <c r="M802" s="14"/>
      <c r="N802" s="14"/>
      <c r="O802" s="14"/>
      <c r="P802" s="14"/>
      <c r="Q802" s="14"/>
    </row>
    <row r="803" spans="5:17" ht="15.75" customHeight="1">
      <c r="E803" s="13"/>
      <c r="F803" s="13"/>
      <c r="L803" s="13"/>
      <c r="M803" s="14"/>
      <c r="N803" s="14"/>
      <c r="O803" s="14"/>
      <c r="P803" s="14"/>
      <c r="Q803" s="14"/>
    </row>
    <row r="804" spans="5:17" ht="15.75" customHeight="1">
      <c r="E804" s="13"/>
      <c r="F804" s="13"/>
      <c r="L804" s="13"/>
      <c r="M804" s="14"/>
      <c r="N804" s="14"/>
      <c r="O804" s="14"/>
      <c r="P804" s="14"/>
      <c r="Q804" s="14"/>
    </row>
    <row r="805" spans="5:17" ht="15.75" customHeight="1">
      <c r="E805" s="13"/>
      <c r="F805" s="13"/>
      <c r="L805" s="13"/>
      <c r="M805" s="14"/>
      <c r="N805" s="14"/>
      <c r="O805" s="14"/>
      <c r="P805" s="14"/>
      <c r="Q805" s="14"/>
    </row>
    <row r="806" spans="5:17" ht="15.75" customHeight="1">
      <c r="E806" s="13"/>
      <c r="F806" s="13"/>
      <c r="L806" s="13"/>
      <c r="M806" s="14"/>
      <c r="N806" s="14"/>
      <c r="O806" s="14"/>
      <c r="P806" s="14"/>
      <c r="Q806" s="14"/>
    </row>
    <row r="807" spans="5:17" ht="15.75" customHeight="1">
      <c r="E807" s="13"/>
      <c r="F807" s="13"/>
      <c r="L807" s="13"/>
      <c r="M807" s="14"/>
      <c r="N807" s="14"/>
      <c r="O807" s="14"/>
      <c r="P807" s="14"/>
      <c r="Q807" s="14"/>
    </row>
    <row r="808" spans="5:17" ht="15.75" customHeight="1">
      <c r="E808" s="13"/>
      <c r="F808" s="13"/>
      <c r="L808" s="13"/>
      <c r="M808" s="14"/>
      <c r="N808" s="14"/>
      <c r="O808" s="14"/>
      <c r="P808" s="14"/>
      <c r="Q808" s="14"/>
    </row>
    <row r="809" spans="5:17" ht="15.75" customHeight="1">
      <c r="E809" s="13"/>
      <c r="F809" s="13"/>
      <c r="L809" s="13"/>
      <c r="M809" s="14"/>
      <c r="N809" s="14"/>
      <c r="O809" s="14"/>
      <c r="P809" s="14"/>
      <c r="Q809" s="14"/>
    </row>
    <row r="810" spans="5:17" ht="15.75" customHeight="1">
      <c r="E810" s="13"/>
      <c r="F810" s="13"/>
      <c r="L810" s="13"/>
      <c r="M810" s="14"/>
      <c r="N810" s="14"/>
      <c r="O810" s="14"/>
      <c r="P810" s="14"/>
      <c r="Q810" s="14"/>
    </row>
    <row r="811" spans="5:17" ht="15.75" customHeight="1">
      <c r="E811" s="13"/>
      <c r="F811" s="13"/>
      <c r="L811" s="13"/>
      <c r="M811" s="14"/>
      <c r="N811" s="14"/>
      <c r="O811" s="14"/>
      <c r="P811" s="14"/>
      <c r="Q811" s="14"/>
    </row>
    <row r="812" spans="5:17" ht="15.75" customHeight="1">
      <c r="E812" s="13"/>
      <c r="F812" s="13"/>
      <c r="L812" s="13"/>
      <c r="M812" s="14"/>
      <c r="N812" s="14"/>
      <c r="O812" s="14"/>
      <c r="P812" s="14"/>
      <c r="Q812" s="14"/>
    </row>
    <row r="813" spans="5:17" ht="15.75" customHeight="1">
      <c r="E813" s="13"/>
      <c r="F813" s="13"/>
      <c r="L813" s="13"/>
      <c r="M813" s="14"/>
      <c r="N813" s="14"/>
      <c r="O813" s="14"/>
      <c r="P813" s="14"/>
      <c r="Q813" s="14"/>
    </row>
    <row r="814" spans="5:17" ht="15.75" customHeight="1">
      <c r="E814" s="13"/>
      <c r="F814" s="13"/>
      <c r="L814" s="13"/>
      <c r="M814" s="14"/>
      <c r="N814" s="14"/>
      <c r="O814" s="14"/>
      <c r="P814" s="14"/>
      <c r="Q814" s="14"/>
    </row>
    <row r="815" spans="5:17" ht="15.75" customHeight="1">
      <c r="E815" s="13"/>
      <c r="F815" s="13"/>
      <c r="L815" s="13"/>
      <c r="M815" s="14"/>
      <c r="N815" s="14"/>
      <c r="O815" s="14"/>
      <c r="P815" s="14"/>
      <c r="Q815" s="14"/>
    </row>
    <row r="816" spans="5:17" ht="15.75" customHeight="1">
      <c r="E816" s="13"/>
      <c r="F816" s="13"/>
      <c r="L816" s="13"/>
      <c r="M816" s="14"/>
      <c r="N816" s="14"/>
      <c r="O816" s="14"/>
      <c r="P816" s="14"/>
      <c r="Q816" s="14"/>
    </row>
    <row r="817" spans="5:17" ht="15.75" customHeight="1">
      <c r="E817" s="13"/>
      <c r="F817" s="13"/>
      <c r="L817" s="13"/>
      <c r="M817" s="14"/>
      <c r="N817" s="14"/>
      <c r="O817" s="14"/>
      <c r="P817" s="14"/>
      <c r="Q817" s="14"/>
    </row>
    <row r="818" spans="5:17" ht="15.75" customHeight="1">
      <c r="E818" s="13"/>
      <c r="F818" s="13"/>
      <c r="L818" s="13"/>
      <c r="M818" s="14"/>
      <c r="N818" s="14"/>
      <c r="O818" s="14"/>
      <c r="P818" s="14"/>
      <c r="Q818" s="14"/>
    </row>
    <row r="819" spans="5:17" ht="15.75" customHeight="1">
      <c r="E819" s="13"/>
      <c r="F819" s="13"/>
      <c r="L819" s="13"/>
      <c r="M819" s="14"/>
      <c r="N819" s="14"/>
      <c r="O819" s="14"/>
      <c r="P819" s="14"/>
      <c r="Q819" s="14"/>
    </row>
    <row r="820" spans="5:17" ht="15.75" customHeight="1">
      <c r="E820" s="13"/>
      <c r="F820" s="13"/>
      <c r="L820" s="13"/>
      <c r="M820" s="14"/>
      <c r="N820" s="14"/>
      <c r="O820" s="14"/>
      <c r="P820" s="14"/>
      <c r="Q820" s="14"/>
    </row>
    <row r="821" spans="5:17" ht="15.75" customHeight="1">
      <c r="E821" s="13"/>
      <c r="F821" s="13"/>
      <c r="L821" s="13"/>
      <c r="M821" s="14"/>
      <c r="N821" s="14"/>
      <c r="O821" s="14"/>
      <c r="P821" s="14"/>
      <c r="Q821" s="14"/>
    </row>
    <row r="822" spans="5:17" ht="15.75" customHeight="1">
      <c r="E822" s="13"/>
      <c r="F822" s="13"/>
      <c r="L822" s="13"/>
      <c r="M822" s="14"/>
      <c r="N822" s="14"/>
      <c r="O822" s="14"/>
      <c r="P822" s="14"/>
      <c r="Q822" s="14"/>
    </row>
    <row r="823" spans="5:17" ht="15.75" customHeight="1">
      <c r="E823" s="13"/>
      <c r="F823" s="13"/>
      <c r="L823" s="13"/>
      <c r="M823" s="14"/>
      <c r="N823" s="14"/>
      <c r="O823" s="14"/>
      <c r="P823" s="14"/>
      <c r="Q823" s="14"/>
    </row>
    <row r="824" spans="5:17" ht="15.75" customHeight="1">
      <c r="E824" s="13"/>
      <c r="F824" s="13"/>
      <c r="L824" s="13"/>
      <c r="M824" s="14"/>
      <c r="N824" s="14"/>
      <c r="O824" s="14"/>
      <c r="P824" s="14"/>
      <c r="Q824" s="14"/>
    </row>
    <row r="825" spans="5:17" ht="15.75" customHeight="1">
      <c r="E825" s="13"/>
      <c r="F825" s="13"/>
      <c r="L825" s="13"/>
      <c r="M825" s="14"/>
      <c r="N825" s="14"/>
      <c r="O825" s="14"/>
      <c r="P825" s="14"/>
      <c r="Q825" s="14"/>
    </row>
    <row r="826" spans="5:17" ht="15.75" customHeight="1">
      <c r="E826" s="13"/>
      <c r="F826" s="13"/>
      <c r="L826" s="13"/>
      <c r="M826" s="14"/>
      <c r="N826" s="14"/>
      <c r="O826" s="14"/>
      <c r="P826" s="14"/>
      <c r="Q826" s="14"/>
    </row>
    <row r="827" spans="5:17" ht="15.75" customHeight="1">
      <c r="E827" s="13"/>
      <c r="F827" s="13"/>
      <c r="L827" s="13"/>
      <c r="M827" s="14"/>
      <c r="N827" s="14"/>
      <c r="O827" s="14"/>
      <c r="P827" s="14"/>
      <c r="Q827" s="14"/>
    </row>
    <row r="828" spans="5:17" ht="15.75" customHeight="1">
      <c r="E828" s="13"/>
      <c r="F828" s="13"/>
      <c r="L828" s="13"/>
      <c r="M828" s="14"/>
      <c r="N828" s="14"/>
      <c r="O828" s="14"/>
      <c r="P828" s="14"/>
      <c r="Q828" s="14"/>
    </row>
    <row r="829" spans="5:17" ht="15.75" customHeight="1">
      <c r="E829" s="13"/>
      <c r="F829" s="13"/>
      <c r="L829" s="13"/>
      <c r="M829" s="14"/>
      <c r="N829" s="14"/>
      <c r="O829" s="14"/>
      <c r="P829" s="14"/>
      <c r="Q829" s="14"/>
    </row>
    <row r="830" spans="5:17" ht="15.75" customHeight="1">
      <c r="E830" s="13"/>
      <c r="F830" s="13"/>
      <c r="L830" s="13"/>
      <c r="M830" s="14"/>
      <c r="N830" s="14"/>
      <c r="O830" s="14"/>
      <c r="P830" s="14"/>
      <c r="Q830" s="14"/>
    </row>
    <row r="831" spans="5:17" ht="15.75" customHeight="1">
      <c r="E831" s="13"/>
      <c r="F831" s="13"/>
      <c r="L831" s="13"/>
      <c r="M831" s="14"/>
      <c r="N831" s="14"/>
      <c r="O831" s="14"/>
      <c r="P831" s="14"/>
      <c r="Q831" s="14"/>
    </row>
    <row r="832" spans="5:17" ht="15.75" customHeight="1">
      <c r="E832" s="13"/>
      <c r="F832" s="13"/>
      <c r="L832" s="13"/>
      <c r="M832" s="14"/>
      <c r="N832" s="14"/>
      <c r="O832" s="14"/>
      <c r="P832" s="14"/>
      <c r="Q832" s="14"/>
    </row>
    <row r="833" spans="5:17" ht="15.75" customHeight="1">
      <c r="E833" s="13"/>
      <c r="F833" s="13"/>
      <c r="L833" s="13"/>
      <c r="M833" s="14"/>
      <c r="N833" s="14"/>
      <c r="O833" s="14"/>
      <c r="P833" s="14"/>
      <c r="Q833" s="14"/>
    </row>
    <row r="834" spans="5:17" ht="15.75" customHeight="1">
      <c r="E834" s="13"/>
      <c r="F834" s="13"/>
      <c r="L834" s="13"/>
      <c r="M834" s="14"/>
      <c r="N834" s="14"/>
      <c r="O834" s="14"/>
      <c r="P834" s="14"/>
      <c r="Q834" s="14"/>
    </row>
    <row r="835" spans="5:17" ht="15.75" customHeight="1">
      <c r="E835" s="13"/>
      <c r="F835" s="13"/>
      <c r="L835" s="13"/>
      <c r="M835" s="14"/>
      <c r="N835" s="14"/>
      <c r="O835" s="14"/>
      <c r="P835" s="14"/>
      <c r="Q835" s="14"/>
    </row>
    <row r="836" spans="5:17" ht="15.75" customHeight="1">
      <c r="E836" s="13"/>
      <c r="F836" s="13"/>
      <c r="L836" s="13"/>
      <c r="M836" s="14"/>
      <c r="N836" s="14"/>
      <c r="O836" s="14"/>
      <c r="P836" s="14"/>
      <c r="Q836" s="14"/>
    </row>
    <row r="837" spans="5:17" ht="15.75" customHeight="1">
      <c r="E837" s="13"/>
      <c r="F837" s="13"/>
      <c r="L837" s="13"/>
      <c r="M837" s="14"/>
      <c r="N837" s="14"/>
      <c r="O837" s="14"/>
      <c r="P837" s="14"/>
      <c r="Q837" s="14"/>
    </row>
    <row r="838" spans="5:17" ht="15.75" customHeight="1">
      <c r="E838" s="13"/>
      <c r="F838" s="13"/>
      <c r="L838" s="13"/>
      <c r="M838" s="14"/>
      <c r="N838" s="14"/>
      <c r="O838" s="14"/>
      <c r="P838" s="14"/>
      <c r="Q838" s="14"/>
    </row>
    <row r="839" spans="5:17" ht="15.75" customHeight="1">
      <c r="E839" s="13"/>
      <c r="F839" s="13"/>
      <c r="L839" s="13"/>
      <c r="M839" s="14"/>
      <c r="N839" s="14"/>
      <c r="O839" s="14"/>
      <c r="P839" s="14"/>
      <c r="Q839" s="14"/>
    </row>
    <row r="840" spans="5:17" ht="15.75" customHeight="1">
      <c r="E840" s="13"/>
      <c r="F840" s="13"/>
      <c r="L840" s="13"/>
      <c r="M840" s="14"/>
      <c r="N840" s="14"/>
      <c r="O840" s="14"/>
      <c r="P840" s="14"/>
      <c r="Q840" s="14"/>
    </row>
    <row r="841" spans="5:17" ht="15.75" customHeight="1">
      <c r="E841" s="13"/>
      <c r="F841" s="13"/>
      <c r="L841" s="13"/>
      <c r="M841" s="14"/>
      <c r="N841" s="14"/>
      <c r="O841" s="14"/>
      <c r="P841" s="14"/>
      <c r="Q841" s="14"/>
    </row>
    <row r="842" spans="5:17" ht="15.75" customHeight="1">
      <c r="E842" s="13"/>
      <c r="F842" s="13"/>
      <c r="L842" s="13"/>
      <c r="M842" s="14"/>
      <c r="N842" s="14"/>
      <c r="O842" s="14"/>
      <c r="P842" s="14"/>
      <c r="Q842" s="14"/>
    </row>
    <row r="843" spans="5:17" ht="15.75" customHeight="1">
      <c r="E843" s="13"/>
      <c r="F843" s="13"/>
      <c r="L843" s="13"/>
      <c r="M843" s="14"/>
      <c r="N843" s="14"/>
      <c r="O843" s="14"/>
      <c r="P843" s="14"/>
      <c r="Q843" s="14"/>
    </row>
    <row r="844" spans="5:17" ht="15.75" customHeight="1">
      <c r="E844" s="13"/>
      <c r="F844" s="13"/>
      <c r="L844" s="13"/>
      <c r="M844" s="14"/>
      <c r="N844" s="14"/>
      <c r="O844" s="14"/>
      <c r="P844" s="14"/>
      <c r="Q844" s="14"/>
    </row>
    <row r="845" spans="5:17" ht="15.75" customHeight="1">
      <c r="E845" s="13"/>
      <c r="F845" s="13"/>
      <c r="L845" s="13"/>
      <c r="M845" s="14"/>
      <c r="N845" s="14"/>
      <c r="O845" s="14"/>
      <c r="P845" s="14"/>
      <c r="Q845" s="14"/>
    </row>
    <row r="846" spans="5:17" ht="15.75" customHeight="1">
      <c r="E846" s="13"/>
      <c r="F846" s="13"/>
      <c r="L846" s="13"/>
      <c r="M846" s="14"/>
      <c r="N846" s="14"/>
      <c r="O846" s="14"/>
      <c r="P846" s="14"/>
      <c r="Q846" s="14"/>
    </row>
    <row r="847" spans="5:17" ht="15.75" customHeight="1">
      <c r="E847" s="13"/>
      <c r="F847" s="13"/>
      <c r="L847" s="13"/>
      <c r="M847" s="14"/>
      <c r="N847" s="14"/>
      <c r="O847" s="14"/>
      <c r="P847" s="14"/>
      <c r="Q847" s="14"/>
    </row>
    <row r="848" spans="5:17" ht="15.75" customHeight="1">
      <c r="E848" s="13"/>
      <c r="F848" s="13"/>
      <c r="L848" s="13"/>
      <c r="M848" s="14"/>
      <c r="N848" s="14"/>
      <c r="O848" s="14"/>
      <c r="P848" s="14"/>
      <c r="Q848" s="14"/>
    </row>
    <row r="849" spans="5:17" ht="15.75" customHeight="1">
      <c r="E849" s="13"/>
      <c r="F849" s="13"/>
      <c r="L849" s="13"/>
      <c r="M849" s="14"/>
      <c r="N849" s="14"/>
      <c r="O849" s="14"/>
      <c r="P849" s="14"/>
      <c r="Q849" s="14"/>
    </row>
    <row r="850" spans="5:17" ht="15.75" customHeight="1">
      <c r="E850" s="13"/>
      <c r="F850" s="13"/>
      <c r="L850" s="13"/>
      <c r="M850" s="14"/>
      <c r="N850" s="14"/>
      <c r="O850" s="14"/>
      <c r="P850" s="14"/>
      <c r="Q850" s="14"/>
    </row>
    <row r="851" spans="5:17" ht="15.75" customHeight="1">
      <c r="E851" s="13"/>
      <c r="F851" s="13"/>
      <c r="L851" s="13"/>
      <c r="M851" s="14"/>
      <c r="N851" s="14"/>
      <c r="O851" s="14"/>
      <c r="P851" s="14"/>
      <c r="Q851" s="14"/>
    </row>
    <row r="852" spans="5:17" ht="15.75" customHeight="1">
      <c r="E852" s="13"/>
      <c r="F852" s="13"/>
      <c r="L852" s="13"/>
      <c r="M852" s="14"/>
      <c r="N852" s="14"/>
      <c r="O852" s="14"/>
      <c r="P852" s="14"/>
      <c r="Q852" s="14"/>
    </row>
    <row r="853" spans="5:17" ht="15.75" customHeight="1">
      <c r="E853" s="13"/>
      <c r="F853" s="13"/>
      <c r="L853" s="13"/>
      <c r="M853" s="14"/>
      <c r="N853" s="14"/>
      <c r="O853" s="14"/>
      <c r="P853" s="14"/>
      <c r="Q853" s="14"/>
    </row>
    <row r="854" spans="5:17" ht="15.75" customHeight="1">
      <c r="E854" s="13"/>
      <c r="F854" s="13"/>
      <c r="L854" s="13"/>
      <c r="M854" s="14"/>
      <c r="N854" s="14"/>
      <c r="O854" s="14"/>
      <c r="P854" s="14"/>
      <c r="Q854" s="14"/>
    </row>
    <row r="855" spans="5:17" ht="15.75" customHeight="1">
      <c r="E855" s="13"/>
      <c r="F855" s="13"/>
      <c r="L855" s="13"/>
      <c r="M855" s="14"/>
      <c r="N855" s="14"/>
      <c r="O855" s="14"/>
      <c r="P855" s="14"/>
      <c r="Q855" s="14"/>
    </row>
    <row r="856" spans="5:17" ht="15.75" customHeight="1">
      <c r="E856" s="13"/>
      <c r="F856" s="13"/>
      <c r="L856" s="13"/>
      <c r="M856" s="14"/>
      <c r="N856" s="14"/>
      <c r="O856" s="14"/>
      <c r="P856" s="14"/>
      <c r="Q856" s="14"/>
    </row>
    <row r="857" spans="5:17" ht="15.75" customHeight="1">
      <c r="E857" s="13"/>
      <c r="F857" s="13"/>
      <c r="L857" s="13"/>
      <c r="M857" s="14"/>
      <c r="N857" s="14"/>
      <c r="O857" s="14"/>
      <c r="P857" s="14"/>
      <c r="Q857" s="14"/>
    </row>
    <row r="858" spans="5:17" ht="15.75" customHeight="1">
      <c r="E858" s="13"/>
      <c r="F858" s="13"/>
      <c r="L858" s="13"/>
      <c r="M858" s="14"/>
      <c r="N858" s="14"/>
      <c r="O858" s="14"/>
      <c r="P858" s="14"/>
      <c r="Q858" s="14"/>
    </row>
    <row r="859" spans="5:17" ht="15.75" customHeight="1">
      <c r="E859" s="13"/>
      <c r="F859" s="13"/>
      <c r="L859" s="13"/>
      <c r="M859" s="14"/>
      <c r="N859" s="14"/>
      <c r="O859" s="14"/>
      <c r="P859" s="14"/>
      <c r="Q859" s="14"/>
    </row>
    <row r="860" spans="5:17" ht="15.75" customHeight="1">
      <c r="E860" s="13"/>
      <c r="F860" s="13"/>
      <c r="L860" s="13"/>
      <c r="M860" s="14"/>
      <c r="N860" s="14"/>
      <c r="O860" s="14"/>
      <c r="P860" s="14"/>
      <c r="Q860" s="14"/>
    </row>
    <row r="861" spans="5:17" ht="15.75" customHeight="1">
      <c r="E861" s="13"/>
      <c r="F861" s="13"/>
      <c r="L861" s="13"/>
      <c r="M861" s="14"/>
      <c r="N861" s="14"/>
      <c r="O861" s="14"/>
      <c r="P861" s="14"/>
      <c r="Q861" s="14"/>
    </row>
    <row r="862" spans="5:17" ht="15.75" customHeight="1">
      <c r="E862" s="13"/>
      <c r="F862" s="13"/>
      <c r="L862" s="13"/>
      <c r="M862" s="14"/>
      <c r="N862" s="14"/>
      <c r="O862" s="14"/>
      <c r="P862" s="14"/>
      <c r="Q862" s="14"/>
    </row>
    <row r="863" spans="5:17" ht="15.75" customHeight="1">
      <c r="E863" s="13"/>
      <c r="F863" s="13"/>
      <c r="L863" s="13"/>
      <c r="M863" s="14"/>
      <c r="N863" s="14"/>
      <c r="O863" s="14"/>
      <c r="P863" s="14"/>
      <c r="Q863" s="14"/>
    </row>
    <row r="864" spans="5:17" ht="15.75" customHeight="1">
      <c r="E864" s="13"/>
      <c r="F864" s="13"/>
      <c r="L864" s="13"/>
      <c r="M864" s="14"/>
      <c r="N864" s="14"/>
      <c r="O864" s="14"/>
      <c r="P864" s="14"/>
      <c r="Q864" s="14"/>
    </row>
    <row r="865" spans="5:17" ht="15.75" customHeight="1">
      <c r="E865" s="13"/>
      <c r="F865" s="13"/>
      <c r="L865" s="13"/>
      <c r="M865" s="14"/>
      <c r="N865" s="14"/>
      <c r="O865" s="14"/>
      <c r="P865" s="14"/>
      <c r="Q865" s="14"/>
    </row>
    <row r="866" spans="5:17" ht="15.75" customHeight="1">
      <c r="E866" s="13"/>
      <c r="F866" s="13"/>
      <c r="L866" s="13"/>
      <c r="M866" s="14"/>
      <c r="N866" s="14"/>
      <c r="O866" s="14"/>
      <c r="P866" s="14"/>
      <c r="Q866" s="14"/>
    </row>
    <row r="867" spans="5:17" ht="15.75" customHeight="1">
      <c r="E867" s="13"/>
      <c r="F867" s="13"/>
      <c r="L867" s="13"/>
      <c r="M867" s="14"/>
      <c r="N867" s="14"/>
      <c r="O867" s="14"/>
      <c r="P867" s="14"/>
      <c r="Q867" s="14"/>
    </row>
    <row r="868" spans="5:17" ht="15.75" customHeight="1">
      <c r="E868" s="13"/>
      <c r="F868" s="13"/>
      <c r="L868" s="13"/>
      <c r="M868" s="14"/>
      <c r="N868" s="14"/>
      <c r="O868" s="14"/>
      <c r="P868" s="14"/>
      <c r="Q868" s="14"/>
    </row>
    <row r="869" spans="5:17" ht="15.75" customHeight="1">
      <c r="E869" s="13"/>
      <c r="F869" s="13"/>
      <c r="L869" s="13"/>
      <c r="M869" s="14"/>
      <c r="N869" s="14"/>
      <c r="O869" s="14"/>
      <c r="P869" s="14"/>
      <c r="Q869" s="14"/>
    </row>
    <row r="870" spans="5:17" ht="15.75" customHeight="1">
      <c r="E870" s="13"/>
      <c r="F870" s="13"/>
      <c r="L870" s="13"/>
      <c r="M870" s="14"/>
      <c r="N870" s="14"/>
      <c r="O870" s="14"/>
      <c r="P870" s="14"/>
      <c r="Q870" s="14"/>
    </row>
    <row r="871" spans="5:17" ht="15.75" customHeight="1">
      <c r="E871" s="13"/>
      <c r="F871" s="13"/>
      <c r="L871" s="13"/>
      <c r="M871" s="14"/>
      <c r="N871" s="14"/>
      <c r="O871" s="14"/>
      <c r="P871" s="14"/>
      <c r="Q871" s="14"/>
    </row>
    <row r="872" spans="5:17" ht="15.75" customHeight="1">
      <c r="E872" s="13"/>
      <c r="F872" s="13"/>
      <c r="L872" s="13"/>
      <c r="M872" s="14"/>
      <c r="N872" s="14"/>
      <c r="O872" s="14"/>
      <c r="P872" s="14"/>
      <c r="Q872" s="14"/>
    </row>
    <row r="873" spans="5:17" ht="15.75" customHeight="1">
      <c r="E873" s="13"/>
      <c r="F873" s="13"/>
      <c r="L873" s="13"/>
      <c r="M873" s="14"/>
      <c r="N873" s="14"/>
      <c r="O873" s="14"/>
      <c r="P873" s="14"/>
      <c r="Q873" s="14"/>
    </row>
    <row r="874" spans="5:17" ht="15.75" customHeight="1">
      <c r="E874" s="13"/>
      <c r="F874" s="13"/>
      <c r="L874" s="13"/>
      <c r="M874" s="14"/>
      <c r="N874" s="14"/>
      <c r="O874" s="14"/>
      <c r="P874" s="14"/>
      <c r="Q874" s="14"/>
    </row>
    <row r="875" spans="5:17" ht="15.75" customHeight="1">
      <c r="E875" s="13"/>
      <c r="F875" s="13"/>
      <c r="L875" s="13"/>
      <c r="M875" s="14"/>
      <c r="N875" s="14"/>
      <c r="O875" s="14"/>
      <c r="P875" s="14"/>
      <c r="Q875" s="14"/>
    </row>
    <row r="876" spans="5:17" ht="15.75" customHeight="1">
      <c r="E876" s="13"/>
      <c r="F876" s="13"/>
      <c r="L876" s="13"/>
      <c r="M876" s="14"/>
      <c r="N876" s="14"/>
      <c r="O876" s="14"/>
      <c r="P876" s="14"/>
      <c r="Q876" s="14"/>
    </row>
    <row r="877" spans="5:17" ht="15.75" customHeight="1">
      <c r="E877" s="13"/>
      <c r="F877" s="13"/>
      <c r="L877" s="13"/>
      <c r="M877" s="14"/>
      <c r="N877" s="14"/>
      <c r="O877" s="14"/>
      <c r="P877" s="14"/>
      <c r="Q877" s="14"/>
    </row>
    <row r="878" spans="5:17" ht="15.75" customHeight="1">
      <c r="E878" s="13"/>
      <c r="F878" s="13"/>
      <c r="L878" s="13"/>
      <c r="M878" s="14"/>
      <c r="N878" s="14"/>
      <c r="O878" s="14"/>
      <c r="P878" s="14"/>
      <c r="Q878" s="14"/>
    </row>
    <row r="879" spans="5:17" ht="15.75" customHeight="1">
      <c r="E879" s="13"/>
      <c r="F879" s="13"/>
      <c r="L879" s="13"/>
      <c r="M879" s="14"/>
      <c r="N879" s="14"/>
      <c r="O879" s="14"/>
      <c r="P879" s="14"/>
      <c r="Q879" s="14"/>
    </row>
    <row r="880" spans="5:17" ht="15.75" customHeight="1">
      <c r="E880" s="13"/>
      <c r="F880" s="13"/>
      <c r="L880" s="13"/>
      <c r="M880" s="14"/>
      <c r="N880" s="14"/>
      <c r="O880" s="14"/>
      <c r="P880" s="14"/>
      <c r="Q880" s="14"/>
    </row>
    <row r="881" spans="5:17" ht="15.75" customHeight="1">
      <c r="E881" s="13"/>
      <c r="F881" s="13"/>
      <c r="L881" s="13"/>
      <c r="M881" s="14"/>
      <c r="N881" s="14"/>
      <c r="O881" s="14"/>
      <c r="P881" s="14"/>
      <c r="Q881" s="14"/>
    </row>
    <row r="882" spans="5:17" ht="15.75" customHeight="1">
      <c r="E882" s="13"/>
      <c r="F882" s="13"/>
      <c r="L882" s="13"/>
      <c r="M882" s="14"/>
      <c r="N882" s="14"/>
      <c r="O882" s="14"/>
      <c r="P882" s="14"/>
      <c r="Q882" s="14"/>
    </row>
    <row r="883" spans="5:17" ht="15.75" customHeight="1">
      <c r="E883" s="13"/>
      <c r="F883" s="13"/>
      <c r="L883" s="13"/>
      <c r="M883" s="14"/>
      <c r="N883" s="14"/>
      <c r="O883" s="14"/>
      <c r="P883" s="14"/>
      <c r="Q883" s="14"/>
    </row>
    <row r="884" spans="5:17" ht="15.75" customHeight="1">
      <c r="E884" s="13"/>
      <c r="F884" s="13"/>
      <c r="L884" s="13"/>
      <c r="M884" s="14"/>
      <c r="N884" s="14"/>
      <c r="O884" s="14"/>
      <c r="P884" s="14"/>
      <c r="Q884" s="14"/>
    </row>
    <row r="885" spans="5:17" ht="15.75" customHeight="1">
      <c r="E885" s="13"/>
      <c r="F885" s="13"/>
      <c r="L885" s="13"/>
      <c r="M885" s="14"/>
      <c r="N885" s="14"/>
      <c r="O885" s="14"/>
      <c r="P885" s="14"/>
      <c r="Q885" s="14"/>
    </row>
    <row r="886" spans="5:17" ht="15.75" customHeight="1">
      <c r="E886" s="13"/>
      <c r="F886" s="13"/>
      <c r="L886" s="13"/>
      <c r="M886" s="14"/>
      <c r="N886" s="14"/>
      <c r="O886" s="14"/>
      <c r="P886" s="14"/>
      <c r="Q886" s="14"/>
    </row>
    <row r="887" spans="5:17" ht="15.75" customHeight="1">
      <c r="E887" s="13"/>
      <c r="F887" s="13"/>
      <c r="L887" s="13"/>
      <c r="M887" s="14"/>
      <c r="N887" s="14"/>
      <c r="O887" s="14"/>
      <c r="P887" s="14"/>
      <c r="Q887" s="14"/>
    </row>
    <row r="888" spans="5:17" ht="15.75" customHeight="1">
      <c r="E888" s="13"/>
      <c r="F888" s="13"/>
      <c r="L888" s="13"/>
      <c r="M888" s="14"/>
      <c r="N888" s="14"/>
      <c r="O888" s="14"/>
      <c r="P888" s="14"/>
      <c r="Q888" s="14"/>
    </row>
    <row r="889" spans="5:17" ht="15.75" customHeight="1">
      <c r="E889" s="13"/>
      <c r="F889" s="13"/>
      <c r="L889" s="13"/>
      <c r="M889" s="14"/>
      <c r="N889" s="14"/>
      <c r="O889" s="14"/>
      <c r="P889" s="14"/>
      <c r="Q889" s="14"/>
    </row>
    <row r="890" spans="5:17" ht="15.75" customHeight="1">
      <c r="E890" s="13"/>
      <c r="F890" s="13"/>
      <c r="L890" s="13"/>
      <c r="M890" s="14"/>
      <c r="N890" s="14"/>
      <c r="O890" s="14"/>
      <c r="P890" s="14"/>
      <c r="Q890" s="14"/>
    </row>
    <row r="891" spans="5:17" ht="15.75" customHeight="1">
      <c r="E891" s="13"/>
      <c r="F891" s="13"/>
      <c r="L891" s="13"/>
      <c r="M891" s="14"/>
      <c r="N891" s="14"/>
      <c r="O891" s="14"/>
      <c r="P891" s="14"/>
      <c r="Q891" s="14"/>
    </row>
    <row r="892" spans="5:17" ht="15.75" customHeight="1">
      <c r="E892" s="13"/>
      <c r="F892" s="13"/>
      <c r="L892" s="13"/>
      <c r="M892" s="14"/>
      <c r="N892" s="14"/>
      <c r="O892" s="14"/>
      <c r="P892" s="14"/>
      <c r="Q892" s="14"/>
    </row>
    <row r="893" spans="5:17" ht="15.75" customHeight="1">
      <c r="E893" s="13"/>
      <c r="F893" s="13"/>
      <c r="L893" s="13"/>
      <c r="M893" s="14"/>
      <c r="N893" s="14"/>
      <c r="O893" s="14"/>
      <c r="P893" s="14"/>
      <c r="Q893" s="14"/>
    </row>
    <row r="894" spans="5:17" ht="15.75" customHeight="1">
      <c r="E894" s="13"/>
      <c r="F894" s="13"/>
      <c r="L894" s="13"/>
      <c r="M894" s="14"/>
      <c r="N894" s="14"/>
      <c r="O894" s="14"/>
      <c r="P894" s="14"/>
      <c r="Q894" s="14"/>
    </row>
    <row r="895" spans="5:17" ht="15.75" customHeight="1">
      <c r="E895" s="13"/>
      <c r="F895" s="13"/>
      <c r="L895" s="13"/>
      <c r="M895" s="14"/>
      <c r="N895" s="14"/>
      <c r="O895" s="14"/>
      <c r="P895" s="14"/>
      <c r="Q895" s="14"/>
    </row>
    <row r="896" spans="5:17" ht="15.75" customHeight="1">
      <c r="E896" s="13"/>
      <c r="F896" s="13"/>
      <c r="L896" s="13"/>
      <c r="M896" s="14"/>
      <c r="N896" s="14"/>
      <c r="O896" s="14"/>
      <c r="P896" s="14"/>
      <c r="Q896" s="14"/>
    </row>
    <row r="897" spans="5:17" ht="15.75" customHeight="1">
      <c r="E897" s="13"/>
      <c r="F897" s="13"/>
      <c r="L897" s="13"/>
      <c r="M897" s="14"/>
      <c r="N897" s="14"/>
      <c r="O897" s="14"/>
      <c r="P897" s="14"/>
      <c r="Q897" s="14"/>
    </row>
    <row r="898" spans="5:17" ht="15.75" customHeight="1">
      <c r="E898" s="13"/>
      <c r="F898" s="13"/>
      <c r="L898" s="13"/>
      <c r="M898" s="14"/>
      <c r="N898" s="14"/>
      <c r="O898" s="14"/>
      <c r="P898" s="14"/>
      <c r="Q898" s="14"/>
    </row>
    <row r="899" spans="5:17" ht="15.75" customHeight="1">
      <c r="E899" s="13"/>
      <c r="F899" s="13"/>
      <c r="L899" s="13"/>
      <c r="M899" s="14"/>
      <c r="N899" s="14"/>
      <c r="O899" s="14"/>
      <c r="P899" s="14"/>
      <c r="Q899" s="14"/>
    </row>
    <row r="900" spans="5:17" ht="15.75" customHeight="1">
      <c r="E900" s="13"/>
      <c r="F900" s="13"/>
      <c r="L900" s="13"/>
      <c r="M900" s="14"/>
      <c r="N900" s="14"/>
      <c r="O900" s="14"/>
      <c r="P900" s="14"/>
      <c r="Q900" s="14"/>
    </row>
    <row r="901" spans="5:17" ht="15.75" customHeight="1">
      <c r="E901" s="13"/>
      <c r="F901" s="13"/>
      <c r="L901" s="13"/>
      <c r="M901" s="14"/>
      <c r="N901" s="14"/>
      <c r="O901" s="14"/>
      <c r="P901" s="14"/>
      <c r="Q901" s="14"/>
    </row>
    <row r="902" spans="5:17" ht="15.75" customHeight="1">
      <c r="E902" s="13"/>
      <c r="F902" s="13"/>
      <c r="L902" s="13"/>
      <c r="M902" s="14"/>
      <c r="N902" s="14"/>
      <c r="O902" s="14"/>
      <c r="P902" s="14"/>
      <c r="Q902" s="14"/>
    </row>
    <row r="903" spans="5:17" ht="15.75" customHeight="1">
      <c r="E903" s="13"/>
      <c r="F903" s="13"/>
      <c r="L903" s="13"/>
      <c r="M903" s="14"/>
      <c r="N903" s="14"/>
      <c r="O903" s="14"/>
      <c r="P903" s="14"/>
      <c r="Q903" s="14"/>
    </row>
    <row r="904" spans="5:17" ht="15.75" customHeight="1">
      <c r="E904" s="13"/>
      <c r="F904" s="13"/>
      <c r="L904" s="13"/>
      <c r="M904" s="14"/>
      <c r="N904" s="14"/>
      <c r="O904" s="14"/>
      <c r="P904" s="14"/>
      <c r="Q904" s="14"/>
    </row>
    <row r="905" spans="5:17" ht="15.75" customHeight="1">
      <c r="E905" s="13"/>
      <c r="F905" s="13"/>
      <c r="L905" s="13"/>
      <c r="M905" s="14"/>
      <c r="N905" s="14"/>
      <c r="O905" s="14"/>
      <c r="P905" s="14"/>
      <c r="Q905" s="14"/>
    </row>
    <row r="906" spans="5:17" ht="15.75" customHeight="1">
      <c r="E906" s="13"/>
      <c r="F906" s="13"/>
      <c r="L906" s="13"/>
      <c r="M906" s="14"/>
      <c r="N906" s="14"/>
      <c r="O906" s="14"/>
      <c r="P906" s="14"/>
      <c r="Q906" s="14"/>
    </row>
    <row r="907" spans="5:17" ht="15.75" customHeight="1">
      <c r="E907" s="13"/>
      <c r="F907" s="13"/>
      <c r="L907" s="13"/>
      <c r="M907" s="14"/>
      <c r="N907" s="14"/>
      <c r="O907" s="14"/>
      <c r="P907" s="14"/>
      <c r="Q907" s="14"/>
    </row>
    <row r="908" spans="5:17" ht="15.75" customHeight="1">
      <c r="E908" s="13"/>
      <c r="F908" s="13"/>
      <c r="L908" s="13"/>
      <c r="M908" s="14"/>
      <c r="N908" s="14"/>
      <c r="O908" s="14"/>
      <c r="P908" s="14"/>
      <c r="Q908" s="14"/>
    </row>
    <row r="909" spans="5:17" ht="15.75" customHeight="1">
      <c r="E909" s="13"/>
      <c r="F909" s="13"/>
      <c r="L909" s="13"/>
      <c r="M909" s="14"/>
      <c r="N909" s="14"/>
      <c r="O909" s="14"/>
      <c r="P909" s="14"/>
      <c r="Q909" s="14"/>
    </row>
    <row r="910" spans="5:17" ht="15.75" customHeight="1">
      <c r="E910" s="13"/>
      <c r="F910" s="13"/>
      <c r="L910" s="13"/>
      <c r="M910" s="14"/>
      <c r="N910" s="14"/>
      <c r="O910" s="14"/>
      <c r="P910" s="14"/>
      <c r="Q910" s="14"/>
    </row>
    <row r="911" spans="5:17" ht="15.75" customHeight="1">
      <c r="E911" s="13"/>
      <c r="F911" s="13"/>
      <c r="L911" s="13"/>
      <c r="M911" s="14"/>
      <c r="N911" s="14"/>
      <c r="O911" s="14"/>
      <c r="P911" s="14"/>
      <c r="Q911" s="14"/>
    </row>
    <row r="912" spans="5:17" ht="15.75" customHeight="1">
      <c r="E912" s="13"/>
      <c r="F912" s="13"/>
      <c r="L912" s="13"/>
      <c r="M912" s="14"/>
      <c r="N912" s="14"/>
      <c r="O912" s="14"/>
      <c r="P912" s="14"/>
      <c r="Q912" s="14"/>
    </row>
    <row r="913" spans="5:17" ht="15.75" customHeight="1">
      <c r="E913" s="13"/>
      <c r="F913" s="13"/>
      <c r="L913" s="13"/>
      <c r="M913" s="14"/>
      <c r="N913" s="14"/>
      <c r="O913" s="14"/>
      <c r="P913" s="14"/>
      <c r="Q913" s="14"/>
    </row>
    <row r="914" spans="5:17" ht="15.75" customHeight="1">
      <c r="E914" s="13"/>
      <c r="F914" s="13"/>
      <c r="L914" s="13"/>
      <c r="M914" s="14"/>
      <c r="N914" s="14"/>
      <c r="O914" s="14"/>
      <c r="P914" s="14"/>
      <c r="Q914" s="14"/>
    </row>
    <row r="915" spans="5:17" ht="15.75" customHeight="1">
      <c r="E915" s="13"/>
      <c r="F915" s="13"/>
      <c r="L915" s="13"/>
      <c r="M915" s="14"/>
      <c r="N915" s="14"/>
      <c r="O915" s="14"/>
      <c r="P915" s="14"/>
      <c r="Q915" s="14"/>
    </row>
    <row r="916" spans="5:17" ht="15.75" customHeight="1">
      <c r="E916" s="13"/>
      <c r="F916" s="13"/>
      <c r="L916" s="13"/>
      <c r="M916" s="14"/>
      <c r="N916" s="14"/>
      <c r="O916" s="14"/>
      <c r="P916" s="14"/>
      <c r="Q916" s="14"/>
    </row>
    <row r="917" spans="5:17" ht="15.75" customHeight="1">
      <c r="E917" s="13"/>
      <c r="F917" s="13"/>
      <c r="L917" s="13"/>
      <c r="M917" s="14"/>
      <c r="N917" s="14"/>
      <c r="O917" s="14"/>
      <c r="P917" s="14"/>
      <c r="Q917" s="14"/>
    </row>
    <row r="918" spans="5:17" ht="15.75" customHeight="1">
      <c r="E918" s="13"/>
      <c r="F918" s="13"/>
      <c r="L918" s="13"/>
      <c r="M918" s="14"/>
      <c r="N918" s="14"/>
      <c r="O918" s="14"/>
      <c r="P918" s="14"/>
      <c r="Q918" s="14"/>
    </row>
    <row r="919" spans="5:17" ht="15.75" customHeight="1">
      <c r="E919" s="13"/>
      <c r="F919" s="13"/>
      <c r="L919" s="13"/>
      <c r="M919" s="14"/>
      <c r="N919" s="14"/>
      <c r="O919" s="14"/>
      <c r="P919" s="14"/>
      <c r="Q919" s="14"/>
    </row>
    <row r="920" spans="5:17" ht="15.75" customHeight="1">
      <c r="E920" s="13"/>
      <c r="F920" s="13"/>
      <c r="L920" s="13"/>
      <c r="M920" s="14"/>
      <c r="N920" s="14"/>
      <c r="O920" s="14"/>
      <c r="P920" s="14"/>
      <c r="Q920" s="14"/>
    </row>
    <row r="921" spans="5:17" ht="15.75" customHeight="1">
      <c r="E921" s="13"/>
      <c r="F921" s="13"/>
      <c r="L921" s="13"/>
      <c r="M921" s="14"/>
      <c r="N921" s="14"/>
      <c r="O921" s="14"/>
      <c r="P921" s="14"/>
      <c r="Q921" s="14"/>
    </row>
    <row r="922" spans="5:17" ht="15.75" customHeight="1">
      <c r="E922" s="13"/>
      <c r="F922" s="13"/>
      <c r="L922" s="13"/>
      <c r="M922" s="14"/>
      <c r="N922" s="14"/>
      <c r="O922" s="14"/>
      <c r="P922" s="14"/>
      <c r="Q922" s="14"/>
    </row>
    <row r="923" spans="5:17" ht="15.75" customHeight="1">
      <c r="E923" s="13"/>
      <c r="F923" s="13"/>
      <c r="L923" s="13"/>
      <c r="M923" s="14"/>
      <c r="N923" s="14"/>
      <c r="O923" s="14"/>
      <c r="P923" s="14"/>
      <c r="Q923" s="14"/>
    </row>
    <row r="924" spans="5:17" ht="15.75" customHeight="1">
      <c r="E924" s="13"/>
      <c r="F924" s="13"/>
      <c r="L924" s="13"/>
      <c r="M924" s="14"/>
      <c r="N924" s="14"/>
      <c r="O924" s="14"/>
      <c r="P924" s="14"/>
      <c r="Q924" s="14"/>
    </row>
    <row r="925" spans="5:17" ht="15.75" customHeight="1">
      <c r="E925" s="13"/>
      <c r="F925" s="13"/>
      <c r="L925" s="13"/>
      <c r="M925" s="14"/>
      <c r="N925" s="14"/>
      <c r="O925" s="14"/>
      <c r="P925" s="14"/>
      <c r="Q925" s="14"/>
    </row>
    <row r="926" spans="5:17" ht="15.75" customHeight="1">
      <c r="E926" s="13"/>
      <c r="F926" s="13"/>
      <c r="L926" s="13"/>
      <c r="M926" s="14"/>
      <c r="N926" s="14"/>
      <c r="O926" s="14"/>
      <c r="P926" s="14"/>
      <c r="Q926" s="14"/>
    </row>
    <row r="927" spans="5:17" ht="15.75" customHeight="1">
      <c r="E927" s="13"/>
      <c r="F927" s="13"/>
      <c r="L927" s="13"/>
      <c r="M927" s="14"/>
      <c r="N927" s="14"/>
      <c r="O927" s="14"/>
      <c r="P927" s="14"/>
      <c r="Q927" s="14"/>
    </row>
    <row r="928" spans="5:17" ht="15.75" customHeight="1">
      <c r="E928" s="13"/>
      <c r="F928" s="13"/>
      <c r="L928" s="13"/>
      <c r="M928" s="14"/>
      <c r="N928" s="14"/>
      <c r="O928" s="14"/>
      <c r="P928" s="14"/>
      <c r="Q928" s="14"/>
    </row>
    <row r="929" spans="5:17" ht="15.75" customHeight="1">
      <c r="E929" s="13"/>
      <c r="F929" s="13"/>
      <c r="L929" s="13"/>
      <c r="M929" s="14"/>
      <c r="N929" s="14"/>
      <c r="O929" s="14"/>
      <c r="P929" s="14"/>
      <c r="Q929" s="14"/>
    </row>
    <row r="930" spans="5:17" ht="15.75" customHeight="1">
      <c r="E930" s="13"/>
      <c r="F930" s="13"/>
      <c r="L930" s="13"/>
      <c r="M930" s="14"/>
      <c r="N930" s="14"/>
      <c r="O930" s="14"/>
      <c r="P930" s="14"/>
      <c r="Q930" s="14"/>
    </row>
    <row r="931" spans="5:17" ht="15.75" customHeight="1">
      <c r="E931" s="13"/>
      <c r="F931" s="13"/>
      <c r="L931" s="13"/>
      <c r="M931" s="14"/>
      <c r="N931" s="14"/>
      <c r="O931" s="14"/>
      <c r="P931" s="14"/>
      <c r="Q931" s="14"/>
    </row>
    <row r="932" spans="5:17" ht="15.75" customHeight="1">
      <c r="E932" s="13"/>
      <c r="F932" s="13"/>
      <c r="L932" s="13"/>
      <c r="M932" s="14"/>
      <c r="N932" s="14"/>
      <c r="O932" s="14"/>
      <c r="P932" s="14"/>
      <c r="Q932" s="14"/>
    </row>
    <row r="933" spans="5:17" ht="15.75" customHeight="1">
      <c r="E933" s="13"/>
      <c r="F933" s="13"/>
      <c r="L933" s="13"/>
      <c r="M933" s="14"/>
      <c r="N933" s="14"/>
      <c r="O933" s="14"/>
      <c r="P933" s="14"/>
      <c r="Q933" s="14"/>
    </row>
    <row r="934" spans="5:17" ht="15.75" customHeight="1">
      <c r="E934" s="13"/>
      <c r="F934" s="13"/>
      <c r="L934" s="13"/>
      <c r="M934" s="14"/>
      <c r="N934" s="14"/>
      <c r="O934" s="14"/>
      <c r="P934" s="14"/>
      <c r="Q934" s="14"/>
    </row>
    <row r="935" spans="5:17" ht="15.75" customHeight="1">
      <c r="E935" s="13"/>
      <c r="F935" s="13"/>
      <c r="L935" s="13"/>
      <c r="M935" s="14"/>
      <c r="N935" s="14"/>
      <c r="O935" s="14"/>
      <c r="P935" s="14"/>
      <c r="Q935" s="14"/>
    </row>
    <row r="936" spans="5:17" ht="15.75" customHeight="1">
      <c r="E936" s="13"/>
      <c r="F936" s="13"/>
      <c r="L936" s="13"/>
      <c r="M936" s="14"/>
      <c r="N936" s="14"/>
      <c r="O936" s="14"/>
      <c r="P936" s="14"/>
      <c r="Q936" s="14"/>
    </row>
    <row r="937" spans="5:17" ht="15.75" customHeight="1">
      <c r="E937" s="13"/>
      <c r="F937" s="13"/>
      <c r="L937" s="13"/>
      <c r="M937" s="14"/>
      <c r="N937" s="14"/>
      <c r="O937" s="14"/>
      <c r="P937" s="14"/>
      <c r="Q937" s="14"/>
    </row>
    <row r="938" spans="5:17" ht="15.75" customHeight="1">
      <c r="E938" s="13"/>
      <c r="F938" s="13"/>
      <c r="L938" s="13"/>
      <c r="M938" s="14"/>
      <c r="N938" s="14"/>
      <c r="O938" s="14"/>
      <c r="P938" s="14"/>
      <c r="Q938" s="14"/>
    </row>
    <row r="939" spans="5:17" ht="15.75" customHeight="1">
      <c r="E939" s="13"/>
      <c r="F939" s="13"/>
      <c r="L939" s="13"/>
      <c r="M939" s="14"/>
      <c r="N939" s="14"/>
      <c r="O939" s="14"/>
      <c r="P939" s="14"/>
      <c r="Q939" s="14"/>
    </row>
    <row r="940" spans="5:17" ht="15.75" customHeight="1">
      <c r="E940" s="13"/>
      <c r="F940" s="13"/>
      <c r="L940" s="13"/>
      <c r="M940" s="14"/>
      <c r="N940" s="14"/>
      <c r="O940" s="14"/>
      <c r="P940" s="14"/>
      <c r="Q940" s="14"/>
    </row>
    <row r="941" spans="5:17" ht="15.75" customHeight="1">
      <c r="E941" s="13"/>
      <c r="F941" s="13"/>
      <c r="L941" s="13"/>
      <c r="M941" s="14"/>
      <c r="N941" s="14"/>
      <c r="O941" s="14"/>
      <c r="P941" s="14"/>
      <c r="Q941" s="14"/>
    </row>
    <row r="942" spans="5:17" ht="15.75" customHeight="1">
      <c r="E942" s="13"/>
      <c r="F942" s="13"/>
      <c r="L942" s="13"/>
      <c r="M942" s="14"/>
      <c r="N942" s="14"/>
      <c r="O942" s="14"/>
      <c r="P942" s="14"/>
      <c r="Q942" s="14"/>
    </row>
    <row r="943" spans="5:17" ht="15.75" customHeight="1">
      <c r="E943" s="13"/>
      <c r="F943" s="13"/>
      <c r="L943" s="13"/>
      <c r="M943" s="14"/>
      <c r="N943" s="14"/>
      <c r="O943" s="14"/>
      <c r="P943" s="14"/>
      <c r="Q943" s="14"/>
    </row>
    <row r="944" spans="5:17" ht="15.75" customHeight="1">
      <c r="E944" s="13"/>
      <c r="F944" s="13"/>
      <c r="L944" s="13"/>
      <c r="M944" s="14"/>
      <c r="N944" s="14"/>
      <c r="O944" s="14"/>
      <c r="P944" s="14"/>
      <c r="Q944" s="14"/>
    </row>
    <row r="945" spans="5:17" ht="15.75" customHeight="1">
      <c r="E945" s="13"/>
      <c r="F945" s="13"/>
      <c r="L945" s="13"/>
      <c r="M945" s="14"/>
      <c r="N945" s="14"/>
      <c r="O945" s="14"/>
      <c r="P945" s="14"/>
      <c r="Q945" s="14"/>
    </row>
    <row r="946" spans="5:17" ht="15.75" customHeight="1">
      <c r="E946" s="13"/>
      <c r="F946" s="13"/>
      <c r="L946" s="13"/>
      <c r="M946" s="14"/>
      <c r="N946" s="14"/>
      <c r="O946" s="14"/>
      <c r="P946" s="14"/>
      <c r="Q946" s="14"/>
    </row>
    <row r="947" spans="5:17" ht="15.75" customHeight="1">
      <c r="E947" s="13"/>
      <c r="F947" s="13"/>
      <c r="L947" s="13"/>
      <c r="M947" s="14"/>
      <c r="N947" s="14"/>
      <c r="O947" s="14"/>
      <c r="P947" s="14"/>
      <c r="Q947" s="14"/>
    </row>
    <row r="948" spans="5:17" ht="15.75" customHeight="1">
      <c r="E948" s="13"/>
      <c r="F948" s="13"/>
      <c r="L948" s="13"/>
      <c r="M948" s="14"/>
      <c r="N948" s="14"/>
      <c r="O948" s="14"/>
      <c r="P948" s="14"/>
      <c r="Q948" s="14"/>
    </row>
    <row r="949" spans="5:17" ht="15.75" customHeight="1">
      <c r="E949" s="13"/>
      <c r="F949" s="13"/>
      <c r="L949" s="13"/>
      <c r="M949" s="14"/>
      <c r="N949" s="14"/>
      <c r="O949" s="14"/>
      <c r="P949" s="14"/>
      <c r="Q949" s="14"/>
    </row>
    <row r="950" spans="5:17" ht="15.75" customHeight="1">
      <c r="E950" s="13"/>
      <c r="F950" s="13"/>
      <c r="L950" s="13"/>
      <c r="M950" s="14"/>
      <c r="N950" s="14"/>
      <c r="O950" s="14"/>
      <c r="P950" s="14"/>
      <c r="Q950" s="14"/>
    </row>
    <row r="951" spans="5:17" ht="15.75" customHeight="1">
      <c r="E951" s="13"/>
      <c r="F951" s="13"/>
      <c r="L951" s="13"/>
      <c r="M951" s="14"/>
      <c r="N951" s="14"/>
      <c r="O951" s="14"/>
      <c r="P951" s="14"/>
      <c r="Q951" s="14"/>
    </row>
    <row r="952" spans="5:17" ht="15.75" customHeight="1">
      <c r="E952" s="13"/>
      <c r="F952" s="13"/>
      <c r="L952" s="13"/>
      <c r="M952" s="14"/>
      <c r="N952" s="14"/>
      <c r="O952" s="14"/>
      <c r="P952" s="14"/>
      <c r="Q952" s="14"/>
    </row>
    <row r="953" spans="5:17" ht="15.75" customHeight="1">
      <c r="E953" s="13"/>
      <c r="F953" s="13"/>
      <c r="L953" s="13"/>
      <c r="M953" s="14"/>
      <c r="N953" s="14"/>
      <c r="O953" s="14"/>
      <c r="P953" s="14"/>
      <c r="Q953" s="14"/>
    </row>
    <row r="954" spans="5:17" ht="15.75" customHeight="1">
      <c r="E954" s="13"/>
      <c r="F954" s="13"/>
      <c r="L954" s="13"/>
      <c r="M954" s="14"/>
      <c r="N954" s="14"/>
      <c r="O954" s="14"/>
      <c r="P954" s="14"/>
      <c r="Q954" s="14"/>
    </row>
    <row r="955" spans="5:17" ht="15.75" customHeight="1">
      <c r="E955" s="13"/>
      <c r="F955" s="13"/>
      <c r="L955" s="13"/>
      <c r="M955" s="14"/>
      <c r="N955" s="14"/>
      <c r="O955" s="14"/>
      <c r="P955" s="14"/>
      <c r="Q955" s="14"/>
    </row>
    <row r="956" spans="5:17" ht="15.75" customHeight="1">
      <c r="E956" s="13"/>
      <c r="F956" s="13"/>
      <c r="L956" s="13"/>
      <c r="M956" s="14"/>
      <c r="N956" s="14"/>
      <c r="O956" s="14"/>
      <c r="P956" s="14"/>
      <c r="Q956" s="14"/>
    </row>
    <row r="957" spans="5:17" ht="15.75" customHeight="1">
      <c r="E957" s="13"/>
      <c r="F957" s="13"/>
      <c r="L957" s="13"/>
      <c r="M957" s="14"/>
      <c r="N957" s="14"/>
      <c r="O957" s="14"/>
      <c r="P957" s="14"/>
      <c r="Q957" s="14"/>
    </row>
    <row r="958" spans="5:17" ht="15.75" customHeight="1">
      <c r="E958" s="13"/>
      <c r="F958" s="13"/>
      <c r="L958" s="13"/>
      <c r="M958" s="14"/>
      <c r="N958" s="14"/>
      <c r="O958" s="14"/>
      <c r="P958" s="14"/>
      <c r="Q958" s="14"/>
    </row>
    <row r="959" spans="5:17" ht="15.75" customHeight="1">
      <c r="E959" s="13"/>
      <c r="F959" s="13"/>
      <c r="L959" s="13"/>
      <c r="M959" s="14"/>
      <c r="N959" s="14"/>
      <c r="O959" s="14"/>
      <c r="P959" s="14"/>
      <c r="Q959" s="14"/>
    </row>
    <row r="960" spans="5:17" ht="15.75" customHeight="1">
      <c r="E960" s="13"/>
      <c r="F960" s="13"/>
      <c r="L960" s="13"/>
      <c r="M960" s="14"/>
      <c r="N960" s="14"/>
      <c r="O960" s="14"/>
      <c r="P960" s="14"/>
      <c r="Q960" s="14"/>
    </row>
    <row r="961" spans="5:17" ht="15.75" customHeight="1">
      <c r="E961" s="13"/>
      <c r="F961" s="13"/>
      <c r="L961" s="13"/>
      <c r="M961" s="14"/>
      <c r="N961" s="14"/>
      <c r="O961" s="14"/>
      <c r="P961" s="14"/>
      <c r="Q961" s="14"/>
    </row>
    <row r="962" spans="5:17" ht="15.75" customHeight="1">
      <c r="E962" s="13"/>
      <c r="F962" s="13"/>
      <c r="L962" s="13"/>
      <c r="M962" s="14"/>
      <c r="N962" s="14"/>
      <c r="O962" s="14"/>
      <c r="P962" s="14"/>
      <c r="Q962" s="14"/>
    </row>
    <row r="963" spans="5:17" ht="15.75" customHeight="1">
      <c r="E963" s="13"/>
      <c r="F963" s="13"/>
      <c r="L963" s="13"/>
      <c r="M963" s="14"/>
      <c r="N963" s="14"/>
      <c r="O963" s="14"/>
      <c r="P963" s="14"/>
      <c r="Q963" s="14"/>
    </row>
    <row r="964" spans="5:17" ht="15.75" customHeight="1">
      <c r="E964" s="13"/>
      <c r="F964" s="13"/>
      <c r="L964" s="13"/>
      <c r="M964" s="14"/>
      <c r="N964" s="14"/>
      <c r="O964" s="14"/>
      <c r="P964" s="14"/>
      <c r="Q964" s="14"/>
    </row>
    <row r="965" spans="5:17" ht="15.75" customHeight="1">
      <c r="E965" s="13"/>
      <c r="F965" s="13"/>
      <c r="L965" s="13"/>
      <c r="M965" s="14"/>
      <c r="N965" s="14"/>
      <c r="O965" s="14"/>
      <c r="P965" s="14"/>
      <c r="Q965" s="14"/>
    </row>
    <row r="966" spans="5:17" ht="15.75" customHeight="1">
      <c r="E966" s="13"/>
      <c r="F966" s="13"/>
      <c r="L966" s="13"/>
      <c r="M966" s="14"/>
      <c r="N966" s="14"/>
      <c r="O966" s="14"/>
      <c r="P966" s="14"/>
      <c r="Q966" s="14"/>
    </row>
    <row r="967" spans="5:17" ht="15.75" customHeight="1">
      <c r="E967" s="13"/>
      <c r="F967" s="13"/>
      <c r="L967" s="13"/>
      <c r="M967" s="14"/>
      <c r="N967" s="14"/>
      <c r="O967" s="14"/>
      <c r="P967" s="14"/>
      <c r="Q967" s="14"/>
    </row>
    <row r="968" spans="5:17" ht="15.75" customHeight="1">
      <c r="E968" s="13"/>
      <c r="F968" s="13"/>
      <c r="L968" s="13"/>
      <c r="M968" s="14"/>
      <c r="N968" s="14"/>
      <c r="O968" s="14"/>
      <c r="P968" s="14"/>
      <c r="Q968" s="14"/>
    </row>
    <row r="969" spans="5:17" ht="15.75" customHeight="1">
      <c r="E969" s="13"/>
      <c r="F969" s="13"/>
      <c r="L969" s="13"/>
      <c r="M969" s="14"/>
      <c r="N969" s="14"/>
      <c r="O969" s="14"/>
      <c r="P969" s="14"/>
      <c r="Q969" s="14"/>
    </row>
    <row r="970" spans="5:17" ht="15.75" customHeight="1">
      <c r="E970" s="13"/>
      <c r="F970" s="13"/>
      <c r="L970" s="13"/>
      <c r="M970" s="14"/>
      <c r="N970" s="14"/>
      <c r="O970" s="14"/>
      <c r="P970" s="14"/>
      <c r="Q970" s="14"/>
    </row>
    <row r="971" spans="5:17" ht="15.75" customHeight="1">
      <c r="E971" s="13"/>
      <c r="F971" s="13"/>
      <c r="L971" s="13"/>
      <c r="M971" s="14"/>
      <c r="N971" s="14"/>
      <c r="O971" s="14"/>
      <c r="P971" s="14"/>
      <c r="Q971" s="14"/>
    </row>
    <row r="972" spans="5:17" ht="15.75" customHeight="1">
      <c r="E972" s="13"/>
      <c r="F972" s="13"/>
      <c r="L972" s="13"/>
      <c r="M972" s="14"/>
      <c r="N972" s="14"/>
      <c r="O972" s="14"/>
      <c r="P972" s="14"/>
      <c r="Q972" s="14"/>
    </row>
    <row r="973" spans="5:17" ht="15.75" customHeight="1">
      <c r="E973" s="13"/>
      <c r="F973" s="13"/>
      <c r="L973" s="13"/>
      <c r="M973" s="14"/>
      <c r="N973" s="14"/>
      <c r="O973" s="14"/>
      <c r="P973" s="14"/>
      <c r="Q973" s="14"/>
    </row>
    <row r="974" spans="5:17" ht="15.75" customHeight="1">
      <c r="E974" s="13"/>
      <c r="F974" s="13"/>
      <c r="L974" s="13"/>
      <c r="M974" s="14"/>
      <c r="N974" s="14"/>
      <c r="O974" s="14"/>
      <c r="P974" s="14"/>
      <c r="Q974" s="14"/>
    </row>
    <row r="975" spans="5:17" ht="15.75" customHeight="1">
      <c r="E975" s="13"/>
      <c r="F975" s="13"/>
      <c r="L975" s="13"/>
      <c r="M975" s="14"/>
      <c r="N975" s="14"/>
      <c r="O975" s="14"/>
      <c r="P975" s="14"/>
      <c r="Q975" s="14"/>
    </row>
    <row r="976" spans="5:17" ht="15.75" customHeight="1">
      <c r="E976" s="13"/>
      <c r="F976" s="13"/>
      <c r="L976" s="13"/>
      <c r="M976" s="14"/>
      <c r="N976" s="14"/>
      <c r="O976" s="14"/>
      <c r="P976" s="14"/>
      <c r="Q976" s="14"/>
    </row>
    <row r="977" spans="5:17" ht="15.75" customHeight="1">
      <c r="E977" s="13"/>
      <c r="F977" s="13"/>
      <c r="L977" s="13"/>
      <c r="M977" s="14"/>
      <c r="N977" s="14"/>
      <c r="O977" s="14"/>
      <c r="P977" s="14"/>
      <c r="Q977" s="14"/>
    </row>
    <row r="978" spans="5:17" ht="15.75" customHeight="1">
      <c r="E978" s="13"/>
      <c r="F978" s="13"/>
      <c r="L978" s="13"/>
      <c r="M978" s="14"/>
      <c r="N978" s="14"/>
      <c r="O978" s="14"/>
      <c r="P978" s="14"/>
      <c r="Q978" s="14"/>
    </row>
    <row r="979" spans="5:17" ht="15.75" customHeight="1">
      <c r="E979" s="13"/>
      <c r="F979" s="13"/>
      <c r="L979" s="13"/>
      <c r="M979" s="14"/>
      <c r="N979" s="14"/>
      <c r="O979" s="14"/>
      <c r="P979" s="14"/>
      <c r="Q979" s="14"/>
    </row>
    <row r="980" spans="5:17" ht="15.75" customHeight="1">
      <c r="E980" s="13"/>
      <c r="F980" s="13"/>
      <c r="L980" s="13"/>
      <c r="M980" s="14"/>
      <c r="N980" s="14"/>
      <c r="O980" s="14"/>
      <c r="P980" s="14"/>
      <c r="Q980" s="14"/>
    </row>
    <row r="981" spans="5:17" ht="15.75" customHeight="1">
      <c r="E981" s="13"/>
      <c r="F981" s="13"/>
      <c r="L981" s="13"/>
      <c r="M981" s="14"/>
      <c r="N981" s="14"/>
      <c r="O981" s="14"/>
      <c r="P981" s="14"/>
      <c r="Q981" s="14"/>
    </row>
    <row r="982" spans="5:17" ht="15.75" customHeight="1">
      <c r="E982" s="13"/>
      <c r="F982" s="13"/>
      <c r="L982" s="13"/>
      <c r="M982" s="14"/>
      <c r="N982" s="14"/>
      <c r="O982" s="14"/>
      <c r="P982" s="14"/>
      <c r="Q982" s="14"/>
    </row>
    <row r="983" spans="5:17" ht="15.75" customHeight="1">
      <c r="E983" s="13"/>
      <c r="F983" s="13"/>
      <c r="L983" s="13"/>
      <c r="M983" s="14"/>
      <c r="N983" s="14"/>
      <c r="O983" s="14"/>
      <c r="P983" s="14"/>
      <c r="Q983" s="14"/>
    </row>
    <row r="984" spans="5:17" ht="15.75" customHeight="1">
      <c r="E984" s="13"/>
      <c r="F984" s="13"/>
      <c r="L984" s="13"/>
      <c r="M984" s="14"/>
      <c r="N984" s="14"/>
      <c r="O984" s="14"/>
      <c r="P984" s="14"/>
      <c r="Q984" s="14"/>
    </row>
    <row r="985" spans="5:17" ht="15.75" customHeight="1">
      <c r="E985" s="13"/>
      <c r="F985" s="13"/>
      <c r="L985" s="13"/>
      <c r="M985" s="14"/>
      <c r="N985" s="14"/>
      <c r="O985" s="14"/>
      <c r="P985" s="14"/>
      <c r="Q985" s="14"/>
    </row>
    <row r="986" spans="5:17" ht="15.75" customHeight="1">
      <c r="E986" s="13"/>
      <c r="F986" s="13"/>
      <c r="L986" s="13"/>
      <c r="M986" s="14"/>
      <c r="N986" s="14"/>
      <c r="O986" s="14"/>
      <c r="P986" s="14"/>
      <c r="Q986" s="14"/>
    </row>
    <row r="987" spans="5:17" ht="15.75" customHeight="1">
      <c r="E987" s="13"/>
      <c r="F987" s="13"/>
      <c r="L987" s="13"/>
      <c r="M987" s="14"/>
      <c r="N987" s="14"/>
      <c r="O987" s="14"/>
      <c r="P987" s="14"/>
      <c r="Q987" s="14"/>
    </row>
    <row r="988" spans="5:17" ht="15.75" customHeight="1">
      <c r="E988" s="13"/>
      <c r="F988" s="13"/>
      <c r="L988" s="13"/>
      <c r="M988" s="14"/>
      <c r="N988" s="14"/>
      <c r="O988" s="14"/>
      <c r="P988" s="14"/>
      <c r="Q988" s="14"/>
    </row>
    <row r="989" spans="5:17" ht="15.75" customHeight="1">
      <c r="E989" s="13"/>
      <c r="F989" s="13"/>
      <c r="L989" s="13"/>
      <c r="M989" s="14"/>
      <c r="N989" s="14"/>
      <c r="O989" s="14"/>
      <c r="P989" s="14"/>
      <c r="Q989" s="14"/>
    </row>
    <row r="990" spans="5:17" ht="15.75" customHeight="1">
      <c r="E990" s="13"/>
      <c r="F990" s="13"/>
      <c r="L990" s="13"/>
      <c r="M990" s="14"/>
      <c r="N990" s="14"/>
      <c r="O990" s="14"/>
      <c r="P990" s="14"/>
      <c r="Q990" s="14"/>
    </row>
    <row r="991" spans="5:17" ht="15.75" customHeight="1">
      <c r="E991" s="13"/>
      <c r="F991" s="13"/>
      <c r="L991" s="13"/>
      <c r="M991" s="14"/>
      <c r="N991" s="14"/>
      <c r="O991" s="14"/>
      <c r="P991" s="14"/>
      <c r="Q991" s="14"/>
    </row>
    <row r="992" spans="5:17" ht="15.75" customHeight="1">
      <c r="E992" s="13"/>
      <c r="F992" s="13"/>
      <c r="L992" s="13"/>
      <c r="M992" s="14"/>
      <c r="N992" s="14"/>
      <c r="O992" s="14"/>
      <c r="P992" s="14"/>
      <c r="Q992" s="14"/>
    </row>
    <row r="993" spans="5:17" ht="15.75" customHeight="1">
      <c r="E993" s="13"/>
      <c r="F993" s="13"/>
      <c r="L993" s="13"/>
      <c r="M993" s="14"/>
      <c r="N993" s="14"/>
      <c r="O993" s="14"/>
      <c r="P993" s="14"/>
      <c r="Q993" s="14"/>
    </row>
    <row r="994" spans="5:17" ht="15.75" customHeight="1">
      <c r="E994" s="13"/>
      <c r="F994" s="13"/>
      <c r="L994" s="13"/>
      <c r="M994" s="14"/>
      <c r="N994" s="14"/>
      <c r="O994" s="14"/>
      <c r="P994" s="14"/>
      <c r="Q994" s="14"/>
    </row>
    <row r="995" spans="5:17" ht="15.75" customHeight="1">
      <c r="E995" s="13"/>
      <c r="F995" s="13"/>
      <c r="L995" s="13"/>
      <c r="M995" s="14"/>
      <c r="N995" s="14"/>
      <c r="O995" s="14"/>
      <c r="P995" s="14"/>
      <c r="Q995" s="14"/>
    </row>
    <row r="996" spans="5:17" ht="15.75" customHeight="1">
      <c r="E996" s="13"/>
      <c r="F996" s="13"/>
      <c r="L996" s="13"/>
      <c r="M996" s="14"/>
      <c r="N996" s="14"/>
      <c r="O996" s="14"/>
      <c r="P996" s="14"/>
      <c r="Q996" s="14"/>
    </row>
    <row r="997" spans="5:17" ht="15.75" customHeight="1">
      <c r="E997" s="13"/>
      <c r="F997" s="13"/>
      <c r="L997" s="13"/>
      <c r="M997" s="14"/>
      <c r="N997" s="14"/>
      <c r="O997" s="14"/>
      <c r="P997" s="14"/>
      <c r="Q997" s="14"/>
    </row>
    <row r="998" spans="5:17" ht="15.75" customHeight="1">
      <c r="E998" s="13"/>
      <c r="F998" s="13"/>
      <c r="L998" s="13"/>
      <c r="M998" s="14"/>
      <c r="N998" s="14"/>
      <c r="O998" s="14"/>
      <c r="P998" s="14"/>
      <c r="Q998" s="14"/>
    </row>
    <row r="999" spans="5:17" ht="15.75" customHeight="1">
      <c r="E999" s="13"/>
      <c r="F999" s="13"/>
      <c r="L999" s="13"/>
      <c r="M999" s="14"/>
      <c r="N999" s="14"/>
      <c r="O999" s="14"/>
      <c r="P999" s="14"/>
      <c r="Q999" s="14"/>
    </row>
    <row r="1000" spans="5:17" ht="15.75" customHeight="1">
      <c r="E1000" s="13"/>
      <c r="F1000" s="13"/>
      <c r="L1000" s="13"/>
      <c r="M1000" s="14"/>
      <c r="N1000" s="14"/>
      <c r="O1000" s="14"/>
      <c r="P1000" s="14"/>
      <c r="Q1000" s="14"/>
    </row>
    <row r="1001" spans="5:17" ht="15.75" customHeight="1">
      <c r="E1001" s="13"/>
      <c r="F1001" s="13"/>
      <c r="L1001" s="13"/>
    </row>
    <row r="1002" spans="5:17" ht="15.75" customHeight="1">
      <c r="E1002" s="13"/>
      <c r="F1002" s="13"/>
      <c r="L1002" s="13"/>
    </row>
    <row r="1003" spans="5:17" ht="15.75" customHeight="1">
      <c r="E1003" s="13"/>
      <c r="F1003" s="13"/>
      <c r="L1003" s="13"/>
    </row>
    <row r="1004" spans="5:17" ht="15.75" customHeight="1">
      <c r="E1004" s="13"/>
      <c r="F1004" s="13"/>
      <c r="L1004" s="13"/>
    </row>
    <row r="1005" spans="5:17" ht="15.75" customHeight="1">
      <c r="E1005" s="13"/>
      <c r="F1005" s="13"/>
      <c r="L1005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</sheetPr>
  <dimension ref="A1:G544"/>
  <sheetViews>
    <sheetView topLeftCell="A309" workbookViewId="0">
      <selection activeCell="E7" sqref="E7"/>
    </sheetView>
  </sheetViews>
  <sheetFormatPr baseColWidth="10" defaultColWidth="12.6640625" defaultRowHeight="15" customHeight="1"/>
  <sheetData>
    <row r="1" spans="1:7" ht="15.75" customHeight="1">
      <c r="A1" s="17" t="s">
        <v>0</v>
      </c>
      <c r="B1" s="17" t="s">
        <v>451</v>
      </c>
      <c r="C1" s="9" t="s">
        <v>452</v>
      </c>
      <c r="D1" s="9" t="s">
        <v>453</v>
      </c>
    </row>
    <row r="2" spans="1:7" ht="15.75" customHeight="1">
      <c r="A2" s="29">
        <v>10101</v>
      </c>
      <c r="B2" s="17" t="s">
        <v>18</v>
      </c>
      <c r="C2" s="9">
        <v>0.71417364657814097</v>
      </c>
      <c r="D2" s="9">
        <v>1.2708333333333333</v>
      </c>
      <c r="E2" s="19"/>
      <c r="F2" s="18"/>
      <c r="G2" s="18"/>
    </row>
    <row r="3" spans="1:7" ht="15.75" customHeight="1">
      <c r="A3" s="29">
        <v>10102</v>
      </c>
      <c r="B3" s="17" t="s">
        <v>19</v>
      </c>
      <c r="C3" s="9">
        <v>0.64269676884838445</v>
      </c>
      <c r="D3" s="9">
        <v>1.5106382978723405</v>
      </c>
      <c r="E3" s="19"/>
      <c r="F3" s="18"/>
      <c r="G3" s="18"/>
    </row>
    <row r="4" spans="1:7" ht="15.75" customHeight="1">
      <c r="A4" s="29">
        <v>10103</v>
      </c>
      <c r="B4" s="17" t="s">
        <v>21</v>
      </c>
      <c r="C4" s="9">
        <v>0.59806684299110358</v>
      </c>
      <c r="D4" s="9">
        <v>1.5833333333333333</v>
      </c>
    </row>
    <row r="5" spans="1:7" ht="15.75" customHeight="1">
      <c r="A5" s="29">
        <v>10201</v>
      </c>
      <c r="B5" s="17" t="s">
        <v>24</v>
      </c>
      <c r="C5" s="9">
        <v>0.4188314104949758</v>
      </c>
      <c r="D5" s="9">
        <v>2.1764705882352939</v>
      </c>
    </row>
    <row r="6" spans="1:7" ht="15.75" customHeight="1">
      <c r="A6" s="29">
        <v>10202</v>
      </c>
      <c r="B6" s="17" t="s">
        <v>26</v>
      </c>
      <c r="C6" s="9">
        <v>0.62084845101869945</v>
      </c>
      <c r="D6" s="9">
        <v>1.36</v>
      </c>
    </row>
    <row r="7" spans="1:7" ht="15.75" customHeight="1">
      <c r="A7" s="29">
        <v>10301</v>
      </c>
      <c r="B7" s="17" t="s">
        <v>29</v>
      </c>
      <c r="C7" s="9">
        <v>0.53384379785604907</v>
      </c>
      <c r="D7" s="9">
        <v>1.5952380952380953</v>
      </c>
    </row>
    <row r="8" spans="1:7" ht="15.75" customHeight="1">
      <c r="A8" s="29">
        <v>10302</v>
      </c>
      <c r="B8" s="17" t="s">
        <v>31</v>
      </c>
      <c r="C8" s="9">
        <v>0.5321718233703816</v>
      </c>
      <c r="D8" s="9">
        <v>1.6046511627906976</v>
      </c>
    </row>
    <row r="9" spans="1:7" ht="15.75" customHeight="1">
      <c r="A9" s="29">
        <v>10303</v>
      </c>
      <c r="B9" s="17" t="s">
        <v>33</v>
      </c>
      <c r="C9" s="9">
        <v>0.61313529705441838</v>
      </c>
      <c r="D9" s="9">
        <v>1.4893617021276595</v>
      </c>
    </row>
    <row r="10" spans="1:7" ht="15.75" customHeight="1">
      <c r="A10" s="29">
        <v>10304</v>
      </c>
      <c r="B10" s="17" t="s">
        <v>35</v>
      </c>
      <c r="C10" s="9">
        <v>0.5459311851447296</v>
      </c>
      <c r="D10" s="9">
        <v>1.7250000000000001</v>
      </c>
    </row>
    <row r="11" spans="1:7" ht="15.75" customHeight="1">
      <c r="A11" s="29">
        <v>10401</v>
      </c>
      <c r="B11" s="17" t="s">
        <v>38</v>
      </c>
      <c r="C11" s="9">
        <v>0.62694506192442045</v>
      </c>
      <c r="D11" s="9">
        <v>1.3018867924528301</v>
      </c>
    </row>
    <row r="12" spans="1:7" ht="15.75" customHeight="1">
      <c r="A12" s="29">
        <v>10402</v>
      </c>
      <c r="B12" s="17" t="s">
        <v>37</v>
      </c>
      <c r="C12" s="9">
        <v>0.51759917355371898</v>
      </c>
      <c r="D12" s="9">
        <v>1.6976744186046511</v>
      </c>
    </row>
    <row r="13" spans="1:7" ht="15.75" customHeight="1">
      <c r="A13" s="29">
        <v>10403</v>
      </c>
      <c r="B13" s="17" t="s">
        <v>43</v>
      </c>
      <c r="C13" s="9">
        <v>0.44550645481628603</v>
      </c>
      <c r="D13" s="9">
        <v>1.8918918918918919</v>
      </c>
    </row>
    <row r="14" spans="1:7" ht="15.75" customHeight="1">
      <c r="A14" s="29">
        <v>10404</v>
      </c>
      <c r="B14" s="17" t="s">
        <v>44</v>
      </c>
      <c r="C14" s="9">
        <v>0.60816983894582721</v>
      </c>
      <c r="D14" s="9">
        <v>1.4130434782608696</v>
      </c>
    </row>
    <row r="15" spans="1:7" ht="15.75" customHeight="1">
      <c r="A15" s="29">
        <v>10405</v>
      </c>
      <c r="B15" s="17" t="s">
        <v>45</v>
      </c>
      <c r="C15" s="9">
        <v>0.65636085626911311</v>
      </c>
      <c r="D15" s="9">
        <v>1.25</v>
      </c>
    </row>
    <row r="16" spans="1:7" ht="15.75" customHeight="1">
      <c r="A16" s="29">
        <v>10501</v>
      </c>
      <c r="B16" s="17" t="s">
        <v>47</v>
      </c>
      <c r="C16" s="9">
        <v>0.61040402588066145</v>
      </c>
      <c r="D16" s="9">
        <v>1.3877551020408163</v>
      </c>
    </row>
    <row r="17" spans="1:4" ht="15.75" customHeight="1">
      <c r="A17" s="29">
        <v>10502</v>
      </c>
      <c r="B17" s="17" t="s">
        <v>48</v>
      </c>
      <c r="C17" s="9">
        <v>0.58171014492753614</v>
      </c>
      <c r="D17" s="9">
        <v>1.3191489361702127</v>
      </c>
    </row>
    <row r="18" spans="1:4" ht="15.75" customHeight="1">
      <c r="A18" s="29">
        <v>10601</v>
      </c>
      <c r="B18" s="17" t="s">
        <v>50</v>
      </c>
      <c r="C18" s="9">
        <v>0.58754926108374383</v>
      </c>
      <c r="D18" s="9">
        <v>1.6222222222222222</v>
      </c>
    </row>
    <row r="19" spans="1:4" ht="15.75" customHeight="1">
      <c r="A19" s="29">
        <v>10602</v>
      </c>
      <c r="B19" s="17" t="s">
        <v>49</v>
      </c>
      <c r="C19" s="9">
        <v>0.51400573271228955</v>
      </c>
      <c r="D19" s="9">
        <v>1.7804878048780488</v>
      </c>
    </row>
    <row r="20" spans="1:4" ht="15.75" customHeight="1">
      <c r="A20" s="29">
        <v>10701</v>
      </c>
      <c r="B20" s="17" t="s">
        <v>52</v>
      </c>
      <c r="C20" s="9">
        <v>0.59162790697674417</v>
      </c>
      <c r="D20" s="9">
        <v>1.5</v>
      </c>
    </row>
    <row r="21" spans="1:4" ht="15.75" customHeight="1">
      <c r="A21" s="29">
        <v>10702</v>
      </c>
      <c r="B21" s="17" t="s">
        <v>53</v>
      </c>
      <c r="C21" s="9">
        <v>0.67966044826197825</v>
      </c>
      <c r="D21" s="9">
        <v>1.3962264150943395</v>
      </c>
    </row>
    <row r="22" spans="1:4" ht="15.75" customHeight="1">
      <c r="A22" s="29">
        <v>10703</v>
      </c>
      <c r="B22" s="17" t="s">
        <v>54</v>
      </c>
      <c r="C22" s="9">
        <v>0.58326579261025036</v>
      </c>
      <c r="D22" s="9">
        <v>1.5208333333333333</v>
      </c>
    </row>
    <row r="23" spans="1:4" ht="15.75" customHeight="1">
      <c r="A23" s="29">
        <v>10704</v>
      </c>
      <c r="B23" s="17" t="s">
        <v>55</v>
      </c>
      <c r="C23" s="9">
        <v>0.55822409638554216</v>
      </c>
      <c r="D23" s="9">
        <v>1.553191489361702</v>
      </c>
    </row>
    <row r="24" spans="1:4" ht="15.75" customHeight="1">
      <c r="A24" s="29">
        <v>10801</v>
      </c>
      <c r="B24" s="17" t="s">
        <v>57</v>
      </c>
      <c r="C24" s="9">
        <v>0.58716814159292041</v>
      </c>
      <c r="D24" s="9">
        <v>1.4222222222222223</v>
      </c>
    </row>
    <row r="25" spans="1:4" ht="15.75" customHeight="1">
      <c r="A25" s="29">
        <v>10901</v>
      </c>
      <c r="B25" s="17" t="s">
        <v>59</v>
      </c>
      <c r="C25" s="9">
        <v>0.56065543071161039</v>
      </c>
      <c r="D25" s="9">
        <v>1.346938775510204</v>
      </c>
    </row>
    <row r="26" spans="1:4" ht="15.75" customHeight="1">
      <c r="A26" s="29">
        <v>10902</v>
      </c>
      <c r="B26" s="17" t="s">
        <v>60</v>
      </c>
      <c r="C26" s="9">
        <v>0.63636166522116222</v>
      </c>
      <c r="D26" s="9">
        <v>1.4074074074074074</v>
      </c>
    </row>
    <row r="27" spans="1:4" ht="15.75" customHeight="1">
      <c r="A27" s="29">
        <v>10903</v>
      </c>
      <c r="B27" s="17" t="s">
        <v>61</v>
      </c>
      <c r="C27" s="9">
        <v>0.66369266055045872</v>
      </c>
      <c r="D27" s="9">
        <v>1.1052631578947369</v>
      </c>
    </row>
    <row r="28" spans="1:4" ht="15.75" customHeight="1">
      <c r="A28" s="29">
        <v>11001</v>
      </c>
      <c r="B28" s="17" t="s">
        <v>63</v>
      </c>
      <c r="C28" s="9">
        <v>0.52948487031700286</v>
      </c>
      <c r="D28" s="9">
        <v>1.5121951219512195</v>
      </c>
    </row>
    <row r="29" spans="1:4" ht="15.75" customHeight="1">
      <c r="A29" s="29">
        <v>11002</v>
      </c>
      <c r="B29" s="17" t="s">
        <v>64</v>
      </c>
      <c r="C29" s="9">
        <v>0.52915977961432514</v>
      </c>
      <c r="D29" s="9">
        <v>1.6097560975609757</v>
      </c>
    </row>
    <row r="30" spans="1:4" ht="15.75" customHeight="1">
      <c r="A30" s="29">
        <v>11003</v>
      </c>
      <c r="B30" s="17" t="s">
        <v>65</v>
      </c>
      <c r="C30" s="9">
        <v>0.55328646748681898</v>
      </c>
      <c r="D30" s="9">
        <v>1.3636363636363635</v>
      </c>
    </row>
    <row r="31" spans="1:4" ht="15.75" customHeight="1">
      <c r="A31" s="29">
        <v>20101</v>
      </c>
      <c r="B31" s="17" t="s">
        <v>67</v>
      </c>
      <c r="C31" s="9">
        <v>0.80438253492862255</v>
      </c>
      <c r="D31" s="9">
        <v>1.1403508771929824</v>
      </c>
    </row>
    <row r="32" spans="1:4" ht="15.75" customHeight="1">
      <c r="A32" s="29">
        <v>20102</v>
      </c>
      <c r="B32" s="17" t="s">
        <v>68</v>
      </c>
      <c r="C32" s="9">
        <v>0.8755557703460275</v>
      </c>
      <c r="D32" s="9">
        <v>1.0933333333333333</v>
      </c>
    </row>
    <row r="33" spans="1:4" ht="15.75" customHeight="1">
      <c r="A33" s="29">
        <v>20103</v>
      </c>
      <c r="B33" s="17" t="s">
        <v>69</v>
      </c>
      <c r="C33" s="9">
        <v>0.87984251968503935</v>
      </c>
      <c r="D33" s="9">
        <v>1.0810810810810811</v>
      </c>
    </row>
    <row r="34" spans="1:4" ht="15.75" customHeight="1">
      <c r="A34" s="29">
        <v>20104</v>
      </c>
      <c r="B34" s="17" t="s">
        <v>70</v>
      </c>
      <c r="C34" s="9">
        <v>0.78939018503620273</v>
      </c>
      <c r="D34" s="9">
        <v>1.1774193548387097</v>
      </c>
    </row>
    <row r="35" spans="1:4" ht="15.75" customHeight="1">
      <c r="A35" s="29">
        <v>20105</v>
      </c>
      <c r="B35" s="17" t="s">
        <v>71</v>
      </c>
      <c r="C35" s="9">
        <v>0.74460432351303596</v>
      </c>
      <c r="D35" s="9">
        <v>1.2181818181818183</v>
      </c>
    </row>
    <row r="36" spans="1:4" ht="15.75" customHeight="1">
      <c r="A36" s="29">
        <v>20201</v>
      </c>
      <c r="B36" s="17" t="s">
        <v>73</v>
      </c>
      <c r="C36" s="9">
        <v>0.87680323321974807</v>
      </c>
      <c r="D36" s="9">
        <v>1.1940298507462686</v>
      </c>
    </row>
    <row r="37" spans="1:4" ht="15.75" customHeight="1">
      <c r="A37" s="29">
        <v>20202</v>
      </c>
      <c r="B37" s="17" t="s">
        <v>74</v>
      </c>
      <c r="C37" s="9">
        <v>0.9237000753579504</v>
      </c>
      <c r="D37" s="9">
        <v>1.08</v>
      </c>
    </row>
    <row r="38" spans="1:4" ht="15.75" customHeight="1">
      <c r="A38" s="29">
        <v>20203</v>
      </c>
      <c r="B38" s="17" t="s">
        <v>75</v>
      </c>
      <c r="C38" s="9">
        <v>0.86984419263456092</v>
      </c>
      <c r="D38" s="9">
        <v>1.2096774193548387</v>
      </c>
    </row>
    <row r="39" spans="1:4" ht="15.75" customHeight="1">
      <c r="A39" s="29">
        <v>20204</v>
      </c>
      <c r="B39" s="17" t="s">
        <v>76</v>
      </c>
      <c r="C39" s="9">
        <v>0.88257107540173063</v>
      </c>
      <c r="D39" s="9">
        <v>1.125</v>
      </c>
    </row>
    <row r="40" spans="1:4" ht="15.75" customHeight="1">
      <c r="A40" s="29">
        <v>20205</v>
      </c>
      <c r="B40" s="17" t="s">
        <v>77</v>
      </c>
      <c r="C40" s="9">
        <v>0.79063073394495376</v>
      </c>
      <c r="D40" s="9">
        <v>1.2380952380952381</v>
      </c>
    </row>
    <row r="41" spans="1:4" ht="15.75" customHeight="1">
      <c r="A41" s="29">
        <v>20206</v>
      </c>
      <c r="B41" s="17" t="s">
        <v>78</v>
      </c>
      <c r="C41" s="9">
        <v>0.79007319304666102</v>
      </c>
      <c r="D41" s="9">
        <v>1.2807017543859649</v>
      </c>
    </row>
    <row r="42" spans="1:4" ht="15.75" customHeight="1">
      <c r="A42" s="29">
        <v>20301</v>
      </c>
      <c r="B42" s="17" t="s">
        <v>80</v>
      </c>
      <c r="C42" s="9">
        <v>0.902965602726991</v>
      </c>
      <c r="D42" s="9">
        <v>1.1884057971014492</v>
      </c>
    </row>
    <row r="43" spans="1:4" ht="15.75" customHeight="1">
      <c r="A43" s="29">
        <v>20302</v>
      </c>
      <c r="B43" s="17" t="s">
        <v>81</v>
      </c>
      <c r="C43" s="9">
        <v>0.86973243419621493</v>
      </c>
      <c r="D43" s="9">
        <v>1.1388888888888888</v>
      </c>
    </row>
    <row r="44" spans="1:4" ht="15.75" customHeight="1">
      <c r="A44" s="29">
        <v>20303</v>
      </c>
      <c r="B44" s="17" t="s">
        <v>82</v>
      </c>
      <c r="C44" s="9">
        <v>0.86506360533664284</v>
      </c>
      <c r="D44" s="9">
        <v>1.1428571428571428</v>
      </c>
    </row>
    <row r="45" spans="1:4" ht="15.75" customHeight="1">
      <c r="A45" s="29">
        <v>20304</v>
      </c>
      <c r="B45" s="17" t="s">
        <v>83</v>
      </c>
      <c r="C45" s="9">
        <v>0.82184501845018443</v>
      </c>
      <c r="D45" s="9">
        <v>1.328125</v>
      </c>
    </row>
    <row r="46" spans="1:4" ht="15.75" customHeight="1">
      <c r="A46" s="29">
        <v>20305</v>
      </c>
      <c r="B46" s="17" t="s">
        <v>84</v>
      </c>
      <c r="C46" s="9">
        <v>0.76953005464480873</v>
      </c>
      <c r="D46" s="9">
        <v>1.3103448275862069</v>
      </c>
    </row>
    <row r="47" spans="1:4" ht="15.75" customHeight="1">
      <c r="A47" s="29">
        <v>20306</v>
      </c>
      <c r="B47" s="17" t="s">
        <v>85</v>
      </c>
      <c r="C47" s="9">
        <v>0.83309347181008908</v>
      </c>
      <c r="D47" s="9">
        <v>1.3442622950819672</v>
      </c>
    </row>
    <row r="48" spans="1:4" ht="15.75" customHeight="1">
      <c r="A48" s="29">
        <v>20307</v>
      </c>
      <c r="B48" s="17" t="s">
        <v>86</v>
      </c>
      <c r="C48" s="9">
        <v>0.77424390243902441</v>
      </c>
      <c r="D48" s="9">
        <v>1.3225806451612903</v>
      </c>
    </row>
    <row r="49" spans="1:4" ht="15.75" customHeight="1">
      <c r="A49" s="29">
        <v>20308</v>
      </c>
      <c r="B49" s="17" t="s">
        <v>87</v>
      </c>
      <c r="C49" s="9">
        <v>0.83946734059097983</v>
      </c>
      <c r="D49" s="9">
        <v>1.1971830985915493</v>
      </c>
    </row>
    <row r="50" spans="1:4" ht="15.75" customHeight="1">
      <c r="A50" s="29">
        <v>20401</v>
      </c>
      <c r="B50" s="17" t="s">
        <v>89</v>
      </c>
      <c r="C50" s="9">
        <v>0.90896324739440482</v>
      </c>
      <c r="D50" s="9">
        <v>1.051948051948052</v>
      </c>
    </row>
    <row r="51" spans="1:4" ht="15.75" customHeight="1">
      <c r="A51" s="29">
        <v>20402</v>
      </c>
      <c r="B51" s="17" t="s">
        <v>90</v>
      </c>
      <c r="C51" s="9">
        <v>0.92388001558239197</v>
      </c>
      <c r="D51" s="9">
        <v>1.0909090909090908</v>
      </c>
    </row>
    <row r="52" spans="1:4" ht="15.75" customHeight="1">
      <c r="A52" s="29">
        <v>20403</v>
      </c>
      <c r="B52" s="17" t="s">
        <v>91</v>
      </c>
      <c r="C52" s="9">
        <v>0.88969129231424315</v>
      </c>
      <c r="D52" s="9">
        <v>1.1111111111111112</v>
      </c>
    </row>
    <row r="53" spans="1:4" ht="15.75" customHeight="1">
      <c r="A53" s="29">
        <v>20404</v>
      </c>
      <c r="B53" s="17" t="s">
        <v>92</v>
      </c>
      <c r="C53" s="9">
        <v>0.94063842848373236</v>
      </c>
      <c r="D53" s="9">
        <v>1.1688311688311688</v>
      </c>
    </row>
    <row r="54" spans="1:4" ht="15.75" customHeight="1">
      <c r="A54" s="29">
        <v>20405</v>
      </c>
      <c r="B54" s="17" t="s">
        <v>93</v>
      </c>
      <c r="C54" s="9">
        <v>0.89799911071587379</v>
      </c>
      <c r="D54" s="9">
        <v>1.125</v>
      </c>
    </row>
    <row r="55" spans="1:4" ht="15.75" customHeight="1">
      <c r="A55" s="29">
        <v>20501</v>
      </c>
      <c r="B55" s="17" t="s">
        <v>95</v>
      </c>
      <c r="C55" s="9">
        <v>0.88341397118782272</v>
      </c>
      <c r="D55" s="9">
        <v>1.1081081081081081</v>
      </c>
    </row>
    <row r="56" spans="1:4" ht="15.75" customHeight="1">
      <c r="A56" s="29">
        <v>20502</v>
      </c>
      <c r="B56" s="17" t="s">
        <v>96</v>
      </c>
      <c r="C56" s="9">
        <v>0.88173846153846147</v>
      </c>
      <c r="D56" s="9">
        <v>1.0810810810810811</v>
      </c>
    </row>
    <row r="57" spans="1:4" ht="15.75" customHeight="1">
      <c r="A57" s="29">
        <v>20503</v>
      </c>
      <c r="B57" s="17" t="s">
        <v>97</v>
      </c>
      <c r="C57" s="9">
        <v>0.78520958083832337</v>
      </c>
      <c r="D57" s="9">
        <v>1.2580645161290323</v>
      </c>
    </row>
    <row r="58" spans="1:4" ht="15.75" customHeight="1">
      <c r="A58" s="29">
        <v>20601</v>
      </c>
      <c r="B58" s="17" t="s">
        <v>99</v>
      </c>
      <c r="C58" s="9">
        <v>0.77828147950327153</v>
      </c>
      <c r="D58" s="9">
        <v>1.1384615384615384</v>
      </c>
    </row>
    <row r="59" spans="1:4" ht="15.75" customHeight="1">
      <c r="A59" s="29">
        <v>20602</v>
      </c>
      <c r="B59" s="17" t="s">
        <v>100</v>
      </c>
      <c r="C59" s="9">
        <v>0.71141401792991033</v>
      </c>
      <c r="D59" s="9">
        <v>1.1694915254237288</v>
      </c>
    </row>
    <row r="60" spans="1:4" ht="15.75" customHeight="1">
      <c r="A60" s="29">
        <v>20603</v>
      </c>
      <c r="B60" s="17" t="s">
        <v>101</v>
      </c>
      <c r="C60" s="9">
        <v>0.72308068459657704</v>
      </c>
      <c r="D60" s="9">
        <v>1.1111111111111112</v>
      </c>
    </row>
    <row r="61" spans="1:4" ht="15.75" customHeight="1">
      <c r="A61" s="29">
        <v>20604</v>
      </c>
      <c r="B61" s="17" t="s">
        <v>102</v>
      </c>
      <c r="C61" s="9">
        <v>0.89265536723163841</v>
      </c>
      <c r="D61" s="9">
        <v>0.96202531645569622</v>
      </c>
    </row>
    <row r="62" spans="1:4" ht="15.75" customHeight="1">
      <c r="A62" s="29">
        <v>20605</v>
      </c>
      <c r="B62" s="17" t="s">
        <v>103</v>
      </c>
      <c r="C62" s="9">
        <v>0.89098613251155623</v>
      </c>
      <c r="D62" s="9">
        <v>1.08</v>
      </c>
    </row>
    <row r="63" spans="1:4" ht="15.75" customHeight="1">
      <c r="A63" s="29">
        <v>20606</v>
      </c>
      <c r="B63" s="17" t="s">
        <v>104</v>
      </c>
      <c r="C63" s="9">
        <v>0.66209856915739274</v>
      </c>
      <c r="D63" s="9">
        <v>1.1636363636363636</v>
      </c>
    </row>
    <row r="64" spans="1:4" ht="15.75" customHeight="1">
      <c r="A64" s="29">
        <v>20607</v>
      </c>
      <c r="B64" s="17" t="s">
        <v>105</v>
      </c>
      <c r="C64" s="9">
        <v>0.60360875390799473</v>
      </c>
      <c r="D64" s="9">
        <v>1.25</v>
      </c>
    </row>
    <row r="65" spans="1:4" ht="15.75" customHeight="1">
      <c r="A65" s="29">
        <v>20608</v>
      </c>
      <c r="B65" s="17" t="s">
        <v>106</v>
      </c>
      <c r="C65" s="9">
        <v>0.78866082224909306</v>
      </c>
      <c r="D65" s="9">
        <v>1.0869565217391304</v>
      </c>
    </row>
    <row r="66" spans="1:4" ht="15.75" customHeight="1">
      <c r="A66" s="29">
        <v>20701</v>
      </c>
      <c r="B66" s="17" t="s">
        <v>108</v>
      </c>
      <c r="C66" s="9">
        <v>0.79464156408399711</v>
      </c>
      <c r="D66" s="9">
        <v>1.2203389830508475</v>
      </c>
    </row>
    <row r="67" spans="1:4" ht="15.75" customHeight="1">
      <c r="A67" s="29">
        <v>20702</v>
      </c>
      <c r="B67" s="17" t="s">
        <v>109</v>
      </c>
      <c r="C67" s="9">
        <v>0.72590030081650192</v>
      </c>
      <c r="D67" s="9">
        <v>1.2881355932203389</v>
      </c>
    </row>
    <row r="68" spans="1:4" ht="15.75" customHeight="1">
      <c r="A68" s="29">
        <v>20801</v>
      </c>
      <c r="B68" s="17" t="s">
        <v>111</v>
      </c>
      <c r="C68" s="9">
        <v>0.74485359613380087</v>
      </c>
      <c r="D68" s="9">
        <v>1.2321428571428572</v>
      </c>
    </row>
    <row r="69" spans="1:4" ht="15.75" customHeight="1">
      <c r="A69" s="29">
        <v>20802</v>
      </c>
      <c r="B69" s="17" t="s">
        <v>112</v>
      </c>
      <c r="C69" s="9">
        <v>0.91564210526315781</v>
      </c>
      <c r="D69" s="9">
        <v>1.3064516129032258</v>
      </c>
    </row>
    <row r="70" spans="1:4" ht="15.75" customHeight="1">
      <c r="A70" s="29">
        <v>20803</v>
      </c>
      <c r="B70" s="17" t="s">
        <v>113</v>
      </c>
      <c r="C70" s="9">
        <v>0.81636196881687551</v>
      </c>
      <c r="D70" s="9">
        <v>1.4482758620689655</v>
      </c>
    </row>
    <row r="71" spans="1:4" ht="15.75" customHeight="1">
      <c r="A71" s="29">
        <v>20804</v>
      </c>
      <c r="B71" s="17" t="s">
        <v>114</v>
      </c>
      <c r="C71" s="9">
        <v>0.83039537126325924</v>
      </c>
      <c r="D71" s="9">
        <v>1.0289855072463767</v>
      </c>
    </row>
    <row r="72" spans="1:4" ht="15.75" customHeight="1">
      <c r="A72" s="29">
        <v>20805</v>
      </c>
      <c r="B72" s="17" t="s">
        <v>115</v>
      </c>
      <c r="C72" s="9">
        <v>0.89626865671641787</v>
      </c>
      <c r="D72" s="9">
        <v>1.2285714285714286</v>
      </c>
    </row>
    <row r="73" spans="1:4" ht="15.75" customHeight="1">
      <c r="A73" s="29">
        <v>20806</v>
      </c>
      <c r="B73" s="17" t="s">
        <v>116</v>
      </c>
      <c r="C73" s="9">
        <v>0.87538251366120223</v>
      </c>
      <c r="D73" s="9">
        <v>1.1884057971014492</v>
      </c>
    </row>
    <row r="74" spans="1:4" ht="15.75" customHeight="1">
      <c r="A74" s="29">
        <v>20807</v>
      </c>
      <c r="B74" s="17" t="s">
        <v>117</v>
      </c>
      <c r="C74" s="9">
        <v>0.8910084825636192</v>
      </c>
      <c r="D74" s="9">
        <v>1.1388888888888888</v>
      </c>
    </row>
    <row r="75" spans="1:4" ht="15.75" customHeight="1">
      <c r="A75" s="29">
        <v>20901</v>
      </c>
      <c r="B75" s="17" t="s">
        <v>119</v>
      </c>
      <c r="C75" s="9">
        <v>0.83847699629825501</v>
      </c>
      <c r="D75" s="9">
        <v>1.1095890410958904</v>
      </c>
    </row>
    <row r="76" spans="1:4" ht="15.75" customHeight="1">
      <c r="A76" s="29">
        <v>20902</v>
      </c>
      <c r="B76" s="17" t="s">
        <v>120</v>
      </c>
      <c r="C76" s="9">
        <v>0.89487534626038778</v>
      </c>
      <c r="D76" s="9">
        <v>1.0909090909090908</v>
      </c>
    </row>
    <row r="77" spans="1:4" ht="15.75" customHeight="1">
      <c r="A77" s="29">
        <v>20903</v>
      </c>
      <c r="B77" s="17" t="s">
        <v>121</v>
      </c>
      <c r="C77" s="9">
        <v>0.83785714285714297</v>
      </c>
      <c r="D77" s="9">
        <v>1.1304347826086956</v>
      </c>
    </row>
    <row r="78" spans="1:4" ht="15.75" customHeight="1">
      <c r="A78" s="29">
        <v>20904</v>
      </c>
      <c r="B78" s="17" t="s">
        <v>122</v>
      </c>
      <c r="C78" s="9">
        <v>0.73267002518891688</v>
      </c>
      <c r="D78" s="9">
        <v>1.2881355932203389</v>
      </c>
    </row>
    <row r="79" spans="1:4" ht="15.75" customHeight="1">
      <c r="A79" s="29">
        <v>20905</v>
      </c>
      <c r="B79" s="17" t="s">
        <v>123</v>
      </c>
      <c r="C79" s="9">
        <v>0.81217214227531909</v>
      </c>
      <c r="D79" s="9">
        <v>1.1126760563380282</v>
      </c>
    </row>
    <row r="80" spans="1:4" ht="15.75" customHeight="1">
      <c r="A80" s="29">
        <v>21001</v>
      </c>
      <c r="B80" s="17" t="s">
        <v>124</v>
      </c>
      <c r="C80" s="9">
        <v>0.7470686767169179</v>
      </c>
      <c r="D80" s="9">
        <v>1.21875</v>
      </c>
    </row>
    <row r="81" spans="1:4" ht="15.75" customHeight="1">
      <c r="A81" s="29">
        <v>21002</v>
      </c>
      <c r="B81" s="17" t="s">
        <v>125</v>
      </c>
      <c r="C81" s="9">
        <v>0.60819986072423393</v>
      </c>
      <c r="D81" s="9">
        <v>1.2941176470588236</v>
      </c>
    </row>
    <row r="82" spans="1:4" ht="15.75" customHeight="1">
      <c r="A82" s="29">
        <v>21003</v>
      </c>
      <c r="B82" s="17" t="s">
        <v>126</v>
      </c>
      <c r="C82" s="9">
        <v>0.85606731620903453</v>
      </c>
      <c r="D82" s="9">
        <v>1.0533333333333332</v>
      </c>
    </row>
    <row r="83" spans="1:4" ht="15.75" customHeight="1">
      <c r="A83" s="29">
        <v>21004</v>
      </c>
      <c r="B83" s="17" t="s">
        <v>127</v>
      </c>
      <c r="C83" s="9">
        <v>0.59397364085667215</v>
      </c>
      <c r="D83" s="9">
        <v>1.3061224489795917</v>
      </c>
    </row>
    <row r="84" spans="1:4" ht="15.75" customHeight="1">
      <c r="A84" s="29">
        <v>21005</v>
      </c>
      <c r="B84" s="17" t="s">
        <v>128</v>
      </c>
      <c r="C84" s="9">
        <v>0.78872049689440993</v>
      </c>
      <c r="D84" s="9">
        <v>1.1515151515151516</v>
      </c>
    </row>
    <row r="85" spans="1:4" ht="15.75" customHeight="1">
      <c r="A85" s="29">
        <v>21006</v>
      </c>
      <c r="B85" s="17" t="s">
        <v>129</v>
      </c>
      <c r="C85" s="9">
        <v>0.78191082802547773</v>
      </c>
      <c r="D85" s="9">
        <v>1.1935483870967742</v>
      </c>
    </row>
    <row r="86" spans="1:4" ht="15.75" customHeight="1">
      <c r="A86" s="29">
        <v>21101</v>
      </c>
      <c r="B86" s="17" t="s">
        <v>131</v>
      </c>
      <c r="C86" s="9">
        <v>0.93932012361388828</v>
      </c>
      <c r="D86" s="9">
        <v>1.05</v>
      </c>
    </row>
    <row r="87" spans="1:4" ht="15.75" customHeight="1">
      <c r="A87" s="29">
        <v>21102</v>
      </c>
      <c r="B87" s="17" t="s">
        <v>132</v>
      </c>
      <c r="C87" s="9">
        <v>0.85560800911606705</v>
      </c>
      <c r="D87" s="9">
        <v>1.0666666666666667</v>
      </c>
    </row>
    <row r="88" spans="1:4" ht="15.75" customHeight="1">
      <c r="A88" s="29">
        <v>21103</v>
      </c>
      <c r="B88" s="17" t="s">
        <v>133</v>
      </c>
      <c r="C88" s="9">
        <v>0.71817333333333344</v>
      </c>
      <c r="D88" s="9">
        <v>1.1311475409836065</v>
      </c>
    </row>
    <row r="89" spans="1:4" ht="15.75" customHeight="1">
      <c r="A89" s="29">
        <v>21104</v>
      </c>
      <c r="B89" s="17" t="s">
        <v>134</v>
      </c>
      <c r="C89" s="9">
        <v>0.80480912245909775</v>
      </c>
      <c r="D89" s="9">
        <v>1.1428571428571428</v>
      </c>
    </row>
    <row r="90" spans="1:4" ht="15.75" customHeight="1">
      <c r="A90" s="29">
        <v>21105</v>
      </c>
      <c r="B90" s="17" t="s">
        <v>135</v>
      </c>
      <c r="C90" s="9">
        <v>0.96416811091854426</v>
      </c>
      <c r="D90" s="9">
        <v>1.0117647058823529</v>
      </c>
    </row>
    <row r="91" spans="1:4" ht="15.75" customHeight="1">
      <c r="A91" s="29">
        <v>21201</v>
      </c>
      <c r="B91" s="17" t="s">
        <v>137</v>
      </c>
      <c r="C91" s="9">
        <v>0.81230483731287895</v>
      </c>
      <c r="D91" s="9">
        <v>1.2380952380952381</v>
      </c>
    </row>
    <row r="92" spans="1:4" ht="15.75" customHeight="1">
      <c r="A92" s="29">
        <v>21202</v>
      </c>
      <c r="B92" s="17" t="s">
        <v>138</v>
      </c>
      <c r="C92" s="9">
        <v>0.78978770949720678</v>
      </c>
      <c r="D92" s="9">
        <v>1.2222222222222223</v>
      </c>
    </row>
    <row r="93" spans="1:4" ht="15.75" customHeight="1">
      <c r="A93" s="29">
        <v>21203</v>
      </c>
      <c r="B93" s="17" t="s">
        <v>139</v>
      </c>
      <c r="C93" s="9">
        <v>0.85838316958564709</v>
      </c>
      <c r="D93" s="9">
        <v>1.2615384615384615</v>
      </c>
    </row>
    <row r="94" spans="1:4" ht="15.75" customHeight="1">
      <c r="A94" s="29">
        <v>21204</v>
      </c>
      <c r="B94" s="17" t="s">
        <v>140</v>
      </c>
      <c r="C94" s="9">
        <v>0.78464730290456419</v>
      </c>
      <c r="D94" s="9">
        <v>1.2622950819672132</v>
      </c>
    </row>
    <row r="95" spans="1:4" ht="15.75" customHeight="1">
      <c r="A95" s="29">
        <v>21301</v>
      </c>
      <c r="B95" s="17" t="s">
        <v>142</v>
      </c>
      <c r="C95" s="9">
        <v>0.80951389657845196</v>
      </c>
      <c r="D95" s="9">
        <v>1.21875</v>
      </c>
    </row>
    <row r="96" spans="1:4" ht="15.75" customHeight="1">
      <c r="A96" s="29">
        <v>21302</v>
      </c>
      <c r="B96" s="17" t="s">
        <v>143</v>
      </c>
      <c r="C96" s="9">
        <v>0.92119618797239566</v>
      </c>
      <c r="D96" s="9">
        <v>1.0625</v>
      </c>
    </row>
    <row r="97" spans="1:4" ht="15.75" customHeight="1">
      <c r="A97" s="29">
        <v>21303</v>
      </c>
      <c r="B97" s="17" t="s">
        <v>144</v>
      </c>
      <c r="C97" s="9">
        <v>0.90171774193548382</v>
      </c>
      <c r="D97" s="9">
        <v>1.0512820512820513</v>
      </c>
    </row>
    <row r="98" spans="1:4" ht="15.75" customHeight="1">
      <c r="A98" s="29">
        <v>21304</v>
      </c>
      <c r="B98" s="17" t="s">
        <v>145</v>
      </c>
      <c r="C98" s="9">
        <v>0.76879232505643347</v>
      </c>
      <c r="D98" s="9">
        <v>1.3</v>
      </c>
    </row>
    <row r="99" spans="1:4" ht="15.75" customHeight="1">
      <c r="A99" s="29">
        <v>21305</v>
      </c>
      <c r="B99" s="17" t="s">
        <v>146</v>
      </c>
      <c r="C99" s="9">
        <v>0.83951271186440679</v>
      </c>
      <c r="D99" s="9">
        <v>1.1846153846153846</v>
      </c>
    </row>
    <row r="100" spans="1:4" ht="15.75" customHeight="1">
      <c r="A100" s="29">
        <v>21306</v>
      </c>
      <c r="B100" s="17" t="s">
        <v>147</v>
      </c>
      <c r="C100" s="9">
        <v>0.7779771388985105</v>
      </c>
      <c r="D100" s="9">
        <v>1.2459016393442623</v>
      </c>
    </row>
    <row r="101" spans="1:4" ht="15.75" customHeight="1">
      <c r="A101" s="29">
        <v>21307</v>
      </c>
      <c r="B101" s="17" t="s">
        <v>148</v>
      </c>
      <c r="C101" s="9">
        <v>0.74945963975983998</v>
      </c>
      <c r="D101" s="9">
        <v>1.1451612903225807</v>
      </c>
    </row>
    <row r="102" spans="1:4" ht="15.75" customHeight="1">
      <c r="A102" s="29">
        <v>21401</v>
      </c>
      <c r="B102" s="17" t="s">
        <v>150</v>
      </c>
      <c r="C102" s="9">
        <v>0.89559523809523811</v>
      </c>
      <c r="D102" s="9">
        <v>1.025974025974026</v>
      </c>
    </row>
    <row r="103" spans="1:4" ht="15.75" customHeight="1">
      <c r="A103" s="29">
        <v>21402</v>
      </c>
      <c r="B103" s="17" t="s">
        <v>151</v>
      </c>
      <c r="C103" s="9">
        <v>0.96486334706102583</v>
      </c>
      <c r="D103" s="9">
        <v>1.036144578313253</v>
      </c>
    </row>
    <row r="104" spans="1:4" ht="15.75" customHeight="1">
      <c r="A104" s="29">
        <v>21501</v>
      </c>
      <c r="B104" s="17" t="s">
        <v>153</v>
      </c>
      <c r="C104" s="9">
        <v>0.58638804968110103</v>
      </c>
      <c r="D104" s="9">
        <v>1.4081632653061225</v>
      </c>
    </row>
    <row r="105" spans="1:4" ht="15.75" customHeight="1">
      <c r="A105" s="29">
        <v>21502</v>
      </c>
      <c r="B105" s="17" t="s">
        <v>154</v>
      </c>
      <c r="C105" s="9">
        <v>0.59144606874753058</v>
      </c>
      <c r="D105" s="9">
        <v>1.346938775510204</v>
      </c>
    </row>
    <row r="106" spans="1:4" ht="15.75" customHeight="1">
      <c r="A106" s="29">
        <v>21601</v>
      </c>
      <c r="B106" s="17" t="s">
        <v>156</v>
      </c>
      <c r="C106" s="9">
        <v>0.83569084171519314</v>
      </c>
      <c r="D106" s="9">
        <v>1.161764705882353</v>
      </c>
    </row>
    <row r="107" spans="1:4" ht="15.75" customHeight="1">
      <c r="A107" s="29">
        <v>21602</v>
      </c>
      <c r="B107" s="17" t="s">
        <v>157</v>
      </c>
      <c r="C107" s="9">
        <v>0.87264947245017588</v>
      </c>
      <c r="D107" s="9">
        <v>1.0746268656716418</v>
      </c>
    </row>
    <row r="108" spans="1:4" ht="15.75" customHeight="1">
      <c r="A108" s="29">
        <v>21701</v>
      </c>
      <c r="B108" s="17" t="s">
        <v>159</v>
      </c>
      <c r="C108" s="9">
        <v>0.88576105137395467</v>
      </c>
      <c r="D108" s="9">
        <v>1.0845070422535212</v>
      </c>
    </row>
    <row r="109" spans="1:4" ht="15.75" customHeight="1">
      <c r="A109" s="29">
        <v>21702</v>
      </c>
      <c r="B109" s="17" t="s">
        <v>160</v>
      </c>
      <c r="C109" s="9">
        <v>0.81493097736057429</v>
      </c>
      <c r="D109" s="9">
        <v>1.21875</v>
      </c>
    </row>
    <row r="110" spans="1:4" ht="15.75" customHeight="1">
      <c r="A110" s="29">
        <v>21703</v>
      </c>
      <c r="B110" s="17" t="s">
        <v>161</v>
      </c>
      <c r="C110" s="9">
        <v>0.89397457158651195</v>
      </c>
      <c r="D110" s="9">
        <v>1.1538461538461537</v>
      </c>
    </row>
    <row r="111" spans="1:4" ht="15.75" customHeight="1">
      <c r="A111" s="29">
        <v>21801</v>
      </c>
      <c r="B111" s="17" t="s">
        <v>163</v>
      </c>
      <c r="C111" s="9">
        <v>0.88084488874556599</v>
      </c>
      <c r="D111" s="9">
        <v>1.1466666666666667</v>
      </c>
    </row>
    <row r="112" spans="1:4" ht="15.75" customHeight="1">
      <c r="A112" s="29">
        <v>21802</v>
      </c>
      <c r="B112" s="17" t="s">
        <v>165</v>
      </c>
      <c r="C112" s="9">
        <v>0.84733702599062644</v>
      </c>
      <c r="D112" s="9">
        <v>1.1714285714285715</v>
      </c>
    </row>
    <row r="113" spans="1:4" ht="15.75" customHeight="1">
      <c r="A113" s="29">
        <v>21803</v>
      </c>
      <c r="B113" s="17" t="s">
        <v>166</v>
      </c>
      <c r="C113" s="9">
        <v>0.8872346786248132</v>
      </c>
      <c r="D113" s="9">
        <v>1.0657894736842106</v>
      </c>
    </row>
    <row r="114" spans="1:4" ht="15.75" customHeight="1">
      <c r="A114" s="29">
        <v>21901</v>
      </c>
      <c r="B114" s="17" t="s">
        <v>168</v>
      </c>
      <c r="C114" s="9">
        <v>0.84147632311977716</v>
      </c>
      <c r="D114" s="9">
        <v>1.25</v>
      </c>
    </row>
    <row r="115" spans="1:4" ht="15.75" customHeight="1">
      <c r="A115" s="29">
        <v>21902</v>
      </c>
      <c r="B115" s="17" t="s">
        <v>169</v>
      </c>
      <c r="C115" s="9">
        <v>0.87675449101796399</v>
      </c>
      <c r="D115" s="9">
        <v>1.173913043478261</v>
      </c>
    </row>
    <row r="116" spans="1:4" ht="15.75" customHeight="1">
      <c r="A116" s="29">
        <v>22001</v>
      </c>
      <c r="B116" s="17" t="s">
        <v>170</v>
      </c>
      <c r="C116" s="9">
        <v>0.91639808917197452</v>
      </c>
      <c r="D116" s="9">
        <v>1.025974025974026</v>
      </c>
    </row>
    <row r="117" spans="1:4" ht="15.75" customHeight="1">
      <c r="A117" s="29">
        <v>22002</v>
      </c>
      <c r="B117" s="17" t="s">
        <v>171</v>
      </c>
      <c r="C117" s="9">
        <v>0.86090886011678081</v>
      </c>
      <c r="D117" s="9">
        <v>1.0394736842105263</v>
      </c>
    </row>
    <row r="118" spans="1:4" ht="15.75" customHeight="1">
      <c r="A118" s="29">
        <v>30101</v>
      </c>
      <c r="B118" s="17" t="s">
        <v>22</v>
      </c>
      <c r="C118" s="9">
        <v>0.72772609305812763</v>
      </c>
      <c r="D118" s="9">
        <v>1.1923076923076923</v>
      </c>
    </row>
    <row r="119" spans="1:4" ht="15.75" customHeight="1">
      <c r="A119" s="29">
        <v>30201</v>
      </c>
      <c r="B119" s="17" t="s">
        <v>174</v>
      </c>
      <c r="C119" s="9">
        <v>0.55534058094105654</v>
      </c>
      <c r="D119" s="9">
        <v>1.6279069767441861</v>
      </c>
    </row>
    <row r="120" spans="1:4" ht="15.75" customHeight="1">
      <c r="A120" s="29">
        <v>30202</v>
      </c>
      <c r="B120" s="17" t="s">
        <v>175</v>
      </c>
      <c r="C120" s="9">
        <v>0.5794378275369223</v>
      </c>
      <c r="D120" s="9">
        <v>1.4565217391304348</v>
      </c>
    </row>
    <row r="121" spans="1:4" ht="15.75" customHeight="1">
      <c r="A121" s="29">
        <v>30203</v>
      </c>
      <c r="B121" s="17" t="s">
        <v>176</v>
      </c>
      <c r="C121" s="9">
        <v>0.68009686609686604</v>
      </c>
      <c r="D121" s="9">
        <v>1.2372881355932204</v>
      </c>
    </row>
    <row r="122" spans="1:4" ht="15.75" customHeight="1">
      <c r="A122" s="29">
        <v>30301</v>
      </c>
      <c r="B122" s="17" t="s">
        <v>178</v>
      </c>
      <c r="C122" s="9">
        <v>0.64743553414565025</v>
      </c>
      <c r="D122" s="9">
        <v>1.2678571428571428</v>
      </c>
    </row>
    <row r="123" spans="1:4" ht="15.75" customHeight="1">
      <c r="A123" s="29">
        <v>30302</v>
      </c>
      <c r="B123" s="17" t="s">
        <v>179</v>
      </c>
      <c r="C123" s="9">
        <v>0.67424234628248003</v>
      </c>
      <c r="D123" s="9">
        <v>1.2203389830508475</v>
      </c>
    </row>
    <row r="124" spans="1:4" ht="15.75" customHeight="1">
      <c r="A124" s="29">
        <v>30303</v>
      </c>
      <c r="B124" s="17" t="s">
        <v>180</v>
      </c>
      <c r="C124" s="9">
        <v>0.71721491228070167</v>
      </c>
      <c r="D124" s="9">
        <v>1.2419354838709677</v>
      </c>
    </row>
    <row r="125" spans="1:4" ht="15.75" customHeight="1">
      <c r="A125" s="29">
        <v>30401</v>
      </c>
      <c r="B125" s="17" t="s">
        <v>182</v>
      </c>
      <c r="C125" s="9">
        <v>0.70313121272365797</v>
      </c>
      <c r="D125" s="9">
        <v>1.4042553191489362</v>
      </c>
    </row>
    <row r="126" spans="1:4" ht="15.75" customHeight="1">
      <c r="A126" s="29">
        <v>30402</v>
      </c>
      <c r="B126" s="17" t="s">
        <v>183</v>
      </c>
      <c r="C126" s="9">
        <v>0.6498937246963562</v>
      </c>
      <c r="D126" s="9">
        <v>1.4339622641509433</v>
      </c>
    </row>
    <row r="127" spans="1:4" ht="15.75" customHeight="1">
      <c r="A127" s="29">
        <v>30403</v>
      </c>
      <c r="B127" s="17" t="s">
        <v>184</v>
      </c>
      <c r="C127" s="9">
        <v>0.59270598630439575</v>
      </c>
      <c r="D127" s="9">
        <v>1.4130434782608696</v>
      </c>
    </row>
    <row r="128" spans="1:4" ht="15.75" customHeight="1">
      <c r="A128" s="29">
        <v>30404</v>
      </c>
      <c r="B128" s="17" t="s">
        <v>185</v>
      </c>
      <c r="C128" s="9">
        <v>0.72030328559393431</v>
      </c>
      <c r="D128" s="9">
        <v>1.3333333333333333</v>
      </c>
    </row>
    <row r="129" spans="1:4" ht="15.75" customHeight="1">
      <c r="A129" s="29">
        <v>30501</v>
      </c>
      <c r="B129" s="17" t="s">
        <v>186</v>
      </c>
      <c r="C129" s="9">
        <v>0.74391820040899803</v>
      </c>
      <c r="D129" s="9">
        <v>1.3214285714285714</v>
      </c>
    </row>
    <row r="130" spans="1:4" ht="15.75" customHeight="1">
      <c r="A130" s="29">
        <v>30502</v>
      </c>
      <c r="B130" s="17" t="s">
        <v>187</v>
      </c>
      <c r="C130" s="9">
        <v>0.79894736842105274</v>
      </c>
      <c r="D130" s="9">
        <v>1.2424242424242424</v>
      </c>
    </row>
    <row r="131" spans="1:4" ht="15.75" customHeight="1">
      <c r="A131" s="29">
        <v>30601</v>
      </c>
      <c r="B131" s="17" t="s">
        <v>188</v>
      </c>
      <c r="C131" s="9">
        <v>0.74130311614730882</v>
      </c>
      <c r="D131" s="9">
        <v>1.1875</v>
      </c>
    </row>
    <row r="132" spans="1:4" ht="15.75" customHeight="1">
      <c r="A132" s="29">
        <v>30602</v>
      </c>
      <c r="B132" s="17" t="s">
        <v>189</v>
      </c>
      <c r="C132" s="9">
        <v>0.8599293286219083</v>
      </c>
      <c r="D132" s="9">
        <v>1.0694444444444444</v>
      </c>
    </row>
    <row r="133" spans="1:4" ht="15.75" customHeight="1">
      <c r="A133" s="29">
        <v>30701</v>
      </c>
      <c r="B133" s="17" t="s">
        <v>190</v>
      </c>
      <c r="C133" s="9">
        <v>0.69888953375894758</v>
      </c>
      <c r="D133" s="9">
        <v>1.1785714285714286</v>
      </c>
    </row>
    <row r="134" spans="1:4" ht="15.75" customHeight="1">
      <c r="A134" s="29">
        <v>30702</v>
      </c>
      <c r="B134" s="17" t="s">
        <v>191</v>
      </c>
      <c r="C134" s="9">
        <v>0.61670513560300055</v>
      </c>
      <c r="D134" s="9">
        <v>1.4888888888888889</v>
      </c>
    </row>
    <row r="135" spans="1:4" ht="15.75" customHeight="1">
      <c r="A135" s="29">
        <v>30703</v>
      </c>
      <c r="B135" s="17" t="s">
        <v>192</v>
      </c>
      <c r="C135" s="9">
        <v>0.620359066427289</v>
      </c>
      <c r="D135" s="9">
        <v>1.3461538461538463</v>
      </c>
    </row>
    <row r="136" spans="1:4" ht="15.75" customHeight="1">
      <c r="A136" s="29">
        <v>30801</v>
      </c>
      <c r="B136" s="17" t="s">
        <v>194</v>
      </c>
      <c r="C136" s="9">
        <v>0.66930323498044797</v>
      </c>
      <c r="D136" s="9">
        <v>1.38</v>
      </c>
    </row>
    <row r="137" spans="1:4" ht="15.75" customHeight="1">
      <c r="A137" s="29">
        <v>30802</v>
      </c>
      <c r="B137" s="17" t="s">
        <v>195</v>
      </c>
      <c r="C137" s="9">
        <v>0.68327437858508611</v>
      </c>
      <c r="D137" s="9">
        <v>1.320754716981132</v>
      </c>
    </row>
    <row r="138" spans="1:4" ht="15.75" customHeight="1">
      <c r="A138" s="29">
        <v>30803</v>
      </c>
      <c r="B138" s="17" t="s">
        <v>196</v>
      </c>
      <c r="C138" s="9">
        <v>0.68355411954765755</v>
      </c>
      <c r="D138" s="9">
        <v>1.6341463414634145</v>
      </c>
    </row>
    <row r="139" spans="1:4" ht="15.75" customHeight="1">
      <c r="A139" s="29">
        <v>30901</v>
      </c>
      <c r="B139" s="17" t="s">
        <v>197</v>
      </c>
      <c r="C139" s="9">
        <v>0.69410812754735085</v>
      </c>
      <c r="D139" s="9">
        <v>1.24</v>
      </c>
    </row>
    <row r="140" spans="1:4" ht="15.75" customHeight="1">
      <c r="A140" s="29">
        <v>30902</v>
      </c>
      <c r="B140" s="17" t="s">
        <v>198</v>
      </c>
      <c r="C140" s="9">
        <v>0.65746285714285713</v>
      </c>
      <c r="D140" s="9">
        <v>1.2352941176470589</v>
      </c>
    </row>
    <row r="141" spans="1:4" ht="15.75" customHeight="1">
      <c r="A141" s="29">
        <v>30903</v>
      </c>
      <c r="B141" s="17" t="s">
        <v>199</v>
      </c>
      <c r="C141" s="9">
        <v>0.71243440667859281</v>
      </c>
      <c r="D141" s="9">
        <v>1.2075471698113207</v>
      </c>
    </row>
    <row r="142" spans="1:4" ht="15.75" customHeight="1">
      <c r="A142" s="29">
        <v>30904</v>
      </c>
      <c r="B142" s="17" t="s">
        <v>200</v>
      </c>
      <c r="C142" s="9">
        <v>0.66023070168436171</v>
      </c>
      <c r="D142" s="9">
        <v>1.2653061224489797</v>
      </c>
    </row>
    <row r="143" spans="1:4" ht="15.75" customHeight="1">
      <c r="A143" s="29">
        <v>30905</v>
      </c>
      <c r="B143" s="17" t="s">
        <v>201</v>
      </c>
      <c r="C143" s="9">
        <v>0.67997857525441885</v>
      </c>
      <c r="D143" s="9">
        <v>1.2448979591836735</v>
      </c>
    </row>
    <row r="144" spans="1:4" ht="15.75" customHeight="1">
      <c r="A144" s="29">
        <v>31001</v>
      </c>
      <c r="B144" s="17" t="s">
        <v>203</v>
      </c>
      <c r="C144" s="9">
        <v>0.66225275362318847</v>
      </c>
      <c r="D144" s="9">
        <v>1.2448979591836735</v>
      </c>
    </row>
    <row r="145" spans="1:4" ht="15.75" customHeight="1">
      <c r="A145" s="29">
        <v>31002</v>
      </c>
      <c r="B145" s="17" t="s">
        <v>204</v>
      </c>
      <c r="C145" s="9">
        <v>0.7445900439238653</v>
      </c>
      <c r="D145" s="9">
        <v>1.2580645161290323</v>
      </c>
    </row>
    <row r="146" spans="1:4" ht="15.75" customHeight="1">
      <c r="A146" s="29">
        <v>31003</v>
      </c>
      <c r="B146" s="17" t="s">
        <v>205</v>
      </c>
      <c r="C146" s="9">
        <v>0.72459991368148458</v>
      </c>
      <c r="D146" s="9">
        <v>1.2096774193548387</v>
      </c>
    </row>
    <row r="147" spans="1:4" ht="15.75" customHeight="1">
      <c r="A147" s="29">
        <v>31101</v>
      </c>
      <c r="B147" s="17" t="s">
        <v>206</v>
      </c>
      <c r="C147" s="9">
        <v>0.76224574512245757</v>
      </c>
      <c r="D147" s="9">
        <v>1.1692307692307693</v>
      </c>
    </row>
    <row r="148" spans="1:4" ht="15.75" customHeight="1">
      <c r="A148" s="29">
        <v>31201</v>
      </c>
      <c r="B148" s="17" t="s">
        <v>208</v>
      </c>
      <c r="C148" s="9">
        <v>0.72497503404448482</v>
      </c>
      <c r="D148" s="9">
        <v>1.28125</v>
      </c>
    </row>
    <row r="149" spans="1:4" ht="15.75" customHeight="1">
      <c r="A149" s="29">
        <v>31202</v>
      </c>
      <c r="B149" s="17" t="s">
        <v>209</v>
      </c>
      <c r="C149" s="9">
        <v>0.75862831858407087</v>
      </c>
      <c r="D149" s="9">
        <v>1.2153846153846153</v>
      </c>
    </row>
    <row r="150" spans="1:4" ht="15.75" customHeight="1">
      <c r="A150" s="29">
        <v>31203</v>
      </c>
      <c r="B150" s="17" t="s">
        <v>210</v>
      </c>
      <c r="C150" s="9">
        <v>0.77353311357506749</v>
      </c>
      <c r="D150" s="9">
        <v>1.1323529411764706</v>
      </c>
    </row>
    <row r="151" spans="1:4" ht="15.75" customHeight="1">
      <c r="A151" s="29">
        <v>31204</v>
      </c>
      <c r="B151" s="17" t="s">
        <v>211</v>
      </c>
      <c r="C151" s="9">
        <v>0.7129359165424739</v>
      </c>
      <c r="D151" s="9">
        <v>1.2</v>
      </c>
    </row>
    <row r="152" spans="1:4" ht="15.75" customHeight="1">
      <c r="A152" s="29">
        <v>31205</v>
      </c>
      <c r="B152" s="17" t="s">
        <v>212</v>
      </c>
      <c r="C152" s="9">
        <v>0.71090186231429164</v>
      </c>
      <c r="D152" s="9">
        <v>1.2166666666666666</v>
      </c>
    </row>
    <row r="153" spans="1:4" ht="15.75" customHeight="1">
      <c r="A153" s="29">
        <v>31206</v>
      </c>
      <c r="B153" s="17" t="s">
        <v>213</v>
      </c>
      <c r="C153" s="9">
        <v>0.68519869294824498</v>
      </c>
      <c r="D153" s="9">
        <v>1.2321428571428572</v>
      </c>
    </row>
    <row r="154" spans="1:4" ht="15.75" customHeight="1">
      <c r="A154" s="29">
        <v>31301</v>
      </c>
      <c r="B154" s="17" t="s">
        <v>214</v>
      </c>
      <c r="C154" s="9">
        <v>0.63371117739954386</v>
      </c>
      <c r="D154" s="9">
        <v>1.3703703703703705</v>
      </c>
    </row>
    <row r="155" spans="1:4" ht="15.75" customHeight="1">
      <c r="A155" s="29">
        <v>31302</v>
      </c>
      <c r="B155" s="17" t="s">
        <v>215</v>
      </c>
      <c r="C155" s="9">
        <v>0.71502480510276401</v>
      </c>
      <c r="D155" s="9">
        <v>1.152542372881356</v>
      </c>
    </row>
    <row r="156" spans="1:4" ht="15.75" customHeight="1">
      <c r="A156" s="29">
        <v>31303</v>
      </c>
      <c r="B156" s="17" t="s">
        <v>216</v>
      </c>
      <c r="C156" s="9">
        <v>0.64280213903743322</v>
      </c>
      <c r="D156" s="9">
        <v>1.3703703703703705</v>
      </c>
    </row>
    <row r="157" spans="1:4" ht="15.75" customHeight="1">
      <c r="A157" s="29">
        <v>31304</v>
      </c>
      <c r="B157" s="17" t="s">
        <v>217</v>
      </c>
      <c r="C157" s="9">
        <v>0.74870997255260752</v>
      </c>
      <c r="D157" s="9">
        <v>1.0724637681159421</v>
      </c>
    </row>
    <row r="158" spans="1:4" ht="15.75" customHeight="1">
      <c r="A158" s="29">
        <v>31401</v>
      </c>
      <c r="B158" s="17" t="s">
        <v>218</v>
      </c>
      <c r="C158" s="9">
        <v>0.75764945454545451</v>
      </c>
      <c r="D158" s="9">
        <v>1.2777777777777777</v>
      </c>
    </row>
    <row r="159" spans="1:4" ht="15.75" customHeight="1">
      <c r="A159" s="29">
        <v>31402</v>
      </c>
      <c r="B159" s="17" t="s">
        <v>219</v>
      </c>
      <c r="C159" s="9">
        <v>0.66183693516699416</v>
      </c>
      <c r="D159" s="9">
        <v>1.489795918367347</v>
      </c>
    </row>
    <row r="160" spans="1:4" ht="15.75" customHeight="1">
      <c r="A160" s="29">
        <v>31403</v>
      </c>
      <c r="B160" s="17" t="s">
        <v>220</v>
      </c>
      <c r="C160" s="9">
        <v>0.67981812848342626</v>
      </c>
      <c r="D160" s="9">
        <v>1.42</v>
      </c>
    </row>
    <row r="161" spans="1:4" ht="15.75" customHeight="1">
      <c r="A161" s="29">
        <v>31404</v>
      </c>
      <c r="B161" s="17" t="s">
        <v>221</v>
      </c>
      <c r="C161" s="9">
        <v>0.59330357142857137</v>
      </c>
      <c r="D161" s="9">
        <v>1.6222222222222222</v>
      </c>
    </row>
    <row r="162" spans="1:4" ht="15.75" customHeight="1">
      <c r="A162" s="29">
        <v>31405</v>
      </c>
      <c r="B162" s="17" t="s">
        <v>222</v>
      </c>
      <c r="C162" s="9">
        <v>0.71692307692307689</v>
      </c>
      <c r="D162" s="9">
        <v>1.2321428571428572</v>
      </c>
    </row>
    <row r="163" spans="1:4" ht="15.75" customHeight="1">
      <c r="A163" s="29">
        <v>31501</v>
      </c>
      <c r="B163" s="17" t="s">
        <v>223</v>
      </c>
      <c r="C163" s="9">
        <v>0.84880688806888061</v>
      </c>
      <c r="D163" s="9">
        <v>0.97368421052631582</v>
      </c>
    </row>
    <row r="164" spans="1:4" ht="15.75" customHeight="1">
      <c r="A164" s="29">
        <v>31601</v>
      </c>
      <c r="B164" s="17" t="s">
        <v>224</v>
      </c>
      <c r="C164" s="9">
        <v>0.71970495258166489</v>
      </c>
      <c r="D164" s="9">
        <v>1.3166666666666667</v>
      </c>
    </row>
    <row r="165" spans="1:4" ht="15.75" customHeight="1">
      <c r="A165" s="29">
        <v>31602</v>
      </c>
      <c r="B165" s="17" t="s">
        <v>225</v>
      </c>
      <c r="C165" s="9">
        <v>0.70640753112663224</v>
      </c>
      <c r="D165" s="9">
        <v>1.2166666666666666</v>
      </c>
    </row>
    <row r="166" spans="1:4" ht="15.75" customHeight="1">
      <c r="A166" s="29">
        <v>40101</v>
      </c>
      <c r="B166" s="17" t="s">
        <v>25</v>
      </c>
      <c r="C166" s="9">
        <v>0.71436654427574342</v>
      </c>
      <c r="D166" s="9">
        <v>1.2244897959183674</v>
      </c>
    </row>
    <row r="167" spans="1:4" ht="15.75" customHeight="1">
      <c r="A167" s="29">
        <v>40102</v>
      </c>
      <c r="B167" s="17" t="s">
        <v>226</v>
      </c>
      <c r="C167" s="9">
        <v>0.75443995963673049</v>
      </c>
      <c r="D167" s="9">
        <v>1.2280701754385965</v>
      </c>
    </row>
    <row r="168" spans="1:4" ht="15.75" customHeight="1">
      <c r="A168" s="29">
        <v>40103</v>
      </c>
      <c r="B168" s="17" t="s">
        <v>227</v>
      </c>
      <c r="C168" s="9">
        <v>0.92473662884927066</v>
      </c>
      <c r="D168" s="9">
        <v>1.0666666666666667</v>
      </c>
    </row>
    <row r="169" spans="1:4" ht="15.75" customHeight="1">
      <c r="A169" s="29">
        <v>40104</v>
      </c>
      <c r="B169" s="17" t="s">
        <v>228</v>
      </c>
      <c r="C169" s="9">
        <v>0.81810634834508966</v>
      </c>
      <c r="D169" s="9">
        <v>1.1666666666666667</v>
      </c>
    </row>
    <row r="170" spans="1:4" ht="15.75" customHeight="1">
      <c r="A170" s="29">
        <v>40201</v>
      </c>
      <c r="B170" s="17" t="s">
        <v>230</v>
      </c>
      <c r="C170" s="9">
        <v>0.82143905635648762</v>
      </c>
      <c r="D170" s="9">
        <v>1.1612903225806452</v>
      </c>
    </row>
    <row r="171" spans="1:4" ht="15.75" customHeight="1">
      <c r="A171" s="29">
        <v>40202</v>
      </c>
      <c r="B171" s="17" t="s">
        <v>231</v>
      </c>
      <c r="C171" s="9">
        <v>0.84451960030745576</v>
      </c>
      <c r="D171" s="9">
        <v>1.0277777777777777</v>
      </c>
    </row>
    <row r="172" spans="1:4" ht="15.75" customHeight="1">
      <c r="A172" s="29">
        <v>40301</v>
      </c>
      <c r="B172" s="17" t="s">
        <v>233</v>
      </c>
      <c r="C172" s="9">
        <v>0.74832962138084635</v>
      </c>
      <c r="D172" s="9">
        <v>1.2678571428571428</v>
      </c>
    </row>
    <row r="173" spans="1:4" ht="15.75" customHeight="1">
      <c r="A173" s="29">
        <v>40302</v>
      </c>
      <c r="B173" s="17" t="s">
        <v>234</v>
      </c>
      <c r="C173" s="9">
        <v>0.83515384615384614</v>
      </c>
      <c r="D173" s="9">
        <v>1.1515151515151516</v>
      </c>
    </row>
    <row r="174" spans="1:4" ht="15.75" customHeight="1">
      <c r="A174" s="29">
        <v>40401</v>
      </c>
      <c r="B174" s="17" t="s">
        <v>236</v>
      </c>
      <c r="C174" s="9">
        <v>0.89393382352941164</v>
      </c>
      <c r="D174" s="9">
        <v>1.3166666666666667</v>
      </c>
    </row>
    <row r="175" spans="1:4" ht="15.75" customHeight="1">
      <c r="A175" s="29">
        <v>40402</v>
      </c>
      <c r="B175" s="17" t="s">
        <v>237</v>
      </c>
      <c r="C175" s="9">
        <v>0.82946964856230032</v>
      </c>
      <c r="D175" s="9">
        <v>1.1470588235294117</v>
      </c>
    </row>
    <row r="176" spans="1:4" ht="15.75" customHeight="1">
      <c r="A176" s="29">
        <v>40501</v>
      </c>
      <c r="B176" s="17" t="s">
        <v>239</v>
      </c>
      <c r="C176" s="9">
        <v>1.4517209302325582</v>
      </c>
      <c r="D176" s="9">
        <v>1.2592592592592593</v>
      </c>
    </row>
    <row r="177" spans="1:4" ht="15.75" customHeight="1">
      <c r="A177" s="29">
        <v>40502</v>
      </c>
      <c r="B177" s="17" t="s">
        <v>240</v>
      </c>
      <c r="C177" s="9">
        <v>0.72741962077493816</v>
      </c>
      <c r="D177" s="9">
        <v>1.1929824561403508</v>
      </c>
    </row>
    <row r="178" spans="1:4" ht="15.75" customHeight="1">
      <c r="A178" s="29">
        <v>40503</v>
      </c>
      <c r="B178" s="17" t="s">
        <v>241</v>
      </c>
      <c r="C178" s="9">
        <v>0.54647495361781073</v>
      </c>
      <c r="D178" s="9">
        <v>1.8372093023255813</v>
      </c>
    </row>
    <row r="179" spans="1:4" ht="15.75" customHeight="1">
      <c r="A179" s="29">
        <v>40504</v>
      </c>
      <c r="B179" s="17" t="s">
        <v>242</v>
      </c>
      <c r="C179" s="9">
        <v>0.72688311688311691</v>
      </c>
      <c r="D179" s="9">
        <v>1.1551724137931034</v>
      </c>
    </row>
    <row r="180" spans="1:4" ht="15.75" customHeight="1">
      <c r="A180" s="29">
        <v>40505</v>
      </c>
      <c r="B180" s="17" t="s">
        <v>243</v>
      </c>
      <c r="C180" s="9">
        <v>0.64206896551724146</v>
      </c>
      <c r="D180" s="9">
        <v>1.4583333333333333</v>
      </c>
    </row>
    <row r="181" spans="1:4" ht="15.75" customHeight="1">
      <c r="A181" s="29">
        <v>40601</v>
      </c>
      <c r="B181" s="17" t="s">
        <v>244</v>
      </c>
      <c r="C181" s="9">
        <v>0.70328779599271407</v>
      </c>
      <c r="D181" s="9">
        <v>1.1509433962264151</v>
      </c>
    </row>
    <row r="182" spans="1:4" ht="15.75" customHeight="1">
      <c r="A182" s="29">
        <v>40602</v>
      </c>
      <c r="B182" s="17" t="s">
        <v>245</v>
      </c>
      <c r="C182" s="9">
        <v>0.74658892128279886</v>
      </c>
      <c r="D182" s="9">
        <v>1.1833333333333333</v>
      </c>
    </row>
    <row r="183" spans="1:4" ht="15.75" customHeight="1">
      <c r="A183" s="29">
        <v>40603</v>
      </c>
      <c r="B183" s="17" t="s">
        <v>246</v>
      </c>
      <c r="C183" s="9">
        <v>0.62015503875968991</v>
      </c>
      <c r="D183" s="9">
        <v>1.1599999999999999</v>
      </c>
    </row>
    <row r="184" spans="1:4" ht="15.75" customHeight="1">
      <c r="A184" s="29">
        <v>40701</v>
      </c>
      <c r="B184" s="17" t="s">
        <v>248</v>
      </c>
      <c r="C184" s="9">
        <v>0.50163418954827277</v>
      </c>
      <c r="D184" s="9">
        <v>1.3333333333333333</v>
      </c>
    </row>
    <row r="185" spans="1:4" ht="15.75" customHeight="1">
      <c r="A185" s="29">
        <v>40702</v>
      </c>
      <c r="B185" s="17" t="s">
        <v>249</v>
      </c>
      <c r="C185" s="9">
        <v>0.70856905158069883</v>
      </c>
      <c r="D185" s="9">
        <v>1.2156862745098038</v>
      </c>
    </row>
    <row r="186" spans="1:4" ht="15.75" customHeight="1">
      <c r="A186" s="29">
        <v>40801</v>
      </c>
      <c r="B186" s="17" t="s">
        <v>251</v>
      </c>
      <c r="C186" s="9">
        <v>0.86463401210787016</v>
      </c>
      <c r="D186" s="9">
        <v>1</v>
      </c>
    </row>
    <row r="187" spans="1:4" ht="15.75" customHeight="1">
      <c r="A187" s="29">
        <v>40802</v>
      </c>
      <c r="B187" s="17" t="s">
        <v>252</v>
      </c>
      <c r="C187" s="9">
        <v>0.7160164512338425</v>
      </c>
      <c r="D187" s="9">
        <v>1.2456140350877194</v>
      </c>
    </row>
    <row r="188" spans="1:4" ht="15.75" customHeight="1">
      <c r="A188" s="29">
        <v>40901</v>
      </c>
      <c r="B188" s="17" t="s">
        <v>253</v>
      </c>
      <c r="C188" s="9">
        <v>0.63835283107159568</v>
      </c>
      <c r="D188" s="9">
        <v>1.4375</v>
      </c>
    </row>
    <row r="189" spans="1:4" ht="15.75" customHeight="1">
      <c r="A189" s="29">
        <v>40902</v>
      </c>
      <c r="B189" s="17" t="s">
        <v>254</v>
      </c>
      <c r="C189" s="9">
        <v>0.65918367346938778</v>
      </c>
      <c r="D189" s="9">
        <v>1.1200000000000001</v>
      </c>
    </row>
    <row r="190" spans="1:4" ht="15.75" customHeight="1">
      <c r="A190" s="29">
        <v>40903</v>
      </c>
      <c r="B190" s="17" t="s">
        <v>255</v>
      </c>
      <c r="C190" s="9">
        <v>0.67304824561403509</v>
      </c>
      <c r="D190" s="9">
        <v>1.2553191489361701</v>
      </c>
    </row>
    <row r="191" spans="1:4" ht="15.75" customHeight="1">
      <c r="A191" s="29">
        <v>41001</v>
      </c>
      <c r="B191" s="17" t="s">
        <v>257</v>
      </c>
      <c r="C191" s="9">
        <v>0.84379518072289161</v>
      </c>
      <c r="D191" s="9">
        <v>1.1014492753623188</v>
      </c>
    </row>
    <row r="192" spans="1:4" ht="15.75" customHeight="1">
      <c r="A192" s="29">
        <v>41101</v>
      </c>
      <c r="B192" s="17" t="s">
        <v>259</v>
      </c>
      <c r="C192" s="9">
        <v>0.79273841961852864</v>
      </c>
      <c r="D192" s="9">
        <v>1.1774193548387097</v>
      </c>
    </row>
    <row r="193" spans="1:4" ht="15.75" customHeight="1">
      <c r="A193" s="29">
        <v>41201</v>
      </c>
      <c r="B193" s="17" t="s">
        <v>261</v>
      </c>
      <c r="C193" s="9">
        <v>0.77326411421155095</v>
      </c>
      <c r="D193" s="9">
        <v>1.2333333333333334</v>
      </c>
    </row>
    <row r="194" spans="1:4" ht="15.75" customHeight="1">
      <c r="A194" s="29">
        <v>41202</v>
      </c>
      <c r="B194" s="17" t="s">
        <v>262</v>
      </c>
      <c r="C194" s="9">
        <v>0.82182608695652171</v>
      </c>
      <c r="D194" s="9">
        <v>1.1846153846153846</v>
      </c>
    </row>
    <row r="195" spans="1:4" ht="15.75" customHeight="1">
      <c r="A195" s="29">
        <v>41301</v>
      </c>
      <c r="B195" s="17" t="s">
        <v>263</v>
      </c>
      <c r="C195" s="9">
        <v>0.8525956937799043</v>
      </c>
      <c r="D195" s="9">
        <v>1.1594202898550725</v>
      </c>
    </row>
    <row r="196" spans="1:4" ht="15.75" customHeight="1">
      <c r="A196" s="29">
        <v>41401</v>
      </c>
      <c r="B196" s="17" t="s">
        <v>265</v>
      </c>
      <c r="C196" s="9">
        <v>0.77587901701323259</v>
      </c>
      <c r="D196" s="9">
        <v>1.1129032258064515</v>
      </c>
    </row>
    <row r="197" spans="1:4" ht="15.75" customHeight="1">
      <c r="A197" s="29">
        <v>41501</v>
      </c>
      <c r="B197" s="17" t="s">
        <v>267</v>
      </c>
      <c r="C197" s="9">
        <v>0.72</v>
      </c>
      <c r="D197" s="9">
        <v>0.98412698412698407</v>
      </c>
    </row>
    <row r="198" spans="1:4" ht="15.75" customHeight="1">
      <c r="A198" s="29">
        <v>41502</v>
      </c>
      <c r="B198" s="17" t="s">
        <v>268</v>
      </c>
      <c r="C198" s="9">
        <v>0.81736585365853653</v>
      </c>
      <c r="D198" s="9">
        <v>1.1864406779661016</v>
      </c>
    </row>
    <row r="199" spans="1:4" ht="15.75" customHeight="1">
      <c r="A199" s="29">
        <v>41503</v>
      </c>
      <c r="B199" s="17" t="s">
        <v>232</v>
      </c>
      <c r="C199" s="9">
        <v>0.68350515463917527</v>
      </c>
      <c r="D199" s="9">
        <v>1.3461538461538463</v>
      </c>
    </row>
    <row r="200" spans="1:4" ht="15.75" customHeight="1">
      <c r="A200" s="29">
        <v>41601</v>
      </c>
      <c r="B200" s="17" t="s">
        <v>270</v>
      </c>
      <c r="C200" s="9">
        <v>0.80634724368882016</v>
      </c>
      <c r="D200" s="9">
        <v>1.1791044776119404</v>
      </c>
    </row>
    <row r="201" spans="1:4" ht="15.75" customHeight="1">
      <c r="A201" s="29">
        <v>50101</v>
      </c>
      <c r="B201" s="17" t="s">
        <v>27</v>
      </c>
      <c r="C201" s="9">
        <v>0.61975464423413962</v>
      </c>
      <c r="D201" s="9">
        <v>1.3023255813953489</v>
      </c>
    </row>
    <row r="202" spans="1:4" ht="15.75" customHeight="1">
      <c r="A202" s="29">
        <v>50102</v>
      </c>
      <c r="B202" s="17" t="s">
        <v>272</v>
      </c>
      <c r="C202" s="9">
        <v>0.68035585353274886</v>
      </c>
      <c r="D202" s="9">
        <v>1.2241379310344827</v>
      </c>
    </row>
    <row r="203" spans="1:4" ht="15.75" customHeight="1">
      <c r="A203" s="29">
        <v>50103</v>
      </c>
      <c r="B203" s="17" t="s">
        <v>273</v>
      </c>
      <c r="C203" s="9">
        <v>0.6728989861058956</v>
      </c>
      <c r="D203" s="9">
        <v>1.3018867924528301</v>
      </c>
    </row>
    <row r="204" spans="1:4" ht="15.75" customHeight="1">
      <c r="A204" s="29">
        <v>50104</v>
      </c>
      <c r="B204" s="17" t="s">
        <v>274</v>
      </c>
      <c r="C204" s="9">
        <v>0.68897196261682248</v>
      </c>
      <c r="D204" s="9">
        <v>1.263157894736842</v>
      </c>
    </row>
    <row r="205" spans="1:4" ht="15.75" customHeight="1">
      <c r="A205" s="29">
        <v>50201</v>
      </c>
      <c r="B205" s="17" t="s">
        <v>276</v>
      </c>
      <c r="C205" s="9">
        <v>0.72801818181818179</v>
      </c>
      <c r="D205" s="9">
        <v>1.2592592592592593</v>
      </c>
    </row>
    <row r="206" spans="1:4" ht="15.75" customHeight="1">
      <c r="A206" s="29">
        <v>50202</v>
      </c>
      <c r="B206" s="17" t="s">
        <v>277</v>
      </c>
      <c r="C206" s="9">
        <v>0.73436320191158899</v>
      </c>
      <c r="D206" s="9">
        <v>1.1864406779661016</v>
      </c>
    </row>
    <row r="207" spans="1:4" ht="15.75" customHeight="1">
      <c r="A207" s="29">
        <v>50203</v>
      </c>
      <c r="B207" s="17" t="s">
        <v>278</v>
      </c>
      <c r="C207" s="9">
        <v>0.68261266400456355</v>
      </c>
      <c r="D207" s="9">
        <v>1.2340425531914894</v>
      </c>
    </row>
    <row r="208" spans="1:4" ht="15.75" customHeight="1">
      <c r="A208" s="29">
        <v>50204</v>
      </c>
      <c r="B208" s="17" t="s">
        <v>279</v>
      </c>
      <c r="C208" s="9">
        <v>0.47014533520862634</v>
      </c>
      <c r="D208" s="9">
        <v>1.5526315789473684</v>
      </c>
    </row>
    <row r="209" spans="1:4" ht="15.75" customHeight="1">
      <c r="A209" s="29">
        <v>50301</v>
      </c>
      <c r="B209" s="17" t="s">
        <v>281</v>
      </c>
      <c r="C209" s="9">
        <v>0.73284844384303105</v>
      </c>
      <c r="D209" s="9">
        <v>1.2758620689655173</v>
      </c>
    </row>
    <row r="210" spans="1:4" ht="15.75" customHeight="1">
      <c r="A210" s="29">
        <v>50302</v>
      </c>
      <c r="B210" s="17" t="s">
        <v>282</v>
      </c>
      <c r="C210" s="9">
        <v>0.64752163650668759</v>
      </c>
      <c r="D210" s="9">
        <v>1.34</v>
      </c>
    </row>
    <row r="211" spans="1:4" ht="15.75" customHeight="1">
      <c r="A211" s="29">
        <v>50303</v>
      </c>
      <c r="B211" s="17" t="s">
        <v>283</v>
      </c>
      <c r="C211" s="9">
        <v>0.68129115373604343</v>
      </c>
      <c r="D211" s="9">
        <v>1.2280701754385965</v>
      </c>
    </row>
    <row r="212" spans="1:4" ht="15.75" customHeight="1">
      <c r="A212" s="29">
        <v>50401</v>
      </c>
      <c r="B212" s="17" t="s">
        <v>284</v>
      </c>
      <c r="C212" s="9">
        <v>0.67523678792038433</v>
      </c>
      <c r="D212" s="9">
        <v>1.1578947368421053</v>
      </c>
    </row>
    <row r="213" spans="1:4" ht="15.75" customHeight="1">
      <c r="A213" s="29">
        <v>50402</v>
      </c>
      <c r="B213" s="17" t="s">
        <v>285</v>
      </c>
      <c r="C213" s="9">
        <v>0.7013976820619271</v>
      </c>
      <c r="D213" s="9">
        <v>1.3448275862068966</v>
      </c>
    </row>
    <row r="214" spans="1:4" ht="15.75" customHeight="1">
      <c r="A214" s="29">
        <v>50403</v>
      </c>
      <c r="B214" s="17" t="s">
        <v>286</v>
      </c>
      <c r="C214" s="9">
        <v>0.69867219353085075</v>
      </c>
      <c r="D214" s="9">
        <v>1.2807017543859649</v>
      </c>
    </row>
    <row r="215" spans="1:4" ht="15.75" customHeight="1">
      <c r="A215" s="29">
        <v>50404</v>
      </c>
      <c r="B215" s="17" t="s">
        <v>287</v>
      </c>
      <c r="C215" s="9">
        <v>0.72360208062418718</v>
      </c>
      <c r="D215" s="9">
        <v>1.1612903225806452</v>
      </c>
    </row>
    <row r="216" spans="1:4" ht="15.75" customHeight="1">
      <c r="A216" s="29">
        <v>50405</v>
      </c>
      <c r="B216" s="17" t="s">
        <v>288</v>
      </c>
      <c r="C216" s="9">
        <v>0.74009840758633028</v>
      </c>
      <c r="D216" s="9">
        <v>1.2131147540983607</v>
      </c>
    </row>
    <row r="217" spans="1:4" ht="15.75" customHeight="1">
      <c r="A217" s="29">
        <v>50501</v>
      </c>
      <c r="B217" s="17" t="s">
        <v>290</v>
      </c>
      <c r="C217" s="9">
        <v>0.74975357007456089</v>
      </c>
      <c r="D217" s="9">
        <v>1.2833333333333334</v>
      </c>
    </row>
    <row r="218" spans="1:4" ht="15.75" customHeight="1">
      <c r="A218" s="29">
        <v>50502</v>
      </c>
      <c r="B218" s="17" t="s">
        <v>291</v>
      </c>
      <c r="C218" s="9">
        <v>0.66302712477396009</v>
      </c>
      <c r="D218" s="9">
        <v>1.4716981132075471</v>
      </c>
    </row>
    <row r="219" spans="1:4" ht="15.75" customHeight="1">
      <c r="A219" s="29">
        <v>50601</v>
      </c>
      <c r="B219" s="17" t="s">
        <v>293</v>
      </c>
      <c r="C219" s="9">
        <v>0.64752200251457315</v>
      </c>
      <c r="D219" s="9">
        <v>1.320754716981132</v>
      </c>
    </row>
    <row r="220" spans="1:4" ht="15.75" customHeight="1">
      <c r="A220" s="29">
        <v>50602</v>
      </c>
      <c r="B220" s="17" t="s">
        <v>294</v>
      </c>
      <c r="C220" s="9">
        <v>0.6300940438871474</v>
      </c>
      <c r="D220" s="9">
        <v>1.4791666666666667</v>
      </c>
    </row>
    <row r="221" spans="1:4" ht="15.75" customHeight="1">
      <c r="A221" s="29">
        <v>50701</v>
      </c>
      <c r="B221" s="17" t="s">
        <v>296</v>
      </c>
      <c r="C221" s="9">
        <v>0.84850009247272051</v>
      </c>
      <c r="D221" s="9">
        <v>1.0972222222222223</v>
      </c>
    </row>
    <row r="222" spans="1:4" ht="15.75" customHeight="1">
      <c r="A222" s="29">
        <v>50702</v>
      </c>
      <c r="B222" s="17" t="s">
        <v>297</v>
      </c>
      <c r="C222" s="9">
        <v>0.8836490143022806</v>
      </c>
      <c r="D222" s="9">
        <v>1.0533333333333332</v>
      </c>
    </row>
    <row r="223" spans="1:4" ht="15.75" customHeight="1">
      <c r="A223" s="29">
        <v>50801</v>
      </c>
      <c r="B223" s="17" t="s">
        <v>299</v>
      </c>
      <c r="C223" s="9">
        <v>0.70974207266340017</v>
      </c>
      <c r="D223" s="9">
        <v>1.2115384615384615</v>
      </c>
    </row>
    <row r="224" spans="1:4" ht="15.75" customHeight="1">
      <c r="A224" s="29">
        <v>50802</v>
      </c>
      <c r="B224" s="17" t="s">
        <v>300</v>
      </c>
      <c r="C224" s="9">
        <v>0.57039735099337752</v>
      </c>
      <c r="D224" s="9">
        <v>1.2222222222222223</v>
      </c>
    </row>
    <row r="225" spans="1:4" ht="15.75" customHeight="1">
      <c r="A225" s="29">
        <v>50901</v>
      </c>
      <c r="B225" s="17" t="s">
        <v>302</v>
      </c>
      <c r="C225" s="9">
        <v>0.67229282435370863</v>
      </c>
      <c r="D225" s="9">
        <v>1.2037037037037037</v>
      </c>
    </row>
    <row r="226" spans="1:4" ht="15.75" customHeight="1">
      <c r="A226" s="29">
        <v>50902</v>
      </c>
      <c r="B226" s="17" t="s">
        <v>303</v>
      </c>
      <c r="C226" s="9">
        <v>0.82133522727272734</v>
      </c>
      <c r="D226" s="9">
        <v>1</v>
      </c>
    </row>
    <row r="227" spans="1:4" ht="15.75" customHeight="1">
      <c r="A227" s="29">
        <v>51001</v>
      </c>
      <c r="B227" s="17" t="s">
        <v>305</v>
      </c>
      <c r="C227" s="9">
        <v>0.73121822033898309</v>
      </c>
      <c r="D227" s="9">
        <v>1.1929824561403508</v>
      </c>
    </row>
    <row r="228" spans="1:4" ht="15.75" customHeight="1">
      <c r="A228" s="29">
        <v>51002</v>
      </c>
      <c r="B228" s="17" t="s">
        <v>306</v>
      </c>
      <c r="C228" s="9">
        <v>0.33901960784313728</v>
      </c>
      <c r="D228" s="9">
        <v>2.6538461538461537</v>
      </c>
    </row>
    <row r="229" spans="1:4" ht="15.75" customHeight="1">
      <c r="A229" s="29">
        <v>51003</v>
      </c>
      <c r="B229" s="17" t="s">
        <v>307</v>
      </c>
      <c r="C229" s="9">
        <v>0.70932432432432435</v>
      </c>
      <c r="D229" s="9">
        <v>0.98275862068965514</v>
      </c>
    </row>
    <row r="230" spans="1:4" ht="15.75" customHeight="1">
      <c r="A230" s="29">
        <v>51101</v>
      </c>
      <c r="B230" s="17" t="s">
        <v>309</v>
      </c>
      <c r="C230" s="9">
        <v>0.70213765477057544</v>
      </c>
      <c r="D230" s="9">
        <v>1.3703703703703705</v>
      </c>
    </row>
    <row r="231" spans="1:4" ht="15.75" customHeight="1">
      <c r="A231" s="29">
        <v>51102</v>
      </c>
      <c r="B231" s="17" t="s">
        <v>310</v>
      </c>
      <c r="C231" s="9">
        <v>0.66849757673667209</v>
      </c>
      <c r="D231" s="9">
        <v>1.28</v>
      </c>
    </row>
    <row r="232" spans="1:4" ht="15.75" customHeight="1">
      <c r="A232" s="29">
        <v>51103</v>
      </c>
      <c r="B232" s="17" t="s">
        <v>311</v>
      </c>
      <c r="C232" s="9">
        <v>0.66750193748385434</v>
      </c>
      <c r="D232" s="9">
        <v>1.3703703703703705</v>
      </c>
    </row>
    <row r="233" spans="1:4" ht="15.75" customHeight="1">
      <c r="A233" s="29">
        <v>51201</v>
      </c>
      <c r="B233" s="17" t="s">
        <v>313</v>
      </c>
      <c r="C233" s="9">
        <v>0.7445263157894737</v>
      </c>
      <c r="D233" s="9">
        <v>1.2</v>
      </c>
    </row>
    <row r="234" spans="1:4" ht="15.75" customHeight="1">
      <c r="A234" s="29">
        <v>51202</v>
      </c>
      <c r="B234" s="17" t="s">
        <v>314</v>
      </c>
      <c r="C234" s="9">
        <v>0.69881810561609392</v>
      </c>
      <c r="D234" s="9">
        <v>1.320754716981132</v>
      </c>
    </row>
    <row r="235" spans="1:4" ht="15.75" customHeight="1">
      <c r="A235" s="29">
        <v>51203</v>
      </c>
      <c r="B235" s="17" t="s">
        <v>315</v>
      </c>
      <c r="C235" s="9">
        <v>0.35103886925795053</v>
      </c>
      <c r="D235" s="9">
        <v>1.8928571428571428</v>
      </c>
    </row>
    <row r="236" spans="1:4" ht="15.75" customHeight="1">
      <c r="A236" s="29">
        <v>51204</v>
      </c>
      <c r="B236" s="17" t="s">
        <v>316</v>
      </c>
      <c r="C236" s="9">
        <v>0.66140602582496411</v>
      </c>
      <c r="D236" s="9">
        <v>1.36</v>
      </c>
    </row>
    <row r="237" spans="1:4" ht="15.75" customHeight="1">
      <c r="A237" s="29">
        <v>51301</v>
      </c>
      <c r="B237" s="17" t="s">
        <v>318</v>
      </c>
      <c r="C237" s="9">
        <v>0.65635888501742157</v>
      </c>
      <c r="D237" s="9">
        <v>1.4727272727272727</v>
      </c>
    </row>
    <row r="238" spans="1:4" ht="15.75" customHeight="1">
      <c r="A238" s="29">
        <v>51302</v>
      </c>
      <c r="B238" s="17" t="s">
        <v>319</v>
      </c>
      <c r="C238" s="9">
        <v>0.66572372769332444</v>
      </c>
      <c r="D238" s="9">
        <v>1.5576923076923077</v>
      </c>
    </row>
    <row r="239" spans="1:4" ht="15.75" customHeight="1">
      <c r="A239" s="29">
        <v>51401</v>
      </c>
      <c r="B239" s="17" t="s">
        <v>321</v>
      </c>
      <c r="C239" s="9">
        <v>0.8492706766917294</v>
      </c>
      <c r="D239" s="9">
        <v>0.95652173913043481</v>
      </c>
    </row>
    <row r="240" spans="1:4" ht="15.75" customHeight="1">
      <c r="A240" s="29">
        <v>51402</v>
      </c>
      <c r="B240" s="17" t="s">
        <v>322</v>
      </c>
      <c r="C240" s="9">
        <v>0.80306324110671945</v>
      </c>
      <c r="D240" s="9">
        <v>1.0952380952380953</v>
      </c>
    </row>
    <row r="241" spans="1:4" ht="15.75" customHeight="1">
      <c r="A241" s="29">
        <v>51501</v>
      </c>
      <c r="B241" s="17" t="s">
        <v>324</v>
      </c>
      <c r="C241" s="9">
        <v>0.7351714767616192</v>
      </c>
      <c r="D241" s="9">
        <v>1.2</v>
      </c>
    </row>
    <row r="242" spans="1:4" ht="15.75" customHeight="1">
      <c r="A242" s="29">
        <v>51601</v>
      </c>
      <c r="B242" s="17" t="s">
        <v>326</v>
      </c>
      <c r="C242" s="9">
        <v>0.72939393939393948</v>
      </c>
      <c r="D242" s="9">
        <v>1.0689655172413792</v>
      </c>
    </row>
    <row r="243" spans="1:4" ht="15.75" customHeight="1">
      <c r="A243" s="29">
        <v>60101</v>
      </c>
      <c r="B243" s="17" t="s">
        <v>30</v>
      </c>
      <c r="C243" s="9">
        <v>0.73415696341798842</v>
      </c>
      <c r="D243" s="9">
        <v>1.1636363636363636</v>
      </c>
    </row>
    <row r="244" spans="1:4" ht="15.75" customHeight="1">
      <c r="A244" s="29">
        <v>60201</v>
      </c>
      <c r="B244" s="17" t="s">
        <v>328</v>
      </c>
      <c r="C244" s="9">
        <v>0.62424247635425623</v>
      </c>
      <c r="D244" s="9">
        <v>1.2641509433962264</v>
      </c>
    </row>
    <row r="245" spans="1:4" ht="15.75" customHeight="1">
      <c r="A245" s="29">
        <v>60202</v>
      </c>
      <c r="B245" s="17" t="s">
        <v>329</v>
      </c>
      <c r="C245" s="9">
        <v>0.72445042888489919</v>
      </c>
      <c r="D245" s="9">
        <v>1.1206896551724137</v>
      </c>
    </row>
    <row r="246" spans="1:4" ht="15.75" customHeight="1">
      <c r="A246" s="29">
        <v>60301</v>
      </c>
      <c r="B246" s="17" t="s">
        <v>330</v>
      </c>
      <c r="C246" s="9">
        <v>0.65672619047619052</v>
      </c>
      <c r="D246" s="9">
        <v>1.2352941176470589</v>
      </c>
    </row>
    <row r="247" spans="1:4" ht="15.75" customHeight="1">
      <c r="A247" s="29">
        <v>60302</v>
      </c>
      <c r="B247" s="17" t="s">
        <v>331</v>
      </c>
      <c r="C247" s="9">
        <v>0.57036603710513123</v>
      </c>
      <c r="D247" s="9">
        <v>1.28</v>
      </c>
    </row>
    <row r="248" spans="1:4" ht="15.75" customHeight="1">
      <c r="A248" s="29">
        <v>60303</v>
      </c>
      <c r="B248" s="17" t="s">
        <v>332</v>
      </c>
      <c r="C248" s="9">
        <v>0.67406079854809431</v>
      </c>
      <c r="D248" s="9">
        <v>1.196078431372549</v>
      </c>
    </row>
    <row r="249" spans="1:4" ht="15.75" customHeight="1">
      <c r="A249" s="29">
        <v>60401</v>
      </c>
      <c r="B249" s="17" t="s">
        <v>334</v>
      </c>
      <c r="C249" s="9">
        <v>0.72253930648287745</v>
      </c>
      <c r="D249" s="9">
        <v>1.0793650793650793</v>
      </c>
    </row>
    <row r="250" spans="1:4" ht="15.75" customHeight="1">
      <c r="A250" s="29">
        <v>60402</v>
      </c>
      <c r="B250" s="17" t="s">
        <v>335</v>
      </c>
      <c r="C250" s="9">
        <v>0.71471116816431324</v>
      </c>
      <c r="D250" s="9">
        <v>1.1612903225806452</v>
      </c>
    </row>
    <row r="251" spans="1:4" ht="15.75" customHeight="1">
      <c r="A251" s="29">
        <v>60501</v>
      </c>
      <c r="B251" s="17" t="s">
        <v>337</v>
      </c>
      <c r="C251" s="9">
        <v>0.68880247459125055</v>
      </c>
      <c r="D251" s="9">
        <v>1.2105263157894737</v>
      </c>
    </row>
    <row r="252" spans="1:4" ht="15.75" customHeight="1">
      <c r="A252" s="29">
        <v>60502</v>
      </c>
      <c r="B252" s="17" t="s">
        <v>338</v>
      </c>
      <c r="C252" s="9">
        <v>0.56737603305785123</v>
      </c>
      <c r="D252" s="9">
        <v>1.4693877551020409</v>
      </c>
    </row>
    <row r="253" spans="1:4" ht="15.75" customHeight="1">
      <c r="A253" s="29">
        <v>60601</v>
      </c>
      <c r="B253" s="17" t="s">
        <v>213</v>
      </c>
      <c r="C253" s="9">
        <v>0.55962409226826149</v>
      </c>
      <c r="D253" s="9">
        <v>1.3958333333333333</v>
      </c>
    </row>
    <row r="254" spans="1:4" ht="15.75" customHeight="1">
      <c r="A254" s="29">
        <v>70101</v>
      </c>
      <c r="B254" s="17" t="s">
        <v>341</v>
      </c>
      <c r="C254" s="9">
        <v>0.70888124809365249</v>
      </c>
      <c r="D254" s="9">
        <v>1.1636363636363636</v>
      </c>
    </row>
    <row r="255" spans="1:4" ht="15.75" customHeight="1">
      <c r="A255" s="29">
        <v>70102</v>
      </c>
      <c r="B255" s="17" t="s">
        <v>342</v>
      </c>
      <c r="C255" s="9">
        <v>0.56717650940283726</v>
      </c>
      <c r="D255" s="9">
        <v>1.326086956521739</v>
      </c>
    </row>
    <row r="256" spans="1:4" ht="15.75" customHeight="1">
      <c r="A256" s="29">
        <v>70103</v>
      </c>
      <c r="B256" s="17" t="s">
        <v>343</v>
      </c>
      <c r="C256" s="9">
        <v>0.62467973856209147</v>
      </c>
      <c r="D256" s="9">
        <v>1.1730769230769231</v>
      </c>
    </row>
    <row r="257" spans="1:4" ht="15.75" customHeight="1">
      <c r="A257" s="29">
        <v>70104</v>
      </c>
      <c r="B257" s="17" t="s">
        <v>344</v>
      </c>
      <c r="C257" s="9">
        <v>0.63622031823745417</v>
      </c>
      <c r="D257" s="9">
        <v>1.2549019607843137</v>
      </c>
    </row>
    <row r="258" spans="1:4" ht="15.75" customHeight="1">
      <c r="A258" s="29">
        <v>70105</v>
      </c>
      <c r="B258" s="17" t="s">
        <v>345</v>
      </c>
      <c r="C258" s="9">
        <v>0.62926646290636279</v>
      </c>
      <c r="D258" s="9">
        <v>1.2115384615384615</v>
      </c>
    </row>
    <row r="259" spans="1:4" ht="15.75" customHeight="1">
      <c r="A259" s="29">
        <v>70201</v>
      </c>
      <c r="B259" s="17" t="s">
        <v>346</v>
      </c>
      <c r="C259" s="9">
        <v>0.57172514507513161</v>
      </c>
      <c r="D259" s="9">
        <v>1.3043478260869565</v>
      </c>
    </row>
    <row r="260" spans="1:4" ht="15.75" customHeight="1">
      <c r="A260" s="29">
        <v>70202</v>
      </c>
      <c r="B260" s="17" t="s">
        <v>347</v>
      </c>
      <c r="C260" s="9">
        <v>0.45523752969121134</v>
      </c>
      <c r="D260" s="9">
        <v>1.3055555555555556</v>
      </c>
    </row>
    <row r="261" spans="1:4" ht="15.75" customHeight="1">
      <c r="A261" s="29">
        <v>70301</v>
      </c>
      <c r="B261" s="17" t="s">
        <v>349</v>
      </c>
      <c r="C261" s="9">
        <v>0.56452899090773589</v>
      </c>
      <c r="D261" s="9">
        <v>1.3333333333333333</v>
      </c>
    </row>
    <row r="262" spans="1:4" ht="15.75" customHeight="1">
      <c r="A262" s="29">
        <v>70302</v>
      </c>
      <c r="B262" s="17" t="s">
        <v>350</v>
      </c>
      <c r="C262" s="9">
        <v>0.54351269035533001</v>
      </c>
      <c r="D262" s="9">
        <v>1.4285714285714286</v>
      </c>
    </row>
    <row r="263" spans="1:4" ht="15.75" customHeight="1">
      <c r="A263" s="29">
        <v>70303</v>
      </c>
      <c r="B263" s="17" t="s">
        <v>351</v>
      </c>
      <c r="C263" s="9">
        <v>0.51951245363010068</v>
      </c>
      <c r="D263" s="9">
        <v>1.3636363636363635</v>
      </c>
    </row>
    <row r="264" spans="1:4" ht="15.75" customHeight="1">
      <c r="A264" s="29">
        <v>70401</v>
      </c>
      <c r="B264" s="17" t="s">
        <v>353</v>
      </c>
      <c r="C264" s="9">
        <v>0.49494432661717924</v>
      </c>
      <c r="D264" s="9">
        <v>1.5128205128205128</v>
      </c>
    </row>
    <row r="265" spans="1:4" ht="15.75" customHeight="1">
      <c r="A265" s="29">
        <v>70402</v>
      </c>
      <c r="B265" s="17" t="s">
        <v>354</v>
      </c>
      <c r="C265" s="9">
        <v>0.55110473457675757</v>
      </c>
      <c r="D265" s="9">
        <v>1.3181818181818181</v>
      </c>
    </row>
    <row r="266" spans="1:4" ht="15.75" customHeight="1">
      <c r="A266" s="29">
        <v>70403</v>
      </c>
      <c r="B266" s="17" t="s">
        <v>355</v>
      </c>
      <c r="C266" s="9">
        <v>0.61187179332407793</v>
      </c>
      <c r="D266" s="9">
        <v>1.3269230769230769</v>
      </c>
    </row>
    <row r="267" spans="1:4" ht="15.75" customHeight="1">
      <c r="A267" s="29">
        <v>70404</v>
      </c>
      <c r="B267" s="17" t="s">
        <v>356</v>
      </c>
      <c r="C267" s="9">
        <v>0.52664835164835166</v>
      </c>
      <c r="D267" s="9">
        <v>1.2222222222222223</v>
      </c>
    </row>
    <row r="268" spans="1:4" ht="15.75" customHeight="1">
      <c r="A268" s="29">
        <v>70501</v>
      </c>
      <c r="B268" s="17" t="s">
        <v>358</v>
      </c>
      <c r="C268" s="9">
        <v>0.45468413664014973</v>
      </c>
      <c r="D268" s="9">
        <v>1.6842105263157894</v>
      </c>
    </row>
    <row r="269" spans="1:4" ht="15.75" customHeight="1">
      <c r="A269" s="29">
        <v>70502</v>
      </c>
      <c r="B269" s="17" t="s">
        <v>359</v>
      </c>
      <c r="C269" s="9">
        <v>0.5556494787264018</v>
      </c>
      <c r="D269" s="9">
        <v>1.1458333333333333</v>
      </c>
    </row>
    <row r="270" spans="1:4" ht="15.75" customHeight="1">
      <c r="A270" s="29">
        <v>70503</v>
      </c>
      <c r="B270" s="17" t="s">
        <v>360</v>
      </c>
      <c r="C270" s="9">
        <v>0.60619059656218399</v>
      </c>
      <c r="D270" s="9">
        <v>1.2926829268292683</v>
      </c>
    </row>
    <row r="271" spans="1:4" ht="15.75" customHeight="1">
      <c r="A271" s="29">
        <v>70601</v>
      </c>
      <c r="B271" s="17" t="s">
        <v>362</v>
      </c>
      <c r="C271" s="9">
        <v>0.60195423623995048</v>
      </c>
      <c r="D271" s="9">
        <v>1.2608695652173914</v>
      </c>
    </row>
    <row r="272" spans="1:4" ht="15.75" customHeight="1">
      <c r="A272" s="29">
        <v>70602</v>
      </c>
      <c r="B272" s="17" t="s">
        <v>363</v>
      </c>
      <c r="C272" s="9">
        <v>0.45088367609254498</v>
      </c>
      <c r="D272" s="9">
        <v>1.4210526315789473</v>
      </c>
    </row>
    <row r="273" spans="1:4" ht="15.75" customHeight="1">
      <c r="A273" s="29">
        <v>70603</v>
      </c>
      <c r="B273" s="17" t="s">
        <v>364</v>
      </c>
      <c r="C273" s="9">
        <v>0.45928781636256621</v>
      </c>
      <c r="D273" s="9">
        <v>1.3513513513513513</v>
      </c>
    </row>
    <row r="274" spans="1:4" ht="15.75" customHeight="1">
      <c r="A274" s="29">
        <v>70701</v>
      </c>
      <c r="B274" s="17" t="s">
        <v>366</v>
      </c>
      <c r="C274" s="9">
        <v>0.36958174904942959</v>
      </c>
      <c r="D274" s="9">
        <v>2.0666666666666669</v>
      </c>
    </row>
    <row r="275" spans="1:4" ht="15.75" customHeight="1">
      <c r="A275" s="29">
        <v>70702</v>
      </c>
      <c r="B275" s="17" t="s">
        <v>367</v>
      </c>
      <c r="C275" s="9">
        <v>0.48106547017189089</v>
      </c>
      <c r="D275" s="9">
        <v>1.3783783783783783</v>
      </c>
    </row>
    <row r="276" spans="1:4" ht="15.75" customHeight="1">
      <c r="A276" s="29">
        <v>70703</v>
      </c>
      <c r="B276" s="17" t="s">
        <v>368</v>
      </c>
      <c r="C276" s="9">
        <v>0.53464237014999383</v>
      </c>
      <c r="D276" s="9">
        <v>1.1956521739130435</v>
      </c>
    </row>
    <row r="277" spans="1:4" ht="15.75" customHeight="1">
      <c r="A277" s="29">
        <v>70704</v>
      </c>
      <c r="B277" s="17" t="s">
        <v>369</v>
      </c>
      <c r="C277" s="9">
        <v>0.54957446808510635</v>
      </c>
      <c r="D277" s="9">
        <v>1.4102564102564104</v>
      </c>
    </row>
    <row r="278" spans="1:4" ht="15.75" customHeight="1">
      <c r="A278" s="29">
        <v>70705</v>
      </c>
      <c r="B278" s="17" t="s">
        <v>370</v>
      </c>
      <c r="C278" s="9">
        <v>0.38887558940877764</v>
      </c>
      <c r="D278" s="9">
        <v>1.896551724137931</v>
      </c>
    </row>
    <row r="279" spans="1:4" ht="15.75" customHeight="1">
      <c r="A279" s="29">
        <v>70706</v>
      </c>
      <c r="B279" s="17" t="s">
        <v>371</v>
      </c>
      <c r="C279" s="9">
        <v>0.65631702851164009</v>
      </c>
      <c r="D279" s="9">
        <v>1.2954545454545454</v>
      </c>
    </row>
    <row r="280" spans="1:4" ht="15.75" customHeight="1">
      <c r="A280" s="29">
        <v>70707</v>
      </c>
      <c r="B280" s="17" t="s">
        <v>372</v>
      </c>
      <c r="C280" s="9">
        <v>0.51748184019370458</v>
      </c>
      <c r="D280" s="9">
        <v>1.5555555555555556</v>
      </c>
    </row>
    <row r="281" spans="1:4" ht="15.75" customHeight="1">
      <c r="A281" s="29">
        <v>70801</v>
      </c>
      <c r="B281" s="17" t="s">
        <v>373</v>
      </c>
      <c r="C281" s="9">
        <v>0.65716799407297655</v>
      </c>
      <c r="D281" s="9">
        <v>1.2545454545454546</v>
      </c>
    </row>
    <row r="282" spans="1:4" ht="15.75" customHeight="1">
      <c r="A282" s="29">
        <v>70802</v>
      </c>
      <c r="B282" s="17" t="s">
        <v>374</v>
      </c>
      <c r="C282" s="9">
        <v>0.53495934959349589</v>
      </c>
      <c r="D282" s="9">
        <v>1.3404255319148937</v>
      </c>
    </row>
    <row r="283" spans="1:4" ht="15.75" customHeight="1">
      <c r="A283" s="29">
        <v>70803</v>
      </c>
      <c r="B283" s="17" t="s">
        <v>375</v>
      </c>
      <c r="C283" s="9">
        <v>0.71111111111111114</v>
      </c>
      <c r="D283" s="9">
        <v>1.140625</v>
      </c>
    </row>
    <row r="284" spans="1:4" ht="15.75" customHeight="1">
      <c r="A284" s="29">
        <v>70804</v>
      </c>
      <c r="B284" s="17" t="s">
        <v>376</v>
      </c>
      <c r="C284" s="9">
        <v>0.61686369119420992</v>
      </c>
      <c r="D284" s="9">
        <v>1.2592592592592593</v>
      </c>
    </row>
    <row r="285" spans="1:4" ht="15.75" customHeight="1">
      <c r="A285" s="29">
        <v>70805</v>
      </c>
      <c r="B285" s="17" t="s">
        <v>377</v>
      </c>
      <c r="C285" s="9">
        <v>0.71504477611940287</v>
      </c>
      <c r="D285" s="9">
        <v>1.1016949152542372</v>
      </c>
    </row>
    <row r="286" spans="1:4" ht="15.75" customHeight="1">
      <c r="A286" s="29">
        <v>70901</v>
      </c>
      <c r="B286" s="17" t="s">
        <v>379</v>
      </c>
      <c r="C286" s="9">
        <v>0.65201646090534982</v>
      </c>
      <c r="D286" s="9">
        <v>1.2321428571428572</v>
      </c>
    </row>
    <row r="287" spans="1:4" ht="15.75" customHeight="1">
      <c r="A287" s="29">
        <v>70902</v>
      </c>
      <c r="B287" s="17" t="s">
        <v>380</v>
      </c>
      <c r="C287" s="9">
        <v>0.61936761640027793</v>
      </c>
      <c r="D287" s="9">
        <v>1.2222222222222223</v>
      </c>
    </row>
    <row r="288" spans="1:4" ht="15.75" customHeight="1">
      <c r="A288" s="29">
        <v>70903</v>
      </c>
      <c r="B288" s="17" t="s">
        <v>381</v>
      </c>
      <c r="C288" s="9">
        <v>0.61543436293436293</v>
      </c>
      <c r="D288" s="9">
        <v>1.2075471698113207</v>
      </c>
    </row>
    <row r="289" spans="1:4" ht="15.75" customHeight="1">
      <c r="A289" s="29">
        <v>70904</v>
      </c>
      <c r="B289" s="17" t="s">
        <v>382</v>
      </c>
      <c r="C289" s="9">
        <v>0.62087268993839828</v>
      </c>
      <c r="D289" s="9">
        <v>1.1698113207547169</v>
      </c>
    </row>
    <row r="290" spans="1:4" ht="15.75" customHeight="1">
      <c r="A290" s="29">
        <v>71001</v>
      </c>
      <c r="B290" s="17" t="s">
        <v>384</v>
      </c>
      <c r="C290" s="9">
        <v>0.63062305839645361</v>
      </c>
      <c r="D290" s="9">
        <v>1.25</v>
      </c>
    </row>
    <row r="291" spans="1:4" ht="15.75" customHeight="1">
      <c r="A291" s="29">
        <v>71002</v>
      </c>
      <c r="B291" s="17" t="s">
        <v>385</v>
      </c>
      <c r="C291" s="9">
        <v>0.41079596977329974</v>
      </c>
      <c r="D291" s="9">
        <v>1.5151515151515151</v>
      </c>
    </row>
    <row r="292" spans="1:4" ht="15.75" customHeight="1">
      <c r="A292" s="29">
        <v>71003</v>
      </c>
      <c r="B292" s="17" t="s">
        <v>386</v>
      </c>
      <c r="C292" s="9">
        <v>0.47337075148113494</v>
      </c>
      <c r="D292" s="9">
        <v>1.3947368421052631</v>
      </c>
    </row>
    <row r="293" spans="1:4" ht="15.75" customHeight="1">
      <c r="A293" s="29">
        <v>71004</v>
      </c>
      <c r="B293" s="17" t="s">
        <v>387</v>
      </c>
      <c r="C293" s="9">
        <v>0.43980368098159506</v>
      </c>
      <c r="D293" s="9">
        <v>1.6111111111111112</v>
      </c>
    </row>
    <row r="294" spans="1:4" ht="15.75" customHeight="1">
      <c r="A294" s="29">
        <v>71005</v>
      </c>
      <c r="B294" s="17" t="s">
        <v>388</v>
      </c>
      <c r="C294" s="9">
        <v>0.49961728210494843</v>
      </c>
      <c r="D294" s="9">
        <v>1.3809523809523809</v>
      </c>
    </row>
    <row r="295" spans="1:4" ht="15.75" customHeight="1">
      <c r="A295" s="29">
        <v>71101</v>
      </c>
      <c r="B295" s="17" t="s">
        <v>390</v>
      </c>
      <c r="C295" s="9">
        <v>0.56254288982081579</v>
      </c>
      <c r="D295" s="9">
        <v>1.288888888888889</v>
      </c>
    </row>
    <row r="296" spans="1:4" ht="15.75" customHeight="1">
      <c r="A296" s="29">
        <v>71102</v>
      </c>
      <c r="B296" s="17" t="s">
        <v>391</v>
      </c>
      <c r="C296" s="9">
        <v>0.55397022332506207</v>
      </c>
      <c r="D296" s="9">
        <v>1.2127659574468086</v>
      </c>
    </row>
    <row r="297" spans="1:4" ht="15.75" customHeight="1">
      <c r="A297" s="29">
        <v>71103</v>
      </c>
      <c r="B297" s="17" t="s">
        <v>392</v>
      </c>
      <c r="C297" s="9">
        <v>0.52851301115241633</v>
      </c>
      <c r="D297" s="9">
        <v>1.4285714285714286</v>
      </c>
    </row>
    <row r="298" spans="1:4" ht="15.75" customHeight="1">
      <c r="A298" s="29">
        <v>71104</v>
      </c>
      <c r="B298" s="17" t="s">
        <v>393</v>
      </c>
      <c r="C298" s="9">
        <v>0.52785961480589838</v>
      </c>
      <c r="D298" s="9">
        <v>1.3953488372093024</v>
      </c>
    </row>
    <row r="299" spans="1:4" ht="15.75" customHeight="1">
      <c r="A299" s="29">
        <v>71105</v>
      </c>
      <c r="B299" s="17" t="s">
        <v>394</v>
      </c>
      <c r="C299" s="9">
        <v>0.62411085450346415</v>
      </c>
      <c r="D299" s="9">
        <v>1.125</v>
      </c>
    </row>
    <row r="300" spans="1:4" ht="15.75" customHeight="1">
      <c r="A300" s="29">
        <v>71106</v>
      </c>
      <c r="B300" s="17" t="s">
        <v>395</v>
      </c>
      <c r="C300" s="9">
        <v>0.45967639975918123</v>
      </c>
      <c r="D300" s="9">
        <v>1.3846153846153846</v>
      </c>
    </row>
    <row r="301" spans="1:4" ht="15.75" customHeight="1">
      <c r="A301" s="29">
        <v>71201</v>
      </c>
      <c r="B301" s="17" t="s">
        <v>397</v>
      </c>
      <c r="C301" s="9">
        <v>0.50419503455336567</v>
      </c>
      <c r="D301" s="9">
        <v>1.4102564102564104</v>
      </c>
    </row>
    <row r="302" spans="1:4" ht="15.75" customHeight="1">
      <c r="A302" s="29">
        <v>71301</v>
      </c>
      <c r="B302" s="17" t="s">
        <v>399</v>
      </c>
      <c r="C302" s="9">
        <v>0.69944678026111962</v>
      </c>
      <c r="D302" s="9">
        <v>1.2166666666666666</v>
      </c>
    </row>
    <row r="303" spans="1:4" ht="15.75" customHeight="1">
      <c r="A303" s="29">
        <v>71302</v>
      </c>
      <c r="B303" s="17" t="s">
        <v>400</v>
      </c>
      <c r="C303" s="9">
        <v>0.64879629629629632</v>
      </c>
      <c r="D303" s="9">
        <v>1.2363636363636363</v>
      </c>
    </row>
    <row r="304" spans="1:4" ht="15.75" customHeight="1">
      <c r="A304" s="29">
        <v>71401</v>
      </c>
      <c r="B304" s="17" t="s">
        <v>402</v>
      </c>
      <c r="C304" s="9">
        <v>0.6389702556966429</v>
      </c>
      <c r="D304" s="9">
        <v>1.2708333333333333</v>
      </c>
    </row>
    <row r="305" spans="1:4" ht="15.75" customHeight="1">
      <c r="A305" s="29">
        <v>71402</v>
      </c>
      <c r="B305" s="17" t="s">
        <v>403</v>
      </c>
      <c r="C305" s="9">
        <v>0.69698515575998321</v>
      </c>
      <c r="D305" s="9">
        <v>1.1428571428571428</v>
      </c>
    </row>
    <row r="306" spans="1:4" ht="15.75" customHeight="1">
      <c r="A306" s="29">
        <v>71403</v>
      </c>
      <c r="B306" s="17" t="s">
        <v>404</v>
      </c>
      <c r="C306" s="9">
        <v>0.48984744871120467</v>
      </c>
      <c r="D306" s="9">
        <v>1.5249999999999999</v>
      </c>
    </row>
    <row r="307" spans="1:4" ht="15.75" customHeight="1">
      <c r="A307" s="29">
        <v>71501</v>
      </c>
      <c r="B307" s="17" t="s">
        <v>406</v>
      </c>
      <c r="C307" s="9">
        <v>0.57132859333612163</v>
      </c>
      <c r="D307" s="9">
        <v>1.326086956521739</v>
      </c>
    </row>
    <row r="308" spans="1:4" ht="15.75" customHeight="1">
      <c r="A308" s="29">
        <v>71502</v>
      </c>
      <c r="B308" s="17" t="s">
        <v>407</v>
      </c>
      <c r="C308" s="9">
        <v>0.59838926174496643</v>
      </c>
      <c r="D308" s="9">
        <v>1.1818181818181819</v>
      </c>
    </row>
    <row r="309" spans="1:4" ht="15.75" customHeight="1">
      <c r="A309" s="29">
        <v>71503</v>
      </c>
      <c r="B309" s="17" t="s">
        <v>338</v>
      </c>
      <c r="C309" s="9">
        <v>0.48087463556851306</v>
      </c>
      <c r="D309" s="9">
        <v>1.5</v>
      </c>
    </row>
    <row r="310" spans="1:4" ht="15.75" customHeight="1">
      <c r="A310" s="29">
        <v>80101</v>
      </c>
      <c r="B310" s="17" t="s">
        <v>408</v>
      </c>
      <c r="C310" s="9">
        <v>0.69524275031916838</v>
      </c>
      <c r="D310" s="9">
        <v>1.1730769230769231</v>
      </c>
    </row>
    <row r="311" spans="1:4" ht="15.75" customHeight="1">
      <c r="A311" s="29">
        <v>80102</v>
      </c>
      <c r="B311" s="17" t="s">
        <v>391</v>
      </c>
      <c r="C311" s="9">
        <v>0.58024793388429752</v>
      </c>
      <c r="D311" s="9">
        <v>1.2941176470588236</v>
      </c>
    </row>
    <row r="312" spans="1:4" ht="15.75" customHeight="1">
      <c r="A312" s="29">
        <v>80201</v>
      </c>
      <c r="B312" s="17" t="s">
        <v>410</v>
      </c>
      <c r="C312" s="9">
        <v>0.64344604541196415</v>
      </c>
      <c r="D312" s="9">
        <v>1.2653061224489797</v>
      </c>
    </row>
    <row r="313" spans="1:4" ht="15.75" customHeight="1">
      <c r="A313" s="29">
        <v>80202</v>
      </c>
      <c r="B313" s="17" t="s">
        <v>411</v>
      </c>
      <c r="C313" s="9">
        <v>0.63574314058450265</v>
      </c>
      <c r="D313" s="9">
        <v>1.2244897959183674</v>
      </c>
    </row>
    <row r="314" spans="1:4" ht="15.75" customHeight="1">
      <c r="A314" s="29">
        <v>80301</v>
      </c>
      <c r="B314" s="17" t="s">
        <v>413</v>
      </c>
      <c r="C314" s="9">
        <v>0.583978883023062</v>
      </c>
      <c r="D314" s="9">
        <v>1.2608695652173914</v>
      </c>
    </row>
    <row r="315" spans="1:4" ht="15.75" customHeight="1">
      <c r="A315" s="29">
        <v>80302</v>
      </c>
      <c r="B315" s="17" t="s">
        <v>414</v>
      </c>
      <c r="C315" s="9">
        <v>0.65599868655596205</v>
      </c>
      <c r="D315" s="9">
        <v>1.2264150943396226</v>
      </c>
    </row>
    <row r="316" spans="1:4" ht="15.75" customHeight="1">
      <c r="A316" s="29">
        <v>80303</v>
      </c>
      <c r="B316" s="17" t="s">
        <v>415</v>
      </c>
      <c r="C316" s="9">
        <v>0.53010989010989018</v>
      </c>
      <c r="D316" s="9">
        <v>1.3571428571428572</v>
      </c>
    </row>
    <row r="317" spans="1:4" ht="15.75" customHeight="1">
      <c r="A317" s="29">
        <v>80304</v>
      </c>
      <c r="B317" s="17" t="s">
        <v>416</v>
      </c>
      <c r="C317" s="9">
        <v>0.67652354048964214</v>
      </c>
      <c r="D317" s="9">
        <v>1.320754716981132</v>
      </c>
    </row>
    <row r="318" spans="1:4" ht="15.75" customHeight="1">
      <c r="A318" s="29">
        <v>80401</v>
      </c>
      <c r="B318" s="17" t="s">
        <v>418</v>
      </c>
      <c r="C318" s="9">
        <v>0.66920510523958809</v>
      </c>
      <c r="D318" s="9">
        <v>1.1320754716981132</v>
      </c>
    </row>
    <row r="319" spans="1:4" ht="15.75" customHeight="1">
      <c r="A319" s="29">
        <v>80402</v>
      </c>
      <c r="B319" s="17" t="s">
        <v>419</v>
      </c>
      <c r="C319" s="9">
        <v>0.48310894141829391</v>
      </c>
      <c r="D319" s="9">
        <v>1.3658536585365855</v>
      </c>
    </row>
    <row r="320" spans="1:4" ht="15.75" customHeight="1">
      <c r="A320" s="29">
        <v>80501</v>
      </c>
      <c r="B320" s="17" t="s">
        <v>421</v>
      </c>
      <c r="C320" s="9">
        <v>0.62912621359223309</v>
      </c>
      <c r="D320" s="9">
        <v>1.1000000000000001</v>
      </c>
    </row>
    <row r="321" spans="1:4" ht="15.75" customHeight="1">
      <c r="A321" s="29">
        <v>80601</v>
      </c>
      <c r="B321" s="17" t="s">
        <v>423</v>
      </c>
      <c r="C321" s="9">
        <v>0.54526220614828214</v>
      </c>
      <c r="D321" s="9">
        <v>1.2391304347826086</v>
      </c>
    </row>
    <row r="322" spans="1:4" ht="15.75" customHeight="1">
      <c r="A322" s="29">
        <v>80602</v>
      </c>
      <c r="B322" s="17" t="s">
        <v>424</v>
      </c>
      <c r="C322" s="9">
        <v>0.53379618150260344</v>
      </c>
      <c r="D322" s="9">
        <v>1.3913043478260869</v>
      </c>
    </row>
    <row r="323" spans="1:4" ht="15.75" customHeight="1">
      <c r="A323" s="29">
        <v>80701</v>
      </c>
      <c r="B323" s="17" t="s">
        <v>426</v>
      </c>
      <c r="C323" s="9">
        <v>0.57405063291139247</v>
      </c>
      <c r="D323" s="9">
        <v>1.3555555555555556</v>
      </c>
    </row>
    <row r="324" spans="1:4" ht="15.75" customHeight="1">
      <c r="A324" s="29">
        <v>80702</v>
      </c>
      <c r="B324" s="17" t="s">
        <v>392</v>
      </c>
      <c r="C324" s="9">
        <v>0.58508287292817673</v>
      </c>
      <c r="D324" s="9">
        <v>1.25</v>
      </c>
    </row>
    <row r="325" spans="1:4" ht="15.75" customHeight="1">
      <c r="A325" s="29">
        <v>80703</v>
      </c>
      <c r="B325" s="17" t="s">
        <v>427</v>
      </c>
      <c r="C325" s="9">
        <v>0.46984126984126989</v>
      </c>
      <c r="D325" s="9">
        <v>1.4750000000000001</v>
      </c>
    </row>
    <row r="326" spans="1:4" ht="15.75" customHeight="1">
      <c r="A326" s="29">
        <v>80801</v>
      </c>
      <c r="B326" s="17" t="s">
        <v>429</v>
      </c>
      <c r="C326" s="9">
        <v>0.54647546207775655</v>
      </c>
      <c r="D326" s="9">
        <v>1.3255813953488371</v>
      </c>
    </row>
    <row r="327" spans="1:4" ht="15.75" customHeight="1">
      <c r="A327" s="29">
        <v>80802</v>
      </c>
      <c r="B327" s="17" t="s">
        <v>430</v>
      </c>
      <c r="C327" s="9">
        <v>0.54395371263259396</v>
      </c>
      <c r="D327" s="9">
        <v>1.3863636363636365</v>
      </c>
    </row>
    <row r="328" spans="1:4" ht="15.75" customHeight="1">
      <c r="A328" s="29">
        <v>80803</v>
      </c>
      <c r="B328" s="17" t="s">
        <v>431</v>
      </c>
      <c r="C328" s="9">
        <v>0.42959999999999998</v>
      </c>
      <c r="D328" s="9">
        <v>1.5</v>
      </c>
    </row>
    <row r="329" spans="1:4" ht="15.75" customHeight="1">
      <c r="A329" s="29">
        <v>80901</v>
      </c>
      <c r="B329" s="17" t="s">
        <v>432</v>
      </c>
      <c r="C329" s="9">
        <v>0.52059907834101382</v>
      </c>
      <c r="D329" s="9">
        <v>1.2727272727272727</v>
      </c>
    </row>
    <row r="330" spans="1:4" ht="15.75" customHeight="1">
      <c r="A330" s="29">
        <v>90101</v>
      </c>
      <c r="B330" s="17" t="s">
        <v>434</v>
      </c>
      <c r="C330" s="9">
        <v>0.71381506526183369</v>
      </c>
      <c r="D330" s="9">
        <v>1.1454545454545455</v>
      </c>
    </row>
    <row r="331" spans="1:4" ht="15.75" customHeight="1">
      <c r="A331" s="29">
        <v>90102</v>
      </c>
      <c r="B331" s="17" t="s">
        <v>435</v>
      </c>
      <c r="C331" s="9">
        <v>0.53839397741530737</v>
      </c>
      <c r="D331" s="9">
        <v>1.4761904761904763</v>
      </c>
    </row>
    <row r="332" spans="1:4" ht="15.75" customHeight="1">
      <c r="A332" s="29">
        <v>90103</v>
      </c>
      <c r="B332" s="17" t="s">
        <v>436</v>
      </c>
      <c r="C332" s="9">
        <v>0.45433842239185751</v>
      </c>
      <c r="D332" s="9">
        <v>1.7804878048780488</v>
      </c>
    </row>
    <row r="333" spans="1:4" ht="15.75" customHeight="1">
      <c r="A333" s="29">
        <v>90104</v>
      </c>
      <c r="B333" s="17" t="s">
        <v>437</v>
      </c>
      <c r="C333" s="9">
        <v>0.61602484472049679</v>
      </c>
      <c r="D333" s="9">
        <v>1.2962962962962963</v>
      </c>
    </row>
    <row r="334" spans="1:4" ht="15.75" customHeight="1">
      <c r="A334" s="29">
        <v>90201</v>
      </c>
      <c r="B334" s="17" t="s">
        <v>439</v>
      </c>
      <c r="C334" s="9">
        <v>0.60167676767676759</v>
      </c>
      <c r="D334" s="9">
        <v>1.4358974358974359</v>
      </c>
    </row>
    <row r="335" spans="1:4" ht="15.75" customHeight="1">
      <c r="A335" s="29">
        <v>90202</v>
      </c>
      <c r="B335" s="17" t="s">
        <v>388</v>
      </c>
      <c r="C335" s="9">
        <v>0.39256537982565376</v>
      </c>
      <c r="D335" s="9">
        <v>2.2068965517241379</v>
      </c>
    </row>
    <row r="336" spans="1:4" ht="15.75" customHeight="1">
      <c r="A336" s="29">
        <v>90203</v>
      </c>
      <c r="B336" s="17" t="s">
        <v>440</v>
      </c>
      <c r="C336" s="9">
        <v>0.44890666666666668</v>
      </c>
      <c r="D336" s="9">
        <v>1.5</v>
      </c>
    </row>
    <row r="337" spans="1:4" ht="15.75" customHeight="1">
      <c r="A337" s="29">
        <v>90301</v>
      </c>
      <c r="B337" s="17" t="s">
        <v>442</v>
      </c>
      <c r="C337" s="9">
        <v>0.64352422907488982</v>
      </c>
      <c r="D337" s="9">
        <v>1.2291666666666667</v>
      </c>
    </row>
    <row r="338" spans="1:4" ht="15.75" customHeight="1">
      <c r="A338" s="29">
        <v>90302</v>
      </c>
      <c r="B338" s="17" t="s">
        <v>443</v>
      </c>
      <c r="C338" s="9">
        <v>0.54159169550173014</v>
      </c>
      <c r="D338" s="9">
        <v>1.4883720930232558</v>
      </c>
    </row>
    <row r="339" spans="1:4" ht="15.75" customHeight="1">
      <c r="A339" s="29">
        <v>90303</v>
      </c>
      <c r="B339" s="17" t="s">
        <v>444</v>
      </c>
      <c r="C339" s="9">
        <v>0.47126710816777034</v>
      </c>
      <c r="D339" s="9">
        <v>1.6052631578947369</v>
      </c>
    </row>
    <row r="340" spans="1:4" ht="15.75" customHeight="1">
      <c r="A340" s="29">
        <v>90401</v>
      </c>
      <c r="B340" s="17" t="s">
        <v>446</v>
      </c>
      <c r="C340" s="9">
        <v>0.49915966386554622</v>
      </c>
      <c r="D340" s="9">
        <v>1.3333333333333333</v>
      </c>
    </row>
    <row r="341" spans="1:4" ht="15.75" customHeight="1">
      <c r="A341" s="29">
        <v>90402</v>
      </c>
      <c r="B341" s="17" t="s">
        <v>110</v>
      </c>
      <c r="C341" s="9">
        <v>0.42220039292730843</v>
      </c>
      <c r="D341" s="9">
        <v>1.6857142857142857</v>
      </c>
    </row>
    <row r="342" spans="1:4" ht="15.75" customHeight="1">
      <c r="A342" s="29">
        <v>90501</v>
      </c>
      <c r="B342" s="17" t="s">
        <v>448</v>
      </c>
      <c r="C342" s="9">
        <v>0.55115294117647062</v>
      </c>
      <c r="D342" s="9">
        <v>1.25</v>
      </c>
    </row>
    <row r="343" spans="1:4" ht="15.75" customHeight="1">
      <c r="A343" s="29">
        <v>90502</v>
      </c>
      <c r="B343" s="17" t="s">
        <v>449</v>
      </c>
      <c r="C343" s="9">
        <v>0.47011857707509885</v>
      </c>
      <c r="D343" s="9">
        <v>1.6578947368421053</v>
      </c>
    </row>
    <row r="344" spans="1:4" ht="15.75" customHeight="1">
      <c r="A344" s="29">
        <v>90503</v>
      </c>
      <c r="B344" s="17" t="s">
        <v>450</v>
      </c>
      <c r="C344" s="9">
        <v>0.39903614457831327</v>
      </c>
      <c r="D344" s="9">
        <v>1.6111111111111112</v>
      </c>
    </row>
    <row r="345" spans="1:4" ht="15" customHeight="1">
      <c r="C345" s="5"/>
      <c r="D345" s="6"/>
    </row>
    <row r="346" spans="1:4" ht="15" customHeight="1">
      <c r="C346" s="5"/>
      <c r="D346" s="6"/>
    </row>
    <row r="347" spans="1:4" ht="15" customHeight="1">
      <c r="C347" s="5"/>
      <c r="D347" s="6"/>
    </row>
    <row r="348" spans="1:4" ht="15" customHeight="1">
      <c r="C348" s="5"/>
      <c r="D348" s="6"/>
    </row>
    <row r="349" spans="1:4" ht="15" customHeight="1">
      <c r="C349" s="5"/>
      <c r="D349" s="6"/>
    </row>
    <row r="350" spans="1:4" ht="15" customHeight="1">
      <c r="C350" s="5"/>
      <c r="D350" s="6"/>
    </row>
    <row r="351" spans="1:4" ht="15" customHeight="1">
      <c r="C351" s="5"/>
      <c r="D351" s="6"/>
    </row>
    <row r="352" spans="1:4" ht="15" customHeight="1">
      <c r="C352" s="5"/>
      <c r="D352" s="6"/>
    </row>
    <row r="353" spans="3:4" ht="15" customHeight="1">
      <c r="C353" s="5"/>
      <c r="D353" s="6"/>
    </row>
    <row r="354" spans="3:4" ht="15" customHeight="1">
      <c r="C354" s="5"/>
      <c r="D354" s="6"/>
    </row>
    <row r="355" spans="3:4" ht="15" customHeight="1">
      <c r="C355" s="5"/>
      <c r="D355" s="6"/>
    </row>
    <row r="356" spans="3:4" ht="15" customHeight="1">
      <c r="C356" s="5"/>
      <c r="D356" s="6"/>
    </row>
    <row r="357" spans="3:4" ht="15" customHeight="1">
      <c r="C357" s="5"/>
      <c r="D357" s="6"/>
    </row>
    <row r="358" spans="3:4" ht="15" customHeight="1">
      <c r="C358" s="5"/>
      <c r="D358" s="6"/>
    </row>
    <row r="359" spans="3:4" ht="15" customHeight="1">
      <c r="C359" s="5"/>
      <c r="D359" s="6"/>
    </row>
    <row r="360" spans="3:4" ht="15" customHeight="1">
      <c r="C360" s="5"/>
      <c r="D360" s="6"/>
    </row>
    <row r="361" spans="3:4" ht="15" customHeight="1">
      <c r="C361" s="5"/>
      <c r="D361" s="6"/>
    </row>
    <row r="362" spans="3:4" ht="15" customHeight="1">
      <c r="C362" s="5"/>
      <c r="D362" s="6"/>
    </row>
    <row r="363" spans="3:4" ht="15" customHeight="1">
      <c r="C363" s="5"/>
      <c r="D363" s="6"/>
    </row>
    <row r="364" spans="3:4" ht="15" customHeight="1">
      <c r="C364" s="5"/>
      <c r="D364" s="6"/>
    </row>
    <row r="365" spans="3:4" ht="15" customHeight="1">
      <c r="C365" s="5"/>
      <c r="D365" s="6"/>
    </row>
    <row r="366" spans="3:4" ht="15" customHeight="1">
      <c r="C366" s="5"/>
      <c r="D366" s="6"/>
    </row>
    <row r="367" spans="3:4" ht="15" customHeight="1">
      <c r="C367" s="5"/>
      <c r="D367" s="6"/>
    </row>
    <row r="368" spans="3:4" ht="15" customHeight="1">
      <c r="C368" s="5"/>
      <c r="D368" s="6"/>
    </row>
    <row r="369" spans="3:4" ht="15" customHeight="1">
      <c r="C369" s="5"/>
      <c r="D369" s="6"/>
    </row>
    <row r="370" spans="3:4" ht="15" customHeight="1">
      <c r="C370" s="5"/>
      <c r="D370" s="6"/>
    </row>
    <row r="371" spans="3:4" ht="15" customHeight="1">
      <c r="C371" s="5"/>
      <c r="D371" s="6"/>
    </row>
    <row r="372" spans="3:4" ht="15" customHeight="1">
      <c r="C372" s="5"/>
      <c r="D372" s="6"/>
    </row>
    <row r="373" spans="3:4" ht="15" customHeight="1">
      <c r="C373" s="5"/>
      <c r="D373" s="6"/>
    </row>
    <row r="374" spans="3:4" ht="15" customHeight="1">
      <c r="C374" s="5"/>
      <c r="D374" s="6"/>
    </row>
    <row r="375" spans="3:4" ht="15" customHeight="1">
      <c r="C375" s="5"/>
      <c r="D375" s="6"/>
    </row>
    <row r="376" spans="3:4" ht="15" customHeight="1">
      <c r="C376" s="5"/>
      <c r="D376" s="6"/>
    </row>
    <row r="377" spans="3:4" ht="15" customHeight="1">
      <c r="C377" s="5"/>
      <c r="D377" s="6"/>
    </row>
    <row r="378" spans="3:4" ht="15" customHeight="1">
      <c r="C378" s="5"/>
      <c r="D378" s="6"/>
    </row>
    <row r="379" spans="3:4" ht="15" customHeight="1">
      <c r="C379" s="5"/>
      <c r="D379" s="6"/>
    </row>
    <row r="380" spans="3:4" ht="15" customHeight="1">
      <c r="C380" s="5"/>
      <c r="D380" s="6"/>
    </row>
    <row r="381" spans="3:4" ht="15" customHeight="1">
      <c r="C381" s="5"/>
      <c r="D381" s="6"/>
    </row>
    <row r="382" spans="3:4" ht="15" customHeight="1">
      <c r="C382" s="5"/>
      <c r="D382" s="6"/>
    </row>
    <row r="383" spans="3:4" ht="15" customHeight="1">
      <c r="C383" s="5"/>
      <c r="D383" s="6"/>
    </row>
    <row r="384" spans="3:4" ht="15" customHeight="1">
      <c r="C384" s="5"/>
      <c r="D384" s="6"/>
    </row>
    <row r="385" spans="3:4" ht="15" customHeight="1">
      <c r="C385" s="5"/>
      <c r="D385" s="6"/>
    </row>
    <row r="386" spans="3:4" ht="15" customHeight="1">
      <c r="C386" s="5"/>
      <c r="D386" s="6"/>
    </row>
    <row r="387" spans="3:4" ht="15" customHeight="1">
      <c r="C387" s="5"/>
      <c r="D387" s="6"/>
    </row>
    <row r="388" spans="3:4" ht="15" customHeight="1">
      <c r="C388" s="5"/>
      <c r="D388" s="6"/>
    </row>
    <row r="389" spans="3:4" ht="15" customHeight="1">
      <c r="C389" s="5"/>
      <c r="D389" s="6"/>
    </row>
    <row r="390" spans="3:4" ht="15" customHeight="1">
      <c r="C390" s="5"/>
      <c r="D390" s="6"/>
    </row>
    <row r="391" spans="3:4" ht="15" customHeight="1">
      <c r="C391" s="5"/>
      <c r="D391" s="6"/>
    </row>
    <row r="392" spans="3:4" ht="15" customHeight="1">
      <c r="C392" s="5"/>
      <c r="D392" s="6"/>
    </row>
    <row r="393" spans="3:4" ht="15" customHeight="1">
      <c r="C393" s="5"/>
      <c r="D393" s="6"/>
    </row>
    <row r="394" spans="3:4" ht="15" customHeight="1">
      <c r="C394" s="5"/>
      <c r="D394" s="6"/>
    </row>
    <row r="395" spans="3:4" ht="15" customHeight="1">
      <c r="C395" s="5"/>
      <c r="D395" s="6"/>
    </row>
    <row r="396" spans="3:4" ht="15" customHeight="1">
      <c r="C396" s="5"/>
      <c r="D396" s="6"/>
    </row>
    <row r="397" spans="3:4" ht="15" customHeight="1">
      <c r="C397" s="5"/>
      <c r="D397" s="6"/>
    </row>
    <row r="398" spans="3:4" ht="15" customHeight="1">
      <c r="C398" s="5"/>
      <c r="D398" s="6"/>
    </row>
    <row r="399" spans="3:4" ht="15" customHeight="1">
      <c r="C399" s="5"/>
      <c r="D399" s="6"/>
    </row>
    <row r="400" spans="3:4" ht="15" customHeight="1">
      <c r="C400" s="5"/>
      <c r="D400" s="6"/>
    </row>
    <row r="401" spans="3:4" ht="15" customHeight="1">
      <c r="C401" s="5"/>
      <c r="D401" s="6"/>
    </row>
    <row r="402" spans="3:4" ht="15" customHeight="1">
      <c r="C402" s="5"/>
      <c r="D402" s="6"/>
    </row>
    <row r="403" spans="3:4" ht="15" customHeight="1">
      <c r="C403" s="5"/>
      <c r="D403" s="6"/>
    </row>
    <row r="404" spans="3:4" ht="15" customHeight="1">
      <c r="C404" s="5"/>
      <c r="D404" s="6"/>
    </row>
    <row r="405" spans="3:4" ht="15" customHeight="1">
      <c r="C405" s="5"/>
      <c r="D405" s="6"/>
    </row>
    <row r="406" spans="3:4" ht="15" customHeight="1">
      <c r="C406" s="5"/>
      <c r="D406" s="6"/>
    </row>
    <row r="407" spans="3:4" ht="15" customHeight="1">
      <c r="C407" s="5"/>
      <c r="D407" s="6"/>
    </row>
    <row r="408" spans="3:4" ht="15" customHeight="1">
      <c r="C408" s="5"/>
      <c r="D408" s="6"/>
    </row>
    <row r="409" spans="3:4" ht="15" customHeight="1">
      <c r="C409" s="5"/>
      <c r="D409" s="6"/>
    </row>
    <row r="410" spans="3:4" ht="15" customHeight="1">
      <c r="C410" s="5"/>
      <c r="D410" s="6"/>
    </row>
    <row r="411" spans="3:4" ht="15" customHeight="1">
      <c r="C411" s="5"/>
      <c r="D411" s="6"/>
    </row>
    <row r="412" spans="3:4" ht="15" customHeight="1">
      <c r="C412" s="5"/>
      <c r="D412" s="6"/>
    </row>
    <row r="413" spans="3:4" ht="15" customHeight="1">
      <c r="C413" s="5"/>
      <c r="D413" s="6"/>
    </row>
    <row r="414" spans="3:4" ht="15" customHeight="1">
      <c r="C414" s="5"/>
      <c r="D414" s="6"/>
    </row>
    <row r="415" spans="3:4" ht="15" customHeight="1">
      <c r="C415" s="5"/>
      <c r="D415" s="6"/>
    </row>
    <row r="416" spans="3:4" ht="15" customHeight="1">
      <c r="C416" s="5"/>
      <c r="D416" s="6"/>
    </row>
    <row r="417" spans="3:4" ht="15" customHeight="1">
      <c r="C417" s="5"/>
      <c r="D417" s="6"/>
    </row>
    <row r="418" spans="3:4" ht="15" customHeight="1">
      <c r="C418" s="5"/>
      <c r="D418" s="6"/>
    </row>
    <row r="419" spans="3:4" ht="15" customHeight="1">
      <c r="C419" s="5"/>
      <c r="D419" s="6"/>
    </row>
    <row r="420" spans="3:4" ht="15" customHeight="1">
      <c r="C420" s="5"/>
      <c r="D420" s="6"/>
    </row>
    <row r="421" spans="3:4" ht="15" customHeight="1">
      <c r="C421" s="5"/>
      <c r="D421" s="6"/>
    </row>
    <row r="422" spans="3:4" ht="15" customHeight="1">
      <c r="C422" s="5"/>
      <c r="D422" s="6"/>
    </row>
    <row r="423" spans="3:4" ht="15" customHeight="1">
      <c r="C423" s="5"/>
      <c r="D423" s="6"/>
    </row>
    <row r="424" spans="3:4" ht="15" customHeight="1">
      <c r="C424" s="5"/>
      <c r="D424" s="6"/>
    </row>
    <row r="425" spans="3:4" ht="15" customHeight="1">
      <c r="C425" s="5"/>
      <c r="D425" s="6"/>
    </row>
    <row r="426" spans="3:4" ht="15" customHeight="1">
      <c r="C426" s="5"/>
      <c r="D426" s="6"/>
    </row>
    <row r="427" spans="3:4" ht="15" customHeight="1">
      <c r="C427" s="5"/>
      <c r="D427" s="6"/>
    </row>
    <row r="428" spans="3:4" ht="15" customHeight="1">
      <c r="C428" s="5"/>
      <c r="D428" s="6"/>
    </row>
    <row r="429" spans="3:4" ht="15" customHeight="1">
      <c r="C429" s="5"/>
      <c r="D429" s="6"/>
    </row>
    <row r="430" spans="3:4" ht="15" customHeight="1">
      <c r="C430" s="5"/>
      <c r="D430" s="6"/>
    </row>
    <row r="431" spans="3:4" ht="15" customHeight="1">
      <c r="C431" s="5"/>
      <c r="D431" s="6"/>
    </row>
    <row r="432" spans="3:4" ht="15" customHeight="1">
      <c r="C432" s="5"/>
      <c r="D432" s="6"/>
    </row>
    <row r="433" spans="3:4" ht="15" customHeight="1">
      <c r="C433" s="5"/>
      <c r="D433" s="6"/>
    </row>
    <row r="434" spans="3:4" ht="15" customHeight="1">
      <c r="C434" s="5"/>
      <c r="D434" s="6"/>
    </row>
    <row r="435" spans="3:4" ht="15" customHeight="1">
      <c r="C435" s="5"/>
      <c r="D435" s="6"/>
    </row>
    <row r="436" spans="3:4" ht="15" customHeight="1">
      <c r="C436" s="5"/>
      <c r="D436" s="6"/>
    </row>
    <row r="437" spans="3:4" ht="15" customHeight="1">
      <c r="C437" s="5"/>
      <c r="D437" s="6"/>
    </row>
    <row r="438" spans="3:4" ht="15" customHeight="1">
      <c r="C438" s="5"/>
      <c r="D438" s="6"/>
    </row>
    <row r="439" spans="3:4" ht="15" customHeight="1">
      <c r="C439" s="5"/>
      <c r="D439" s="6"/>
    </row>
    <row r="440" spans="3:4" ht="15" customHeight="1">
      <c r="C440" s="5"/>
      <c r="D440" s="6"/>
    </row>
    <row r="441" spans="3:4" ht="15" customHeight="1">
      <c r="C441" s="5"/>
      <c r="D441" s="6"/>
    </row>
    <row r="442" spans="3:4" ht="15" customHeight="1">
      <c r="C442" s="5"/>
      <c r="D442" s="6"/>
    </row>
    <row r="443" spans="3:4" ht="15" customHeight="1">
      <c r="C443" s="5"/>
      <c r="D443" s="6"/>
    </row>
    <row r="444" spans="3:4" ht="15" customHeight="1">
      <c r="C444" s="5"/>
      <c r="D444" s="6"/>
    </row>
    <row r="445" spans="3:4" ht="15" customHeight="1">
      <c r="C445" s="5"/>
      <c r="D445" s="6"/>
    </row>
    <row r="446" spans="3:4" ht="15" customHeight="1">
      <c r="C446" s="5"/>
      <c r="D446" s="6"/>
    </row>
    <row r="447" spans="3:4" ht="15" customHeight="1">
      <c r="C447" s="5"/>
      <c r="D447" s="6"/>
    </row>
    <row r="448" spans="3:4" ht="15" customHeight="1">
      <c r="C448" s="5"/>
      <c r="D448" s="6"/>
    </row>
    <row r="449" spans="3:4" ht="15" customHeight="1">
      <c r="C449" s="5"/>
      <c r="D449" s="6"/>
    </row>
    <row r="450" spans="3:4" ht="15" customHeight="1">
      <c r="C450" s="5"/>
      <c r="D450" s="6"/>
    </row>
    <row r="451" spans="3:4" ht="15" customHeight="1">
      <c r="C451" s="5"/>
      <c r="D451" s="6"/>
    </row>
    <row r="452" spans="3:4" ht="15" customHeight="1">
      <c r="C452" s="5"/>
      <c r="D452" s="6"/>
    </row>
    <row r="453" spans="3:4" ht="15" customHeight="1">
      <c r="C453" s="5"/>
      <c r="D453" s="6"/>
    </row>
    <row r="454" spans="3:4" ht="15" customHeight="1">
      <c r="C454" s="5"/>
      <c r="D454" s="6"/>
    </row>
    <row r="455" spans="3:4" ht="15" customHeight="1">
      <c r="C455" s="5"/>
      <c r="D455" s="6"/>
    </row>
    <row r="456" spans="3:4" ht="15" customHeight="1">
      <c r="C456" s="5"/>
      <c r="D456" s="6"/>
    </row>
    <row r="457" spans="3:4" ht="15" customHeight="1">
      <c r="C457" s="5"/>
      <c r="D457" s="6"/>
    </row>
    <row r="458" spans="3:4" ht="15" customHeight="1">
      <c r="C458" s="5"/>
      <c r="D458" s="6"/>
    </row>
    <row r="459" spans="3:4" ht="15" customHeight="1">
      <c r="C459" s="5"/>
      <c r="D459" s="6"/>
    </row>
    <row r="460" spans="3:4" ht="15" customHeight="1">
      <c r="C460" s="5"/>
      <c r="D460" s="6"/>
    </row>
    <row r="461" spans="3:4" ht="15" customHeight="1">
      <c r="C461" s="5"/>
      <c r="D461" s="6"/>
    </row>
    <row r="462" spans="3:4" ht="15" customHeight="1">
      <c r="C462" s="5"/>
      <c r="D462" s="6"/>
    </row>
    <row r="463" spans="3:4" ht="15" customHeight="1">
      <c r="C463" s="5"/>
      <c r="D463" s="6"/>
    </row>
    <row r="464" spans="3:4" ht="15" customHeight="1">
      <c r="C464" s="5"/>
      <c r="D464" s="6"/>
    </row>
    <row r="465" spans="3:4" ht="15" customHeight="1">
      <c r="C465" s="5"/>
      <c r="D465" s="6"/>
    </row>
    <row r="466" spans="3:4" ht="15" customHeight="1">
      <c r="C466" s="5"/>
      <c r="D466" s="6"/>
    </row>
    <row r="467" spans="3:4" ht="15" customHeight="1">
      <c r="C467" s="5"/>
      <c r="D467" s="6"/>
    </row>
    <row r="468" spans="3:4" ht="15" customHeight="1">
      <c r="C468" s="5"/>
      <c r="D468" s="6"/>
    </row>
    <row r="469" spans="3:4" ht="15" customHeight="1">
      <c r="C469" s="5"/>
      <c r="D469" s="6"/>
    </row>
    <row r="470" spans="3:4" ht="15" customHeight="1">
      <c r="C470" s="5"/>
      <c r="D470" s="6"/>
    </row>
    <row r="471" spans="3:4" ht="15" customHeight="1">
      <c r="C471" s="5"/>
      <c r="D471" s="6"/>
    </row>
    <row r="472" spans="3:4" ht="15" customHeight="1">
      <c r="C472" s="5"/>
      <c r="D472" s="6"/>
    </row>
    <row r="473" spans="3:4" ht="15" customHeight="1">
      <c r="C473" s="5"/>
      <c r="D473" s="6"/>
    </row>
    <row r="474" spans="3:4" ht="15" customHeight="1">
      <c r="C474" s="5"/>
      <c r="D474" s="6"/>
    </row>
    <row r="475" spans="3:4" ht="15" customHeight="1">
      <c r="C475" s="5"/>
      <c r="D475" s="6"/>
    </row>
    <row r="476" spans="3:4" ht="15" customHeight="1">
      <c r="C476" s="5"/>
      <c r="D476" s="6"/>
    </row>
    <row r="477" spans="3:4" ht="15" customHeight="1">
      <c r="C477" s="5"/>
      <c r="D477" s="6"/>
    </row>
    <row r="478" spans="3:4" ht="15" customHeight="1">
      <c r="C478" s="5"/>
      <c r="D478" s="6"/>
    </row>
    <row r="479" spans="3:4" ht="15" customHeight="1">
      <c r="C479" s="5"/>
      <c r="D479" s="6"/>
    </row>
    <row r="480" spans="3:4" ht="15" customHeight="1">
      <c r="C480" s="5"/>
      <c r="D480" s="6"/>
    </row>
    <row r="481" spans="3:4" ht="15" customHeight="1">
      <c r="C481" s="5"/>
      <c r="D481" s="6"/>
    </row>
    <row r="482" spans="3:4" ht="15" customHeight="1">
      <c r="C482" s="5"/>
      <c r="D482" s="6"/>
    </row>
    <row r="483" spans="3:4" ht="15" customHeight="1">
      <c r="C483" s="5"/>
      <c r="D483" s="6"/>
    </row>
    <row r="484" spans="3:4" ht="15" customHeight="1">
      <c r="C484" s="5"/>
      <c r="D484" s="6"/>
    </row>
    <row r="485" spans="3:4" ht="15" customHeight="1">
      <c r="C485" s="5"/>
      <c r="D485" s="6"/>
    </row>
    <row r="486" spans="3:4" ht="15" customHeight="1">
      <c r="C486" s="5"/>
      <c r="D486" s="6"/>
    </row>
    <row r="487" spans="3:4" ht="15" customHeight="1">
      <c r="C487" s="5"/>
      <c r="D487" s="6"/>
    </row>
    <row r="488" spans="3:4" ht="15" customHeight="1">
      <c r="C488" s="5"/>
      <c r="D488" s="6"/>
    </row>
    <row r="489" spans="3:4" ht="15" customHeight="1">
      <c r="C489" s="5"/>
      <c r="D489" s="6"/>
    </row>
    <row r="490" spans="3:4" ht="15" customHeight="1">
      <c r="C490" s="5"/>
      <c r="D490" s="6"/>
    </row>
    <row r="491" spans="3:4" ht="15" customHeight="1">
      <c r="C491" s="5"/>
      <c r="D491" s="6"/>
    </row>
    <row r="492" spans="3:4" ht="15" customHeight="1">
      <c r="C492" s="5"/>
      <c r="D492" s="6"/>
    </row>
    <row r="493" spans="3:4" ht="15" customHeight="1">
      <c r="C493" s="5"/>
      <c r="D493" s="6"/>
    </row>
    <row r="494" spans="3:4" ht="15" customHeight="1">
      <c r="C494" s="5"/>
      <c r="D494" s="6"/>
    </row>
    <row r="495" spans="3:4" ht="15" customHeight="1">
      <c r="C495" s="5"/>
      <c r="D495" s="6"/>
    </row>
    <row r="496" spans="3:4" ht="15" customHeight="1">
      <c r="C496" s="5"/>
      <c r="D496" s="6"/>
    </row>
    <row r="497" spans="3:4" ht="15" customHeight="1">
      <c r="C497" s="5"/>
      <c r="D497" s="6"/>
    </row>
    <row r="498" spans="3:4" ht="15" customHeight="1">
      <c r="C498" s="5"/>
      <c r="D498" s="6"/>
    </row>
    <row r="499" spans="3:4" ht="15" customHeight="1">
      <c r="C499" s="5"/>
      <c r="D499" s="6"/>
    </row>
    <row r="500" spans="3:4" ht="15" customHeight="1">
      <c r="C500" s="5"/>
      <c r="D500" s="6"/>
    </row>
    <row r="501" spans="3:4" ht="15" customHeight="1">
      <c r="C501" s="5"/>
      <c r="D501" s="6"/>
    </row>
    <row r="502" spans="3:4" ht="15" customHeight="1">
      <c r="C502" s="5"/>
      <c r="D502" s="6"/>
    </row>
    <row r="503" spans="3:4" ht="15" customHeight="1">
      <c r="C503" s="5"/>
      <c r="D503" s="6"/>
    </row>
    <row r="504" spans="3:4" ht="15" customHeight="1">
      <c r="C504" s="5"/>
      <c r="D504" s="6"/>
    </row>
    <row r="505" spans="3:4" ht="15" customHeight="1">
      <c r="C505" s="5"/>
      <c r="D505" s="6"/>
    </row>
    <row r="506" spans="3:4" ht="15" customHeight="1">
      <c r="C506" s="5"/>
      <c r="D506" s="6"/>
    </row>
    <row r="507" spans="3:4" ht="15" customHeight="1">
      <c r="C507" s="5"/>
      <c r="D507" s="6"/>
    </row>
    <row r="508" spans="3:4" ht="15" customHeight="1">
      <c r="C508" s="5"/>
      <c r="D508" s="6"/>
    </row>
    <row r="509" spans="3:4" ht="15" customHeight="1">
      <c r="C509" s="5"/>
      <c r="D509" s="6"/>
    </row>
    <row r="510" spans="3:4" ht="15" customHeight="1">
      <c r="C510" s="5"/>
      <c r="D510" s="6"/>
    </row>
    <row r="511" spans="3:4" ht="15" customHeight="1">
      <c r="C511" s="5"/>
      <c r="D511" s="6"/>
    </row>
    <row r="512" spans="3:4" ht="15" customHeight="1">
      <c r="C512" s="5"/>
      <c r="D512" s="6"/>
    </row>
    <row r="513" spans="3:4" ht="15" customHeight="1">
      <c r="C513" s="5"/>
      <c r="D513" s="6"/>
    </row>
    <row r="514" spans="3:4" ht="15" customHeight="1">
      <c r="C514" s="5"/>
      <c r="D514" s="6"/>
    </row>
    <row r="515" spans="3:4" ht="15" customHeight="1">
      <c r="C515" s="5"/>
      <c r="D515" s="6"/>
    </row>
    <row r="516" spans="3:4" ht="15" customHeight="1">
      <c r="C516" s="5"/>
      <c r="D516" s="6"/>
    </row>
    <row r="517" spans="3:4" ht="15" customHeight="1">
      <c r="C517" s="5"/>
      <c r="D517" s="6"/>
    </row>
    <row r="518" spans="3:4" ht="15" customHeight="1">
      <c r="C518" s="5"/>
      <c r="D518" s="6"/>
    </row>
    <row r="519" spans="3:4" ht="15" customHeight="1">
      <c r="C519" s="5"/>
      <c r="D519" s="6"/>
    </row>
    <row r="520" spans="3:4" ht="15" customHeight="1">
      <c r="C520" s="5"/>
      <c r="D520" s="6"/>
    </row>
    <row r="521" spans="3:4" ht="15" customHeight="1">
      <c r="C521" s="5"/>
      <c r="D521" s="6"/>
    </row>
    <row r="522" spans="3:4" ht="15" customHeight="1">
      <c r="C522" s="5"/>
      <c r="D522" s="6"/>
    </row>
    <row r="523" spans="3:4" ht="15" customHeight="1">
      <c r="C523" s="5"/>
      <c r="D523" s="6"/>
    </row>
    <row r="524" spans="3:4" ht="15" customHeight="1">
      <c r="C524" s="5"/>
      <c r="D524" s="6"/>
    </row>
    <row r="525" spans="3:4" ht="15" customHeight="1">
      <c r="C525" s="5"/>
      <c r="D525" s="6"/>
    </row>
    <row r="526" spans="3:4" ht="15" customHeight="1">
      <c r="C526" s="5"/>
      <c r="D526" s="6"/>
    </row>
    <row r="527" spans="3:4" ht="15" customHeight="1">
      <c r="C527" s="5"/>
      <c r="D527" s="6"/>
    </row>
    <row r="528" spans="3:4" ht="15" customHeight="1">
      <c r="C528" s="5"/>
      <c r="D528" s="6"/>
    </row>
    <row r="529" spans="3:4" ht="15" customHeight="1">
      <c r="C529" s="5"/>
      <c r="D529" s="6"/>
    </row>
    <row r="530" spans="3:4" ht="15" customHeight="1">
      <c r="C530" s="5"/>
      <c r="D530" s="6"/>
    </row>
    <row r="531" spans="3:4" ht="15" customHeight="1">
      <c r="C531" s="5"/>
      <c r="D531" s="6"/>
    </row>
    <row r="532" spans="3:4" ht="15" customHeight="1">
      <c r="C532" s="5"/>
      <c r="D532" s="6"/>
    </row>
    <row r="533" spans="3:4" ht="15" customHeight="1">
      <c r="C533" s="5"/>
      <c r="D533" s="6"/>
    </row>
    <row r="534" spans="3:4" ht="15" customHeight="1">
      <c r="C534" s="5"/>
      <c r="D534" s="6"/>
    </row>
    <row r="535" spans="3:4" ht="15" customHeight="1">
      <c r="C535" s="5"/>
      <c r="D535" s="6"/>
    </row>
    <row r="536" spans="3:4" ht="15" customHeight="1">
      <c r="C536" s="5"/>
      <c r="D536" s="6"/>
    </row>
    <row r="537" spans="3:4" ht="15" customHeight="1">
      <c r="C537" s="5"/>
      <c r="D537" s="6"/>
    </row>
    <row r="538" spans="3:4" ht="15" customHeight="1">
      <c r="C538" s="5"/>
      <c r="D538" s="6"/>
    </row>
    <row r="539" spans="3:4" ht="15" customHeight="1">
      <c r="C539" s="5"/>
      <c r="D539" s="6"/>
    </row>
    <row r="540" spans="3:4" ht="15" customHeight="1">
      <c r="C540" s="5"/>
      <c r="D540" s="6"/>
    </row>
    <row r="541" spans="3:4" ht="15" customHeight="1">
      <c r="C541" s="5"/>
      <c r="D541" s="6"/>
    </row>
    <row r="542" spans="3:4" ht="15" customHeight="1">
      <c r="C542" s="5"/>
      <c r="D542" s="6"/>
    </row>
    <row r="543" spans="3:4" ht="15" customHeight="1">
      <c r="C543" s="5"/>
      <c r="D543" s="6"/>
    </row>
    <row r="544" spans="3:4" ht="15" customHeight="1">
      <c r="C544" s="5"/>
      <c r="D544" s="6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outlinePr summaryBelow="0" summaryRight="0"/>
  </sheetPr>
  <dimension ref="A1:D344"/>
  <sheetViews>
    <sheetView topLeftCell="A319" workbookViewId="0">
      <selection activeCell="D329" sqref="D329"/>
    </sheetView>
  </sheetViews>
  <sheetFormatPr baseColWidth="10" defaultColWidth="12.6640625" defaultRowHeight="15" customHeight="1"/>
  <sheetData>
    <row r="1" spans="1:4">
      <c r="A1" s="17" t="s">
        <v>0</v>
      </c>
      <c r="B1" s="17" t="s">
        <v>451</v>
      </c>
      <c r="C1" s="20" t="s">
        <v>454</v>
      </c>
      <c r="D1" s="20" t="s">
        <v>455</v>
      </c>
    </row>
    <row r="2" spans="1:4">
      <c r="A2" s="29">
        <v>10101</v>
      </c>
      <c r="B2" s="17" t="s">
        <v>18</v>
      </c>
      <c r="C2" s="20"/>
      <c r="D2" s="20"/>
    </row>
    <row r="3" spans="1:4">
      <c r="A3" s="29">
        <v>10102</v>
      </c>
      <c r="B3" s="17" t="s">
        <v>19</v>
      </c>
      <c r="C3" s="20"/>
      <c r="D3" s="20"/>
    </row>
    <row r="4" spans="1:4">
      <c r="A4" s="29">
        <v>10103</v>
      </c>
      <c r="B4" s="17" t="s">
        <v>21</v>
      </c>
      <c r="C4" s="20"/>
      <c r="D4" s="20"/>
    </row>
    <row r="5" spans="1:4">
      <c r="A5" s="29">
        <v>10201</v>
      </c>
      <c r="B5" s="17" t="s">
        <v>24</v>
      </c>
      <c r="C5" s="20"/>
      <c r="D5" s="20"/>
    </row>
    <row r="6" spans="1:4">
      <c r="A6" s="29">
        <v>10202</v>
      </c>
      <c r="B6" s="17" t="s">
        <v>26</v>
      </c>
      <c r="C6" s="20"/>
      <c r="D6" s="20"/>
    </row>
    <row r="7" spans="1:4">
      <c r="A7" s="29">
        <v>10301</v>
      </c>
      <c r="B7" s="17" t="s">
        <v>29</v>
      </c>
      <c r="C7" s="20"/>
      <c r="D7" s="20"/>
    </row>
    <row r="8" spans="1:4">
      <c r="A8" s="29">
        <v>10302</v>
      </c>
      <c r="B8" s="17" t="s">
        <v>31</v>
      </c>
      <c r="C8" s="20"/>
      <c r="D8" s="20"/>
    </row>
    <row r="9" spans="1:4">
      <c r="A9" s="29">
        <v>10303</v>
      </c>
      <c r="B9" s="17" t="s">
        <v>33</v>
      </c>
      <c r="C9" s="20"/>
      <c r="D9" s="20"/>
    </row>
    <row r="10" spans="1:4">
      <c r="A10" s="29">
        <v>10304</v>
      </c>
      <c r="B10" s="17" t="s">
        <v>35</v>
      </c>
      <c r="C10" s="20"/>
      <c r="D10" s="20"/>
    </row>
    <row r="11" spans="1:4">
      <c r="A11" s="29">
        <v>10401</v>
      </c>
      <c r="B11" s="17" t="s">
        <v>38</v>
      </c>
      <c r="C11" s="20"/>
      <c r="D11" s="20"/>
    </row>
    <row r="12" spans="1:4">
      <c r="A12" s="29">
        <v>10402</v>
      </c>
      <c r="B12" s="17" t="s">
        <v>37</v>
      </c>
      <c r="C12" s="20"/>
      <c r="D12" s="20"/>
    </row>
    <row r="13" spans="1:4">
      <c r="A13" s="29">
        <v>10403</v>
      </c>
      <c r="B13" s="17" t="s">
        <v>43</v>
      </c>
      <c r="C13" s="20"/>
      <c r="D13" s="20"/>
    </row>
    <row r="14" spans="1:4">
      <c r="A14" s="29">
        <v>10404</v>
      </c>
      <c r="B14" s="17" t="s">
        <v>44</v>
      </c>
      <c r="C14" s="20"/>
      <c r="D14" s="20"/>
    </row>
    <row r="15" spans="1:4">
      <c r="A15" s="29">
        <v>10405</v>
      </c>
      <c r="B15" s="17" t="s">
        <v>45</v>
      </c>
      <c r="C15" s="20"/>
      <c r="D15" s="20"/>
    </row>
    <row r="16" spans="1:4">
      <c r="A16" s="29">
        <v>10501</v>
      </c>
      <c r="B16" s="17" t="s">
        <v>47</v>
      </c>
      <c r="C16" s="20"/>
      <c r="D16" s="20"/>
    </row>
    <row r="17" spans="1:4">
      <c r="A17" s="29">
        <v>10502</v>
      </c>
      <c r="B17" s="17" t="s">
        <v>48</v>
      </c>
      <c r="C17" s="20"/>
      <c r="D17" s="20"/>
    </row>
    <row r="18" spans="1:4">
      <c r="A18" s="29">
        <v>10601</v>
      </c>
      <c r="B18" s="17" t="s">
        <v>50</v>
      </c>
      <c r="C18" s="20"/>
      <c r="D18" s="20"/>
    </row>
    <row r="19" spans="1:4">
      <c r="A19" s="29">
        <v>10602</v>
      </c>
      <c r="B19" s="17" t="s">
        <v>49</v>
      </c>
      <c r="C19" s="20"/>
      <c r="D19" s="20"/>
    </row>
    <row r="20" spans="1:4">
      <c r="A20" s="29">
        <v>10701</v>
      </c>
      <c r="B20" s="17" t="s">
        <v>52</v>
      </c>
      <c r="C20" s="20"/>
      <c r="D20" s="20"/>
    </row>
    <row r="21" spans="1:4">
      <c r="A21" s="29">
        <v>10702</v>
      </c>
      <c r="B21" s="17" t="s">
        <v>53</v>
      </c>
      <c r="C21" s="20"/>
      <c r="D21" s="20"/>
    </row>
    <row r="22" spans="1:4">
      <c r="A22" s="29">
        <v>10703</v>
      </c>
      <c r="B22" s="17" t="s">
        <v>54</v>
      </c>
      <c r="C22" s="20"/>
      <c r="D22" s="20"/>
    </row>
    <row r="23" spans="1:4">
      <c r="A23" s="29">
        <v>10704</v>
      </c>
      <c r="B23" s="17" t="s">
        <v>55</v>
      </c>
      <c r="C23" s="20"/>
      <c r="D23" s="20"/>
    </row>
    <row r="24" spans="1:4">
      <c r="A24" s="29">
        <v>10801</v>
      </c>
      <c r="B24" s="17" t="s">
        <v>57</v>
      </c>
      <c r="C24" s="20"/>
      <c r="D24" s="20"/>
    </row>
    <row r="25" spans="1:4">
      <c r="A25" s="29">
        <v>10901</v>
      </c>
      <c r="B25" s="17" t="s">
        <v>59</v>
      </c>
      <c r="C25" s="20"/>
      <c r="D25" s="20"/>
    </row>
    <row r="26" spans="1:4">
      <c r="A26" s="29">
        <v>10902</v>
      </c>
      <c r="B26" s="17" t="s">
        <v>60</v>
      </c>
      <c r="C26" s="20"/>
      <c r="D26" s="20"/>
    </row>
    <row r="27" spans="1:4">
      <c r="A27" s="29">
        <v>10903</v>
      </c>
      <c r="B27" s="17" t="s">
        <v>61</v>
      </c>
      <c r="C27" s="20"/>
      <c r="D27" s="20"/>
    </row>
    <row r="28" spans="1:4">
      <c r="A28" s="29">
        <v>11001</v>
      </c>
      <c r="B28" s="17" t="s">
        <v>63</v>
      </c>
      <c r="C28" s="20"/>
      <c r="D28" s="20"/>
    </row>
    <row r="29" spans="1:4">
      <c r="A29" s="29">
        <v>11002</v>
      </c>
      <c r="B29" s="17" t="s">
        <v>64</v>
      </c>
      <c r="C29" s="20"/>
      <c r="D29" s="20"/>
    </row>
    <row r="30" spans="1:4">
      <c r="A30" s="29">
        <v>11003</v>
      </c>
      <c r="B30" s="17" t="s">
        <v>65</v>
      </c>
      <c r="C30" s="20"/>
      <c r="D30" s="20"/>
    </row>
    <row r="31" spans="1:4">
      <c r="A31" s="29">
        <v>20101</v>
      </c>
      <c r="B31" s="17" t="s">
        <v>67</v>
      </c>
      <c r="C31" s="20"/>
      <c r="D31" s="20"/>
    </row>
    <row r="32" spans="1:4">
      <c r="A32" s="29">
        <v>20102</v>
      </c>
      <c r="B32" s="17" t="s">
        <v>68</v>
      </c>
      <c r="C32" s="20"/>
      <c r="D32" s="20"/>
    </row>
    <row r="33" spans="1:4">
      <c r="A33" s="29">
        <v>20103</v>
      </c>
      <c r="B33" s="17" t="s">
        <v>69</v>
      </c>
      <c r="C33" s="20"/>
      <c r="D33" s="20"/>
    </row>
    <row r="34" spans="1:4">
      <c r="A34" s="29">
        <v>20104</v>
      </c>
      <c r="B34" s="17" t="s">
        <v>70</v>
      </c>
      <c r="C34" s="20"/>
      <c r="D34" s="20"/>
    </row>
    <row r="35" spans="1:4">
      <c r="A35" s="29">
        <v>20105</v>
      </c>
      <c r="B35" s="17" t="s">
        <v>71</v>
      </c>
      <c r="C35" s="20"/>
      <c r="D35" s="20"/>
    </row>
    <row r="36" spans="1:4">
      <c r="A36" s="29">
        <v>20201</v>
      </c>
      <c r="B36" s="17" t="s">
        <v>73</v>
      </c>
      <c r="C36" s="20"/>
      <c r="D36" s="20"/>
    </row>
    <row r="37" spans="1:4">
      <c r="A37" s="29">
        <v>20202</v>
      </c>
      <c r="B37" s="17" t="s">
        <v>74</v>
      </c>
      <c r="C37" s="20"/>
      <c r="D37" s="20"/>
    </row>
    <row r="38" spans="1:4">
      <c r="A38" s="29">
        <v>20203</v>
      </c>
      <c r="B38" s="17" t="s">
        <v>75</v>
      </c>
      <c r="C38" s="20"/>
      <c r="D38" s="20"/>
    </row>
    <row r="39" spans="1:4">
      <c r="A39" s="29">
        <v>20204</v>
      </c>
      <c r="B39" s="17" t="s">
        <v>76</v>
      </c>
      <c r="C39" s="20"/>
      <c r="D39" s="20"/>
    </row>
    <row r="40" spans="1:4">
      <c r="A40" s="29">
        <v>20205</v>
      </c>
      <c r="B40" s="17" t="s">
        <v>77</v>
      </c>
      <c r="C40" s="20"/>
      <c r="D40" s="20"/>
    </row>
    <row r="41" spans="1:4">
      <c r="A41" s="29">
        <v>20206</v>
      </c>
      <c r="B41" s="17" t="s">
        <v>78</v>
      </c>
      <c r="C41" s="20"/>
      <c r="D41" s="20"/>
    </row>
    <row r="42" spans="1:4">
      <c r="A42" s="29">
        <v>20301</v>
      </c>
      <c r="B42" s="17" t="s">
        <v>80</v>
      </c>
      <c r="C42" s="20"/>
      <c r="D42" s="20"/>
    </row>
    <row r="43" spans="1:4">
      <c r="A43" s="29">
        <v>20302</v>
      </c>
      <c r="B43" s="17" t="s">
        <v>81</v>
      </c>
      <c r="C43" s="20"/>
      <c r="D43" s="20"/>
    </row>
    <row r="44" spans="1:4">
      <c r="A44" s="29">
        <v>20303</v>
      </c>
      <c r="B44" s="17" t="s">
        <v>82</v>
      </c>
      <c r="C44" s="20"/>
      <c r="D44" s="20"/>
    </row>
    <row r="45" spans="1:4">
      <c r="A45" s="29">
        <v>20304</v>
      </c>
      <c r="B45" s="17" t="s">
        <v>83</v>
      </c>
      <c r="C45" s="20"/>
      <c r="D45" s="20"/>
    </row>
    <row r="46" spans="1:4">
      <c r="A46" s="29">
        <v>20305</v>
      </c>
      <c r="B46" s="17" t="s">
        <v>84</v>
      </c>
      <c r="C46" s="20"/>
      <c r="D46" s="20"/>
    </row>
    <row r="47" spans="1:4">
      <c r="A47" s="29">
        <v>20306</v>
      </c>
      <c r="B47" s="17" t="s">
        <v>85</v>
      </c>
      <c r="C47" s="20"/>
      <c r="D47" s="20"/>
    </row>
    <row r="48" spans="1:4">
      <c r="A48" s="29">
        <v>20307</v>
      </c>
      <c r="B48" s="17" t="s">
        <v>86</v>
      </c>
      <c r="C48" s="20"/>
      <c r="D48" s="20"/>
    </row>
    <row r="49" spans="1:4">
      <c r="A49" s="29">
        <v>20308</v>
      </c>
      <c r="B49" s="17" t="s">
        <v>87</v>
      </c>
      <c r="C49" s="20"/>
      <c r="D49" s="20"/>
    </row>
    <row r="50" spans="1:4">
      <c r="A50" s="29">
        <v>20401</v>
      </c>
      <c r="B50" s="17" t="s">
        <v>89</v>
      </c>
      <c r="C50" s="20"/>
      <c r="D50" s="20"/>
    </row>
    <row r="51" spans="1:4">
      <c r="A51" s="29">
        <v>20402</v>
      </c>
      <c r="B51" s="17" t="s">
        <v>90</v>
      </c>
      <c r="C51" s="20"/>
      <c r="D51" s="20"/>
    </row>
    <row r="52" spans="1:4">
      <c r="A52" s="29">
        <v>20403</v>
      </c>
      <c r="B52" s="17" t="s">
        <v>91</v>
      </c>
      <c r="C52" s="20"/>
      <c r="D52" s="20"/>
    </row>
    <row r="53" spans="1:4">
      <c r="A53" s="29">
        <v>20404</v>
      </c>
      <c r="B53" s="17" t="s">
        <v>92</v>
      </c>
      <c r="C53" s="20"/>
      <c r="D53" s="20"/>
    </row>
    <row r="54" spans="1:4">
      <c r="A54" s="29">
        <v>20405</v>
      </c>
      <c r="B54" s="17" t="s">
        <v>93</v>
      </c>
      <c r="C54" s="20"/>
      <c r="D54" s="20"/>
    </row>
    <row r="55" spans="1:4">
      <c r="A55" s="29">
        <v>20501</v>
      </c>
      <c r="B55" s="17" t="s">
        <v>95</v>
      </c>
      <c r="C55" s="20"/>
      <c r="D55" s="20"/>
    </row>
    <row r="56" spans="1:4">
      <c r="A56" s="29">
        <v>20502</v>
      </c>
      <c r="B56" s="17" t="s">
        <v>96</v>
      </c>
      <c r="C56" s="20"/>
      <c r="D56" s="20"/>
    </row>
    <row r="57" spans="1:4">
      <c r="A57" s="29">
        <v>20503</v>
      </c>
      <c r="B57" s="17" t="s">
        <v>97</v>
      </c>
      <c r="C57" s="20"/>
      <c r="D57" s="20"/>
    </row>
    <row r="58" spans="1:4">
      <c r="A58" s="29">
        <v>20601</v>
      </c>
      <c r="B58" s="17" t="s">
        <v>99</v>
      </c>
      <c r="C58" s="20"/>
      <c r="D58" s="20"/>
    </row>
    <row r="59" spans="1:4">
      <c r="A59" s="29">
        <v>20602</v>
      </c>
      <c r="B59" s="17" t="s">
        <v>100</v>
      </c>
      <c r="C59" s="20"/>
      <c r="D59" s="20"/>
    </row>
    <row r="60" spans="1:4">
      <c r="A60" s="29">
        <v>20603</v>
      </c>
      <c r="B60" s="17" t="s">
        <v>101</v>
      </c>
      <c r="C60" s="20"/>
      <c r="D60" s="20"/>
    </row>
    <row r="61" spans="1:4">
      <c r="A61" s="29">
        <v>20604</v>
      </c>
      <c r="B61" s="17" t="s">
        <v>102</v>
      </c>
      <c r="C61" s="20"/>
      <c r="D61" s="20"/>
    </row>
    <row r="62" spans="1:4">
      <c r="A62" s="29">
        <v>20605</v>
      </c>
      <c r="B62" s="17" t="s">
        <v>103</v>
      </c>
      <c r="C62" s="20"/>
      <c r="D62" s="20"/>
    </row>
    <row r="63" spans="1:4">
      <c r="A63" s="29">
        <v>20606</v>
      </c>
      <c r="B63" s="17" t="s">
        <v>104</v>
      </c>
      <c r="C63" s="20"/>
      <c r="D63" s="20"/>
    </row>
    <row r="64" spans="1:4">
      <c r="A64" s="29">
        <v>20607</v>
      </c>
      <c r="B64" s="17" t="s">
        <v>105</v>
      </c>
      <c r="C64" s="20"/>
      <c r="D64" s="20"/>
    </row>
    <row r="65" spans="1:4">
      <c r="A65" s="29">
        <v>20608</v>
      </c>
      <c r="B65" s="17" t="s">
        <v>106</v>
      </c>
      <c r="C65" s="20"/>
      <c r="D65" s="20"/>
    </row>
    <row r="66" spans="1:4">
      <c r="A66" s="29">
        <v>20701</v>
      </c>
      <c r="B66" s="17" t="s">
        <v>108</v>
      </c>
      <c r="C66" s="20"/>
      <c r="D66" s="20"/>
    </row>
    <row r="67" spans="1:4">
      <c r="A67" s="29">
        <v>20702</v>
      </c>
      <c r="B67" s="17" t="s">
        <v>109</v>
      </c>
      <c r="C67" s="20"/>
      <c r="D67" s="20"/>
    </row>
    <row r="68" spans="1:4">
      <c r="A68" s="29">
        <v>20801</v>
      </c>
      <c r="B68" s="17" t="s">
        <v>111</v>
      </c>
      <c r="C68" s="20"/>
      <c r="D68" s="20"/>
    </row>
    <row r="69" spans="1:4">
      <c r="A69" s="29">
        <v>20802</v>
      </c>
      <c r="B69" s="17" t="s">
        <v>112</v>
      </c>
      <c r="C69" s="20"/>
      <c r="D69" s="20"/>
    </row>
    <row r="70" spans="1:4">
      <c r="A70" s="29">
        <v>20803</v>
      </c>
      <c r="B70" s="17" t="s">
        <v>113</v>
      </c>
      <c r="C70" s="20"/>
      <c r="D70" s="20"/>
    </row>
    <row r="71" spans="1:4">
      <c r="A71" s="29">
        <v>20804</v>
      </c>
      <c r="B71" s="17" t="s">
        <v>114</v>
      </c>
      <c r="C71" s="20"/>
      <c r="D71" s="20"/>
    </row>
    <row r="72" spans="1:4">
      <c r="A72" s="29">
        <v>20805</v>
      </c>
      <c r="B72" s="17" t="s">
        <v>115</v>
      </c>
      <c r="C72" s="20"/>
      <c r="D72" s="20"/>
    </row>
    <row r="73" spans="1:4">
      <c r="A73" s="29">
        <v>20806</v>
      </c>
      <c r="B73" s="17" t="s">
        <v>116</v>
      </c>
      <c r="C73" s="20"/>
      <c r="D73" s="20"/>
    </row>
    <row r="74" spans="1:4">
      <c r="A74" s="29">
        <v>20807</v>
      </c>
      <c r="B74" s="17" t="s">
        <v>117</v>
      </c>
      <c r="C74" s="20"/>
      <c r="D74" s="20"/>
    </row>
    <row r="75" spans="1:4">
      <c r="A75" s="29">
        <v>20901</v>
      </c>
      <c r="B75" s="17" t="s">
        <v>119</v>
      </c>
      <c r="C75" s="20"/>
      <c r="D75" s="20"/>
    </row>
    <row r="76" spans="1:4">
      <c r="A76" s="29">
        <v>20902</v>
      </c>
      <c r="B76" s="17" t="s">
        <v>120</v>
      </c>
      <c r="C76" s="20"/>
      <c r="D76" s="20"/>
    </row>
    <row r="77" spans="1:4">
      <c r="A77" s="29">
        <v>20903</v>
      </c>
      <c r="B77" s="17" t="s">
        <v>121</v>
      </c>
      <c r="C77" s="20"/>
      <c r="D77" s="20"/>
    </row>
    <row r="78" spans="1:4">
      <c r="A78" s="29">
        <v>20904</v>
      </c>
      <c r="B78" s="17" t="s">
        <v>122</v>
      </c>
      <c r="C78" s="20"/>
      <c r="D78" s="20"/>
    </row>
    <row r="79" spans="1:4">
      <c r="A79" s="29">
        <v>20905</v>
      </c>
      <c r="B79" s="17" t="s">
        <v>123</v>
      </c>
      <c r="C79" s="20"/>
      <c r="D79" s="20"/>
    </row>
    <row r="80" spans="1:4">
      <c r="A80" s="29">
        <v>21001</v>
      </c>
      <c r="B80" s="17" t="s">
        <v>124</v>
      </c>
      <c r="C80" s="20"/>
      <c r="D80" s="20"/>
    </row>
    <row r="81" spans="1:4">
      <c r="A81" s="29">
        <v>21002</v>
      </c>
      <c r="B81" s="17" t="s">
        <v>125</v>
      </c>
      <c r="C81" s="20"/>
      <c r="D81" s="20"/>
    </row>
    <row r="82" spans="1:4">
      <c r="A82" s="29">
        <v>21003</v>
      </c>
      <c r="B82" s="17" t="s">
        <v>126</v>
      </c>
      <c r="C82" s="20"/>
      <c r="D82" s="20"/>
    </row>
    <row r="83" spans="1:4">
      <c r="A83" s="29">
        <v>21004</v>
      </c>
      <c r="B83" s="17" t="s">
        <v>127</v>
      </c>
      <c r="C83" s="20"/>
      <c r="D83" s="20"/>
    </row>
    <row r="84" spans="1:4">
      <c r="A84" s="29">
        <v>21005</v>
      </c>
      <c r="B84" s="17" t="s">
        <v>128</v>
      </c>
      <c r="C84" s="20"/>
      <c r="D84" s="20"/>
    </row>
    <row r="85" spans="1:4">
      <c r="A85" s="29">
        <v>21006</v>
      </c>
      <c r="B85" s="17" t="s">
        <v>129</v>
      </c>
      <c r="C85" s="20"/>
      <c r="D85" s="20"/>
    </row>
    <row r="86" spans="1:4">
      <c r="A86" s="29">
        <v>21101</v>
      </c>
      <c r="B86" s="17" t="s">
        <v>131</v>
      </c>
      <c r="C86" s="20"/>
      <c r="D86" s="20"/>
    </row>
    <row r="87" spans="1:4">
      <c r="A87" s="29">
        <v>21102</v>
      </c>
      <c r="B87" s="17" t="s">
        <v>132</v>
      </c>
      <c r="C87" s="20"/>
      <c r="D87" s="20"/>
    </row>
    <row r="88" spans="1:4">
      <c r="A88" s="29">
        <v>21103</v>
      </c>
      <c r="B88" s="17" t="s">
        <v>133</v>
      </c>
      <c r="C88" s="20"/>
      <c r="D88" s="20"/>
    </row>
    <row r="89" spans="1:4">
      <c r="A89" s="29">
        <v>21104</v>
      </c>
      <c r="B89" s="17" t="s">
        <v>134</v>
      </c>
      <c r="C89" s="20"/>
      <c r="D89" s="20"/>
    </row>
    <row r="90" spans="1:4">
      <c r="A90" s="29">
        <v>21105</v>
      </c>
      <c r="B90" s="17" t="s">
        <v>135</v>
      </c>
      <c r="C90" s="20"/>
      <c r="D90" s="20"/>
    </row>
    <row r="91" spans="1:4">
      <c r="A91" s="29">
        <v>21201</v>
      </c>
      <c r="B91" s="17" t="s">
        <v>137</v>
      </c>
      <c r="C91" s="20"/>
      <c r="D91" s="20"/>
    </row>
    <row r="92" spans="1:4">
      <c r="A92" s="29">
        <v>21202</v>
      </c>
      <c r="B92" s="17" t="s">
        <v>138</v>
      </c>
      <c r="C92" s="20"/>
      <c r="D92" s="20"/>
    </row>
    <row r="93" spans="1:4">
      <c r="A93" s="29">
        <v>21203</v>
      </c>
      <c r="B93" s="17" t="s">
        <v>139</v>
      </c>
      <c r="C93" s="20"/>
      <c r="D93" s="20"/>
    </row>
    <row r="94" spans="1:4">
      <c r="A94" s="29">
        <v>21204</v>
      </c>
      <c r="B94" s="17" t="s">
        <v>140</v>
      </c>
      <c r="C94" s="20"/>
      <c r="D94" s="20"/>
    </row>
    <row r="95" spans="1:4">
      <c r="A95" s="29">
        <v>21301</v>
      </c>
      <c r="B95" s="17" t="s">
        <v>142</v>
      </c>
      <c r="C95" s="20"/>
      <c r="D95" s="20"/>
    </row>
    <row r="96" spans="1:4">
      <c r="A96" s="29">
        <v>21302</v>
      </c>
      <c r="B96" s="17" t="s">
        <v>143</v>
      </c>
      <c r="C96" s="20"/>
      <c r="D96" s="20"/>
    </row>
    <row r="97" spans="1:4">
      <c r="A97" s="29">
        <v>21303</v>
      </c>
      <c r="B97" s="17" t="s">
        <v>144</v>
      </c>
      <c r="C97" s="20"/>
      <c r="D97" s="20"/>
    </row>
    <row r="98" spans="1:4">
      <c r="A98" s="29">
        <v>21304</v>
      </c>
      <c r="B98" s="17" t="s">
        <v>145</v>
      </c>
      <c r="C98" s="20"/>
      <c r="D98" s="20"/>
    </row>
    <row r="99" spans="1:4">
      <c r="A99" s="29">
        <v>21305</v>
      </c>
      <c r="B99" s="17" t="s">
        <v>146</v>
      </c>
      <c r="C99" s="20"/>
      <c r="D99" s="20"/>
    </row>
    <row r="100" spans="1:4">
      <c r="A100" s="29">
        <v>21306</v>
      </c>
      <c r="B100" s="17" t="s">
        <v>147</v>
      </c>
      <c r="C100" s="20"/>
      <c r="D100" s="20"/>
    </row>
    <row r="101" spans="1:4">
      <c r="A101" s="29">
        <v>21307</v>
      </c>
      <c r="B101" s="17" t="s">
        <v>148</v>
      </c>
      <c r="C101" s="20"/>
      <c r="D101" s="20"/>
    </row>
    <row r="102" spans="1:4">
      <c r="A102" s="29">
        <v>21401</v>
      </c>
      <c r="B102" s="17" t="s">
        <v>150</v>
      </c>
      <c r="C102" s="20"/>
      <c r="D102" s="20"/>
    </row>
    <row r="103" spans="1:4">
      <c r="A103" s="29">
        <v>21402</v>
      </c>
      <c r="B103" s="17" t="s">
        <v>151</v>
      </c>
      <c r="C103" s="20"/>
      <c r="D103" s="20"/>
    </row>
    <row r="104" spans="1:4">
      <c r="A104" s="29">
        <v>21501</v>
      </c>
      <c r="B104" s="17" t="s">
        <v>153</v>
      </c>
      <c r="C104" s="20"/>
      <c r="D104" s="20"/>
    </row>
    <row r="105" spans="1:4">
      <c r="A105" s="29">
        <v>21502</v>
      </c>
      <c r="B105" s="17" t="s">
        <v>154</v>
      </c>
      <c r="C105" s="20"/>
      <c r="D105" s="20"/>
    </row>
    <row r="106" spans="1:4">
      <c r="A106" s="29">
        <v>21601</v>
      </c>
      <c r="B106" s="17" t="s">
        <v>156</v>
      </c>
      <c r="C106" s="20"/>
      <c r="D106" s="20"/>
    </row>
    <row r="107" spans="1:4">
      <c r="A107" s="29">
        <v>21602</v>
      </c>
      <c r="B107" s="17" t="s">
        <v>157</v>
      </c>
      <c r="C107" s="20"/>
      <c r="D107" s="20"/>
    </row>
    <row r="108" spans="1:4">
      <c r="A108" s="29">
        <v>21701</v>
      </c>
      <c r="B108" s="17" t="s">
        <v>159</v>
      </c>
      <c r="C108" s="20"/>
      <c r="D108" s="20"/>
    </row>
    <row r="109" spans="1:4">
      <c r="A109" s="29">
        <v>21702</v>
      </c>
      <c r="B109" s="17" t="s">
        <v>160</v>
      </c>
      <c r="C109" s="20"/>
      <c r="D109" s="20"/>
    </row>
    <row r="110" spans="1:4">
      <c r="A110" s="29">
        <v>21703</v>
      </c>
      <c r="B110" s="17" t="s">
        <v>161</v>
      </c>
      <c r="C110" s="20"/>
      <c r="D110" s="20"/>
    </row>
    <row r="111" spans="1:4">
      <c r="A111" s="29">
        <v>21801</v>
      </c>
      <c r="B111" s="17" t="s">
        <v>163</v>
      </c>
      <c r="C111" s="20"/>
      <c r="D111" s="20"/>
    </row>
    <row r="112" spans="1:4">
      <c r="A112" s="29">
        <v>21802</v>
      </c>
      <c r="B112" s="17" t="s">
        <v>165</v>
      </c>
      <c r="C112" s="20"/>
      <c r="D112" s="20"/>
    </row>
    <row r="113" spans="1:4">
      <c r="A113" s="29">
        <v>21803</v>
      </c>
      <c r="B113" s="17" t="s">
        <v>166</v>
      </c>
      <c r="C113" s="20"/>
      <c r="D113" s="20"/>
    </row>
    <row r="114" spans="1:4">
      <c r="A114" s="29">
        <v>21901</v>
      </c>
      <c r="B114" s="17" t="s">
        <v>168</v>
      </c>
      <c r="C114" s="20"/>
      <c r="D114" s="20"/>
    </row>
    <row r="115" spans="1:4">
      <c r="A115" s="29">
        <v>21902</v>
      </c>
      <c r="B115" s="17" t="s">
        <v>169</v>
      </c>
      <c r="C115" s="20"/>
      <c r="D115" s="20"/>
    </row>
    <row r="116" spans="1:4">
      <c r="A116" s="29">
        <v>22001</v>
      </c>
      <c r="B116" s="17" t="s">
        <v>170</v>
      </c>
      <c r="C116" s="20"/>
      <c r="D116" s="20"/>
    </row>
    <row r="117" spans="1:4">
      <c r="A117" s="29">
        <v>22002</v>
      </c>
      <c r="B117" s="17" t="s">
        <v>171</v>
      </c>
      <c r="C117" s="20"/>
      <c r="D117" s="20"/>
    </row>
    <row r="118" spans="1:4">
      <c r="A118" s="29">
        <v>30101</v>
      </c>
      <c r="B118" s="17" t="s">
        <v>22</v>
      </c>
      <c r="C118" s="20"/>
      <c r="D118" s="20"/>
    </row>
    <row r="119" spans="1:4">
      <c r="A119" s="29">
        <v>30201</v>
      </c>
      <c r="B119" s="17" t="s">
        <v>174</v>
      </c>
      <c r="C119" s="20"/>
      <c r="D119" s="20"/>
    </row>
    <row r="120" spans="1:4">
      <c r="A120" s="29">
        <v>30202</v>
      </c>
      <c r="B120" s="17" t="s">
        <v>175</v>
      </c>
      <c r="C120" s="20"/>
      <c r="D120" s="20"/>
    </row>
    <row r="121" spans="1:4">
      <c r="A121" s="29">
        <v>30203</v>
      </c>
      <c r="B121" s="17" t="s">
        <v>176</v>
      </c>
      <c r="C121" s="20"/>
      <c r="D121" s="20"/>
    </row>
    <row r="122" spans="1:4">
      <c r="A122" s="29">
        <v>30301</v>
      </c>
      <c r="B122" s="17" t="s">
        <v>178</v>
      </c>
      <c r="C122" s="20"/>
      <c r="D122" s="20"/>
    </row>
    <row r="123" spans="1:4">
      <c r="A123" s="29">
        <v>30302</v>
      </c>
      <c r="B123" s="17" t="s">
        <v>179</v>
      </c>
      <c r="C123" s="20"/>
      <c r="D123" s="20"/>
    </row>
    <row r="124" spans="1:4">
      <c r="A124" s="29">
        <v>30303</v>
      </c>
      <c r="B124" s="17" t="s">
        <v>180</v>
      </c>
      <c r="C124" s="20"/>
      <c r="D124" s="20"/>
    </row>
    <row r="125" spans="1:4">
      <c r="A125" s="29">
        <v>30401</v>
      </c>
      <c r="B125" s="17" t="s">
        <v>182</v>
      </c>
      <c r="C125" s="20"/>
      <c r="D125" s="20"/>
    </row>
    <row r="126" spans="1:4">
      <c r="A126" s="29">
        <v>30402</v>
      </c>
      <c r="B126" s="17" t="s">
        <v>183</v>
      </c>
      <c r="C126" s="20"/>
      <c r="D126" s="20"/>
    </row>
    <row r="127" spans="1:4">
      <c r="A127" s="29">
        <v>30403</v>
      </c>
      <c r="B127" s="17" t="s">
        <v>184</v>
      </c>
      <c r="C127" s="20"/>
      <c r="D127" s="20"/>
    </row>
    <row r="128" spans="1:4">
      <c r="A128" s="29">
        <v>30404</v>
      </c>
      <c r="B128" s="17" t="s">
        <v>185</v>
      </c>
      <c r="C128" s="20"/>
      <c r="D128" s="20"/>
    </row>
    <row r="129" spans="1:4">
      <c r="A129" s="29">
        <v>30501</v>
      </c>
      <c r="B129" s="17" t="s">
        <v>186</v>
      </c>
      <c r="C129" s="20"/>
      <c r="D129" s="20"/>
    </row>
    <row r="130" spans="1:4">
      <c r="A130" s="29">
        <v>30502</v>
      </c>
      <c r="B130" s="17" t="s">
        <v>187</v>
      </c>
      <c r="C130" s="20"/>
      <c r="D130" s="20"/>
    </row>
    <row r="131" spans="1:4">
      <c r="A131" s="29">
        <v>30601</v>
      </c>
      <c r="B131" s="17" t="s">
        <v>188</v>
      </c>
      <c r="C131" s="20"/>
      <c r="D131" s="20"/>
    </row>
    <row r="132" spans="1:4">
      <c r="A132" s="29">
        <v>30602</v>
      </c>
      <c r="B132" s="17" t="s">
        <v>189</v>
      </c>
      <c r="C132" s="20"/>
      <c r="D132" s="20"/>
    </row>
    <row r="133" spans="1:4">
      <c r="A133" s="29">
        <v>30701</v>
      </c>
      <c r="B133" s="17" t="s">
        <v>190</v>
      </c>
      <c r="C133" s="20"/>
      <c r="D133" s="20"/>
    </row>
    <row r="134" spans="1:4">
      <c r="A134" s="29">
        <v>30702</v>
      </c>
      <c r="B134" s="17" t="s">
        <v>191</v>
      </c>
      <c r="C134" s="20"/>
      <c r="D134" s="20"/>
    </row>
    <row r="135" spans="1:4">
      <c r="A135" s="29">
        <v>30703</v>
      </c>
      <c r="B135" s="17" t="s">
        <v>192</v>
      </c>
      <c r="C135" s="20"/>
      <c r="D135" s="20"/>
    </row>
    <row r="136" spans="1:4">
      <c r="A136" s="29">
        <v>30801</v>
      </c>
      <c r="B136" s="17" t="s">
        <v>194</v>
      </c>
      <c r="C136" s="20"/>
      <c r="D136" s="20"/>
    </row>
    <row r="137" spans="1:4">
      <c r="A137" s="29">
        <v>30802</v>
      </c>
      <c r="B137" s="17" t="s">
        <v>195</v>
      </c>
      <c r="C137" s="20"/>
      <c r="D137" s="20"/>
    </row>
    <row r="138" spans="1:4">
      <c r="A138" s="29">
        <v>30803</v>
      </c>
      <c r="B138" s="17" t="s">
        <v>196</v>
      </c>
      <c r="C138" s="20"/>
      <c r="D138" s="20"/>
    </row>
    <row r="139" spans="1:4">
      <c r="A139" s="29">
        <v>30901</v>
      </c>
      <c r="B139" s="17" t="s">
        <v>197</v>
      </c>
      <c r="C139" s="20"/>
      <c r="D139" s="20"/>
    </row>
    <row r="140" spans="1:4">
      <c r="A140" s="29">
        <v>30902</v>
      </c>
      <c r="B140" s="17" t="s">
        <v>198</v>
      </c>
      <c r="C140" s="20"/>
      <c r="D140" s="20"/>
    </row>
    <row r="141" spans="1:4">
      <c r="A141" s="29">
        <v>30903</v>
      </c>
      <c r="B141" s="17" t="s">
        <v>199</v>
      </c>
      <c r="C141" s="20"/>
      <c r="D141" s="20"/>
    </row>
    <row r="142" spans="1:4">
      <c r="A142" s="29">
        <v>30904</v>
      </c>
      <c r="B142" s="17" t="s">
        <v>200</v>
      </c>
      <c r="C142" s="20"/>
      <c r="D142" s="20"/>
    </row>
    <row r="143" spans="1:4">
      <c r="A143" s="29">
        <v>30905</v>
      </c>
      <c r="B143" s="17" t="s">
        <v>201</v>
      </c>
      <c r="C143" s="20"/>
      <c r="D143" s="20"/>
    </row>
    <row r="144" spans="1:4">
      <c r="A144" s="29">
        <v>31001</v>
      </c>
      <c r="B144" s="17" t="s">
        <v>203</v>
      </c>
      <c r="C144" s="20"/>
      <c r="D144" s="20"/>
    </row>
    <row r="145" spans="1:4">
      <c r="A145" s="29">
        <v>31002</v>
      </c>
      <c r="B145" s="17" t="s">
        <v>204</v>
      </c>
      <c r="C145" s="20"/>
      <c r="D145" s="20"/>
    </row>
    <row r="146" spans="1:4">
      <c r="A146" s="29">
        <v>31003</v>
      </c>
      <c r="B146" s="17" t="s">
        <v>205</v>
      </c>
      <c r="C146" s="20"/>
      <c r="D146" s="20"/>
    </row>
    <row r="147" spans="1:4">
      <c r="A147" s="29">
        <v>31101</v>
      </c>
      <c r="B147" s="17" t="s">
        <v>206</v>
      </c>
      <c r="C147" s="20"/>
      <c r="D147" s="20"/>
    </row>
    <row r="148" spans="1:4">
      <c r="A148" s="29">
        <v>31201</v>
      </c>
      <c r="B148" s="17" t="s">
        <v>208</v>
      </c>
      <c r="C148" s="20"/>
      <c r="D148" s="20"/>
    </row>
    <row r="149" spans="1:4">
      <c r="A149" s="29">
        <v>31202</v>
      </c>
      <c r="B149" s="17" t="s">
        <v>209</v>
      </c>
      <c r="C149" s="20"/>
      <c r="D149" s="20"/>
    </row>
    <row r="150" spans="1:4">
      <c r="A150" s="29">
        <v>31203</v>
      </c>
      <c r="B150" s="17" t="s">
        <v>210</v>
      </c>
      <c r="C150" s="20"/>
      <c r="D150" s="20"/>
    </row>
    <row r="151" spans="1:4">
      <c r="A151" s="29">
        <v>31204</v>
      </c>
      <c r="B151" s="17" t="s">
        <v>211</v>
      </c>
      <c r="C151" s="20"/>
      <c r="D151" s="20"/>
    </row>
    <row r="152" spans="1:4">
      <c r="A152" s="29">
        <v>31205</v>
      </c>
      <c r="B152" s="17" t="s">
        <v>212</v>
      </c>
      <c r="C152" s="20"/>
      <c r="D152" s="20"/>
    </row>
    <row r="153" spans="1:4">
      <c r="A153" s="29">
        <v>31206</v>
      </c>
      <c r="B153" s="17" t="s">
        <v>213</v>
      </c>
      <c r="C153" s="20"/>
      <c r="D153" s="20"/>
    </row>
    <row r="154" spans="1:4">
      <c r="A154" s="29">
        <v>31301</v>
      </c>
      <c r="B154" s="17" t="s">
        <v>214</v>
      </c>
      <c r="C154" s="20"/>
      <c r="D154" s="20"/>
    </row>
    <row r="155" spans="1:4">
      <c r="A155" s="29">
        <v>31302</v>
      </c>
      <c r="B155" s="17" t="s">
        <v>215</v>
      </c>
      <c r="C155" s="20"/>
      <c r="D155" s="20"/>
    </row>
    <row r="156" spans="1:4">
      <c r="A156" s="29">
        <v>31303</v>
      </c>
      <c r="B156" s="17" t="s">
        <v>216</v>
      </c>
      <c r="C156" s="20"/>
      <c r="D156" s="20"/>
    </row>
    <row r="157" spans="1:4">
      <c r="A157" s="29">
        <v>31304</v>
      </c>
      <c r="B157" s="17" t="s">
        <v>217</v>
      </c>
      <c r="C157" s="20"/>
      <c r="D157" s="20"/>
    </row>
    <row r="158" spans="1:4">
      <c r="A158" s="29">
        <v>31401</v>
      </c>
      <c r="B158" s="17" t="s">
        <v>218</v>
      </c>
      <c r="C158" s="20"/>
      <c r="D158" s="20"/>
    </row>
    <row r="159" spans="1:4">
      <c r="A159" s="29">
        <v>31402</v>
      </c>
      <c r="B159" s="17" t="s">
        <v>219</v>
      </c>
      <c r="C159" s="20"/>
      <c r="D159" s="20"/>
    </row>
    <row r="160" spans="1:4">
      <c r="A160" s="29">
        <v>31403</v>
      </c>
      <c r="B160" s="17" t="s">
        <v>220</v>
      </c>
      <c r="C160" s="20"/>
      <c r="D160" s="20"/>
    </row>
    <row r="161" spans="1:4">
      <c r="A161" s="29">
        <v>31404</v>
      </c>
      <c r="B161" s="17" t="s">
        <v>221</v>
      </c>
      <c r="C161" s="20"/>
      <c r="D161" s="20"/>
    </row>
    <row r="162" spans="1:4">
      <c r="A162" s="29">
        <v>31405</v>
      </c>
      <c r="B162" s="17" t="s">
        <v>222</v>
      </c>
      <c r="C162" s="20"/>
      <c r="D162" s="20"/>
    </row>
    <row r="163" spans="1:4">
      <c r="A163" s="29">
        <v>31501</v>
      </c>
      <c r="B163" s="17" t="s">
        <v>223</v>
      </c>
      <c r="C163" s="20"/>
      <c r="D163" s="20"/>
    </row>
    <row r="164" spans="1:4">
      <c r="A164" s="29">
        <v>31601</v>
      </c>
      <c r="B164" s="17" t="s">
        <v>224</v>
      </c>
      <c r="C164" s="20"/>
      <c r="D164" s="20"/>
    </row>
    <row r="165" spans="1:4">
      <c r="A165" s="29">
        <v>31602</v>
      </c>
      <c r="B165" s="17" t="s">
        <v>225</v>
      </c>
      <c r="C165" s="20"/>
      <c r="D165" s="20"/>
    </row>
    <row r="166" spans="1:4">
      <c r="A166" s="29">
        <v>40101</v>
      </c>
      <c r="B166" s="17" t="s">
        <v>25</v>
      </c>
      <c r="C166" s="20"/>
      <c r="D166" s="20"/>
    </row>
    <row r="167" spans="1:4">
      <c r="A167" s="29">
        <v>40102</v>
      </c>
      <c r="B167" s="17" t="s">
        <v>226</v>
      </c>
      <c r="C167" s="20"/>
      <c r="D167" s="20"/>
    </row>
    <row r="168" spans="1:4">
      <c r="A168" s="29">
        <v>40103</v>
      </c>
      <c r="B168" s="17" t="s">
        <v>227</v>
      </c>
      <c r="C168" s="20"/>
      <c r="D168" s="20"/>
    </row>
    <row r="169" spans="1:4">
      <c r="A169" s="29">
        <v>40104</v>
      </c>
      <c r="B169" s="17" t="s">
        <v>228</v>
      </c>
      <c r="C169" s="20"/>
      <c r="D169" s="20"/>
    </row>
    <row r="170" spans="1:4">
      <c r="A170" s="29">
        <v>40201</v>
      </c>
      <c r="B170" s="17" t="s">
        <v>230</v>
      </c>
      <c r="C170" s="20"/>
      <c r="D170" s="20"/>
    </row>
    <row r="171" spans="1:4">
      <c r="A171" s="29">
        <v>40202</v>
      </c>
      <c r="B171" s="17" t="s">
        <v>231</v>
      </c>
      <c r="C171" s="20"/>
      <c r="D171" s="20"/>
    </row>
    <row r="172" spans="1:4">
      <c r="A172" s="29">
        <v>40301</v>
      </c>
      <c r="B172" s="17" t="s">
        <v>233</v>
      </c>
      <c r="C172" s="20"/>
      <c r="D172" s="20"/>
    </row>
    <row r="173" spans="1:4">
      <c r="A173" s="29">
        <v>40302</v>
      </c>
      <c r="B173" s="17" t="s">
        <v>234</v>
      </c>
      <c r="C173" s="20"/>
      <c r="D173" s="20"/>
    </row>
    <row r="174" spans="1:4">
      <c r="A174" s="29">
        <v>40401</v>
      </c>
      <c r="B174" s="17" t="s">
        <v>236</v>
      </c>
      <c r="C174" s="20"/>
      <c r="D174" s="20"/>
    </row>
    <row r="175" spans="1:4">
      <c r="A175" s="29">
        <v>40402</v>
      </c>
      <c r="B175" s="17" t="s">
        <v>237</v>
      </c>
      <c r="C175" s="20"/>
      <c r="D175" s="20"/>
    </row>
    <row r="176" spans="1:4">
      <c r="A176" s="29">
        <v>40501</v>
      </c>
      <c r="B176" s="17" t="s">
        <v>239</v>
      </c>
      <c r="C176" s="20"/>
      <c r="D176" s="20"/>
    </row>
    <row r="177" spans="1:4">
      <c r="A177" s="29">
        <v>40502</v>
      </c>
      <c r="B177" s="17" t="s">
        <v>240</v>
      </c>
      <c r="C177" s="20"/>
      <c r="D177" s="20"/>
    </row>
    <row r="178" spans="1:4">
      <c r="A178" s="29">
        <v>40503</v>
      </c>
      <c r="B178" s="17" t="s">
        <v>241</v>
      </c>
      <c r="C178" s="20"/>
      <c r="D178" s="20"/>
    </row>
    <row r="179" spans="1:4">
      <c r="A179" s="29">
        <v>40504</v>
      </c>
      <c r="B179" s="17" t="s">
        <v>242</v>
      </c>
      <c r="C179" s="20"/>
      <c r="D179" s="20"/>
    </row>
    <row r="180" spans="1:4">
      <c r="A180" s="29">
        <v>40505</v>
      </c>
      <c r="B180" s="17" t="s">
        <v>243</v>
      </c>
      <c r="C180" s="20"/>
      <c r="D180" s="20"/>
    </row>
    <row r="181" spans="1:4">
      <c r="A181" s="29">
        <v>40601</v>
      </c>
      <c r="B181" s="17" t="s">
        <v>244</v>
      </c>
      <c r="C181" s="20"/>
      <c r="D181" s="20"/>
    </row>
    <row r="182" spans="1:4">
      <c r="A182" s="29">
        <v>40602</v>
      </c>
      <c r="B182" s="17" t="s">
        <v>245</v>
      </c>
      <c r="C182" s="20"/>
      <c r="D182" s="20"/>
    </row>
    <row r="183" spans="1:4">
      <c r="A183" s="29">
        <v>40603</v>
      </c>
      <c r="B183" s="17" t="s">
        <v>246</v>
      </c>
      <c r="C183" s="20"/>
      <c r="D183" s="20"/>
    </row>
    <row r="184" spans="1:4">
      <c r="A184" s="29">
        <v>40701</v>
      </c>
      <c r="B184" s="17" t="s">
        <v>248</v>
      </c>
      <c r="C184" s="20"/>
      <c r="D184" s="20"/>
    </row>
    <row r="185" spans="1:4">
      <c r="A185" s="29">
        <v>40702</v>
      </c>
      <c r="B185" s="17" t="s">
        <v>249</v>
      </c>
      <c r="C185" s="20"/>
      <c r="D185" s="20"/>
    </row>
    <row r="186" spans="1:4">
      <c r="A186" s="29">
        <v>40801</v>
      </c>
      <c r="B186" s="17" t="s">
        <v>251</v>
      </c>
      <c r="C186" s="20"/>
      <c r="D186" s="20"/>
    </row>
    <row r="187" spans="1:4">
      <c r="A187" s="29">
        <v>40802</v>
      </c>
      <c r="B187" s="17" t="s">
        <v>252</v>
      </c>
      <c r="C187" s="20"/>
      <c r="D187" s="20"/>
    </row>
    <row r="188" spans="1:4">
      <c r="A188" s="29">
        <v>40901</v>
      </c>
      <c r="B188" s="17" t="s">
        <v>253</v>
      </c>
      <c r="C188" s="20"/>
      <c r="D188" s="20"/>
    </row>
    <row r="189" spans="1:4">
      <c r="A189" s="29">
        <v>40902</v>
      </c>
      <c r="B189" s="17" t="s">
        <v>254</v>
      </c>
      <c r="C189" s="20"/>
      <c r="D189" s="20"/>
    </row>
    <row r="190" spans="1:4">
      <c r="A190" s="29">
        <v>40903</v>
      </c>
      <c r="B190" s="17" t="s">
        <v>255</v>
      </c>
      <c r="C190" s="20"/>
      <c r="D190" s="20"/>
    </row>
    <row r="191" spans="1:4">
      <c r="A191" s="29">
        <v>41001</v>
      </c>
      <c r="B191" s="17" t="s">
        <v>257</v>
      </c>
      <c r="C191" s="20"/>
      <c r="D191" s="20"/>
    </row>
    <row r="192" spans="1:4">
      <c r="A192" s="29">
        <v>41101</v>
      </c>
      <c r="B192" s="17" t="s">
        <v>259</v>
      </c>
      <c r="C192" s="20"/>
      <c r="D192" s="20"/>
    </row>
    <row r="193" spans="1:4">
      <c r="A193" s="29">
        <v>41201</v>
      </c>
      <c r="B193" s="17" t="s">
        <v>261</v>
      </c>
      <c r="C193" s="20"/>
      <c r="D193" s="20"/>
    </row>
    <row r="194" spans="1:4">
      <c r="A194" s="29">
        <v>41202</v>
      </c>
      <c r="B194" s="17" t="s">
        <v>262</v>
      </c>
      <c r="C194" s="20"/>
      <c r="D194" s="20"/>
    </row>
    <row r="195" spans="1:4">
      <c r="A195" s="29">
        <v>41301</v>
      </c>
      <c r="B195" s="17" t="s">
        <v>263</v>
      </c>
      <c r="C195" s="20"/>
      <c r="D195" s="20"/>
    </row>
    <row r="196" spans="1:4">
      <c r="A196" s="29">
        <v>41401</v>
      </c>
      <c r="B196" s="17" t="s">
        <v>265</v>
      </c>
      <c r="C196" s="20"/>
      <c r="D196" s="20"/>
    </row>
    <row r="197" spans="1:4">
      <c r="A197" s="29">
        <v>41501</v>
      </c>
      <c r="B197" s="17" t="s">
        <v>267</v>
      </c>
      <c r="C197" s="20"/>
      <c r="D197" s="20"/>
    </row>
    <row r="198" spans="1:4">
      <c r="A198" s="29">
        <v>41502</v>
      </c>
      <c r="B198" s="17" t="s">
        <v>268</v>
      </c>
      <c r="C198" s="20"/>
      <c r="D198" s="20"/>
    </row>
    <row r="199" spans="1:4">
      <c r="A199" s="29">
        <v>41503</v>
      </c>
      <c r="B199" s="17" t="s">
        <v>232</v>
      </c>
      <c r="C199" s="20"/>
      <c r="D199" s="20"/>
    </row>
    <row r="200" spans="1:4">
      <c r="A200" s="29">
        <v>41601</v>
      </c>
      <c r="B200" s="17" t="s">
        <v>270</v>
      </c>
      <c r="C200" s="20"/>
      <c r="D200" s="20"/>
    </row>
    <row r="201" spans="1:4">
      <c r="A201" s="29">
        <v>50101</v>
      </c>
      <c r="B201" s="17" t="s">
        <v>27</v>
      </c>
      <c r="C201" s="20"/>
      <c r="D201" s="20"/>
    </row>
    <row r="202" spans="1:4">
      <c r="A202" s="29">
        <v>50102</v>
      </c>
      <c r="B202" s="17" t="s">
        <v>272</v>
      </c>
      <c r="C202" s="20"/>
      <c r="D202" s="20"/>
    </row>
    <row r="203" spans="1:4">
      <c r="A203" s="29">
        <v>50103</v>
      </c>
      <c r="B203" s="17" t="s">
        <v>273</v>
      </c>
      <c r="C203" s="20"/>
      <c r="D203" s="20"/>
    </row>
    <row r="204" spans="1:4">
      <c r="A204" s="29">
        <v>50104</v>
      </c>
      <c r="B204" s="17" t="s">
        <v>274</v>
      </c>
      <c r="C204" s="20"/>
      <c r="D204" s="20"/>
    </row>
    <row r="205" spans="1:4">
      <c r="A205" s="29">
        <v>50201</v>
      </c>
      <c r="B205" s="17" t="s">
        <v>276</v>
      </c>
      <c r="C205" s="20"/>
      <c r="D205" s="20"/>
    </row>
    <row r="206" spans="1:4">
      <c r="A206" s="29">
        <v>50202</v>
      </c>
      <c r="B206" s="17" t="s">
        <v>277</v>
      </c>
      <c r="C206" s="20"/>
      <c r="D206" s="20"/>
    </row>
    <row r="207" spans="1:4">
      <c r="A207" s="29">
        <v>50203</v>
      </c>
      <c r="B207" s="17" t="s">
        <v>278</v>
      </c>
      <c r="C207" s="20"/>
      <c r="D207" s="20"/>
    </row>
    <row r="208" spans="1:4">
      <c r="A208" s="29">
        <v>50204</v>
      </c>
      <c r="B208" s="17" t="s">
        <v>279</v>
      </c>
      <c r="C208" s="20"/>
      <c r="D208" s="20"/>
    </row>
    <row r="209" spans="1:4">
      <c r="A209" s="29">
        <v>50301</v>
      </c>
      <c r="B209" s="17" t="s">
        <v>281</v>
      </c>
      <c r="C209" s="20"/>
      <c r="D209" s="20"/>
    </row>
    <row r="210" spans="1:4">
      <c r="A210" s="29">
        <v>50302</v>
      </c>
      <c r="B210" s="17" t="s">
        <v>282</v>
      </c>
      <c r="C210" s="20"/>
      <c r="D210" s="20"/>
    </row>
    <row r="211" spans="1:4">
      <c r="A211" s="29">
        <v>50303</v>
      </c>
      <c r="B211" s="17" t="s">
        <v>283</v>
      </c>
      <c r="C211" s="20"/>
      <c r="D211" s="20"/>
    </row>
    <row r="212" spans="1:4">
      <c r="A212" s="29">
        <v>50401</v>
      </c>
      <c r="B212" s="17" t="s">
        <v>284</v>
      </c>
      <c r="C212" s="20"/>
      <c r="D212" s="20"/>
    </row>
    <row r="213" spans="1:4">
      <c r="A213" s="29">
        <v>50402</v>
      </c>
      <c r="B213" s="17" t="s">
        <v>285</v>
      </c>
      <c r="C213" s="20"/>
      <c r="D213" s="20"/>
    </row>
    <row r="214" spans="1:4">
      <c r="A214" s="29">
        <v>50403</v>
      </c>
      <c r="B214" s="17" t="s">
        <v>286</v>
      </c>
      <c r="C214" s="20"/>
      <c r="D214" s="20"/>
    </row>
    <row r="215" spans="1:4">
      <c r="A215" s="29">
        <v>50404</v>
      </c>
      <c r="B215" s="17" t="s">
        <v>287</v>
      </c>
      <c r="C215" s="20"/>
      <c r="D215" s="20"/>
    </row>
    <row r="216" spans="1:4">
      <c r="A216" s="29">
        <v>50405</v>
      </c>
      <c r="B216" s="17" t="s">
        <v>288</v>
      </c>
      <c r="C216" s="20"/>
      <c r="D216" s="20"/>
    </row>
    <row r="217" spans="1:4">
      <c r="A217" s="29">
        <v>50501</v>
      </c>
      <c r="B217" s="17" t="s">
        <v>290</v>
      </c>
      <c r="C217" s="20"/>
      <c r="D217" s="20"/>
    </row>
    <row r="218" spans="1:4">
      <c r="A218" s="29">
        <v>50502</v>
      </c>
      <c r="B218" s="17" t="s">
        <v>291</v>
      </c>
      <c r="C218" s="20"/>
      <c r="D218" s="20"/>
    </row>
    <row r="219" spans="1:4">
      <c r="A219" s="29">
        <v>50601</v>
      </c>
      <c r="B219" s="17" t="s">
        <v>293</v>
      </c>
      <c r="C219" s="20"/>
      <c r="D219" s="20"/>
    </row>
    <row r="220" spans="1:4">
      <c r="A220" s="29">
        <v>50602</v>
      </c>
      <c r="B220" s="17" t="s">
        <v>294</v>
      </c>
      <c r="C220" s="20"/>
      <c r="D220" s="20"/>
    </row>
    <row r="221" spans="1:4">
      <c r="A221" s="29">
        <v>50701</v>
      </c>
      <c r="B221" s="17" t="s">
        <v>296</v>
      </c>
      <c r="C221" s="20"/>
      <c r="D221" s="20"/>
    </row>
    <row r="222" spans="1:4">
      <c r="A222" s="29">
        <v>50702</v>
      </c>
      <c r="B222" s="17" t="s">
        <v>297</v>
      </c>
      <c r="C222" s="20"/>
      <c r="D222" s="20"/>
    </row>
    <row r="223" spans="1:4">
      <c r="A223" s="29">
        <v>50801</v>
      </c>
      <c r="B223" s="17" t="s">
        <v>299</v>
      </c>
      <c r="C223" s="20"/>
      <c r="D223" s="20"/>
    </row>
    <row r="224" spans="1:4">
      <c r="A224" s="29">
        <v>50802</v>
      </c>
      <c r="B224" s="17" t="s">
        <v>300</v>
      </c>
      <c r="C224" s="20"/>
      <c r="D224" s="20"/>
    </row>
    <row r="225" spans="1:4">
      <c r="A225" s="29">
        <v>50901</v>
      </c>
      <c r="B225" s="17" t="s">
        <v>302</v>
      </c>
      <c r="C225" s="20"/>
      <c r="D225" s="20"/>
    </row>
    <row r="226" spans="1:4">
      <c r="A226" s="29">
        <v>50902</v>
      </c>
      <c r="B226" s="17" t="s">
        <v>303</v>
      </c>
      <c r="C226" s="20"/>
      <c r="D226" s="20"/>
    </row>
    <row r="227" spans="1:4">
      <c r="A227" s="29">
        <v>51001</v>
      </c>
      <c r="B227" s="17" t="s">
        <v>305</v>
      </c>
      <c r="C227" s="20"/>
      <c r="D227" s="20"/>
    </row>
    <row r="228" spans="1:4">
      <c r="A228" s="29">
        <v>51002</v>
      </c>
      <c r="B228" s="17" t="s">
        <v>306</v>
      </c>
      <c r="C228" s="20"/>
      <c r="D228" s="20"/>
    </row>
    <row r="229" spans="1:4">
      <c r="A229" s="29">
        <v>51003</v>
      </c>
      <c r="B229" s="17" t="s">
        <v>307</v>
      </c>
      <c r="C229" s="20"/>
      <c r="D229" s="20"/>
    </row>
    <row r="230" spans="1:4">
      <c r="A230" s="29">
        <v>51101</v>
      </c>
      <c r="B230" s="17" t="s">
        <v>309</v>
      </c>
      <c r="C230" s="20"/>
      <c r="D230" s="20"/>
    </row>
    <row r="231" spans="1:4">
      <c r="A231" s="29">
        <v>51102</v>
      </c>
      <c r="B231" s="17" t="s">
        <v>310</v>
      </c>
      <c r="C231" s="20"/>
      <c r="D231" s="20"/>
    </row>
    <row r="232" spans="1:4">
      <c r="A232" s="29">
        <v>51103</v>
      </c>
      <c r="B232" s="17" t="s">
        <v>311</v>
      </c>
      <c r="C232" s="20"/>
      <c r="D232" s="20"/>
    </row>
    <row r="233" spans="1:4">
      <c r="A233" s="29">
        <v>51201</v>
      </c>
      <c r="B233" s="17" t="s">
        <v>313</v>
      </c>
      <c r="C233" s="20"/>
      <c r="D233" s="20"/>
    </row>
    <row r="234" spans="1:4">
      <c r="A234" s="29">
        <v>51202</v>
      </c>
      <c r="B234" s="17" t="s">
        <v>314</v>
      </c>
      <c r="C234" s="20"/>
      <c r="D234" s="20"/>
    </row>
    <row r="235" spans="1:4">
      <c r="A235" s="29">
        <v>51203</v>
      </c>
      <c r="B235" s="17" t="s">
        <v>315</v>
      </c>
      <c r="C235" s="20"/>
      <c r="D235" s="20"/>
    </row>
    <row r="236" spans="1:4">
      <c r="A236" s="29">
        <v>51204</v>
      </c>
      <c r="B236" s="17" t="s">
        <v>316</v>
      </c>
      <c r="C236" s="20"/>
      <c r="D236" s="20"/>
    </row>
    <row r="237" spans="1:4">
      <c r="A237" s="29">
        <v>51301</v>
      </c>
      <c r="B237" s="17" t="s">
        <v>318</v>
      </c>
      <c r="C237" s="20"/>
      <c r="D237" s="20"/>
    </row>
    <row r="238" spans="1:4">
      <c r="A238" s="29">
        <v>51302</v>
      </c>
      <c r="B238" s="17" t="s">
        <v>319</v>
      </c>
      <c r="C238" s="20"/>
      <c r="D238" s="20"/>
    </row>
    <row r="239" spans="1:4">
      <c r="A239" s="29">
        <v>51401</v>
      </c>
      <c r="B239" s="17" t="s">
        <v>321</v>
      </c>
      <c r="C239" s="20"/>
      <c r="D239" s="20"/>
    </row>
    <row r="240" spans="1:4">
      <c r="A240" s="29">
        <v>51402</v>
      </c>
      <c r="B240" s="17" t="s">
        <v>322</v>
      </c>
      <c r="C240" s="20"/>
      <c r="D240" s="20"/>
    </row>
    <row r="241" spans="1:4">
      <c r="A241" s="29">
        <v>51501</v>
      </c>
      <c r="B241" s="17" t="s">
        <v>324</v>
      </c>
      <c r="C241" s="20"/>
      <c r="D241" s="20"/>
    </row>
    <row r="242" spans="1:4">
      <c r="A242" s="29">
        <v>51601</v>
      </c>
      <c r="B242" s="17" t="s">
        <v>326</v>
      </c>
      <c r="C242" s="20"/>
      <c r="D242" s="20"/>
    </row>
    <row r="243" spans="1:4">
      <c r="A243" s="29">
        <v>60101</v>
      </c>
      <c r="B243" s="17" t="s">
        <v>30</v>
      </c>
      <c r="C243" s="20"/>
      <c r="D243" s="20"/>
    </row>
    <row r="244" spans="1:4">
      <c r="A244" s="29">
        <v>60201</v>
      </c>
      <c r="B244" s="17" t="s">
        <v>328</v>
      </c>
      <c r="C244" s="20"/>
      <c r="D244" s="20"/>
    </row>
    <row r="245" spans="1:4">
      <c r="A245" s="29">
        <v>60202</v>
      </c>
      <c r="B245" s="17" t="s">
        <v>329</v>
      </c>
      <c r="C245" s="20"/>
      <c r="D245" s="20"/>
    </row>
    <row r="246" spans="1:4">
      <c r="A246" s="29">
        <v>60301</v>
      </c>
      <c r="B246" s="17" t="s">
        <v>330</v>
      </c>
      <c r="C246" s="20"/>
      <c r="D246" s="20"/>
    </row>
    <row r="247" spans="1:4">
      <c r="A247" s="29">
        <v>60302</v>
      </c>
      <c r="B247" s="17" t="s">
        <v>331</v>
      </c>
      <c r="C247" s="20"/>
      <c r="D247" s="20"/>
    </row>
    <row r="248" spans="1:4">
      <c r="A248" s="29">
        <v>60303</v>
      </c>
      <c r="B248" s="17" t="s">
        <v>332</v>
      </c>
      <c r="C248" s="20"/>
      <c r="D248" s="20"/>
    </row>
    <row r="249" spans="1:4">
      <c r="A249" s="29">
        <v>60401</v>
      </c>
      <c r="B249" s="17" t="s">
        <v>334</v>
      </c>
      <c r="C249" s="20"/>
      <c r="D249" s="20"/>
    </row>
    <row r="250" spans="1:4">
      <c r="A250" s="29">
        <v>60402</v>
      </c>
      <c r="B250" s="17" t="s">
        <v>335</v>
      </c>
      <c r="C250" s="20"/>
      <c r="D250" s="20"/>
    </row>
    <row r="251" spans="1:4">
      <c r="A251" s="29">
        <v>60501</v>
      </c>
      <c r="B251" s="17" t="s">
        <v>337</v>
      </c>
      <c r="C251" s="20"/>
      <c r="D251" s="20"/>
    </row>
    <row r="252" spans="1:4">
      <c r="A252" s="29">
        <v>60502</v>
      </c>
      <c r="B252" s="17" t="s">
        <v>338</v>
      </c>
      <c r="C252" s="20"/>
      <c r="D252" s="20"/>
    </row>
    <row r="253" spans="1:4">
      <c r="A253" s="29">
        <v>60601</v>
      </c>
      <c r="B253" s="17" t="s">
        <v>213</v>
      </c>
      <c r="C253" s="20"/>
      <c r="D253" s="20"/>
    </row>
    <row r="254" spans="1:4">
      <c r="A254" s="29">
        <v>70101</v>
      </c>
      <c r="B254" s="17" t="s">
        <v>341</v>
      </c>
      <c r="C254" s="20"/>
      <c r="D254" s="20"/>
    </row>
    <row r="255" spans="1:4">
      <c r="A255" s="29">
        <v>70102</v>
      </c>
      <c r="B255" s="17" t="s">
        <v>342</v>
      </c>
      <c r="C255" s="20"/>
      <c r="D255" s="20"/>
    </row>
    <row r="256" spans="1:4">
      <c r="A256" s="29">
        <v>70103</v>
      </c>
      <c r="B256" s="17" t="s">
        <v>343</v>
      </c>
      <c r="C256" s="20"/>
      <c r="D256" s="20"/>
    </row>
    <row r="257" spans="1:4">
      <c r="A257" s="29">
        <v>70104</v>
      </c>
      <c r="B257" s="17" t="s">
        <v>344</v>
      </c>
      <c r="C257" s="20"/>
      <c r="D257" s="20"/>
    </row>
    <row r="258" spans="1:4">
      <c r="A258" s="29">
        <v>70105</v>
      </c>
      <c r="B258" s="17" t="s">
        <v>345</v>
      </c>
      <c r="C258" s="20"/>
      <c r="D258" s="20"/>
    </row>
    <row r="259" spans="1:4">
      <c r="A259" s="29">
        <v>70201</v>
      </c>
      <c r="B259" s="17" t="s">
        <v>346</v>
      </c>
      <c r="C259" s="20"/>
      <c r="D259" s="20"/>
    </row>
    <row r="260" spans="1:4">
      <c r="A260" s="29">
        <v>70202</v>
      </c>
      <c r="B260" s="17" t="s">
        <v>347</v>
      </c>
      <c r="C260" s="20"/>
      <c r="D260" s="20"/>
    </row>
    <row r="261" spans="1:4">
      <c r="A261" s="29">
        <v>70301</v>
      </c>
      <c r="B261" s="17" t="s">
        <v>349</v>
      </c>
      <c r="C261" s="20"/>
      <c r="D261" s="20"/>
    </row>
    <row r="262" spans="1:4">
      <c r="A262" s="29">
        <v>70302</v>
      </c>
      <c r="B262" s="17" t="s">
        <v>350</v>
      </c>
      <c r="C262" s="20"/>
      <c r="D262" s="20"/>
    </row>
    <row r="263" spans="1:4">
      <c r="A263" s="29">
        <v>70303</v>
      </c>
      <c r="B263" s="17" t="s">
        <v>351</v>
      </c>
      <c r="C263" s="20"/>
      <c r="D263" s="20"/>
    </row>
    <row r="264" spans="1:4">
      <c r="A264" s="29">
        <v>70401</v>
      </c>
      <c r="B264" s="17" t="s">
        <v>353</v>
      </c>
      <c r="C264" s="20"/>
      <c r="D264" s="20"/>
    </row>
    <row r="265" spans="1:4">
      <c r="A265" s="29">
        <v>70402</v>
      </c>
      <c r="B265" s="17" t="s">
        <v>354</v>
      </c>
      <c r="C265" s="20"/>
      <c r="D265" s="20"/>
    </row>
    <row r="266" spans="1:4">
      <c r="A266" s="29">
        <v>70403</v>
      </c>
      <c r="B266" s="17" t="s">
        <v>355</v>
      </c>
      <c r="C266" s="20"/>
      <c r="D266" s="20"/>
    </row>
    <row r="267" spans="1:4">
      <c r="A267" s="29">
        <v>70404</v>
      </c>
      <c r="B267" s="17" t="s">
        <v>356</v>
      </c>
      <c r="C267" s="20"/>
      <c r="D267" s="20"/>
    </row>
    <row r="268" spans="1:4">
      <c r="A268" s="29">
        <v>70501</v>
      </c>
      <c r="B268" s="17" t="s">
        <v>358</v>
      </c>
      <c r="C268" s="20"/>
      <c r="D268" s="20"/>
    </row>
    <row r="269" spans="1:4">
      <c r="A269" s="29">
        <v>70502</v>
      </c>
      <c r="B269" s="17" t="s">
        <v>359</v>
      </c>
      <c r="C269" s="20"/>
      <c r="D269" s="20"/>
    </row>
    <row r="270" spans="1:4">
      <c r="A270" s="29">
        <v>70503</v>
      </c>
      <c r="B270" s="17" t="s">
        <v>360</v>
      </c>
      <c r="C270" s="20"/>
      <c r="D270" s="20"/>
    </row>
    <row r="271" spans="1:4">
      <c r="A271" s="29">
        <v>70601</v>
      </c>
      <c r="B271" s="17" t="s">
        <v>362</v>
      </c>
      <c r="C271" s="20"/>
      <c r="D271" s="20"/>
    </row>
    <row r="272" spans="1:4">
      <c r="A272" s="29">
        <v>70602</v>
      </c>
      <c r="B272" s="17" t="s">
        <v>363</v>
      </c>
      <c r="C272" s="20"/>
      <c r="D272" s="20"/>
    </row>
    <row r="273" spans="1:4">
      <c r="A273" s="29">
        <v>70603</v>
      </c>
      <c r="B273" s="17" t="s">
        <v>364</v>
      </c>
      <c r="C273" s="20"/>
      <c r="D273" s="20"/>
    </row>
    <row r="274" spans="1:4">
      <c r="A274" s="29">
        <v>70701</v>
      </c>
      <c r="B274" s="17" t="s">
        <v>366</v>
      </c>
      <c r="C274" s="20"/>
      <c r="D274" s="20"/>
    </row>
    <row r="275" spans="1:4">
      <c r="A275" s="29">
        <v>70702</v>
      </c>
      <c r="B275" s="17" t="s">
        <v>367</v>
      </c>
      <c r="C275" s="20"/>
      <c r="D275" s="20"/>
    </row>
    <row r="276" spans="1:4">
      <c r="A276" s="29">
        <v>70703</v>
      </c>
      <c r="B276" s="17" t="s">
        <v>368</v>
      </c>
      <c r="C276" s="20"/>
      <c r="D276" s="20"/>
    </row>
    <row r="277" spans="1:4">
      <c r="A277" s="29">
        <v>70704</v>
      </c>
      <c r="B277" s="17" t="s">
        <v>369</v>
      </c>
      <c r="C277" s="20"/>
      <c r="D277" s="20"/>
    </row>
    <row r="278" spans="1:4">
      <c r="A278" s="29">
        <v>70705</v>
      </c>
      <c r="B278" s="17" t="s">
        <v>370</v>
      </c>
      <c r="C278" s="20"/>
      <c r="D278" s="20"/>
    </row>
    <row r="279" spans="1:4">
      <c r="A279" s="29">
        <v>70706</v>
      </c>
      <c r="B279" s="17" t="s">
        <v>371</v>
      </c>
      <c r="C279" s="20"/>
      <c r="D279" s="20"/>
    </row>
    <row r="280" spans="1:4">
      <c r="A280" s="29">
        <v>70707</v>
      </c>
      <c r="B280" s="17" t="s">
        <v>372</v>
      </c>
      <c r="C280" s="20"/>
      <c r="D280" s="20"/>
    </row>
    <row r="281" spans="1:4">
      <c r="A281" s="29">
        <v>70801</v>
      </c>
      <c r="B281" s="17" t="s">
        <v>373</v>
      </c>
      <c r="C281" s="20"/>
      <c r="D281" s="20"/>
    </row>
    <row r="282" spans="1:4">
      <c r="A282" s="29">
        <v>70802</v>
      </c>
      <c r="B282" s="17" t="s">
        <v>374</v>
      </c>
      <c r="C282" s="20"/>
      <c r="D282" s="20"/>
    </row>
    <row r="283" spans="1:4">
      <c r="A283" s="29">
        <v>70803</v>
      </c>
      <c r="B283" s="17" t="s">
        <v>375</v>
      </c>
      <c r="C283" s="20"/>
      <c r="D283" s="20"/>
    </row>
    <row r="284" spans="1:4">
      <c r="A284" s="29">
        <v>70804</v>
      </c>
      <c r="B284" s="17" t="s">
        <v>376</v>
      </c>
      <c r="C284" s="20"/>
      <c r="D284" s="20"/>
    </row>
    <row r="285" spans="1:4">
      <c r="A285" s="29">
        <v>70805</v>
      </c>
      <c r="B285" s="17" t="s">
        <v>377</v>
      </c>
      <c r="C285" s="20"/>
      <c r="D285" s="20"/>
    </row>
    <row r="286" spans="1:4">
      <c r="A286" s="29">
        <v>70901</v>
      </c>
      <c r="B286" s="17" t="s">
        <v>379</v>
      </c>
      <c r="C286" s="20"/>
      <c r="D286" s="20"/>
    </row>
    <row r="287" spans="1:4">
      <c r="A287" s="29">
        <v>70902</v>
      </c>
      <c r="B287" s="17" t="s">
        <v>380</v>
      </c>
      <c r="C287" s="20"/>
      <c r="D287" s="20"/>
    </row>
    <row r="288" spans="1:4">
      <c r="A288" s="29">
        <v>70903</v>
      </c>
      <c r="B288" s="17" t="s">
        <v>381</v>
      </c>
      <c r="C288" s="20"/>
      <c r="D288" s="20"/>
    </row>
    <row r="289" spans="1:4">
      <c r="A289" s="29">
        <v>70904</v>
      </c>
      <c r="B289" s="17" t="s">
        <v>382</v>
      </c>
      <c r="C289" s="20"/>
      <c r="D289" s="20"/>
    </row>
    <row r="290" spans="1:4">
      <c r="A290" s="29">
        <v>71001</v>
      </c>
      <c r="B290" s="17" t="s">
        <v>384</v>
      </c>
      <c r="C290" s="20"/>
      <c r="D290" s="20"/>
    </row>
    <row r="291" spans="1:4">
      <c r="A291" s="29">
        <v>71002</v>
      </c>
      <c r="B291" s="17" t="s">
        <v>385</v>
      </c>
      <c r="C291" s="20"/>
      <c r="D291" s="20"/>
    </row>
    <row r="292" spans="1:4">
      <c r="A292" s="29">
        <v>71003</v>
      </c>
      <c r="B292" s="17" t="s">
        <v>386</v>
      </c>
      <c r="C292" s="20"/>
      <c r="D292" s="20"/>
    </row>
    <row r="293" spans="1:4">
      <c r="A293" s="29">
        <v>71004</v>
      </c>
      <c r="B293" s="17" t="s">
        <v>387</v>
      </c>
      <c r="C293" s="20"/>
      <c r="D293" s="20"/>
    </row>
    <row r="294" spans="1:4">
      <c r="A294" s="29">
        <v>71005</v>
      </c>
      <c r="B294" s="17" t="s">
        <v>388</v>
      </c>
      <c r="C294" s="20"/>
      <c r="D294" s="20"/>
    </row>
    <row r="295" spans="1:4">
      <c r="A295" s="29">
        <v>71101</v>
      </c>
      <c r="B295" s="17" t="s">
        <v>390</v>
      </c>
      <c r="C295" s="20"/>
      <c r="D295" s="20"/>
    </row>
    <row r="296" spans="1:4">
      <c r="A296" s="29">
        <v>71102</v>
      </c>
      <c r="B296" s="17" t="s">
        <v>391</v>
      </c>
      <c r="C296" s="20"/>
      <c r="D296" s="20"/>
    </row>
    <row r="297" spans="1:4">
      <c r="A297" s="29">
        <v>71103</v>
      </c>
      <c r="B297" s="17" t="s">
        <v>392</v>
      </c>
      <c r="C297" s="20"/>
      <c r="D297" s="20"/>
    </row>
    <row r="298" spans="1:4">
      <c r="A298" s="29">
        <v>71104</v>
      </c>
      <c r="B298" s="17" t="s">
        <v>393</v>
      </c>
      <c r="C298" s="20"/>
      <c r="D298" s="20"/>
    </row>
    <row r="299" spans="1:4">
      <c r="A299" s="29">
        <v>71105</v>
      </c>
      <c r="B299" s="17" t="s">
        <v>394</v>
      </c>
      <c r="C299" s="20"/>
      <c r="D299" s="20"/>
    </row>
    <row r="300" spans="1:4">
      <c r="A300" s="29">
        <v>71106</v>
      </c>
      <c r="B300" s="17" t="s">
        <v>395</v>
      </c>
      <c r="C300" s="20"/>
      <c r="D300" s="20"/>
    </row>
    <row r="301" spans="1:4">
      <c r="A301" s="29">
        <v>71201</v>
      </c>
      <c r="B301" s="17" t="s">
        <v>397</v>
      </c>
      <c r="C301" s="20"/>
      <c r="D301" s="20"/>
    </row>
    <row r="302" spans="1:4">
      <c r="A302" s="29">
        <v>71301</v>
      </c>
      <c r="B302" s="17" t="s">
        <v>399</v>
      </c>
      <c r="C302" s="20"/>
      <c r="D302" s="20"/>
    </row>
    <row r="303" spans="1:4">
      <c r="A303" s="29">
        <v>71302</v>
      </c>
      <c r="B303" s="17" t="s">
        <v>400</v>
      </c>
      <c r="C303" s="20"/>
      <c r="D303" s="20"/>
    </row>
    <row r="304" spans="1:4">
      <c r="A304" s="29">
        <v>71401</v>
      </c>
      <c r="B304" s="17" t="s">
        <v>402</v>
      </c>
      <c r="C304" s="20"/>
      <c r="D304" s="20"/>
    </row>
    <row r="305" spans="1:4">
      <c r="A305" s="29">
        <v>71402</v>
      </c>
      <c r="B305" s="17" t="s">
        <v>403</v>
      </c>
      <c r="C305" s="20"/>
      <c r="D305" s="20"/>
    </row>
    <row r="306" spans="1:4">
      <c r="A306" s="29">
        <v>71403</v>
      </c>
      <c r="B306" s="17" t="s">
        <v>404</v>
      </c>
      <c r="C306" s="20"/>
      <c r="D306" s="20"/>
    </row>
    <row r="307" spans="1:4">
      <c r="A307" s="29">
        <v>71501</v>
      </c>
      <c r="B307" s="17" t="s">
        <v>406</v>
      </c>
      <c r="C307" s="20"/>
      <c r="D307" s="20"/>
    </row>
    <row r="308" spans="1:4">
      <c r="A308" s="29">
        <v>71502</v>
      </c>
      <c r="B308" s="17" t="s">
        <v>407</v>
      </c>
      <c r="C308" s="20"/>
      <c r="D308" s="20"/>
    </row>
    <row r="309" spans="1:4">
      <c r="A309" s="29">
        <v>71503</v>
      </c>
      <c r="B309" s="17" t="s">
        <v>338</v>
      </c>
      <c r="C309" s="20"/>
      <c r="D309" s="20"/>
    </row>
    <row r="310" spans="1:4">
      <c r="A310" s="29">
        <v>80101</v>
      </c>
      <c r="B310" s="17" t="s">
        <v>408</v>
      </c>
      <c r="C310" s="20"/>
      <c r="D310" s="20"/>
    </row>
    <row r="311" spans="1:4">
      <c r="A311" s="29">
        <v>80102</v>
      </c>
      <c r="B311" s="17" t="s">
        <v>391</v>
      </c>
      <c r="C311" s="20"/>
      <c r="D311" s="20"/>
    </row>
    <row r="312" spans="1:4">
      <c r="A312" s="29">
        <v>80201</v>
      </c>
      <c r="B312" s="17" t="s">
        <v>410</v>
      </c>
      <c r="C312" s="20"/>
      <c r="D312" s="20"/>
    </row>
    <row r="313" spans="1:4">
      <c r="A313" s="29">
        <v>80202</v>
      </c>
      <c r="B313" s="17" t="s">
        <v>411</v>
      </c>
      <c r="C313" s="20"/>
      <c r="D313" s="20"/>
    </row>
    <row r="314" spans="1:4">
      <c r="A314" s="29">
        <v>80301</v>
      </c>
      <c r="B314" s="17" t="s">
        <v>413</v>
      </c>
      <c r="C314" s="20"/>
      <c r="D314" s="20"/>
    </row>
    <row r="315" spans="1:4">
      <c r="A315" s="29">
        <v>80302</v>
      </c>
      <c r="B315" s="17" t="s">
        <v>414</v>
      </c>
      <c r="C315" s="20"/>
      <c r="D315" s="20"/>
    </row>
    <row r="316" spans="1:4">
      <c r="A316" s="29">
        <v>80303</v>
      </c>
      <c r="B316" s="17" t="s">
        <v>415</v>
      </c>
      <c r="C316" s="20"/>
      <c r="D316" s="20"/>
    </row>
    <row r="317" spans="1:4">
      <c r="A317" s="29">
        <v>80304</v>
      </c>
      <c r="B317" s="17" t="s">
        <v>416</v>
      </c>
      <c r="C317" s="20"/>
      <c r="D317" s="20"/>
    </row>
    <row r="318" spans="1:4">
      <c r="A318" s="29">
        <v>80401</v>
      </c>
      <c r="B318" s="17" t="s">
        <v>418</v>
      </c>
      <c r="C318" s="20"/>
      <c r="D318" s="20"/>
    </row>
    <row r="319" spans="1:4">
      <c r="A319" s="29">
        <v>80402</v>
      </c>
      <c r="B319" s="17" t="s">
        <v>419</v>
      </c>
      <c r="C319" s="20"/>
      <c r="D319" s="20"/>
    </row>
    <row r="320" spans="1:4">
      <c r="A320" s="29">
        <v>80501</v>
      </c>
      <c r="B320" s="17" t="s">
        <v>421</v>
      </c>
      <c r="C320" s="20"/>
      <c r="D320" s="20"/>
    </row>
    <row r="321" spans="1:4">
      <c r="A321" s="29">
        <v>80601</v>
      </c>
      <c r="B321" s="17" t="s">
        <v>423</v>
      </c>
      <c r="C321" s="20"/>
      <c r="D321" s="20"/>
    </row>
    <row r="322" spans="1:4">
      <c r="A322" s="29">
        <v>80602</v>
      </c>
      <c r="B322" s="17" t="s">
        <v>424</v>
      </c>
      <c r="C322" s="20"/>
      <c r="D322" s="20"/>
    </row>
    <row r="323" spans="1:4">
      <c r="A323" s="29">
        <v>80701</v>
      </c>
      <c r="B323" s="17" t="s">
        <v>426</v>
      </c>
      <c r="C323" s="20"/>
      <c r="D323" s="20"/>
    </row>
    <row r="324" spans="1:4">
      <c r="A324" s="29">
        <v>80702</v>
      </c>
      <c r="B324" s="17" t="s">
        <v>392</v>
      </c>
      <c r="C324" s="20"/>
      <c r="D324" s="20"/>
    </row>
    <row r="325" spans="1:4">
      <c r="A325" s="29">
        <v>80703</v>
      </c>
      <c r="B325" s="17" t="s">
        <v>427</v>
      </c>
      <c r="C325" s="20"/>
      <c r="D325" s="20"/>
    </row>
    <row r="326" spans="1:4">
      <c r="A326" s="29">
        <v>80801</v>
      </c>
      <c r="B326" s="17" t="s">
        <v>429</v>
      </c>
      <c r="C326" s="20"/>
      <c r="D326" s="20"/>
    </row>
    <row r="327" spans="1:4">
      <c r="A327" s="29">
        <v>80802</v>
      </c>
      <c r="B327" s="17" t="s">
        <v>430</v>
      </c>
      <c r="C327" s="20"/>
      <c r="D327" s="20"/>
    </row>
    <row r="328" spans="1:4">
      <c r="A328" s="29">
        <v>80803</v>
      </c>
      <c r="B328" s="17" t="s">
        <v>431</v>
      </c>
      <c r="C328" s="20"/>
      <c r="D328" s="20"/>
    </row>
    <row r="329" spans="1:4">
      <c r="A329" s="29">
        <v>80901</v>
      </c>
      <c r="B329" s="17" t="s">
        <v>432</v>
      </c>
      <c r="C329" s="20"/>
      <c r="D329" s="20"/>
    </row>
    <row r="330" spans="1:4">
      <c r="A330" s="29">
        <v>90101</v>
      </c>
      <c r="B330" s="17" t="s">
        <v>434</v>
      </c>
      <c r="C330" s="20"/>
      <c r="D330" s="20"/>
    </row>
    <row r="331" spans="1:4">
      <c r="A331" s="29">
        <v>90102</v>
      </c>
      <c r="B331" s="17" t="s">
        <v>435</v>
      </c>
      <c r="C331" s="20"/>
      <c r="D331" s="20"/>
    </row>
    <row r="332" spans="1:4">
      <c r="A332" s="29">
        <v>90103</v>
      </c>
      <c r="B332" s="17" t="s">
        <v>436</v>
      </c>
      <c r="C332" s="20"/>
      <c r="D332" s="20"/>
    </row>
    <row r="333" spans="1:4">
      <c r="A333" s="29">
        <v>90104</v>
      </c>
      <c r="B333" s="17" t="s">
        <v>437</v>
      </c>
      <c r="C333" s="20"/>
      <c r="D333" s="20"/>
    </row>
    <row r="334" spans="1:4">
      <c r="A334" s="29">
        <v>90201</v>
      </c>
      <c r="B334" s="17" t="s">
        <v>439</v>
      </c>
      <c r="C334" s="20"/>
      <c r="D334" s="20"/>
    </row>
    <row r="335" spans="1:4">
      <c r="A335" s="29">
        <v>90202</v>
      </c>
      <c r="B335" s="17" t="s">
        <v>388</v>
      </c>
      <c r="C335" s="20"/>
      <c r="D335" s="20"/>
    </row>
    <row r="336" spans="1:4">
      <c r="A336" s="29">
        <v>90203</v>
      </c>
      <c r="B336" s="17" t="s">
        <v>440</v>
      </c>
      <c r="C336" s="20"/>
      <c r="D336" s="20"/>
    </row>
    <row r="337" spans="1:4">
      <c r="A337" s="29">
        <v>90301</v>
      </c>
      <c r="B337" s="17" t="s">
        <v>442</v>
      </c>
      <c r="C337" s="20"/>
      <c r="D337" s="20"/>
    </row>
    <row r="338" spans="1:4">
      <c r="A338" s="29">
        <v>90302</v>
      </c>
      <c r="B338" s="17" t="s">
        <v>443</v>
      </c>
      <c r="C338" s="20"/>
      <c r="D338" s="20"/>
    </row>
    <row r="339" spans="1:4">
      <c r="A339" s="29">
        <v>90303</v>
      </c>
      <c r="B339" s="17" t="s">
        <v>444</v>
      </c>
      <c r="C339" s="20"/>
      <c r="D339" s="20"/>
    </row>
    <row r="340" spans="1:4">
      <c r="A340" s="29">
        <v>90401</v>
      </c>
      <c r="B340" s="17" t="s">
        <v>446</v>
      </c>
      <c r="C340" s="20"/>
      <c r="D340" s="20"/>
    </row>
    <row r="341" spans="1:4">
      <c r="A341" s="29">
        <v>90402</v>
      </c>
      <c r="B341" s="17" t="s">
        <v>110</v>
      </c>
      <c r="C341" s="20"/>
      <c r="D341" s="20"/>
    </row>
    <row r="342" spans="1:4">
      <c r="A342" s="29">
        <v>90501</v>
      </c>
      <c r="B342" s="17" t="s">
        <v>448</v>
      </c>
      <c r="C342" s="20"/>
      <c r="D342" s="20"/>
    </row>
    <row r="343" spans="1:4">
      <c r="A343" s="29">
        <v>90502</v>
      </c>
      <c r="B343" s="17" t="s">
        <v>449</v>
      </c>
      <c r="C343" s="20"/>
      <c r="D343" s="20"/>
    </row>
    <row r="344" spans="1:4">
      <c r="A344" s="29">
        <v>90503</v>
      </c>
      <c r="B344" s="17" t="s">
        <v>450</v>
      </c>
      <c r="C344" s="20"/>
      <c r="D344" s="20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outlinePr summaryBelow="0" summaryRight="0"/>
  </sheetPr>
  <dimension ref="A1:X544"/>
  <sheetViews>
    <sheetView workbookViewId="0">
      <selection activeCell="E8" sqref="E8"/>
    </sheetView>
  </sheetViews>
  <sheetFormatPr baseColWidth="10" defaultColWidth="12.6640625" defaultRowHeight="15" customHeight="1"/>
  <sheetData>
    <row r="1" spans="1:24" ht="15" customHeight="1">
      <c r="A1" s="3" t="s">
        <v>10</v>
      </c>
      <c r="B1" s="3" t="s">
        <v>11</v>
      </c>
      <c r="C1" s="9" t="s">
        <v>452</v>
      </c>
      <c r="D1" s="9" t="s">
        <v>453</v>
      </c>
      <c r="E1" s="5"/>
      <c r="F1" s="6"/>
      <c r="G1" s="6"/>
    </row>
    <row r="2" spans="1:24" ht="15" customHeight="1">
      <c r="A2" s="26">
        <v>1</v>
      </c>
      <c r="B2" s="3" t="s">
        <v>16</v>
      </c>
      <c r="C2" s="9">
        <v>0.63319312503049263</v>
      </c>
      <c r="D2" s="9">
        <v>0.8229578881206786</v>
      </c>
      <c r="E2" s="19"/>
      <c r="F2" s="19"/>
      <c r="G2" s="19"/>
    </row>
    <row r="3" spans="1:24" ht="15" customHeight="1">
      <c r="A3" s="26">
        <v>2</v>
      </c>
      <c r="B3" s="3" t="s">
        <v>20</v>
      </c>
      <c r="C3" s="9">
        <v>0.80022896468144</v>
      </c>
      <c r="D3" s="9">
        <v>0.86803343781508924</v>
      </c>
      <c r="E3" s="19"/>
      <c r="F3" s="19"/>
      <c r="G3" s="19"/>
    </row>
    <row r="4" spans="1:24" ht="15" customHeight="1">
      <c r="A4" s="26">
        <v>3</v>
      </c>
      <c r="B4" s="3" t="s">
        <v>22</v>
      </c>
      <c r="C4" s="9">
        <v>0.69840267125472166</v>
      </c>
      <c r="D4" s="9">
        <v>0.8121397781173374</v>
      </c>
      <c r="E4" s="19"/>
      <c r="F4" s="19"/>
      <c r="G4" s="19"/>
    </row>
    <row r="5" spans="1:24" ht="15" customHeight="1">
      <c r="A5" s="26">
        <v>4</v>
      </c>
      <c r="B5" s="3" t="s">
        <v>25</v>
      </c>
      <c r="C5" s="9">
        <v>0.73901195193710645</v>
      </c>
      <c r="D5" s="9">
        <v>0.82633936037760369</v>
      </c>
      <c r="E5" s="19"/>
      <c r="F5" s="19"/>
      <c r="G5" s="19"/>
    </row>
    <row r="6" spans="1:24" ht="15" customHeight="1">
      <c r="A6" s="26">
        <v>5</v>
      </c>
      <c r="B6" s="3" t="s">
        <v>27</v>
      </c>
      <c r="C6" s="9">
        <v>0.67893629115852927</v>
      </c>
      <c r="D6" s="9">
        <v>0.78979806242581763</v>
      </c>
      <c r="E6" s="19"/>
      <c r="F6" s="19"/>
      <c r="G6" s="19"/>
    </row>
    <row r="7" spans="1:24" ht="15" customHeight="1">
      <c r="A7" s="26">
        <v>6</v>
      </c>
      <c r="B7" s="3" t="s">
        <v>30</v>
      </c>
      <c r="C7" s="9">
        <v>0.68874752723729693</v>
      </c>
      <c r="D7" s="9">
        <v>0.81123182349991618</v>
      </c>
      <c r="E7" s="19"/>
      <c r="F7" s="19"/>
      <c r="G7" s="19"/>
    </row>
    <row r="8" spans="1:24" ht="15" customHeight="1">
      <c r="A8" s="26">
        <v>7</v>
      </c>
      <c r="B8" s="3" t="s">
        <v>32</v>
      </c>
      <c r="C8" s="9">
        <v>0.64631889969313849</v>
      </c>
      <c r="D8" s="9">
        <v>0.75929408709222046</v>
      </c>
      <c r="E8" s="19"/>
      <c r="F8" s="19"/>
      <c r="G8" s="19"/>
    </row>
    <row r="9" spans="1:24" ht="15" customHeight="1">
      <c r="A9" s="26">
        <v>8</v>
      </c>
      <c r="B9" s="3" t="s">
        <v>34</v>
      </c>
      <c r="C9" s="9">
        <v>0.64117225325060423</v>
      </c>
      <c r="D9" s="9">
        <v>0.75727621701106695</v>
      </c>
      <c r="E9" s="19"/>
      <c r="F9" s="19"/>
      <c r="G9" s="19"/>
    </row>
    <row r="10" spans="1:24" ht="15" customHeight="1">
      <c r="A10" s="26">
        <v>9</v>
      </c>
      <c r="B10" s="3" t="s">
        <v>36</v>
      </c>
      <c r="C10" s="9">
        <v>0.61061513646857923</v>
      </c>
      <c r="D10" s="9">
        <v>0.75919191392919472</v>
      </c>
      <c r="E10" s="19"/>
      <c r="F10" s="19"/>
      <c r="G10" s="19"/>
    </row>
    <row r="11" spans="1:24" ht="15" customHeight="1">
      <c r="A11" s="26">
        <v>10</v>
      </c>
      <c r="B11" s="3" t="s">
        <v>40</v>
      </c>
      <c r="C11" s="9">
        <v>0.65055301086356987</v>
      </c>
      <c r="D11" s="9">
        <v>0.77496573374010702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</row>
    <row r="12" spans="1:24" ht="15" customHeight="1">
      <c r="A12" s="26">
        <v>11</v>
      </c>
      <c r="B12" s="3" t="s">
        <v>42</v>
      </c>
      <c r="C12" s="9">
        <v>0.70263483697234586</v>
      </c>
      <c r="D12" s="9">
        <v>0.81374089772652747</v>
      </c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</row>
    <row r="13" spans="1:24" ht="15" customHeight="1">
      <c r="C13" s="5"/>
      <c r="D13" s="5"/>
    </row>
    <row r="14" spans="1:24" ht="15" customHeight="1">
      <c r="C14" s="5"/>
      <c r="D14" s="5"/>
    </row>
    <row r="15" spans="1:24" ht="15" customHeight="1">
      <c r="C15" s="5"/>
      <c r="D15" s="5"/>
    </row>
    <row r="16" spans="1:24" ht="15" customHeight="1">
      <c r="C16" s="5"/>
      <c r="D16" s="5"/>
    </row>
    <row r="17" spans="3:4" ht="15" customHeight="1">
      <c r="C17" s="5"/>
      <c r="D17" s="5"/>
    </row>
    <row r="18" spans="3:4" ht="15" customHeight="1">
      <c r="C18" s="5"/>
      <c r="D18" s="5"/>
    </row>
    <row r="19" spans="3:4" ht="15" customHeight="1">
      <c r="C19" s="5"/>
      <c r="D19" s="5"/>
    </row>
    <row r="20" spans="3:4" ht="15" customHeight="1">
      <c r="C20" s="5"/>
      <c r="D20" s="5"/>
    </row>
    <row r="21" spans="3:4" ht="15" customHeight="1">
      <c r="C21" s="5"/>
      <c r="D21" s="5"/>
    </row>
    <row r="22" spans="3:4" ht="15" customHeight="1">
      <c r="C22" s="5"/>
      <c r="D22" s="5"/>
    </row>
    <row r="23" spans="3:4" ht="15" customHeight="1">
      <c r="C23" s="5"/>
      <c r="D23" s="5"/>
    </row>
    <row r="24" spans="3:4" ht="15" customHeight="1">
      <c r="C24" s="5"/>
      <c r="D24" s="5"/>
    </row>
    <row r="25" spans="3:4" ht="15" customHeight="1">
      <c r="C25" s="5"/>
      <c r="D25" s="5"/>
    </row>
    <row r="26" spans="3:4" ht="15" customHeight="1">
      <c r="C26" s="5"/>
      <c r="D26" s="5"/>
    </row>
    <row r="27" spans="3:4" ht="15" customHeight="1">
      <c r="C27" s="5"/>
      <c r="D27" s="5"/>
    </row>
    <row r="28" spans="3:4" ht="15" customHeight="1">
      <c r="C28" s="5"/>
      <c r="D28" s="5"/>
    </row>
    <row r="29" spans="3:4" ht="15" customHeight="1">
      <c r="C29" s="5"/>
      <c r="D29" s="5"/>
    </row>
    <row r="30" spans="3:4" ht="15" customHeight="1">
      <c r="C30" s="5"/>
      <c r="D30" s="5"/>
    </row>
    <row r="31" spans="3:4" ht="15" customHeight="1">
      <c r="C31" s="5"/>
      <c r="D31" s="5"/>
    </row>
    <row r="32" spans="3:4" ht="15" customHeight="1">
      <c r="C32" s="5"/>
      <c r="D32" s="5"/>
    </row>
    <row r="33" spans="3:4" ht="15" customHeight="1">
      <c r="C33" s="5"/>
      <c r="D33" s="5"/>
    </row>
    <row r="34" spans="3:4" ht="15" customHeight="1">
      <c r="C34" s="5"/>
      <c r="D34" s="5"/>
    </row>
    <row r="35" spans="3:4" ht="15" customHeight="1">
      <c r="C35" s="5"/>
      <c r="D35" s="5"/>
    </row>
    <row r="36" spans="3:4" ht="15" customHeight="1">
      <c r="C36" s="5"/>
      <c r="D36" s="5"/>
    </row>
    <row r="37" spans="3:4" ht="15" customHeight="1">
      <c r="C37" s="5"/>
      <c r="D37" s="5"/>
    </row>
    <row r="38" spans="3:4" ht="15" customHeight="1">
      <c r="C38" s="5"/>
      <c r="D38" s="5"/>
    </row>
    <row r="39" spans="3:4" ht="15" customHeight="1">
      <c r="C39" s="5"/>
      <c r="D39" s="5"/>
    </row>
    <row r="40" spans="3:4" ht="15" customHeight="1">
      <c r="C40" s="5"/>
      <c r="D40" s="5"/>
    </row>
    <row r="41" spans="3:4" ht="15" customHeight="1">
      <c r="C41" s="5"/>
      <c r="D41" s="5"/>
    </row>
    <row r="42" spans="3:4" ht="15" customHeight="1">
      <c r="C42" s="5"/>
      <c r="D42" s="5"/>
    </row>
    <row r="43" spans="3:4" ht="15" customHeight="1">
      <c r="C43" s="5"/>
      <c r="D43" s="5"/>
    </row>
    <row r="44" spans="3:4" ht="15" customHeight="1">
      <c r="C44" s="5"/>
      <c r="D44" s="5"/>
    </row>
    <row r="45" spans="3:4" ht="15" customHeight="1">
      <c r="C45" s="5"/>
      <c r="D45" s="5"/>
    </row>
    <row r="46" spans="3:4" ht="15" customHeight="1">
      <c r="C46" s="5"/>
      <c r="D46" s="5"/>
    </row>
    <row r="47" spans="3:4" ht="15" customHeight="1">
      <c r="C47" s="5"/>
      <c r="D47" s="5"/>
    </row>
    <row r="48" spans="3:4" ht="15" customHeight="1">
      <c r="C48" s="5"/>
      <c r="D48" s="5"/>
    </row>
    <row r="49" spans="3:4" ht="15" customHeight="1">
      <c r="C49" s="5"/>
      <c r="D49" s="5"/>
    </row>
    <row r="50" spans="3:4" ht="15" customHeight="1">
      <c r="C50" s="5"/>
      <c r="D50" s="5"/>
    </row>
    <row r="51" spans="3:4" ht="15" customHeight="1">
      <c r="C51" s="5"/>
      <c r="D51" s="5"/>
    </row>
    <row r="52" spans="3:4" ht="15" customHeight="1">
      <c r="C52" s="5"/>
      <c r="D52" s="5"/>
    </row>
    <row r="53" spans="3:4" ht="15" customHeight="1">
      <c r="C53" s="5"/>
      <c r="D53" s="5"/>
    </row>
    <row r="54" spans="3:4" ht="15" customHeight="1">
      <c r="C54" s="5"/>
      <c r="D54" s="5"/>
    </row>
    <row r="55" spans="3:4" ht="15" customHeight="1">
      <c r="C55" s="5"/>
      <c r="D55" s="5"/>
    </row>
    <row r="56" spans="3:4" ht="15" customHeight="1">
      <c r="C56" s="5"/>
      <c r="D56" s="5"/>
    </row>
    <row r="57" spans="3:4" ht="15" customHeight="1">
      <c r="C57" s="5"/>
      <c r="D57" s="5"/>
    </row>
    <row r="58" spans="3:4" ht="15" customHeight="1">
      <c r="C58" s="5"/>
      <c r="D58" s="5"/>
    </row>
    <row r="59" spans="3:4" ht="15" customHeight="1">
      <c r="C59" s="5"/>
      <c r="D59" s="5"/>
    </row>
    <row r="60" spans="3:4" ht="15" customHeight="1">
      <c r="C60" s="5"/>
      <c r="D60" s="5"/>
    </row>
    <row r="61" spans="3:4" ht="15" customHeight="1">
      <c r="C61" s="5"/>
      <c r="D61" s="5"/>
    </row>
    <row r="62" spans="3:4" ht="15" customHeight="1">
      <c r="C62" s="5"/>
      <c r="D62" s="5"/>
    </row>
    <row r="63" spans="3:4" ht="15" customHeight="1">
      <c r="C63" s="5"/>
      <c r="D63" s="5"/>
    </row>
    <row r="64" spans="3:4" ht="15" customHeight="1">
      <c r="C64" s="5"/>
      <c r="D64" s="5"/>
    </row>
    <row r="65" spans="3:4" ht="15" customHeight="1">
      <c r="C65" s="5"/>
      <c r="D65" s="5"/>
    </row>
    <row r="66" spans="3:4" ht="15" customHeight="1">
      <c r="C66" s="5"/>
      <c r="D66" s="5"/>
    </row>
    <row r="67" spans="3:4" ht="15" customHeight="1">
      <c r="C67" s="5"/>
      <c r="D67" s="5"/>
    </row>
    <row r="68" spans="3:4" ht="15" customHeight="1">
      <c r="C68" s="5"/>
      <c r="D68" s="5"/>
    </row>
    <row r="69" spans="3:4" ht="15" customHeight="1">
      <c r="C69" s="5"/>
      <c r="D69" s="5"/>
    </row>
    <row r="70" spans="3:4" ht="15" customHeight="1">
      <c r="C70" s="5"/>
      <c r="D70" s="5"/>
    </row>
    <row r="71" spans="3:4" ht="15" customHeight="1">
      <c r="C71" s="5"/>
      <c r="D71" s="5"/>
    </row>
    <row r="72" spans="3:4" ht="15" customHeight="1">
      <c r="C72" s="5"/>
      <c r="D72" s="5"/>
    </row>
    <row r="73" spans="3:4" ht="15" customHeight="1">
      <c r="C73" s="5"/>
      <c r="D73" s="5"/>
    </row>
    <row r="74" spans="3:4" ht="15" customHeight="1">
      <c r="C74" s="5"/>
      <c r="D74" s="5"/>
    </row>
    <row r="75" spans="3:4" ht="15" customHeight="1">
      <c r="C75" s="5"/>
      <c r="D75" s="5"/>
    </row>
    <row r="76" spans="3:4" ht="15" customHeight="1">
      <c r="C76" s="5"/>
      <c r="D76" s="5"/>
    </row>
    <row r="77" spans="3:4" ht="15" customHeight="1">
      <c r="C77" s="5"/>
      <c r="D77" s="5"/>
    </row>
    <row r="78" spans="3:4" ht="15" customHeight="1">
      <c r="C78" s="5"/>
      <c r="D78" s="5"/>
    </row>
    <row r="79" spans="3:4" ht="15" customHeight="1">
      <c r="C79" s="5"/>
      <c r="D79" s="5"/>
    </row>
    <row r="80" spans="3:4" ht="15" customHeight="1">
      <c r="C80" s="5"/>
      <c r="D80" s="5"/>
    </row>
    <row r="81" spans="3:4" ht="15" customHeight="1">
      <c r="C81" s="5"/>
      <c r="D81" s="5"/>
    </row>
    <row r="82" spans="3:4" ht="15" customHeight="1">
      <c r="C82" s="5"/>
      <c r="D82" s="5"/>
    </row>
    <row r="83" spans="3:4" ht="15" customHeight="1">
      <c r="C83" s="5"/>
      <c r="D83" s="5"/>
    </row>
    <row r="84" spans="3:4" ht="15" customHeight="1">
      <c r="C84" s="5"/>
      <c r="D84" s="5"/>
    </row>
    <row r="85" spans="3:4" ht="15" customHeight="1">
      <c r="C85" s="5"/>
      <c r="D85" s="5"/>
    </row>
    <row r="86" spans="3:4" ht="15" customHeight="1">
      <c r="C86" s="5"/>
      <c r="D86" s="5"/>
    </row>
    <row r="87" spans="3:4" ht="15" customHeight="1">
      <c r="C87" s="5"/>
      <c r="D87" s="5"/>
    </row>
    <row r="88" spans="3:4" ht="15" customHeight="1">
      <c r="C88" s="5"/>
      <c r="D88" s="5"/>
    </row>
    <row r="89" spans="3:4" ht="15" customHeight="1">
      <c r="C89" s="5"/>
      <c r="D89" s="5"/>
    </row>
    <row r="90" spans="3:4" ht="15" customHeight="1">
      <c r="C90" s="5"/>
      <c r="D90" s="5"/>
    </row>
    <row r="91" spans="3:4" ht="15" customHeight="1">
      <c r="C91" s="5"/>
      <c r="D91" s="5"/>
    </row>
    <row r="92" spans="3:4" ht="15" customHeight="1">
      <c r="C92" s="5"/>
      <c r="D92" s="5"/>
    </row>
    <row r="93" spans="3:4" ht="15" customHeight="1">
      <c r="C93" s="5"/>
      <c r="D93" s="5"/>
    </row>
    <row r="94" spans="3:4" ht="15" customHeight="1">
      <c r="C94" s="5"/>
      <c r="D94" s="5"/>
    </row>
    <row r="95" spans="3:4" ht="15" customHeight="1">
      <c r="C95" s="5"/>
      <c r="D95" s="5"/>
    </row>
    <row r="96" spans="3:4" ht="15" customHeight="1">
      <c r="C96" s="5"/>
      <c r="D96" s="5"/>
    </row>
    <row r="97" spans="3:4" ht="15" customHeight="1">
      <c r="C97" s="5"/>
      <c r="D97" s="5"/>
    </row>
    <row r="98" spans="3:4" ht="15" customHeight="1">
      <c r="C98" s="5"/>
      <c r="D98" s="5"/>
    </row>
    <row r="99" spans="3:4" ht="15" customHeight="1">
      <c r="C99" s="5"/>
      <c r="D99" s="5"/>
    </row>
    <row r="100" spans="3:4" ht="15" customHeight="1">
      <c r="C100" s="5"/>
      <c r="D100" s="5"/>
    </row>
    <row r="101" spans="3:4" ht="15" customHeight="1">
      <c r="C101" s="5"/>
      <c r="D101" s="5"/>
    </row>
    <row r="102" spans="3:4" ht="15" customHeight="1">
      <c r="C102" s="5"/>
      <c r="D102" s="5"/>
    </row>
    <row r="103" spans="3:4" ht="15" customHeight="1">
      <c r="C103" s="5"/>
      <c r="D103" s="5"/>
    </row>
    <row r="104" spans="3:4" ht="15" customHeight="1">
      <c r="C104" s="5"/>
      <c r="D104" s="5"/>
    </row>
    <row r="105" spans="3:4" ht="15" customHeight="1">
      <c r="C105" s="5"/>
      <c r="D105" s="5"/>
    </row>
    <row r="106" spans="3:4" ht="15" customHeight="1">
      <c r="C106" s="5"/>
      <c r="D106" s="5"/>
    </row>
    <row r="107" spans="3:4" ht="15" customHeight="1">
      <c r="C107" s="5"/>
      <c r="D107" s="5"/>
    </row>
    <row r="108" spans="3:4" ht="15" customHeight="1">
      <c r="C108" s="5"/>
      <c r="D108" s="5"/>
    </row>
    <row r="109" spans="3:4" ht="15" customHeight="1">
      <c r="C109" s="5"/>
      <c r="D109" s="5"/>
    </row>
    <row r="110" spans="3:4" ht="15" customHeight="1">
      <c r="C110" s="5"/>
      <c r="D110" s="5"/>
    </row>
    <row r="111" spans="3:4" ht="15" customHeight="1">
      <c r="C111" s="5"/>
      <c r="D111" s="5"/>
    </row>
    <row r="112" spans="3:4" ht="15" customHeight="1">
      <c r="C112" s="5"/>
      <c r="D112" s="5"/>
    </row>
    <row r="113" spans="3:4" ht="15" customHeight="1">
      <c r="C113" s="5"/>
      <c r="D113" s="5"/>
    </row>
    <row r="114" spans="3:4" ht="15" customHeight="1">
      <c r="C114" s="5"/>
      <c r="D114" s="5"/>
    </row>
    <row r="115" spans="3:4" ht="15" customHeight="1">
      <c r="C115" s="5"/>
      <c r="D115" s="5"/>
    </row>
    <row r="116" spans="3:4" ht="15" customHeight="1">
      <c r="C116" s="5"/>
      <c r="D116" s="5"/>
    </row>
    <row r="117" spans="3:4" ht="15" customHeight="1">
      <c r="C117" s="5"/>
      <c r="D117" s="5"/>
    </row>
    <row r="118" spans="3:4" ht="15" customHeight="1">
      <c r="C118" s="5"/>
      <c r="D118" s="5"/>
    </row>
    <row r="119" spans="3:4" ht="15" customHeight="1">
      <c r="C119" s="5"/>
      <c r="D119" s="5"/>
    </row>
    <row r="120" spans="3:4" ht="15" customHeight="1">
      <c r="C120" s="5"/>
      <c r="D120" s="5"/>
    </row>
    <row r="121" spans="3:4" ht="15" customHeight="1">
      <c r="C121" s="5"/>
      <c r="D121" s="5"/>
    </row>
    <row r="122" spans="3:4" ht="15" customHeight="1">
      <c r="C122" s="5"/>
      <c r="D122" s="5"/>
    </row>
    <row r="123" spans="3:4" ht="15" customHeight="1">
      <c r="C123" s="5"/>
      <c r="D123" s="5"/>
    </row>
    <row r="124" spans="3:4" ht="15" customHeight="1">
      <c r="C124" s="5"/>
      <c r="D124" s="5"/>
    </row>
    <row r="125" spans="3:4" ht="15" customHeight="1">
      <c r="C125" s="5"/>
      <c r="D125" s="5"/>
    </row>
    <row r="126" spans="3:4" ht="15" customHeight="1">
      <c r="C126" s="5"/>
      <c r="D126" s="5"/>
    </row>
    <row r="127" spans="3:4" ht="15" customHeight="1">
      <c r="C127" s="5"/>
      <c r="D127" s="5"/>
    </row>
    <row r="128" spans="3:4" ht="15" customHeight="1">
      <c r="C128" s="5"/>
      <c r="D128" s="5"/>
    </row>
    <row r="129" spans="3:4" ht="15" customHeight="1">
      <c r="C129" s="5"/>
      <c r="D129" s="5"/>
    </row>
    <row r="130" spans="3:4" ht="15" customHeight="1">
      <c r="C130" s="5"/>
      <c r="D130" s="5"/>
    </row>
    <row r="131" spans="3:4" ht="15" customHeight="1">
      <c r="C131" s="5"/>
      <c r="D131" s="5"/>
    </row>
    <row r="132" spans="3:4" ht="15" customHeight="1">
      <c r="C132" s="5"/>
      <c r="D132" s="5"/>
    </row>
    <row r="133" spans="3:4" ht="15" customHeight="1">
      <c r="C133" s="5"/>
      <c r="D133" s="5"/>
    </row>
    <row r="134" spans="3:4" ht="15" customHeight="1">
      <c r="C134" s="5"/>
      <c r="D134" s="5"/>
    </row>
    <row r="135" spans="3:4" ht="15" customHeight="1">
      <c r="C135" s="5"/>
      <c r="D135" s="5"/>
    </row>
    <row r="136" spans="3:4" ht="15" customHeight="1">
      <c r="C136" s="5"/>
      <c r="D136" s="5"/>
    </row>
    <row r="137" spans="3:4" ht="15" customHeight="1">
      <c r="C137" s="5"/>
      <c r="D137" s="5"/>
    </row>
    <row r="138" spans="3:4" ht="15" customHeight="1">
      <c r="C138" s="5"/>
      <c r="D138" s="5"/>
    </row>
    <row r="139" spans="3:4" ht="15" customHeight="1">
      <c r="C139" s="5"/>
      <c r="D139" s="5"/>
    </row>
    <row r="140" spans="3:4" ht="15" customHeight="1">
      <c r="C140" s="5"/>
      <c r="D140" s="5"/>
    </row>
    <row r="141" spans="3:4" ht="15" customHeight="1">
      <c r="C141" s="5"/>
      <c r="D141" s="5"/>
    </row>
    <row r="142" spans="3:4" ht="15" customHeight="1">
      <c r="C142" s="5"/>
      <c r="D142" s="5"/>
    </row>
    <row r="143" spans="3:4" ht="15" customHeight="1">
      <c r="C143" s="5"/>
      <c r="D143" s="5"/>
    </row>
    <row r="144" spans="3:4" ht="15" customHeight="1">
      <c r="C144" s="5"/>
      <c r="D144" s="5"/>
    </row>
    <row r="145" spans="3:4" ht="15" customHeight="1">
      <c r="C145" s="5"/>
      <c r="D145" s="5"/>
    </row>
    <row r="146" spans="3:4" ht="15" customHeight="1">
      <c r="C146" s="5"/>
      <c r="D146" s="5"/>
    </row>
    <row r="147" spans="3:4" ht="15" customHeight="1">
      <c r="C147" s="5"/>
      <c r="D147" s="5"/>
    </row>
    <row r="148" spans="3:4" ht="15" customHeight="1">
      <c r="C148" s="5"/>
      <c r="D148" s="5"/>
    </row>
    <row r="149" spans="3:4" ht="15" customHeight="1">
      <c r="C149" s="5"/>
      <c r="D149" s="5"/>
    </row>
    <row r="150" spans="3:4" ht="15" customHeight="1">
      <c r="C150" s="5"/>
      <c r="D150" s="5"/>
    </row>
    <row r="151" spans="3:4" ht="15" customHeight="1">
      <c r="C151" s="5"/>
      <c r="D151" s="5"/>
    </row>
    <row r="152" spans="3:4" ht="15" customHeight="1">
      <c r="C152" s="5"/>
      <c r="D152" s="5"/>
    </row>
    <row r="153" spans="3:4" ht="15" customHeight="1">
      <c r="C153" s="5"/>
      <c r="D153" s="5"/>
    </row>
    <row r="154" spans="3:4" ht="15" customHeight="1">
      <c r="C154" s="5"/>
      <c r="D154" s="5"/>
    </row>
    <row r="155" spans="3:4" ht="15" customHeight="1">
      <c r="C155" s="5"/>
      <c r="D155" s="5"/>
    </row>
    <row r="156" spans="3:4" ht="15" customHeight="1">
      <c r="C156" s="5"/>
      <c r="D156" s="5"/>
    </row>
    <row r="157" spans="3:4" ht="15" customHeight="1">
      <c r="C157" s="5"/>
      <c r="D157" s="5"/>
    </row>
    <row r="158" spans="3:4" ht="15" customHeight="1">
      <c r="C158" s="5"/>
      <c r="D158" s="5"/>
    </row>
    <row r="159" spans="3:4" ht="15" customHeight="1">
      <c r="C159" s="5"/>
      <c r="D159" s="5"/>
    </row>
    <row r="160" spans="3:4" ht="15" customHeight="1">
      <c r="C160" s="5"/>
      <c r="D160" s="5"/>
    </row>
    <row r="161" spans="3:4" ht="15" customHeight="1">
      <c r="C161" s="5"/>
      <c r="D161" s="5"/>
    </row>
    <row r="162" spans="3:4" ht="15" customHeight="1">
      <c r="C162" s="5"/>
      <c r="D162" s="5"/>
    </row>
    <row r="163" spans="3:4" ht="15" customHeight="1">
      <c r="C163" s="5"/>
      <c r="D163" s="5"/>
    </row>
    <row r="164" spans="3:4" ht="15" customHeight="1">
      <c r="C164" s="5"/>
      <c r="D164" s="5"/>
    </row>
    <row r="165" spans="3:4" ht="15" customHeight="1">
      <c r="C165" s="5"/>
      <c r="D165" s="5"/>
    </row>
    <row r="166" spans="3:4" ht="15" customHeight="1">
      <c r="C166" s="5"/>
      <c r="D166" s="5"/>
    </row>
    <row r="167" spans="3:4" ht="15" customHeight="1">
      <c r="C167" s="5"/>
      <c r="D167" s="5"/>
    </row>
    <row r="168" spans="3:4" ht="15" customHeight="1">
      <c r="C168" s="5"/>
      <c r="D168" s="5"/>
    </row>
    <row r="169" spans="3:4" ht="15" customHeight="1">
      <c r="C169" s="5"/>
      <c r="D169" s="5"/>
    </row>
    <row r="170" spans="3:4" ht="15" customHeight="1">
      <c r="C170" s="5"/>
      <c r="D170" s="5"/>
    </row>
    <row r="171" spans="3:4" ht="15" customHeight="1">
      <c r="C171" s="5"/>
      <c r="D171" s="5"/>
    </row>
    <row r="172" spans="3:4" ht="15" customHeight="1">
      <c r="C172" s="5"/>
      <c r="D172" s="5"/>
    </row>
    <row r="173" spans="3:4" ht="15" customHeight="1">
      <c r="C173" s="5"/>
      <c r="D173" s="5"/>
    </row>
    <row r="174" spans="3:4" ht="15" customHeight="1">
      <c r="C174" s="5"/>
      <c r="D174" s="5"/>
    </row>
    <row r="175" spans="3:4" ht="15" customHeight="1">
      <c r="C175" s="5"/>
      <c r="D175" s="5"/>
    </row>
    <row r="176" spans="3:4" ht="15" customHeight="1">
      <c r="C176" s="5"/>
      <c r="D176" s="5"/>
    </row>
    <row r="177" spans="3:4" ht="15" customHeight="1">
      <c r="C177" s="5"/>
      <c r="D177" s="5"/>
    </row>
    <row r="178" spans="3:4" ht="15" customHeight="1">
      <c r="C178" s="5"/>
      <c r="D178" s="5"/>
    </row>
    <row r="179" spans="3:4" ht="15" customHeight="1">
      <c r="C179" s="5"/>
      <c r="D179" s="5"/>
    </row>
    <row r="180" spans="3:4" ht="15" customHeight="1">
      <c r="C180" s="5"/>
      <c r="D180" s="5"/>
    </row>
    <row r="181" spans="3:4" ht="15" customHeight="1">
      <c r="C181" s="5"/>
      <c r="D181" s="5"/>
    </row>
    <row r="182" spans="3:4" ht="15" customHeight="1">
      <c r="C182" s="5"/>
      <c r="D182" s="5"/>
    </row>
    <row r="183" spans="3:4" ht="15" customHeight="1">
      <c r="C183" s="5"/>
      <c r="D183" s="5"/>
    </row>
    <row r="184" spans="3:4" ht="15" customHeight="1">
      <c r="C184" s="5"/>
      <c r="D184" s="5"/>
    </row>
    <row r="185" spans="3:4" ht="15" customHeight="1">
      <c r="C185" s="5"/>
      <c r="D185" s="5"/>
    </row>
    <row r="186" spans="3:4" ht="15" customHeight="1">
      <c r="C186" s="5"/>
      <c r="D186" s="5"/>
    </row>
    <row r="187" spans="3:4" ht="15" customHeight="1">
      <c r="C187" s="5"/>
      <c r="D187" s="5"/>
    </row>
    <row r="188" spans="3:4" ht="15" customHeight="1">
      <c r="C188" s="5"/>
      <c r="D188" s="5"/>
    </row>
    <row r="189" spans="3:4" ht="15" customHeight="1">
      <c r="C189" s="5"/>
      <c r="D189" s="5"/>
    </row>
    <row r="190" spans="3:4" ht="15" customHeight="1">
      <c r="C190" s="5"/>
      <c r="D190" s="5"/>
    </row>
    <row r="191" spans="3:4" ht="15" customHeight="1">
      <c r="C191" s="5"/>
      <c r="D191" s="5"/>
    </row>
    <row r="192" spans="3:4" ht="15" customHeight="1">
      <c r="C192" s="5"/>
      <c r="D192" s="5"/>
    </row>
    <row r="193" spans="3:4" ht="15" customHeight="1">
      <c r="C193" s="5"/>
      <c r="D193" s="5"/>
    </row>
    <row r="194" spans="3:4" ht="15" customHeight="1">
      <c r="C194" s="5"/>
      <c r="D194" s="5"/>
    </row>
    <row r="195" spans="3:4" ht="15" customHeight="1">
      <c r="C195" s="5"/>
      <c r="D195" s="5"/>
    </row>
    <row r="196" spans="3:4" ht="15" customHeight="1">
      <c r="C196" s="5"/>
      <c r="D196" s="5"/>
    </row>
    <row r="197" spans="3:4" ht="15" customHeight="1">
      <c r="C197" s="5"/>
      <c r="D197" s="5"/>
    </row>
    <row r="198" spans="3:4" ht="15" customHeight="1">
      <c r="C198" s="5"/>
      <c r="D198" s="5"/>
    </row>
    <row r="199" spans="3:4" ht="15" customHeight="1">
      <c r="C199" s="5"/>
      <c r="D199" s="5"/>
    </row>
    <row r="200" spans="3:4" ht="15" customHeight="1">
      <c r="C200" s="5"/>
      <c r="D200" s="5"/>
    </row>
    <row r="201" spans="3:4" ht="15" customHeight="1">
      <c r="C201" s="5"/>
      <c r="D201" s="5"/>
    </row>
    <row r="202" spans="3:4" ht="15" customHeight="1">
      <c r="C202" s="5"/>
      <c r="D202" s="5"/>
    </row>
    <row r="203" spans="3:4" ht="15" customHeight="1">
      <c r="C203" s="5"/>
      <c r="D203" s="5"/>
    </row>
    <row r="204" spans="3:4" ht="15" customHeight="1">
      <c r="C204" s="5"/>
      <c r="D204" s="5"/>
    </row>
    <row r="205" spans="3:4" ht="15" customHeight="1">
      <c r="C205" s="5"/>
      <c r="D205" s="5"/>
    </row>
    <row r="206" spans="3:4" ht="15" customHeight="1">
      <c r="C206" s="5"/>
      <c r="D206" s="5"/>
    </row>
    <row r="207" spans="3:4" ht="15" customHeight="1">
      <c r="C207" s="5"/>
      <c r="D207" s="5"/>
    </row>
    <row r="208" spans="3:4" ht="15" customHeight="1">
      <c r="C208" s="5"/>
      <c r="D208" s="5"/>
    </row>
    <row r="209" spans="3:4" ht="15" customHeight="1">
      <c r="C209" s="5"/>
      <c r="D209" s="5"/>
    </row>
    <row r="210" spans="3:4" ht="15" customHeight="1">
      <c r="C210" s="5"/>
      <c r="D210" s="5"/>
    </row>
    <row r="211" spans="3:4" ht="15" customHeight="1">
      <c r="C211" s="5"/>
      <c r="D211" s="5"/>
    </row>
    <row r="212" spans="3:4" ht="15" customHeight="1">
      <c r="C212" s="5"/>
      <c r="D212" s="5"/>
    </row>
    <row r="213" spans="3:4" ht="15" customHeight="1">
      <c r="C213" s="5"/>
      <c r="D213" s="5"/>
    </row>
    <row r="214" spans="3:4" ht="15" customHeight="1">
      <c r="C214" s="5"/>
      <c r="D214" s="5"/>
    </row>
    <row r="215" spans="3:4" ht="15" customHeight="1">
      <c r="C215" s="5"/>
      <c r="D215" s="5"/>
    </row>
    <row r="216" spans="3:4" ht="15" customHeight="1">
      <c r="C216" s="5"/>
      <c r="D216" s="5"/>
    </row>
    <row r="217" spans="3:4" ht="15" customHeight="1">
      <c r="C217" s="5"/>
      <c r="D217" s="5"/>
    </row>
    <row r="218" spans="3:4" ht="15" customHeight="1">
      <c r="C218" s="5"/>
      <c r="D218" s="5"/>
    </row>
    <row r="219" spans="3:4" ht="15" customHeight="1">
      <c r="C219" s="5"/>
      <c r="D219" s="5"/>
    </row>
    <row r="220" spans="3:4" ht="15" customHeight="1">
      <c r="C220" s="5"/>
      <c r="D220" s="5"/>
    </row>
    <row r="221" spans="3:4" ht="15" customHeight="1">
      <c r="C221" s="5"/>
      <c r="D221" s="5"/>
    </row>
    <row r="222" spans="3:4" ht="15" customHeight="1">
      <c r="C222" s="5"/>
      <c r="D222" s="5"/>
    </row>
    <row r="223" spans="3:4" ht="15" customHeight="1">
      <c r="C223" s="5"/>
      <c r="D223" s="5"/>
    </row>
    <row r="224" spans="3:4" ht="15" customHeight="1">
      <c r="C224" s="5"/>
      <c r="D224" s="5"/>
    </row>
    <row r="225" spans="3:4" ht="15" customHeight="1">
      <c r="C225" s="5"/>
      <c r="D225" s="5"/>
    </row>
    <row r="226" spans="3:4" ht="15" customHeight="1">
      <c r="C226" s="5"/>
      <c r="D226" s="5"/>
    </row>
    <row r="227" spans="3:4" ht="15" customHeight="1">
      <c r="C227" s="5"/>
      <c r="D227" s="5"/>
    </row>
    <row r="228" spans="3:4" ht="15" customHeight="1">
      <c r="C228" s="5"/>
      <c r="D228" s="5"/>
    </row>
    <row r="229" spans="3:4" ht="15" customHeight="1">
      <c r="C229" s="5"/>
      <c r="D229" s="5"/>
    </row>
    <row r="230" spans="3:4" ht="15" customHeight="1">
      <c r="C230" s="5"/>
      <c r="D230" s="5"/>
    </row>
    <row r="231" spans="3:4" ht="15" customHeight="1">
      <c r="C231" s="5"/>
      <c r="D231" s="5"/>
    </row>
    <row r="232" spans="3:4" ht="15" customHeight="1">
      <c r="C232" s="5"/>
      <c r="D232" s="5"/>
    </row>
    <row r="233" spans="3:4" ht="15" customHeight="1">
      <c r="C233" s="5"/>
      <c r="D233" s="5"/>
    </row>
    <row r="234" spans="3:4" ht="15" customHeight="1">
      <c r="C234" s="5"/>
      <c r="D234" s="5"/>
    </row>
    <row r="235" spans="3:4" ht="15" customHeight="1">
      <c r="C235" s="5"/>
      <c r="D235" s="5"/>
    </row>
    <row r="236" spans="3:4" ht="15" customHeight="1">
      <c r="C236" s="5"/>
      <c r="D236" s="5"/>
    </row>
    <row r="237" spans="3:4" ht="15" customHeight="1">
      <c r="C237" s="5"/>
      <c r="D237" s="5"/>
    </row>
    <row r="238" spans="3:4" ht="15" customHeight="1">
      <c r="C238" s="5"/>
      <c r="D238" s="5"/>
    </row>
    <row r="239" spans="3:4" ht="15" customHeight="1">
      <c r="C239" s="5"/>
      <c r="D239" s="5"/>
    </row>
    <row r="240" spans="3:4" ht="15" customHeight="1">
      <c r="C240" s="5"/>
      <c r="D240" s="5"/>
    </row>
    <row r="241" spans="3:4" ht="15" customHeight="1">
      <c r="C241" s="5"/>
      <c r="D241" s="5"/>
    </row>
    <row r="242" spans="3:4" ht="15" customHeight="1">
      <c r="C242" s="5"/>
      <c r="D242" s="5"/>
    </row>
    <row r="243" spans="3:4" ht="15" customHeight="1">
      <c r="C243" s="5"/>
      <c r="D243" s="5"/>
    </row>
    <row r="244" spans="3:4" ht="15" customHeight="1">
      <c r="C244" s="5"/>
      <c r="D244" s="5"/>
    </row>
    <row r="245" spans="3:4" ht="15" customHeight="1">
      <c r="C245" s="5"/>
      <c r="D245" s="5"/>
    </row>
    <row r="246" spans="3:4" ht="15" customHeight="1">
      <c r="C246" s="5"/>
      <c r="D246" s="5"/>
    </row>
    <row r="247" spans="3:4" ht="15" customHeight="1">
      <c r="C247" s="5"/>
      <c r="D247" s="5"/>
    </row>
    <row r="248" spans="3:4" ht="15" customHeight="1">
      <c r="C248" s="5"/>
      <c r="D248" s="5"/>
    </row>
    <row r="249" spans="3:4" ht="15" customHeight="1">
      <c r="C249" s="5"/>
      <c r="D249" s="5"/>
    </row>
    <row r="250" spans="3:4" ht="15" customHeight="1">
      <c r="C250" s="5"/>
      <c r="D250" s="5"/>
    </row>
    <row r="251" spans="3:4" ht="15" customHeight="1">
      <c r="C251" s="5"/>
      <c r="D251" s="5"/>
    </row>
    <row r="252" spans="3:4" ht="15" customHeight="1">
      <c r="C252" s="5"/>
      <c r="D252" s="5"/>
    </row>
    <row r="253" spans="3:4" ht="15" customHeight="1">
      <c r="C253" s="5"/>
      <c r="D253" s="5"/>
    </row>
    <row r="254" spans="3:4" ht="15" customHeight="1">
      <c r="C254" s="5"/>
      <c r="D254" s="5"/>
    </row>
    <row r="255" spans="3:4" ht="15" customHeight="1">
      <c r="C255" s="5"/>
      <c r="D255" s="5"/>
    </row>
    <row r="256" spans="3:4" ht="15" customHeight="1">
      <c r="C256" s="5"/>
      <c r="D256" s="5"/>
    </row>
    <row r="257" spans="3:4" ht="15" customHeight="1">
      <c r="C257" s="5"/>
      <c r="D257" s="5"/>
    </row>
    <row r="258" spans="3:4" ht="15" customHeight="1">
      <c r="C258" s="5"/>
      <c r="D258" s="5"/>
    </row>
    <row r="259" spans="3:4" ht="15" customHeight="1">
      <c r="C259" s="5"/>
      <c r="D259" s="5"/>
    </row>
    <row r="260" spans="3:4" ht="15" customHeight="1">
      <c r="C260" s="5"/>
      <c r="D260" s="5"/>
    </row>
    <row r="261" spans="3:4" ht="15" customHeight="1">
      <c r="C261" s="5"/>
      <c r="D261" s="5"/>
    </row>
    <row r="262" spans="3:4" ht="15" customHeight="1">
      <c r="C262" s="5"/>
      <c r="D262" s="5"/>
    </row>
    <row r="263" spans="3:4" ht="15" customHeight="1">
      <c r="C263" s="5"/>
      <c r="D263" s="5"/>
    </row>
    <row r="264" spans="3:4" ht="15" customHeight="1">
      <c r="C264" s="5"/>
      <c r="D264" s="5"/>
    </row>
    <row r="265" spans="3:4" ht="15" customHeight="1">
      <c r="C265" s="5"/>
      <c r="D265" s="5"/>
    </row>
    <row r="266" spans="3:4" ht="15" customHeight="1">
      <c r="C266" s="5"/>
      <c r="D266" s="5"/>
    </row>
    <row r="267" spans="3:4" ht="15" customHeight="1">
      <c r="C267" s="5"/>
      <c r="D267" s="5"/>
    </row>
    <row r="268" spans="3:4" ht="15" customHeight="1">
      <c r="C268" s="5"/>
      <c r="D268" s="5"/>
    </row>
    <row r="269" spans="3:4" ht="15" customHeight="1">
      <c r="C269" s="5"/>
      <c r="D269" s="5"/>
    </row>
    <row r="270" spans="3:4" ht="15" customHeight="1">
      <c r="C270" s="5"/>
      <c r="D270" s="5"/>
    </row>
    <row r="271" spans="3:4" ht="15" customHeight="1">
      <c r="C271" s="5"/>
      <c r="D271" s="5"/>
    </row>
    <row r="272" spans="3:4" ht="15" customHeight="1">
      <c r="C272" s="5"/>
      <c r="D272" s="5"/>
    </row>
    <row r="273" spans="3:4" ht="15" customHeight="1">
      <c r="C273" s="5"/>
      <c r="D273" s="5"/>
    </row>
    <row r="274" spans="3:4" ht="15" customHeight="1">
      <c r="C274" s="5"/>
      <c r="D274" s="5"/>
    </row>
    <row r="275" spans="3:4" ht="15" customHeight="1">
      <c r="C275" s="5"/>
      <c r="D275" s="5"/>
    </row>
    <row r="276" spans="3:4" ht="15" customHeight="1">
      <c r="C276" s="5"/>
      <c r="D276" s="5"/>
    </row>
    <row r="277" spans="3:4" ht="15" customHeight="1">
      <c r="C277" s="5"/>
      <c r="D277" s="5"/>
    </row>
    <row r="278" spans="3:4" ht="15" customHeight="1">
      <c r="C278" s="5"/>
      <c r="D278" s="5"/>
    </row>
    <row r="279" spans="3:4" ht="15" customHeight="1">
      <c r="C279" s="5"/>
      <c r="D279" s="5"/>
    </row>
    <row r="280" spans="3:4" ht="15" customHeight="1">
      <c r="C280" s="5"/>
      <c r="D280" s="5"/>
    </row>
    <row r="281" spans="3:4" ht="15" customHeight="1">
      <c r="C281" s="5"/>
      <c r="D281" s="5"/>
    </row>
    <row r="282" spans="3:4" ht="15" customHeight="1">
      <c r="C282" s="5"/>
      <c r="D282" s="5"/>
    </row>
    <row r="283" spans="3:4" ht="15" customHeight="1">
      <c r="C283" s="5"/>
      <c r="D283" s="5"/>
    </row>
    <row r="284" spans="3:4" ht="15" customHeight="1">
      <c r="C284" s="5"/>
      <c r="D284" s="5"/>
    </row>
    <row r="285" spans="3:4" ht="15" customHeight="1">
      <c r="C285" s="5"/>
      <c r="D285" s="5"/>
    </row>
    <row r="286" spans="3:4" ht="15" customHeight="1">
      <c r="C286" s="5"/>
      <c r="D286" s="5"/>
    </row>
    <row r="287" spans="3:4" ht="15" customHeight="1">
      <c r="C287" s="5"/>
      <c r="D287" s="5"/>
    </row>
    <row r="288" spans="3:4" ht="15" customHeight="1">
      <c r="C288" s="5"/>
      <c r="D288" s="5"/>
    </row>
    <row r="289" spans="3:4" ht="15" customHeight="1">
      <c r="C289" s="5"/>
      <c r="D289" s="5"/>
    </row>
    <row r="290" spans="3:4" ht="15" customHeight="1">
      <c r="C290" s="5"/>
      <c r="D290" s="5"/>
    </row>
    <row r="291" spans="3:4" ht="15" customHeight="1">
      <c r="C291" s="5"/>
      <c r="D291" s="5"/>
    </row>
    <row r="292" spans="3:4" ht="15" customHeight="1">
      <c r="C292" s="5"/>
      <c r="D292" s="5"/>
    </row>
    <row r="293" spans="3:4" ht="15" customHeight="1">
      <c r="C293" s="5"/>
      <c r="D293" s="5"/>
    </row>
    <row r="294" spans="3:4" ht="15" customHeight="1">
      <c r="C294" s="5"/>
      <c r="D294" s="5"/>
    </row>
    <row r="295" spans="3:4" ht="15" customHeight="1">
      <c r="C295" s="5"/>
      <c r="D295" s="5"/>
    </row>
    <row r="296" spans="3:4" ht="15" customHeight="1">
      <c r="C296" s="5"/>
      <c r="D296" s="5"/>
    </row>
    <row r="297" spans="3:4" ht="15" customHeight="1">
      <c r="C297" s="5"/>
      <c r="D297" s="5"/>
    </row>
    <row r="298" spans="3:4" ht="15" customHeight="1">
      <c r="C298" s="5"/>
      <c r="D298" s="5"/>
    </row>
    <row r="299" spans="3:4" ht="15" customHeight="1">
      <c r="C299" s="5"/>
      <c r="D299" s="5"/>
    </row>
    <row r="300" spans="3:4" ht="15" customHeight="1">
      <c r="C300" s="5"/>
      <c r="D300" s="5"/>
    </row>
    <row r="301" spans="3:4" ht="15" customHeight="1">
      <c r="C301" s="5"/>
      <c r="D301" s="5"/>
    </row>
    <row r="302" spans="3:4" ht="15" customHeight="1">
      <c r="C302" s="5"/>
      <c r="D302" s="5"/>
    </row>
    <row r="303" spans="3:4" ht="15" customHeight="1">
      <c r="C303" s="5"/>
      <c r="D303" s="5"/>
    </row>
    <row r="304" spans="3:4" ht="15" customHeight="1">
      <c r="C304" s="5"/>
      <c r="D304" s="5"/>
    </row>
    <row r="305" spans="3:4" ht="15" customHeight="1">
      <c r="C305" s="5"/>
      <c r="D305" s="5"/>
    </row>
    <row r="306" spans="3:4" ht="15" customHeight="1">
      <c r="C306" s="5"/>
      <c r="D306" s="5"/>
    </row>
    <row r="307" spans="3:4" ht="15" customHeight="1">
      <c r="C307" s="5"/>
      <c r="D307" s="5"/>
    </row>
    <row r="308" spans="3:4" ht="15" customHeight="1">
      <c r="C308" s="5"/>
      <c r="D308" s="5"/>
    </row>
    <row r="309" spans="3:4" ht="15" customHeight="1">
      <c r="C309" s="5"/>
      <c r="D309" s="5"/>
    </row>
    <row r="310" spans="3:4" ht="15" customHeight="1">
      <c r="C310" s="5"/>
      <c r="D310" s="5"/>
    </row>
    <row r="311" spans="3:4" ht="15" customHeight="1">
      <c r="C311" s="5"/>
      <c r="D311" s="5"/>
    </row>
    <row r="312" spans="3:4" ht="15" customHeight="1">
      <c r="C312" s="5"/>
      <c r="D312" s="5"/>
    </row>
    <row r="313" spans="3:4" ht="15" customHeight="1">
      <c r="C313" s="5"/>
      <c r="D313" s="5"/>
    </row>
    <row r="314" spans="3:4" ht="15" customHeight="1">
      <c r="C314" s="5"/>
      <c r="D314" s="5"/>
    </row>
    <row r="315" spans="3:4" ht="15" customHeight="1">
      <c r="C315" s="5"/>
      <c r="D315" s="5"/>
    </row>
    <row r="316" spans="3:4" ht="15" customHeight="1">
      <c r="C316" s="5"/>
      <c r="D316" s="5"/>
    </row>
    <row r="317" spans="3:4" ht="15" customHeight="1">
      <c r="C317" s="5"/>
      <c r="D317" s="5"/>
    </row>
    <row r="318" spans="3:4" ht="15" customHeight="1">
      <c r="C318" s="5"/>
      <c r="D318" s="5"/>
    </row>
    <row r="319" spans="3:4" ht="15" customHeight="1">
      <c r="C319" s="5"/>
      <c r="D319" s="5"/>
    </row>
    <row r="320" spans="3:4" ht="15" customHeight="1">
      <c r="C320" s="5"/>
      <c r="D320" s="5"/>
    </row>
    <row r="321" spans="3:4" ht="15" customHeight="1">
      <c r="C321" s="5"/>
      <c r="D321" s="5"/>
    </row>
    <row r="322" spans="3:4" ht="15" customHeight="1">
      <c r="C322" s="5"/>
      <c r="D322" s="5"/>
    </row>
    <row r="323" spans="3:4" ht="15" customHeight="1">
      <c r="C323" s="5"/>
      <c r="D323" s="5"/>
    </row>
    <row r="324" spans="3:4" ht="15" customHeight="1">
      <c r="C324" s="5"/>
      <c r="D324" s="5"/>
    </row>
    <row r="325" spans="3:4" ht="15" customHeight="1">
      <c r="C325" s="5"/>
      <c r="D325" s="5"/>
    </row>
    <row r="326" spans="3:4" ht="15" customHeight="1">
      <c r="C326" s="5"/>
      <c r="D326" s="5"/>
    </row>
    <row r="327" spans="3:4" ht="15" customHeight="1">
      <c r="C327" s="5"/>
      <c r="D327" s="5"/>
    </row>
    <row r="328" spans="3:4" ht="15" customHeight="1">
      <c r="C328" s="5"/>
      <c r="D328" s="5"/>
    </row>
    <row r="329" spans="3:4" ht="15" customHeight="1">
      <c r="C329" s="5"/>
      <c r="D329" s="5"/>
    </row>
    <row r="330" spans="3:4" ht="15" customHeight="1">
      <c r="C330" s="5"/>
      <c r="D330" s="5"/>
    </row>
    <row r="331" spans="3:4" ht="15" customHeight="1">
      <c r="C331" s="5"/>
      <c r="D331" s="5"/>
    </row>
    <row r="332" spans="3:4" ht="15" customHeight="1">
      <c r="C332" s="5"/>
      <c r="D332" s="5"/>
    </row>
    <row r="333" spans="3:4" ht="15" customHeight="1">
      <c r="C333" s="5"/>
      <c r="D333" s="5"/>
    </row>
    <row r="334" spans="3:4" ht="15" customHeight="1">
      <c r="C334" s="5"/>
      <c r="D334" s="5"/>
    </row>
    <row r="335" spans="3:4" ht="15" customHeight="1">
      <c r="C335" s="5"/>
      <c r="D335" s="5"/>
    </row>
    <row r="336" spans="3:4" ht="15" customHeight="1">
      <c r="C336" s="5"/>
      <c r="D336" s="5"/>
    </row>
    <row r="337" spans="3:4" ht="15" customHeight="1">
      <c r="C337" s="5"/>
      <c r="D337" s="5"/>
    </row>
    <row r="338" spans="3:4" ht="15" customHeight="1">
      <c r="C338" s="5"/>
      <c r="D338" s="5"/>
    </row>
    <row r="339" spans="3:4" ht="15" customHeight="1">
      <c r="C339" s="5"/>
      <c r="D339" s="5"/>
    </row>
    <row r="340" spans="3:4" ht="15" customHeight="1">
      <c r="C340" s="5"/>
      <c r="D340" s="5"/>
    </row>
    <row r="341" spans="3:4" ht="15" customHeight="1">
      <c r="C341" s="5"/>
      <c r="D341" s="5"/>
    </row>
    <row r="342" spans="3:4" ht="15" customHeight="1">
      <c r="C342" s="5"/>
      <c r="D342" s="5"/>
    </row>
    <row r="343" spans="3:4" ht="15" customHeight="1">
      <c r="C343" s="5"/>
      <c r="D343" s="5"/>
    </row>
    <row r="344" spans="3:4" ht="15" customHeight="1">
      <c r="C344" s="5"/>
      <c r="D344" s="5"/>
    </row>
    <row r="345" spans="3:4" ht="15" customHeight="1">
      <c r="C345" s="5"/>
      <c r="D345" s="5"/>
    </row>
    <row r="346" spans="3:4" ht="15" customHeight="1">
      <c r="C346" s="5"/>
      <c r="D346" s="5"/>
    </row>
    <row r="347" spans="3:4" ht="15" customHeight="1">
      <c r="C347" s="5"/>
      <c r="D347" s="5"/>
    </row>
    <row r="348" spans="3:4" ht="15" customHeight="1">
      <c r="C348" s="5"/>
      <c r="D348" s="5"/>
    </row>
    <row r="349" spans="3:4" ht="15" customHeight="1">
      <c r="C349" s="5"/>
      <c r="D349" s="5"/>
    </row>
    <row r="350" spans="3:4" ht="15" customHeight="1">
      <c r="C350" s="5"/>
      <c r="D350" s="5"/>
    </row>
    <row r="351" spans="3:4" ht="15" customHeight="1">
      <c r="C351" s="5"/>
      <c r="D351" s="5"/>
    </row>
    <row r="352" spans="3:4" ht="15" customHeight="1">
      <c r="C352" s="5"/>
      <c r="D352" s="5"/>
    </row>
    <row r="353" spans="3:4" ht="15" customHeight="1">
      <c r="C353" s="5"/>
      <c r="D353" s="5"/>
    </row>
    <row r="354" spans="3:4" ht="15" customHeight="1">
      <c r="C354" s="5"/>
      <c r="D354" s="5"/>
    </row>
    <row r="355" spans="3:4" ht="15" customHeight="1">
      <c r="C355" s="5"/>
      <c r="D355" s="5"/>
    </row>
    <row r="356" spans="3:4" ht="15" customHeight="1">
      <c r="C356" s="5"/>
      <c r="D356" s="5"/>
    </row>
    <row r="357" spans="3:4" ht="15" customHeight="1">
      <c r="C357" s="5"/>
      <c r="D357" s="5"/>
    </row>
    <row r="358" spans="3:4" ht="15" customHeight="1">
      <c r="C358" s="5"/>
      <c r="D358" s="5"/>
    </row>
    <row r="359" spans="3:4" ht="15" customHeight="1">
      <c r="C359" s="5"/>
      <c r="D359" s="5"/>
    </row>
    <row r="360" spans="3:4" ht="15" customHeight="1">
      <c r="C360" s="5"/>
      <c r="D360" s="5"/>
    </row>
    <row r="361" spans="3:4" ht="15" customHeight="1">
      <c r="C361" s="5"/>
      <c r="D361" s="5"/>
    </row>
    <row r="362" spans="3:4" ht="15" customHeight="1">
      <c r="C362" s="5"/>
      <c r="D362" s="5"/>
    </row>
    <row r="363" spans="3:4" ht="15" customHeight="1">
      <c r="C363" s="5"/>
      <c r="D363" s="5"/>
    </row>
    <row r="364" spans="3:4" ht="15" customHeight="1">
      <c r="C364" s="5"/>
      <c r="D364" s="5"/>
    </row>
    <row r="365" spans="3:4" ht="15" customHeight="1">
      <c r="C365" s="5"/>
      <c r="D365" s="5"/>
    </row>
    <row r="366" spans="3:4" ht="15" customHeight="1">
      <c r="C366" s="5"/>
      <c r="D366" s="5"/>
    </row>
    <row r="367" spans="3:4" ht="15" customHeight="1">
      <c r="C367" s="5"/>
      <c r="D367" s="5"/>
    </row>
    <row r="368" spans="3:4" ht="15" customHeight="1">
      <c r="C368" s="5"/>
      <c r="D368" s="5"/>
    </row>
    <row r="369" spans="3:4" ht="15" customHeight="1">
      <c r="C369" s="5"/>
      <c r="D369" s="5"/>
    </row>
    <row r="370" spans="3:4" ht="15" customHeight="1">
      <c r="C370" s="5"/>
      <c r="D370" s="5"/>
    </row>
    <row r="371" spans="3:4" ht="15" customHeight="1">
      <c r="C371" s="5"/>
      <c r="D371" s="5"/>
    </row>
    <row r="372" spans="3:4" ht="15" customHeight="1">
      <c r="C372" s="5"/>
      <c r="D372" s="5"/>
    </row>
    <row r="373" spans="3:4" ht="15" customHeight="1">
      <c r="C373" s="5"/>
      <c r="D373" s="5"/>
    </row>
    <row r="374" spans="3:4" ht="15" customHeight="1">
      <c r="C374" s="5"/>
      <c r="D374" s="5"/>
    </row>
    <row r="375" spans="3:4" ht="15" customHeight="1">
      <c r="C375" s="5"/>
      <c r="D375" s="5"/>
    </row>
    <row r="376" spans="3:4" ht="15" customHeight="1">
      <c r="C376" s="5"/>
      <c r="D376" s="5"/>
    </row>
    <row r="377" spans="3:4" ht="15" customHeight="1">
      <c r="C377" s="5"/>
      <c r="D377" s="5"/>
    </row>
    <row r="378" spans="3:4" ht="15" customHeight="1">
      <c r="C378" s="5"/>
      <c r="D378" s="5"/>
    </row>
    <row r="379" spans="3:4" ht="15" customHeight="1">
      <c r="C379" s="5"/>
      <c r="D379" s="5"/>
    </row>
    <row r="380" spans="3:4" ht="15" customHeight="1">
      <c r="C380" s="5"/>
      <c r="D380" s="5"/>
    </row>
    <row r="381" spans="3:4" ht="15" customHeight="1">
      <c r="C381" s="5"/>
      <c r="D381" s="5"/>
    </row>
    <row r="382" spans="3:4" ht="15" customHeight="1">
      <c r="C382" s="5"/>
      <c r="D382" s="5"/>
    </row>
    <row r="383" spans="3:4" ht="15" customHeight="1">
      <c r="C383" s="5"/>
      <c r="D383" s="5"/>
    </row>
    <row r="384" spans="3:4" ht="15" customHeight="1">
      <c r="C384" s="5"/>
      <c r="D384" s="5"/>
    </row>
    <row r="385" spans="3:4" ht="15" customHeight="1">
      <c r="C385" s="5"/>
      <c r="D385" s="5"/>
    </row>
    <row r="386" spans="3:4" ht="15" customHeight="1">
      <c r="C386" s="5"/>
      <c r="D386" s="5"/>
    </row>
    <row r="387" spans="3:4" ht="15" customHeight="1">
      <c r="C387" s="5"/>
      <c r="D387" s="5"/>
    </row>
    <row r="388" spans="3:4" ht="15" customHeight="1">
      <c r="C388" s="5"/>
      <c r="D388" s="5"/>
    </row>
    <row r="389" spans="3:4" ht="15" customHeight="1">
      <c r="C389" s="5"/>
      <c r="D389" s="5"/>
    </row>
    <row r="390" spans="3:4" ht="15" customHeight="1">
      <c r="C390" s="5"/>
      <c r="D390" s="5"/>
    </row>
    <row r="391" spans="3:4" ht="15" customHeight="1">
      <c r="C391" s="5"/>
      <c r="D391" s="5"/>
    </row>
    <row r="392" spans="3:4" ht="15" customHeight="1">
      <c r="C392" s="5"/>
      <c r="D392" s="5"/>
    </row>
    <row r="393" spans="3:4" ht="15" customHeight="1">
      <c r="C393" s="5"/>
      <c r="D393" s="5"/>
    </row>
    <row r="394" spans="3:4" ht="15" customHeight="1">
      <c r="C394" s="5"/>
      <c r="D394" s="5"/>
    </row>
    <row r="395" spans="3:4" ht="15" customHeight="1">
      <c r="C395" s="5"/>
      <c r="D395" s="5"/>
    </row>
    <row r="396" spans="3:4" ht="15" customHeight="1">
      <c r="C396" s="5"/>
      <c r="D396" s="5"/>
    </row>
    <row r="397" spans="3:4" ht="15" customHeight="1">
      <c r="C397" s="5"/>
      <c r="D397" s="5"/>
    </row>
    <row r="398" spans="3:4" ht="15" customHeight="1">
      <c r="C398" s="5"/>
      <c r="D398" s="5"/>
    </row>
    <row r="399" spans="3:4" ht="15" customHeight="1">
      <c r="C399" s="5"/>
      <c r="D399" s="5"/>
    </row>
    <row r="400" spans="3:4" ht="15" customHeight="1">
      <c r="C400" s="5"/>
      <c r="D400" s="5"/>
    </row>
    <row r="401" spans="3:4" ht="15" customHeight="1">
      <c r="C401" s="5"/>
      <c r="D401" s="5"/>
    </row>
    <row r="402" spans="3:4" ht="15" customHeight="1">
      <c r="C402" s="5"/>
      <c r="D402" s="5"/>
    </row>
    <row r="403" spans="3:4" ht="15" customHeight="1">
      <c r="C403" s="5"/>
      <c r="D403" s="5"/>
    </row>
    <row r="404" spans="3:4" ht="15" customHeight="1">
      <c r="C404" s="5"/>
      <c r="D404" s="5"/>
    </row>
    <row r="405" spans="3:4" ht="15" customHeight="1">
      <c r="C405" s="5"/>
      <c r="D405" s="5"/>
    </row>
    <row r="406" spans="3:4" ht="15" customHeight="1">
      <c r="C406" s="5"/>
      <c r="D406" s="5"/>
    </row>
    <row r="407" spans="3:4" ht="15" customHeight="1">
      <c r="C407" s="5"/>
      <c r="D407" s="5"/>
    </row>
    <row r="408" spans="3:4" ht="15" customHeight="1">
      <c r="C408" s="5"/>
      <c r="D408" s="5"/>
    </row>
    <row r="409" spans="3:4" ht="15" customHeight="1">
      <c r="C409" s="5"/>
      <c r="D409" s="5"/>
    </row>
    <row r="410" spans="3:4" ht="15" customHeight="1">
      <c r="C410" s="5"/>
      <c r="D410" s="5"/>
    </row>
    <row r="411" spans="3:4" ht="15" customHeight="1">
      <c r="C411" s="5"/>
      <c r="D411" s="5"/>
    </row>
    <row r="412" spans="3:4" ht="15" customHeight="1">
      <c r="C412" s="5"/>
      <c r="D412" s="5"/>
    </row>
    <row r="413" spans="3:4" ht="15" customHeight="1">
      <c r="C413" s="5"/>
      <c r="D413" s="5"/>
    </row>
    <row r="414" spans="3:4" ht="15" customHeight="1">
      <c r="C414" s="5"/>
      <c r="D414" s="5"/>
    </row>
    <row r="415" spans="3:4" ht="15" customHeight="1">
      <c r="C415" s="5"/>
      <c r="D415" s="5"/>
    </row>
    <row r="416" spans="3:4" ht="15" customHeight="1">
      <c r="C416" s="5"/>
      <c r="D416" s="5"/>
    </row>
    <row r="417" spans="3:4" ht="15" customHeight="1">
      <c r="C417" s="5"/>
      <c r="D417" s="5"/>
    </row>
    <row r="418" spans="3:4" ht="15" customHeight="1">
      <c r="C418" s="5"/>
      <c r="D418" s="5"/>
    </row>
    <row r="419" spans="3:4" ht="15" customHeight="1">
      <c r="C419" s="5"/>
      <c r="D419" s="5"/>
    </row>
    <row r="420" spans="3:4" ht="15" customHeight="1">
      <c r="C420" s="5"/>
      <c r="D420" s="5"/>
    </row>
    <row r="421" spans="3:4" ht="15" customHeight="1">
      <c r="C421" s="5"/>
      <c r="D421" s="5"/>
    </row>
    <row r="422" spans="3:4" ht="15" customHeight="1">
      <c r="C422" s="5"/>
      <c r="D422" s="5"/>
    </row>
    <row r="423" spans="3:4" ht="15" customHeight="1">
      <c r="C423" s="5"/>
      <c r="D423" s="5"/>
    </row>
    <row r="424" spans="3:4" ht="15" customHeight="1">
      <c r="C424" s="5"/>
      <c r="D424" s="5"/>
    </row>
    <row r="425" spans="3:4" ht="15" customHeight="1">
      <c r="C425" s="5"/>
      <c r="D425" s="5"/>
    </row>
    <row r="426" spans="3:4" ht="15" customHeight="1">
      <c r="C426" s="5"/>
      <c r="D426" s="5"/>
    </row>
    <row r="427" spans="3:4" ht="15" customHeight="1">
      <c r="C427" s="5"/>
      <c r="D427" s="5"/>
    </row>
    <row r="428" spans="3:4" ht="15" customHeight="1">
      <c r="C428" s="5"/>
      <c r="D428" s="5"/>
    </row>
    <row r="429" spans="3:4" ht="15" customHeight="1">
      <c r="C429" s="5"/>
      <c r="D429" s="5"/>
    </row>
    <row r="430" spans="3:4" ht="15" customHeight="1">
      <c r="C430" s="5"/>
      <c r="D430" s="5"/>
    </row>
    <row r="431" spans="3:4" ht="15" customHeight="1">
      <c r="C431" s="5"/>
      <c r="D431" s="5"/>
    </row>
    <row r="432" spans="3:4" ht="15" customHeight="1">
      <c r="C432" s="5"/>
      <c r="D432" s="5"/>
    </row>
    <row r="433" spans="3:4" ht="15" customHeight="1">
      <c r="C433" s="5"/>
      <c r="D433" s="5"/>
    </row>
    <row r="434" spans="3:4" ht="15" customHeight="1">
      <c r="C434" s="5"/>
      <c r="D434" s="5"/>
    </row>
    <row r="435" spans="3:4" ht="15" customHeight="1">
      <c r="C435" s="5"/>
      <c r="D435" s="5"/>
    </row>
    <row r="436" spans="3:4" ht="15" customHeight="1">
      <c r="C436" s="5"/>
      <c r="D436" s="5"/>
    </row>
    <row r="437" spans="3:4" ht="15" customHeight="1">
      <c r="C437" s="5"/>
      <c r="D437" s="5"/>
    </row>
    <row r="438" spans="3:4" ht="15" customHeight="1">
      <c r="C438" s="5"/>
      <c r="D438" s="5"/>
    </row>
    <row r="439" spans="3:4" ht="15" customHeight="1">
      <c r="C439" s="5"/>
      <c r="D439" s="5"/>
    </row>
    <row r="440" spans="3:4" ht="15" customHeight="1">
      <c r="C440" s="5"/>
      <c r="D440" s="5"/>
    </row>
    <row r="441" spans="3:4" ht="15" customHeight="1">
      <c r="C441" s="5"/>
      <c r="D441" s="5"/>
    </row>
    <row r="442" spans="3:4" ht="15" customHeight="1">
      <c r="C442" s="5"/>
      <c r="D442" s="5"/>
    </row>
    <row r="443" spans="3:4" ht="15" customHeight="1">
      <c r="C443" s="5"/>
      <c r="D443" s="5"/>
    </row>
    <row r="444" spans="3:4" ht="15" customHeight="1">
      <c r="C444" s="5"/>
      <c r="D444" s="5"/>
    </row>
    <row r="445" spans="3:4" ht="15" customHeight="1">
      <c r="C445" s="5"/>
      <c r="D445" s="5"/>
    </row>
    <row r="446" spans="3:4" ht="15" customHeight="1">
      <c r="C446" s="5"/>
      <c r="D446" s="5"/>
    </row>
    <row r="447" spans="3:4" ht="15" customHeight="1">
      <c r="C447" s="5"/>
      <c r="D447" s="5"/>
    </row>
    <row r="448" spans="3:4" ht="15" customHeight="1">
      <c r="C448" s="5"/>
      <c r="D448" s="5"/>
    </row>
    <row r="449" spans="3:4" ht="15" customHeight="1">
      <c r="C449" s="5"/>
      <c r="D449" s="5"/>
    </row>
    <row r="450" spans="3:4" ht="15" customHeight="1">
      <c r="C450" s="5"/>
      <c r="D450" s="5"/>
    </row>
    <row r="451" spans="3:4" ht="15" customHeight="1">
      <c r="C451" s="5"/>
      <c r="D451" s="5"/>
    </row>
    <row r="452" spans="3:4" ht="15" customHeight="1">
      <c r="C452" s="5"/>
      <c r="D452" s="5"/>
    </row>
    <row r="453" spans="3:4" ht="15" customHeight="1">
      <c r="C453" s="5"/>
      <c r="D453" s="5"/>
    </row>
    <row r="454" spans="3:4" ht="15" customHeight="1">
      <c r="C454" s="5"/>
      <c r="D454" s="5"/>
    </row>
    <row r="455" spans="3:4" ht="15" customHeight="1">
      <c r="C455" s="5"/>
      <c r="D455" s="5"/>
    </row>
    <row r="456" spans="3:4" ht="15" customHeight="1">
      <c r="C456" s="5"/>
      <c r="D456" s="5"/>
    </row>
    <row r="457" spans="3:4" ht="15" customHeight="1">
      <c r="C457" s="5"/>
      <c r="D457" s="5"/>
    </row>
    <row r="458" spans="3:4" ht="15" customHeight="1">
      <c r="C458" s="5"/>
      <c r="D458" s="5"/>
    </row>
    <row r="459" spans="3:4" ht="15" customHeight="1">
      <c r="C459" s="5"/>
      <c r="D459" s="5"/>
    </row>
    <row r="460" spans="3:4" ht="15" customHeight="1">
      <c r="C460" s="5"/>
      <c r="D460" s="5"/>
    </row>
    <row r="461" spans="3:4" ht="15" customHeight="1">
      <c r="C461" s="5"/>
      <c r="D461" s="5"/>
    </row>
    <row r="462" spans="3:4" ht="15" customHeight="1">
      <c r="C462" s="5"/>
      <c r="D462" s="5"/>
    </row>
    <row r="463" spans="3:4" ht="15" customHeight="1">
      <c r="C463" s="5"/>
      <c r="D463" s="5"/>
    </row>
    <row r="464" spans="3:4" ht="15" customHeight="1">
      <c r="C464" s="5"/>
      <c r="D464" s="5"/>
    </row>
    <row r="465" spans="3:4" ht="15" customHeight="1">
      <c r="C465" s="5"/>
      <c r="D465" s="5"/>
    </row>
    <row r="466" spans="3:4" ht="15" customHeight="1">
      <c r="C466" s="5"/>
      <c r="D466" s="5"/>
    </row>
    <row r="467" spans="3:4" ht="15" customHeight="1">
      <c r="C467" s="5"/>
      <c r="D467" s="5"/>
    </row>
    <row r="468" spans="3:4" ht="15" customHeight="1">
      <c r="C468" s="5"/>
      <c r="D468" s="5"/>
    </row>
    <row r="469" spans="3:4" ht="15" customHeight="1">
      <c r="C469" s="5"/>
      <c r="D469" s="5"/>
    </row>
    <row r="470" spans="3:4" ht="15" customHeight="1">
      <c r="C470" s="5"/>
      <c r="D470" s="5"/>
    </row>
    <row r="471" spans="3:4" ht="15" customHeight="1">
      <c r="C471" s="5"/>
      <c r="D471" s="5"/>
    </row>
    <row r="472" spans="3:4" ht="15" customHeight="1">
      <c r="C472" s="5"/>
      <c r="D472" s="5"/>
    </row>
    <row r="473" spans="3:4" ht="15" customHeight="1">
      <c r="C473" s="5"/>
      <c r="D473" s="5"/>
    </row>
    <row r="474" spans="3:4" ht="15" customHeight="1">
      <c r="C474" s="5"/>
      <c r="D474" s="5"/>
    </row>
    <row r="475" spans="3:4" ht="15" customHeight="1">
      <c r="C475" s="5"/>
      <c r="D475" s="5"/>
    </row>
    <row r="476" spans="3:4" ht="15" customHeight="1">
      <c r="C476" s="5"/>
      <c r="D476" s="5"/>
    </row>
    <row r="477" spans="3:4" ht="15" customHeight="1">
      <c r="C477" s="5"/>
      <c r="D477" s="5"/>
    </row>
    <row r="478" spans="3:4" ht="15" customHeight="1">
      <c r="C478" s="5"/>
      <c r="D478" s="5"/>
    </row>
    <row r="479" spans="3:4" ht="15" customHeight="1">
      <c r="C479" s="5"/>
      <c r="D479" s="5"/>
    </row>
    <row r="480" spans="3:4" ht="15" customHeight="1">
      <c r="C480" s="5"/>
      <c r="D480" s="5"/>
    </row>
    <row r="481" spans="3:4" ht="15" customHeight="1">
      <c r="C481" s="5"/>
      <c r="D481" s="5"/>
    </row>
    <row r="482" spans="3:4" ht="15" customHeight="1">
      <c r="C482" s="5"/>
      <c r="D482" s="5"/>
    </row>
    <row r="483" spans="3:4" ht="15" customHeight="1">
      <c r="C483" s="5"/>
      <c r="D483" s="5"/>
    </row>
    <row r="484" spans="3:4" ht="15" customHeight="1">
      <c r="C484" s="5"/>
      <c r="D484" s="5"/>
    </row>
    <row r="485" spans="3:4" ht="15" customHeight="1">
      <c r="C485" s="5"/>
      <c r="D485" s="5"/>
    </row>
    <row r="486" spans="3:4" ht="15" customHeight="1">
      <c r="C486" s="5"/>
      <c r="D486" s="5"/>
    </row>
    <row r="487" spans="3:4" ht="15" customHeight="1">
      <c r="C487" s="5"/>
      <c r="D487" s="5"/>
    </row>
    <row r="488" spans="3:4" ht="15" customHeight="1">
      <c r="C488" s="5"/>
      <c r="D488" s="5"/>
    </row>
    <row r="489" spans="3:4" ht="15" customHeight="1">
      <c r="C489" s="5"/>
      <c r="D489" s="5"/>
    </row>
    <row r="490" spans="3:4" ht="15" customHeight="1">
      <c r="C490" s="5"/>
      <c r="D490" s="5"/>
    </row>
    <row r="491" spans="3:4" ht="15" customHeight="1">
      <c r="C491" s="5"/>
      <c r="D491" s="5"/>
    </row>
    <row r="492" spans="3:4" ht="15" customHeight="1">
      <c r="C492" s="5"/>
      <c r="D492" s="5"/>
    </row>
    <row r="493" spans="3:4" ht="15" customHeight="1">
      <c r="C493" s="5"/>
      <c r="D493" s="5"/>
    </row>
    <row r="494" spans="3:4" ht="15" customHeight="1">
      <c r="C494" s="5"/>
      <c r="D494" s="5"/>
    </row>
    <row r="495" spans="3:4" ht="15" customHeight="1">
      <c r="C495" s="5"/>
      <c r="D495" s="5"/>
    </row>
    <row r="496" spans="3:4" ht="15" customHeight="1">
      <c r="C496" s="5"/>
      <c r="D496" s="5"/>
    </row>
    <row r="497" spans="3:4" ht="15" customHeight="1">
      <c r="C497" s="5"/>
      <c r="D497" s="5"/>
    </row>
    <row r="498" spans="3:4" ht="15" customHeight="1">
      <c r="C498" s="5"/>
      <c r="D498" s="5"/>
    </row>
    <row r="499" spans="3:4" ht="15" customHeight="1">
      <c r="C499" s="5"/>
      <c r="D499" s="5"/>
    </row>
    <row r="500" spans="3:4" ht="15" customHeight="1">
      <c r="C500" s="5"/>
      <c r="D500" s="5"/>
    </row>
    <row r="501" spans="3:4" ht="15" customHeight="1">
      <c r="C501" s="5"/>
      <c r="D501" s="5"/>
    </row>
    <row r="502" spans="3:4" ht="15" customHeight="1">
      <c r="C502" s="5"/>
      <c r="D502" s="5"/>
    </row>
    <row r="503" spans="3:4" ht="15" customHeight="1">
      <c r="C503" s="5"/>
      <c r="D503" s="5"/>
    </row>
    <row r="504" spans="3:4" ht="15" customHeight="1">
      <c r="C504" s="5"/>
      <c r="D504" s="5"/>
    </row>
    <row r="505" spans="3:4" ht="15" customHeight="1">
      <c r="C505" s="5"/>
      <c r="D505" s="5"/>
    </row>
    <row r="506" spans="3:4" ht="15" customHeight="1">
      <c r="C506" s="5"/>
      <c r="D506" s="5"/>
    </row>
    <row r="507" spans="3:4" ht="15" customHeight="1">
      <c r="C507" s="5"/>
      <c r="D507" s="5"/>
    </row>
    <row r="508" spans="3:4" ht="15" customHeight="1">
      <c r="C508" s="5"/>
      <c r="D508" s="5"/>
    </row>
    <row r="509" spans="3:4" ht="15" customHeight="1">
      <c r="C509" s="5"/>
      <c r="D509" s="5"/>
    </row>
    <row r="510" spans="3:4" ht="15" customHeight="1">
      <c r="C510" s="5"/>
      <c r="D510" s="5"/>
    </row>
    <row r="511" spans="3:4" ht="15" customHeight="1">
      <c r="C511" s="5"/>
      <c r="D511" s="5"/>
    </row>
    <row r="512" spans="3:4" ht="15" customHeight="1">
      <c r="C512" s="5"/>
      <c r="D512" s="5"/>
    </row>
    <row r="513" spans="3:4" ht="15" customHeight="1">
      <c r="C513" s="5"/>
      <c r="D513" s="5"/>
    </row>
    <row r="514" spans="3:4" ht="15" customHeight="1">
      <c r="C514" s="5"/>
      <c r="D514" s="5"/>
    </row>
    <row r="515" spans="3:4" ht="15" customHeight="1">
      <c r="C515" s="5"/>
      <c r="D515" s="5"/>
    </row>
    <row r="516" spans="3:4" ht="15" customHeight="1">
      <c r="C516" s="5"/>
      <c r="D516" s="5"/>
    </row>
    <row r="517" spans="3:4" ht="15" customHeight="1">
      <c r="C517" s="5"/>
      <c r="D517" s="5"/>
    </row>
    <row r="518" spans="3:4" ht="15" customHeight="1">
      <c r="C518" s="5"/>
      <c r="D518" s="5"/>
    </row>
    <row r="519" spans="3:4" ht="15" customHeight="1">
      <c r="C519" s="5"/>
      <c r="D519" s="5"/>
    </row>
    <row r="520" spans="3:4" ht="15" customHeight="1">
      <c r="C520" s="5"/>
      <c r="D520" s="5"/>
    </row>
    <row r="521" spans="3:4" ht="15" customHeight="1">
      <c r="C521" s="5"/>
      <c r="D521" s="5"/>
    </row>
    <row r="522" spans="3:4" ht="15" customHeight="1">
      <c r="C522" s="5"/>
      <c r="D522" s="5"/>
    </row>
    <row r="523" spans="3:4" ht="15" customHeight="1">
      <c r="C523" s="5"/>
      <c r="D523" s="5"/>
    </row>
    <row r="524" spans="3:4" ht="15" customHeight="1">
      <c r="C524" s="5"/>
      <c r="D524" s="5"/>
    </row>
    <row r="525" spans="3:4" ht="15" customHeight="1">
      <c r="C525" s="5"/>
      <c r="D525" s="5"/>
    </row>
    <row r="526" spans="3:4" ht="15" customHeight="1">
      <c r="C526" s="5"/>
      <c r="D526" s="5"/>
    </row>
    <row r="527" spans="3:4" ht="15" customHeight="1">
      <c r="C527" s="5"/>
      <c r="D527" s="5"/>
    </row>
    <row r="528" spans="3:4" ht="15" customHeight="1">
      <c r="C528" s="5"/>
      <c r="D528" s="5"/>
    </row>
    <row r="529" spans="3:4" ht="15" customHeight="1">
      <c r="C529" s="5"/>
      <c r="D529" s="5"/>
    </row>
    <row r="530" spans="3:4" ht="15" customHeight="1">
      <c r="C530" s="5"/>
      <c r="D530" s="5"/>
    </row>
    <row r="531" spans="3:4" ht="15" customHeight="1">
      <c r="C531" s="5"/>
      <c r="D531" s="5"/>
    </row>
    <row r="532" spans="3:4" ht="15" customHeight="1">
      <c r="C532" s="5"/>
      <c r="D532" s="5"/>
    </row>
    <row r="533" spans="3:4" ht="15" customHeight="1">
      <c r="C533" s="5"/>
      <c r="D533" s="5"/>
    </row>
    <row r="534" spans="3:4" ht="15" customHeight="1">
      <c r="C534" s="5"/>
      <c r="D534" s="5"/>
    </row>
    <row r="535" spans="3:4" ht="15" customHeight="1">
      <c r="C535" s="5"/>
      <c r="D535" s="5"/>
    </row>
    <row r="536" spans="3:4" ht="15" customHeight="1">
      <c r="C536" s="5"/>
      <c r="D536" s="5"/>
    </row>
    <row r="537" spans="3:4" ht="15" customHeight="1">
      <c r="C537" s="5"/>
      <c r="D537" s="5"/>
    </row>
    <row r="538" spans="3:4" ht="15" customHeight="1">
      <c r="C538" s="5"/>
      <c r="D538" s="5"/>
    </row>
    <row r="539" spans="3:4" ht="15" customHeight="1">
      <c r="C539" s="5"/>
      <c r="D539" s="5"/>
    </row>
    <row r="540" spans="3:4" ht="15" customHeight="1">
      <c r="C540" s="5"/>
      <c r="D540" s="5"/>
    </row>
    <row r="541" spans="3:4" ht="15" customHeight="1">
      <c r="C541" s="5"/>
      <c r="D541" s="5"/>
    </row>
    <row r="542" spans="3:4" ht="15" customHeight="1">
      <c r="C542" s="5"/>
      <c r="D542" s="5"/>
    </row>
    <row r="543" spans="3:4" ht="15" customHeight="1">
      <c r="C543" s="5"/>
      <c r="D543" s="5"/>
    </row>
    <row r="544" spans="3:4" ht="15" customHeight="1">
      <c r="C544" s="5"/>
      <c r="D544" s="5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outlinePr summaryBelow="0" summaryRight="0"/>
  </sheetPr>
  <dimension ref="A1:D12"/>
  <sheetViews>
    <sheetView workbookViewId="0">
      <selection activeCell="A2" sqref="A2:A12"/>
    </sheetView>
  </sheetViews>
  <sheetFormatPr baseColWidth="10" defaultColWidth="12.6640625" defaultRowHeight="15" customHeight="1"/>
  <sheetData>
    <row r="1" spans="1:4" ht="15" customHeight="1">
      <c r="A1" s="3" t="s">
        <v>10</v>
      </c>
      <c r="B1" s="17" t="s">
        <v>451</v>
      </c>
      <c r="C1" s="20" t="s">
        <v>454</v>
      </c>
      <c r="D1" s="20" t="s">
        <v>455</v>
      </c>
    </row>
    <row r="2" spans="1:4" ht="15" customHeight="1">
      <c r="A2" s="26">
        <v>1</v>
      </c>
      <c r="B2" s="3" t="s">
        <v>16</v>
      </c>
      <c r="C2" s="20"/>
      <c r="D2" s="20"/>
    </row>
    <row r="3" spans="1:4" ht="15" customHeight="1">
      <c r="A3" s="26">
        <v>2</v>
      </c>
      <c r="B3" s="3" t="s">
        <v>20</v>
      </c>
      <c r="C3" s="20"/>
      <c r="D3" s="20"/>
    </row>
    <row r="4" spans="1:4" ht="15" customHeight="1">
      <c r="A4" s="26">
        <v>3</v>
      </c>
      <c r="B4" s="3" t="s">
        <v>22</v>
      </c>
      <c r="C4" s="20"/>
      <c r="D4" s="20"/>
    </row>
    <row r="5" spans="1:4" ht="15" customHeight="1">
      <c r="A5" s="26">
        <v>4</v>
      </c>
      <c r="B5" s="3" t="s">
        <v>25</v>
      </c>
      <c r="C5" s="20"/>
      <c r="D5" s="20"/>
    </row>
    <row r="6" spans="1:4" ht="15" customHeight="1">
      <c r="A6" s="26">
        <v>5</v>
      </c>
      <c r="B6" s="3" t="s">
        <v>27</v>
      </c>
      <c r="C6" s="20"/>
      <c r="D6" s="20"/>
    </row>
    <row r="7" spans="1:4" ht="15" customHeight="1">
      <c r="A7" s="26">
        <v>6</v>
      </c>
      <c r="B7" s="3" t="s">
        <v>30</v>
      </c>
      <c r="C7" s="20"/>
      <c r="D7" s="20"/>
    </row>
    <row r="8" spans="1:4" ht="15" customHeight="1">
      <c r="A8" s="26">
        <v>7</v>
      </c>
      <c r="B8" s="3" t="s">
        <v>32</v>
      </c>
      <c r="C8" s="20"/>
      <c r="D8" s="20"/>
    </row>
    <row r="9" spans="1:4" ht="15" customHeight="1">
      <c r="A9" s="26">
        <v>8</v>
      </c>
      <c r="B9" s="3" t="s">
        <v>34</v>
      </c>
      <c r="C9" s="20"/>
      <c r="D9" s="20"/>
    </row>
    <row r="10" spans="1:4" ht="15" customHeight="1">
      <c r="A10" s="26">
        <v>9</v>
      </c>
      <c r="B10" s="3" t="s">
        <v>36</v>
      </c>
      <c r="C10" s="20"/>
      <c r="D10" s="20"/>
    </row>
    <row r="11" spans="1:4" ht="15" customHeight="1">
      <c r="A11" s="26">
        <v>10</v>
      </c>
      <c r="B11" s="3" t="s">
        <v>40</v>
      </c>
      <c r="C11" s="20"/>
      <c r="D11" s="20"/>
    </row>
    <row r="12" spans="1:4" ht="15" customHeight="1">
      <c r="A12" s="26">
        <v>11</v>
      </c>
      <c r="B12" s="3" t="s">
        <v>42</v>
      </c>
      <c r="C12" s="20"/>
      <c r="D12" s="20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  <outlinePr summaryBelow="0" summaryRight="0"/>
  </sheetPr>
  <dimension ref="A1:Z1000"/>
  <sheetViews>
    <sheetView workbookViewId="0">
      <selection activeCell="E6" sqref="E6:E8"/>
    </sheetView>
  </sheetViews>
  <sheetFormatPr baseColWidth="10" defaultColWidth="12.6640625" defaultRowHeight="15" customHeight="1"/>
  <sheetData>
    <row r="1" spans="1:26" ht="15.75" customHeight="1">
      <c r="A1" s="21" t="s">
        <v>456</v>
      </c>
      <c r="B1" s="21" t="s">
        <v>457</v>
      </c>
      <c r="C1" s="22" t="s">
        <v>458</v>
      </c>
      <c r="D1" s="22" t="s">
        <v>459</v>
      </c>
      <c r="E1" s="23" t="s">
        <v>460</v>
      </c>
      <c r="F1" s="23" t="s">
        <v>461</v>
      </c>
      <c r="G1" s="24" t="s">
        <v>462</v>
      </c>
      <c r="H1" s="24" t="s">
        <v>463</v>
      </c>
      <c r="I1" s="25" t="s">
        <v>464</v>
      </c>
      <c r="J1" s="25" t="s">
        <v>465</v>
      </c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5.75" customHeight="1">
      <c r="A2" s="26">
        <v>5</v>
      </c>
      <c r="B2" s="2" t="s">
        <v>466</v>
      </c>
      <c r="C2" s="26">
        <v>1</v>
      </c>
      <c r="D2" s="26">
        <v>0.8</v>
      </c>
      <c r="E2" s="26">
        <v>0.8</v>
      </c>
      <c r="F2" s="26">
        <v>0.7</v>
      </c>
      <c r="G2" s="26">
        <v>0.7</v>
      </c>
      <c r="H2" s="26">
        <v>0.5</v>
      </c>
      <c r="I2" s="26">
        <v>0.5</v>
      </c>
      <c r="J2" s="26">
        <v>0</v>
      </c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5.75" customHeight="1"/>
    <row r="6" spans="1:26" ht="15.75" customHeight="1">
      <c r="E6" s="27"/>
    </row>
    <row r="7" spans="1:26" ht="15.75" customHeight="1">
      <c r="E7" s="28"/>
      <c r="F7" s="6"/>
    </row>
    <row r="8" spans="1:26" ht="15.75" customHeight="1">
      <c r="E8" s="28"/>
      <c r="F8" s="6"/>
    </row>
    <row r="9" spans="1:26" ht="15.75" customHeight="1">
      <c r="F9" s="6"/>
    </row>
    <row r="10" spans="1:26" ht="15.75" customHeight="1"/>
    <row r="11" spans="1:26" ht="15.75" customHeight="1"/>
    <row r="12" spans="1:26" ht="15.75" customHeight="1"/>
    <row r="13" spans="1:26" ht="15.75" customHeight="1"/>
    <row r="14" spans="1:26" ht="15.75" customHeight="1"/>
    <row r="15" spans="1:26" ht="15.75" customHeight="1"/>
    <row r="16" spans="1:2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"/>
  <sheetViews>
    <sheetView workbookViewId="0">
      <selection activeCell="C18" sqref="C18"/>
    </sheetView>
  </sheetViews>
  <sheetFormatPr baseColWidth="10" defaultColWidth="12.6640625" defaultRowHeight="15" customHeight="1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Procesados</vt:lpstr>
      <vt:lpstr>Indicador_MUN</vt:lpstr>
      <vt:lpstr>Absoluto_MUN</vt:lpstr>
      <vt:lpstr>Indicador_DEP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marion torrico</cp:lastModifiedBy>
  <dcterms:modified xsi:type="dcterms:W3CDTF">2026-06-09T16:25:28Z</dcterms:modified>
</cp:coreProperties>
</file>