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2FE23CED-8F50-4C2E-8A01-52FC8E9BDC40}" xr6:coauthVersionLast="47" xr6:coauthVersionMax="47" xr10:uidLastSave="{00000000-0000-0000-0000-000000000000}"/>
  <bookViews>
    <workbookView xWindow="-108" yWindow="-108" windowWidth="23256" windowHeight="12456" firstSheet="4" activeTab="9" xr2:uid="{15F7FE1A-FD79-49C4-A447-AD5D0DDE5A05}"/>
  </bookViews>
  <sheets>
    <sheet name="25-35 all_2012" sheetId="28" r:id="rId1"/>
    <sheet name="25-35 female_2012" sheetId="29" r:id="rId2"/>
    <sheet name="25-35 all_2024" sheetId="7" r:id="rId3"/>
    <sheet name="25-35 female_2024" sheetId="8" r:id="rId4"/>
    <sheet name="Datos ordenados" sheetId="11" r:id="rId5"/>
    <sheet name="Indicador_MUN" sheetId="19" r:id="rId6"/>
    <sheet name="Absoluto_MUN" sheetId="25" r:id="rId7"/>
    <sheet name="Indicador_DEP" sheetId="18" r:id="rId8"/>
    <sheet name="Absoluto_DEP" sheetId="26" r:id="rId9"/>
    <sheet name="Umbral" sheetId="13" r:id="rId10"/>
  </sheets>
  <externalReferences>
    <externalReference r:id="rId11"/>
  </externalReferences>
  <definedNames>
    <definedName name="_xlnm._FilterDatabase" localSheetId="4" hidden="1">'Datos ordenados'!$A$1:$D$1</definedName>
    <definedName name="_xlnm._FilterDatabase" localSheetId="5" hidden="1">Indicador_MUN!$A$1:$D$1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8" l="1"/>
  <c r="D11" i="18"/>
  <c r="D10" i="18"/>
  <c r="D9" i="18"/>
  <c r="D8" i="18"/>
  <c r="D7" i="18"/>
  <c r="D6" i="18"/>
  <c r="D5" i="18"/>
  <c r="D4" i="18"/>
  <c r="D3" i="18"/>
  <c r="D2" i="18"/>
  <c r="D344" i="19"/>
  <c r="D343" i="19"/>
  <c r="D342" i="19"/>
  <c r="D341" i="19"/>
  <c r="D340" i="19"/>
  <c r="D339" i="19"/>
  <c r="D338" i="19"/>
  <c r="D337" i="19"/>
  <c r="D336" i="19"/>
  <c r="D335" i="19"/>
  <c r="D334" i="19"/>
  <c r="D333" i="19"/>
  <c r="D332" i="19"/>
  <c r="D331" i="19"/>
  <c r="D330" i="19"/>
  <c r="D329" i="19"/>
  <c r="D328" i="19"/>
  <c r="D327" i="19"/>
  <c r="D326" i="19"/>
  <c r="D325" i="19"/>
  <c r="D324" i="19"/>
  <c r="D323" i="19"/>
  <c r="D322" i="19"/>
  <c r="D321" i="19"/>
  <c r="D320" i="19"/>
  <c r="D319" i="19"/>
  <c r="D318" i="19"/>
  <c r="D317" i="19"/>
  <c r="D316" i="19"/>
  <c r="D315" i="19"/>
  <c r="D314" i="19"/>
  <c r="D313" i="19"/>
  <c r="D312" i="19"/>
  <c r="D311" i="19"/>
  <c r="D310" i="19"/>
  <c r="D309" i="19"/>
  <c r="D308" i="19"/>
  <c r="D307" i="19"/>
  <c r="D306" i="19"/>
  <c r="D305" i="19"/>
  <c r="D304" i="19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D288" i="19"/>
  <c r="D287" i="19"/>
  <c r="D286" i="19"/>
  <c r="D285" i="19"/>
  <c r="D284" i="19"/>
  <c r="D283" i="19"/>
  <c r="D282" i="19"/>
  <c r="D281" i="19"/>
  <c r="D280" i="19"/>
  <c r="D279" i="19"/>
  <c r="D278" i="19"/>
  <c r="D277" i="19"/>
  <c r="D276" i="19"/>
  <c r="D275" i="19"/>
  <c r="D274" i="19"/>
  <c r="D273" i="19"/>
  <c r="D272" i="19"/>
  <c r="D271" i="19"/>
  <c r="D270" i="19"/>
  <c r="D269" i="19"/>
  <c r="D268" i="19"/>
  <c r="D267" i="19"/>
  <c r="D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D344" i="11"/>
  <c r="D343" i="11"/>
  <c r="D342" i="11"/>
  <c r="D341" i="11"/>
  <c r="D340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AA347" i="8"/>
  <c r="Z347" i="8"/>
  <c r="Y347" i="8"/>
  <c r="X347" i="8"/>
  <c r="W347" i="8"/>
  <c r="V347" i="8"/>
  <c r="U347" i="8"/>
  <c r="T347" i="8"/>
  <c r="S347" i="8"/>
  <c r="R347" i="8"/>
  <c r="Q347" i="8"/>
  <c r="P347" i="8"/>
  <c r="O347" i="8"/>
  <c r="N347" i="8"/>
  <c r="M347" i="8"/>
  <c r="L347" i="8"/>
  <c r="K347" i="8"/>
  <c r="J347" i="8"/>
  <c r="I347" i="8"/>
  <c r="H347" i="8"/>
  <c r="G347" i="8"/>
  <c r="F347" i="8"/>
  <c r="E347" i="8"/>
  <c r="D347" i="8"/>
  <c r="C347" i="8"/>
  <c r="AD346" i="8"/>
  <c r="AE346" i="8" s="1"/>
  <c r="AC346" i="8"/>
  <c r="AE345" i="8"/>
  <c r="AD345" i="8"/>
  <c r="AC345" i="8"/>
  <c r="AD344" i="8"/>
  <c r="AE344" i="8" s="1"/>
  <c r="AC344" i="8"/>
  <c r="AD343" i="8"/>
  <c r="AC343" i="8"/>
  <c r="AE343" i="8" s="1"/>
  <c r="AE342" i="8"/>
  <c r="AD342" i="8"/>
  <c r="AC342" i="8"/>
  <c r="AD341" i="8"/>
  <c r="AC341" i="8"/>
  <c r="AE341" i="8" s="1"/>
  <c r="AD340" i="8"/>
  <c r="AE340" i="8" s="1"/>
  <c r="AC340" i="8"/>
  <c r="AD339" i="8"/>
  <c r="AE339" i="8" s="1"/>
  <c r="AC339" i="8"/>
  <c r="AD338" i="8"/>
  <c r="AE338" i="8" s="1"/>
  <c r="AC338" i="8"/>
  <c r="AE337" i="8"/>
  <c r="AD337" i="8"/>
  <c r="AC337" i="8"/>
  <c r="AD336" i="8"/>
  <c r="AE336" i="8" s="1"/>
  <c r="AC336" i="8"/>
  <c r="AD335" i="8"/>
  <c r="AC335" i="8"/>
  <c r="AE335" i="8" s="1"/>
  <c r="AE334" i="8"/>
  <c r="AD334" i="8"/>
  <c r="AC334" i="8"/>
  <c r="AD333" i="8"/>
  <c r="AC333" i="8"/>
  <c r="AE333" i="8" s="1"/>
  <c r="AD332" i="8"/>
  <c r="AE332" i="8" s="1"/>
  <c r="AC332" i="8"/>
  <c r="AD331" i="8"/>
  <c r="AE331" i="8" s="1"/>
  <c r="AC331" i="8"/>
  <c r="AD330" i="8"/>
  <c r="AE330" i="8" s="1"/>
  <c r="AC330" i="8"/>
  <c r="AE329" i="8"/>
  <c r="AD329" i="8"/>
  <c r="AC329" i="8"/>
  <c r="AD328" i="8"/>
  <c r="AE328" i="8" s="1"/>
  <c r="AC328" i="8"/>
  <c r="AD327" i="8"/>
  <c r="AC327" i="8"/>
  <c r="AE327" i="8" s="1"/>
  <c r="AE326" i="8"/>
  <c r="AD326" i="8"/>
  <c r="AC326" i="8"/>
  <c r="AD325" i="8"/>
  <c r="AC325" i="8"/>
  <c r="AE325" i="8" s="1"/>
  <c r="AD324" i="8"/>
  <c r="AE324" i="8" s="1"/>
  <c r="AC324" i="8"/>
  <c r="AD323" i="8"/>
  <c r="AE323" i="8" s="1"/>
  <c r="AC323" i="8"/>
  <c r="AD322" i="8"/>
  <c r="AE322" i="8" s="1"/>
  <c r="AC322" i="8"/>
  <c r="AE321" i="8"/>
  <c r="AD321" i="8"/>
  <c r="AC321" i="8"/>
  <c r="AD320" i="8"/>
  <c r="AE320" i="8" s="1"/>
  <c r="AC320" i="8"/>
  <c r="AD319" i="8"/>
  <c r="AC319" i="8"/>
  <c r="AE319" i="8" s="1"/>
  <c r="AE318" i="8"/>
  <c r="AD318" i="8"/>
  <c r="AC318" i="8"/>
  <c r="AD317" i="8"/>
  <c r="AC317" i="8"/>
  <c r="AE317" i="8" s="1"/>
  <c r="AD316" i="8"/>
  <c r="AE316" i="8" s="1"/>
  <c r="AC316" i="8"/>
  <c r="AD315" i="8"/>
  <c r="AE315" i="8" s="1"/>
  <c r="AC315" i="8"/>
  <c r="AD314" i="8"/>
  <c r="AI11" i="8" s="1"/>
  <c r="AC314" i="8"/>
  <c r="AE313" i="8"/>
  <c r="AD313" i="8"/>
  <c r="AC313" i="8"/>
  <c r="AD312" i="8"/>
  <c r="AE312" i="8" s="1"/>
  <c r="AC312" i="8"/>
  <c r="AD311" i="8"/>
  <c r="AC311" i="8"/>
  <c r="AE311" i="8" s="1"/>
  <c r="AE310" i="8"/>
  <c r="AD310" i="8"/>
  <c r="AC310" i="8"/>
  <c r="AD309" i="8"/>
  <c r="AC309" i="8"/>
  <c r="AE309" i="8" s="1"/>
  <c r="AD308" i="8"/>
  <c r="AE308" i="8" s="1"/>
  <c r="AC308" i="8"/>
  <c r="AD307" i="8"/>
  <c r="AE307" i="8" s="1"/>
  <c r="AC307" i="8"/>
  <c r="AD306" i="8"/>
  <c r="AE306" i="8" s="1"/>
  <c r="AC306" i="8"/>
  <c r="AE305" i="8"/>
  <c r="AD305" i="8"/>
  <c r="AC305" i="8"/>
  <c r="AD304" i="8"/>
  <c r="AE304" i="8" s="1"/>
  <c r="AC304" i="8"/>
  <c r="AD303" i="8"/>
  <c r="AC303" i="8"/>
  <c r="AE303" i="8" s="1"/>
  <c r="AE302" i="8"/>
  <c r="AD302" i="8"/>
  <c r="AC302" i="8"/>
  <c r="AD301" i="8"/>
  <c r="AC301" i="8"/>
  <c r="AE301" i="8" s="1"/>
  <c r="AD300" i="8"/>
  <c r="AE300" i="8" s="1"/>
  <c r="AC300" i="8"/>
  <c r="AD299" i="8"/>
  <c r="AE299" i="8" s="1"/>
  <c r="AC299" i="8"/>
  <c r="AD298" i="8"/>
  <c r="AE298" i="8" s="1"/>
  <c r="AC298" i="8"/>
  <c r="AE297" i="8"/>
  <c r="AD297" i="8"/>
  <c r="AC297" i="8"/>
  <c r="AD296" i="8"/>
  <c r="AE296" i="8" s="1"/>
  <c r="AC296" i="8"/>
  <c r="AD295" i="8"/>
  <c r="AC295" i="8"/>
  <c r="AE295" i="8" s="1"/>
  <c r="AE294" i="8"/>
  <c r="AD294" i="8"/>
  <c r="AC294" i="8"/>
  <c r="AD293" i="8"/>
  <c r="AC293" i="8"/>
  <c r="AE293" i="8" s="1"/>
  <c r="AD292" i="8"/>
  <c r="AE292" i="8" s="1"/>
  <c r="AC292" i="8"/>
  <c r="AD291" i="8"/>
  <c r="AE291" i="8" s="1"/>
  <c r="AC291" i="8"/>
  <c r="AD290" i="8"/>
  <c r="AE290" i="8" s="1"/>
  <c r="AC290" i="8"/>
  <c r="AE289" i="8"/>
  <c r="AD289" i="8"/>
  <c r="AC289" i="8"/>
  <c r="AD288" i="8"/>
  <c r="AE288" i="8" s="1"/>
  <c r="AC288" i="8"/>
  <c r="AD287" i="8"/>
  <c r="AC287" i="8"/>
  <c r="AE287" i="8" s="1"/>
  <c r="AE286" i="8"/>
  <c r="AD286" i="8"/>
  <c r="AC286" i="8"/>
  <c r="AD285" i="8"/>
  <c r="AC285" i="8"/>
  <c r="AE285" i="8" s="1"/>
  <c r="AD284" i="8"/>
  <c r="AE284" i="8" s="1"/>
  <c r="AC284" i="8"/>
  <c r="AD283" i="8"/>
  <c r="AE283" i="8" s="1"/>
  <c r="AC283" i="8"/>
  <c r="AD282" i="8"/>
  <c r="AE282" i="8" s="1"/>
  <c r="AC282" i="8"/>
  <c r="AE281" i="8"/>
  <c r="AD281" i="8"/>
  <c r="AC281" i="8"/>
  <c r="AD280" i="8"/>
  <c r="AE280" i="8" s="1"/>
  <c r="AC280" i="8"/>
  <c r="AD279" i="8"/>
  <c r="AC279" i="8"/>
  <c r="AE279" i="8" s="1"/>
  <c r="AE278" i="8"/>
  <c r="AD278" i="8"/>
  <c r="AC278" i="8"/>
  <c r="AD277" i="8"/>
  <c r="AC277" i="8"/>
  <c r="AE277" i="8" s="1"/>
  <c r="AD276" i="8"/>
  <c r="AE276" i="8" s="1"/>
  <c r="AC276" i="8"/>
  <c r="AD275" i="8"/>
  <c r="AE275" i="8" s="1"/>
  <c r="AC275" i="8"/>
  <c r="AD274" i="8"/>
  <c r="AE274" i="8" s="1"/>
  <c r="AC274" i="8"/>
  <c r="AE273" i="8"/>
  <c r="AD273" i="8"/>
  <c r="AC273" i="8"/>
  <c r="AD272" i="8"/>
  <c r="AE272" i="8" s="1"/>
  <c r="AC272" i="8"/>
  <c r="AD271" i="8"/>
  <c r="AC271" i="8"/>
  <c r="AE271" i="8" s="1"/>
  <c r="AE270" i="8"/>
  <c r="AD270" i="8"/>
  <c r="AC270" i="8"/>
  <c r="AD269" i="8"/>
  <c r="AC269" i="8"/>
  <c r="AE269" i="8" s="1"/>
  <c r="AD268" i="8"/>
  <c r="AE268" i="8" s="1"/>
  <c r="AC268" i="8"/>
  <c r="AD267" i="8"/>
  <c r="AE267" i="8" s="1"/>
  <c r="AC267" i="8"/>
  <c r="AD266" i="8"/>
  <c r="AE266" i="8" s="1"/>
  <c r="AC266" i="8"/>
  <c r="AE265" i="8"/>
  <c r="AD265" i="8"/>
  <c r="AC265" i="8"/>
  <c r="AD264" i="8"/>
  <c r="AE264" i="8" s="1"/>
  <c r="AC264" i="8"/>
  <c r="AD263" i="8"/>
  <c r="AC263" i="8"/>
  <c r="AE263" i="8" s="1"/>
  <c r="AE262" i="8"/>
  <c r="AD262" i="8"/>
  <c r="AC262" i="8"/>
  <c r="AD261" i="8"/>
  <c r="AC261" i="8"/>
  <c r="AH10" i="8" s="1"/>
  <c r="AD260" i="8"/>
  <c r="AE260" i="8" s="1"/>
  <c r="AC260" i="8"/>
  <c r="AD259" i="8"/>
  <c r="AE259" i="8" s="1"/>
  <c r="AC259" i="8"/>
  <c r="AD258" i="8"/>
  <c r="AI10" i="8" s="1"/>
  <c r="AJ10" i="8" s="1"/>
  <c r="AC258" i="8"/>
  <c r="AE257" i="8"/>
  <c r="AD257" i="8"/>
  <c r="AC257" i="8"/>
  <c r="AD256" i="8"/>
  <c r="AE256" i="8" s="1"/>
  <c r="AC256" i="8"/>
  <c r="AD255" i="8"/>
  <c r="AC255" i="8"/>
  <c r="AE255" i="8" s="1"/>
  <c r="AD254" i="8"/>
  <c r="AC254" i="8"/>
  <c r="AE254" i="8" s="1"/>
  <c r="AD253" i="8"/>
  <c r="AC253" i="8"/>
  <c r="AE253" i="8" s="1"/>
  <c r="AD252" i="8"/>
  <c r="AE252" i="8" s="1"/>
  <c r="AC252" i="8"/>
  <c r="AD251" i="8"/>
  <c r="AE251" i="8" s="1"/>
  <c r="AC251" i="8"/>
  <c r="AD250" i="8"/>
  <c r="AI14" i="8" s="1"/>
  <c r="AJ14" i="8" s="1"/>
  <c r="AC250" i="8"/>
  <c r="AE249" i="8"/>
  <c r="AD249" i="8"/>
  <c r="AC249" i="8"/>
  <c r="AD248" i="8"/>
  <c r="AE248" i="8" s="1"/>
  <c r="AC248" i="8"/>
  <c r="AD247" i="8"/>
  <c r="AC247" i="8"/>
  <c r="AE247" i="8" s="1"/>
  <c r="AE246" i="8"/>
  <c r="AD246" i="8"/>
  <c r="AC246" i="8"/>
  <c r="AD245" i="8"/>
  <c r="AC245" i="8"/>
  <c r="AH9" i="8" s="1"/>
  <c r="AD244" i="8"/>
  <c r="AE244" i="8" s="1"/>
  <c r="AC244" i="8"/>
  <c r="AD243" i="8"/>
  <c r="AE243" i="8" s="1"/>
  <c r="AC243" i="8"/>
  <c r="AD242" i="8"/>
  <c r="AE242" i="8" s="1"/>
  <c r="AC242" i="8"/>
  <c r="AE241" i="8"/>
  <c r="AD241" i="8"/>
  <c r="AC241" i="8"/>
  <c r="AD240" i="8"/>
  <c r="AE240" i="8" s="1"/>
  <c r="AC240" i="8"/>
  <c r="AD239" i="8"/>
  <c r="AC239" i="8"/>
  <c r="AE239" i="8" s="1"/>
  <c r="AE238" i="8"/>
  <c r="AD238" i="8"/>
  <c r="AC238" i="8"/>
  <c r="AD237" i="8"/>
  <c r="AC237" i="8"/>
  <c r="AE237" i="8" s="1"/>
  <c r="AD236" i="8"/>
  <c r="AE236" i="8" s="1"/>
  <c r="AC236" i="8"/>
  <c r="AD235" i="8"/>
  <c r="AE235" i="8" s="1"/>
  <c r="AC235" i="8"/>
  <c r="AD234" i="8"/>
  <c r="AE234" i="8" s="1"/>
  <c r="AC234" i="8"/>
  <c r="AE233" i="8"/>
  <c r="AD233" i="8"/>
  <c r="AC233" i="8"/>
  <c r="AD232" i="8"/>
  <c r="AE232" i="8" s="1"/>
  <c r="AC232" i="8"/>
  <c r="AD231" i="8"/>
  <c r="AC231" i="8"/>
  <c r="AE231" i="8" s="1"/>
  <c r="AE230" i="8"/>
  <c r="AD230" i="8"/>
  <c r="AC230" i="8"/>
  <c r="AD229" i="8"/>
  <c r="AC229" i="8"/>
  <c r="AE229" i="8" s="1"/>
  <c r="AD228" i="8"/>
  <c r="AE228" i="8" s="1"/>
  <c r="AC228" i="8"/>
  <c r="AD227" i="8"/>
  <c r="AE227" i="8" s="1"/>
  <c r="AC227" i="8"/>
  <c r="AD226" i="8"/>
  <c r="AE226" i="8" s="1"/>
  <c r="AC226" i="8"/>
  <c r="AE225" i="8"/>
  <c r="AD225" i="8"/>
  <c r="AC225" i="8"/>
  <c r="AD224" i="8"/>
  <c r="AE224" i="8" s="1"/>
  <c r="AC224" i="8"/>
  <c r="AD223" i="8"/>
  <c r="AC223" i="8"/>
  <c r="AE223" i="8" s="1"/>
  <c r="AD222" i="8"/>
  <c r="AC222" i="8"/>
  <c r="AE222" i="8" s="1"/>
  <c r="AD221" i="8"/>
  <c r="AC221" i="8"/>
  <c r="AE221" i="8" s="1"/>
  <c r="AD220" i="8"/>
  <c r="AE220" i="8" s="1"/>
  <c r="AC220" i="8"/>
  <c r="AD219" i="8"/>
  <c r="AE219" i="8" s="1"/>
  <c r="AC219" i="8"/>
  <c r="AD218" i="8"/>
  <c r="AE218" i="8" s="1"/>
  <c r="AC218" i="8"/>
  <c r="AE217" i="8"/>
  <c r="AD217" i="8"/>
  <c r="AC217" i="8"/>
  <c r="AD216" i="8"/>
  <c r="AE216" i="8" s="1"/>
  <c r="AC216" i="8"/>
  <c r="AD215" i="8"/>
  <c r="AC215" i="8"/>
  <c r="AE215" i="8" s="1"/>
  <c r="AD214" i="8"/>
  <c r="AC214" i="8"/>
  <c r="AE214" i="8" s="1"/>
  <c r="AD213" i="8"/>
  <c r="AC213" i="8"/>
  <c r="AE213" i="8" s="1"/>
  <c r="AD212" i="8"/>
  <c r="AE212" i="8" s="1"/>
  <c r="AC212" i="8"/>
  <c r="AD211" i="8"/>
  <c r="AE211" i="8" s="1"/>
  <c r="AC211" i="8"/>
  <c r="AD210" i="8"/>
  <c r="AE210" i="8" s="1"/>
  <c r="AC210" i="8"/>
  <c r="AE209" i="8"/>
  <c r="AD209" i="8"/>
  <c r="AC209" i="8"/>
  <c r="AD208" i="8"/>
  <c r="AE208" i="8" s="1"/>
  <c r="AC208" i="8"/>
  <c r="AD207" i="8"/>
  <c r="AC207" i="8"/>
  <c r="AE207" i="8" s="1"/>
  <c r="AD206" i="8"/>
  <c r="AC206" i="8"/>
  <c r="AE206" i="8" s="1"/>
  <c r="AD205" i="8"/>
  <c r="AC205" i="8"/>
  <c r="AE205" i="8" s="1"/>
  <c r="AD204" i="8"/>
  <c r="AI8" i="8" s="1"/>
  <c r="AC204" i="8"/>
  <c r="AD203" i="8"/>
  <c r="AE203" i="8" s="1"/>
  <c r="AC203" i="8"/>
  <c r="AD202" i="8"/>
  <c r="AE202" i="8" s="1"/>
  <c r="AC202" i="8"/>
  <c r="AE201" i="8"/>
  <c r="AD201" i="8"/>
  <c r="AC201" i="8"/>
  <c r="AD200" i="8"/>
  <c r="AE200" i="8" s="1"/>
  <c r="AC200" i="8"/>
  <c r="AD199" i="8"/>
  <c r="AC199" i="8"/>
  <c r="AE199" i="8" s="1"/>
  <c r="AD198" i="8"/>
  <c r="AC198" i="8"/>
  <c r="AE198" i="8" s="1"/>
  <c r="AD197" i="8"/>
  <c r="AC197" i="8"/>
  <c r="AE197" i="8" s="1"/>
  <c r="AD196" i="8"/>
  <c r="AE196" i="8" s="1"/>
  <c r="AC196" i="8"/>
  <c r="AD195" i="8"/>
  <c r="AE195" i="8" s="1"/>
  <c r="AC195" i="8"/>
  <c r="AD194" i="8"/>
  <c r="AE194" i="8" s="1"/>
  <c r="AC194" i="8"/>
  <c r="AE193" i="8"/>
  <c r="AD193" i="8"/>
  <c r="AC193" i="8"/>
  <c r="AD192" i="8"/>
  <c r="AE192" i="8" s="1"/>
  <c r="AC192" i="8"/>
  <c r="AD191" i="8"/>
  <c r="AC191" i="8"/>
  <c r="AE191" i="8" s="1"/>
  <c r="AD190" i="8"/>
  <c r="AC190" i="8"/>
  <c r="AE190" i="8" s="1"/>
  <c r="AD189" i="8"/>
  <c r="AC189" i="8"/>
  <c r="AE189" i="8" s="1"/>
  <c r="AD188" i="8"/>
  <c r="AE188" i="8" s="1"/>
  <c r="AC188" i="8"/>
  <c r="AD187" i="8"/>
  <c r="AE187" i="8" s="1"/>
  <c r="AC187" i="8"/>
  <c r="AD186" i="8"/>
  <c r="AE186" i="8" s="1"/>
  <c r="AC186" i="8"/>
  <c r="AE185" i="8"/>
  <c r="AD185" i="8"/>
  <c r="AC185" i="8"/>
  <c r="AD184" i="8"/>
  <c r="AE184" i="8" s="1"/>
  <c r="AC184" i="8"/>
  <c r="AD183" i="8"/>
  <c r="AC183" i="8"/>
  <c r="AE183" i="8" s="1"/>
  <c r="AD182" i="8"/>
  <c r="AC182" i="8"/>
  <c r="AE182" i="8" s="1"/>
  <c r="AD181" i="8"/>
  <c r="AC181" i="8"/>
  <c r="AE181" i="8" s="1"/>
  <c r="AD180" i="8"/>
  <c r="AE180" i="8" s="1"/>
  <c r="AC180" i="8"/>
  <c r="AD179" i="8"/>
  <c r="AE179" i="8" s="1"/>
  <c r="AC179" i="8"/>
  <c r="AD178" i="8"/>
  <c r="AE178" i="8" s="1"/>
  <c r="AC178" i="8"/>
  <c r="AE177" i="8"/>
  <c r="AD177" i="8"/>
  <c r="AC177" i="8"/>
  <c r="AD176" i="8"/>
  <c r="AE176" i="8" s="1"/>
  <c r="AC176" i="8"/>
  <c r="AD175" i="8"/>
  <c r="AC175" i="8"/>
  <c r="AE175" i="8" s="1"/>
  <c r="AD174" i="8"/>
  <c r="AC174" i="8"/>
  <c r="AE174" i="8" s="1"/>
  <c r="AD173" i="8"/>
  <c r="AC173" i="8"/>
  <c r="AE173" i="8" s="1"/>
  <c r="AD172" i="8"/>
  <c r="AE172" i="8" s="1"/>
  <c r="AC172" i="8"/>
  <c r="AD171" i="8"/>
  <c r="AE171" i="8" s="1"/>
  <c r="AC171" i="8"/>
  <c r="AD170" i="8"/>
  <c r="AI7" i="8" s="1"/>
  <c r="AC170" i="8"/>
  <c r="AE169" i="8"/>
  <c r="AD169" i="8"/>
  <c r="AC169" i="8"/>
  <c r="AD168" i="8"/>
  <c r="AE168" i="8" s="1"/>
  <c r="AC168" i="8"/>
  <c r="AD167" i="8"/>
  <c r="AC167" i="8"/>
  <c r="AE167" i="8" s="1"/>
  <c r="AD166" i="8"/>
  <c r="AC166" i="8"/>
  <c r="AE166" i="8" s="1"/>
  <c r="AD165" i="8"/>
  <c r="AC165" i="8"/>
  <c r="AE165" i="8" s="1"/>
  <c r="AD164" i="8"/>
  <c r="AE164" i="8" s="1"/>
  <c r="AC164" i="8"/>
  <c r="AD163" i="8"/>
  <c r="AE163" i="8" s="1"/>
  <c r="AC163" i="8"/>
  <c r="AD162" i="8"/>
  <c r="AE162" i="8" s="1"/>
  <c r="AC162" i="8"/>
  <c r="AE161" i="8"/>
  <c r="AD161" i="8"/>
  <c r="AC161" i="8"/>
  <c r="AD160" i="8"/>
  <c r="AE160" i="8" s="1"/>
  <c r="AC160" i="8"/>
  <c r="AD159" i="8"/>
  <c r="AC159" i="8"/>
  <c r="AE159" i="8" s="1"/>
  <c r="AD158" i="8"/>
  <c r="AC158" i="8"/>
  <c r="AE158" i="8" s="1"/>
  <c r="AD157" i="8"/>
  <c r="AC157" i="8"/>
  <c r="AE157" i="8" s="1"/>
  <c r="AD156" i="8"/>
  <c r="AE156" i="8" s="1"/>
  <c r="AC156" i="8"/>
  <c r="AD155" i="8"/>
  <c r="AE155" i="8" s="1"/>
  <c r="AC155" i="8"/>
  <c r="AD154" i="8"/>
  <c r="AE154" i="8" s="1"/>
  <c r="AC154" i="8"/>
  <c r="AE153" i="8"/>
  <c r="AD153" i="8"/>
  <c r="AC153" i="8"/>
  <c r="AD152" i="8"/>
  <c r="AE152" i="8" s="1"/>
  <c r="AC152" i="8"/>
  <c r="AD151" i="8"/>
  <c r="AC151" i="8"/>
  <c r="AE151" i="8" s="1"/>
  <c r="AD150" i="8"/>
  <c r="AC150" i="8"/>
  <c r="AE150" i="8" s="1"/>
  <c r="AD149" i="8"/>
  <c r="AC149" i="8"/>
  <c r="AE149" i="8" s="1"/>
  <c r="AD148" i="8"/>
  <c r="AE148" i="8" s="1"/>
  <c r="AC148" i="8"/>
  <c r="AD147" i="8"/>
  <c r="AE147" i="8" s="1"/>
  <c r="AC147" i="8"/>
  <c r="AD146" i="8"/>
  <c r="AE146" i="8" s="1"/>
  <c r="AC146" i="8"/>
  <c r="AE145" i="8"/>
  <c r="AD145" i="8"/>
  <c r="AC145" i="8"/>
  <c r="AD144" i="8"/>
  <c r="AE144" i="8" s="1"/>
  <c r="AC144" i="8"/>
  <c r="AD143" i="8"/>
  <c r="AC143" i="8"/>
  <c r="AE143" i="8" s="1"/>
  <c r="AD142" i="8"/>
  <c r="AC142" i="8"/>
  <c r="AE142" i="8" s="1"/>
  <c r="AD141" i="8"/>
  <c r="AC141" i="8"/>
  <c r="AE141" i="8" s="1"/>
  <c r="AD140" i="8"/>
  <c r="AE140" i="8" s="1"/>
  <c r="AC140" i="8"/>
  <c r="AD139" i="8"/>
  <c r="AE139" i="8" s="1"/>
  <c r="AC139" i="8"/>
  <c r="AD138" i="8"/>
  <c r="AE138" i="8" s="1"/>
  <c r="AC138" i="8"/>
  <c r="AE137" i="8"/>
  <c r="AD137" i="8"/>
  <c r="AC137" i="8"/>
  <c r="AD136" i="8"/>
  <c r="AE136" i="8" s="1"/>
  <c r="AC136" i="8"/>
  <c r="AD135" i="8"/>
  <c r="AC135" i="8"/>
  <c r="AE135" i="8" s="1"/>
  <c r="AD134" i="8"/>
  <c r="AC134" i="8"/>
  <c r="AE134" i="8" s="1"/>
  <c r="AD133" i="8"/>
  <c r="AC133" i="8"/>
  <c r="AE133" i="8" s="1"/>
  <c r="AD132" i="8"/>
  <c r="AE132" i="8" s="1"/>
  <c r="AC132" i="8"/>
  <c r="AD131" i="8"/>
  <c r="AE131" i="8" s="1"/>
  <c r="AC131" i="8"/>
  <c r="AD130" i="8"/>
  <c r="AE130" i="8" s="1"/>
  <c r="AC130" i="8"/>
  <c r="AE129" i="8"/>
  <c r="AD129" i="8"/>
  <c r="AC129" i="8"/>
  <c r="AD128" i="8"/>
  <c r="AE128" i="8" s="1"/>
  <c r="AC128" i="8"/>
  <c r="AD127" i="8"/>
  <c r="AC127" i="8"/>
  <c r="AE127" i="8" s="1"/>
  <c r="AD126" i="8"/>
  <c r="AC126" i="8"/>
  <c r="AE126" i="8" s="1"/>
  <c r="AD125" i="8"/>
  <c r="AC125" i="8"/>
  <c r="AH6" i="8" s="1"/>
  <c r="AD124" i="8"/>
  <c r="AE124" i="8" s="1"/>
  <c r="AC124" i="8"/>
  <c r="AD123" i="8"/>
  <c r="AE123" i="8" s="1"/>
  <c r="AC123" i="8"/>
  <c r="AD122" i="8"/>
  <c r="AI6" i="8" s="1"/>
  <c r="AJ6" i="8" s="1"/>
  <c r="AC122" i="8"/>
  <c r="AE121" i="8"/>
  <c r="AD121" i="8"/>
  <c r="AC121" i="8"/>
  <c r="AD120" i="8"/>
  <c r="AE120" i="8" s="1"/>
  <c r="AC120" i="8"/>
  <c r="AD119" i="8"/>
  <c r="AC119" i="8"/>
  <c r="AE119" i="8" s="1"/>
  <c r="AD118" i="8"/>
  <c r="AC118" i="8"/>
  <c r="AE118" i="8" s="1"/>
  <c r="AD117" i="8"/>
  <c r="AC117" i="8"/>
  <c r="AE117" i="8" s="1"/>
  <c r="AD116" i="8"/>
  <c r="AE116" i="8" s="1"/>
  <c r="AC116" i="8"/>
  <c r="AD115" i="8"/>
  <c r="AE115" i="8" s="1"/>
  <c r="AC115" i="8"/>
  <c r="AD114" i="8"/>
  <c r="AE114" i="8" s="1"/>
  <c r="AC114" i="8"/>
  <c r="AE113" i="8"/>
  <c r="AD113" i="8"/>
  <c r="AC113" i="8"/>
  <c r="AD112" i="8"/>
  <c r="AE112" i="8" s="1"/>
  <c r="AC112" i="8"/>
  <c r="AD111" i="8"/>
  <c r="AC111" i="8"/>
  <c r="AE111" i="8" s="1"/>
  <c r="AD110" i="8"/>
  <c r="AC110" i="8"/>
  <c r="AE110" i="8" s="1"/>
  <c r="AD109" i="8"/>
  <c r="AC109" i="8"/>
  <c r="AE109" i="8" s="1"/>
  <c r="AD108" i="8"/>
  <c r="AE108" i="8" s="1"/>
  <c r="AC108" i="8"/>
  <c r="AD107" i="8"/>
  <c r="AE107" i="8" s="1"/>
  <c r="AC107" i="8"/>
  <c r="AD106" i="8"/>
  <c r="AE106" i="8" s="1"/>
  <c r="AC106" i="8"/>
  <c r="AE105" i="8"/>
  <c r="AD105" i="8"/>
  <c r="AC105" i="8"/>
  <c r="AD104" i="8"/>
  <c r="AE104" i="8" s="1"/>
  <c r="AC104" i="8"/>
  <c r="AD103" i="8"/>
  <c r="AC103" i="8"/>
  <c r="AE103" i="8" s="1"/>
  <c r="AD102" i="8"/>
  <c r="AC102" i="8"/>
  <c r="AE102" i="8" s="1"/>
  <c r="AD101" i="8"/>
  <c r="AC101" i="8"/>
  <c r="AE101" i="8" s="1"/>
  <c r="AD100" i="8"/>
  <c r="AE100" i="8" s="1"/>
  <c r="AC100" i="8"/>
  <c r="AD99" i="8"/>
  <c r="AE99" i="8" s="1"/>
  <c r="AC99" i="8"/>
  <c r="AD98" i="8"/>
  <c r="AE98" i="8" s="1"/>
  <c r="AC98" i="8"/>
  <c r="AE97" i="8"/>
  <c r="AD97" i="8"/>
  <c r="AC97" i="8"/>
  <c r="AD96" i="8"/>
  <c r="AE96" i="8" s="1"/>
  <c r="AC96" i="8"/>
  <c r="AD95" i="8"/>
  <c r="AC95" i="8"/>
  <c r="AE95" i="8" s="1"/>
  <c r="AD94" i="8"/>
  <c r="AC94" i="8"/>
  <c r="AE94" i="8" s="1"/>
  <c r="AD93" i="8"/>
  <c r="AC93" i="8"/>
  <c r="AE93" i="8" s="1"/>
  <c r="AD92" i="8"/>
  <c r="AE92" i="8" s="1"/>
  <c r="AC92" i="8"/>
  <c r="AD91" i="8"/>
  <c r="AE91" i="8" s="1"/>
  <c r="AC91" i="8"/>
  <c r="AD90" i="8"/>
  <c r="AE90" i="8" s="1"/>
  <c r="AC90" i="8"/>
  <c r="AE89" i="8"/>
  <c r="AD89" i="8"/>
  <c r="AC89" i="8"/>
  <c r="AD88" i="8"/>
  <c r="AE88" i="8" s="1"/>
  <c r="AC88" i="8"/>
  <c r="AD87" i="8"/>
  <c r="AC87" i="8"/>
  <c r="AE87" i="8" s="1"/>
  <c r="AD86" i="8"/>
  <c r="AC86" i="8"/>
  <c r="AE86" i="8" s="1"/>
  <c r="AD85" i="8"/>
  <c r="AC85" i="8"/>
  <c r="AE85" i="8" s="1"/>
  <c r="AD84" i="8"/>
  <c r="AE84" i="8" s="1"/>
  <c r="AC84" i="8"/>
  <c r="AD83" i="8"/>
  <c r="AE83" i="8" s="1"/>
  <c r="AC83" i="8"/>
  <c r="AD82" i="8"/>
  <c r="AE82" i="8" s="1"/>
  <c r="AC82" i="8"/>
  <c r="AE81" i="8"/>
  <c r="AD81" i="8"/>
  <c r="AC81" i="8"/>
  <c r="AD80" i="8"/>
  <c r="AE80" i="8" s="1"/>
  <c r="AC80" i="8"/>
  <c r="AD79" i="8"/>
  <c r="AC79" i="8"/>
  <c r="AE79" i="8" s="1"/>
  <c r="AD78" i="8"/>
  <c r="AC78" i="8"/>
  <c r="AE78" i="8" s="1"/>
  <c r="AD77" i="8"/>
  <c r="AC77" i="8"/>
  <c r="AE77" i="8" s="1"/>
  <c r="AD76" i="8"/>
  <c r="AE76" i="8" s="1"/>
  <c r="AC76" i="8"/>
  <c r="AD75" i="8"/>
  <c r="AE75" i="8" s="1"/>
  <c r="AC75" i="8"/>
  <c r="AD74" i="8"/>
  <c r="AE74" i="8" s="1"/>
  <c r="AC74" i="8"/>
  <c r="AE73" i="8"/>
  <c r="AD73" i="8"/>
  <c r="AC73" i="8"/>
  <c r="AD72" i="8"/>
  <c r="AE72" i="8" s="1"/>
  <c r="AC72" i="8"/>
  <c r="AD71" i="8"/>
  <c r="AC71" i="8"/>
  <c r="AE71" i="8" s="1"/>
  <c r="AD70" i="8"/>
  <c r="AC70" i="8"/>
  <c r="AE70" i="8" s="1"/>
  <c r="AD69" i="8"/>
  <c r="AC69" i="8"/>
  <c r="AE69" i="8" s="1"/>
  <c r="AD68" i="8"/>
  <c r="AE68" i="8" s="1"/>
  <c r="AC68" i="8"/>
  <c r="AD67" i="8"/>
  <c r="AE67" i="8" s="1"/>
  <c r="AC67" i="8"/>
  <c r="AD66" i="8"/>
  <c r="AE66" i="8" s="1"/>
  <c r="AC66" i="8"/>
  <c r="AE65" i="8"/>
  <c r="AD65" i="8"/>
  <c r="AC65" i="8"/>
  <c r="AD64" i="8"/>
  <c r="AE64" i="8" s="1"/>
  <c r="AC64" i="8"/>
  <c r="AD63" i="8"/>
  <c r="AC63" i="8"/>
  <c r="AE63" i="8" s="1"/>
  <c r="AD62" i="8"/>
  <c r="AC62" i="8"/>
  <c r="AE62" i="8" s="1"/>
  <c r="AD61" i="8"/>
  <c r="AC61" i="8"/>
  <c r="AE61" i="8" s="1"/>
  <c r="AD60" i="8"/>
  <c r="AE60" i="8" s="1"/>
  <c r="AC60" i="8"/>
  <c r="AD59" i="8"/>
  <c r="AE59" i="8" s="1"/>
  <c r="AC59" i="8"/>
  <c r="AD58" i="8"/>
  <c r="AE58" i="8" s="1"/>
  <c r="AC58" i="8"/>
  <c r="AE57" i="8"/>
  <c r="AD57" i="8"/>
  <c r="AC57" i="8"/>
  <c r="AD56" i="8"/>
  <c r="AE56" i="8" s="1"/>
  <c r="AC56" i="8"/>
  <c r="AD55" i="8"/>
  <c r="AC55" i="8"/>
  <c r="AE55" i="8" s="1"/>
  <c r="AD54" i="8"/>
  <c r="AC54" i="8"/>
  <c r="AE54" i="8" s="1"/>
  <c r="AD53" i="8"/>
  <c r="AC53" i="8"/>
  <c r="AE53" i="8" s="1"/>
  <c r="AD52" i="8"/>
  <c r="AE52" i="8" s="1"/>
  <c r="AC52" i="8"/>
  <c r="AD51" i="8"/>
  <c r="AE51" i="8" s="1"/>
  <c r="AC51" i="8"/>
  <c r="AD50" i="8"/>
  <c r="AE50" i="8" s="1"/>
  <c r="AC50" i="8"/>
  <c r="AE49" i="8"/>
  <c r="AD49" i="8"/>
  <c r="AC49" i="8"/>
  <c r="AD48" i="8"/>
  <c r="AE48" i="8" s="1"/>
  <c r="AC48" i="8"/>
  <c r="AD47" i="8"/>
  <c r="AC47" i="8"/>
  <c r="AE47" i="8" s="1"/>
  <c r="AD46" i="8"/>
  <c r="AC46" i="8"/>
  <c r="AE46" i="8" s="1"/>
  <c r="AD45" i="8"/>
  <c r="AC45" i="8"/>
  <c r="AE45" i="8" s="1"/>
  <c r="AD44" i="8"/>
  <c r="AE44" i="8" s="1"/>
  <c r="AC44" i="8"/>
  <c r="AD43" i="8"/>
  <c r="AE43" i="8" s="1"/>
  <c r="AC43" i="8"/>
  <c r="AD42" i="8"/>
  <c r="AE42" i="8" s="1"/>
  <c r="AC42" i="8"/>
  <c r="AE41" i="8"/>
  <c r="AD41" i="8"/>
  <c r="AC41" i="8"/>
  <c r="AD40" i="8"/>
  <c r="AE40" i="8" s="1"/>
  <c r="AC40" i="8"/>
  <c r="AD39" i="8"/>
  <c r="AC39" i="8"/>
  <c r="AE39" i="8" s="1"/>
  <c r="AD38" i="8"/>
  <c r="AC38" i="8"/>
  <c r="AE38" i="8" s="1"/>
  <c r="AD37" i="8"/>
  <c r="AC37" i="8"/>
  <c r="AH5" i="8" s="1"/>
  <c r="AD36" i="8"/>
  <c r="AE36" i="8" s="1"/>
  <c r="AC36" i="8"/>
  <c r="AD35" i="8"/>
  <c r="AE35" i="8" s="1"/>
  <c r="AC35" i="8"/>
  <c r="AD34" i="8"/>
  <c r="AE34" i="8" s="1"/>
  <c r="AC34" i="8"/>
  <c r="AE33" i="8"/>
  <c r="AD33" i="8"/>
  <c r="AC33" i="8"/>
  <c r="AD32" i="8"/>
  <c r="AE32" i="8" s="1"/>
  <c r="AC32" i="8"/>
  <c r="AD31" i="8"/>
  <c r="AC31" i="8"/>
  <c r="AE31" i="8" s="1"/>
  <c r="AD30" i="8"/>
  <c r="AC30" i="8"/>
  <c r="AE30" i="8" s="1"/>
  <c r="AD29" i="8"/>
  <c r="AC29" i="8"/>
  <c r="AE29" i="8" s="1"/>
  <c r="AD28" i="8"/>
  <c r="AE28" i="8" s="1"/>
  <c r="AC28" i="8"/>
  <c r="AD27" i="8"/>
  <c r="AE27" i="8" s="1"/>
  <c r="AC27" i="8"/>
  <c r="AD26" i="8"/>
  <c r="AE26" i="8" s="1"/>
  <c r="AC26" i="8"/>
  <c r="AE25" i="8"/>
  <c r="AD25" i="8"/>
  <c r="AC25" i="8"/>
  <c r="AD24" i="8"/>
  <c r="AE24" i="8" s="1"/>
  <c r="AC24" i="8"/>
  <c r="AD23" i="8"/>
  <c r="AC23" i="8"/>
  <c r="AE23" i="8" s="1"/>
  <c r="AD22" i="8"/>
  <c r="AC22" i="8"/>
  <c r="AE22" i="8" s="1"/>
  <c r="AD21" i="8"/>
  <c r="AC21" i="8"/>
  <c r="AE21" i="8" s="1"/>
  <c r="AD20" i="8"/>
  <c r="AI4" i="8" s="1"/>
  <c r="AC20" i="8"/>
  <c r="AD19" i="8"/>
  <c r="AE19" i="8" s="1"/>
  <c r="AC19" i="8"/>
  <c r="AD18" i="8"/>
  <c r="AE18" i="8" s="1"/>
  <c r="AC18" i="8"/>
  <c r="AE17" i="8"/>
  <c r="AD17" i="8"/>
  <c r="AC17" i="8"/>
  <c r="AD16" i="8"/>
  <c r="AE16" i="8" s="1"/>
  <c r="AC16" i="8"/>
  <c r="AD15" i="8"/>
  <c r="AC15" i="8"/>
  <c r="AE15" i="8" s="1"/>
  <c r="AH14" i="8"/>
  <c r="AD14" i="8"/>
  <c r="AC14" i="8"/>
  <c r="AE14" i="8" s="1"/>
  <c r="AD13" i="8"/>
  <c r="AE13" i="8" s="1"/>
  <c r="AC13" i="8"/>
  <c r="AI12" i="8"/>
  <c r="AE12" i="8"/>
  <c r="AD12" i="8"/>
  <c r="AC12" i="8"/>
  <c r="AD11" i="8"/>
  <c r="AC11" i="8"/>
  <c r="AE11" i="8" s="1"/>
  <c r="AD10" i="8"/>
  <c r="AC10" i="8"/>
  <c r="AE10" i="8" s="1"/>
  <c r="AI9" i="8"/>
  <c r="AD9" i="8"/>
  <c r="AE9" i="8" s="1"/>
  <c r="AC9" i="8"/>
  <c r="AE8" i="8"/>
  <c r="AD8" i="8"/>
  <c r="AC8" i="8"/>
  <c r="AD7" i="8"/>
  <c r="AC7" i="8"/>
  <c r="AE7" i="8" s="1"/>
  <c r="AD6" i="8"/>
  <c r="AC6" i="8"/>
  <c r="AE6" i="8" s="1"/>
  <c r="AI5" i="8"/>
  <c r="AD5" i="8"/>
  <c r="AE5" i="8" s="1"/>
  <c r="AC5" i="8"/>
  <c r="AH4" i="8" s="1"/>
  <c r="AE4" i="8"/>
  <c r="AD4" i="8"/>
  <c r="AD347" i="8" s="1"/>
  <c r="AC4" i="8"/>
  <c r="AC347" i="8" s="1"/>
  <c r="AJ9" i="8" l="1"/>
  <c r="AE347" i="8"/>
  <c r="AI13" i="8"/>
  <c r="AJ4" i="8"/>
  <c r="AJ7" i="8"/>
  <c r="AJ5" i="8"/>
  <c r="AH8" i="8"/>
  <c r="AJ8" i="8" s="1"/>
  <c r="AH12" i="8"/>
  <c r="AJ12" i="8" s="1"/>
  <c r="AE20" i="8"/>
  <c r="AE204" i="8"/>
  <c r="AH7" i="8"/>
  <c r="AH11" i="8"/>
  <c r="AJ11" i="8" s="1"/>
  <c r="AE122" i="8"/>
  <c r="AE170" i="8"/>
  <c r="AE250" i="8"/>
  <c r="AE258" i="8"/>
  <c r="AE314" i="8"/>
  <c r="AE37" i="8"/>
  <c r="AE125" i="8"/>
  <c r="AE245" i="8"/>
  <c r="AE261" i="8"/>
  <c r="AH13" i="8" l="1"/>
  <c r="AJ13" i="8"/>
  <c r="Z347" i="29" l="1"/>
  <c r="Y347" i="29"/>
  <c r="X347" i="29"/>
  <c r="W347" i="29"/>
  <c r="V347" i="29"/>
  <c r="U347" i="29"/>
  <c r="T347" i="29"/>
  <c r="S347" i="29"/>
  <c r="R347" i="29"/>
  <c r="Q347" i="29"/>
  <c r="P347" i="29"/>
  <c r="O347" i="29"/>
  <c r="N347" i="29"/>
  <c r="M347" i="29"/>
  <c r="L347" i="29"/>
  <c r="K347" i="29"/>
  <c r="J347" i="29"/>
  <c r="I347" i="29"/>
  <c r="H347" i="29"/>
  <c r="G347" i="29"/>
  <c r="F347" i="29"/>
  <c r="E347" i="29"/>
  <c r="D347" i="29"/>
  <c r="C347" i="29"/>
  <c r="AC346" i="29"/>
  <c r="AD346" i="29" s="1"/>
  <c r="AB346" i="29"/>
  <c r="AC345" i="29"/>
  <c r="AD345" i="29" s="1"/>
  <c r="AB345" i="29"/>
  <c r="AC344" i="29"/>
  <c r="AD344" i="29" s="1"/>
  <c r="AB344" i="29"/>
  <c r="AC343" i="29"/>
  <c r="AD343" i="29" s="1"/>
  <c r="AB343" i="29"/>
  <c r="AD342" i="29"/>
  <c r="AC342" i="29"/>
  <c r="AB342" i="29"/>
  <c r="AC341" i="29"/>
  <c r="AB341" i="29"/>
  <c r="AD341" i="29" s="1"/>
  <c r="AC340" i="29"/>
  <c r="AD340" i="29" s="1"/>
  <c r="AB340" i="29"/>
  <c r="AC339" i="29"/>
  <c r="AD339" i="29" s="1"/>
  <c r="AB339" i="29"/>
  <c r="AC338" i="29"/>
  <c r="AD338" i="29" s="1"/>
  <c r="AB338" i="29"/>
  <c r="AC337" i="29"/>
  <c r="AD337" i="29" s="1"/>
  <c r="AB337" i="29"/>
  <c r="AC336" i="29"/>
  <c r="AD336" i="29" s="1"/>
  <c r="AB336" i="29"/>
  <c r="AC335" i="29"/>
  <c r="AD335" i="29" s="1"/>
  <c r="AB335" i="29"/>
  <c r="AD334" i="29"/>
  <c r="AC334" i="29"/>
  <c r="AB334" i="29"/>
  <c r="AC333" i="29"/>
  <c r="AB333" i="29"/>
  <c r="AD333" i="29" s="1"/>
  <c r="AC332" i="29"/>
  <c r="AH12" i="29" s="1"/>
  <c r="AB332" i="29"/>
  <c r="AG12" i="29" s="1"/>
  <c r="AC331" i="29"/>
  <c r="AD331" i="29" s="1"/>
  <c r="AB331" i="29"/>
  <c r="AC330" i="29"/>
  <c r="AD330" i="29" s="1"/>
  <c r="AB330" i="29"/>
  <c r="AC329" i="29"/>
  <c r="AD329" i="29" s="1"/>
  <c r="AB329" i="29"/>
  <c r="AC328" i="29"/>
  <c r="AD328" i="29" s="1"/>
  <c r="AB328" i="29"/>
  <c r="AC327" i="29"/>
  <c r="AD327" i="29" s="1"/>
  <c r="AB327" i="29"/>
  <c r="AD326" i="29"/>
  <c r="AC326" i="29"/>
  <c r="AB326" i="29"/>
  <c r="AC325" i="29"/>
  <c r="AD325" i="29" s="1"/>
  <c r="AB325" i="29"/>
  <c r="AC324" i="29"/>
  <c r="AD324" i="29" s="1"/>
  <c r="AB324" i="29"/>
  <c r="AC323" i="29"/>
  <c r="AD323" i="29" s="1"/>
  <c r="AB323" i="29"/>
  <c r="AC322" i="29"/>
  <c r="AD322" i="29" s="1"/>
  <c r="AB322" i="29"/>
  <c r="AC321" i="29"/>
  <c r="AD321" i="29" s="1"/>
  <c r="AB321" i="29"/>
  <c r="AC320" i="29"/>
  <c r="AD320" i="29" s="1"/>
  <c r="AB320" i="29"/>
  <c r="AC319" i="29"/>
  <c r="AD319" i="29" s="1"/>
  <c r="AB319" i="29"/>
  <c r="AD318" i="29"/>
  <c r="AC318" i="29"/>
  <c r="AB318" i="29"/>
  <c r="AC317" i="29"/>
  <c r="AB317" i="29"/>
  <c r="AD317" i="29" s="1"/>
  <c r="AC316" i="29"/>
  <c r="AD316" i="29" s="1"/>
  <c r="AB316" i="29"/>
  <c r="AG11" i="29" s="1"/>
  <c r="AC315" i="29"/>
  <c r="AD315" i="29" s="1"/>
  <c r="AB315" i="29"/>
  <c r="AC314" i="29"/>
  <c r="AD314" i="29" s="1"/>
  <c r="AB314" i="29"/>
  <c r="AC313" i="29"/>
  <c r="AH11" i="29" s="1"/>
  <c r="AI11" i="29" s="1"/>
  <c r="AB313" i="29"/>
  <c r="AD312" i="29"/>
  <c r="AC312" i="29"/>
  <c r="AB312" i="29"/>
  <c r="AC311" i="29"/>
  <c r="AD311" i="29" s="1"/>
  <c r="AB311" i="29"/>
  <c r="AD310" i="29"/>
  <c r="AC310" i="29"/>
  <c r="AB310" i="29"/>
  <c r="AC309" i="29"/>
  <c r="AD309" i="29" s="1"/>
  <c r="AB309" i="29"/>
  <c r="AC308" i="29"/>
  <c r="AD308" i="29" s="1"/>
  <c r="AB308" i="29"/>
  <c r="AC307" i="29"/>
  <c r="AD307" i="29" s="1"/>
  <c r="AB307" i="29"/>
  <c r="AC306" i="29"/>
  <c r="AD306" i="29" s="1"/>
  <c r="AB306" i="29"/>
  <c r="AC305" i="29"/>
  <c r="AD305" i="29" s="1"/>
  <c r="AB305" i="29"/>
  <c r="AD304" i="29"/>
  <c r="AC304" i="29"/>
  <c r="AB304" i="29"/>
  <c r="AC303" i="29"/>
  <c r="AD303" i="29" s="1"/>
  <c r="AB303" i="29"/>
  <c r="AD302" i="29"/>
  <c r="AC302" i="29"/>
  <c r="AB302" i="29"/>
  <c r="AC301" i="29"/>
  <c r="AD301" i="29" s="1"/>
  <c r="AB301" i="29"/>
  <c r="AC300" i="29"/>
  <c r="AD300" i="29" s="1"/>
  <c r="AB300" i="29"/>
  <c r="AC299" i="29"/>
  <c r="AD299" i="29" s="1"/>
  <c r="AB299" i="29"/>
  <c r="AC298" i="29"/>
  <c r="AD298" i="29" s="1"/>
  <c r="AB298" i="29"/>
  <c r="AC297" i="29"/>
  <c r="AD297" i="29" s="1"/>
  <c r="AB297" i="29"/>
  <c r="AD296" i="29"/>
  <c r="AC296" i="29"/>
  <c r="AB296" i="29"/>
  <c r="AC295" i="29"/>
  <c r="AD295" i="29" s="1"/>
  <c r="AB295" i="29"/>
  <c r="AD294" i="29"/>
  <c r="AC294" i="29"/>
  <c r="AB294" i="29"/>
  <c r="AC293" i="29"/>
  <c r="AD293" i="29" s="1"/>
  <c r="AB293" i="29"/>
  <c r="AC292" i="29"/>
  <c r="AD292" i="29" s="1"/>
  <c r="AB292" i="29"/>
  <c r="AC291" i="29"/>
  <c r="AD291" i="29" s="1"/>
  <c r="AB291" i="29"/>
  <c r="AC290" i="29"/>
  <c r="AD290" i="29" s="1"/>
  <c r="AB290" i="29"/>
  <c r="AC289" i="29"/>
  <c r="AD289" i="29" s="1"/>
  <c r="AB289" i="29"/>
  <c r="AD288" i="29"/>
  <c r="AC288" i="29"/>
  <c r="AB288" i="29"/>
  <c r="AC287" i="29"/>
  <c r="AD287" i="29" s="1"/>
  <c r="AB287" i="29"/>
  <c r="AD286" i="29"/>
  <c r="AC286" i="29"/>
  <c r="AB286" i="29"/>
  <c r="AC285" i="29"/>
  <c r="AD285" i="29" s="1"/>
  <c r="AB285" i="29"/>
  <c r="AC284" i="29"/>
  <c r="AD284" i="29" s="1"/>
  <c r="AB284" i="29"/>
  <c r="AC283" i="29"/>
  <c r="AD283" i="29" s="1"/>
  <c r="AB283" i="29"/>
  <c r="AC282" i="29"/>
  <c r="AD282" i="29" s="1"/>
  <c r="AB282" i="29"/>
  <c r="AC281" i="29"/>
  <c r="AD281" i="29" s="1"/>
  <c r="AB281" i="29"/>
  <c r="AD280" i="29"/>
  <c r="AC280" i="29"/>
  <c r="AB280" i="29"/>
  <c r="AC279" i="29"/>
  <c r="AD279" i="29" s="1"/>
  <c r="AB279" i="29"/>
  <c r="AD278" i="29"/>
  <c r="AC278" i="29"/>
  <c r="AB278" i="29"/>
  <c r="AC277" i="29"/>
  <c r="AD277" i="29" s="1"/>
  <c r="AB277" i="29"/>
  <c r="AC276" i="29"/>
  <c r="AD276" i="29" s="1"/>
  <c r="AB276" i="29"/>
  <c r="AC275" i="29"/>
  <c r="AD275" i="29" s="1"/>
  <c r="AB275" i="29"/>
  <c r="AC274" i="29"/>
  <c r="AD274" i="29" s="1"/>
  <c r="AB274" i="29"/>
  <c r="AC273" i="29"/>
  <c r="AD273" i="29" s="1"/>
  <c r="AB273" i="29"/>
  <c r="AD272" i="29"/>
  <c r="AC272" i="29"/>
  <c r="AB272" i="29"/>
  <c r="AC271" i="29"/>
  <c r="AD271" i="29" s="1"/>
  <c r="AB271" i="29"/>
  <c r="AD270" i="29"/>
  <c r="AC270" i="29"/>
  <c r="AB270" i="29"/>
  <c r="AC269" i="29"/>
  <c r="AD269" i="29" s="1"/>
  <c r="AB269" i="29"/>
  <c r="AC268" i="29"/>
  <c r="AD268" i="29" s="1"/>
  <c r="AB268" i="29"/>
  <c r="AC267" i="29"/>
  <c r="AD267" i="29" s="1"/>
  <c r="AB267" i="29"/>
  <c r="AC266" i="29"/>
  <c r="AD266" i="29" s="1"/>
  <c r="AB266" i="29"/>
  <c r="AC265" i="29"/>
  <c r="AD265" i="29" s="1"/>
  <c r="AB265" i="29"/>
  <c r="AD264" i="29"/>
  <c r="AC264" i="29"/>
  <c r="AB264" i="29"/>
  <c r="AC263" i="29"/>
  <c r="AD263" i="29" s="1"/>
  <c r="AB263" i="29"/>
  <c r="AD262" i="29"/>
  <c r="AC262" i="29"/>
  <c r="AB262" i="29"/>
  <c r="AC261" i="29"/>
  <c r="AD261" i="29" s="1"/>
  <c r="AB261" i="29"/>
  <c r="AC260" i="29"/>
  <c r="AD260" i="29" s="1"/>
  <c r="AB260" i="29"/>
  <c r="AC259" i="29"/>
  <c r="AD259" i="29" s="1"/>
  <c r="AB259" i="29"/>
  <c r="AC258" i="29"/>
  <c r="AD258" i="29" s="1"/>
  <c r="AB258" i="29"/>
  <c r="AG10" i="29" s="1"/>
  <c r="AC257" i="29"/>
  <c r="AH10" i="29" s="1"/>
  <c r="AB257" i="29"/>
  <c r="AD256" i="29"/>
  <c r="AC256" i="29"/>
  <c r="AB256" i="29"/>
  <c r="AC255" i="29"/>
  <c r="AD255" i="29" s="1"/>
  <c r="AB255" i="29"/>
  <c r="AD254" i="29"/>
  <c r="AC254" i="29"/>
  <c r="AB254" i="29"/>
  <c r="AC253" i="29"/>
  <c r="AD253" i="29" s="1"/>
  <c r="AB253" i="29"/>
  <c r="AC252" i="29"/>
  <c r="AD252" i="29" s="1"/>
  <c r="AB252" i="29"/>
  <c r="AC251" i="29"/>
  <c r="AD251" i="29" s="1"/>
  <c r="AB251" i="29"/>
  <c r="AC250" i="29"/>
  <c r="AD250" i="29" s="1"/>
  <c r="AB250" i="29"/>
  <c r="AG14" i="29" s="1"/>
  <c r="AC249" i="29"/>
  <c r="AH14" i="29" s="1"/>
  <c r="AI14" i="29" s="1"/>
  <c r="AB249" i="29"/>
  <c r="AD248" i="29"/>
  <c r="AC248" i="29"/>
  <c r="AB248" i="29"/>
  <c r="AC247" i="29"/>
  <c r="AD247" i="29" s="1"/>
  <c r="AB247" i="29"/>
  <c r="AD246" i="29"/>
  <c r="AC246" i="29"/>
  <c r="AB246" i="29"/>
  <c r="AC245" i="29"/>
  <c r="AD245" i="29" s="1"/>
  <c r="AB245" i="29"/>
  <c r="AC244" i="29"/>
  <c r="AD244" i="29" s="1"/>
  <c r="AB244" i="29"/>
  <c r="AC243" i="29"/>
  <c r="AD243" i="29" s="1"/>
  <c r="AB243" i="29"/>
  <c r="AC242" i="29"/>
  <c r="AD242" i="29" s="1"/>
  <c r="AB242" i="29"/>
  <c r="AC241" i="29"/>
  <c r="AD241" i="29" s="1"/>
  <c r="AB241" i="29"/>
  <c r="AD240" i="29"/>
  <c r="AC240" i="29"/>
  <c r="AB240" i="29"/>
  <c r="AC239" i="29"/>
  <c r="AD239" i="29" s="1"/>
  <c r="AB239" i="29"/>
  <c r="AD238" i="29"/>
  <c r="AC238" i="29"/>
  <c r="AB238" i="29"/>
  <c r="AC237" i="29"/>
  <c r="AD237" i="29" s="1"/>
  <c r="AB237" i="29"/>
  <c r="AC236" i="29"/>
  <c r="AD236" i="29" s="1"/>
  <c r="AB236" i="29"/>
  <c r="AC235" i="29"/>
  <c r="AD235" i="29" s="1"/>
  <c r="AB235" i="29"/>
  <c r="AC234" i="29"/>
  <c r="AD234" i="29" s="1"/>
  <c r="AB234" i="29"/>
  <c r="AC233" i="29"/>
  <c r="AD233" i="29" s="1"/>
  <c r="AB233" i="29"/>
  <c r="AD232" i="29"/>
  <c r="AC232" i="29"/>
  <c r="AB232" i="29"/>
  <c r="AC231" i="29"/>
  <c r="AD231" i="29" s="1"/>
  <c r="AB231" i="29"/>
  <c r="AD230" i="29"/>
  <c r="AC230" i="29"/>
  <c r="AB230" i="29"/>
  <c r="AC229" i="29"/>
  <c r="AD229" i="29" s="1"/>
  <c r="AB229" i="29"/>
  <c r="AC228" i="29"/>
  <c r="AD228" i="29" s="1"/>
  <c r="AB228" i="29"/>
  <c r="AC227" i="29"/>
  <c r="AD227" i="29" s="1"/>
  <c r="AB227" i="29"/>
  <c r="AC226" i="29"/>
  <c r="AD226" i="29" s="1"/>
  <c r="AB226" i="29"/>
  <c r="AC225" i="29"/>
  <c r="AD225" i="29" s="1"/>
  <c r="AB225" i="29"/>
  <c r="AD224" i="29"/>
  <c r="AC224" i="29"/>
  <c r="AB224" i="29"/>
  <c r="AC223" i="29"/>
  <c r="AD223" i="29" s="1"/>
  <c r="AB223" i="29"/>
  <c r="AD222" i="29"/>
  <c r="AC222" i="29"/>
  <c r="AB222" i="29"/>
  <c r="AC221" i="29"/>
  <c r="AD221" i="29" s="1"/>
  <c r="AB221" i="29"/>
  <c r="AC220" i="29"/>
  <c r="AD220" i="29" s="1"/>
  <c r="AB220" i="29"/>
  <c r="AC219" i="29"/>
  <c r="AD219" i="29" s="1"/>
  <c r="AB219" i="29"/>
  <c r="AC218" i="29"/>
  <c r="AD218" i="29" s="1"/>
  <c r="AB218" i="29"/>
  <c r="AC217" i="29"/>
  <c r="AD217" i="29" s="1"/>
  <c r="AB217" i="29"/>
  <c r="AD216" i="29"/>
  <c r="AC216" i="29"/>
  <c r="AB216" i="29"/>
  <c r="AC215" i="29"/>
  <c r="AD215" i="29" s="1"/>
  <c r="AB215" i="29"/>
  <c r="AD214" i="29"/>
  <c r="AC214" i="29"/>
  <c r="AB214" i="29"/>
  <c r="AC213" i="29"/>
  <c r="AD213" i="29" s="1"/>
  <c r="AB213" i="29"/>
  <c r="AC212" i="29"/>
  <c r="AD212" i="29" s="1"/>
  <c r="AB212" i="29"/>
  <c r="AC211" i="29"/>
  <c r="AD211" i="29" s="1"/>
  <c r="AB211" i="29"/>
  <c r="AC210" i="29"/>
  <c r="AD210" i="29" s="1"/>
  <c r="AB210" i="29"/>
  <c r="AC209" i="29"/>
  <c r="AD209" i="29" s="1"/>
  <c r="AB209" i="29"/>
  <c r="AD208" i="29"/>
  <c r="AC208" i="29"/>
  <c r="AB208" i="29"/>
  <c r="AC207" i="29"/>
  <c r="AD207" i="29" s="1"/>
  <c r="AB207" i="29"/>
  <c r="AD206" i="29"/>
  <c r="AC206" i="29"/>
  <c r="AB206" i="29"/>
  <c r="AC205" i="29"/>
  <c r="AD205" i="29" s="1"/>
  <c r="AB205" i="29"/>
  <c r="AC204" i="29"/>
  <c r="AH8" i="29" s="1"/>
  <c r="AI8" i="29" s="1"/>
  <c r="AB204" i="29"/>
  <c r="AG8" i="29" s="1"/>
  <c r="AC203" i="29"/>
  <c r="AD203" i="29" s="1"/>
  <c r="AB203" i="29"/>
  <c r="AC202" i="29"/>
  <c r="AD202" i="29" s="1"/>
  <c r="AB202" i="29"/>
  <c r="AC201" i="29"/>
  <c r="AD201" i="29" s="1"/>
  <c r="AB201" i="29"/>
  <c r="AD200" i="29"/>
  <c r="AC200" i="29"/>
  <c r="AB200" i="29"/>
  <c r="AC199" i="29"/>
  <c r="AD199" i="29" s="1"/>
  <c r="AB199" i="29"/>
  <c r="AD198" i="29"/>
  <c r="AC198" i="29"/>
  <c r="AB198" i="29"/>
  <c r="AC197" i="29"/>
  <c r="AD197" i="29" s="1"/>
  <c r="AB197" i="29"/>
  <c r="AC196" i="29"/>
  <c r="AD196" i="29" s="1"/>
  <c r="AB196" i="29"/>
  <c r="AC195" i="29"/>
  <c r="AD195" i="29" s="1"/>
  <c r="AB195" i="29"/>
  <c r="AC194" i="29"/>
  <c r="AD194" i="29" s="1"/>
  <c r="AB194" i="29"/>
  <c r="AC193" i="29"/>
  <c r="AD193" i="29" s="1"/>
  <c r="AB193" i="29"/>
  <c r="AD192" i="29"/>
  <c r="AC192" i="29"/>
  <c r="AB192" i="29"/>
  <c r="AC191" i="29"/>
  <c r="AD191" i="29" s="1"/>
  <c r="AB191" i="29"/>
  <c r="AD190" i="29"/>
  <c r="AC190" i="29"/>
  <c r="AB190" i="29"/>
  <c r="AC189" i="29"/>
  <c r="AD189" i="29" s="1"/>
  <c r="AB189" i="29"/>
  <c r="AC188" i="29"/>
  <c r="AD188" i="29" s="1"/>
  <c r="AB188" i="29"/>
  <c r="AC187" i="29"/>
  <c r="AD187" i="29" s="1"/>
  <c r="AB187" i="29"/>
  <c r="AC186" i="29"/>
  <c r="AD186" i="29" s="1"/>
  <c r="AB186" i="29"/>
  <c r="AC185" i="29"/>
  <c r="AD185" i="29" s="1"/>
  <c r="AB185" i="29"/>
  <c r="AD184" i="29"/>
  <c r="AC184" i="29"/>
  <c r="AB184" i="29"/>
  <c r="AC183" i="29"/>
  <c r="AD183" i="29" s="1"/>
  <c r="AB183" i="29"/>
  <c r="AD182" i="29"/>
  <c r="AC182" i="29"/>
  <c r="AB182" i="29"/>
  <c r="AC181" i="29"/>
  <c r="AD181" i="29" s="1"/>
  <c r="AB181" i="29"/>
  <c r="AC180" i="29"/>
  <c r="AD180" i="29" s="1"/>
  <c r="AB180" i="29"/>
  <c r="AC179" i="29"/>
  <c r="AD179" i="29" s="1"/>
  <c r="AB179" i="29"/>
  <c r="AC178" i="29"/>
  <c r="AD178" i="29" s="1"/>
  <c r="AB178" i="29"/>
  <c r="AC177" i="29"/>
  <c r="AD177" i="29" s="1"/>
  <c r="AB177" i="29"/>
  <c r="AD176" i="29"/>
  <c r="AC176" i="29"/>
  <c r="AB176" i="29"/>
  <c r="AC175" i="29"/>
  <c r="AD175" i="29" s="1"/>
  <c r="AB175" i="29"/>
  <c r="AD174" i="29"/>
  <c r="AC174" i="29"/>
  <c r="AB174" i="29"/>
  <c r="AC173" i="29"/>
  <c r="AD173" i="29" s="1"/>
  <c r="AB173" i="29"/>
  <c r="AC172" i="29"/>
  <c r="AD172" i="29" s="1"/>
  <c r="AB172" i="29"/>
  <c r="AC171" i="29"/>
  <c r="AD171" i="29" s="1"/>
  <c r="AB171" i="29"/>
  <c r="AC170" i="29"/>
  <c r="AD170" i="29" s="1"/>
  <c r="AB170" i="29"/>
  <c r="AG7" i="29" s="1"/>
  <c r="AC169" i="29"/>
  <c r="AD169" i="29" s="1"/>
  <c r="AB169" i="29"/>
  <c r="AD168" i="29"/>
  <c r="AC168" i="29"/>
  <c r="AB168" i="29"/>
  <c r="AC167" i="29"/>
  <c r="AD167" i="29" s="1"/>
  <c r="AB167" i="29"/>
  <c r="AD166" i="29"/>
  <c r="AC166" i="29"/>
  <c r="AB166" i="29"/>
  <c r="AC165" i="29"/>
  <c r="AD165" i="29" s="1"/>
  <c r="AB165" i="29"/>
  <c r="AC164" i="29"/>
  <c r="AD164" i="29" s="1"/>
  <c r="AB164" i="29"/>
  <c r="AC163" i="29"/>
  <c r="AD163" i="29" s="1"/>
  <c r="AB163" i="29"/>
  <c r="AC162" i="29"/>
  <c r="AD162" i="29" s="1"/>
  <c r="AB162" i="29"/>
  <c r="AC161" i="29"/>
  <c r="AD161" i="29" s="1"/>
  <c r="AB161" i="29"/>
  <c r="AD160" i="29"/>
  <c r="AC160" i="29"/>
  <c r="AB160" i="29"/>
  <c r="AC159" i="29"/>
  <c r="AD159" i="29" s="1"/>
  <c r="AB159" i="29"/>
  <c r="AD158" i="29"/>
  <c r="AC158" i="29"/>
  <c r="AB158" i="29"/>
  <c r="AC157" i="29"/>
  <c r="AD157" i="29" s="1"/>
  <c r="AB157" i="29"/>
  <c r="AC156" i="29"/>
  <c r="AD156" i="29" s="1"/>
  <c r="AB156" i="29"/>
  <c r="AC155" i="29"/>
  <c r="AD155" i="29" s="1"/>
  <c r="AB155" i="29"/>
  <c r="AC154" i="29"/>
  <c r="AD154" i="29" s="1"/>
  <c r="AB154" i="29"/>
  <c r="AC153" i="29"/>
  <c r="AD153" i="29" s="1"/>
  <c r="AB153" i="29"/>
  <c r="AD152" i="29"/>
  <c r="AC152" i="29"/>
  <c r="AB152" i="29"/>
  <c r="AC151" i="29"/>
  <c r="AD151" i="29" s="1"/>
  <c r="AB151" i="29"/>
  <c r="AD150" i="29"/>
  <c r="AC150" i="29"/>
  <c r="AB150" i="29"/>
  <c r="AC149" i="29"/>
  <c r="AD149" i="29" s="1"/>
  <c r="AB149" i="29"/>
  <c r="AC148" i="29"/>
  <c r="AD148" i="29" s="1"/>
  <c r="AB148" i="29"/>
  <c r="AC147" i="29"/>
  <c r="AD147" i="29" s="1"/>
  <c r="AB147" i="29"/>
  <c r="AC146" i="29"/>
  <c r="AD146" i="29" s="1"/>
  <c r="AB146" i="29"/>
  <c r="AC145" i="29"/>
  <c r="AD145" i="29" s="1"/>
  <c r="AB145" i="29"/>
  <c r="AD144" i="29"/>
  <c r="AC144" i="29"/>
  <c r="AB144" i="29"/>
  <c r="AC143" i="29"/>
  <c r="AD143" i="29" s="1"/>
  <c r="AB143" i="29"/>
  <c r="AD142" i="29"/>
  <c r="AC142" i="29"/>
  <c r="AB142" i="29"/>
  <c r="AC141" i="29"/>
  <c r="AD141" i="29" s="1"/>
  <c r="AB141" i="29"/>
  <c r="AC140" i="29"/>
  <c r="AD140" i="29" s="1"/>
  <c r="AB140" i="29"/>
  <c r="AC139" i="29"/>
  <c r="AD139" i="29" s="1"/>
  <c r="AB139" i="29"/>
  <c r="AC138" i="29"/>
  <c r="AD138" i="29" s="1"/>
  <c r="AB138" i="29"/>
  <c r="AC137" i="29"/>
  <c r="AD137" i="29" s="1"/>
  <c r="AB137" i="29"/>
  <c r="AD136" i="29"/>
  <c r="AC136" i="29"/>
  <c r="AB136" i="29"/>
  <c r="AC135" i="29"/>
  <c r="AD135" i="29" s="1"/>
  <c r="AB135" i="29"/>
  <c r="AD134" i="29"/>
  <c r="AC134" i="29"/>
  <c r="AB134" i="29"/>
  <c r="AC133" i="29"/>
  <c r="AD133" i="29" s="1"/>
  <c r="AB133" i="29"/>
  <c r="AC132" i="29"/>
  <c r="AD132" i="29" s="1"/>
  <c r="AB132" i="29"/>
  <c r="AC131" i="29"/>
  <c r="AD131" i="29" s="1"/>
  <c r="AB131" i="29"/>
  <c r="AC130" i="29"/>
  <c r="AD130" i="29" s="1"/>
  <c r="AB130" i="29"/>
  <c r="AC129" i="29"/>
  <c r="AD129" i="29" s="1"/>
  <c r="AB129" i="29"/>
  <c r="AD128" i="29"/>
  <c r="AC128" i="29"/>
  <c r="AB128" i="29"/>
  <c r="AC127" i="29"/>
  <c r="AD127" i="29" s="1"/>
  <c r="AB127" i="29"/>
  <c r="AD126" i="29"/>
  <c r="AC126" i="29"/>
  <c r="AB126" i="29"/>
  <c r="AC125" i="29"/>
  <c r="AD125" i="29" s="1"/>
  <c r="AB125" i="29"/>
  <c r="AC124" i="29"/>
  <c r="AD124" i="29" s="1"/>
  <c r="AB124" i="29"/>
  <c r="AC123" i="29"/>
  <c r="AD123" i="29" s="1"/>
  <c r="AB123" i="29"/>
  <c r="AC122" i="29"/>
  <c r="AD122" i="29" s="1"/>
  <c r="AB122" i="29"/>
  <c r="AG6" i="29" s="1"/>
  <c r="AC121" i="29"/>
  <c r="AH6" i="29" s="1"/>
  <c r="AI6" i="29" s="1"/>
  <c r="AB121" i="29"/>
  <c r="AD120" i="29"/>
  <c r="AC120" i="29"/>
  <c r="AB120" i="29"/>
  <c r="AC119" i="29"/>
  <c r="AD119" i="29" s="1"/>
  <c r="AB119" i="29"/>
  <c r="AD118" i="29"/>
  <c r="AC118" i="29"/>
  <c r="AB118" i="29"/>
  <c r="AC117" i="29"/>
  <c r="AD117" i="29" s="1"/>
  <c r="AB117" i="29"/>
  <c r="AC116" i="29"/>
  <c r="AD116" i="29" s="1"/>
  <c r="AB116" i="29"/>
  <c r="AC115" i="29"/>
  <c r="AD115" i="29" s="1"/>
  <c r="AB115" i="29"/>
  <c r="AC114" i="29"/>
  <c r="AD114" i="29" s="1"/>
  <c r="AB114" i="29"/>
  <c r="AC113" i="29"/>
  <c r="AD113" i="29" s="1"/>
  <c r="AB113" i="29"/>
  <c r="AD112" i="29"/>
  <c r="AC112" i="29"/>
  <c r="AB112" i="29"/>
  <c r="AC111" i="29"/>
  <c r="AD111" i="29" s="1"/>
  <c r="AB111" i="29"/>
  <c r="AD110" i="29"/>
  <c r="AC110" i="29"/>
  <c r="AB110" i="29"/>
  <c r="AC109" i="29"/>
  <c r="AD109" i="29" s="1"/>
  <c r="AB109" i="29"/>
  <c r="AC108" i="29"/>
  <c r="AD108" i="29" s="1"/>
  <c r="AB108" i="29"/>
  <c r="AC107" i="29"/>
  <c r="AD107" i="29" s="1"/>
  <c r="AB107" i="29"/>
  <c r="AC106" i="29"/>
  <c r="AD106" i="29" s="1"/>
  <c r="AB106" i="29"/>
  <c r="AC105" i="29"/>
  <c r="AD105" i="29" s="1"/>
  <c r="AB105" i="29"/>
  <c r="AD104" i="29"/>
  <c r="AC104" i="29"/>
  <c r="AB104" i="29"/>
  <c r="AC103" i="29"/>
  <c r="AD103" i="29" s="1"/>
  <c r="AB103" i="29"/>
  <c r="AD102" i="29"/>
  <c r="AC102" i="29"/>
  <c r="AB102" i="29"/>
  <c r="AC101" i="29"/>
  <c r="AD101" i="29" s="1"/>
  <c r="AB101" i="29"/>
  <c r="AC100" i="29"/>
  <c r="AD100" i="29" s="1"/>
  <c r="AB100" i="29"/>
  <c r="AC99" i="29"/>
  <c r="AD99" i="29" s="1"/>
  <c r="AB99" i="29"/>
  <c r="AC98" i="29"/>
  <c r="AD98" i="29" s="1"/>
  <c r="AB98" i="29"/>
  <c r="AC97" i="29"/>
  <c r="AD97" i="29" s="1"/>
  <c r="AB97" i="29"/>
  <c r="AD96" i="29"/>
  <c r="AC96" i="29"/>
  <c r="AB96" i="29"/>
  <c r="AC95" i="29"/>
  <c r="AD95" i="29" s="1"/>
  <c r="AB95" i="29"/>
  <c r="AD94" i="29"/>
  <c r="AC94" i="29"/>
  <c r="AB94" i="29"/>
  <c r="AC93" i="29"/>
  <c r="AD93" i="29" s="1"/>
  <c r="AB93" i="29"/>
  <c r="AC92" i="29"/>
  <c r="AD92" i="29" s="1"/>
  <c r="AB92" i="29"/>
  <c r="AC91" i="29"/>
  <c r="AD91" i="29" s="1"/>
  <c r="AB91" i="29"/>
  <c r="AC90" i="29"/>
  <c r="AD90" i="29" s="1"/>
  <c r="AB90" i="29"/>
  <c r="AC89" i="29"/>
  <c r="AD89" i="29" s="1"/>
  <c r="AB89" i="29"/>
  <c r="AD88" i="29"/>
  <c r="AC88" i="29"/>
  <c r="AB88" i="29"/>
  <c r="AC87" i="29"/>
  <c r="AD87" i="29" s="1"/>
  <c r="AB87" i="29"/>
  <c r="AD86" i="29"/>
  <c r="AC86" i="29"/>
  <c r="AB86" i="29"/>
  <c r="AC85" i="29"/>
  <c r="AD85" i="29" s="1"/>
  <c r="AB85" i="29"/>
  <c r="AC84" i="29"/>
  <c r="AD84" i="29" s="1"/>
  <c r="AB84" i="29"/>
  <c r="AC83" i="29"/>
  <c r="AD83" i="29" s="1"/>
  <c r="AB83" i="29"/>
  <c r="AC82" i="29"/>
  <c r="AD82" i="29" s="1"/>
  <c r="AB82" i="29"/>
  <c r="AC81" i="29"/>
  <c r="AD81" i="29" s="1"/>
  <c r="AB81" i="29"/>
  <c r="AD80" i="29"/>
  <c r="AC80" i="29"/>
  <c r="AB80" i="29"/>
  <c r="AC79" i="29"/>
  <c r="AD79" i="29" s="1"/>
  <c r="AB79" i="29"/>
  <c r="AD78" i="29"/>
  <c r="AC78" i="29"/>
  <c r="AB78" i="29"/>
  <c r="AC77" i="29"/>
  <c r="AD77" i="29" s="1"/>
  <c r="AB77" i="29"/>
  <c r="AC76" i="29"/>
  <c r="AD76" i="29" s="1"/>
  <c r="AB76" i="29"/>
  <c r="AC75" i="29"/>
  <c r="AD75" i="29" s="1"/>
  <c r="AB75" i="29"/>
  <c r="AC74" i="29"/>
  <c r="AD74" i="29" s="1"/>
  <c r="AB74" i="29"/>
  <c r="AC73" i="29"/>
  <c r="AD73" i="29" s="1"/>
  <c r="AB73" i="29"/>
  <c r="AD72" i="29"/>
  <c r="AC72" i="29"/>
  <c r="AB72" i="29"/>
  <c r="AC71" i="29"/>
  <c r="AD71" i="29" s="1"/>
  <c r="AB71" i="29"/>
  <c r="AD70" i="29"/>
  <c r="AC70" i="29"/>
  <c r="AB70" i="29"/>
  <c r="AC69" i="29"/>
  <c r="AD69" i="29" s="1"/>
  <c r="AB69" i="29"/>
  <c r="AC68" i="29"/>
  <c r="AD68" i="29" s="1"/>
  <c r="AB68" i="29"/>
  <c r="AC67" i="29"/>
  <c r="AD67" i="29" s="1"/>
  <c r="AB67" i="29"/>
  <c r="AC66" i="29"/>
  <c r="AD66" i="29" s="1"/>
  <c r="AB66" i="29"/>
  <c r="AC65" i="29"/>
  <c r="AD65" i="29" s="1"/>
  <c r="AB65" i="29"/>
  <c r="AD64" i="29"/>
  <c r="AC64" i="29"/>
  <c r="AB64" i="29"/>
  <c r="AC63" i="29"/>
  <c r="AD63" i="29" s="1"/>
  <c r="AB63" i="29"/>
  <c r="AD62" i="29"/>
  <c r="AC62" i="29"/>
  <c r="AB62" i="29"/>
  <c r="AC61" i="29"/>
  <c r="AD61" i="29" s="1"/>
  <c r="AB61" i="29"/>
  <c r="AC60" i="29"/>
  <c r="AD60" i="29" s="1"/>
  <c r="AB60" i="29"/>
  <c r="AC59" i="29"/>
  <c r="AD59" i="29" s="1"/>
  <c r="AB59" i="29"/>
  <c r="AC58" i="29"/>
  <c r="AD58" i="29" s="1"/>
  <c r="AB58" i="29"/>
  <c r="AC57" i="29"/>
  <c r="AD57" i="29" s="1"/>
  <c r="AB57" i="29"/>
  <c r="AD56" i="29"/>
  <c r="AC56" i="29"/>
  <c r="AB56" i="29"/>
  <c r="AC55" i="29"/>
  <c r="AD55" i="29" s="1"/>
  <c r="AB55" i="29"/>
  <c r="AD54" i="29"/>
  <c r="AC54" i="29"/>
  <c r="AB54" i="29"/>
  <c r="AC53" i="29"/>
  <c r="AD53" i="29" s="1"/>
  <c r="AB53" i="29"/>
  <c r="AC52" i="29"/>
  <c r="AD52" i="29" s="1"/>
  <c r="AB52" i="29"/>
  <c r="AC51" i="29"/>
  <c r="AD51" i="29" s="1"/>
  <c r="AB51" i="29"/>
  <c r="AC50" i="29"/>
  <c r="AD50" i="29" s="1"/>
  <c r="AB50" i="29"/>
  <c r="AC49" i="29"/>
  <c r="AD49" i="29" s="1"/>
  <c r="AB49" i="29"/>
  <c r="AD48" i="29"/>
  <c r="AC48" i="29"/>
  <c r="AB48" i="29"/>
  <c r="AC47" i="29"/>
  <c r="AD47" i="29" s="1"/>
  <c r="AB47" i="29"/>
  <c r="AD46" i="29"/>
  <c r="AC46" i="29"/>
  <c r="AB46" i="29"/>
  <c r="AC45" i="29"/>
  <c r="AD45" i="29" s="1"/>
  <c r="AB45" i="29"/>
  <c r="AC44" i="29"/>
  <c r="AD44" i="29" s="1"/>
  <c r="AB44" i="29"/>
  <c r="AC43" i="29"/>
  <c r="AD43" i="29" s="1"/>
  <c r="AB43" i="29"/>
  <c r="AC42" i="29"/>
  <c r="AD42" i="29" s="1"/>
  <c r="AB42" i="29"/>
  <c r="AC41" i="29"/>
  <c r="AD41" i="29" s="1"/>
  <c r="AB41" i="29"/>
  <c r="AD40" i="29"/>
  <c r="AC40" i="29"/>
  <c r="AB40" i="29"/>
  <c r="AC39" i="29"/>
  <c r="AD39" i="29" s="1"/>
  <c r="AB39" i="29"/>
  <c r="AD38" i="29"/>
  <c r="AC38" i="29"/>
  <c r="AB38" i="29"/>
  <c r="AC37" i="29"/>
  <c r="AD37" i="29" s="1"/>
  <c r="AB37" i="29"/>
  <c r="AC36" i="29"/>
  <c r="AD36" i="29" s="1"/>
  <c r="AB36" i="29"/>
  <c r="AC35" i="29"/>
  <c r="AD35" i="29" s="1"/>
  <c r="AB35" i="29"/>
  <c r="AC34" i="29"/>
  <c r="AD34" i="29" s="1"/>
  <c r="AB34" i="29"/>
  <c r="AC33" i="29"/>
  <c r="AD33" i="29" s="1"/>
  <c r="AB33" i="29"/>
  <c r="AD32" i="29"/>
  <c r="AC32" i="29"/>
  <c r="AB32" i="29"/>
  <c r="AC31" i="29"/>
  <c r="AD31" i="29" s="1"/>
  <c r="AB31" i="29"/>
  <c r="AD30" i="29"/>
  <c r="AC30" i="29"/>
  <c r="AB30" i="29"/>
  <c r="AC29" i="29"/>
  <c r="AD29" i="29" s="1"/>
  <c r="AB29" i="29"/>
  <c r="AC28" i="29"/>
  <c r="AD28" i="29" s="1"/>
  <c r="AB28" i="29"/>
  <c r="AC27" i="29"/>
  <c r="AD27" i="29" s="1"/>
  <c r="AB27" i="29"/>
  <c r="AC26" i="29"/>
  <c r="AD26" i="29" s="1"/>
  <c r="AB26" i="29"/>
  <c r="AC25" i="29"/>
  <c r="AD25" i="29" s="1"/>
  <c r="AB25" i="29"/>
  <c r="AD24" i="29"/>
  <c r="AC24" i="29"/>
  <c r="AB24" i="29"/>
  <c r="AC23" i="29"/>
  <c r="AD23" i="29" s="1"/>
  <c r="AB23" i="29"/>
  <c r="AD22" i="29"/>
  <c r="AC22" i="29"/>
  <c r="AB22" i="29"/>
  <c r="AC21" i="29"/>
  <c r="AD21" i="29" s="1"/>
  <c r="AB21" i="29"/>
  <c r="AC20" i="29"/>
  <c r="AD20" i="29" s="1"/>
  <c r="AB20" i="29"/>
  <c r="AC19" i="29"/>
  <c r="AD19" i="29" s="1"/>
  <c r="AB19" i="29"/>
  <c r="AC18" i="29"/>
  <c r="AD18" i="29" s="1"/>
  <c r="AB18" i="29"/>
  <c r="AC17" i="29"/>
  <c r="AD17" i="29" s="1"/>
  <c r="AB17" i="29"/>
  <c r="AD16" i="29"/>
  <c r="AC16" i="29"/>
  <c r="AB16" i="29"/>
  <c r="AC15" i="29"/>
  <c r="AD15" i="29" s="1"/>
  <c r="AB15" i="29"/>
  <c r="AC14" i="29"/>
  <c r="AD14" i="29" s="1"/>
  <c r="AB14" i="29"/>
  <c r="AC13" i="29"/>
  <c r="AD13" i="29" s="1"/>
  <c r="AB13" i="29"/>
  <c r="AC12" i="29"/>
  <c r="AD12" i="29" s="1"/>
  <c r="AB12" i="29"/>
  <c r="AC11" i="29"/>
  <c r="AD11" i="29" s="1"/>
  <c r="AB11" i="29"/>
  <c r="AC10" i="29"/>
  <c r="AD10" i="29" s="1"/>
  <c r="AB10" i="29"/>
  <c r="AG9" i="29"/>
  <c r="AC9" i="29"/>
  <c r="AD9" i="29" s="1"/>
  <c r="AB9" i="29"/>
  <c r="AC8" i="29"/>
  <c r="AD8" i="29" s="1"/>
  <c r="AB8" i="29"/>
  <c r="AC7" i="29"/>
  <c r="AD7" i="29" s="1"/>
  <c r="AB7" i="29"/>
  <c r="AG4" i="29" s="1"/>
  <c r="AG13" i="29" s="1"/>
  <c r="AC6" i="29"/>
  <c r="AD6" i="29" s="1"/>
  <c r="AB6" i="29"/>
  <c r="AG5" i="29"/>
  <c r="AC5" i="29"/>
  <c r="AD5" i="29" s="1"/>
  <c r="AB5" i="29"/>
  <c r="AC4" i="29"/>
  <c r="AC347" i="29" s="1"/>
  <c r="AB4" i="29"/>
  <c r="AB347" i="29" s="1"/>
  <c r="AI12" i="29" l="1"/>
  <c r="AD347" i="29"/>
  <c r="AI10" i="29"/>
  <c r="AH9" i="29"/>
  <c r="AI9" i="29" s="1"/>
  <c r="AD121" i="29"/>
  <c r="AD332" i="29"/>
  <c r="AH5" i="29"/>
  <c r="AI5" i="29" s="1"/>
  <c r="AD313" i="29"/>
  <c r="AD249" i="29"/>
  <c r="AD257" i="29"/>
  <c r="AD204" i="29"/>
  <c r="AH4" i="29"/>
  <c r="AH7" i="29"/>
  <c r="AI7" i="29" s="1"/>
  <c r="AD4" i="29"/>
  <c r="AH13" i="29" l="1"/>
  <c r="AI13" i="29" s="1"/>
  <c r="AI4" i="29"/>
  <c r="AA347" i="7" l="1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AD346" i="7"/>
  <c r="AE346" i="7" s="1"/>
  <c r="AC346" i="7"/>
  <c r="AE345" i="7"/>
  <c r="AD345" i="7"/>
  <c r="AC345" i="7"/>
  <c r="AD344" i="7"/>
  <c r="AE344" i="7" s="1"/>
  <c r="AC344" i="7"/>
  <c r="AD343" i="7"/>
  <c r="AE343" i="7" s="1"/>
  <c r="AC343" i="7"/>
  <c r="AE342" i="7"/>
  <c r="AD342" i="7"/>
  <c r="AC342" i="7"/>
  <c r="AD341" i="7"/>
  <c r="AE341" i="7" s="1"/>
  <c r="AC341" i="7"/>
  <c r="AD340" i="7"/>
  <c r="AE340" i="7" s="1"/>
  <c r="AC340" i="7"/>
  <c r="AD339" i="7"/>
  <c r="AC339" i="7"/>
  <c r="AE339" i="7" s="1"/>
  <c r="AD338" i="7"/>
  <c r="AC338" i="7"/>
  <c r="AE338" i="7" s="1"/>
  <c r="AE337" i="7"/>
  <c r="AD337" i="7"/>
  <c r="AC337" i="7"/>
  <c r="AD336" i="7"/>
  <c r="AE336" i="7" s="1"/>
  <c r="AC336" i="7"/>
  <c r="AD335" i="7"/>
  <c r="AE335" i="7" s="1"/>
  <c r="AC335" i="7"/>
  <c r="AE334" i="7"/>
  <c r="AD334" i="7"/>
  <c r="AC334" i="7"/>
  <c r="AD333" i="7"/>
  <c r="AE333" i="7" s="1"/>
  <c r="AC333" i="7"/>
  <c r="AD332" i="7"/>
  <c r="AI12" i="7" s="1"/>
  <c r="AC332" i="7"/>
  <c r="AD331" i="7"/>
  <c r="AC331" i="7"/>
  <c r="AE331" i="7" s="1"/>
  <c r="AD330" i="7"/>
  <c r="AC330" i="7"/>
  <c r="AE330" i="7" s="1"/>
  <c r="AE329" i="7"/>
  <c r="AD329" i="7"/>
  <c r="AC329" i="7"/>
  <c r="AD328" i="7"/>
  <c r="AE328" i="7" s="1"/>
  <c r="AC328" i="7"/>
  <c r="AD327" i="7"/>
  <c r="AE327" i="7" s="1"/>
  <c r="AC327" i="7"/>
  <c r="AE326" i="7"/>
  <c r="AD326" i="7"/>
  <c r="AC326" i="7"/>
  <c r="AD325" i="7"/>
  <c r="AE325" i="7" s="1"/>
  <c r="AC325" i="7"/>
  <c r="AD324" i="7"/>
  <c r="AE324" i="7" s="1"/>
  <c r="AC324" i="7"/>
  <c r="AD323" i="7"/>
  <c r="AE323" i="7" s="1"/>
  <c r="AC323" i="7"/>
  <c r="AD322" i="7"/>
  <c r="AC322" i="7"/>
  <c r="AE322" i="7" s="1"/>
  <c r="AE321" i="7"/>
  <c r="AD321" i="7"/>
  <c r="AC321" i="7"/>
  <c r="AD320" i="7"/>
  <c r="AE320" i="7" s="1"/>
  <c r="AC320" i="7"/>
  <c r="AD319" i="7"/>
  <c r="AE319" i="7" s="1"/>
  <c r="AC319" i="7"/>
  <c r="AE318" i="7"/>
  <c r="AD318" i="7"/>
  <c r="AC318" i="7"/>
  <c r="AD317" i="7"/>
  <c r="AE317" i="7" s="1"/>
  <c r="AC317" i="7"/>
  <c r="AD316" i="7"/>
  <c r="AI11" i="7" s="1"/>
  <c r="AJ11" i="7" s="1"/>
  <c r="AC316" i="7"/>
  <c r="AD315" i="7"/>
  <c r="AC315" i="7"/>
  <c r="AE315" i="7" s="1"/>
  <c r="AD314" i="7"/>
  <c r="AE314" i="7" s="1"/>
  <c r="AC314" i="7"/>
  <c r="AH11" i="7" s="1"/>
  <c r="AE313" i="7"/>
  <c r="AD313" i="7"/>
  <c r="AC313" i="7"/>
  <c r="AD312" i="7"/>
  <c r="AE312" i="7" s="1"/>
  <c r="AC312" i="7"/>
  <c r="AD311" i="7"/>
  <c r="AE311" i="7" s="1"/>
  <c r="AC311" i="7"/>
  <c r="AE310" i="7"/>
  <c r="AD310" i="7"/>
  <c r="AC310" i="7"/>
  <c r="AD309" i="7"/>
  <c r="AE309" i="7" s="1"/>
  <c r="AC309" i="7"/>
  <c r="AD308" i="7"/>
  <c r="AE308" i="7" s="1"/>
  <c r="AC308" i="7"/>
  <c r="AD307" i="7"/>
  <c r="AC307" i="7"/>
  <c r="AE307" i="7" s="1"/>
  <c r="AD306" i="7"/>
  <c r="AC306" i="7"/>
  <c r="AE306" i="7" s="1"/>
  <c r="AE305" i="7"/>
  <c r="AD305" i="7"/>
  <c r="AC305" i="7"/>
  <c r="AD304" i="7"/>
  <c r="AE304" i="7" s="1"/>
  <c r="AC304" i="7"/>
  <c r="AD303" i="7"/>
  <c r="AE303" i="7" s="1"/>
  <c r="AC303" i="7"/>
  <c r="AE302" i="7"/>
  <c r="AD302" i="7"/>
  <c r="AC302" i="7"/>
  <c r="AD301" i="7"/>
  <c r="AE301" i="7" s="1"/>
  <c r="AC301" i="7"/>
  <c r="AD300" i="7"/>
  <c r="AE300" i="7" s="1"/>
  <c r="AC300" i="7"/>
  <c r="AD299" i="7"/>
  <c r="AC299" i="7"/>
  <c r="AE299" i="7" s="1"/>
  <c r="AD298" i="7"/>
  <c r="AC298" i="7"/>
  <c r="AE298" i="7" s="1"/>
  <c r="AE297" i="7"/>
  <c r="AD297" i="7"/>
  <c r="AC297" i="7"/>
  <c r="AD296" i="7"/>
  <c r="AE296" i="7" s="1"/>
  <c r="AC296" i="7"/>
  <c r="AD295" i="7"/>
  <c r="AE295" i="7" s="1"/>
  <c r="AC295" i="7"/>
  <c r="AE294" i="7"/>
  <c r="AD294" i="7"/>
  <c r="AC294" i="7"/>
  <c r="AD293" i="7"/>
  <c r="AE293" i="7" s="1"/>
  <c r="AC293" i="7"/>
  <c r="AD292" i="7"/>
  <c r="AE292" i="7" s="1"/>
  <c r="AC292" i="7"/>
  <c r="AD291" i="7"/>
  <c r="AC291" i="7"/>
  <c r="AE291" i="7" s="1"/>
  <c r="AD290" i="7"/>
  <c r="AC290" i="7"/>
  <c r="AE290" i="7" s="1"/>
  <c r="AE289" i="7"/>
  <c r="AD289" i="7"/>
  <c r="AC289" i="7"/>
  <c r="AD288" i="7"/>
  <c r="AE288" i="7" s="1"/>
  <c r="AC288" i="7"/>
  <c r="AD287" i="7"/>
  <c r="AE287" i="7" s="1"/>
  <c r="AC287" i="7"/>
  <c r="AE286" i="7"/>
  <c r="AD286" i="7"/>
  <c r="AC286" i="7"/>
  <c r="AD285" i="7"/>
  <c r="AE285" i="7" s="1"/>
  <c r="AC285" i="7"/>
  <c r="AD284" i="7"/>
  <c r="AE284" i="7" s="1"/>
  <c r="AC284" i="7"/>
  <c r="AD283" i="7"/>
  <c r="AC283" i="7"/>
  <c r="AE283" i="7" s="1"/>
  <c r="AD282" i="7"/>
  <c r="AC282" i="7"/>
  <c r="AE282" i="7" s="1"/>
  <c r="AE281" i="7"/>
  <c r="AD281" i="7"/>
  <c r="AC281" i="7"/>
  <c r="AD280" i="7"/>
  <c r="AE280" i="7" s="1"/>
  <c r="AC280" i="7"/>
  <c r="AD279" i="7"/>
  <c r="AE279" i="7" s="1"/>
  <c r="AC279" i="7"/>
  <c r="AE278" i="7"/>
  <c r="AD278" i="7"/>
  <c r="AC278" i="7"/>
  <c r="AD277" i="7"/>
  <c r="AE277" i="7" s="1"/>
  <c r="AC277" i="7"/>
  <c r="AD276" i="7"/>
  <c r="AE276" i="7" s="1"/>
  <c r="AC276" i="7"/>
  <c r="AD275" i="7"/>
  <c r="AC275" i="7"/>
  <c r="AE275" i="7" s="1"/>
  <c r="AD274" i="7"/>
  <c r="AC274" i="7"/>
  <c r="AE274" i="7" s="1"/>
  <c r="AE273" i="7"/>
  <c r="AD273" i="7"/>
  <c r="AC273" i="7"/>
  <c r="AD272" i="7"/>
  <c r="AE272" i="7" s="1"/>
  <c r="AC272" i="7"/>
  <c r="AD271" i="7"/>
  <c r="AE271" i="7" s="1"/>
  <c r="AC271" i="7"/>
  <c r="AE270" i="7"/>
  <c r="AD270" i="7"/>
  <c r="AC270" i="7"/>
  <c r="AD269" i="7"/>
  <c r="AE269" i="7" s="1"/>
  <c r="AC269" i="7"/>
  <c r="AD268" i="7"/>
  <c r="AE268" i="7" s="1"/>
  <c r="AC268" i="7"/>
  <c r="AD267" i="7"/>
  <c r="AC267" i="7"/>
  <c r="AE267" i="7" s="1"/>
  <c r="AD266" i="7"/>
  <c r="AC266" i="7"/>
  <c r="AE266" i="7" s="1"/>
  <c r="AE265" i="7"/>
  <c r="AD265" i="7"/>
  <c r="AC265" i="7"/>
  <c r="AD264" i="7"/>
  <c r="AE264" i="7" s="1"/>
  <c r="AC264" i="7"/>
  <c r="AD263" i="7"/>
  <c r="AE263" i="7" s="1"/>
  <c r="AC263" i="7"/>
  <c r="AE262" i="7"/>
  <c r="AD262" i="7"/>
  <c r="AC262" i="7"/>
  <c r="AD261" i="7"/>
  <c r="AE261" i="7" s="1"/>
  <c r="AC261" i="7"/>
  <c r="AD260" i="7"/>
  <c r="AI10" i="7" s="1"/>
  <c r="AC260" i="7"/>
  <c r="AD259" i="7"/>
  <c r="AC259" i="7"/>
  <c r="AE259" i="7" s="1"/>
  <c r="AD258" i="7"/>
  <c r="AC258" i="7"/>
  <c r="AE258" i="7" s="1"/>
  <c r="AE257" i="7"/>
  <c r="AD257" i="7"/>
  <c r="AC257" i="7"/>
  <c r="AD256" i="7"/>
  <c r="AE256" i="7" s="1"/>
  <c r="AC256" i="7"/>
  <c r="AD255" i="7"/>
  <c r="AE255" i="7" s="1"/>
  <c r="AC255" i="7"/>
  <c r="AE254" i="7"/>
  <c r="AD254" i="7"/>
  <c r="AC254" i="7"/>
  <c r="AD253" i="7"/>
  <c r="AE253" i="7" s="1"/>
  <c r="AC253" i="7"/>
  <c r="AD252" i="7"/>
  <c r="AE252" i="7" s="1"/>
  <c r="AC252" i="7"/>
  <c r="AD251" i="7"/>
  <c r="AC251" i="7"/>
  <c r="AE251" i="7" s="1"/>
  <c r="AD250" i="7"/>
  <c r="AC250" i="7"/>
  <c r="AE250" i="7" s="1"/>
  <c r="AE249" i="7"/>
  <c r="AD249" i="7"/>
  <c r="AC249" i="7"/>
  <c r="AD248" i="7"/>
  <c r="AE248" i="7" s="1"/>
  <c r="AC248" i="7"/>
  <c r="AD247" i="7"/>
  <c r="AE247" i="7" s="1"/>
  <c r="AC247" i="7"/>
  <c r="AE246" i="7"/>
  <c r="AD246" i="7"/>
  <c r="AC246" i="7"/>
  <c r="AD245" i="7"/>
  <c r="AE245" i="7" s="1"/>
  <c r="AC245" i="7"/>
  <c r="AD244" i="7"/>
  <c r="AE244" i="7" s="1"/>
  <c r="AC244" i="7"/>
  <c r="AD243" i="7"/>
  <c r="AC243" i="7"/>
  <c r="AE243" i="7" s="1"/>
  <c r="AD242" i="7"/>
  <c r="AC242" i="7"/>
  <c r="AE242" i="7" s="1"/>
  <c r="AE241" i="7"/>
  <c r="AD241" i="7"/>
  <c r="AC241" i="7"/>
  <c r="AD240" i="7"/>
  <c r="AE240" i="7" s="1"/>
  <c r="AC240" i="7"/>
  <c r="AD239" i="7"/>
  <c r="AE239" i="7" s="1"/>
  <c r="AC239" i="7"/>
  <c r="AE238" i="7"/>
  <c r="AD238" i="7"/>
  <c r="AC238" i="7"/>
  <c r="AD237" i="7"/>
  <c r="AE237" i="7" s="1"/>
  <c r="AC237" i="7"/>
  <c r="AD236" i="7"/>
  <c r="AE236" i="7" s="1"/>
  <c r="AC236" i="7"/>
  <c r="AD235" i="7"/>
  <c r="AC235" i="7"/>
  <c r="AE235" i="7" s="1"/>
  <c r="AD234" i="7"/>
  <c r="AC234" i="7"/>
  <c r="AE234" i="7" s="1"/>
  <c r="AE233" i="7"/>
  <c r="AD233" i="7"/>
  <c r="AC233" i="7"/>
  <c r="AD232" i="7"/>
  <c r="AE232" i="7" s="1"/>
  <c r="AC232" i="7"/>
  <c r="AD231" i="7"/>
  <c r="AE231" i="7" s="1"/>
  <c r="AC231" i="7"/>
  <c r="AE230" i="7"/>
  <c r="AD230" i="7"/>
  <c r="AC230" i="7"/>
  <c r="AD229" i="7"/>
  <c r="AE229" i="7" s="1"/>
  <c r="AC229" i="7"/>
  <c r="AD228" i="7"/>
  <c r="AE228" i="7" s="1"/>
  <c r="AC228" i="7"/>
  <c r="AD227" i="7"/>
  <c r="AC227" i="7"/>
  <c r="AE227" i="7" s="1"/>
  <c r="AD226" i="7"/>
  <c r="AC226" i="7"/>
  <c r="AE226" i="7" s="1"/>
  <c r="AE225" i="7"/>
  <c r="AD225" i="7"/>
  <c r="AC225" i="7"/>
  <c r="AD224" i="7"/>
  <c r="AE224" i="7" s="1"/>
  <c r="AC224" i="7"/>
  <c r="AD223" i="7"/>
  <c r="AE223" i="7" s="1"/>
  <c r="AC223" i="7"/>
  <c r="AE222" i="7"/>
  <c r="AD222" i="7"/>
  <c r="AC222" i="7"/>
  <c r="AD221" i="7"/>
  <c r="AE221" i="7" s="1"/>
  <c r="AC221" i="7"/>
  <c r="AD220" i="7"/>
  <c r="AE220" i="7" s="1"/>
  <c r="AC220" i="7"/>
  <c r="AE219" i="7"/>
  <c r="AD219" i="7"/>
  <c r="AC219" i="7"/>
  <c r="AD218" i="7"/>
  <c r="AC218" i="7"/>
  <c r="AE218" i="7" s="1"/>
  <c r="AE217" i="7"/>
  <c r="AD217" i="7"/>
  <c r="AC217" i="7"/>
  <c r="AD216" i="7"/>
  <c r="AE216" i="7" s="1"/>
  <c r="AC216" i="7"/>
  <c r="AD215" i="7"/>
  <c r="AE215" i="7" s="1"/>
  <c r="AC215" i="7"/>
  <c r="AE214" i="7"/>
  <c r="AD214" i="7"/>
  <c r="AC214" i="7"/>
  <c r="AD213" i="7"/>
  <c r="AE213" i="7" s="1"/>
  <c r="AC213" i="7"/>
  <c r="AD212" i="7"/>
  <c r="AE212" i="7" s="1"/>
  <c r="AC212" i="7"/>
  <c r="AE211" i="7"/>
  <c r="AD211" i="7"/>
  <c r="AC211" i="7"/>
  <c r="AD210" i="7"/>
  <c r="AC210" i="7"/>
  <c r="AE210" i="7" s="1"/>
  <c r="AE209" i="7"/>
  <c r="AD209" i="7"/>
  <c r="AC209" i="7"/>
  <c r="AD208" i="7"/>
  <c r="AE208" i="7" s="1"/>
  <c r="AC208" i="7"/>
  <c r="AD207" i="7"/>
  <c r="AE207" i="7" s="1"/>
  <c r="AC207" i="7"/>
  <c r="AH8" i="7" s="1"/>
  <c r="AE206" i="7"/>
  <c r="AD206" i="7"/>
  <c r="AC206" i="7"/>
  <c r="AD205" i="7"/>
  <c r="AE205" i="7" s="1"/>
  <c r="AC205" i="7"/>
  <c r="AD204" i="7"/>
  <c r="AE204" i="7" s="1"/>
  <c r="AC204" i="7"/>
  <c r="AE203" i="7"/>
  <c r="AD203" i="7"/>
  <c r="AC203" i="7"/>
  <c r="AD202" i="7"/>
  <c r="AC202" i="7"/>
  <c r="AE202" i="7" s="1"/>
  <c r="AE201" i="7"/>
  <c r="AD201" i="7"/>
  <c r="AC201" i="7"/>
  <c r="AD200" i="7"/>
  <c r="AE200" i="7" s="1"/>
  <c r="AC200" i="7"/>
  <c r="AD199" i="7"/>
  <c r="AE199" i="7" s="1"/>
  <c r="AC199" i="7"/>
  <c r="AE198" i="7"/>
  <c r="AD198" i="7"/>
  <c r="AC198" i="7"/>
  <c r="AD197" i="7"/>
  <c r="AE197" i="7" s="1"/>
  <c r="AC197" i="7"/>
  <c r="AD196" i="7"/>
  <c r="AE196" i="7" s="1"/>
  <c r="AC196" i="7"/>
  <c r="AE195" i="7"/>
  <c r="AD195" i="7"/>
  <c r="AC195" i="7"/>
  <c r="AD194" i="7"/>
  <c r="AC194" i="7"/>
  <c r="AE194" i="7" s="1"/>
  <c r="AE193" i="7"/>
  <c r="AD193" i="7"/>
  <c r="AC193" i="7"/>
  <c r="AD192" i="7"/>
  <c r="AE192" i="7" s="1"/>
  <c r="AC192" i="7"/>
  <c r="AD191" i="7"/>
  <c r="AE191" i="7" s="1"/>
  <c r="AC191" i="7"/>
  <c r="AE190" i="7"/>
  <c r="AD190" i="7"/>
  <c r="AC190" i="7"/>
  <c r="AD189" i="7"/>
  <c r="AE189" i="7" s="1"/>
  <c r="AC189" i="7"/>
  <c r="AD188" i="7"/>
  <c r="AE188" i="7" s="1"/>
  <c r="AC188" i="7"/>
  <c r="AE187" i="7"/>
  <c r="AD187" i="7"/>
  <c r="AC187" i="7"/>
  <c r="AD186" i="7"/>
  <c r="AC186" i="7"/>
  <c r="AE186" i="7" s="1"/>
  <c r="AE185" i="7"/>
  <c r="AD185" i="7"/>
  <c r="AC185" i="7"/>
  <c r="AD184" i="7"/>
  <c r="AE184" i="7" s="1"/>
  <c r="AC184" i="7"/>
  <c r="AD183" i="7"/>
  <c r="AE183" i="7" s="1"/>
  <c r="AC183" i="7"/>
  <c r="AE182" i="7"/>
  <c r="AD182" i="7"/>
  <c r="AC182" i="7"/>
  <c r="AD181" i="7"/>
  <c r="AE181" i="7" s="1"/>
  <c r="AC181" i="7"/>
  <c r="AD180" i="7"/>
  <c r="AE180" i="7" s="1"/>
  <c r="AC180" i="7"/>
  <c r="AE179" i="7"/>
  <c r="AD179" i="7"/>
  <c r="AC179" i="7"/>
  <c r="AD178" i="7"/>
  <c r="AC178" i="7"/>
  <c r="AE178" i="7" s="1"/>
  <c r="AE177" i="7"/>
  <c r="AD177" i="7"/>
  <c r="AC177" i="7"/>
  <c r="AD176" i="7"/>
  <c r="AE176" i="7" s="1"/>
  <c r="AC176" i="7"/>
  <c r="AD175" i="7"/>
  <c r="AE175" i="7" s="1"/>
  <c r="AC175" i="7"/>
  <c r="AE174" i="7"/>
  <c r="AD174" i="7"/>
  <c r="AC174" i="7"/>
  <c r="AD173" i="7"/>
  <c r="AE173" i="7" s="1"/>
  <c r="AC173" i="7"/>
  <c r="AD172" i="7"/>
  <c r="AE172" i="7" s="1"/>
  <c r="AC172" i="7"/>
  <c r="AE171" i="7"/>
  <c r="AD171" i="7"/>
  <c r="AC171" i="7"/>
  <c r="AD170" i="7"/>
  <c r="AC170" i="7"/>
  <c r="AE170" i="7" s="1"/>
  <c r="AE169" i="7"/>
  <c r="AD169" i="7"/>
  <c r="AI7" i="7" s="1"/>
  <c r="AC169" i="7"/>
  <c r="AD168" i="7"/>
  <c r="AE168" i="7" s="1"/>
  <c r="AC168" i="7"/>
  <c r="AD167" i="7"/>
  <c r="AE167" i="7" s="1"/>
  <c r="AC167" i="7"/>
  <c r="AE166" i="7"/>
  <c r="AD166" i="7"/>
  <c r="AC166" i="7"/>
  <c r="AD165" i="7"/>
  <c r="AE165" i="7" s="1"/>
  <c r="AC165" i="7"/>
  <c r="AD164" i="7"/>
  <c r="AE164" i="7" s="1"/>
  <c r="AC164" i="7"/>
  <c r="AE163" i="7"/>
  <c r="AD163" i="7"/>
  <c r="AC163" i="7"/>
  <c r="AD162" i="7"/>
  <c r="AC162" i="7"/>
  <c r="AE162" i="7" s="1"/>
  <c r="AE161" i="7"/>
  <c r="AD161" i="7"/>
  <c r="AC161" i="7"/>
  <c r="AD160" i="7"/>
  <c r="AE160" i="7" s="1"/>
  <c r="AC160" i="7"/>
  <c r="AD159" i="7"/>
  <c r="AE159" i="7" s="1"/>
  <c r="AC159" i="7"/>
  <c r="AE158" i="7"/>
  <c r="AD158" i="7"/>
  <c r="AC158" i="7"/>
  <c r="AD157" i="7"/>
  <c r="AE157" i="7" s="1"/>
  <c r="AC157" i="7"/>
  <c r="AD156" i="7"/>
  <c r="AE156" i="7" s="1"/>
  <c r="AC156" i="7"/>
  <c r="AE155" i="7"/>
  <c r="AD155" i="7"/>
  <c r="AC155" i="7"/>
  <c r="AD154" i="7"/>
  <c r="AC154" i="7"/>
  <c r="AE154" i="7" s="1"/>
  <c r="AE153" i="7"/>
  <c r="AD153" i="7"/>
  <c r="AC153" i="7"/>
  <c r="AD152" i="7"/>
  <c r="AE152" i="7" s="1"/>
  <c r="AC152" i="7"/>
  <c r="AD151" i="7"/>
  <c r="AE151" i="7" s="1"/>
  <c r="AC151" i="7"/>
  <c r="AE150" i="7"/>
  <c r="AD150" i="7"/>
  <c r="AC150" i="7"/>
  <c r="AD149" i="7"/>
  <c r="AE149" i="7" s="1"/>
  <c r="AC149" i="7"/>
  <c r="AD148" i="7"/>
  <c r="AE148" i="7" s="1"/>
  <c r="AC148" i="7"/>
  <c r="AE147" i="7"/>
  <c r="AD147" i="7"/>
  <c r="AC147" i="7"/>
  <c r="AD146" i="7"/>
  <c r="AC146" i="7"/>
  <c r="AE146" i="7" s="1"/>
  <c r="AE145" i="7"/>
  <c r="AD145" i="7"/>
  <c r="AC145" i="7"/>
  <c r="AD144" i="7"/>
  <c r="AE144" i="7" s="1"/>
  <c r="AC144" i="7"/>
  <c r="AD143" i="7"/>
  <c r="AE143" i="7" s="1"/>
  <c r="AC143" i="7"/>
  <c r="AE142" i="7"/>
  <c r="AD142" i="7"/>
  <c r="AC142" i="7"/>
  <c r="AD141" i="7"/>
  <c r="AE141" i="7" s="1"/>
  <c r="AC141" i="7"/>
  <c r="AD140" i="7"/>
  <c r="AE140" i="7" s="1"/>
  <c r="AC140" i="7"/>
  <c r="AE139" i="7"/>
  <c r="AD139" i="7"/>
  <c r="AC139" i="7"/>
  <c r="AD138" i="7"/>
  <c r="AC138" i="7"/>
  <c r="AE138" i="7" s="1"/>
  <c r="AE137" i="7"/>
  <c r="AD137" i="7"/>
  <c r="AC137" i="7"/>
  <c r="AD136" i="7"/>
  <c r="AE136" i="7" s="1"/>
  <c r="AC136" i="7"/>
  <c r="AD135" i="7"/>
  <c r="AE135" i="7" s="1"/>
  <c r="AC135" i="7"/>
  <c r="AE134" i="7"/>
  <c r="AD134" i="7"/>
  <c r="AC134" i="7"/>
  <c r="AD133" i="7"/>
  <c r="AE133" i="7" s="1"/>
  <c r="AC133" i="7"/>
  <c r="AD132" i="7"/>
  <c r="AE132" i="7" s="1"/>
  <c r="AC132" i="7"/>
  <c r="AE131" i="7"/>
  <c r="AD131" i="7"/>
  <c r="AC131" i="7"/>
  <c r="AD130" i="7"/>
  <c r="AC130" i="7"/>
  <c r="AE130" i="7" s="1"/>
  <c r="AE129" i="7"/>
  <c r="AD129" i="7"/>
  <c r="AC129" i="7"/>
  <c r="AD128" i="7"/>
  <c r="AE128" i="7" s="1"/>
  <c r="AC128" i="7"/>
  <c r="AD127" i="7"/>
  <c r="AE127" i="7" s="1"/>
  <c r="AC127" i="7"/>
  <c r="AE126" i="7"/>
  <c r="AD126" i="7"/>
  <c r="AC126" i="7"/>
  <c r="AD125" i="7"/>
  <c r="AE125" i="7" s="1"/>
  <c r="AC125" i="7"/>
  <c r="AD124" i="7"/>
  <c r="AE124" i="7" s="1"/>
  <c r="AC124" i="7"/>
  <c r="AE123" i="7"/>
  <c r="AD123" i="7"/>
  <c r="AC123" i="7"/>
  <c r="AD122" i="7"/>
  <c r="AC122" i="7"/>
  <c r="AE122" i="7" s="1"/>
  <c r="AE121" i="7"/>
  <c r="AD121" i="7"/>
  <c r="AI6" i="7" s="1"/>
  <c r="AC121" i="7"/>
  <c r="AD120" i="7"/>
  <c r="AE120" i="7" s="1"/>
  <c r="AC120" i="7"/>
  <c r="AH6" i="7" s="1"/>
  <c r="AD119" i="7"/>
  <c r="AE119" i="7" s="1"/>
  <c r="AC119" i="7"/>
  <c r="AE118" i="7"/>
  <c r="AD118" i="7"/>
  <c r="AC118" i="7"/>
  <c r="AD117" i="7"/>
  <c r="AE117" i="7" s="1"/>
  <c r="AC117" i="7"/>
  <c r="AD116" i="7"/>
  <c r="AE116" i="7" s="1"/>
  <c r="AC116" i="7"/>
  <c r="AE115" i="7"/>
  <c r="AD115" i="7"/>
  <c r="AC115" i="7"/>
  <c r="AD114" i="7"/>
  <c r="AC114" i="7"/>
  <c r="AE114" i="7" s="1"/>
  <c r="AE113" i="7"/>
  <c r="AD113" i="7"/>
  <c r="AC113" i="7"/>
  <c r="AD112" i="7"/>
  <c r="AE112" i="7" s="1"/>
  <c r="AC112" i="7"/>
  <c r="AD111" i="7"/>
  <c r="AE111" i="7" s="1"/>
  <c r="AC111" i="7"/>
  <c r="AE110" i="7"/>
  <c r="AD110" i="7"/>
  <c r="AC110" i="7"/>
  <c r="AD109" i="7"/>
  <c r="AE109" i="7" s="1"/>
  <c r="AC109" i="7"/>
  <c r="AD108" i="7"/>
  <c r="AE108" i="7" s="1"/>
  <c r="AC108" i="7"/>
  <c r="AE107" i="7"/>
  <c r="AD107" i="7"/>
  <c r="AC107" i="7"/>
  <c r="AD106" i="7"/>
  <c r="AC106" i="7"/>
  <c r="AE106" i="7" s="1"/>
  <c r="AE105" i="7"/>
  <c r="AD105" i="7"/>
  <c r="AC105" i="7"/>
  <c r="AD104" i="7"/>
  <c r="AE104" i="7" s="1"/>
  <c r="AC104" i="7"/>
  <c r="AD103" i="7"/>
  <c r="AE103" i="7" s="1"/>
  <c r="AC103" i="7"/>
  <c r="AE102" i="7"/>
  <c r="AD102" i="7"/>
  <c r="AC102" i="7"/>
  <c r="AD101" i="7"/>
  <c r="AE101" i="7" s="1"/>
  <c r="AC101" i="7"/>
  <c r="AD100" i="7"/>
  <c r="AE100" i="7" s="1"/>
  <c r="AC100" i="7"/>
  <c r="AE99" i="7"/>
  <c r="AD99" i="7"/>
  <c r="AC99" i="7"/>
  <c r="AD98" i="7"/>
  <c r="AC98" i="7"/>
  <c r="AE98" i="7" s="1"/>
  <c r="AE97" i="7"/>
  <c r="AD97" i="7"/>
  <c r="AC97" i="7"/>
  <c r="AD96" i="7"/>
  <c r="AE96" i="7" s="1"/>
  <c r="AC96" i="7"/>
  <c r="AD95" i="7"/>
  <c r="AE95" i="7" s="1"/>
  <c r="AC95" i="7"/>
  <c r="AE94" i="7"/>
  <c r="AD94" i="7"/>
  <c r="AC94" i="7"/>
  <c r="AD93" i="7"/>
  <c r="AE93" i="7" s="1"/>
  <c r="AC93" i="7"/>
  <c r="AD92" i="7"/>
  <c r="AE92" i="7" s="1"/>
  <c r="AC92" i="7"/>
  <c r="AE91" i="7"/>
  <c r="AD91" i="7"/>
  <c r="AC91" i="7"/>
  <c r="AD90" i="7"/>
  <c r="AC90" i="7"/>
  <c r="AE90" i="7" s="1"/>
  <c r="AE89" i="7"/>
  <c r="AD89" i="7"/>
  <c r="AC89" i="7"/>
  <c r="AD88" i="7"/>
  <c r="AE88" i="7" s="1"/>
  <c r="AC88" i="7"/>
  <c r="AD87" i="7"/>
  <c r="AE87" i="7" s="1"/>
  <c r="AC87" i="7"/>
  <c r="AE86" i="7"/>
  <c r="AD86" i="7"/>
  <c r="AC86" i="7"/>
  <c r="AD85" i="7"/>
  <c r="AE85" i="7" s="1"/>
  <c r="AC85" i="7"/>
  <c r="AD84" i="7"/>
  <c r="AE84" i="7" s="1"/>
  <c r="AC84" i="7"/>
  <c r="AE83" i="7"/>
  <c r="AD83" i="7"/>
  <c r="AC83" i="7"/>
  <c r="AD82" i="7"/>
  <c r="AC82" i="7"/>
  <c r="AE82" i="7" s="1"/>
  <c r="AE81" i="7"/>
  <c r="AD81" i="7"/>
  <c r="AC81" i="7"/>
  <c r="AD80" i="7"/>
  <c r="AE80" i="7" s="1"/>
  <c r="AC80" i="7"/>
  <c r="AD79" i="7"/>
  <c r="AE79" i="7" s="1"/>
  <c r="AC79" i="7"/>
  <c r="AE78" i="7"/>
  <c r="AD78" i="7"/>
  <c r="AC78" i="7"/>
  <c r="AD77" i="7"/>
  <c r="AE77" i="7" s="1"/>
  <c r="AC77" i="7"/>
  <c r="AD76" i="7"/>
  <c r="AE76" i="7" s="1"/>
  <c r="AC76" i="7"/>
  <c r="AE75" i="7"/>
  <c r="AD75" i="7"/>
  <c r="AC75" i="7"/>
  <c r="AD74" i="7"/>
  <c r="AC74" i="7"/>
  <c r="AE74" i="7" s="1"/>
  <c r="AE73" i="7"/>
  <c r="AD73" i="7"/>
  <c r="AC73" i="7"/>
  <c r="AD72" i="7"/>
  <c r="AE72" i="7" s="1"/>
  <c r="AC72" i="7"/>
  <c r="AD71" i="7"/>
  <c r="AE71" i="7" s="1"/>
  <c r="AC71" i="7"/>
  <c r="AE70" i="7"/>
  <c r="AD70" i="7"/>
  <c r="AC70" i="7"/>
  <c r="AD69" i="7"/>
  <c r="AE69" i="7" s="1"/>
  <c r="AC69" i="7"/>
  <c r="AD68" i="7"/>
  <c r="AE68" i="7" s="1"/>
  <c r="AC68" i="7"/>
  <c r="AE67" i="7"/>
  <c r="AD67" i="7"/>
  <c r="AC67" i="7"/>
  <c r="AD66" i="7"/>
  <c r="AC66" i="7"/>
  <c r="AE66" i="7" s="1"/>
  <c r="AE65" i="7"/>
  <c r="AD65" i="7"/>
  <c r="AC65" i="7"/>
  <c r="AD64" i="7"/>
  <c r="AE64" i="7" s="1"/>
  <c r="AC64" i="7"/>
  <c r="AD63" i="7"/>
  <c r="AE63" i="7" s="1"/>
  <c r="AC63" i="7"/>
  <c r="AE62" i="7"/>
  <c r="AD62" i="7"/>
  <c r="AC62" i="7"/>
  <c r="AD61" i="7"/>
  <c r="AE61" i="7" s="1"/>
  <c r="AC61" i="7"/>
  <c r="AD60" i="7"/>
  <c r="AE60" i="7" s="1"/>
  <c r="AC60" i="7"/>
  <c r="AE59" i="7"/>
  <c r="AD59" i="7"/>
  <c r="AC59" i="7"/>
  <c r="AD58" i="7"/>
  <c r="AC58" i="7"/>
  <c r="AE58" i="7" s="1"/>
  <c r="AE57" i="7"/>
  <c r="AD57" i="7"/>
  <c r="AC57" i="7"/>
  <c r="AD56" i="7"/>
  <c r="AE56" i="7" s="1"/>
  <c r="AC56" i="7"/>
  <c r="AD55" i="7"/>
  <c r="AE55" i="7" s="1"/>
  <c r="AC55" i="7"/>
  <c r="AE54" i="7"/>
  <c r="AD54" i="7"/>
  <c r="AC54" i="7"/>
  <c r="AD53" i="7"/>
  <c r="AE53" i="7" s="1"/>
  <c r="AC53" i="7"/>
  <c r="AD52" i="7"/>
  <c r="AE52" i="7" s="1"/>
  <c r="AC52" i="7"/>
  <c r="AE51" i="7"/>
  <c r="AD51" i="7"/>
  <c r="AC51" i="7"/>
  <c r="AD50" i="7"/>
  <c r="AC50" i="7"/>
  <c r="AE50" i="7" s="1"/>
  <c r="AE49" i="7"/>
  <c r="AD49" i="7"/>
  <c r="AC49" i="7"/>
  <c r="AD48" i="7"/>
  <c r="AE48" i="7" s="1"/>
  <c r="AC48" i="7"/>
  <c r="AD47" i="7"/>
  <c r="AE47" i="7" s="1"/>
  <c r="AC47" i="7"/>
  <c r="AE46" i="7"/>
  <c r="AD46" i="7"/>
  <c r="AC46" i="7"/>
  <c r="AD45" i="7"/>
  <c r="AE45" i="7" s="1"/>
  <c r="AC45" i="7"/>
  <c r="AD44" i="7"/>
  <c r="AE44" i="7" s="1"/>
  <c r="AC44" i="7"/>
  <c r="AE43" i="7"/>
  <c r="AD43" i="7"/>
  <c r="AC43" i="7"/>
  <c r="AD42" i="7"/>
  <c r="AC42" i="7"/>
  <c r="AE42" i="7" s="1"/>
  <c r="AE41" i="7"/>
  <c r="AD41" i="7"/>
  <c r="AC41" i="7"/>
  <c r="AD40" i="7"/>
  <c r="AE40" i="7" s="1"/>
  <c r="AC40" i="7"/>
  <c r="AD39" i="7"/>
  <c r="AE39" i="7" s="1"/>
  <c r="AC39" i="7"/>
  <c r="AE38" i="7"/>
  <c r="AD38" i="7"/>
  <c r="AC38" i="7"/>
  <c r="AD37" i="7"/>
  <c r="AE37" i="7" s="1"/>
  <c r="AC37" i="7"/>
  <c r="AD36" i="7"/>
  <c r="AE36" i="7" s="1"/>
  <c r="AC36" i="7"/>
  <c r="AE35" i="7"/>
  <c r="AD35" i="7"/>
  <c r="AC35" i="7"/>
  <c r="AD34" i="7"/>
  <c r="AC34" i="7"/>
  <c r="AH5" i="7" s="1"/>
  <c r="AE33" i="7"/>
  <c r="AD33" i="7"/>
  <c r="AC33" i="7"/>
  <c r="AD32" i="7"/>
  <c r="AE32" i="7" s="1"/>
  <c r="AC32" i="7"/>
  <c r="AD31" i="7"/>
  <c r="AE31" i="7" s="1"/>
  <c r="AC31" i="7"/>
  <c r="AE30" i="7"/>
  <c r="AD30" i="7"/>
  <c r="AC30" i="7"/>
  <c r="AD29" i="7"/>
  <c r="AE29" i="7" s="1"/>
  <c r="AC29" i="7"/>
  <c r="AD28" i="7"/>
  <c r="AE28" i="7" s="1"/>
  <c r="AC28" i="7"/>
  <c r="AE27" i="7"/>
  <c r="AD27" i="7"/>
  <c r="AC27" i="7"/>
  <c r="AD26" i="7"/>
  <c r="AC26" i="7"/>
  <c r="AE26" i="7" s="1"/>
  <c r="AE25" i="7"/>
  <c r="AD25" i="7"/>
  <c r="AC25" i="7"/>
  <c r="AD24" i="7"/>
  <c r="AE24" i="7" s="1"/>
  <c r="AC24" i="7"/>
  <c r="AD23" i="7"/>
  <c r="AE23" i="7" s="1"/>
  <c r="AC23" i="7"/>
  <c r="AE22" i="7"/>
  <c r="AD22" i="7"/>
  <c r="AC22" i="7"/>
  <c r="AD21" i="7"/>
  <c r="AE21" i="7" s="1"/>
  <c r="AC21" i="7"/>
  <c r="AD20" i="7"/>
  <c r="AE20" i="7" s="1"/>
  <c r="AC20" i="7"/>
  <c r="AE19" i="7"/>
  <c r="AD19" i="7"/>
  <c r="AC19" i="7"/>
  <c r="AD18" i="7"/>
  <c r="AC18" i="7"/>
  <c r="AE18" i="7" s="1"/>
  <c r="AE17" i="7"/>
  <c r="AD17" i="7"/>
  <c r="AC17" i="7"/>
  <c r="AD16" i="7"/>
  <c r="AE16" i="7" s="1"/>
  <c r="AC16" i="7"/>
  <c r="AD15" i="7"/>
  <c r="AE15" i="7" s="1"/>
  <c r="AC15" i="7"/>
  <c r="AE14" i="7"/>
  <c r="AD14" i="7"/>
  <c r="AC14" i="7"/>
  <c r="AD13" i="7"/>
  <c r="AE13" i="7" s="1"/>
  <c r="AC13" i="7"/>
  <c r="AD12" i="7"/>
  <c r="AE12" i="7" s="1"/>
  <c r="AC12" i="7"/>
  <c r="AE11" i="7"/>
  <c r="AD11" i="7"/>
  <c r="AC11" i="7"/>
  <c r="AD10" i="7"/>
  <c r="AC10" i="7"/>
  <c r="AE10" i="7" s="1"/>
  <c r="AE9" i="7"/>
  <c r="AD9" i="7"/>
  <c r="AC9" i="7"/>
  <c r="AD8" i="7"/>
  <c r="AE8" i="7" s="1"/>
  <c r="AC8" i="7"/>
  <c r="AD7" i="7"/>
  <c r="AE7" i="7" s="1"/>
  <c r="AC7" i="7"/>
  <c r="AE6" i="7"/>
  <c r="AD6" i="7"/>
  <c r="AC6" i="7"/>
  <c r="AD5" i="7"/>
  <c r="AE5" i="7" s="1"/>
  <c r="AC5" i="7"/>
  <c r="AD4" i="7"/>
  <c r="AD347" i="7" s="1"/>
  <c r="AC4" i="7"/>
  <c r="AH4" i="7" s="1"/>
  <c r="AI8" i="7"/>
  <c r="AH7" i="7"/>
  <c r="AI14" i="7"/>
  <c r="AH14" i="7"/>
  <c r="AJ14" i="7" s="1"/>
  <c r="AI9" i="7"/>
  <c r="AJ9" i="7" s="1"/>
  <c r="AH9" i="7"/>
  <c r="AJ6" i="7" l="1"/>
  <c r="AE260" i="7"/>
  <c r="AE316" i="7"/>
  <c r="AE332" i="7"/>
  <c r="AE4" i="7"/>
  <c r="AH10" i="7"/>
  <c r="AJ10" i="7" s="1"/>
  <c r="AE34" i="7"/>
  <c r="AC347" i="7"/>
  <c r="AE347" i="7" s="1"/>
  <c r="AJ7" i="7"/>
  <c r="AJ8" i="7"/>
  <c r="AH12" i="7"/>
  <c r="AJ12" i="7" s="1"/>
  <c r="AI4" i="7"/>
  <c r="AI5" i="7"/>
  <c r="AJ5" i="7" s="1"/>
  <c r="AH13" i="7" l="1"/>
  <c r="AI13" i="7"/>
  <c r="AJ13" i="7" s="1"/>
  <c r="AJ4" i="7"/>
  <c r="Z347" i="28" l="1"/>
  <c r="Y347" i="28"/>
  <c r="X347" i="28"/>
  <c r="W347" i="28"/>
  <c r="V347" i="28"/>
  <c r="U347" i="28"/>
  <c r="T347" i="28"/>
  <c r="S347" i="28"/>
  <c r="R347" i="28"/>
  <c r="Q347" i="28"/>
  <c r="P347" i="28"/>
  <c r="O347" i="28"/>
  <c r="N347" i="28"/>
  <c r="M347" i="28"/>
  <c r="L347" i="28"/>
  <c r="K347" i="28"/>
  <c r="J347" i="28"/>
  <c r="I347" i="28"/>
  <c r="H347" i="28"/>
  <c r="G347" i="28"/>
  <c r="F347" i="28"/>
  <c r="E347" i="28"/>
  <c r="D347" i="28"/>
  <c r="C347" i="28"/>
  <c r="AC346" i="28"/>
  <c r="AD346" i="28" s="1"/>
  <c r="AB346" i="28"/>
  <c r="AC345" i="28"/>
  <c r="AD345" i="28" s="1"/>
  <c r="AB345" i="28"/>
  <c r="AC344" i="28"/>
  <c r="AD344" i="28" s="1"/>
  <c r="AB344" i="28"/>
  <c r="AC343" i="28"/>
  <c r="AD343" i="28" s="1"/>
  <c r="AB343" i="28"/>
  <c r="AD342" i="28"/>
  <c r="AC342" i="28"/>
  <c r="AB342" i="28"/>
  <c r="AC341" i="28"/>
  <c r="AB341" i="28"/>
  <c r="AD341" i="28" s="1"/>
  <c r="AD340" i="28"/>
  <c r="AC340" i="28"/>
  <c r="AB340" i="28"/>
  <c r="AC339" i="28"/>
  <c r="AB339" i="28"/>
  <c r="AD339" i="28" s="1"/>
  <c r="AC338" i="28"/>
  <c r="AD338" i="28" s="1"/>
  <c r="AB338" i="28"/>
  <c r="AC337" i="28"/>
  <c r="AD337" i="28" s="1"/>
  <c r="AB337" i="28"/>
  <c r="AC336" i="28"/>
  <c r="AD336" i="28" s="1"/>
  <c r="AB336" i="28"/>
  <c r="AC335" i="28"/>
  <c r="AD335" i="28" s="1"/>
  <c r="AB335" i="28"/>
  <c r="AD334" i="28"/>
  <c r="AC334" i="28"/>
  <c r="AB334" i="28"/>
  <c r="AC333" i="28"/>
  <c r="AD333" i="28" s="1"/>
  <c r="AB333" i="28"/>
  <c r="AD332" i="28"/>
  <c r="AC332" i="28"/>
  <c r="AB332" i="28"/>
  <c r="AC331" i="28"/>
  <c r="AD331" i="28" s="1"/>
  <c r="AB331" i="28"/>
  <c r="AC330" i="28"/>
  <c r="AD330" i="28" s="1"/>
  <c r="AB330" i="28"/>
  <c r="AC329" i="28"/>
  <c r="AD329" i="28" s="1"/>
  <c r="AB329" i="28"/>
  <c r="AC328" i="28"/>
  <c r="AD328" i="28" s="1"/>
  <c r="AB328" i="28"/>
  <c r="AC327" i="28"/>
  <c r="AD327" i="28" s="1"/>
  <c r="AB327" i="28"/>
  <c r="AD326" i="28"/>
  <c r="AC326" i="28"/>
  <c r="AB326" i="28"/>
  <c r="AC325" i="28"/>
  <c r="AD325" i="28" s="1"/>
  <c r="AB325" i="28"/>
  <c r="AD324" i="28"/>
  <c r="AC324" i="28"/>
  <c r="AB324" i="28"/>
  <c r="AC323" i="28"/>
  <c r="AD323" i="28" s="1"/>
  <c r="AB323" i="28"/>
  <c r="AC322" i="28"/>
  <c r="AD322" i="28" s="1"/>
  <c r="AB322" i="28"/>
  <c r="AC321" i="28"/>
  <c r="AD321" i="28" s="1"/>
  <c r="AB321" i="28"/>
  <c r="AC320" i="28"/>
  <c r="AD320" i="28" s="1"/>
  <c r="AB320" i="28"/>
  <c r="AC319" i="28"/>
  <c r="AD319" i="28" s="1"/>
  <c r="AB319" i="28"/>
  <c r="AD318" i="28"/>
  <c r="AC318" i="28"/>
  <c r="AB318" i="28"/>
  <c r="AC317" i="28"/>
  <c r="AD317" i="28" s="1"/>
  <c r="AB317" i="28"/>
  <c r="AD316" i="28"/>
  <c r="AC316" i="28"/>
  <c r="AB316" i="28"/>
  <c r="AD315" i="28"/>
  <c r="AC315" i="28"/>
  <c r="AB315" i="28"/>
  <c r="AC314" i="28"/>
  <c r="AD314" i="28" s="1"/>
  <c r="AB314" i="28"/>
  <c r="AC313" i="28"/>
  <c r="AD313" i="28" s="1"/>
  <c r="AB313" i="28"/>
  <c r="AC312" i="28"/>
  <c r="AD312" i="28" s="1"/>
  <c r="AB312" i="28"/>
  <c r="AC311" i="28"/>
  <c r="AD311" i="28" s="1"/>
  <c r="AB311" i="28"/>
  <c r="AD310" i="28"/>
  <c r="AC310" i="28"/>
  <c r="AB310" i="28"/>
  <c r="AC309" i="28"/>
  <c r="AD309" i="28" s="1"/>
  <c r="AB309" i="28"/>
  <c r="AD308" i="28"/>
  <c r="AC308" i="28"/>
  <c r="AB308" i="28"/>
  <c r="AD307" i="28"/>
  <c r="AC307" i="28"/>
  <c r="AB307" i="28"/>
  <c r="AC306" i="28"/>
  <c r="AD306" i="28" s="1"/>
  <c r="AB306" i="28"/>
  <c r="AC305" i="28"/>
  <c r="AD305" i="28" s="1"/>
  <c r="AB305" i="28"/>
  <c r="AC304" i="28"/>
  <c r="AD304" i="28" s="1"/>
  <c r="AB304" i="28"/>
  <c r="AC303" i="28"/>
  <c r="AD303" i="28" s="1"/>
  <c r="AB303" i="28"/>
  <c r="AD302" i="28"/>
  <c r="AC302" i="28"/>
  <c r="AB302" i="28"/>
  <c r="AC301" i="28"/>
  <c r="AD301" i="28" s="1"/>
  <c r="AB301" i="28"/>
  <c r="AD300" i="28"/>
  <c r="AC300" i="28"/>
  <c r="AB300" i="28"/>
  <c r="AD299" i="28"/>
  <c r="AC299" i="28"/>
  <c r="AB299" i="28"/>
  <c r="AC298" i="28"/>
  <c r="AD298" i="28" s="1"/>
  <c r="AB298" i="28"/>
  <c r="AC297" i="28"/>
  <c r="AD297" i="28" s="1"/>
  <c r="AB297" i="28"/>
  <c r="AC296" i="28"/>
  <c r="AD296" i="28" s="1"/>
  <c r="AB296" i="28"/>
  <c r="AC295" i="28"/>
  <c r="AD295" i="28" s="1"/>
  <c r="AB295" i="28"/>
  <c r="AD294" i="28"/>
  <c r="AC294" i="28"/>
  <c r="AB294" i="28"/>
  <c r="AC293" i="28"/>
  <c r="AD293" i="28" s="1"/>
  <c r="AB293" i="28"/>
  <c r="AD292" i="28"/>
  <c r="AC292" i="28"/>
  <c r="AB292" i="28"/>
  <c r="AD291" i="28"/>
  <c r="AC291" i="28"/>
  <c r="AB291" i="28"/>
  <c r="AC290" i="28"/>
  <c r="AD290" i="28" s="1"/>
  <c r="AB290" i="28"/>
  <c r="AC289" i="28"/>
  <c r="AD289" i="28" s="1"/>
  <c r="AB289" i="28"/>
  <c r="AC288" i="28"/>
  <c r="AD288" i="28" s="1"/>
  <c r="AB288" i="28"/>
  <c r="AC287" i="28"/>
  <c r="AD287" i="28" s="1"/>
  <c r="AB287" i="28"/>
  <c r="AD286" i="28"/>
  <c r="AC286" i="28"/>
  <c r="AB286" i="28"/>
  <c r="AC285" i="28"/>
  <c r="AD285" i="28" s="1"/>
  <c r="AB285" i="28"/>
  <c r="AD284" i="28"/>
  <c r="AC284" i="28"/>
  <c r="AB284" i="28"/>
  <c r="AD283" i="28"/>
  <c r="AC283" i="28"/>
  <c r="AB283" i="28"/>
  <c r="AC282" i="28"/>
  <c r="AD282" i="28" s="1"/>
  <c r="AB282" i="28"/>
  <c r="AC281" i="28"/>
  <c r="AD281" i="28" s="1"/>
  <c r="AB281" i="28"/>
  <c r="AC280" i="28"/>
  <c r="AD280" i="28" s="1"/>
  <c r="AB280" i="28"/>
  <c r="AC279" i="28"/>
  <c r="AD279" i="28" s="1"/>
  <c r="AB279" i="28"/>
  <c r="AD278" i="28"/>
  <c r="AC278" i="28"/>
  <c r="AB278" i="28"/>
  <c r="AC277" i="28"/>
  <c r="AD277" i="28" s="1"/>
  <c r="AB277" i="28"/>
  <c r="AD276" i="28"/>
  <c r="AC276" i="28"/>
  <c r="AB276" i="28"/>
  <c r="AD275" i="28"/>
  <c r="AC275" i="28"/>
  <c r="AB275" i="28"/>
  <c r="AC274" i="28"/>
  <c r="AD274" i="28" s="1"/>
  <c r="AB274" i="28"/>
  <c r="AC273" i="28"/>
  <c r="AD273" i="28" s="1"/>
  <c r="AB273" i="28"/>
  <c r="AC272" i="28"/>
  <c r="AD272" i="28" s="1"/>
  <c r="AB272" i="28"/>
  <c r="AC271" i="28"/>
  <c r="AD271" i="28" s="1"/>
  <c r="AB271" i="28"/>
  <c r="AD270" i="28"/>
  <c r="AC270" i="28"/>
  <c r="AB270" i="28"/>
  <c r="AC269" i="28"/>
  <c r="AD269" i="28" s="1"/>
  <c r="AB269" i="28"/>
  <c r="AD268" i="28"/>
  <c r="AC268" i="28"/>
  <c r="AB268" i="28"/>
  <c r="AD267" i="28"/>
  <c r="AC267" i="28"/>
  <c r="AB267" i="28"/>
  <c r="AC266" i="28"/>
  <c r="AD266" i="28" s="1"/>
  <c r="AB266" i="28"/>
  <c r="AC265" i="28"/>
  <c r="AD265" i="28" s="1"/>
  <c r="AB265" i="28"/>
  <c r="AC264" i="28"/>
  <c r="AD264" i="28" s="1"/>
  <c r="AB264" i="28"/>
  <c r="AC263" i="28"/>
  <c r="AD263" i="28" s="1"/>
  <c r="AB263" i="28"/>
  <c r="AD262" i="28"/>
  <c r="AC262" i="28"/>
  <c r="AB262" i="28"/>
  <c r="AC261" i="28"/>
  <c r="AD261" i="28" s="1"/>
  <c r="AB261" i="28"/>
  <c r="AD260" i="28"/>
  <c r="AC260" i="28"/>
  <c r="AB260" i="28"/>
  <c r="AD259" i="28"/>
  <c r="AC259" i="28"/>
  <c r="AB259" i="28"/>
  <c r="AC258" i="28"/>
  <c r="AD258" i="28" s="1"/>
  <c r="AB258" i="28"/>
  <c r="AC257" i="28"/>
  <c r="AD257" i="28" s="1"/>
  <c r="AB257" i="28"/>
  <c r="AC256" i="28"/>
  <c r="AD256" i="28" s="1"/>
  <c r="AB256" i="28"/>
  <c r="AC255" i="28"/>
  <c r="AD255" i="28" s="1"/>
  <c r="AB255" i="28"/>
  <c r="AD254" i="28"/>
  <c r="AC254" i="28"/>
  <c r="AB254" i="28"/>
  <c r="AC253" i="28"/>
  <c r="AD253" i="28" s="1"/>
  <c r="AB253" i="28"/>
  <c r="AD252" i="28"/>
  <c r="AC252" i="28"/>
  <c r="AB252" i="28"/>
  <c r="AD251" i="28"/>
  <c r="AC251" i="28"/>
  <c r="AB251" i="28"/>
  <c r="AC250" i="28"/>
  <c r="AD250" i="28" s="1"/>
  <c r="AB250" i="28"/>
  <c r="AC249" i="28"/>
  <c r="AD249" i="28" s="1"/>
  <c r="AB249" i="28"/>
  <c r="AC248" i="28"/>
  <c r="AD248" i="28" s="1"/>
  <c r="AB248" i="28"/>
  <c r="AC247" i="28"/>
  <c r="AD247" i="28" s="1"/>
  <c r="AB247" i="28"/>
  <c r="AD246" i="28"/>
  <c r="AC246" i="28"/>
  <c r="AB246" i="28"/>
  <c r="AC245" i="28"/>
  <c r="AD245" i="28" s="1"/>
  <c r="AB245" i="28"/>
  <c r="AD244" i="28"/>
  <c r="AC244" i="28"/>
  <c r="AB244" i="28"/>
  <c r="AD243" i="28"/>
  <c r="AC243" i="28"/>
  <c r="AB243" i="28"/>
  <c r="AC242" i="28"/>
  <c r="AD242" i="28" s="1"/>
  <c r="AB242" i="28"/>
  <c r="AC241" i="28"/>
  <c r="AD241" i="28" s="1"/>
  <c r="AB241" i="28"/>
  <c r="AC240" i="28"/>
  <c r="AD240" i="28" s="1"/>
  <c r="AB240" i="28"/>
  <c r="AC239" i="28"/>
  <c r="AD239" i="28" s="1"/>
  <c r="AB239" i="28"/>
  <c r="AD238" i="28"/>
  <c r="AC238" i="28"/>
  <c r="AB238" i="28"/>
  <c r="AC237" i="28"/>
  <c r="AD237" i="28" s="1"/>
  <c r="AB237" i="28"/>
  <c r="AD236" i="28"/>
  <c r="AC236" i="28"/>
  <c r="AB236" i="28"/>
  <c r="AD235" i="28"/>
  <c r="AC235" i="28"/>
  <c r="AB235" i="28"/>
  <c r="AC234" i="28"/>
  <c r="AD234" i="28" s="1"/>
  <c r="AB234" i="28"/>
  <c r="AC233" i="28"/>
  <c r="AD233" i="28" s="1"/>
  <c r="AB233" i="28"/>
  <c r="AC232" i="28"/>
  <c r="AD232" i="28" s="1"/>
  <c r="AB232" i="28"/>
  <c r="AC231" i="28"/>
  <c r="AD231" i="28" s="1"/>
  <c r="AB231" i="28"/>
  <c r="AD230" i="28"/>
  <c r="AC230" i="28"/>
  <c r="AB230" i="28"/>
  <c r="AC229" i="28"/>
  <c r="AD229" i="28" s="1"/>
  <c r="AB229" i="28"/>
  <c r="AD228" i="28"/>
  <c r="AC228" i="28"/>
  <c r="AB228" i="28"/>
  <c r="AD227" i="28"/>
  <c r="AC227" i="28"/>
  <c r="AB227" i="28"/>
  <c r="AC226" i="28"/>
  <c r="AD226" i="28" s="1"/>
  <c r="AB226" i="28"/>
  <c r="AC225" i="28"/>
  <c r="AD225" i="28" s="1"/>
  <c r="AB225" i="28"/>
  <c r="AC224" i="28"/>
  <c r="AD224" i="28" s="1"/>
  <c r="AB224" i="28"/>
  <c r="AC223" i="28"/>
  <c r="AD223" i="28" s="1"/>
  <c r="AB223" i="28"/>
  <c r="AD222" i="28"/>
  <c r="AC222" i="28"/>
  <c r="AB222" i="28"/>
  <c r="AC221" i="28"/>
  <c r="AD221" i="28" s="1"/>
  <c r="AB221" i="28"/>
  <c r="AD220" i="28"/>
  <c r="AC220" i="28"/>
  <c r="AB220" i="28"/>
  <c r="AD219" i="28"/>
  <c r="AC219" i="28"/>
  <c r="AB219" i="28"/>
  <c r="AC218" i="28"/>
  <c r="AD218" i="28" s="1"/>
  <c r="AB218" i="28"/>
  <c r="AC217" i="28"/>
  <c r="AD217" i="28" s="1"/>
  <c r="AB217" i="28"/>
  <c r="AC216" i="28"/>
  <c r="AD216" i="28" s="1"/>
  <c r="AB216" i="28"/>
  <c r="AC215" i="28"/>
  <c r="AD215" i="28" s="1"/>
  <c r="AB215" i="28"/>
  <c r="AD214" i="28"/>
  <c r="AC214" i="28"/>
  <c r="AB214" i="28"/>
  <c r="AC213" i="28"/>
  <c r="AD213" i="28" s="1"/>
  <c r="AB213" i="28"/>
  <c r="AD212" i="28"/>
  <c r="AC212" i="28"/>
  <c r="AB212" i="28"/>
  <c r="AD211" i="28"/>
  <c r="AC211" i="28"/>
  <c r="AB211" i="28"/>
  <c r="AC210" i="28"/>
  <c r="AD210" i="28" s="1"/>
  <c r="AB210" i="28"/>
  <c r="AC209" i="28"/>
  <c r="AD209" i="28" s="1"/>
  <c r="AB209" i="28"/>
  <c r="AC208" i="28"/>
  <c r="AD208" i="28" s="1"/>
  <c r="AB208" i="28"/>
  <c r="AC207" i="28"/>
  <c r="AD207" i="28" s="1"/>
  <c r="AB207" i="28"/>
  <c r="AD206" i="28"/>
  <c r="AC206" i="28"/>
  <c r="AB206" i="28"/>
  <c r="AC205" i="28"/>
  <c r="AD205" i="28" s="1"/>
  <c r="AB205" i="28"/>
  <c r="AD204" i="28"/>
  <c r="AC204" i="28"/>
  <c r="AB204" i="28"/>
  <c r="AD203" i="28"/>
  <c r="AC203" i="28"/>
  <c r="AB203" i="28"/>
  <c r="AC202" i="28"/>
  <c r="AD202" i="28" s="1"/>
  <c r="AB202" i="28"/>
  <c r="AC201" i="28"/>
  <c r="AD201" i="28" s="1"/>
  <c r="AB201" i="28"/>
  <c r="AC200" i="28"/>
  <c r="AD200" i="28" s="1"/>
  <c r="AB200" i="28"/>
  <c r="AC199" i="28"/>
  <c r="AD199" i="28" s="1"/>
  <c r="AB199" i="28"/>
  <c r="AD198" i="28"/>
  <c r="AC198" i="28"/>
  <c r="AB198" i="28"/>
  <c r="AC197" i="28"/>
  <c r="AD197" i="28" s="1"/>
  <c r="AB197" i="28"/>
  <c r="AD196" i="28"/>
  <c r="AC196" i="28"/>
  <c r="AB196" i="28"/>
  <c r="AD195" i="28"/>
  <c r="AC195" i="28"/>
  <c r="AB195" i="28"/>
  <c r="AC194" i="28"/>
  <c r="AD194" i="28" s="1"/>
  <c r="AB194" i="28"/>
  <c r="AC193" i="28"/>
  <c r="AD193" i="28" s="1"/>
  <c r="AB193" i="28"/>
  <c r="AC192" i="28"/>
  <c r="AD192" i="28" s="1"/>
  <c r="AB192" i="28"/>
  <c r="AC191" i="28"/>
  <c r="AD191" i="28" s="1"/>
  <c r="AB191" i="28"/>
  <c r="AD190" i="28"/>
  <c r="AC190" i="28"/>
  <c r="AB190" i="28"/>
  <c r="AC189" i="28"/>
  <c r="AD189" i="28" s="1"/>
  <c r="AB189" i="28"/>
  <c r="AD188" i="28"/>
  <c r="AC188" i="28"/>
  <c r="AB188" i="28"/>
  <c r="AD187" i="28"/>
  <c r="AC187" i="28"/>
  <c r="AB187" i="28"/>
  <c r="AC186" i="28"/>
  <c r="AD186" i="28" s="1"/>
  <c r="AB186" i="28"/>
  <c r="AC185" i="28"/>
  <c r="AD185" i="28" s="1"/>
  <c r="AB185" i="28"/>
  <c r="AC184" i="28"/>
  <c r="AD184" i="28" s="1"/>
  <c r="AB184" i="28"/>
  <c r="AC183" i="28"/>
  <c r="AD183" i="28" s="1"/>
  <c r="AB183" i="28"/>
  <c r="AD182" i="28"/>
  <c r="AC182" i="28"/>
  <c r="AB182" i="28"/>
  <c r="AC181" i="28"/>
  <c r="AD181" i="28" s="1"/>
  <c r="AB181" i="28"/>
  <c r="AD180" i="28"/>
  <c r="AC180" i="28"/>
  <c r="AB180" i="28"/>
  <c r="AD179" i="28"/>
  <c r="AC179" i="28"/>
  <c r="AB179" i="28"/>
  <c r="AC178" i="28"/>
  <c r="AD178" i="28" s="1"/>
  <c r="AB178" i="28"/>
  <c r="AC177" i="28"/>
  <c r="AD177" i="28" s="1"/>
  <c r="AB177" i="28"/>
  <c r="AC176" i="28"/>
  <c r="AD176" i="28" s="1"/>
  <c r="AB176" i="28"/>
  <c r="AC175" i="28"/>
  <c r="AD175" i="28" s="1"/>
  <c r="AB175" i="28"/>
  <c r="AD174" i="28"/>
  <c r="AC174" i="28"/>
  <c r="AB174" i="28"/>
  <c r="AC173" i="28"/>
  <c r="AD173" i="28" s="1"/>
  <c r="AB173" i="28"/>
  <c r="AD172" i="28"/>
  <c r="AC172" i="28"/>
  <c r="AB172" i="28"/>
  <c r="AD171" i="28"/>
  <c r="AC171" i="28"/>
  <c r="AB171" i="28"/>
  <c r="AC170" i="28"/>
  <c r="AD170" i="28" s="1"/>
  <c r="AB170" i="28"/>
  <c r="AC169" i="28"/>
  <c r="AD169" i="28" s="1"/>
  <c r="AB169" i="28"/>
  <c r="AC168" i="28"/>
  <c r="AD168" i="28" s="1"/>
  <c r="AB168" i="28"/>
  <c r="AC167" i="28"/>
  <c r="AD167" i="28" s="1"/>
  <c r="AB167" i="28"/>
  <c r="AD166" i="28"/>
  <c r="AC166" i="28"/>
  <c r="AB166" i="28"/>
  <c r="AC165" i="28"/>
  <c r="AD165" i="28" s="1"/>
  <c r="AB165" i="28"/>
  <c r="AD164" i="28"/>
  <c r="AC164" i="28"/>
  <c r="AB164" i="28"/>
  <c r="AD163" i="28"/>
  <c r="AC163" i="28"/>
  <c r="AB163" i="28"/>
  <c r="AC162" i="28"/>
  <c r="AD162" i="28" s="1"/>
  <c r="AB162" i="28"/>
  <c r="AC161" i="28"/>
  <c r="AD161" i="28" s="1"/>
  <c r="AB161" i="28"/>
  <c r="AC160" i="28"/>
  <c r="AD160" i="28" s="1"/>
  <c r="AB160" i="28"/>
  <c r="AC159" i="28"/>
  <c r="AD159" i="28" s="1"/>
  <c r="AB159" i="28"/>
  <c r="AD158" i="28"/>
  <c r="AC158" i="28"/>
  <c r="AB158" i="28"/>
  <c r="AC157" i="28"/>
  <c r="AD157" i="28" s="1"/>
  <c r="AB157" i="28"/>
  <c r="AD156" i="28"/>
  <c r="AC156" i="28"/>
  <c r="AB156" i="28"/>
  <c r="AD155" i="28"/>
  <c r="AC155" i="28"/>
  <c r="AB155" i="28"/>
  <c r="AC154" i="28"/>
  <c r="AD154" i="28" s="1"/>
  <c r="AB154" i="28"/>
  <c r="AC153" i="28"/>
  <c r="AD153" i="28" s="1"/>
  <c r="AB153" i="28"/>
  <c r="AC152" i="28"/>
  <c r="AD152" i="28" s="1"/>
  <c r="AB152" i="28"/>
  <c r="AC151" i="28"/>
  <c r="AD151" i="28" s="1"/>
  <c r="AB151" i="28"/>
  <c r="AD150" i="28"/>
  <c r="AC150" i="28"/>
  <c r="AB150" i="28"/>
  <c r="AC149" i="28"/>
  <c r="AD149" i="28" s="1"/>
  <c r="AB149" i="28"/>
  <c r="AD148" i="28"/>
  <c r="AC148" i="28"/>
  <c r="AB148" i="28"/>
  <c r="AD147" i="28"/>
  <c r="AC147" i="28"/>
  <c r="AB147" i="28"/>
  <c r="AC146" i="28"/>
  <c r="AD146" i="28" s="1"/>
  <c r="AB146" i="28"/>
  <c r="AC145" i="28"/>
  <c r="AD145" i="28" s="1"/>
  <c r="AB145" i="28"/>
  <c r="AC144" i="28"/>
  <c r="AD144" i="28" s="1"/>
  <c r="AB144" i="28"/>
  <c r="AC143" i="28"/>
  <c r="AD143" i="28" s="1"/>
  <c r="AB143" i="28"/>
  <c r="AD142" i="28"/>
  <c r="AC142" i="28"/>
  <c r="AB142" i="28"/>
  <c r="AC141" i="28"/>
  <c r="AD141" i="28" s="1"/>
  <c r="AB141" i="28"/>
  <c r="AD140" i="28"/>
  <c r="AC140" i="28"/>
  <c r="AB140" i="28"/>
  <c r="AD139" i="28"/>
  <c r="AC139" i="28"/>
  <c r="AB139" i="28"/>
  <c r="AC138" i="28"/>
  <c r="AD138" i="28" s="1"/>
  <c r="AB138" i="28"/>
  <c r="AC137" i="28"/>
  <c r="AD137" i="28" s="1"/>
  <c r="AB137" i="28"/>
  <c r="AC136" i="28"/>
  <c r="AD136" i="28" s="1"/>
  <c r="AB136" i="28"/>
  <c r="AC135" i="28"/>
  <c r="AD135" i="28" s="1"/>
  <c r="AB135" i="28"/>
  <c r="AD134" i="28"/>
  <c r="AC134" i="28"/>
  <c r="AB134" i="28"/>
  <c r="AC133" i="28"/>
  <c r="AD133" i="28" s="1"/>
  <c r="AB133" i="28"/>
  <c r="AD132" i="28"/>
  <c r="AC132" i="28"/>
  <c r="AB132" i="28"/>
  <c r="AD131" i="28"/>
  <c r="AC131" i="28"/>
  <c r="AB131" i="28"/>
  <c r="AC130" i="28"/>
  <c r="AD130" i="28" s="1"/>
  <c r="AB130" i="28"/>
  <c r="AC129" i="28"/>
  <c r="AD129" i="28" s="1"/>
  <c r="AB129" i="28"/>
  <c r="AC128" i="28"/>
  <c r="AD128" i="28" s="1"/>
  <c r="AB128" i="28"/>
  <c r="AC127" i="28"/>
  <c r="AD127" i="28" s="1"/>
  <c r="AB127" i="28"/>
  <c r="AD126" i="28"/>
  <c r="AC126" i="28"/>
  <c r="AB126" i="28"/>
  <c r="AC125" i="28"/>
  <c r="AD125" i="28" s="1"/>
  <c r="AB125" i="28"/>
  <c r="AD124" i="28"/>
  <c r="AC124" i="28"/>
  <c r="AB124" i="28"/>
  <c r="AD123" i="28"/>
  <c r="AC123" i="28"/>
  <c r="AB123" i="28"/>
  <c r="AC122" i="28"/>
  <c r="AD122" i="28" s="1"/>
  <c r="AB122" i="28"/>
  <c r="AC121" i="28"/>
  <c r="AD121" i="28" s="1"/>
  <c r="AB121" i="28"/>
  <c r="AC120" i="28"/>
  <c r="AD120" i="28" s="1"/>
  <c r="AB120" i="28"/>
  <c r="AC119" i="28"/>
  <c r="AD119" i="28" s="1"/>
  <c r="AB119" i="28"/>
  <c r="AD118" i="28"/>
  <c r="AC118" i="28"/>
  <c r="AB118" i="28"/>
  <c r="AC117" i="28"/>
  <c r="AD117" i="28" s="1"/>
  <c r="AB117" i="28"/>
  <c r="AD116" i="28"/>
  <c r="AC116" i="28"/>
  <c r="AB116" i="28"/>
  <c r="AD115" i="28"/>
  <c r="AC115" i="28"/>
  <c r="AB115" i="28"/>
  <c r="AC114" i="28"/>
  <c r="AD114" i="28" s="1"/>
  <c r="AB114" i="28"/>
  <c r="AC113" i="28"/>
  <c r="AD113" i="28" s="1"/>
  <c r="AB113" i="28"/>
  <c r="AC112" i="28"/>
  <c r="AD112" i="28" s="1"/>
  <c r="AB112" i="28"/>
  <c r="AC111" i="28"/>
  <c r="AD111" i="28" s="1"/>
  <c r="AB111" i="28"/>
  <c r="AD110" i="28"/>
  <c r="AC110" i="28"/>
  <c r="AB110" i="28"/>
  <c r="AC109" i="28"/>
  <c r="AD109" i="28" s="1"/>
  <c r="AB109" i="28"/>
  <c r="AD108" i="28"/>
  <c r="AC108" i="28"/>
  <c r="AB108" i="28"/>
  <c r="AD107" i="28"/>
  <c r="AC107" i="28"/>
  <c r="AB107" i="28"/>
  <c r="AC106" i="28"/>
  <c r="AD106" i="28" s="1"/>
  <c r="AB106" i="28"/>
  <c r="AC105" i="28"/>
  <c r="AD105" i="28" s="1"/>
  <c r="AB105" i="28"/>
  <c r="AC104" i="28"/>
  <c r="AD104" i="28" s="1"/>
  <c r="AB104" i="28"/>
  <c r="AC103" i="28"/>
  <c r="AD103" i="28" s="1"/>
  <c r="AB103" i="28"/>
  <c r="AD102" i="28"/>
  <c r="AC102" i="28"/>
  <c r="AB102" i="28"/>
  <c r="AC101" i="28"/>
  <c r="AD101" i="28" s="1"/>
  <c r="AB101" i="28"/>
  <c r="AD100" i="28"/>
  <c r="AC100" i="28"/>
  <c r="AB100" i="28"/>
  <c r="AD99" i="28"/>
  <c r="AC99" i="28"/>
  <c r="AB99" i="28"/>
  <c r="AC98" i="28"/>
  <c r="AD98" i="28" s="1"/>
  <c r="AB98" i="28"/>
  <c r="AC97" i="28"/>
  <c r="AD97" i="28" s="1"/>
  <c r="AB97" i="28"/>
  <c r="AC96" i="28"/>
  <c r="AD96" i="28" s="1"/>
  <c r="AB96" i="28"/>
  <c r="AC95" i="28"/>
  <c r="AD95" i="28" s="1"/>
  <c r="AB95" i="28"/>
  <c r="AD94" i="28"/>
  <c r="AC94" i="28"/>
  <c r="AB94" i="28"/>
  <c r="AC93" i="28"/>
  <c r="AD93" i="28" s="1"/>
  <c r="AB93" i="28"/>
  <c r="AD92" i="28"/>
  <c r="AC92" i="28"/>
  <c r="AB92" i="28"/>
  <c r="AD91" i="28"/>
  <c r="AC91" i="28"/>
  <c r="AB91" i="28"/>
  <c r="AC90" i="28"/>
  <c r="AD90" i="28" s="1"/>
  <c r="AB90" i="28"/>
  <c r="AC89" i="28"/>
  <c r="AD89" i="28" s="1"/>
  <c r="AB89" i="28"/>
  <c r="AC88" i="28"/>
  <c r="AD88" i="28" s="1"/>
  <c r="AB88" i="28"/>
  <c r="AC87" i="28"/>
  <c r="AD87" i="28" s="1"/>
  <c r="AB87" i="28"/>
  <c r="AD86" i="28"/>
  <c r="AC86" i="28"/>
  <c r="AB86" i="28"/>
  <c r="AC85" i="28"/>
  <c r="AD85" i="28" s="1"/>
  <c r="AB85" i="28"/>
  <c r="AD84" i="28"/>
  <c r="AC84" i="28"/>
  <c r="AB84" i="28"/>
  <c r="AD83" i="28"/>
  <c r="AC83" i="28"/>
  <c r="AB83" i="28"/>
  <c r="AC82" i="28"/>
  <c r="AD82" i="28" s="1"/>
  <c r="AB82" i="28"/>
  <c r="AC81" i="28"/>
  <c r="AD81" i="28" s="1"/>
  <c r="AB81" i="28"/>
  <c r="AC80" i="28"/>
  <c r="AD80" i="28" s="1"/>
  <c r="AB80" i="28"/>
  <c r="AC79" i="28"/>
  <c r="AD79" i="28" s="1"/>
  <c r="AB79" i="28"/>
  <c r="AD78" i="28"/>
  <c r="AC78" i="28"/>
  <c r="AB78" i="28"/>
  <c r="AC77" i="28"/>
  <c r="AD77" i="28" s="1"/>
  <c r="AB77" i="28"/>
  <c r="AD76" i="28"/>
  <c r="AC76" i="28"/>
  <c r="AB76" i="28"/>
  <c r="AD75" i="28"/>
  <c r="AC75" i="28"/>
  <c r="AB75" i="28"/>
  <c r="AC74" i="28"/>
  <c r="AD74" i="28" s="1"/>
  <c r="AB74" i="28"/>
  <c r="AC73" i="28"/>
  <c r="AD73" i="28" s="1"/>
  <c r="AB73" i="28"/>
  <c r="AC72" i="28"/>
  <c r="AD72" i="28" s="1"/>
  <c r="AB72" i="28"/>
  <c r="AC71" i="28"/>
  <c r="AD71" i="28" s="1"/>
  <c r="AB71" i="28"/>
  <c r="AD70" i="28"/>
  <c r="AC70" i="28"/>
  <c r="AB70" i="28"/>
  <c r="AC69" i="28"/>
  <c r="AD69" i="28" s="1"/>
  <c r="AB69" i="28"/>
  <c r="AD68" i="28"/>
  <c r="AC68" i="28"/>
  <c r="AB68" i="28"/>
  <c r="AC67" i="28"/>
  <c r="AB67" i="28"/>
  <c r="AD67" i="28" s="1"/>
  <c r="AC66" i="28"/>
  <c r="AD66" i="28" s="1"/>
  <c r="AB66" i="28"/>
  <c r="AC65" i="28"/>
  <c r="AD65" i="28" s="1"/>
  <c r="AB65" i="28"/>
  <c r="AC64" i="28"/>
  <c r="AD64" i="28" s="1"/>
  <c r="AB64" i="28"/>
  <c r="AC63" i="28"/>
  <c r="AD63" i="28" s="1"/>
  <c r="AB63" i="28"/>
  <c r="AD62" i="28"/>
  <c r="AC62" i="28"/>
  <c r="AB62" i="28"/>
  <c r="AC61" i="28"/>
  <c r="AD61" i="28" s="1"/>
  <c r="AB61" i="28"/>
  <c r="AD60" i="28"/>
  <c r="AC60" i="28"/>
  <c r="AB60" i="28"/>
  <c r="AC59" i="28"/>
  <c r="AB59" i="28"/>
  <c r="AD59" i="28" s="1"/>
  <c r="AC58" i="28"/>
  <c r="AD58" i="28" s="1"/>
  <c r="AB58" i="28"/>
  <c r="AC57" i="28"/>
  <c r="AD57" i="28" s="1"/>
  <c r="AB57" i="28"/>
  <c r="AC56" i="28"/>
  <c r="AD56" i="28" s="1"/>
  <c r="AB56" i="28"/>
  <c r="AC55" i="28"/>
  <c r="AD55" i="28" s="1"/>
  <c r="AB55" i="28"/>
  <c r="AD54" i="28"/>
  <c r="AC54" i="28"/>
  <c r="AB54" i="28"/>
  <c r="AC53" i="28"/>
  <c r="AD53" i="28" s="1"/>
  <c r="AB53" i="28"/>
  <c r="AD52" i="28"/>
  <c r="AC52" i="28"/>
  <c r="AB52" i="28"/>
  <c r="AC51" i="28"/>
  <c r="AB51" i="28"/>
  <c r="AD51" i="28" s="1"/>
  <c r="AC50" i="28"/>
  <c r="AD50" i="28" s="1"/>
  <c r="AB50" i="28"/>
  <c r="AC49" i="28"/>
  <c r="AD49" i="28" s="1"/>
  <c r="AB49" i="28"/>
  <c r="AC48" i="28"/>
  <c r="AD48" i="28" s="1"/>
  <c r="AB48" i="28"/>
  <c r="AC47" i="28"/>
  <c r="AD47" i="28" s="1"/>
  <c r="AB47" i="28"/>
  <c r="AD46" i="28"/>
  <c r="AC46" i="28"/>
  <c r="AB46" i="28"/>
  <c r="AC45" i="28"/>
  <c r="AD45" i="28" s="1"/>
  <c r="AB45" i="28"/>
  <c r="AD44" i="28"/>
  <c r="AC44" i="28"/>
  <c r="AB44" i="28"/>
  <c r="AC43" i="28"/>
  <c r="AB43" i="28"/>
  <c r="AD43" i="28" s="1"/>
  <c r="AC42" i="28"/>
  <c r="AD42" i="28" s="1"/>
  <c r="AB42" i="28"/>
  <c r="AC41" i="28"/>
  <c r="AD41" i="28" s="1"/>
  <c r="AB41" i="28"/>
  <c r="AC40" i="28"/>
  <c r="AD40" i="28" s="1"/>
  <c r="AB40" i="28"/>
  <c r="AC39" i="28"/>
  <c r="AD39" i="28" s="1"/>
  <c r="AB39" i="28"/>
  <c r="AD38" i="28"/>
  <c r="AC38" i="28"/>
  <c r="AB38" i="28"/>
  <c r="AC37" i="28"/>
  <c r="AD37" i="28" s="1"/>
  <c r="AB37" i="28"/>
  <c r="AD36" i="28"/>
  <c r="AC36" i="28"/>
  <c r="AB36" i="28"/>
  <c r="AC35" i="28"/>
  <c r="AB35" i="28"/>
  <c r="AD35" i="28" s="1"/>
  <c r="AC34" i="28"/>
  <c r="AD34" i="28" s="1"/>
  <c r="AB34" i="28"/>
  <c r="AC33" i="28"/>
  <c r="AD33" i="28" s="1"/>
  <c r="AB33" i="28"/>
  <c r="AC32" i="28"/>
  <c r="AD32" i="28" s="1"/>
  <c r="AB32" i="28"/>
  <c r="AC31" i="28"/>
  <c r="AD31" i="28" s="1"/>
  <c r="AB31" i="28"/>
  <c r="AD30" i="28"/>
  <c r="AC30" i="28"/>
  <c r="AB30" i="28"/>
  <c r="AC29" i="28"/>
  <c r="AD29" i="28" s="1"/>
  <c r="AB29" i="28"/>
  <c r="AD28" i="28"/>
  <c r="AC28" i="28"/>
  <c r="AB28" i="28"/>
  <c r="AC27" i="28"/>
  <c r="AD27" i="28" s="1"/>
  <c r="AB27" i="28"/>
  <c r="AC26" i="28"/>
  <c r="AD26" i="28" s="1"/>
  <c r="AB26" i="28"/>
  <c r="AC25" i="28"/>
  <c r="AD25" i="28" s="1"/>
  <c r="AB25" i="28"/>
  <c r="AC24" i="28"/>
  <c r="AD24" i="28" s="1"/>
  <c r="AB24" i="28"/>
  <c r="AC23" i="28"/>
  <c r="AD23" i="28" s="1"/>
  <c r="AB23" i="28"/>
  <c r="AD22" i="28"/>
  <c r="AC22" i="28"/>
  <c r="AB22" i="28"/>
  <c r="AC21" i="28"/>
  <c r="AD21" i="28" s="1"/>
  <c r="AB21" i="28"/>
  <c r="AD20" i="28"/>
  <c r="AC20" i="28"/>
  <c r="AB20" i="28"/>
  <c r="AC19" i="28"/>
  <c r="AB19" i="28"/>
  <c r="AD19" i="28" s="1"/>
  <c r="AC18" i="28"/>
  <c r="AD18" i="28" s="1"/>
  <c r="AB18" i="28"/>
  <c r="AC17" i="28"/>
  <c r="AD17" i="28" s="1"/>
  <c r="AB17" i="28"/>
  <c r="AC16" i="28"/>
  <c r="AD16" i="28" s="1"/>
  <c r="AB16" i="28"/>
  <c r="AC15" i="28"/>
  <c r="AD15" i="28" s="1"/>
  <c r="AB15" i="28"/>
  <c r="AD14" i="28"/>
  <c r="AC14" i="28"/>
  <c r="AB14" i="28"/>
  <c r="AC13" i="28"/>
  <c r="AD13" i="28" s="1"/>
  <c r="AB13" i="28"/>
  <c r="AD12" i="28"/>
  <c r="AC12" i="28"/>
  <c r="AB12" i="28"/>
  <c r="AC11" i="28"/>
  <c r="AB11" i="28"/>
  <c r="AD11" i="28" s="1"/>
  <c r="AC10" i="28"/>
  <c r="AD10" i="28" s="1"/>
  <c r="AB10" i="28"/>
  <c r="AC9" i="28"/>
  <c r="AD9" i="28" s="1"/>
  <c r="AB9" i="28"/>
  <c r="AC8" i="28"/>
  <c r="AD8" i="28" s="1"/>
  <c r="AB8" i="28"/>
  <c r="AC7" i="28"/>
  <c r="AD7" i="28" s="1"/>
  <c r="AB7" i="28"/>
  <c r="AD6" i="28"/>
  <c r="AC6" i="28"/>
  <c r="AB6" i="28"/>
  <c r="AC5" i="28"/>
  <c r="AD5" i="28" s="1"/>
  <c r="AB5" i="28"/>
  <c r="AD4" i="28"/>
  <c r="AC4" i="28"/>
  <c r="AC347" i="28" s="1"/>
  <c r="AB4" i="28"/>
  <c r="AB347" i="28" s="1"/>
  <c r="AD347" i="28" l="1"/>
  <c r="AI14" i="28" l="1"/>
  <c r="AI11" i="28"/>
  <c r="AI7" i="28"/>
  <c r="AI6" i="28" l="1"/>
  <c r="AI10" i="28"/>
  <c r="AI5" i="28"/>
  <c r="AI9" i="28"/>
  <c r="AI8" i="28"/>
  <c r="AI12" i="28"/>
  <c r="AI4" i="28" l="1"/>
  <c r="AI13" i="28"/>
</calcChain>
</file>

<file path=xl/sharedStrings.xml><?xml version="1.0" encoding="utf-8"?>
<sst xmlns="http://schemas.openxmlformats.org/spreadsheetml/2006/main" count="2606" uniqueCount="713">
  <si>
    <t>EDU</t>
  </si>
  <si>
    <t>Count</t>
  </si>
  <si>
    <t>Total people</t>
  </si>
  <si>
    <t>Total years edu</t>
  </si>
  <si>
    <t>Average years of education</t>
  </si>
  <si>
    <t>MUN</t>
  </si>
  <si>
    <t>010101</t>
  </si>
  <si>
    <t>010102</t>
  </si>
  <si>
    <t>010103</t>
  </si>
  <si>
    <t>010201</t>
  </si>
  <si>
    <t>010202</t>
  </si>
  <si>
    <t>010301</t>
  </si>
  <si>
    <t>010302</t>
  </si>
  <si>
    <t>010303</t>
  </si>
  <si>
    <t>010304</t>
  </si>
  <si>
    <t>010401</t>
  </si>
  <si>
    <t>010402</t>
  </si>
  <si>
    <t>010403</t>
  </si>
  <si>
    <t>010404</t>
  </si>
  <si>
    <t>010405</t>
  </si>
  <si>
    <t>010501</t>
  </si>
  <si>
    <t>010502</t>
  </si>
  <si>
    <t>010601</t>
  </si>
  <si>
    <t>010602</t>
  </si>
  <si>
    <t>010701</t>
  </si>
  <si>
    <t>010702</t>
  </si>
  <si>
    <t>010703</t>
  </si>
  <si>
    <t>010704</t>
  </si>
  <si>
    <t>010801</t>
  </si>
  <si>
    <t>010901</t>
  </si>
  <si>
    <t>010902</t>
  </si>
  <si>
    <t>010903</t>
  </si>
  <si>
    <t>011001</t>
  </si>
  <si>
    <t>011002</t>
  </si>
  <si>
    <t>011003</t>
  </si>
  <si>
    <t>020101</t>
  </si>
  <si>
    <t>020102</t>
  </si>
  <si>
    <t>020103</t>
  </si>
  <si>
    <t>020104</t>
  </si>
  <si>
    <t>020105</t>
  </si>
  <si>
    <t>020201</t>
  </si>
  <si>
    <t>020202</t>
  </si>
  <si>
    <t>020203</t>
  </si>
  <si>
    <t>020204</t>
  </si>
  <si>
    <t>020205</t>
  </si>
  <si>
    <t>020206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</si>
  <si>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</si>
  <si>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</si>
  <si>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</si>
  <si>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</si>
  <si>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</si>
  <si>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</si>
  <si>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</si>
  <si>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</si>
  <si>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020401</t>
  </si>
  <si>
    <t>020402</t>
  </si>
  <si>
    <t>020403</t>
  </si>
  <si>
    <t>020404</t>
  </si>
  <si>
    <t>020405</t>
  </si>
  <si>
    <t>020501</t>
  </si>
  <si>
    <t>020502</t>
  </si>
  <si>
    <t>020503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</si>
  <si>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</si>
  <si>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</si>
  <si>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</si>
  <si>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</si>
  <si>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</si>
  <si>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</si>
  <si>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</si>
  <si>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</si>
  <si>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020701</t>
  </si>
  <si>
    <t>020702</t>
  </si>
  <si>
    <t>020801</t>
  </si>
  <si>
    <t>020802</t>
  </si>
  <si>
    <t>020803</t>
  </si>
  <si>
    <t>020804</t>
  </si>
  <si>
    <t>020805</t>
  </si>
  <si>
    <t>020806</t>
  </si>
  <si>
    <t>020807</t>
  </si>
  <si>
    <t>020901</t>
  </si>
  <si>
    <t>020902</t>
  </si>
  <si>
    <t>020903</t>
  </si>
  <si>
    <t>020904</t>
  </si>
  <si>
    <t>020905</t>
  </si>
  <si>
    <t>021001</t>
  </si>
  <si>
    <t>021002</t>
  </si>
  <si>
    <t>021003</t>
  </si>
  <si>
    <t>021004</t>
  </si>
  <si>
    <t>021005</t>
  </si>
  <si>
    <t>021006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</si>
  <si>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</si>
  <si>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</si>
  <si>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</si>
  <si>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</si>
  <si>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</si>
  <si>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</si>
  <si>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</si>
  <si>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</si>
  <si>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</si>
  <si>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021301</t>
  </si>
  <si>
    <t>021302</t>
  </si>
  <si>
    <t>021303</t>
  </si>
  <si>
    <t>021304</t>
  </si>
  <si>
    <t>021305</t>
  </si>
  <si>
    <t>021306</t>
  </si>
  <si>
    <t>021307</t>
  </si>
  <si>
    <t>021401</t>
  </si>
  <si>
    <t>021402</t>
  </si>
  <si>
    <t>021501</t>
  </si>
  <si>
    <t>021502</t>
  </si>
  <si>
    <t>021601</t>
  </si>
  <si>
    <t>021602</t>
  </si>
  <si>
    <t>021701</t>
  </si>
  <si>
    <t>021702</t>
  </si>
  <si>
    <t>021703</t>
  </si>
  <si>
    <t>021801</t>
  </si>
  <si>
    <t>021802</t>
  </si>
  <si>
    <t>021803</t>
  </si>
  <si>
    <t>021901</t>
  </si>
  <si>
    <t>021902</t>
  </si>
  <si>
    <t>022001</t>
  </si>
  <si>
    <t>022002</t>
  </si>
  <si>
    <t>030101</t>
  </si>
  <si>
    <t>030201</t>
  </si>
  <si>
    <t>030202</t>
  </si>
  <si>
    <t>030203</t>
  </si>
  <si>
    <t>030301</t>
  </si>
  <si>
    <t>030302</t>
  </si>
  <si>
    <t>030303</t>
  </si>
  <si>
    <t>030401</t>
  </si>
  <si>
    <t>030402</t>
  </si>
  <si>
    <t>030403</t>
  </si>
  <si>
    <t>030404</t>
  </si>
  <si>
    <t>030501</t>
  </si>
  <si>
    <t>030502</t>
  </si>
  <si>
    <t>030601</t>
  </si>
  <si>
    <t>030602</t>
  </si>
  <si>
    <t>030701</t>
  </si>
  <si>
    <t>030702</t>
  </si>
  <si>
    <t>030703</t>
  </si>
  <si>
    <t>030801</t>
  </si>
  <si>
    <t>030802</t>
  </si>
  <si>
    <t>030803</t>
  </si>
  <si>
    <t>030901</t>
  </si>
  <si>
    <t>030902</t>
  </si>
  <si>
    <t>030903</t>
  </si>
  <si>
    <t>030904</t>
  </si>
  <si>
    <t>030905</t>
  </si>
  <si>
    <t>031001</t>
  </si>
  <si>
    <t>031002</t>
  </si>
  <si>
    <t>031003</t>
  </si>
  <si>
    <t>031101</t>
  </si>
  <si>
    <t>031201</t>
  </si>
  <si>
    <t>031202</t>
  </si>
  <si>
    <t>031203</t>
  </si>
  <si>
    <t>031204</t>
  </si>
  <si>
    <t>031205</t>
  </si>
  <si>
    <t>031206</t>
  </si>
  <si>
    <t>031301</t>
  </si>
  <si>
    <t>031302</t>
  </si>
  <si>
    <t>031303</t>
  </si>
  <si>
    <t>031304</t>
  </si>
  <si>
    <t>031401</t>
  </si>
  <si>
    <t>031402</t>
  </si>
  <si>
    <t>031403</t>
  </si>
  <si>
    <t>031404</t>
  </si>
  <si>
    <t>031405</t>
  </si>
  <si>
    <t>031501</t>
  </si>
  <si>
    <t>031601</t>
  </si>
  <si>
    <t>031602</t>
  </si>
  <si>
    <t>040101</t>
  </si>
  <si>
    <t>040102</t>
  </si>
  <si>
    <t>040103</t>
  </si>
  <si>
    <t>040104</t>
  </si>
  <si>
    <t>040201</t>
  </si>
  <si>
    <t>040202</t>
  </si>
  <si>
    <t>040301</t>
  </si>
  <si>
    <t>040302</t>
  </si>
  <si>
    <t>040401</t>
  </si>
  <si>
    <t>040402</t>
  </si>
  <si>
    <t>040501</t>
  </si>
  <si>
    <t>040502</t>
  </si>
  <si>
    <t>040503</t>
  </si>
  <si>
    <t>040504</t>
  </si>
  <si>
    <t>040505</t>
  </si>
  <si>
    <t>040601</t>
  </si>
  <si>
    <t>040602</t>
  </si>
  <si>
    <t>040603</t>
  </si>
  <si>
    <t>040701</t>
  </si>
  <si>
    <t>040702</t>
  </si>
  <si>
    <t>040801</t>
  </si>
  <si>
    <t>040802</t>
  </si>
  <si>
    <t>040901</t>
  </si>
  <si>
    <t>040902</t>
  </si>
  <si>
    <t>040903</t>
  </si>
  <si>
    <t>041001</t>
  </si>
  <si>
    <t>041101</t>
  </si>
  <si>
    <t>041201</t>
  </si>
  <si>
    <t>041202</t>
  </si>
  <si>
    <t>041301</t>
  </si>
  <si>
    <t>041401</t>
  </si>
  <si>
    <t>041501</t>
  </si>
  <si>
    <t>041502</t>
  </si>
  <si>
    <t>041503</t>
  </si>
  <si>
    <t>041601</t>
  </si>
  <si>
    <t>050101</t>
  </si>
  <si>
    <t>050102</t>
  </si>
  <si>
    <t>050103</t>
  </si>
  <si>
    <t>050104</t>
  </si>
  <si>
    <t>050201</t>
  </si>
  <si>
    <t>050202</t>
  </si>
  <si>
    <t>050203</t>
  </si>
  <si>
    <t>050204</t>
  </si>
  <si>
    <t>050301</t>
  </si>
  <si>
    <t>050302</t>
  </si>
  <si>
    <t>050303</t>
  </si>
  <si>
    <t>050401</t>
  </si>
  <si>
    <t>050402</t>
  </si>
  <si>
    <t>050403</t>
  </si>
  <si>
    <t>050404</t>
  </si>
  <si>
    <t>050405</t>
  </si>
  <si>
    <t>050501</t>
  </si>
  <si>
    <t>050502</t>
  </si>
  <si>
    <t>050601</t>
  </si>
  <si>
    <t>050602</t>
  </si>
  <si>
    <t>050701</t>
  </si>
  <si>
    <t>050702</t>
  </si>
  <si>
    <t>050801</t>
  </si>
  <si>
    <t>050802</t>
  </si>
  <si>
    <t>050901</t>
  </si>
  <si>
    <t>050902</t>
  </si>
  <si>
    <t>051001</t>
  </si>
  <si>
    <t>051002</t>
  </si>
  <si>
    <t>051003</t>
  </si>
  <si>
    <t>051101</t>
  </si>
  <si>
    <t>051102</t>
  </si>
  <si>
    <t>051103</t>
  </si>
  <si>
    <t>051201</t>
  </si>
  <si>
    <t>051202</t>
  </si>
  <si>
    <t>051203</t>
  </si>
  <si>
    <t>051204</t>
  </si>
  <si>
    <t>051301</t>
  </si>
  <si>
    <t>051302</t>
  </si>
  <si>
    <t>051401</t>
  </si>
  <si>
    <t>051402</t>
  </si>
  <si>
    <t>051501</t>
  </si>
  <si>
    <t>051601</t>
  </si>
  <si>
    <t>060101</t>
  </si>
  <si>
    <t>060201</t>
  </si>
  <si>
    <t>060202</t>
  </si>
  <si>
    <t>060301</t>
  </si>
  <si>
    <t>060302</t>
  </si>
  <si>
    <t>060303</t>
  </si>
  <si>
    <t>060401</t>
  </si>
  <si>
    <t>060402</t>
  </si>
  <si>
    <t>060501</t>
  </si>
  <si>
    <t>060502</t>
  </si>
  <si>
    <t>060601</t>
  </si>
  <si>
    <t>070101</t>
  </si>
  <si>
    <t>070102</t>
  </si>
  <si>
    <t>070103</t>
  </si>
  <si>
    <t>070104</t>
  </si>
  <si>
    <t>070105</t>
  </si>
  <si>
    <t>070201</t>
  </si>
  <si>
    <t>070202</t>
  </si>
  <si>
    <t>070301</t>
  </si>
  <si>
    <t>070302</t>
  </si>
  <si>
    <t>070303</t>
  </si>
  <si>
    <t>070401</t>
  </si>
  <si>
    <t>070402</t>
  </si>
  <si>
    <t>070403</t>
  </si>
  <si>
    <t>070404</t>
  </si>
  <si>
    <t>070501</t>
  </si>
  <si>
    <t>070502</t>
  </si>
  <si>
    <t>070503</t>
  </si>
  <si>
    <t>070601</t>
  </si>
  <si>
    <t>070602</t>
  </si>
  <si>
    <t>070603</t>
  </si>
  <si>
    <t>070701</t>
  </si>
  <si>
    <t>070702</t>
  </si>
  <si>
    <t>070703</t>
  </si>
  <si>
    <t>070704</t>
  </si>
  <si>
    <t>070705</t>
  </si>
  <si>
    <t>070706</t>
  </si>
  <si>
    <t>070707</t>
  </si>
  <si>
    <t>070801</t>
  </si>
  <si>
    <t>070802</t>
  </si>
  <si>
    <t>070803</t>
  </si>
  <si>
    <t>070804</t>
  </si>
  <si>
    <t>070805</t>
  </si>
  <si>
    <t>070901</t>
  </si>
  <si>
    <t>070902</t>
  </si>
  <si>
    <t>070903</t>
  </si>
  <si>
    <t>070904</t>
  </si>
  <si>
    <t>071001</t>
  </si>
  <si>
    <t>071002</t>
  </si>
  <si>
    <t>071003</t>
  </si>
  <si>
    <t>071004</t>
  </si>
  <si>
    <t>071005</t>
  </si>
  <si>
    <t>071101</t>
  </si>
  <si>
    <t>071102</t>
  </si>
  <si>
    <t>071103</t>
  </si>
  <si>
    <t>071104</t>
  </si>
  <si>
    <t>071105</t>
  </si>
  <si>
    <t>071106</t>
  </si>
  <si>
    <t>071201</t>
  </si>
  <si>
    <t>071301</t>
  </si>
  <si>
    <t>071302</t>
  </si>
  <si>
    <t>071401</t>
  </si>
  <si>
    <t>071402</t>
  </si>
  <si>
    <t>071403</t>
  </si>
  <si>
    <t>071501</t>
  </si>
  <si>
    <t>071502</t>
  </si>
  <si>
    <t>071503</t>
  </si>
  <si>
    <t>080101</t>
  </si>
  <si>
    <t>080102</t>
  </si>
  <si>
    <t>080201</t>
  </si>
  <si>
    <t>080202</t>
  </si>
  <si>
    <t>080301</t>
  </si>
  <si>
    <t>080302</t>
  </si>
  <si>
    <t>080303</t>
  </si>
  <si>
    <t>080304</t>
  </si>
  <si>
    <t>080401</t>
  </si>
  <si>
    <t>080402</t>
  </si>
  <si>
    <t>080501</t>
  </si>
  <si>
    <t>080601</t>
  </si>
  <si>
    <t>080602</t>
  </si>
  <si>
    <t>080701</t>
  </si>
  <si>
    <t>080702</t>
  </si>
  <si>
    <t>080703</t>
  </si>
  <si>
    <t>080801</t>
  </si>
  <si>
    <t>080802</t>
  </si>
  <si>
    <t>080803</t>
  </si>
  <si>
    <t>080901</t>
  </si>
  <si>
    <t>090101</t>
  </si>
  <si>
    <t>090102</t>
  </si>
  <si>
    <t>090103</t>
  </si>
  <si>
    <t>090104</t>
  </si>
  <si>
    <t>090201</t>
  </si>
  <si>
    <t>090202</t>
  </si>
  <si>
    <t>090203</t>
  </si>
  <si>
    <t>090301</t>
  </si>
  <si>
    <t>090302</t>
  </si>
  <si>
    <t>090303</t>
  </si>
  <si>
    <t>090401</t>
  </si>
  <si>
    <t>090402</t>
  </si>
  <si>
    <t>090501</t>
  </si>
  <si>
    <t>090502</t>
  </si>
  <si>
    <t>090503</t>
  </si>
  <si>
    <t>Departamento</t>
  </si>
  <si>
    <t>Población de mujeres de 25-35 años</t>
  </si>
  <si>
    <t>Total años de educación de mujeres de 25-35 años</t>
  </si>
  <si>
    <t>Promedio de años de educación</t>
  </si>
  <si>
    <t>Chuquisaca</t>
  </si>
  <si>
    <t>La Paz</t>
  </si>
  <si>
    <t>Cochabamba</t>
  </si>
  <si>
    <t>Oruro</t>
  </si>
  <si>
    <t>Potosi</t>
  </si>
  <si>
    <t>Tarija</t>
  </si>
  <si>
    <t>Santa Cruz</t>
  </si>
  <si>
    <t>Beni</t>
  </si>
  <si>
    <t>Pando</t>
  </si>
  <si>
    <t>Bolivia</t>
  </si>
  <si>
    <t>Población de hombres de 25-35 años</t>
  </si>
  <si>
    <t>Total años de educación de hombres de 25-35 años</t>
  </si>
  <si>
    <t>ID</t>
  </si>
  <si>
    <t>Municipio</t>
  </si>
  <si>
    <t>San Pedro de Macha</t>
  </si>
  <si>
    <t>San Pedro</t>
  </si>
  <si>
    <t>TIOC-Raqaypampa</t>
  </si>
  <si>
    <t>Tapacarí</t>
  </si>
  <si>
    <t>Sacaca</t>
  </si>
  <si>
    <t>Arque</t>
  </si>
  <si>
    <t>Arampampa</t>
  </si>
  <si>
    <t>Morochata</t>
  </si>
  <si>
    <t>Cocapata</t>
  </si>
  <si>
    <t>Curva</t>
  </si>
  <si>
    <t>Bolívar</t>
  </si>
  <si>
    <t>Totora</t>
  </si>
  <si>
    <t>Ayata</t>
  </si>
  <si>
    <t>Ckochas</t>
  </si>
  <si>
    <t>Tacopaya</t>
  </si>
  <si>
    <t>Charazani</t>
  </si>
  <si>
    <t>Humanata</t>
  </si>
  <si>
    <t>Caripuyo</t>
  </si>
  <si>
    <t>Toro Toro</t>
  </si>
  <si>
    <t>Aucapata</t>
  </si>
  <si>
    <t>Tinguipaya</t>
  </si>
  <si>
    <t>Ocurí</t>
  </si>
  <si>
    <t>Pelechuco</t>
  </si>
  <si>
    <t>Pocoata</t>
  </si>
  <si>
    <t>Poroma</t>
  </si>
  <si>
    <t>Umala</t>
  </si>
  <si>
    <t>Vacas</t>
  </si>
  <si>
    <t>Sicaya</t>
  </si>
  <si>
    <t>Chacarilla</t>
  </si>
  <si>
    <t>Puerto Acosta</t>
  </si>
  <si>
    <t>Puerto Pérez</t>
  </si>
  <si>
    <t>Vila Vila</t>
  </si>
  <si>
    <t>Mocomoco</t>
  </si>
  <si>
    <t>Escoma</t>
  </si>
  <si>
    <t>Villa Ancoraimes</t>
  </si>
  <si>
    <t>La Asunta</t>
  </si>
  <si>
    <t>Arbieto</t>
  </si>
  <si>
    <t>Combaya</t>
  </si>
  <si>
    <t>Eucaliptus</t>
  </si>
  <si>
    <t>Sacabamba</t>
  </si>
  <si>
    <t>Pucarani</t>
  </si>
  <si>
    <t>Pocona</t>
  </si>
  <si>
    <t>Tacobamba</t>
  </si>
  <si>
    <t>San Agustín</t>
  </si>
  <si>
    <t>Betanzos</t>
  </si>
  <si>
    <t>Puerto Mayor de Carabuco</t>
  </si>
  <si>
    <t>Acasio</t>
  </si>
  <si>
    <t>TIOC-Territorio Indígena Multiétnico</t>
  </si>
  <si>
    <t>Uru Chipaya (Nación Originaria Uru Chipaya)</t>
  </si>
  <si>
    <t>Urmiri</t>
  </si>
  <si>
    <t>Catacora</t>
  </si>
  <si>
    <t>Vitichi</t>
  </si>
  <si>
    <t>San Lucas</t>
  </si>
  <si>
    <t>Challapata</t>
  </si>
  <si>
    <t>Uncía</t>
  </si>
  <si>
    <t>Puna</t>
  </si>
  <si>
    <t>Copacabana</t>
  </si>
  <si>
    <t>Ayo Ayo</t>
  </si>
  <si>
    <t>Nazacara de Pacajes</t>
  </si>
  <si>
    <t>Ayopaya</t>
  </si>
  <si>
    <t>Chaquí</t>
  </si>
  <si>
    <t>Huarina</t>
  </si>
  <si>
    <t>Pampa Aullagas</t>
  </si>
  <si>
    <t>Batallas</t>
  </si>
  <si>
    <t>Palca</t>
  </si>
  <si>
    <t>Laja</t>
  </si>
  <si>
    <t>Achacachi</t>
  </si>
  <si>
    <t>Tolata</t>
  </si>
  <si>
    <t>Presto</t>
  </si>
  <si>
    <t>Tarabuco</t>
  </si>
  <si>
    <t>Patacamaya</t>
  </si>
  <si>
    <t>Inquisivi</t>
  </si>
  <si>
    <t>Villa Tunari</t>
  </si>
  <si>
    <t>Cairoma</t>
  </si>
  <si>
    <t>Colquechaca</t>
  </si>
  <si>
    <t>Chuquihuta Ayllu Jucumani</t>
  </si>
  <si>
    <t>Anzaldo</t>
  </si>
  <si>
    <t>Tiahuanacu</t>
  </si>
  <si>
    <t>Quiabaya</t>
  </si>
  <si>
    <t>Irupana</t>
  </si>
  <si>
    <t>Tiraque</t>
  </si>
  <si>
    <t>Sorata</t>
  </si>
  <si>
    <t>Puerto Mayor de Guaqui</t>
  </si>
  <si>
    <t>Ingavi</t>
  </si>
  <si>
    <t>Chuma</t>
  </si>
  <si>
    <t>Puerto Villarroel</t>
  </si>
  <si>
    <t>Entre Ríos</t>
  </si>
  <si>
    <t>Alalay</t>
  </si>
  <si>
    <t>San Javier</t>
  </si>
  <si>
    <t>Sapahaqui</t>
  </si>
  <si>
    <t>Pojo</t>
  </si>
  <si>
    <t>La (Marka) San Andrés de Machaca</t>
  </si>
  <si>
    <t>Sipesipe</t>
  </si>
  <si>
    <t>Jesús de Machaka</t>
  </si>
  <si>
    <t>Ravelo</t>
  </si>
  <si>
    <t>Coripata</t>
  </si>
  <si>
    <t>Santiago de Huata</t>
  </si>
  <si>
    <t>Luribay</t>
  </si>
  <si>
    <t>Chimoré</t>
  </si>
  <si>
    <t>Ichoca</t>
  </si>
  <si>
    <t>Chayanta</t>
  </si>
  <si>
    <t>Caquiaviri</t>
  </si>
  <si>
    <t>Caiza "D"</t>
  </si>
  <si>
    <t>Pazña</t>
  </si>
  <si>
    <t>Villa Gualberto Villarroel</t>
  </si>
  <si>
    <t>Incahuasi</t>
  </si>
  <si>
    <t>Colquiri</t>
  </si>
  <si>
    <t>Taraco</t>
  </si>
  <si>
    <t>Tarata</t>
  </si>
  <si>
    <t>San Pedro de Tiquina</t>
  </si>
  <si>
    <t>Colomi</t>
  </si>
  <si>
    <t>Paria</t>
  </si>
  <si>
    <t>Alto Beni</t>
  </si>
  <si>
    <t>Desaguadero</t>
  </si>
  <si>
    <t>Santiago de Callapa</t>
  </si>
  <si>
    <t>Shinahota</t>
  </si>
  <si>
    <t>Curahuara de Carangas</t>
  </si>
  <si>
    <t>Sicasica</t>
  </si>
  <si>
    <t>Calamarca</t>
  </si>
  <si>
    <t>Toledo</t>
  </si>
  <si>
    <t>Malla</t>
  </si>
  <si>
    <t>Salinas de Garci Mendoza (Autonomía Indígena Originario Campesina de Salinas)</t>
  </si>
  <si>
    <t>Tomave</t>
  </si>
  <si>
    <t>Charaña</t>
  </si>
  <si>
    <t>Santiváñez</t>
  </si>
  <si>
    <t>Choquecota</t>
  </si>
  <si>
    <t>Yamparáez</t>
  </si>
  <si>
    <t>Antequera</t>
  </si>
  <si>
    <t>Achocalla</t>
  </si>
  <si>
    <t>San Pedro de Curahuara</t>
  </si>
  <si>
    <t>Icla</t>
  </si>
  <si>
    <t>Vinto</t>
  </si>
  <si>
    <t>Tacacoma</t>
  </si>
  <si>
    <t>Sopachuy</t>
  </si>
  <si>
    <t>Zudáñez</t>
  </si>
  <si>
    <t>Santiago de Huayllamarca</t>
  </si>
  <si>
    <t>Coroico</t>
  </si>
  <si>
    <t>Belén de Andamarca</t>
  </si>
  <si>
    <t>TIOC-Jatun Ayllu Yura</t>
  </si>
  <si>
    <t>Coipasa</t>
  </si>
  <si>
    <t>Villa Rivero</t>
  </si>
  <si>
    <t>Quime</t>
  </si>
  <si>
    <t>Santiago de Machaca</t>
  </si>
  <si>
    <t>Urubichá</t>
  </si>
  <si>
    <t>Chua Cocani</t>
  </si>
  <si>
    <t>Villa Charcas</t>
  </si>
  <si>
    <t>Santuario de Quillacas</t>
  </si>
  <si>
    <t>Caranavi</t>
  </si>
  <si>
    <t>Caracollo</t>
  </si>
  <si>
    <t>Llallagua</t>
  </si>
  <si>
    <t>Llica</t>
  </si>
  <si>
    <t>Tito Yupanqui</t>
  </si>
  <si>
    <t>Potosí</t>
  </si>
  <si>
    <t>Tahua</t>
  </si>
  <si>
    <t>Corque</t>
  </si>
  <si>
    <t>Mojinete</t>
  </si>
  <si>
    <t>Huatajata</t>
  </si>
  <si>
    <t>Mecapaca</t>
  </si>
  <si>
    <t>Azurduy</t>
  </si>
  <si>
    <t>Puerto Siles</t>
  </si>
  <si>
    <t>Cabezas</t>
  </si>
  <si>
    <t>Colquencha</t>
  </si>
  <si>
    <t>Apolo</t>
  </si>
  <si>
    <t>La Rivera</t>
  </si>
  <si>
    <t>Papel Pampa</t>
  </si>
  <si>
    <t>Yunchará</t>
  </si>
  <si>
    <t>Carangas</t>
  </si>
  <si>
    <t>Mizque</t>
  </si>
  <si>
    <t>Chulumani</t>
  </si>
  <si>
    <t>San Miguel</t>
  </si>
  <si>
    <t>Capinota</t>
  </si>
  <si>
    <t>Cotagaita</t>
  </si>
  <si>
    <t>Colcha "K"</t>
  </si>
  <si>
    <t>Pailón</t>
  </si>
  <si>
    <t>Viacha</t>
  </si>
  <si>
    <t>Punata</t>
  </si>
  <si>
    <t>Ixiamas</t>
  </si>
  <si>
    <t>Uyuni</t>
  </si>
  <si>
    <t>San Pedro de Quemes</t>
  </si>
  <si>
    <t>Palos Blancos</t>
  </si>
  <si>
    <t>Yocalla</t>
  </si>
  <si>
    <t>Quillacollo</t>
  </si>
  <si>
    <t>Puerto Quijarro</t>
  </si>
  <si>
    <t>Yaco</t>
  </si>
  <si>
    <t>Cajuata</t>
  </si>
  <si>
    <t>Cliza</t>
  </si>
  <si>
    <t>Comarapa</t>
  </si>
  <si>
    <t>Santa Rosa</t>
  </si>
  <si>
    <t>El Choro</t>
  </si>
  <si>
    <t>Waldo Ballivián</t>
  </si>
  <si>
    <t>Puerto Suárez</t>
  </si>
  <si>
    <t>El Carmen Rivero Tórrez</t>
  </si>
  <si>
    <t>Villazón</t>
  </si>
  <si>
    <t>Andamarca</t>
  </si>
  <si>
    <t>Mapiri</t>
  </si>
  <si>
    <t>Santa Ana</t>
  </si>
  <si>
    <t>Villa Libertad Licoma</t>
  </si>
  <si>
    <t>Corocoro</t>
  </si>
  <si>
    <t>San Pablo</t>
  </si>
  <si>
    <t>Yotala</t>
  </si>
  <si>
    <t>Concepción</t>
  </si>
  <si>
    <t>Charagua (Autonomía Guaraní Charagua Iyambae)</t>
  </si>
  <si>
    <t>Tarvita</t>
  </si>
  <si>
    <t>Calacoto</t>
  </si>
  <si>
    <t>Escara</t>
  </si>
  <si>
    <t>Turco</t>
  </si>
  <si>
    <t>Huachacalla</t>
  </si>
  <si>
    <t>El Alto</t>
  </si>
  <si>
    <t>Santiago de Huari</t>
  </si>
  <si>
    <t>Yanacachi</t>
  </si>
  <si>
    <t>Comanche</t>
  </si>
  <si>
    <t>Lagunillas</t>
  </si>
  <si>
    <t>Huacareta</t>
  </si>
  <si>
    <t>San Antonio de Lomerio</t>
  </si>
  <si>
    <t>Exaltación</t>
  </si>
  <si>
    <t>Puerto Menor de Rurrenabaque</t>
  </si>
  <si>
    <t>San Andrés</t>
  </si>
  <si>
    <t>Sucre</t>
  </si>
  <si>
    <t>Aiquile</t>
  </si>
  <si>
    <t>San Ignacio</t>
  </si>
  <si>
    <t>Gutiérrez (Autonomía Indígena Kereimba Iyaambae)</t>
  </si>
  <si>
    <t>Pampagrande</t>
  </si>
  <si>
    <t>San Rafael</t>
  </si>
  <si>
    <t>Mojocoya</t>
  </si>
  <si>
    <t>Sacaba</t>
  </si>
  <si>
    <t>Warnes</t>
  </si>
  <si>
    <t>Trigal</t>
  </si>
  <si>
    <t>Teoponte</t>
  </si>
  <si>
    <t>San Borja</t>
  </si>
  <si>
    <t>Sabaya</t>
  </si>
  <si>
    <t>Toco</t>
  </si>
  <si>
    <t>Villa Serrano</t>
  </si>
  <si>
    <t>San Matías</t>
  </si>
  <si>
    <t>Huanuni</t>
  </si>
  <si>
    <t>Ascención de Guarayos</t>
  </si>
  <si>
    <t>Guanay</t>
  </si>
  <si>
    <t>Yunguyo del Litoral</t>
  </si>
  <si>
    <t>Reyes</t>
  </si>
  <si>
    <t>Arani</t>
  </si>
  <si>
    <t>Tomina</t>
  </si>
  <si>
    <t>Machacamarca</t>
  </si>
  <si>
    <t>Culpina</t>
  </si>
  <si>
    <t>Colpa Bélgica</t>
  </si>
  <si>
    <t>Todos Santos</t>
  </si>
  <si>
    <t>Magdalena</t>
  </si>
  <si>
    <t>Tupiza</t>
  </si>
  <si>
    <t>San Buenaventura</t>
  </si>
  <si>
    <t>Bella Flor</t>
  </si>
  <si>
    <t>San Julián</t>
  </si>
  <si>
    <t>Riberalta</t>
  </si>
  <si>
    <t>Tacachi</t>
  </si>
  <si>
    <t>San Antonio de Esmoruco</t>
  </si>
  <si>
    <t>Mairana</t>
  </si>
  <si>
    <t>Nueva Esperanza</t>
  </si>
  <si>
    <t>Tiquipaya</t>
  </si>
  <si>
    <t>San Benito</t>
  </si>
  <si>
    <t>San Lorenzo</t>
  </si>
  <si>
    <t>Cuatro Cañadas</t>
  </si>
  <si>
    <t>Collana</t>
  </si>
  <si>
    <t>La Guardia</t>
  </si>
  <si>
    <t>San José</t>
  </si>
  <si>
    <t>Colcapirhua</t>
  </si>
  <si>
    <t>Nuestra Señora de La Paz</t>
  </si>
  <si>
    <t>El Puente</t>
  </si>
  <si>
    <t>Esmeralda</t>
  </si>
  <si>
    <t>San Joaquín</t>
  </si>
  <si>
    <t>Puerto Gonzalo Moreno</t>
  </si>
  <si>
    <t>Puerto Rico</t>
  </si>
  <si>
    <t>Villa Nueva</t>
  </si>
  <si>
    <t>Villa Abecia</t>
  </si>
  <si>
    <t>Porco</t>
  </si>
  <si>
    <t>Tipuani</t>
  </si>
  <si>
    <t>Porvenir</t>
  </si>
  <si>
    <t>Trinidad</t>
  </si>
  <si>
    <t>San Carlos</t>
  </si>
  <si>
    <t>Yapacaní</t>
  </si>
  <si>
    <t>Mineros</t>
  </si>
  <si>
    <t>Saipina</t>
  </si>
  <si>
    <t>Santa Cruz de la Sierra</t>
  </si>
  <si>
    <t>Sena</t>
  </si>
  <si>
    <t>Cobija</t>
  </si>
  <si>
    <t>Baures</t>
  </si>
  <si>
    <t>Guayaramerín</t>
  </si>
  <si>
    <t>Poopó</t>
  </si>
  <si>
    <t>Cotoca</t>
  </si>
  <si>
    <t>Villa Montes</t>
  </si>
  <si>
    <t>Yacuiba</t>
  </si>
  <si>
    <t>Macharetí</t>
  </si>
  <si>
    <t>Roboré</t>
  </si>
  <si>
    <t>Huacaya (Autonomía Guaraní Chaqueño de Huacaya)</t>
  </si>
  <si>
    <t>San Ramón</t>
  </si>
  <si>
    <t>Las Carreras</t>
  </si>
  <si>
    <t>Camiri</t>
  </si>
  <si>
    <t>Huacaraje</t>
  </si>
  <si>
    <t>El Torno</t>
  </si>
  <si>
    <t>San Juan</t>
  </si>
  <si>
    <t>Villa Vaca Guzmán</t>
  </si>
  <si>
    <t>Loreto</t>
  </si>
  <si>
    <t>Bermejo</t>
  </si>
  <si>
    <t>Cuevo</t>
  </si>
  <si>
    <t>Padcaya</t>
  </si>
  <si>
    <t>Buena Vista</t>
  </si>
  <si>
    <t>Montero</t>
  </si>
  <si>
    <t>Filadelfia</t>
  </si>
  <si>
    <t>General Saavedra</t>
  </si>
  <si>
    <t>Samaipata</t>
  </si>
  <si>
    <t>Quirusillas</t>
  </si>
  <si>
    <t>Monteagudo</t>
  </si>
  <si>
    <t>Porongo</t>
  </si>
  <si>
    <t>Camargo</t>
  </si>
  <si>
    <t>Portachuelo</t>
  </si>
  <si>
    <t>Cruz de Machacamarca</t>
  </si>
  <si>
    <t>Omereque</t>
  </si>
  <si>
    <t>Atocha</t>
  </si>
  <si>
    <t>Santos Mercado</t>
  </si>
  <si>
    <t>Alcalá</t>
  </si>
  <si>
    <t>Caraparí</t>
  </si>
  <si>
    <t>Pasorapa</t>
  </si>
  <si>
    <t>Pucará</t>
  </si>
  <si>
    <t>Okinawa Uno</t>
  </si>
  <si>
    <t>Vallegrande</t>
  </si>
  <si>
    <t>Boyuibe</t>
  </si>
  <si>
    <t>Padilla</t>
  </si>
  <si>
    <t>Postrervalle</t>
  </si>
  <si>
    <t>Uriondo</t>
  </si>
  <si>
    <t>Bolpebra</t>
  </si>
  <si>
    <t>El Villar</t>
  </si>
  <si>
    <t>Moromoro</t>
  </si>
  <si>
    <t>Fernández Alonso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</si>
  <si>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</si>
  <si>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</si>
  <si>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</si>
  <si>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</si>
  <si>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</si>
  <si>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</si>
  <si>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</si>
  <si>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</si>
  <si>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</si>
  <si>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</si>
  <si>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</si>
  <si>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Absoluto_2012</t>
  </si>
  <si>
    <t>Absoluto_2024</t>
  </si>
  <si>
    <t>Gran Chaco</t>
  </si>
  <si>
    <t>Promedio de años de educación mujeres (edad 25 a 35)</t>
  </si>
  <si>
    <t>04_03_02_01_aem_2012</t>
  </si>
  <si>
    <t>04_03_02_01_aem_2024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</si>
</sst>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b/>
      <sz val="11"/>
      <color rgb="FF000000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9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0" fontId="12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6" fontId="2" fillId="0" borderId="0" xfId="1" applyNumberFormat="1" applyFont="1" applyBorder="1" applyAlignment="1">
      <alignment vertical="center"/>
    </xf>
    <xf numFmtId="164" fontId="2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vertical="center"/>
    </xf>
    <xf numFmtId="166" fontId="2" fillId="0" borderId="18" xfId="1" applyNumberFormat="1" applyFont="1" applyBorder="1" applyAlignment="1">
      <alignment vertical="center"/>
    </xf>
    <xf numFmtId="164" fontId="2" fillId="0" borderId="1" xfId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49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165" fontId="4" fillId="0" borderId="9" xfId="0" applyNumberFormat="1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vertical="center"/>
    </xf>
    <xf numFmtId="164" fontId="8" fillId="0" borderId="0" xfId="1" applyFont="1" applyAlignment="1">
      <alignment vertical="center"/>
    </xf>
    <xf numFmtId="164" fontId="8" fillId="0" borderId="1" xfId="1" applyFont="1" applyBorder="1" applyAlignment="1">
      <alignment vertical="center"/>
    </xf>
    <xf numFmtId="166" fontId="8" fillId="0" borderId="0" xfId="1" applyNumberFormat="1" applyFont="1" applyAlignment="1">
      <alignment vertical="center"/>
    </xf>
    <xf numFmtId="166" fontId="8" fillId="0" borderId="1" xfId="1" applyNumberFormat="1" applyFont="1" applyBorder="1" applyAlignment="1">
      <alignment vertical="center"/>
    </xf>
    <xf numFmtId="49" fontId="7" fillId="0" borderId="2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13" fillId="2" borderId="3" xfId="0" applyFont="1" applyFill="1" applyBorder="1"/>
    <xf numFmtId="0" fontId="14" fillId="3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164" fontId="7" fillId="0" borderId="3" xfId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49" fontId="7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64" fontId="2" fillId="0" borderId="3" xfId="1" applyFont="1" applyBorder="1" applyAlignment="1">
      <alignment vertical="center"/>
    </xf>
    <xf numFmtId="0" fontId="2" fillId="7" borderId="0" xfId="0" applyFont="1" applyFill="1" applyAlignment="1">
      <alignment vertical="center"/>
    </xf>
    <xf numFmtId="0" fontId="7" fillId="0" borderId="3" xfId="0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3" xfId="0" applyNumberFormat="1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7DA8154A-99A4-4A9B-A997-F4EFDAE2FE92}"/>
    <cellStyle name="Normal 3" xfId="3" xr:uid="{5E62C1C3-DBC7-472A-96A6-01D511746D91}"/>
  </cellStyles>
  <dxfs count="0"/>
  <tableStyles count="0" defaultTableStyle="TableStyleMedium2" defaultPivotStyle="PivotStyleLight16"/>
  <colors>
    <mruColors>
      <color rgb="FFF2AAA0"/>
      <color rgb="FFEC8678"/>
      <color rgb="FF5DFFA6"/>
      <color rgb="FFFFFF65"/>
      <color rgb="FFFFAA71"/>
      <color rgb="FFFF6565"/>
      <color rgb="FF595959"/>
      <color rgb="FFE24532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olo\Downloads\04_03_02_01_aem_2024.xlsx" TargetMode="External"/><Relationship Id="rId1" Type="http://schemas.openxmlformats.org/officeDocument/2006/relationships/externalLinkPath" Target="file:///C:\Users\Paolo\Downloads\04_03_02_01_aem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-35 all"/>
      <sheetName val="25-35 female"/>
      <sheetName val="Datos ordenados"/>
      <sheetName val="stata"/>
      <sheetName val="Índice_MUN"/>
      <sheetName val="Índice_DEP"/>
    </sheetNames>
    <sheetDataSet>
      <sheetData sheetId="0"/>
      <sheetData sheetId="1">
        <row r="4">
          <cell r="AE4">
            <v>13.706313993174062</v>
          </cell>
          <cell r="AJ4">
            <v>12.301387667724301</v>
          </cell>
        </row>
        <row r="5">
          <cell r="AE5">
            <v>12.271966527196653</v>
          </cell>
          <cell r="AJ5">
            <v>13.019397947825963</v>
          </cell>
        </row>
        <row r="6">
          <cell r="AE6">
            <v>8.1765498652291111</v>
          </cell>
          <cell r="AJ6">
            <v>12.324628125753799</v>
          </cell>
        </row>
        <row r="7">
          <cell r="AE7">
            <v>9.8138075313807533</v>
          </cell>
          <cell r="AJ7">
            <v>13.051703046752552</v>
          </cell>
        </row>
        <row r="8">
          <cell r="AE8">
            <v>9.6146645865834639</v>
          </cell>
          <cell r="AJ8">
            <v>11.614500919627478</v>
          </cell>
        </row>
        <row r="9">
          <cell r="AE9">
            <v>10.168421052631579</v>
          </cell>
          <cell r="AJ9">
            <v>12.635336853388385</v>
          </cell>
        </row>
        <row r="10">
          <cell r="AE10">
            <v>8.7318271119842823</v>
          </cell>
          <cell r="AJ10">
            <v>12.611800399677081</v>
          </cell>
        </row>
        <row r="11">
          <cell r="AE11">
            <v>10.624407582938389</v>
          </cell>
          <cell r="AJ11">
            <v>12.119984715322889</v>
          </cell>
        </row>
        <row r="12">
          <cell r="AE12">
            <v>10.193055555555556</v>
          </cell>
          <cell r="AJ12">
            <v>12.394022189104156</v>
          </cell>
        </row>
        <row r="13">
          <cell r="AE13">
            <v>11.2768</v>
          </cell>
          <cell r="AJ13">
            <v>12.58954651518629</v>
          </cell>
        </row>
        <row r="14">
          <cell r="AE14">
            <v>9.964757709251101</v>
          </cell>
          <cell r="AJ14">
            <v>12.229823369565217</v>
          </cell>
        </row>
        <row r="15">
          <cell r="AE15">
            <v>9.3041666666666671</v>
          </cell>
        </row>
        <row r="16">
          <cell r="AE16">
            <v>13.193650793650793</v>
          </cell>
        </row>
        <row r="17">
          <cell r="AE17">
            <v>11.842391304347826</v>
          </cell>
        </row>
        <row r="18">
          <cell r="AE18">
            <v>12.534883720930232</v>
          </cell>
        </row>
        <row r="19">
          <cell r="AE19">
            <v>11.004166666666666</v>
          </cell>
        </row>
        <row r="20">
          <cell r="AE20">
            <v>9.9184993531694694</v>
          </cell>
        </row>
        <row r="21">
          <cell r="AE21">
            <v>10.306306306306306</v>
          </cell>
        </row>
        <row r="22">
          <cell r="AE22">
            <v>11.078726968174204</v>
          </cell>
        </row>
        <row r="23">
          <cell r="AE23">
            <v>9.9294532627865966</v>
          </cell>
        </row>
        <row r="24">
          <cell r="AE24">
            <v>9.2788161993769478</v>
          </cell>
        </row>
        <row r="25">
          <cell r="AE25">
            <v>9.2751371115173669</v>
          </cell>
        </row>
        <row r="26">
          <cell r="AE26">
            <v>11.336252189141856</v>
          </cell>
        </row>
        <row r="27">
          <cell r="AE27">
            <v>11.422131147540984</v>
          </cell>
        </row>
        <row r="28">
          <cell r="AE28">
            <v>9.6610837438423651</v>
          </cell>
        </row>
        <row r="29">
          <cell r="AE29">
            <v>11.359728506787331</v>
          </cell>
        </row>
        <row r="30">
          <cell r="AE30">
            <v>12.205076142131979</v>
          </cell>
        </row>
        <row r="31">
          <cell r="AE31">
            <v>11.155913978494624</v>
          </cell>
        </row>
        <row r="32">
          <cell r="AE32">
            <v>11.406438631790744</v>
          </cell>
        </row>
        <row r="33">
          <cell r="AE33">
            <v>14.855876449598572</v>
          </cell>
        </row>
        <row r="34">
          <cell r="AE34">
            <v>10.358974358974359</v>
          </cell>
        </row>
        <row r="35">
          <cell r="AE35">
            <v>12.269565217391305</v>
          </cell>
        </row>
        <row r="36">
          <cell r="AE36">
            <v>12.345785876993165</v>
          </cell>
        </row>
        <row r="37">
          <cell r="AE37">
            <v>13.465656544236152</v>
          </cell>
        </row>
        <row r="38">
          <cell r="AE38">
            <v>12.300416088765603</v>
          </cell>
        </row>
        <row r="39">
          <cell r="AE39">
            <v>11.087533156498674</v>
          </cell>
        </row>
        <row r="40">
          <cell r="AE40">
            <v>12.77626459143969</v>
          </cell>
        </row>
        <row r="41">
          <cell r="AE41">
            <v>12.472949389179755</v>
          </cell>
        </row>
        <row r="42">
          <cell r="AE42">
            <v>12.608303249097473</v>
          </cell>
        </row>
        <row r="43">
          <cell r="AE43">
            <v>13.853293413173652</v>
          </cell>
        </row>
        <row r="44">
          <cell r="AE44">
            <v>12.024915062287656</v>
          </cell>
        </row>
        <row r="45">
          <cell r="AE45">
            <v>12.090539165818921</v>
          </cell>
        </row>
        <row r="46">
          <cell r="AE46">
            <v>11.989974937343359</v>
          </cell>
        </row>
        <row r="47">
          <cell r="AE47">
            <v>11.531855955678671</v>
          </cell>
        </row>
        <row r="48">
          <cell r="AE48">
            <v>12.427397260273972</v>
          </cell>
        </row>
        <row r="49">
          <cell r="AE49">
            <v>12.1741214057508</v>
          </cell>
        </row>
        <row r="50">
          <cell r="AE50">
            <v>11.802721088435375</v>
          </cell>
        </row>
        <row r="51">
          <cell r="AE51">
            <v>11.56113537117904</v>
          </cell>
        </row>
        <row r="52">
          <cell r="AE52">
            <v>10.756363636363636</v>
          </cell>
        </row>
        <row r="53">
          <cell r="AE53">
            <v>10.455482661668229</v>
          </cell>
        </row>
        <row r="54">
          <cell r="AE54">
            <v>11.273921200750468</v>
          </cell>
        </row>
        <row r="55">
          <cell r="AE55">
            <v>10.00287356321839</v>
          </cell>
        </row>
        <row r="56">
          <cell r="AE56">
            <v>12.134686346863468</v>
          </cell>
        </row>
        <row r="57">
          <cell r="AE57">
            <v>10.745677233429396</v>
          </cell>
        </row>
        <row r="58">
          <cell r="AE58">
            <v>9.4385113268608407</v>
          </cell>
        </row>
        <row r="59">
          <cell r="AE59">
            <v>9.6103896103896105</v>
          </cell>
        </row>
        <row r="60">
          <cell r="AE60">
            <v>11.060451565914057</v>
          </cell>
        </row>
        <row r="61">
          <cell r="AE61">
            <v>11.38551724137931</v>
          </cell>
        </row>
        <row r="62">
          <cell r="AE62">
            <v>11.101995565410199</v>
          </cell>
        </row>
        <row r="63">
          <cell r="AE63">
            <v>10.461956521739131</v>
          </cell>
        </row>
        <row r="64">
          <cell r="AE64">
            <v>11.395348837209303</v>
          </cell>
        </row>
        <row r="65">
          <cell r="AE65">
            <v>12.148203592814371</v>
          </cell>
        </row>
        <row r="66">
          <cell r="AE66">
            <v>11.362447454460533</v>
          </cell>
        </row>
        <row r="67">
          <cell r="AE67">
            <v>11.148058252427184</v>
          </cell>
        </row>
        <row r="68">
          <cell r="AE68">
            <v>11.01780415430267</v>
          </cell>
        </row>
        <row r="69">
          <cell r="AE69">
            <v>10.067430025445292</v>
          </cell>
        </row>
        <row r="70">
          <cell r="AE70">
            <v>12.598163909343024</v>
          </cell>
        </row>
        <row r="71">
          <cell r="AE71">
            <v>12.133689839572192</v>
          </cell>
        </row>
        <row r="72">
          <cell r="AE72">
            <v>11.796279069767442</v>
          </cell>
        </row>
        <row r="73">
          <cell r="AE73">
            <v>12.112121212121211</v>
          </cell>
        </row>
        <row r="74">
          <cell r="AE74">
            <v>12.117171717171717</v>
          </cell>
        </row>
        <row r="75">
          <cell r="AE75">
            <v>12.0091059602649</v>
          </cell>
        </row>
        <row r="76">
          <cell r="AE76">
            <v>11.7882096069869</v>
          </cell>
        </row>
        <row r="77">
          <cell r="AE77">
            <v>11.302045728038507</v>
          </cell>
        </row>
        <row r="78">
          <cell r="AE78">
            <v>11.189047261815453</v>
          </cell>
        </row>
        <row r="79">
          <cell r="AE79">
            <v>10.886917960088692</v>
          </cell>
        </row>
        <row r="80">
          <cell r="AE80">
            <v>11.022774327122153</v>
          </cell>
        </row>
        <row r="81">
          <cell r="AE81">
            <v>10.87279151943463</v>
          </cell>
        </row>
        <row r="82">
          <cell r="AE82">
            <v>10.083397683397683</v>
          </cell>
        </row>
        <row r="83">
          <cell r="AE83">
            <v>11.137485311398354</v>
          </cell>
        </row>
        <row r="84">
          <cell r="AE84">
            <v>10.452580195258019</v>
          </cell>
        </row>
        <row r="85">
          <cell r="AE85">
            <v>10.929885057471264</v>
          </cell>
        </row>
        <row r="86">
          <cell r="AE86">
            <v>10.682158920539731</v>
          </cell>
        </row>
        <row r="87">
          <cell r="AE87">
            <v>11.055757575757577</v>
          </cell>
        </row>
        <row r="88">
          <cell r="AE88">
            <v>11.485119047619047</v>
          </cell>
        </row>
        <row r="89">
          <cell r="AE89">
            <v>10.911867801702554</v>
          </cell>
        </row>
        <row r="90">
          <cell r="AE90">
            <v>11.858034321372855</v>
          </cell>
        </row>
        <row r="91">
          <cell r="AE91">
            <v>11.612505316886431</v>
          </cell>
        </row>
        <row r="92">
          <cell r="AE92">
            <v>9.646185010128292</v>
          </cell>
        </row>
        <row r="93">
          <cell r="AE93">
            <v>11.199817518248175</v>
          </cell>
        </row>
        <row r="94">
          <cell r="AE94">
            <v>11.448826008428657</v>
          </cell>
        </row>
        <row r="95">
          <cell r="AE95">
            <v>11.974565756823822</v>
          </cell>
        </row>
        <row r="96">
          <cell r="AE96">
            <v>11.160862354892206</v>
          </cell>
        </row>
        <row r="97">
          <cell r="AE97">
            <v>11.689142857142857</v>
          </cell>
        </row>
        <row r="98">
          <cell r="AE98">
            <v>11.269938650306749</v>
          </cell>
        </row>
        <row r="99">
          <cell r="AE99">
            <v>11.269916765755054</v>
          </cell>
        </row>
        <row r="100">
          <cell r="AE100">
            <v>11.277486910994764</v>
          </cell>
        </row>
        <row r="101">
          <cell r="AE101">
            <v>11.642720306513411</v>
          </cell>
        </row>
        <row r="102">
          <cell r="AE102">
            <v>12.033488372093023</v>
          </cell>
        </row>
        <row r="103">
          <cell r="AE103">
            <v>12.833976833976834</v>
          </cell>
        </row>
        <row r="104">
          <cell r="AE104">
            <v>11.920615633859862</v>
          </cell>
        </row>
        <row r="105">
          <cell r="AE105">
            <v>11.086741573033708</v>
          </cell>
        </row>
        <row r="106">
          <cell r="AE106">
            <v>10.998963730569947</v>
          </cell>
        </row>
        <row r="107">
          <cell r="AE107">
            <v>12.042270531400966</v>
          </cell>
        </row>
        <row r="108">
          <cell r="AE108">
            <v>9.904132231404958</v>
          </cell>
        </row>
        <row r="109">
          <cell r="AE109">
            <v>9.1888888888888882</v>
          </cell>
        </row>
        <row r="110">
          <cell r="AE110">
            <v>11.698473282442748</v>
          </cell>
        </row>
        <row r="111">
          <cell r="AE111">
            <v>12.043993231810491</v>
          </cell>
        </row>
        <row r="112">
          <cell r="AE112">
            <v>11.689189189189189</v>
          </cell>
        </row>
        <row r="113">
          <cell r="AE113">
            <v>11.750380517503805</v>
          </cell>
        </row>
        <row r="114">
          <cell r="AE114">
            <v>11.985882352941177</v>
          </cell>
        </row>
        <row r="115">
          <cell r="AE115">
            <v>10.830769230769231</v>
          </cell>
        </row>
        <row r="116">
          <cell r="AE116">
            <v>11.955512572533848</v>
          </cell>
        </row>
        <row r="117">
          <cell r="AE117">
            <v>11.38076923076923</v>
          </cell>
        </row>
        <row r="118">
          <cell r="AE118">
            <v>11.9192190578542</v>
          </cell>
        </row>
        <row r="119">
          <cell r="AE119">
            <v>11.314960629921259</v>
          </cell>
        </row>
        <row r="120">
          <cell r="AE120">
            <v>13.58384032447433</v>
          </cell>
        </row>
        <row r="121">
          <cell r="AE121">
            <v>11.160789001793185</v>
          </cell>
        </row>
        <row r="122">
          <cell r="AE122">
            <v>12.346441947565543</v>
          </cell>
        </row>
        <row r="123">
          <cell r="AE123">
            <v>10.899317406143345</v>
          </cell>
        </row>
        <row r="124">
          <cell r="AE124">
            <v>9.1667930250189542</v>
          </cell>
        </row>
        <row r="125">
          <cell r="AE125">
            <v>7.9476495726495724</v>
          </cell>
        </row>
        <row r="126">
          <cell r="AE126">
            <v>8.0138568129330245</v>
          </cell>
        </row>
        <row r="127">
          <cell r="AE127">
            <v>11.339285714285714</v>
          </cell>
        </row>
        <row r="128">
          <cell r="AE128">
            <v>9.8046709129511669</v>
          </cell>
        </row>
        <row r="129">
          <cell r="AE129">
            <v>10.199167244968772</v>
          </cell>
        </row>
        <row r="130">
          <cell r="AE130">
            <v>10.002732240437158</v>
          </cell>
        </row>
        <row r="131">
          <cell r="AE131">
            <v>12.599093997734995</v>
          </cell>
        </row>
        <row r="132">
          <cell r="AE132">
            <v>10.482222222222223</v>
          </cell>
        </row>
        <row r="133">
          <cell r="AE133">
            <v>7.7879282218597066</v>
          </cell>
        </row>
        <row r="134">
          <cell r="AE134">
            <v>8.484320557491289</v>
          </cell>
        </row>
        <row r="135">
          <cell r="AE135">
            <v>11.149625935162094</v>
          </cell>
        </row>
        <row r="136">
          <cell r="AE136">
            <v>11.583333333333334</v>
          </cell>
        </row>
        <row r="137">
          <cell r="AE137">
            <v>9.1531249999999993</v>
          </cell>
        </row>
        <row r="138">
          <cell r="AE138">
            <v>13.022674418604652</v>
          </cell>
        </row>
        <row r="139">
          <cell r="AE139">
            <v>11.612132352941176</v>
          </cell>
        </row>
        <row r="140">
          <cell r="AE140">
            <v>11.838509316770187</v>
          </cell>
        </row>
        <row r="141">
          <cell r="AE141">
            <v>12.969393468118197</v>
          </cell>
        </row>
        <row r="142">
          <cell r="AE142">
            <v>10.990727002967359</v>
          </cell>
        </row>
        <row r="143">
          <cell r="AE143">
            <v>13.48549126081792</v>
          </cell>
        </row>
        <row r="144">
          <cell r="AE144">
            <v>12.257443718228032</v>
          </cell>
        </row>
        <row r="145">
          <cell r="AE145">
            <v>14.003725551071096</v>
          </cell>
        </row>
        <row r="146">
          <cell r="AE146">
            <v>13.048043701559436</v>
          </cell>
        </row>
        <row r="147">
          <cell r="AE147">
            <v>9.7904026475455055</v>
          </cell>
        </row>
        <row r="148">
          <cell r="AE148">
            <v>9.8983809851877371</v>
          </cell>
        </row>
        <row r="149">
          <cell r="AE149">
            <v>8.1086820737039353</v>
          </cell>
        </row>
        <row r="150">
          <cell r="AE150">
            <v>8.1590909090909083</v>
          </cell>
        </row>
        <row r="151">
          <cell r="AE151">
            <v>8.8862343572241187</v>
          </cell>
        </row>
        <row r="152">
          <cell r="AE152">
            <v>9.6107142857142858</v>
          </cell>
        </row>
        <row r="153">
          <cell r="AE153">
            <v>10.750966744006186</v>
          </cell>
        </row>
        <row r="154">
          <cell r="AE154">
            <v>10.390220820189274</v>
          </cell>
        </row>
        <row r="155">
          <cell r="AE155">
            <v>10.355765109301329</v>
          </cell>
        </row>
        <row r="156">
          <cell r="AE156">
            <v>9.6537949400798944</v>
          </cell>
        </row>
        <row r="157">
          <cell r="AE157">
            <v>8.584905660377359</v>
          </cell>
        </row>
        <row r="158">
          <cell r="AE158">
            <v>8.662551440329219</v>
          </cell>
        </row>
        <row r="159">
          <cell r="AE159">
            <v>5.9979296066252585</v>
          </cell>
        </row>
        <row r="160">
          <cell r="AE160">
            <v>12.740976645435245</v>
          </cell>
        </row>
        <row r="161">
          <cell r="AE161">
            <v>11.809395973154363</v>
          </cell>
        </row>
        <row r="162">
          <cell r="AE162">
            <v>12.967332123411978</v>
          </cell>
        </row>
        <row r="163">
          <cell r="AE163">
            <v>12.777777777777779</v>
          </cell>
        </row>
        <row r="164">
          <cell r="AE164">
            <v>12.386666666666667</v>
          </cell>
        </row>
        <row r="165">
          <cell r="AE165">
            <v>8.4968944099378874</v>
          </cell>
        </row>
        <row r="166">
          <cell r="AE166">
            <v>9.9189614476789938</v>
          </cell>
        </row>
        <row r="167">
          <cell r="AE167">
            <v>10.771844660194175</v>
          </cell>
        </row>
        <row r="168">
          <cell r="AE168">
            <v>13.643173105278679</v>
          </cell>
        </row>
        <row r="169">
          <cell r="AE169">
            <v>12.486633933442445</v>
          </cell>
        </row>
        <row r="170">
          <cell r="AE170">
            <v>11.847374847374848</v>
          </cell>
        </row>
        <row r="171">
          <cell r="AE171">
            <v>11.053501180173091</v>
          </cell>
        </row>
        <row r="172">
          <cell r="AE172">
            <v>10.982040229885058</v>
          </cell>
        </row>
        <row r="173">
          <cell r="AE173">
            <v>13.012853470437017</v>
          </cell>
        </row>
        <row r="174">
          <cell r="AE174">
            <v>12.638845553822152</v>
          </cell>
        </row>
        <row r="175">
          <cell r="AE175">
            <v>12.975728155339805</v>
          </cell>
        </row>
        <row r="176">
          <cell r="AE176">
            <v>12.557522123893806</v>
          </cell>
        </row>
        <row r="177">
          <cell r="AE177">
            <v>12.804054054054054</v>
          </cell>
        </row>
        <row r="178">
          <cell r="AE178">
            <v>12.988919667590027</v>
          </cell>
        </row>
        <row r="179">
          <cell r="AE179">
            <v>13.168831168831169</v>
          </cell>
        </row>
        <row r="180">
          <cell r="AE180">
            <v>13.23841059602649</v>
          </cell>
        </row>
        <row r="181">
          <cell r="AE181">
            <v>11.529411764705882</v>
          </cell>
        </row>
        <row r="182">
          <cell r="AE182">
            <v>11.678983833718245</v>
          </cell>
        </row>
        <row r="183">
          <cell r="AE183">
            <v>12.96875</v>
          </cell>
        </row>
        <row r="184">
          <cell r="AE184">
            <v>12.169014084507042</v>
          </cell>
        </row>
        <row r="185">
          <cell r="AE185">
            <v>12.981549815498155</v>
          </cell>
        </row>
        <row r="186">
          <cell r="AE186">
            <v>12.896486825595986</v>
          </cell>
        </row>
        <row r="187">
          <cell r="AE187">
            <v>13.023706896551724</v>
          </cell>
        </row>
        <row r="188">
          <cell r="AE188">
            <v>12.296995708154506</v>
          </cell>
        </row>
        <row r="189">
          <cell r="AE189">
            <v>12.009478672985782</v>
          </cell>
        </row>
        <row r="190">
          <cell r="AE190">
            <v>12.47843137254902</v>
          </cell>
        </row>
        <row r="191">
          <cell r="AE191">
            <v>12.446043165467627</v>
          </cell>
        </row>
        <row r="192">
          <cell r="AE192">
            <v>10.502145922746781</v>
          </cell>
        </row>
        <row r="193">
          <cell r="AE193">
            <v>11.892935982339957</v>
          </cell>
        </row>
        <row r="194">
          <cell r="AE194">
            <v>11.523456790123456</v>
          </cell>
        </row>
        <row r="195">
          <cell r="AE195">
            <v>13.118721461187215</v>
          </cell>
        </row>
        <row r="196">
          <cell r="AE196">
            <v>13.114754098360656</v>
          </cell>
        </row>
        <row r="197">
          <cell r="AE197">
            <v>12.6983842010772</v>
          </cell>
        </row>
        <row r="198">
          <cell r="AE198">
            <v>12.352441613588111</v>
          </cell>
        </row>
        <row r="199">
          <cell r="AE199">
            <v>11.774774774774775</v>
          </cell>
        </row>
        <row r="200">
          <cell r="AE200">
            <v>12.63963963963964</v>
          </cell>
        </row>
        <row r="201">
          <cell r="AE201">
            <v>12.196428571428571</v>
          </cell>
        </row>
        <row r="202">
          <cell r="AE202">
            <v>12.707042253521127</v>
          </cell>
        </row>
        <row r="203">
          <cell r="AE203">
            <v>12.992870441850961</v>
          </cell>
        </row>
        <row r="204">
          <cell r="AE204">
            <v>7.3986970684039086</v>
          </cell>
        </row>
        <row r="205">
          <cell r="AE205">
            <v>12.220994475138122</v>
          </cell>
        </row>
        <row r="206">
          <cell r="AE206">
            <v>10.837209302325581</v>
          </cell>
        </row>
        <row r="207">
          <cell r="AE207">
            <v>11.599682707562136</v>
          </cell>
        </row>
        <row r="208">
          <cell r="AE208">
            <v>11.025169409486931</v>
          </cell>
        </row>
        <row r="209">
          <cell r="AE209">
            <v>12.933990687482881</v>
          </cell>
        </row>
        <row r="210">
          <cell r="AE210">
            <v>9.6654740608228984</v>
          </cell>
        </row>
        <row r="211">
          <cell r="AE211">
            <v>10.119444444444444</v>
          </cell>
        </row>
        <row r="212">
          <cell r="AE212">
            <v>10.354679802955665</v>
          </cell>
        </row>
        <row r="213">
          <cell r="AE213">
            <v>8.3637454981992789</v>
          </cell>
        </row>
        <row r="214">
          <cell r="AE214">
            <v>8.7862356621480711</v>
          </cell>
        </row>
        <row r="215">
          <cell r="AE215">
            <v>8.8282950423216437</v>
          </cell>
        </row>
        <row r="216">
          <cell r="AE216">
            <v>9.480550284629981</v>
          </cell>
        </row>
        <row r="217">
          <cell r="AE217">
            <v>7.6313559322033901</v>
          </cell>
        </row>
        <row r="218">
          <cell r="AE218">
            <v>7.251203852327448</v>
          </cell>
        </row>
        <row r="219">
          <cell r="AE219">
            <v>7.585579514824798</v>
          </cell>
        </row>
        <row r="220">
          <cell r="AE220">
            <v>9.1544461778471131</v>
          </cell>
        </row>
        <row r="221">
          <cell r="AE221">
            <v>11.487906588824019</v>
          </cell>
        </row>
        <row r="222">
          <cell r="AE222">
            <v>11.192805755395684</v>
          </cell>
        </row>
        <row r="223">
          <cell r="AE223">
            <v>8.0021344717182501</v>
          </cell>
        </row>
        <row r="224">
          <cell r="AE224">
            <v>9.3666666666666671</v>
          </cell>
        </row>
        <row r="225">
          <cell r="AE225">
            <v>12.555722891566266</v>
          </cell>
        </row>
        <row r="226">
          <cell r="AE226">
            <v>12.646500593119811</v>
          </cell>
        </row>
        <row r="227">
          <cell r="AE227">
            <v>12.868896925858952</v>
          </cell>
        </row>
        <row r="228">
          <cell r="AE228">
            <v>13.131578947368421</v>
          </cell>
        </row>
        <row r="229">
          <cell r="AE229">
            <v>11.518248175182482</v>
          </cell>
        </row>
        <row r="230">
          <cell r="AE230">
            <v>11.24</v>
          </cell>
        </row>
        <row r="231">
          <cell r="AE231">
            <v>9.9704142011834325</v>
          </cell>
        </row>
        <row r="232">
          <cell r="AE232">
            <v>11.289108910891089</v>
          </cell>
        </row>
        <row r="233">
          <cell r="AE233">
            <v>11.667641325536062</v>
          </cell>
        </row>
        <row r="234">
          <cell r="AE234">
            <v>8.4932844932844933</v>
          </cell>
        </row>
        <row r="235">
          <cell r="AE235">
            <v>12.928378783338328</v>
          </cell>
        </row>
        <row r="236">
          <cell r="AE236">
            <v>12.037623762376237</v>
          </cell>
        </row>
        <row r="237">
          <cell r="AE237">
            <v>11.533333333333333</v>
          </cell>
        </row>
        <row r="238">
          <cell r="AE238">
            <v>11.641646489104117</v>
          </cell>
        </row>
        <row r="239">
          <cell r="AE239">
            <v>7.8465608465608465</v>
          </cell>
        </row>
        <row r="240">
          <cell r="AE240">
            <v>9.5374999999999996</v>
          </cell>
        </row>
        <row r="241">
          <cell r="AE241">
            <v>13.045751633986928</v>
          </cell>
        </row>
        <row r="242">
          <cell r="AE242">
            <v>13.094017094017094</v>
          </cell>
        </row>
        <row r="243">
          <cell r="AE243">
            <v>12.188390159689254</v>
          </cell>
        </row>
        <row r="244">
          <cell r="AE244">
            <v>11.923076923076923</v>
          </cell>
        </row>
        <row r="245">
          <cell r="AE245">
            <v>13.555964622741314</v>
          </cell>
        </row>
        <row r="246">
          <cell r="AE246">
            <v>10.534031413612565</v>
          </cell>
        </row>
        <row r="247">
          <cell r="AE247">
            <v>12.308067757680162</v>
          </cell>
        </row>
        <row r="248">
          <cell r="AE248">
            <v>12.284863851835519</v>
          </cell>
        </row>
        <row r="249">
          <cell r="AE249">
            <v>12.260775862068966</v>
          </cell>
        </row>
        <row r="250">
          <cell r="AE250">
            <v>12.102419544280009</v>
          </cell>
        </row>
        <row r="251">
          <cell r="AE251">
            <v>10.975626269465131</v>
          </cell>
        </row>
        <row r="252">
          <cell r="AE252">
            <v>9.6198347107438025</v>
          </cell>
        </row>
        <row r="253">
          <cell r="AE253">
            <v>11.519548872180451</v>
          </cell>
        </row>
        <row r="254">
          <cell r="AE254">
            <v>10.08904109589041</v>
          </cell>
        </row>
        <row r="255">
          <cell r="AE255">
            <v>10.920492721164614</v>
          </cell>
        </row>
        <row r="256">
          <cell r="AE256">
            <v>13.455791143804991</v>
          </cell>
        </row>
        <row r="257">
          <cell r="AE257">
            <v>11.856281118345462</v>
          </cell>
        </row>
        <row r="258">
          <cell r="AE258">
            <v>13.209929843497031</v>
          </cell>
        </row>
        <row r="259">
          <cell r="AE259">
            <v>12.197342106960841</v>
          </cell>
        </row>
        <row r="260">
          <cell r="AE260">
            <v>11.959857437628962</v>
          </cell>
        </row>
        <row r="261">
          <cell r="AE261">
            <v>11.676969780598869</v>
          </cell>
        </row>
        <row r="262">
          <cell r="AE262">
            <v>11.892935982339957</v>
          </cell>
        </row>
        <row r="263">
          <cell r="AE263">
            <v>10.32725321888412</v>
          </cell>
        </row>
        <row r="264">
          <cell r="AE264">
            <v>10.624797406807131</v>
          </cell>
        </row>
        <row r="265">
          <cell r="AE265">
            <v>10.490092470277411</v>
          </cell>
        </row>
        <row r="266">
          <cell r="AE266">
            <v>11.906193078324225</v>
          </cell>
        </row>
        <row r="267">
          <cell r="AE267">
            <v>11.677824267782427</v>
          </cell>
        </row>
        <row r="268">
          <cell r="AE268">
            <v>11.825059974164976</v>
          </cell>
        </row>
        <row r="269">
          <cell r="AE269">
            <v>11.783132530120483</v>
          </cell>
        </row>
        <row r="270">
          <cell r="AE270">
            <v>9.7635622452179369</v>
          </cell>
        </row>
        <row r="271">
          <cell r="AE271">
            <v>9.3289588801399823</v>
          </cell>
        </row>
        <row r="272">
          <cell r="AE272">
            <v>11.766756032171582</v>
          </cell>
        </row>
        <row r="273">
          <cell r="AE273">
            <v>12.870249728555917</v>
          </cell>
        </row>
        <row r="274">
          <cell r="AE274">
            <v>10.911010558069382</v>
          </cell>
        </row>
        <row r="275">
          <cell r="AE275">
            <v>11.249063670411985</v>
          </cell>
        </row>
        <row r="276">
          <cell r="AE276">
            <v>11.321576763485478</v>
          </cell>
        </row>
        <row r="277">
          <cell r="AE277">
            <v>10.038310060866452</v>
          </cell>
        </row>
        <row r="278">
          <cell r="AE278">
            <v>9.5664047886270112</v>
          </cell>
        </row>
        <row r="279">
          <cell r="AE279">
            <v>12.641255605381167</v>
          </cell>
        </row>
        <row r="280">
          <cell r="AE280">
            <v>11.363988383349467</v>
          </cell>
        </row>
        <row r="281">
          <cell r="AE281">
            <v>13.640669515669515</v>
          </cell>
        </row>
        <row r="282">
          <cell r="AE282">
            <v>10.635555555555555</v>
          </cell>
        </row>
        <row r="283">
          <cell r="AE283">
            <v>12.756554307116104</v>
          </cell>
        </row>
        <row r="284">
          <cell r="AE284">
            <v>12.453703703703704</v>
          </cell>
        </row>
        <row r="285">
          <cell r="AE285">
            <v>11.479452054794521</v>
          </cell>
        </row>
        <row r="286">
          <cell r="AE286">
            <v>11.752380952380953</v>
          </cell>
        </row>
        <row r="287">
          <cell r="AE287">
            <v>12.53125</v>
          </cell>
        </row>
        <row r="288">
          <cell r="AE288">
            <v>12.046858359957401</v>
          </cell>
        </row>
        <row r="289">
          <cell r="AE289">
            <v>10.446998722860792</v>
          </cell>
        </row>
        <row r="290">
          <cell r="AE290">
            <v>11.151818181818182</v>
          </cell>
        </row>
        <row r="291">
          <cell r="AE291">
            <v>12.125748502994012</v>
          </cell>
        </row>
        <row r="292">
          <cell r="AE292">
            <v>12.776237782406666</v>
          </cell>
        </row>
        <row r="293">
          <cell r="AE293">
            <v>10.846047156726769</v>
          </cell>
        </row>
        <row r="294">
          <cell r="AE294">
            <v>11.360120542440985</v>
          </cell>
        </row>
        <row r="295">
          <cell r="AE295">
            <v>11.288398692810457</v>
          </cell>
        </row>
        <row r="296">
          <cell r="AE296">
            <v>12.183734939759036</v>
          </cell>
        </row>
        <row r="297">
          <cell r="AE297">
            <v>10.863618752421543</v>
          </cell>
        </row>
        <row r="298">
          <cell r="AE298">
            <v>11.579984836997726</v>
          </cell>
        </row>
        <row r="299">
          <cell r="AE299">
            <v>11.812260536398467</v>
          </cell>
        </row>
        <row r="300">
          <cell r="AE300">
            <v>11.594092424964268</v>
          </cell>
        </row>
        <row r="301">
          <cell r="AE301">
            <v>11.705494505494505</v>
          </cell>
        </row>
        <row r="302">
          <cell r="AE302">
            <v>10.551211219719507</v>
          </cell>
        </row>
        <row r="303">
          <cell r="AE303">
            <v>10.744811683320522</v>
          </cell>
        </row>
        <row r="304">
          <cell r="AE304">
            <v>10.733381502890174</v>
          </cell>
        </row>
        <row r="305">
          <cell r="AE305">
            <v>10.826086956521738</v>
          </cell>
        </row>
        <row r="306">
          <cell r="AE306">
            <v>11.938095238095238</v>
          </cell>
        </row>
        <row r="307">
          <cell r="AE307">
            <v>12.874705882352941</v>
          </cell>
        </row>
        <row r="308">
          <cell r="AE308">
            <v>9.5935754189944138</v>
          </cell>
        </row>
        <row r="309">
          <cell r="AE309">
            <v>10.723883221948645</v>
          </cell>
        </row>
        <row r="310">
          <cell r="AE310">
            <v>11.306418219461698</v>
          </cell>
        </row>
        <row r="311">
          <cell r="AE311">
            <v>10.870676691729324</v>
          </cell>
        </row>
        <row r="312">
          <cell r="AE312">
            <v>13.309058614564831</v>
          </cell>
        </row>
        <row r="313">
          <cell r="AE313">
            <v>10.04610492845787</v>
          </cell>
        </row>
        <row r="314">
          <cell r="AE314">
            <v>12.280135301353013</v>
          </cell>
        </row>
        <row r="315">
          <cell r="AE315">
            <v>12.727117194183062</v>
          </cell>
        </row>
        <row r="316">
          <cell r="AE316">
            <v>11.091428571428571</v>
          </cell>
        </row>
        <row r="317">
          <cell r="AE317">
            <v>10.37912087912088</v>
          </cell>
        </row>
        <row r="318">
          <cell r="AE318">
            <v>10.751748251748252</v>
          </cell>
        </row>
        <row r="319">
          <cell r="AE319">
            <v>11.693832599118943</v>
          </cell>
        </row>
        <row r="320">
          <cell r="AE320">
            <v>10.83581033262562</v>
          </cell>
        </row>
        <row r="321">
          <cell r="AE321">
            <v>10.533923303834808</v>
          </cell>
        </row>
        <row r="322">
          <cell r="AE322">
            <v>10.945431472081218</v>
          </cell>
        </row>
        <row r="323">
          <cell r="AE323">
            <v>10.252459016393443</v>
          </cell>
        </row>
        <row r="324">
          <cell r="AE324">
            <v>11.015209125475286</v>
          </cell>
        </row>
        <row r="325">
          <cell r="AE325">
            <v>11.71252204585538</v>
          </cell>
        </row>
        <row r="326">
          <cell r="AE326">
            <v>12.036117381489841</v>
          </cell>
        </row>
        <row r="327">
          <cell r="AE327">
            <v>11.154761904761905</v>
          </cell>
        </row>
        <row r="328">
          <cell r="AE328">
            <v>12.109</v>
          </cell>
        </row>
        <row r="329">
          <cell r="AE329">
            <v>11.582758620689654</v>
          </cell>
        </row>
        <row r="330">
          <cell r="AE330">
            <v>11.797260273972602</v>
          </cell>
        </row>
        <row r="331">
          <cell r="AE331">
            <v>9.4597701149425291</v>
          </cell>
        </row>
        <row r="332">
          <cell r="AE332">
            <v>13.482326538245745</v>
          </cell>
        </row>
        <row r="333">
          <cell r="AE333">
            <v>12.243743199129488</v>
          </cell>
        </row>
        <row r="334">
          <cell r="AE334">
            <v>11.87912087912088</v>
          </cell>
        </row>
        <row r="335">
          <cell r="AE335">
            <v>11.379746835443038</v>
          </cell>
        </row>
        <row r="336">
          <cell r="AE336">
            <v>12.006849315068493</v>
          </cell>
        </row>
        <row r="337">
          <cell r="AE337">
            <v>10.850909090909092</v>
          </cell>
        </row>
        <row r="338">
          <cell r="AE338">
            <v>11.05229793977813</v>
          </cell>
        </row>
        <row r="339">
          <cell r="AE339">
            <v>12.041666666666666</v>
          </cell>
        </row>
        <row r="340">
          <cell r="AE340">
            <v>11.323220536756127</v>
          </cell>
        </row>
        <row r="341">
          <cell r="AE341">
            <v>11</v>
          </cell>
        </row>
        <row r="342">
          <cell r="AE342">
            <v>11.048979591836735</v>
          </cell>
        </row>
        <row r="343">
          <cell r="AE343">
            <v>9.8911917098445592</v>
          </cell>
        </row>
        <row r="344">
          <cell r="AE344">
            <v>11.992125984251969</v>
          </cell>
        </row>
        <row r="345">
          <cell r="AE345">
            <v>10.983957219251337</v>
          </cell>
        </row>
        <row r="346">
          <cell r="AE346">
            <v>11.523809523809524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8C28-178B-4036-811F-8E922619C937}">
  <dimension ref="A1:BB681"/>
  <sheetViews>
    <sheetView workbookViewId="0">
      <selection activeCell="J13" sqref="J13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5" width="7.33203125" style="1" bestFit="1" customWidth="1"/>
    <col min="6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0.88671875" style="1" bestFit="1" customWidth="1"/>
    <col min="35" max="35" width="24.5546875" style="1" customWidth="1"/>
    <col min="36" max="36" width="20.33203125" style="1" bestFit="1" customWidth="1"/>
    <col min="37" max="16384" width="11.5546875" style="1"/>
  </cols>
  <sheetData>
    <row r="1" spans="1:35" x14ac:dyDescent="0.3">
      <c r="A1" s="49"/>
      <c r="B1" s="49"/>
      <c r="C1" s="51" t="s">
        <v>0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/>
    </row>
    <row r="2" spans="1:35" x14ac:dyDescent="0.3">
      <c r="A2" s="49"/>
      <c r="B2" s="49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</row>
    <row r="3" spans="1:35" ht="43.8" thickBot="1" x14ac:dyDescent="0.35">
      <c r="A3" s="50"/>
      <c r="B3" s="50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B3" s="6" t="s">
        <v>2</v>
      </c>
      <c r="AC3" s="7" t="s">
        <v>3</v>
      </c>
      <c r="AD3" s="8" t="s">
        <v>4</v>
      </c>
      <c r="AI3" s="8" t="s">
        <v>352</v>
      </c>
    </row>
    <row r="4" spans="1:35" x14ac:dyDescent="0.3">
      <c r="A4" s="54" t="s">
        <v>5</v>
      </c>
      <c r="B4" s="19" t="s">
        <v>6</v>
      </c>
      <c r="C4" s="9">
        <v>1412</v>
      </c>
      <c r="D4" s="9">
        <v>809</v>
      </c>
      <c r="E4" s="9">
        <v>1075</v>
      </c>
      <c r="F4" s="9">
        <v>1471</v>
      </c>
      <c r="G4" s="9">
        <v>1512</v>
      </c>
      <c r="H4" s="9">
        <v>2351</v>
      </c>
      <c r="I4" s="9">
        <v>1474</v>
      </c>
      <c r="J4" s="9">
        <v>995</v>
      </c>
      <c r="K4" s="9">
        <v>1278</v>
      </c>
      <c r="L4" s="9">
        <v>1446</v>
      </c>
      <c r="M4" s="9">
        <v>1683</v>
      </c>
      <c r="N4" s="9">
        <v>1582</v>
      </c>
      <c r="O4" s="9">
        <v>5751</v>
      </c>
      <c r="P4" s="9">
        <v>783</v>
      </c>
      <c r="Q4" s="9">
        <v>1178</v>
      </c>
      <c r="R4" s="9">
        <v>4083</v>
      </c>
      <c r="S4" s="9">
        <v>5711</v>
      </c>
      <c r="T4" s="9">
        <v>8771</v>
      </c>
      <c r="U4" s="9">
        <v>449</v>
      </c>
      <c r="V4" s="9">
        <v>603</v>
      </c>
      <c r="W4" s="9">
        <v>69</v>
      </c>
      <c r="X4" s="9">
        <v>43</v>
      </c>
      <c r="Y4" s="9">
        <v>25</v>
      </c>
      <c r="Z4" s="9">
        <v>21</v>
      </c>
      <c r="AB4" s="9">
        <f t="shared" ref="AB4:AB67" si="0">SUM(C4:Z4)</f>
        <v>44575</v>
      </c>
      <c r="AC4" s="9">
        <f t="shared" ref="AC4:AC67" si="1">C$2*C4+D$2*D4+E$2*E4+F$2*F4+G$2*G4+H$2*H4+I$2*I4+J$2*J4+K$2*K4+L$2*L4+M$2*M4+N$2*N4+O$2*O4+P$2*P4+Q$2*Q4+R$2*R4+S$2*S4+T$2*T4+U$2*U4+V$2*V4+W$2*W4+X$2*X4+Y$2*Y4+Z$2*Z4</f>
        <v>518720</v>
      </c>
      <c r="AD4" s="10">
        <f>AC4/AB4</f>
        <v>11.637016264722378</v>
      </c>
      <c r="AI4" s="26" t="e">
        <f>+AH4/AG4</f>
        <v>#DIV/0!</v>
      </c>
    </row>
    <row r="5" spans="1:35" x14ac:dyDescent="0.3">
      <c r="A5" s="55"/>
      <c r="B5" s="30" t="s">
        <v>7</v>
      </c>
      <c r="C5" s="9">
        <v>46</v>
      </c>
      <c r="D5" s="9">
        <v>45</v>
      </c>
      <c r="E5" s="9">
        <v>53</v>
      </c>
      <c r="F5" s="9">
        <v>72</v>
      </c>
      <c r="G5" s="9">
        <v>80</v>
      </c>
      <c r="H5" s="9">
        <v>132</v>
      </c>
      <c r="I5" s="9">
        <v>66</v>
      </c>
      <c r="J5" s="9">
        <v>46</v>
      </c>
      <c r="K5" s="9">
        <v>69</v>
      </c>
      <c r="L5" s="9">
        <v>70</v>
      </c>
      <c r="M5" s="9">
        <v>63</v>
      </c>
      <c r="N5" s="9">
        <v>59</v>
      </c>
      <c r="O5" s="9">
        <v>151</v>
      </c>
      <c r="P5" s="9">
        <v>11</v>
      </c>
      <c r="Q5" s="9">
        <v>18</v>
      </c>
      <c r="R5" s="9">
        <v>60</v>
      </c>
      <c r="S5" s="9">
        <v>83</v>
      </c>
      <c r="T5" s="9">
        <v>83</v>
      </c>
      <c r="U5" s="9">
        <v>1</v>
      </c>
      <c r="V5" s="9">
        <v>5</v>
      </c>
      <c r="W5" s="9">
        <v>0</v>
      </c>
      <c r="X5" s="9">
        <v>0</v>
      </c>
      <c r="Y5" s="9">
        <v>1</v>
      </c>
      <c r="Z5" s="9">
        <v>0</v>
      </c>
      <c r="AB5" s="9">
        <f t="shared" si="0"/>
        <v>1214</v>
      </c>
      <c r="AC5" s="9">
        <f t="shared" si="1"/>
        <v>10507</v>
      </c>
      <c r="AD5" s="10">
        <f t="shared" ref="AD5:AD68" si="2">AC5/AB5</f>
        <v>8.6548599670510704</v>
      </c>
      <c r="AI5" s="26" t="e">
        <f t="shared" ref="AI5:AI12" si="3">+AH5/AG5</f>
        <v>#DIV/0!</v>
      </c>
    </row>
    <row r="6" spans="1:35" x14ac:dyDescent="0.3">
      <c r="A6" s="55"/>
      <c r="B6" s="30" t="s">
        <v>8</v>
      </c>
      <c r="C6" s="9">
        <v>266</v>
      </c>
      <c r="D6" s="9">
        <v>120</v>
      </c>
      <c r="E6" s="9">
        <v>216</v>
      </c>
      <c r="F6" s="9">
        <v>249</v>
      </c>
      <c r="G6" s="9">
        <v>252</v>
      </c>
      <c r="H6" s="9">
        <v>263</v>
      </c>
      <c r="I6" s="9">
        <v>158</v>
      </c>
      <c r="J6" s="9">
        <v>68</v>
      </c>
      <c r="K6" s="9">
        <v>102</v>
      </c>
      <c r="L6" s="9">
        <v>24</v>
      </c>
      <c r="M6" s="9">
        <v>34</v>
      </c>
      <c r="N6" s="9">
        <v>23</v>
      </c>
      <c r="O6" s="9">
        <v>74</v>
      </c>
      <c r="P6" s="9">
        <v>9</v>
      </c>
      <c r="Q6" s="9">
        <v>18</v>
      </c>
      <c r="R6" s="9">
        <v>37</v>
      </c>
      <c r="S6" s="9">
        <v>31</v>
      </c>
      <c r="T6" s="9">
        <v>27</v>
      </c>
      <c r="U6" s="9">
        <v>0</v>
      </c>
      <c r="V6" s="9">
        <v>1</v>
      </c>
      <c r="W6" s="9">
        <v>1</v>
      </c>
      <c r="X6" s="9">
        <v>0</v>
      </c>
      <c r="Y6" s="9">
        <v>0</v>
      </c>
      <c r="Z6" s="9">
        <v>0</v>
      </c>
      <c r="AB6" s="9">
        <f t="shared" si="0"/>
        <v>1973</v>
      </c>
      <c r="AC6" s="9">
        <f t="shared" si="1"/>
        <v>9477</v>
      </c>
      <c r="AD6" s="10">
        <f t="shared" si="2"/>
        <v>4.8033451596553469</v>
      </c>
      <c r="AI6" s="26" t="e">
        <f t="shared" si="3"/>
        <v>#DIV/0!</v>
      </c>
    </row>
    <row r="7" spans="1:35" x14ac:dyDescent="0.3">
      <c r="A7" s="55"/>
      <c r="B7" s="30" t="s">
        <v>9</v>
      </c>
      <c r="C7" s="9">
        <v>180</v>
      </c>
      <c r="D7" s="9">
        <v>67</v>
      </c>
      <c r="E7" s="9">
        <v>111</v>
      </c>
      <c r="F7" s="9">
        <v>136</v>
      </c>
      <c r="G7" s="9">
        <v>128</v>
      </c>
      <c r="H7" s="9">
        <v>237</v>
      </c>
      <c r="I7" s="9">
        <v>88</v>
      </c>
      <c r="J7" s="9">
        <v>47</v>
      </c>
      <c r="K7" s="9">
        <v>43</v>
      </c>
      <c r="L7" s="9">
        <v>23</v>
      </c>
      <c r="M7" s="9">
        <v>16</v>
      </c>
      <c r="N7" s="9">
        <v>24</v>
      </c>
      <c r="O7" s="9">
        <v>58</v>
      </c>
      <c r="P7" s="9">
        <v>8</v>
      </c>
      <c r="Q7" s="9">
        <v>16</v>
      </c>
      <c r="R7" s="9">
        <v>55</v>
      </c>
      <c r="S7" s="9">
        <v>46</v>
      </c>
      <c r="T7" s="9">
        <v>64</v>
      </c>
      <c r="U7" s="9">
        <v>0</v>
      </c>
      <c r="V7" s="9">
        <v>2</v>
      </c>
      <c r="W7" s="9">
        <v>1</v>
      </c>
      <c r="X7" s="9">
        <v>0</v>
      </c>
      <c r="Y7" s="9">
        <v>0</v>
      </c>
      <c r="Z7" s="9">
        <v>0</v>
      </c>
      <c r="AB7" s="9">
        <f t="shared" si="0"/>
        <v>1350</v>
      </c>
      <c r="AC7" s="9">
        <f t="shared" si="1"/>
        <v>7957</v>
      </c>
      <c r="AD7" s="10">
        <f t="shared" si="2"/>
        <v>5.8940740740740738</v>
      </c>
      <c r="AI7" s="26" t="e">
        <f t="shared" si="3"/>
        <v>#DIV/0!</v>
      </c>
    </row>
    <row r="8" spans="1:35" x14ac:dyDescent="0.3">
      <c r="A8" s="55"/>
      <c r="B8" s="30" t="s">
        <v>10</v>
      </c>
      <c r="C8" s="9">
        <v>268</v>
      </c>
      <c r="D8" s="9">
        <v>90</v>
      </c>
      <c r="E8" s="9">
        <v>123</v>
      </c>
      <c r="F8" s="9">
        <v>152</v>
      </c>
      <c r="G8" s="9">
        <v>135</v>
      </c>
      <c r="H8" s="9">
        <v>148</v>
      </c>
      <c r="I8" s="9">
        <v>94</v>
      </c>
      <c r="J8" s="9">
        <v>52</v>
      </c>
      <c r="K8" s="9">
        <v>63</v>
      </c>
      <c r="L8" s="9">
        <v>30</v>
      </c>
      <c r="M8" s="9">
        <v>18</v>
      </c>
      <c r="N8" s="9">
        <v>22</v>
      </c>
      <c r="O8" s="9">
        <v>73</v>
      </c>
      <c r="P8" s="9">
        <v>13</v>
      </c>
      <c r="Q8" s="9">
        <v>15</v>
      </c>
      <c r="R8" s="9">
        <v>70</v>
      </c>
      <c r="S8" s="9">
        <v>63</v>
      </c>
      <c r="T8" s="9">
        <v>82</v>
      </c>
      <c r="U8" s="9">
        <v>0</v>
      </c>
      <c r="V8" s="9">
        <v>2</v>
      </c>
      <c r="W8" s="9">
        <v>0</v>
      </c>
      <c r="X8" s="9">
        <v>1</v>
      </c>
      <c r="Y8" s="9">
        <v>0</v>
      </c>
      <c r="Z8" s="9">
        <v>0</v>
      </c>
      <c r="AB8" s="9">
        <f t="shared" si="0"/>
        <v>1514</v>
      </c>
      <c r="AC8" s="9">
        <f t="shared" si="1"/>
        <v>8962</v>
      </c>
      <c r="AD8" s="10">
        <f t="shared" si="2"/>
        <v>5.9194187582562749</v>
      </c>
      <c r="AI8" s="26" t="e">
        <f t="shared" si="3"/>
        <v>#DIV/0!</v>
      </c>
    </row>
    <row r="9" spans="1:35" x14ac:dyDescent="0.3">
      <c r="A9" s="55"/>
      <c r="B9" s="30" t="s">
        <v>11</v>
      </c>
      <c r="C9" s="9">
        <v>126</v>
      </c>
      <c r="D9" s="9">
        <v>76</v>
      </c>
      <c r="E9" s="9">
        <v>126</v>
      </c>
      <c r="F9" s="9">
        <v>162</v>
      </c>
      <c r="G9" s="9">
        <v>159</v>
      </c>
      <c r="H9" s="9">
        <v>244</v>
      </c>
      <c r="I9" s="9">
        <v>88</v>
      </c>
      <c r="J9" s="9">
        <v>65</v>
      </c>
      <c r="K9" s="9">
        <v>59</v>
      </c>
      <c r="L9" s="9">
        <v>46</v>
      </c>
      <c r="M9" s="9">
        <v>43</v>
      </c>
      <c r="N9" s="9">
        <v>25</v>
      </c>
      <c r="O9" s="9">
        <v>160</v>
      </c>
      <c r="P9" s="9">
        <v>21</v>
      </c>
      <c r="Q9" s="9">
        <v>14</v>
      </c>
      <c r="R9" s="9">
        <v>88</v>
      </c>
      <c r="S9" s="9">
        <v>101</v>
      </c>
      <c r="T9" s="9">
        <v>113</v>
      </c>
      <c r="U9" s="9">
        <v>2</v>
      </c>
      <c r="V9" s="9">
        <v>6</v>
      </c>
      <c r="W9" s="9">
        <v>3</v>
      </c>
      <c r="X9" s="9">
        <v>0</v>
      </c>
      <c r="Y9" s="9">
        <v>0</v>
      </c>
      <c r="Z9" s="9">
        <v>1</v>
      </c>
      <c r="AB9" s="9">
        <f t="shared" si="0"/>
        <v>1728</v>
      </c>
      <c r="AC9" s="9">
        <f t="shared" si="1"/>
        <v>12723</v>
      </c>
      <c r="AD9" s="10">
        <f t="shared" si="2"/>
        <v>7.3628472222222223</v>
      </c>
      <c r="AI9" s="26" t="e">
        <f t="shared" si="3"/>
        <v>#DIV/0!</v>
      </c>
    </row>
    <row r="10" spans="1:35" x14ac:dyDescent="0.3">
      <c r="A10" s="55"/>
      <c r="B10" s="30" t="s">
        <v>12</v>
      </c>
      <c r="C10" s="9">
        <v>347</v>
      </c>
      <c r="D10" s="9">
        <v>94</v>
      </c>
      <c r="E10" s="9">
        <v>125</v>
      </c>
      <c r="F10" s="9">
        <v>161</v>
      </c>
      <c r="G10" s="9">
        <v>191</v>
      </c>
      <c r="H10" s="9">
        <v>238</v>
      </c>
      <c r="I10" s="9">
        <v>98</v>
      </c>
      <c r="J10" s="9">
        <v>87</v>
      </c>
      <c r="K10" s="9">
        <v>86</v>
      </c>
      <c r="L10" s="9">
        <v>36</v>
      </c>
      <c r="M10" s="9">
        <v>40</v>
      </c>
      <c r="N10" s="9">
        <v>44</v>
      </c>
      <c r="O10" s="9">
        <v>110</v>
      </c>
      <c r="P10" s="9">
        <v>8</v>
      </c>
      <c r="Q10" s="9">
        <v>10</v>
      </c>
      <c r="R10" s="9">
        <v>78</v>
      </c>
      <c r="S10" s="9">
        <v>73</v>
      </c>
      <c r="T10" s="9">
        <v>64</v>
      </c>
      <c r="U10" s="9">
        <v>2</v>
      </c>
      <c r="V10" s="9">
        <v>5</v>
      </c>
      <c r="W10" s="9">
        <v>1</v>
      </c>
      <c r="X10" s="9">
        <v>0</v>
      </c>
      <c r="Y10" s="9">
        <v>0</v>
      </c>
      <c r="Z10" s="9">
        <v>0</v>
      </c>
      <c r="AB10" s="9">
        <f t="shared" si="0"/>
        <v>1898</v>
      </c>
      <c r="AC10" s="9">
        <f t="shared" si="1"/>
        <v>11015</v>
      </c>
      <c r="AD10" s="10">
        <f t="shared" si="2"/>
        <v>5.8034773445732348</v>
      </c>
      <c r="AI10" s="26" t="e">
        <f t="shared" si="3"/>
        <v>#DIV/0!</v>
      </c>
    </row>
    <row r="11" spans="1:35" x14ac:dyDescent="0.3">
      <c r="A11" s="55"/>
      <c r="B11" s="30" t="s">
        <v>13</v>
      </c>
      <c r="C11" s="9">
        <v>106</v>
      </c>
      <c r="D11" s="9">
        <v>42</v>
      </c>
      <c r="E11" s="9">
        <v>42</v>
      </c>
      <c r="F11" s="9">
        <v>62</v>
      </c>
      <c r="G11" s="9">
        <v>76</v>
      </c>
      <c r="H11" s="9">
        <v>139</v>
      </c>
      <c r="I11" s="9">
        <v>84</v>
      </c>
      <c r="J11" s="9">
        <v>40</v>
      </c>
      <c r="K11" s="9">
        <v>58</v>
      </c>
      <c r="L11" s="9">
        <v>19</v>
      </c>
      <c r="M11" s="9">
        <v>34</v>
      </c>
      <c r="N11" s="9">
        <v>30</v>
      </c>
      <c r="O11" s="9">
        <v>85</v>
      </c>
      <c r="P11" s="9">
        <v>9</v>
      </c>
      <c r="Q11" s="9">
        <v>2</v>
      </c>
      <c r="R11" s="9">
        <v>59</v>
      </c>
      <c r="S11" s="9">
        <v>40</v>
      </c>
      <c r="T11" s="9">
        <v>53</v>
      </c>
      <c r="U11" s="9">
        <v>1</v>
      </c>
      <c r="V11" s="9">
        <v>2</v>
      </c>
      <c r="W11" s="9">
        <v>0</v>
      </c>
      <c r="X11" s="9">
        <v>0</v>
      </c>
      <c r="Y11" s="9">
        <v>0</v>
      </c>
      <c r="Z11" s="9">
        <v>0</v>
      </c>
      <c r="AB11" s="9">
        <f t="shared" si="0"/>
        <v>983</v>
      </c>
      <c r="AC11" s="9">
        <f t="shared" si="1"/>
        <v>7047</v>
      </c>
      <c r="AD11" s="10">
        <f t="shared" si="2"/>
        <v>7.1688708036622586</v>
      </c>
      <c r="AI11" s="26" t="e">
        <f>+AH11/AG11</f>
        <v>#DIV/0!</v>
      </c>
    </row>
    <row r="12" spans="1:35" x14ac:dyDescent="0.3">
      <c r="A12" s="55"/>
      <c r="B12" s="30" t="s">
        <v>14</v>
      </c>
      <c r="C12" s="9">
        <v>127</v>
      </c>
      <c r="D12" s="9">
        <v>56</v>
      </c>
      <c r="E12" s="9">
        <v>54</v>
      </c>
      <c r="F12" s="9">
        <v>73</v>
      </c>
      <c r="G12" s="9">
        <v>77</v>
      </c>
      <c r="H12" s="9">
        <v>121</v>
      </c>
      <c r="I12" s="9">
        <v>55</v>
      </c>
      <c r="J12" s="9">
        <v>33</v>
      </c>
      <c r="K12" s="9">
        <v>54</v>
      </c>
      <c r="L12" s="9">
        <v>26</v>
      </c>
      <c r="M12" s="9">
        <v>25</v>
      </c>
      <c r="N12" s="9">
        <v>16</v>
      </c>
      <c r="O12" s="9">
        <v>53</v>
      </c>
      <c r="P12" s="9">
        <v>8</v>
      </c>
      <c r="Q12" s="9">
        <v>8</v>
      </c>
      <c r="R12" s="9">
        <v>27</v>
      </c>
      <c r="S12" s="9">
        <v>45</v>
      </c>
      <c r="T12" s="9">
        <v>35</v>
      </c>
      <c r="U12" s="9">
        <v>1</v>
      </c>
      <c r="V12" s="9">
        <v>2</v>
      </c>
      <c r="W12" s="9">
        <v>0</v>
      </c>
      <c r="X12" s="9">
        <v>0</v>
      </c>
      <c r="Y12" s="9">
        <v>0</v>
      </c>
      <c r="Z12" s="9">
        <v>0</v>
      </c>
      <c r="AB12" s="9">
        <f t="shared" si="0"/>
        <v>896</v>
      </c>
      <c r="AC12" s="9">
        <f t="shared" si="1"/>
        <v>5577</v>
      </c>
      <c r="AD12" s="10">
        <f t="shared" si="2"/>
        <v>6.2243303571428568</v>
      </c>
      <c r="AI12" s="27" t="e">
        <f t="shared" si="3"/>
        <v>#DIV/0!</v>
      </c>
    </row>
    <row r="13" spans="1:35" x14ac:dyDescent="0.3">
      <c r="A13" s="55"/>
      <c r="B13" s="30" t="s">
        <v>15</v>
      </c>
      <c r="C13" s="9">
        <v>81</v>
      </c>
      <c r="D13" s="9">
        <v>63</v>
      </c>
      <c r="E13" s="9">
        <v>102</v>
      </c>
      <c r="F13" s="9">
        <v>119</v>
      </c>
      <c r="G13" s="9">
        <v>152</v>
      </c>
      <c r="H13" s="9">
        <v>254</v>
      </c>
      <c r="I13" s="9">
        <v>95</v>
      </c>
      <c r="J13" s="9">
        <v>54</v>
      </c>
      <c r="K13" s="9">
        <v>66</v>
      </c>
      <c r="L13" s="9">
        <v>35</v>
      </c>
      <c r="M13" s="9">
        <v>32</v>
      </c>
      <c r="N13" s="9">
        <v>27</v>
      </c>
      <c r="O13" s="9">
        <v>80</v>
      </c>
      <c r="P13" s="9">
        <v>13</v>
      </c>
      <c r="Q13" s="9">
        <v>21</v>
      </c>
      <c r="R13" s="9">
        <v>94</v>
      </c>
      <c r="S13" s="9">
        <v>83</v>
      </c>
      <c r="T13" s="9">
        <v>102</v>
      </c>
      <c r="U13" s="9">
        <v>0</v>
      </c>
      <c r="V13" s="9">
        <v>4</v>
      </c>
      <c r="W13" s="9">
        <v>1</v>
      </c>
      <c r="X13" s="9">
        <v>0</v>
      </c>
      <c r="Y13" s="9">
        <v>0</v>
      </c>
      <c r="Z13" s="9">
        <v>0</v>
      </c>
      <c r="AB13" s="9">
        <f t="shared" si="0"/>
        <v>1478</v>
      </c>
      <c r="AC13" s="9">
        <f t="shared" si="1"/>
        <v>10901</v>
      </c>
      <c r="AD13" s="10">
        <f t="shared" si="2"/>
        <v>7.3755074424898508</v>
      </c>
      <c r="AI13" s="26" t="e">
        <f>+AH13/AG13</f>
        <v>#DIV/0!</v>
      </c>
    </row>
    <row r="14" spans="1:35" x14ac:dyDescent="0.3">
      <c r="A14" s="55"/>
      <c r="B14" s="30" t="s">
        <v>16</v>
      </c>
      <c r="C14" s="9">
        <v>153</v>
      </c>
      <c r="D14" s="9">
        <v>52</v>
      </c>
      <c r="E14" s="9">
        <v>83</v>
      </c>
      <c r="F14" s="9">
        <v>104</v>
      </c>
      <c r="G14" s="9">
        <v>105</v>
      </c>
      <c r="H14" s="9">
        <v>150</v>
      </c>
      <c r="I14" s="9">
        <v>88</v>
      </c>
      <c r="J14" s="9">
        <v>48</v>
      </c>
      <c r="K14" s="9">
        <v>33</v>
      </c>
      <c r="L14" s="9">
        <v>17</v>
      </c>
      <c r="M14" s="9">
        <v>28</v>
      </c>
      <c r="N14" s="9">
        <v>17</v>
      </c>
      <c r="O14" s="9">
        <v>59</v>
      </c>
      <c r="P14" s="9">
        <v>8</v>
      </c>
      <c r="Q14" s="9">
        <v>8</v>
      </c>
      <c r="R14" s="9">
        <v>61</v>
      </c>
      <c r="S14" s="9">
        <v>52</v>
      </c>
      <c r="T14" s="9">
        <v>54</v>
      </c>
      <c r="U14" s="9">
        <v>3</v>
      </c>
      <c r="V14" s="9">
        <v>1</v>
      </c>
      <c r="W14" s="9">
        <v>0</v>
      </c>
      <c r="X14" s="9">
        <v>1</v>
      </c>
      <c r="Y14" s="9">
        <v>0</v>
      </c>
      <c r="Z14" s="9">
        <v>0</v>
      </c>
      <c r="AB14" s="9">
        <f t="shared" si="0"/>
        <v>1125</v>
      </c>
      <c r="AC14" s="9">
        <f t="shared" si="1"/>
        <v>7131</v>
      </c>
      <c r="AD14" s="10">
        <f t="shared" si="2"/>
        <v>6.3386666666666667</v>
      </c>
      <c r="AI14" s="26" t="e">
        <f>+AH14/AG14</f>
        <v>#DIV/0!</v>
      </c>
    </row>
    <row r="15" spans="1:35" x14ac:dyDescent="0.3">
      <c r="A15" s="55"/>
      <c r="B15" s="30" t="s">
        <v>17</v>
      </c>
      <c r="C15" s="9">
        <v>144</v>
      </c>
      <c r="D15" s="9">
        <v>57</v>
      </c>
      <c r="E15" s="9">
        <v>93</v>
      </c>
      <c r="F15" s="9">
        <v>112</v>
      </c>
      <c r="G15" s="9">
        <v>93</v>
      </c>
      <c r="H15" s="9">
        <v>102</v>
      </c>
      <c r="I15" s="9">
        <v>51</v>
      </c>
      <c r="J15" s="9">
        <v>32</v>
      </c>
      <c r="K15" s="9">
        <v>57</v>
      </c>
      <c r="L15" s="9">
        <v>16</v>
      </c>
      <c r="M15" s="9">
        <v>19</v>
      </c>
      <c r="N15" s="9">
        <v>15</v>
      </c>
      <c r="O15" s="9">
        <v>55</v>
      </c>
      <c r="P15" s="9">
        <v>11</v>
      </c>
      <c r="Q15" s="9">
        <v>10</v>
      </c>
      <c r="R15" s="9">
        <v>32</v>
      </c>
      <c r="S15" s="9">
        <v>56</v>
      </c>
      <c r="T15" s="9">
        <v>56</v>
      </c>
      <c r="U15" s="9">
        <v>0</v>
      </c>
      <c r="V15" s="9">
        <v>2</v>
      </c>
      <c r="W15" s="9">
        <v>0</v>
      </c>
      <c r="X15" s="9">
        <v>0</v>
      </c>
      <c r="Y15" s="9">
        <v>0</v>
      </c>
      <c r="Z15" s="9">
        <v>1</v>
      </c>
      <c r="AB15" s="9">
        <f t="shared" si="0"/>
        <v>1014</v>
      </c>
      <c r="AC15" s="9">
        <f t="shared" si="1"/>
        <v>6278</v>
      </c>
      <c r="AD15" s="10">
        <f t="shared" si="2"/>
        <v>6.1913214990138066</v>
      </c>
    </row>
    <row r="16" spans="1:35" x14ac:dyDescent="0.3">
      <c r="A16" s="55"/>
      <c r="B16" s="30" t="s">
        <v>18</v>
      </c>
      <c r="C16" s="9">
        <v>50</v>
      </c>
      <c r="D16" s="9">
        <v>28</v>
      </c>
      <c r="E16" s="9">
        <v>37</v>
      </c>
      <c r="F16" s="9">
        <v>65</v>
      </c>
      <c r="G16" s="9">
        <v>43</v>
      </c>
      <c r="H16" s="9">
        <v>94</v>
      </c>
      <c r="I16" s="9">
        <v>45</v>
      </c>
      <c r="J16" s="9">
        <v>30</v>
      </c>
      <c r="K16" s="9">
        <v>41</v>
      </c>
      <c r="L16" s="9">
        <v>23</v>
      </c>
      <c r="M16" s="9">
        <v>25</v>
      </c>
      <c r="N16" s="9">
        <v>22</v>
      </c>
      <c r="O16" s="9">
        <v>96</v>
      </c>
      <c r="P16" s="9">
        <v>10</v>
      </c>
      <c r="Q16" s="9">
        <v>8</v>
      </c>
      <c r="R16" s="9">
        <v>53</v>
      </c>
      <c r="S16" s="9">
        <v>74</v>
      </c>
      <c r="T16" s="9">
        <v>83</v>
      </c>
      <c r="U16" s="9">
        <v>1</v>
      </c>
      <c r="V16" s="9">
        <v>5</v>
      </c>
      <c r="W16" s="9">
        <v>1</v>
      </c>
      <c r="X16" s="9">
        <v>0</v>
      </c>
      <c r="Y16" s="9">
        <v>0</v>
      </c>
      <c r="Z16" s="9">
        <v>0</v>
      </c>
      <c r="AB16" s="9">
        <f t="shared" si="0"/>
        <v>834</v>
      </c>
      <c r="AC16" s="9">
        <f t="shared" si="1"/>
        <v>7363</v>
      </c>
      <c r="AD16" s="10">
        <f t="shared" si="2"/>
        <v>8.8285371702637896</v>
      </c>
    </row>
    <row r="17" spans="1:30" x14ac:dyDescent="0.3">
      <c r="A17" s="55"/>
      <c r="B17" s="30" t="s">
        <v>19</v>
      </c>
      <c r="C17" s="9">
        <v>54</v>
      </c>
      <c r="D17" s="9">
        <v>26</v>
      </c>
      <c r="E17" s="9">
        <v>29</v>
      </c>
      <c r="F17" s="9">
        <v>53</v>
      </c>
      <c r="G17" s="9">
        <v>55</v>
      </c>
      <c r="H17" s="9">
        <v>76</v>
      </c>
      <c r="I17" s="9">
        <v>36</v>
      </c>
      <c r="J17" s="9">
        <v>25</v>
      </c>
      <c r="K17" s="9">
        <v>33</v>
      </c>
      <c r="L17" s="9">
        <v>15</v>
      </c>
      <c r="M17" s="9">
        <v>24</v>
      </c>
      <c r="N17" s="9">
        <v>26</v>
      </c>
      <c r="O17" s="9">
        <v>75</v>
      </c>
      <c r="P17" s="9">
        <v>3</v>
      </c>
      <c r="Q17" s="9">
        <v>7</v>
      </c>
      <c r="R17" s="9">
        <v>27</v>
      </c>
      <c r="S17" s="9">
        <v>24</v>
      </c>
      <c r="T17" s="9">
        <v>36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B17" s="9">
        <f t="shared" si="0"/>
        <v>624</v>
      </c>
      <c r="AC17" s="9">
        <f t="shared" si="1"/>
        <v>4597</v>
      </c>
      <c r="AD17" s="10">
        <f t="shared" si="2"/>
        <v>7.3669871794871797</v>
      </c>
    </row>
    <row r="18" spans="1:30" x14ac:dyDescent="0.3">
      <c r="A18" s="55"/>
      <c r="B18" s="30" t="s">
        <v>20</v>
      </c>
      <c r="C18" s="9">
        <v>200</v>
      </c>
      <c r="D18" s="9">
        <v>104</v>
      </c>
      <c r="E18" s="9">
        <v>163</v>
      </c>
      <c r="F18" s="9">
        <v>212</v>
      </c>
      <c r="G18" s="9">
        <v>221</v>
      </c>
      <c r="H18" s="9">
        <v>390</v>
      </c>
      <c r="I18" s="9">
        <v>202</v>
      </c>
      <c r="J18" s="9">
        <v>143</v>
      </c>
      <c r="K18" s="9">
        <v>147</v>
      </c>
      <c r="L18" s="9">
        <v>103</v>
      </c>
      <c r="M18" s="9">
        <v>131</v>
      </c>
      <c r="N18" s="9">
        <v>134</v>
      </c>
      <c r="O18" s="9">
        <v>403</v>
      </c>
      <c r="P18" s="9">
        <v>34</v>
      </c>
      <c r="Q18" s="9">
        <v>45</v>
      </c>
      <c r="R18" s="9">
        <v>201</v>
      </c>
      <c r="S18" s="9">
        <v>291</v>
      </c>
      <c r="T18" s="9">
        <v>280</v>
      </c>
      <c r="U18" s="9">
        <v>6</v>
      </c>
      <c r="V18" s="9">
        <v>15</v>
      </c>
      <c r="W18" s="9">
        <v>1</v>
      </c>
      <c r="X18" s="9">
        <v>2</v>
      </c>
      <c r="Y18" s="9">
        <v>0</v>
      </c>
      <c r="Z18" s="9">
        <v>1</v>
      </c>
      <c r="AB18" s="9">
        <f t="shared" si="0"/>
        <v>3429</v>
      </c>
      <c r="AC18" s="9">
        <f t="shared" si="1"/>
        <v>29817</v>
      </c>
      <c r="AD18" s="10">
        <f t="shared" si="2"/>
        <v>8.6955380577427821</v>
      </c>
    </row>
    <row r="19" spans="1:30" x14ac:dyDescent="0.3">
      <c r="A19" s="55"/>
      <c r="B19" s="30" t="s">
        <v>21</v>
      </c>
      <c r="C19" s="9">
        <v>91</v>
      </c>
      <c r="D19" s="9">
        <v>30</v>
      </c>
      <c r="E19" s="9">
        <v>83</v>
      </c>
      <c r="F19" s="9">
        <v>89</v>
      </c>
      <c r="G19" s="9">
        <v>57</v>
      </c>
      <c r="H19" s="9">
        <v>122</v>
      </c>
      <c r="I19" s="9">
        <v>78</v>
      </c>
      <c r="J19" s="9">
        <v>32</v>
      </c>
      <c r="K19" s="9">
        <v>70</v>
      </c>
      <c r="L19" s="9">
        <v>45</v>
      </c>
      <c r="M19" s="9">
        <v>44</v>
      </c>
      <c r="N19" s="9">
        <v>43</v>
      </c>
      <c r="O19" s="9">
        <v>133</v>
      </c>
      <c r="P19" s="9">
        <v>7</v>
      </c>
      <c r="Q19" s="9">
        <v>9</v>
      </c>
      <c r="R19" s="9">
        <v>58</v>
      </c>
      <c r="S19" s="9">
        <v>57</v>
      </c>
      <c r="T19" s="9">
        <v>59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B19" s="9">
        <f t="shared" si="0"/>
        <v>1108</v>
      </c>
      <c r="AC19" s="9">
        <f t="shared" si="1"/>
        <v>8487</v>
      </c>
      <c r="AD19" s="10">
        <f t="shared" si="2"/>
        <v>7.6597472924187722</v>
      </c>
    </row>
    <row r="20" spans="1:30" x14ac:dyDescent="0.3">
      <c r="A20" s="55"/>
      <c r="B20" s="30" t="s">
        <v>22</v>
      </c>
      <c r="C20" s="9">
        <v>270</v>
      </c>
      <c r="D20" s="9">
        <v>74</v>
      </c>
      <c r="E20" s="9">
        <v>136</v>
      </c>
      <c r="F20" s="9">
        <v>159</v>
      </c>
      <c r="G20" s="9">
        <v>184</v>
      </c>
      <c r="H20" s="9">
        <v>249</v>
      </c>
      <c r="I20" s="9">
        <v>111</v>
      </c>
      <c r="J20" s="9">
        <v>53</v>
      </c>
      <c r="K20" s="9">
        <v>72</v>
      </c>
      <c r="L20" s="9">
        <v>28</v>
      </c>
      <c r="M20" s="9">
        <v>23</v>
      </c>
      <c r="N20" s="9">
        <v>33</v>
      </c>
      <c r="O20" s="9">
        <v>88</v>
      </c>
      <c r="P20" s="9">
        <v>14</v>
      </c>
      <c r="Q20" s="9">
        <v>23</v>
      </c>
      <c r="R20" s="9">
        <v>74</v>
      </c>
      <c r="S20" s="9">
        <v>60</v>
      </c>
      <c r="T20" s="9">
        <v>62</v>
      </c>
      <c r="U20" s="9">
        <v>4</v>
      </c>
      <c r="V20" s="9">
        <v>5</v>
      </c>
      <c r="W20" s="9">
        <v>1</v>
      </c>
      <c r="X20" s="9">
        <v>0</v>
      </c>
      <c r="Y20" s="9">
        <v>0</v>
      </c>
      <c r="Z20" s="9">
        <v>0</v>
      </c>
      <c r="AB20" s="9">
        <f t="shared" si="0"/>
        <v>1723</v>
      </c>
      <c r="AC20" s="9">
        <f t="shared" si="1"/>
        <v>10133</v>
      </c>
      <c r="AD20" s="10">
        <f t="shared" si="2"/>
        <v>5.8810214741729538</v>
      </c>
    </row>
    <row r="21" spans="1:30" x14ac:dyDescent="0.3">
      <c r="A21" s="55"/>
      <c r="B21" s="30" t="s">
        <v>23</v>
      </c>
      <c r="C21" s="9">
        <v>70</v>
      </c>
      <c r="D21" s="9">
        <v>40</v>
      </c>
      <c r="E21" s="9">
        <v>64</v>
      </c>
      <c r="F21" s="9">
        <v>81</v>
      </c>
      <c r="G21" s="9">
        <v>114</v>
      </c>
      <c r="H21" s="9">
        <v>218</v>
      </c>
      <c r="I21" s="9">
        <v>88</v>
      </c>
      <c r="J21" s="9">
        <v>80</v>
      </c>
      <c r="K21" s="9">
        <v>72</v>
      </c>
      <c r="L21" s="9">
        <v>25</v>
      </c>
      <c r="M21" s="9">
        <v>35</v>
      </c>
      <c r="N21" s="9">
        <v>25</v>
      </c>
      <c r="O21" s="9">
        <v>85</v>
      </c>
      <c r="P21" s="9">
        <v>7</v>
      </c>
      <c r="Q21" s="9">
        <v>12</v>
      </c>
      <c r="R21" s="9">
        <v>47</v>
      </c>
      <c r="S21" s="9">
        <v>56</v>
      </c>
      <c r="T21" s="9">
        <v>65</v>
      </c>
      <c r="U21" s="9">
        <v>3</v>
      </c>
      <c r="V21" s="9">
        <v>1</v>
      </c>
      <c r="W21" s="9">
        <v>1</v>
      </c>
      <c r="X21" s="9">
        <v>1</v>
      </c>
      <c r="Y21" s="9">
        <v>1</v>
      </c>
      <c r="Z21" s="9">
        <v>0</v>
      </c>
      <c r="AB21" s="9">
        <f t="shared" si="0"/>
        <v>1191</v>
      </c>
      <c r="AC21" s="9">
        <f t="shared" si="1"/>
        <v>8592</v>
      </c>
      <c r="AD21" s="10">
        <f t="shared" si="2"/>
        <v>7.2141057934508819</v>
      </c>
    </row>
    <row r="22" spans="1:30" x14ac:dyDescent="0.3">
      <c r="A22" s="55"/>
      <c r="B22" s="30" t="s">
        <v>24</v>
      </c>
      <c r="C22" s="9">
        <v>76</v>
      </c>
      <c r="D22" s="9">
        <v>90</v>
      </c>
      <c r="E22" s="9">
        <v>93</v>
      </c>
      <c r="F22" s="9">
        <v>121</v>
      </c>
      <c r="G22" s="9">
        <v>145</v>
      </c>
      <c r="H22" s="9">
        <v>403</v>
      </c>
      <c r="I22" s="9">
        <v>106</v>
      </c>
      <c r="J22" s="9">
        <v>83</v>
      </c>
      <c r="K22" s="9">
        <v>105</v>
      </c>
      <c r="L22" s="9">
        <v>76</v>
      </c>
      <c r="M22" s="9">
        <v>94</v>
      </c>
      <c r="N22" s="9">
        <v>62</v>
      </c>
      <c r="O22" s="9">
        <v>304</v>
      </c>
      <c r="P22" s="9">
        <v>29</v>
      </c>
      <c r="Q22" s="9">
        <v>36</v>
      </c>
      <c r="R22" s="9">
        <v>123</v>
      </c>
      <c r="S22" s="9">
        <v>141</v>
      </c>
      <c r="T22" s="9">
        <v>169</v>
      </c>
      <c r="U22" s="9">
        <v>4</v>
      </c>
      <c r="V22" s="9">
        <v>10</v>
      </c>
      <c r="W22" s="9">
        <v>2</v>
      </c>
      <c r="X22" s="9">
        <v>0</v>
      </c>
      <c r="Y22" s="9">
        <v>0</v>
      </c>
      <c r="Z22" s="9">
        <v>1</v>
      </c>
      <c r="AB22" s="9">
        <f t="shared" si="0"/>
        <v>2273</v>
      </c>
      <c r="AC22" s="9">
        <f t="shared" si="1"/>
        <v>19425</v>
      </c>
      <c r="AD22" s="10">
        <f t="shared" si="2"/>
        <v>8.5459744830620323</v>
      </c>
    </row>
    <row r="23" spans="1:30" x14ac:dyDescent="0.3">
      <c r="A23" s="55"/>
      <c r="B23" s="30" t="s">
        <v>25</v>
      </c>
      <c r="C23" s="9">
        <v>352</v>
      </c>
      <c r="D23" s="9">
        <v>173</v>
      </c>
      <c r="E23" s="9">
        <v>204</v>
      </c>
      <c r="F23" s="9">
        <v>310</v>
      </c>
      <c r="G23" s="9">
        <v>276</v>
      </c>
      <c r="H23" s="9">
        <v>518</v>
      </c>
      <c r="I23" s="9">
        <v>326</v>
      </c>
      <c r="J23" s="9">
        <v>227</v>
      </c>
      <c r="K23" s="9">
        <v>308</v>
      </c>
      <c r="L23" s="9">
        <v>96</v>
      </c>
      <c r="M23" s="9">
        <v>104</v>
      </c>
      <c r="N23" s="9">
        <v>76</v>
      </c>
      <c r="O23" s="9">
        <v>307</v>
      </c>
      <c r="P23" s="9">
        <v>30</v>
      </c>
      <c r="Q23" s="9">
        <v>28</v>
      </c>
      <c r="R23" s="9">
        <v>139</v>
      </c>
      <c r="S23" s="9">
        <v>117</v>
      </c>
      <c r="T23" s="9">
        <v>103</v>
      </c>
      <c r="U23" s="9">
        <v>8</v>
      </c>
      <c r="V23" s="9">
        <v>5</v>
      </c>
      <c r="W23" s="9">
        <v>1</v>
      </c>
      <c r="X23" s="9">
        <v>1</v>
      </c>
      <c r="Y23" s="9">
        <v>0</v>
      </c>
      <c r="Z23" s="9">
        <v>0</v>
      </c>
      <c r="AB23" s="9">
        <f t="shared" si="0"/>
        <v>3709</v>
      </c>
      <c r="AC23" s="9">
        <f t="shared" si="1"/>
        <v>24408</v>
      </c>
      <c r="AD23" s="10">
        <f t="shared" si="2"/>
        <v>6.5807495281747102</v>
      </c>
    </row>
    <row r="24" spans="1:30" x14ac:dyDescent="0.3">
      <c r="A24" s="55"/>
      <c r="B24" s="30" t="s">
        <v>26</v>
      </c>
      <c r="C24" s="9">
        <v>144</v>
      </c>
      <c r="D24" s="9">
        <v>74</v>
      </c>
      <c r="E24" s="9">
        <v>84</v>
      </c>
      <c r="F24" s="9">
        <v>190</v>
      </c>
      <c r="G24" s="9">
        <v>174</v>
      </c>
      <c r="H24" s="9">
        <v>457</v>
      </c>
      <c r="I24" s="9">
        <v>107</v>
      </c>
      <c r="J24" s="9">
        <v>96</v>
      </c>
      <c r="K24" s="9">
        <v>124</v>
      </c>
      <c r="L24" s="9">
        <v>39</v>
      </c>
      <c r="M24" s="9">
        <v>46</v>
      </c>
      <c r="N24" s="9">
        <v>29</v>
      </c>
      <c r="O24" s="9">
        <v>138</v>
      </c>
      <c r="P24" s="9">
        <v>9</v>
      </c>
      <c r="Q24" s="9">
        <v>6</v>
      </c>
      <c r="R24" s="9">
        <v>57</v>
      </c>
      <c r="S24" s="9">
        <v>68</v>
      </c>
      <c r="T24" s="9">
        <v>60</v>
      </c>
      <c r="U24" s="9">
        <v>2</v>
      </c>
      <c r="V24" s="9">
        <v>2</v>
      </c>
      <c r="W24" s="9">
        <v>1</v>
      </c>
      <c r="X24" s="9">
        <v>1</v>
      </c>
      <c r="Y24" s="9">
        <v>0</v>
      </c>
      <c r="Z24" s="9">
        <v>0</v>
      </c>
      <c r="AB24" s="9">
        <f t="shared" si="0"/>
        <v>1908</v>
      </c>
      <c r="AC24" s="9">
        <f t="shared" si="1"/>
        <v>12164</v>
      </c>
      <c r="AD24" s="10">
        <f t="shared" si="2"/>
        <v>6.3752620545073375</v>
      </c>
    </row>
    <row r="25" spans="1:30" x14ac:dyDescent="0.3">
      <c r="A25" s="55"/>
      <c r="B25" s="30" t="s">
        <v>27</v>
      </c>
      <c r="C25" s="9">
        <v>129</v>
      </c>
      <c r="D25" s="9">
        <v>108</v>
      </c>
      <c r="E25" s="9">
        <v>158</v>
      </c>
      <c r="F25" s="9">
        <v>199</v>
      </c>
      <c r="G25" s="9">
        <v>212</v>
      </c>
      <c r="H25" s="9">
        <v>593</v>
      </c>
      <c r="I25" s="9">
        <v>194</v>
      </c>
      <c r="J25" s="9">
        <v>140</v>
      </c>
      <c r="K25" s="9">
        <v>166</v>
      </c>
      <c r="L25" s="9">
        <v>50</v>
      </c>
      <c r="M25" s="9">
        <v>42</v>
      </c>
      <c r="N25" s="9">
        <v>44</v>
      </c>
      <c r="O25" s="9">
        <v>119</v>
      </c>
      <c r="P25" s="9">
        <v>11</v>
      </c>
      <c r="Q25" s="9">
        <v>11</v>
      </c>
      <c r="R25" s="9">
        <v>51</v>
      </c>
      <c r="S25" s="9">
        <v>46</v>
      </c>
      <c r="T25" s="9">
        <v>39</v>
      </c>
      <c r="U25" s="9">
        <v>0</v>
      </c>
      <c r="V25" s="9">
        <v>0</v>
      </c>
      <c r="W25" s="9">
        <v>1</v>
      </c>
      <c r="X25" s="9">
        <v>0</v>
      </c>
      <c r="Y25" s="9">
        <v>0</v>
      </c>
      <c r="Z25" s="9">
        <v>0</v>
      </c>
      <c r="AB25" s="9">
        <f t="shared" si="0"/>
        <v>2313</v>
      </c>
      <c r="AC25" s="9">
        <f t="shared" si="1"/>
        <v>13569</v>
      </c>
      <c r="AD25" s="10">
        <f t="shared" si="2"/>
        <v>5.8664072632944224</v>
      </c>
    </row>
    <row r="26" spans="1:30" x14ac:dyDescent="0.3">
      <c r="A26" s="55"/>
      <c r="B26" s="30" t="s">
        <v>28</v>
      </c>
      <c r="C26" s="9">
        <v>127</v>
      </c>
      <c r="D26" s="9">
        <v>62</v>
      </c>
      <c r="E26" s="9">
        <v>104</v>
      </c>
      <c r="F26" s="9">
        <v>107</v>
      </c>
      <c r="G26" s="9">
        <v>135</v>
      </c>
      <c r="H26" s="9">
        <v>150</v>
      </c>
      <c r="I26" s="9">
        <v>77</v>
      </c>
      <c r="J26" s="9">
        <v>36</v>
      </c>
      <c r="K26" s="9">
        <v>47</v>
      </c>
      <c r="L26" s="9">
        <v>14</v>
      </c>
      <c r="M26" s="9">
        <v>27</v>
      </c>
      <c r="N26" s="9">
        <v>19</v>
      </c>
      <c r="O26" s="9">
        <v>95</v>
      </c>
      <c r="P26" s="9">
        <v>34</v>
      </c>
      <c r="Q26" s="9">
        <v>35</v>
      </c>
      <c r="R26" s="9">
        <v>91</v>
      </c>
      <c r="S26" s="9">
        <v>83</v>
      </c>
      <c r="T26" s="9">
        <v>61</v>
      </c>
      <c r="U26" s="9">
        <v>3</v>
      </c>
      <c r="V26" s="9">
        <v>1</v>
      </c>
      <c r="W26" s="9">
        <v>0</v>
      </c>
      <c r="X26" s="9">
        <v>0</v>
      </c>
      <c r="Y26" s="9">
        <v>1</v>
      </c>
      <c r="Z26" s="9">
        <v>0</v>
      </c>
      <c r="AB26" s="9">
        <f t="shared" si="0"/>
        <v>1309</v>
      </c>
      <c r="AC26" s="9">
        <f t="shared" si="1"/>
        <v>9473</v>
      </c>
      <c r="AD26" s="10">
        <f t="shared" si="2"/>
        <v>7.2368220015278837</v>
      </c>
    </row>
    <row r="27" spans="1:30" x14ac:dyDescent="0.3">
      <c r="A27" s="55"/>
      <c r="B27" s="30" t="s">
        <v>29</v>
      </c>
      <c r="C27" s="9">
        <v>14</v>
      </c>
      <c r="D27" s="9">
        <v>21</v>
      </c>
      <c r="E27" s="9">
        <v>20</v>
      </c>
      <c r="F27" s="9">
        <v>30</v>
      </c>
      <c r="G27" s="9">
        <v>38</v>
      </c>
      <c r="H27" s="9">
        <v>117</v>
      </c>
      <c r="I27" s="9">
        <v>34</v>
      </c>
      <c r="J27" s="9">
        <v>28</v>
      </c>
      <c r="K27" s="9">
        <v>57</v>
      </c>
      <c r="L27" s="9">
        <v>9</v>
      </c>
      <c r="M27" s="9">
        <v>14</v>
      </c>
      <c r="N27" s="9">
        <v>13</v>
      </c>
      <c r="O27" s="9">
        <v>73</v>
      </c>
      <c r="P27" s="9">
        <v>2</v>
      </c>
      <c r="Q27" s="9">
        <v>7</v>
      </c>
      <c r="R27" s="9">
        <v>31</v>
      </c>
      <c r="S27" s="9">
        <v>31</v>
      </c>
      <c r="T27" s="9">
        <v>39</v>
      </c>
      <c r="U27" s="9">
        <v>2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B27" s="9">
        <f t="shared" si="0"/>
        <v>580</v>
      </c>
      <c r="AC27" s="9">
        <f t="shared" si="1"/>
        <v>4768</v>
      </c>
      <c r="AD27" s="10">
        <f t="shared" si="2"/>
        <v>8.2206896551724142</v>
      </c>
    </row>
    <row r="28" spans="1:30" x14ac:dyDescent="0.3">
      <c r="A28" s="55"/>
      <c r="B28" s="30" t="s">
        <v>30</v>
      </c>
      <c r="C28" s="9">
        <v>113</v>
      </c>
      <c r="D28" s="9">
        <v>111</v>
      </c>
      <c r="E28" s="9">
        <v>152</v>
      </c>
      <c r="F28" s="9">
        <v>199</v>
      </c>
      <c r="G28" s="9">
        <v>228</v>
      </c>
      <c r="H28" s="9">
        <v>572</v>
      </c>
      <c r="I28" s="9">
        <v>144</v>
      </c>
      <c r="J28" s="9">
        <v>78</v>
      </c>
      <c r="K28" s="9">
        <v>108</v>
      </c>
      <c r="L28" s="9">
        <v>47</v>
      </c>
      <c r="M28" s="9">
        <v>40</v>
      </c>
      <c r="N28" s="9">
        <v>30</v>
      </c>
      <c r="O28" s="9">
        <v>139</v>
      </c>
      <c r="P28" s="9">
        <v>21</v>
      </c>
      <c r="Q28" s="9">
        <v>18</v>
      </c>
      <c r="R28" s="9">
        <v>88</v>
      </c>
      <c r="S28" s="9">
        <v>75</v>
      </c>
      <c r="T28" s="9">
        <v>72</v>
      </c>
      <c r="U28" s="9">
        <v>3</v>
      </c>
      <c r="V28" s="9">
        <v>2</v>
      </c>
      <c r="W28" s="9">
        <v>0</v>
      </c>
      <c r="X28" s="9">
        <v>0</v>
      </c>
      <c r="Y28" s="9">
        <v>0</v>
      </c>
      <c r="Z28" s="9">
        <v>0</v>
      </c>
      <c r="AB28" s="9">
        <f t="shared" si="0"/>
        <v>2240</v>
      </c>
      <c r="AC28" s="9">
        <f t="shared" si="1"/>
        <v>14240</v>
      </c>
      <c r="AD28" s="10">
        <f t="shared" si="2"/>
        <v>6.3571428571428568</v>
      </c>
    </row>
    <row r="29" spans="1:30" x14ac:dyDescent="0.3">
      <c r="A29" s="55"/>
      <c r="B29" s="30" t="s">
        <v>31</v>
      </c>
      <c r="C29" s="9">
        <v>35</v>
      </c>
      <c r="D29" s="9">
        <v>27</v>
      </c>
      <c r="E29" s="9">
        <v>25</v>
      </c>
      <c r="F29" s="9">
        <v>36</v>
      </c>
      <c r="G29" s="9">
        <v>36</v>
      </c>
      <c r="H29" s="9">
        <v>87</v>
      </c>
      <c r="I29" s="9">
        <v>33</v>
      </c>
      <c r="J29" s="9">
        <v>27</v>
      </c>
      <c r="K29" s="9">
        <v>37</v>
      </c>
      <c r="L29" s="9">
        <v>18</v>
      </c>
      <c r="M29" s="9">
        <v>34</v>
      </c>
      <c r="N29" s="9">
        <v>21</v>
      </c>
      <c r="O29" s="9">
        <v>99</v>
      </c>
      <c r="P29" s="9">
        <v>7</v>
      </c>
      <c r="Q29" s="9">
        <v>10</v>
      </c>
      <c r="R29" s="9">
        <v>34</v>
      </c>
      <c r="S29" s="9">
        <v>41</v>
      </c>
      <c r="T29" s="9">
        <v>26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B29" s="9">
        <f t="shared" si="0"/>
        <v>634</v>
      </c>
      <c r="AC29" s="9">
        <f t="shared" si="1"/>
        <v>5226</v>
      </c>
      <c r="AD29" s="10">
        <f t="shared" si="2"/>
        <v>8.2429022082018921</v>
      </c>
    </row>
    <row r="30" spans="1:30" x14ac:dyDescent="0.3">
      <c r="A30" s="55"/>
      <c r="B30" s="30" t="s">
        <v>32</v>
      </c>
      <c r="C30" s="9">
        <v>143</v>
      </c>
      <c r="D30" s="9">
        <v>38</v>
      </c>
      <c r="E30" s="9">
        <v>58</v>
      </c>
      <c r="F30" s="9">
        <v>75</v>
      </c>
      <c r="G30" s="9">
        <v>87</v>
      </c>
      <c r="H30" s="9">
        <v>135</v>
      </c>
      <c r="I30" s="9">
        <v>63</v>
      </c>
      <c r="J30" s="9">
        <v>51</v>
      </c>
      <c r="K30" s="9">
        <v>68</v>
      </c>
      <c r="L30" s="9">
        <v>39</v>
      </c>
      <c r="M30" s="9">
        <v>52</v>
      </c>
      <c r="N30" s="9">
        <v>56</v>
      </c>
      <c r="O30" s="9">
        <v>146</v>
      </c>
      <c r="P30" s="9">
        <v>19</v>
      </c>
      <c r="Q30" s="9">
        <v>34</v>
      </c>
      <c r="R30" s="9">
        <v>82</v>
      </c>
      <c r="S30" s="9">
        <v>92</v>
      </c>
      <c r="T30" s="9">
        <v>127</v>
      </c>
      <c r="U30" s="9">
        <v>1</v>
      </c>
      <c r="V30" s="9">
        <v>4</v>
      </c>
      <c r="W30" s="9">
        <v>2</v>
      </c>
      <c r="X30" s="9">
        <v>1</v>
      </c>
      <c r="Y30" s="9">
        <v>0</v>
      </c>
      <c r="Z30" s="9">
        <v>0</v>
      </c>
      <c r="AB30" s="9">
        <f t="shared" si="0"/>
        <v>1373</v>
      </c>
      <c r="AC30" s="9">
        <f t="shared" si="1"/>
        <v>11659</v>
      </c>
      <c r="AD30" s="10">
        <f t="shared" si="2"/>
        <v>8.4916241806263653</v>
      </c>
    </row>
    <row r="31" spans="1:30" x14ac:dyDescent="0.3">
      <c r="A31" s="55"/>
      <c r="B31" s="30" t="s">
        <v>33</v>
      </c>
      <c r="C31" s="9">
        <v>17</v>
      </c>
      <c r="D31" s="9">
        <v>9</v>
      </c>
      <c r="E31" s="9">
        <v>13</v>
      </c>
      <c r="F31" s="9">
        <v>20</v>
      </c>
      <c r="G31" s="9">
        <v>15</v>
      </c>
      <c r="H31" s="9">
        <v>29</v>
      </c>
      <c r="I31" s="9">
        <v>15</v>
      </c>
      <c r="J31" s="9">
        <v>13</v>
      </c>
      <c r="K31" s="9">
        <v>24</v>
      </c>
      <c r="L31" s="9">
        <v>8</v>
      </c>
      <c r="M31" s="9">
        <v>19</v>
      </c>
      <c r="N31" s="9">
        <v>14</v>
      </c>
      <c r="O31" s="9">
        <v>44</v>
      </c>
      <c r="P31" s="9">
        <v>5</v>
      </c>
      <c r="Q31" s="9">
        <v>3</v>
      </c>
      <c r="R31" s="9">
        <v>21</v>
      </c>
      <c r="S31" s="9">
        <v>27</v>
      </c>
      <c r="T31" s="9">
        <v>19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B31" s="9">
        <f t="shared" si="0"/>
        <v>315</v>
      </c>
      <c r="AC31" s="9">
        <f t="shared" si="1"/>
        <v>2794</v>
      </c>
      <c r="AD31" s="10">
        <f t="shared" si="2"/>
        <v>8.8698412698412703</v>
      </c>
    </row>
    <row r="32" spans="1:30" x14ac:dyDescent="0.3">
      <c r="A32" s="55"/>
      <c r="B32" s="30" t="s">
        <v>34</v>
      </c>
      <c r="C32" s="9">
        <v>34</v>
      </c>
      <c r="D32" s="9">
        <v>31</v>
      </c>
      <c r="E32" s="9">
        <v>47</v>
      </c>
      <c r="F32" s="9">
        <v>57</v>
      </c>
      <c r="G32" s="9">
        <v>71</v>
      </c>
      <c r="H32" s="9">
        <v>106</v>
      </c>
      <c r="I32" s="9">
        <v>60</v>
      </c>
      <c r="J32" s="9">
        <v>54</v>
      </c>
      <c r="K32" s="9">
        <v>83</v>
      </c>
      <c r="L32" s="9">
        <v>67</v>
      </c>
      <c r="M32" s="9">
        <v>65</v>
      </c>
      <c r="N32" s="9">
        <v>53</v>
      </c>
      <c r="O32" s="9">
        <v>203</v>
      </c>
      <c r="P32" s="9">
        <v>16</v>
      </c>
      <c r="Q32" s="9">
        <v>14</v>
      </c>
      <c r="R32" s="9">
        <v>70</v>
      </c>
      <c r="S32" s="9">
        <v>68</v>
      </c>
      <c r="T32" s="9">
        <v>76</v>
      </c>
      <c r="U32" s="9">
        <v>3</v>
      </c>
      <c r="V32" s="9">
        <v>5</v>
      </c>
      <c r="W32" s="9">
        <v>1</v>
      </c>
      <c r="X32" s="9">
        <v>0</v>
      </c>
      <c r="Y32" s="9">
        <v>0</v>
      </c>
      <c r="Z32" s="9">
        <v>0</v>
      </c>
      <c r="AB32" s="9">
        <f t="shared" si="0"/>
        <v>1184</v>
      </c>
      <c r="AC32" s="9">
        <f t="shared" si="1"/>
        <v>10787</v>
      </c>
      <c r="AD32" s="10">
        <f t="shared" si="2"/>
        <v>9.1106418918918912</v>
      </c>
    </row>
    <row r="33" spans="1:30" x14ac:dyDescent="0.3">
      <c r="A33" s="55"/>
      <c r="B33" s="30" t="s">
        <v>35</v>
      </c>
      <c r="C33" s="9">
        <v>1255</v>
      </c>
      <c r="D33" s="9">
        <v>662</v>
      </c>
      <c r="E33" s="9">
        <v>871</v>
      </c>
      <c r="F33" s="9">
        <v>1274</v>
      </c>
      <c r="G33" s="9">
        <v>1145</v>
      </c>
      <c r="H33" s="9">
        <v>2249</v>
      </c>
      <c r="I33" s="9">
        <v>2259</v>
      </c>
      <c r="J33" s="9">
        <v>1709</v>
      </c>
      <c r="K33" s="9">
        <v>2518</v>
      </c>
      <c r="L33" s="9">
        <v>5027</v>
      </c>
      <c r="M33" s="9">
        <v>6002</v>
      </c>
      <c r="N33" s="9">
        <v>5700</v>
      </c>
      <c r="O33" s="9">
        <v>30184</v>
      </c>
      <c r="P33" s="9">
        <v>3756</v>
      </c>
      <c r="Q33" s="9">
        <v>5298</v>
      </c>
      <c r="R33" s="9">
        <v>13732</v>
      </c>
      <c r="S33" s="9">
        <v>21946</v>
      </c>
      <c r="T33" s="9">
        <v>29156</v>
      </c>
      <c r="U33" s="9">
        <v>2041</v>
      </c>
      <c r="V33" s="9">
        <v>3281</v>
      </c>
      <c r="W33" s="9">
        <v>125</v>
      </c>
      <c r="X33" s="9">
        <v>134</v>
      </c>
      <c r="Y33" s="9">
        <v>85</v>
      </c>
      <c r="Z33" s="9">
        <v>71</v>
      </c>
      <c r="AB33" s="9">
        <f t="shared" si="0"/>
        <v>140480</v>
      </c>
      <c r="AC33" s="9">
        <f t="shared" si="1"/>
        <v>1881545</v>
      </c>
      <c r="AD33" s="10">
        <f t="shared" si="2"/>
        <v>13.393685933940775</v>
      </c>
    </row>
    <row r="34" spans="1:30" x14ac:dyDescent="0.3">
      <c r="A34" s="55"/>
      <c r="B34" s="30" t="s">
        <v>36</v>
      </c>
      <c r="C34" s="9">
        <v>98</v>
      </c>
      <c r="D34" s="9">
        <v>98</v>
      </c>
      <c r="E34" s="9">
        <v>100</v>
      </c>
      <c r="F34" s="9">
        <v>152</v>
      </c>
      <c r="G34" s="9">
        <v>177</v>
      </c>
      <c r="H34" s="9">
        <v>302</v>
      </c>
      <c r="I34" s="9">
        <v>166</v>
      </c>
      <c r="J34" s="9">
        <v>137</v>
      </c>
      <c r="K34" s="9">
        <v>195</v>
      </c>
      <c r="L34" s="9">
        <v>126</v>
      </c>
      <c r="M34" s="9">
        <v>150</v>
      </c>
      <c r="N34" s="9">
        <v>121</v>
      </c>
      <c r="O34" s="9">
        <v>398</v>
      </c>
      <c r="P34" s="9">
        <v>5</v>
      </c>
      <c r="Q34" s="9">
        <v>8</v>
      </c>
      <c r="R34" s="9">
        <v>28</v>
      </c>
      <c r="S34" s="9">
        <v>51</v>
      </c>
      <c r="T34" s="9">
        <v>22</v>
      </c>
      <c r="U34" s="9">
        <v>0</v>
      </c>
      <c r="V34" s="9">
        <v>1</v>
      </c>
      <c r="W34" s="9">
        <v>1</v>
      </c>
      <c r="X34" s="9">
        <v>0</v>
      </c>
      <c r="Y34" s="9">
        <v>0</v>
      </c>
      <c r="Z34" s="9">
        <v>0</v>
      </c>
      <c r="AB34" s="9">
        <f t="shared" si="0"/>
        <v>2336</v>
      </c>
      <c r="AC34" s="9">
        <f t="shared" si="1"/>
        <v>17054</v>
      </c>
      <c r="AD34" s="10">
        <f t="shared" si="2"/>
        <v>7.3005136986301373</v>
      </c>
    </row>
    <row r="35" spans="1:30" x14ac:dyDescent="0.3">
      <c r="A35" s="55"/>
      <c r="B35" s="30" t="s">
        <v>37</v>
      </c>
      <c r="C35" s="9">
        <v>39</v>
      </c>
      <c r="D35" s="9">
        <v>62</v>
      </c>
      <c r="E35" s="9">
        <v>53</v>
      </c>
      <c r="F35" s="9">
        <v>87</v>
      </c>
      <c r="G35" s="9">
        <v>110</v>
      </c>
      <c r="H35" s="9">
        <v>148</v>
      </c>
      <c r="I35" s="9">
        <v>127</v>
      </c>
      <c r="J35" s="9">
        <v>107</v>
      </c>
      <c r="K35" s="9">
        <v>141</v>
      </c>
      <c r="L35" s="9">
        <v>151</v>
      </c>
      <c r="M35" s="9">
        <v>172</v>
      </c>
      <c r="N35" s="9">
        <v>181</v>
      </c>
      <c r="O35" s="9">
        <v>536</v>
      </c>
      <c r="P35" s="9">
        <v>12</v>
      </c>
      <c r="Q35" s="9">
        <v>15</v>
      </c>
      <c r="R35" s="9">
        <v>72</v>
      </c>
      <c r="S35" s="9">
        <v>146</v>
      </c>
      <c r="T35" s="9">
        <v>135</v>
      </c>
      <c r="U35" s="9">
        <v>13</v>
      </c>
      <c r="V35" s="9">
        <v>13</v>
      </c>
      <c r="W35" s="9">
        <v>2</v>
      </c>
      <c r="X35" s="9">
        <v>1</v>
      </c>
      <c r="Y35" s="9">
        <v>1</v>
      </c>
      <c r="Z35" s="9">
        <v>0</v>
      </c>
      <c r="AB35" s="9">
        <f t="shared" si="0"/>
        <v>2324</v>
      </c>
      <c r="AC35" s="9">
        <f t="shared" si="1"/>
        <v>22391</v>
      </c>
      <c r="AD35" s="10">
        <f t="shared" si="2"/>
        <v>9.6346815834767643</v>
      </c>
    </row>
    <row r="36" spans="1:30" x14ac:dyDescent="0.3">
      <c r="A36" s="55"/>
      <c r="B36" s="30" t="s">
        <v>38</v>
      </c>
      <c r="C36" s="9">
        <v>74</v>
      </c>
      <c r="D36" s="9">
        <v>55</v>
      </c>
      <c r="E36" s="9">
        <v>89</v>
      </c>
      <c r="F36" s="9">
        <v>134</v>
      </c>
      <c r="G36" s="9">
        <v>124</v>
      </c>
      <c r="H36" s="9">
        <v>237</v>
      </c>
      <c r="I36" s="9">
        <v>172</v>
      </c>
      <c r="J36" s="9">
        <v>152</v>
      </c>
      <c r="K36" s="9">
        <v>189</v>
      </c>
      <c r="L36" s="9">
        <v>195</v>
      </c>
      <c r="M36" s="9">
        <v>246</v>
      </c>
      <c r="N36" s="9">
        <v>198</v>
      </c>
      <c r="O36" s="9">
        <v>983</v>
      </c>
      <c r="P36" s="9">
        <v>34</v>
      </c>
      <c r="Q36" s="9">
        <v>28</v>
      </c>
      <c r="R36" s="9">
        <v>118</v>
      </c>
      <c r="S36" s="9">
        <v>187</v>
      </c>
      <c r="T36" s="9">
        <v>139</v>
      </c>
      <c r="U36" s="9">
        <v>4</v>
      </c>
      <c r="V36" s="9">
        <v>14</v>
      </c>
      <c r="W36" s="9">
        <v>1</v>
      </c>
      <c r="X36" s="9">
        <v>3</v>
      </c>
      <c r="Y36" s="9">
        <v>1</v>
      </c>
      <c r="Z36" s="9">
        <v>0</v>
      </c>
      <c r="AB36" s="9">
        <f t="shared" si="0"/>
        <v>3377</v>
      </c>
      <c r="AC36" s="9">
        <f t="shared" si="1"/>
        <v>32515</v>
      </c>
      <c r="AD36" s="10">
        <f t="shared" si="2"/>
        <v>9.6283683742967128</v>
      </c>
    </row>
    <row r="37" spans="1:30" x14ac:dyDescent="0.3">
      <c r="A37" s="55"/>
      <c r="B37" s="30" t="s">
        <v>39</v>
      </c>
      <c r="C37" s="9">
        <v>2505</v>
      </c>
      <c r="D37" s="9">
        <v>2098</v>
      </c>
      <c r="E37" s="9">
        <v>2583</v>
      </c>
      <c r="F37" s="9">
        <v>3797</v>
      </c>
      <c r="G37" s="9">
        <v>3540</v>
      </c>
      <c r="H37" s="9">
        <v>6708</v>
      </c>
      <c r="I37" s="9">
        <v>5162</v>
      </c>
      <c r="J37" s="9">
        <v>4246</v>
      </c>
      <c r="K37" s="9">
        <v>5865</v>
      </c>
      <c r="L37" s="9">
        <v>8405</v>
      </c>
      <c r="M37" s="9">
        <v>9892</v>
      </c>
      <c r="N37" s="9">
        <v>9071</v>
      </c>
      <c r="O37" s="9">
        <v>45353</v>
      </c>
      <c r="P37" s="9">
        <v>3290</v>
      </c>
      <c r="Q37" s="9">
        <v>4607</v>
      </c>
      <c r="R37" s="9">
        <v>11830</v>
      </c>
      <c r="S37" s="9">
        <v>14025</v>
      </c>
      <c r="T37" s="9">
        <v>13468</v>
      </c>
      <c r="U37" s="9">
        <v>365</v>
      </c>
      <c r="V37" s="9">
        <v>477</v>
      </c>
      <c r="W37" s="9">
        <v>81</v>
      </c>
      <c r="X37" s="9">
        <v>49</v>
      </c>
      <c r="Y37" s="9">
        <v>27</v>
      </c>
      <c r="Z37" s="9">
        <v>28</v>
      </c>
      <c r="AB37" s="9">
        <f t="shared" si="0"/>
        <v>157472</v>
      </c>
      <c r="AC37" s="9">
        <f t="shared" si="1"/>
        <v>1750145</v>
      </c>
      <c r="AD37" s="10">
        <f t="shared" si="2"/>
        <v>11.114007569599675</v>
      </c>
    </row>
    <row r="38" spans="1:30" x14ac:dyDescent="0.3">
      <c r="A38" s="55"/>
      <c r="B38" s="30" t="s">
        <v>40</v>
      </c>
      <c r="C38" s="9">
        <v>232</v>
      </c>
      <c r="D38" s="9">
        <v>85</v>
      </c>
      <c r="E38" s="9">
        <v>141</v>
      </c>
      <c r="F38" s="9">
        <v>184</v>
      </c>
      <c r="G38" s="9">
        <v>191</v>
      </c>
      <c r="H38" s="9">
        <v>321</v>
      </c>
      <c r="I38" s="9">
        <v>234</v>
      </c>
      <c r="J38" s="9">
        <v>199</v>
      </c>
      <c r="K38" s="9">
        <v>331</v>
      </c>
      <c r="L38" s="9">
        <v>363</v>
      </c>
      <c r="M38" s="9">
        <v>389</v>
      </c>
      <c r="N38" s="9">
        <v>380</v>
      </c>
      <c r="O38" s="9">
        <v>1718</v>
      </c>
      <c r="P38" s="9">
        <v>78</v>
      </c>
      <c r="Q38" s="9">
        <v>102</v>
      </c>
      <c r="R38" s="9">
        <v>355</v>
      </c>
      <c r="S38" s="9">
        <v>333</v>
      </c>
      <c r="T38" s="9">
        <v>214</v>
      </c>
      <c r="U38" s="9">
        <v>8</v>
      </c>
      <c r="V38" s="9">
        <v>5</v>
      </c>
      <c r="W38" s="9">
        <v>2</v>
      </c>
      <c r="X38" s="9">
        <v>3</v>
      </c>
      <c r="Y38" s="9">
        <v>0</v>
      </c>
      <c r="Z38" s="9">
        <v>0</v>
      </c>
      <c r="AB38" s="9">
        <f t="shared" si="0"/>
        <v>5868</v>
      </c>
      <c r="AC38" s="9">
        <f t="shared" si="1"/>
        <v>57761</v>
      </c>
      <c r="AD38" s="10">
        <f t="shared" si="2"/>
        <v>9.8433878663940018</v>
      </c>
    </row>
    <row r="39" spans="1:30" x14ac:dyDescent="0.3">
      <c r="A39" s="55"/>
      <c r="B39" s="30" t="s">
        <v>41</v>
      </c>
      <c r="C39" s="9">
        <v>115</v>
      </c>
      <c r="D39" s="9">
        <v>39</v>
      </c>
      <c r="E39" s="9">
        <v>48</v>
      </c>
      <c r="F39" s="9">
        <v>47</v>
      </c>
      <c r="G39" s="9">
        <v>61</v>
      </c>
      <c r="H39" s="9">
        <v>97</v>
      </c>
      <c r="I39" s="9">
        <v>73</v>
      </c>
      <c r="J39" s="9">
        <v>54</v>
      </c>
      <c r="K39" s="9">
        <v>94</v>
      </c>
      <c r="L39" s="9">
        <v>76</v>
      </c>
      <c r="M39" s="9">
        <v>114</v>
      </c>
      <c r="N39" s="9">
        <v>81</v>
      </c>
      <c r="O39" s="9">
        <v>371</v>
      </c>
      <c r="P39" s="9">
        <v>8</v>
      </c>
      <c r="Q39" s="9">
        <v>17</v>
      </c>
      <c r="R39" s="9">
        <v>36</v>
      </c>
      <c r="S39" s="9">
        <v>45</v>
      </c>
      <c r="T39" s="9">
        <v>31</v>
      </c>
      <c r="U39" s="9">
        <v>1</v>
      </c>
      <c r="V39" s="9">
        <v>2</v>
      </c>
      <c r="W39" s="9">
        <v>0</v>
      </c>
      <c r="X39" s="9">
        <v>0</v>
      </c>
      <c r="Y39" s="9">
        <v>0</v>
      </c>
      <c r="Z39" s="9">
        <v>0</v>
      </c>
      <c r="AB39" s="9">
        <f t="shared" si="0"/>
        <v>1410</v>
      </c>
      <c r="AC39" s="9">
        <f t="shared" si="1"/>
        <v>11925</v>
      </c>
      <c r="AD39" s="10">
        <f t="shared" si="2"/>
        <v>8.4574468085106389</v>
      </c>
    </row>
    <row r="40" spans="1:30" x14ac:dyDescent="0.3">
      <c r="A40" s="55"/>
      <c r="B40" s="30" t="s">
        <v>42</v>
      </c>
      <c r="C40" s="9">
        <v>43</v>
      </c>
      <c r="D40" s="9">
        <v>20</v>
      </c>
      <c r="E40" s="9">
        <v>22</v>
      </c>
      <c r="F40" s="9">
        <v>28</v>
      </c>
      <c r="G40" s="9">
        <v>17</v>
      </c>
      <c r="H40" s="9">
        <v>65</v>
      </c>
      <c r="I40" s="9">
        <v>37</v>
      </c>
      <c r="J40" s="9">
        <v>29</v>
      </c>
      <c r="K40" s="9">
        <v>36</v>
      </c>
      <c r="L40" s="9">
        <v>54</v>
      </c>
      <c r="M40" s="9">
        <v>63</v>
      </c>
      <c r="N40" s="9">
        <v>63</v>
      </c>
      <c r="O40" s="9">
        <v>273</v>
      </c>
      <c r="P40" s="9">
        <v>10</v>
      </c>
      <c r="Q40" s="9">
        <v>16</v>
      </c>
      <c r="R40" s="9">
        <v>46</v>
      </c>
      <c r="S40" s="9">
        <v>57</v>
      </c>
      <c r="T40" s="9">
        <v>41</v>
      </c>
      <c r="U40" s="9">
        <v>0</v>
      </c>
      <c r="V40" s="9">
        <v>1</v>
      </c>
      <c r="W40" s="9">
        <v>1</v>
      </c>
      <c r="X40" s="9">
        <v>1</v>
      </c>
      <c r="Y40" s="9">
        <v>0</v>
      </c>
      <c r="Z40" s="9">
        <v>2</v>
      </c>
      <c r="AB40" s="9">
        <f t="shared" si="0"/>
        <v>925</v>
      </c>
      <c r="AC40" s="9">
        <f t="shared" si="1"/>
        <v>9098</v>
      </c>
      <c r="AD40" s="10">
        <f t="shared" si="2"/>
        <v>9.8356756756756756</v>
      </c>
    </row>
    <row r="41" spans="1:30" x14ac:dyDescent="0.3">
      <c r="A41" s="55"/>
      <c r="B41" s="30" t="s">
        <v>43</v>
      </c>
      <c r="C41" s="9">
        <v>25</v>
      </c>
      <c r="D41" s="9">
        <v>9</v>
      </c>
      <c r="E41" s="9">
        <v>19</v>
      </c>
      <c r="F41" s="9">
        <v>15</v>
      </c>
      <c r="G41" s="9">
        <v>17</v>
      </c>
      <c r="H41" s="9">
        <v>23</v>
      </c>
      <c r="I41" s="9">
        <v>31</v>
      </c>
      <c r="J41" s="9">
        <v>22</v>
      </c>
      <c r="K41" s="9">
        <v>24</v>
      </c>
      <c r="L41" s="9">
        <v>47</v>
      </c>
      <c r="M41" s="9">
        <v>49</v>
      </c>
      <c r="N41" s="9">
        <v>59</v>
      </c>
      <c r="O41" s="9">
        <v>243</v>
      </c>
      <c r="P41" s="9">
        <v>20</v>
      </c>
      <c r="Q41" s="9">
        <v>27</v>
      </c>
      <c r="R41" s="9">
        <v>68</v>
      </c>
      <c r="S41" s="9">
        <v>78</v>
      </c>
      <c r="T41" s="9">
        <v>27</v>
      </c>
      <c r="U41" s="9">
        <v>0</v>
      </c>
      <c r="V41" s="9">
        <v>2</v>
      </c>
      <c r="W41" s="9">
        <v>0</v>
      </c>
      <c r="X41" s="9">
        <v>0</v>
      </c>
      <c r="Y41" s="9">
        <v>1</v>
      </c>
      <c r="Z41" s="9">
        <v>0</v>
      </c>
      <c r="AB41" s="9">
        <f t="shared" si="0"/>
        <v>806</v>
      </c>
      <c r="AC41" s="9">
        <f t="shared" si="1"/>
        <v>8710</v>
      </c>
      <c r="AD41" s="10">
        <f t="shared" si="2"/>
        <v>10.806451612903226</v>
      </c>
    </row>
    <row r="42" spans="1:30" x14ac:dyDescent="0.3">
      <c r="A42" s="55"/>
      <c r="B42" s="30" t="s">
        <v>44</v>
      </c>
      <c r="C42" s="9">
        <v>6</v>
      </c>
      <c r="D42" s="9">
        <v>2</v>
      </c>
      <c r="E42" s="9">
        <v>4</v>
      </c>
      <c r="F42" s="9">
        <v>3</v>
      </c>
      <c r="G42" s="9">
        <v>4</v>
      </c>
      <c r="H42" s="9">
        <v>7</v>
      </c>
      <c r="I42" s="9">
        <v>12</v>
      </c>
      <c r="J42" s="9">
        <v>3</v>
      </c>
      <c r="K42" s="9">
        <v>7</v>
      </c>
      <c r="L42" s="9">
        <v>19</v>
      </c>
      <c r="M42" s="9">
        <v>26</v>
      </c>
      <c r="N42" s="9">
        <v>24</v>
      </c>
      <c r="O42" s="9">
        <v>152</v>
      </c>
      <c r="P42" s="9">
        <v>29</v>
      </c>
      <c r="Q42" s="9">
        <v>27</v>
      </c>
      <c r="R42" s="9">
        <v>83</v>
      </c>
      <c r="S42" s="9">
        <v>75</v>
      </c>
      <c r="T42" s="9">
        <v>60</v>
      </c>
      <c r="U42" s="9">
        <v>2</v>
      </c>
      <c r="V42" s="9">
        <v>2</v>
      </c>
      <c r="W42" s="9">
        <v>0</v>
      </c>
      <c r="X42" s="9">
        <v>1</v>
      </c>
      <c r="Y42" s="9">
        <v>0</v>
      </c>
      <c r="Z42" s="9">
        <v>0</v>
      </c>
      <c r="AB42" s="9">
        <f t="shared" si="0"/>
        <v>548</v>
      </c>
      <c r="AC42" s="9">
        <f t="shared" si="1"/>
        <v>7053</v>
      </c>
      <c r="AD42" s="10">
        <f t="shared" si="2"/>
        <v>12.870437956204379</v>
      </c>
    </row>
    <row r="43" spans="1:30" x14ac:dyDescent="0.3">
      <c r="A43" s="55"/>
      <c r="B43" s="30" t="s">
        <v>45</v>
      </c>
      <c r="C43" s="9">
        <v>18</v>
      </c>
      <c r="D43" s="9">
        <v>6</v>
      </c>
      <c r="E43" s="9">
        <v>23</v>
      </c>
      <c r="F43" s="9">
        <v>9</v>
      </c>
      <c r="G43" s="9">
        <v>8</v>
      </c>
      <c r="H43" s="9">
        <v>24</v>
      </c>
      <c r="I43" s="9">
        <v>23</v>
      </c>
      <c r="J43" s="9">
        <v>13</v>
      </c>
      <c r="K43" s="9">
        <v>16</v>
      </c>
      <c r="L43" s="9">
        <v>36</v>
      </c>
      <c r="M43" s="9">
        <v>50</v>
      </c>
      <c r="N43" s="9">
        <v>42</v>
      </c>
      <c r="O43" s="9">
        <v>199</v>
      </c>
      <c r="P43" s="9">
        <v>8</v>
      </c>
      <c r="Q43" s="9">
        <v>12</v>
      </c>
      <c r="R43" s="9">
        <v>30</v>
      </c>
      <c r="S43" s="9">
        <v>39</v>
      </c>
      <c r="T43" s="9">
        <v>27</v>
      </c>
      <c r="U43" s="9">
        <v>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B43" s="9">
        <f t="shared" si="0"/>
        <v>584</v>
      </c>
      <c r="AC43" s="9">
        <f t="shared" si="1"/>
        <v>6085</v>
      </c>
      <c r="AD43" s="10">
        <f t="shared" si="2"/>
        <v>10.419520547945206</v>
      </c>
    </row>
    <row r="44" spans="1:30" x14ac:dyDescent="0.3">
      <c r="A44" s="55"/>
      <c r="B44" s="30" t="s">
        <v>46</v>
      </c>
      <c r="C44" s="9">
        <v>62</v>
      </c>
      <c r="D44" s="9">
        <v>30</v>
      </c>
      <c r="E44" s="9">
        <v>34</v>
      </c>
      <c r="F44" s="9">
        <v>38</v>
      </c>
      <c r="G44" s="9">
        <v>45</v>
      </c>
      <c r="H44" s="9">
        <v>74</v>
      </c>
      <c r="I44" s="9">
        <v>81</v>
      </c>
      <c r="J44" s="9">
        <v>51</v>
      </c>
      <c r="K44" s="9">
        <v>84</v>
      </c>
      <c r="L44" s="9">
        <v>78</v>
      </c>
      <c r="M44" s="9">
        <v>93</v>
      </c>
      <c r="N44" s="9">
        <v>77</v>
      </c>
      <c r="O44" s="9">
        <v>338</v>
      </c>
      <c r="P44" s="9">
        <v>12</v>
      </c>
      <c r="Q44" s="9">
        <v>11</v>
      </c>
      <c r="R44" s="9">
        <v>45</v>
      </c>
      <c r="S44" s="9">
        <v>80</v>
      </c>
      <c r="T44" s="9">
        <v>39</v>
      </c>
      <c r="U44" s="9">
        <v>0</v>
      </c>
      <c r="V44" s="9">
        <v>1</v>
      </c>
      <c r="W44" s="9">
        <v>1</v>
      </c>
      <c r="X44" s="9">
        <v>0</v>
      </c>
      <c r="Y44" s="9">
        <v>0</v>
      </c>
      <c r="Z44" s="9">
        <v>0</v>
      </c>
      <c r="AB44" s="9">
        <f t="shared" si="0"/>
        <v>1274</v>
      </c>
      <c r="AC44" s="9">
        <f t="shared" si="1"/>
        <v>11779</v>
      </c>
      <c r="AD44" s="10">
        <f t="shared" si="2"/>
        <v>9.2456828885400313</v>
      </c>
    </row>
    <row r="45" spans="1:30" x14ac:dyDescent="0.3">
      <c r="A45" s="55"/>
      <c r="B45" s="30" t="s">
        <v>47</v>
      </c>
      <c r="C45" s="9">
        <v>51</v>
      </c>
      <c r="D45" s="9">
        <v>34</v>
      </c>
      <c r="E45" s="9">
        <v>34</v>
      </c>
      <c r="F45" s="9">
        <v>47</v>
      </c>
      <c r="G45" s="9">
        <v>58</v>
      </c>
      <c r="H45" s="9">
        <v>102</v>
      </c>
      <c r="I45" s="9">
        <v>99</v>
      </c>
      <c r="J45" s="9">
        <v>64</v>
      </c>
      <c r="K45" s="9">
        <v>115</v>
      </c>
      <c r="L45" s="9">
        <v>117</v>
      </c>
      <c r="M45" s="9">
        <v>123</v>
      </c>
      <c r="N45" s="9">
        <v>105</v>
      </c>
      <c r="O45" s="9">
        <v>584</v>
      </c>
      <c r="P45" s="9">
        <v>14</v>
      </c>
      <c r="Q45" s="9">
        <v>12</v>
      </c>
      <c r="R45" s="9">
        <v>56</v>
      </c>
      <c r="S45" s="9">
        <v>69</v>
      </c>
      <c r="T45" s="9">
        <v>62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B45" s="9">
        <f t="shared" si="0"/>
        <v>1747</v>
      </c>
      <c r="AC45" s="9">
        <f t="shared" si="1"/>
        <v>16760</v>
      </c>
      <c r="AD45" s="10">
        <f t="shared" si="2"/>
        <v>9.5935890097309677</v>
      </c>
    </row>
    <row r="46" spans="1:30" x14ac:dyDescent="0.3">
      <c r="A46" s="55"/>
      <c r="B46" s="30" t="s">
        <v>48</v>
      </c>
      <c r="C46" s="9">
        <v>33</v>
      </c>
      <c r="D46" s="9">
        <v>27</v>
      </c>
      <c r="E46" s="9">
        <v>24</v>
      </c>
      <c r="F46" s="9">
        <v>31</v>
      </c>
      <c r="G46" s="9">
        <v>47</v>
      </c>
      <c r="H46" s="9">
        <v>57</v>
      </c>
      <c r="I46" s="9">
        <v>56</v>
      </c>
      <c r="J46" s="9">
        <v>52</v>
      </c>
      <c r="K46" s="9">
        <v>74</v>
      </c>
      <c r="L46" s="9">
        <v>106</v>
      </c>
      <c r="M46" s="9">
        <v>105</v>
      </c>
      <c r="N46" s="9">
        <v>91</v>
      </c>
      <c r="O46" s="9">
        <v>408</v>
      </c>
      <c r="P46" s="9">
        <v>5</v>
      </c>
      <c r="Q46" s="9">
        <v>7</v>
      </c>
      <c r="R46" s="9">
        <v>28</v>
      </c>
      <c r="S46" s="9">
        <v>43</v>
      </c>
      <c r="T46" s="9">
        <v>23</v>
      </c>
      <c r="U46" s="9">
        <v>2</v>
      </c>
      <c r="V46" s="9">
        <v>2</v>
      </c>
      <c r="W46" s="9">
        <v>0</v>
      </c>
      <c r="X46" s="9">
        <v>0</v>
      </c>
      <c r="Y46" s="9">
        <v>0</v>
      </c>
      <c r="Z46" s="9">
        <v>0</v>
      </c>
      <c r="AB46" s="9">
        <f t="shared" si="0"/>
        <v>1221</v>
      </c>
      <c r="AC46" s="9">
        <f t="shared" si="1"/>
        <v>11570</v>
      </c>
      <c r="AD46" s="10">
        <f t="shared" si="2"/>
        <v>9.4758394758394751</v>
      </c>
    </row>
    <row r="47" spans="1:30" x14ac:dyDescent="0.3">
      <c r="A47" s="55"/>
      <c r="B47" s="30" t="s">
        <v>49</v>
      </c>
      <c r="C47" s="9">
        <v>10</v>
      </c>
      <c r="D47" s="9">
        <v>6</v>
      </c>
      <c r="E47" s="9">
        <v>13</v>
      </c>
      <c r="F47" s="9">
        <v>13</v>
      </c>
      <c r="G47" s="9">
        <v>17</v>
      </c>
      <c r="H47" s="9">
        <v>31</v>
      </c>
      <c r="I47" s="9">
        <v>19</v>
      </c>
      <c r="J47" s="9">
        <v>24</v>
      </c>
      <c r="K47" s="9">
        <v>29</v>
      </c>
      <c r="L47" s="9">
        <v>21</v>
      </c>
      <c r="M47" s="9">
        <v>25</v>
      </c>
      <c r="N47" s="9">
        <v>18</v>
      </c>
      <c r="O47" s="9">
        <v>122</v>
      </c>
      <c r="P47" s="9">
        <v>0</v>
      </c>
      <c r="Q47" s="9">
        <v>6</v>
      </c>
      <c r="R47" s="9">
        <v>13</v>
      </c>
      <c r="S47" s="9">
        <v>17</v>
      </c>
      <c r="T47" s="9">
        <v>13</v>
      </c>
      <c r="U47" s="9">
        <v>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B47" s="9">
        <f t="shared" si="0"/>
        <v>398</v>
      </c>
      <c r="AC47" s="9">
        <f t="shared" si="1"/>
        <v>3699</v>
      </c>
      <c r="AD47" s="10">
        <f t="shared" si="2"/>
        <v>9.2939698492462313</v>
      </c>
    </row>
    <row r="48" spans="1:30" x14ac:dyDescent="0.3">
      <c r="A48" s="55"/>
      <c r="B48" s="30" t="s">
        <v>50</v>
      </c>
      <c r="C48" s="9">
        <v>13</v>
      </c>
      <c r="D48" s="9">
        <v>8</v>
      </c>
      <c r="E48" s="9">
        <v>7</v>
      </c>
      <c r="F48" s="9">
        <v>16</v>
      </c>
      <c r="G48" s="9">
        <v>15</v>
      </c>
      <c r="H48" s="9">
        <v>34</v>
      </c>
      <c r="I48" s="9">
        <v>25</v>
      </c>
      <c r="J48" s="9">
        <v>22</v>
      </c>
      <c r="K48" s="9">
        <v>29</v>
      </c>
      <c r="L48" s="9">
        <v>25</v>
      </c>
      <c r="M48" s="9">
        <v>40</v>
      </c>
      <c r="N48" s="9">
        <v>42</v>
      </c>
      <c r="O48" s="9">
        <v>152</v>
      </c>
      <c r="P48" s="9">
        <v>5</v>
      </c>
      <c r="Q48" s="9">
        <v>4</v>
      </c>
      <c r="R48" s="9">
        <v>15</v>
      </c>
      <c r="S48" s="9">
        <v>17</v>
      </c>
      <c r="T48" s="9">
        <v>14</v>
      </c>
      <c r="U48" s="9">
        <v>0</v>
      </c>
      <c r="V48" s="9">
        <v>0</v>
      </c>
      <c r="W48" s="9">
        <v>1</v>
      </c>
      <c r="X48" s="9">
        <v>0</v>
      </c>
      <c r="Y48" s="9">
        <v>0</v>
      </c>
      <c r="Z48" s="9">
        <v>0</v>
      </c>
      <c r="AB48" s="9">
        <f t="shared" si="0"/>
        <v>484</v>
      </c>
      <c r="AC48" s="9">
        <f t="shared" si="1"/>
        <v>4623</v>
      </c>
      <c r="AD48" s="10">
        <f t="shared" si="2"/>
        <v>9.5516528925619841</v>
      </c>
    </row>
    <row r="49" spans="1:30" x14ac:dyDescent="0.3">
      <c r="A49" s="55"/>
      <c r="B49" s="30" t="s">
        <v>51</v>
      </c>
      <c r="C49" s="9">
        <v>20</v>
      </c>
      <c r="D49" s="9">
        <v>10</v>
      </c>
      <c r="E49" s="9">
        <v>21</v>
      </c>
      <c r="F49" s="9">
        <v>22</v>
      </c>
      <c r="G49" s="9">
        <v>23</v>
      </c>
      <c r="H49" s="9">
        <v>28</v>
      </c>
      <c r="I49" s="9">
        <v>41</v>
      </c>
      <c r="J49" s="9">
        <v>42</v>
      </c>
      <c r="K49" s="9">
        <v>72</v>
      </c>
      <c r="L49" s="9">
        <v>58</v>
      </c>
      <c r="M49" s="9">
        <v>87</v>
      </c>
      <c r="N49" s="9">
        <v>68</v>
      </c>
      <c r="O49" s="9">
        <v>305</v>
      </c>
      <c r="P49" s="9">
        <v>7</v>
      </c>
      <c r="Q49" s="9">
        <v>6</v>
      </c>
      <c r="R49" s="9">
        <v>18</v>
      </c>
      <c r="S49" s="9">
        <v>21</v>
      </c>
      <c r="T49" s="9">
        <v>13</v>
      </c>
      <c r="U49" s="9">
        <v>0</v>
      </c>
      <c r="V49" s="9">
        <v>0</v>
      </c>
      <c r="W49" s="9">
        <v>2</v>
      </c>
      <c r="X49" s="9">
        <v>0</v>
      </c>
      <c r="Y49" s="9">
        <v>0</v>
      </c>
      <c r="Z49" s="9">
        <v>0</v>
      </c>
      <c r="AB49" s="9">
        <f t="shared" si="0"/>
        <v>864</v>
      </c>
      <c r="AC49" s="9">
        <f t="shared" si="1"/>
        <v>8308</v>
      </c>
      <c r="AD49" s="10">
        <f t="shared" si="2"/>
        <v>9.6157407407407405</v>
      </c>
    </row>
    <row r="50" spans="1:30" x14ac:dyDescent="0.3">
      <c r="A50" s="55"/>
      <c r="B50" s="30" t="s">
        <v>52</v>
      </c>
      <c r="C50" s="9">
        <v>1</v>
      </c>
      <c r="D50" s="9">
        <v>1</v>
      </c>
      <c r="E50" s="9">
        <v>1</v>
      </c>
      <c r="F50" s="9">
        <v>0</v>
      </c>
      <c r="G50" s="9">
        <v>4</v>
      </c>
      <c r="H50" s="9">
        <v>5</v>
      </c>
      <c r="I50" s="9">
        <v>12</v>
      </c>
      <c r="J50" s="9">
        <v>5</v>
      </c>
      <c r="K50" s="9">
        <v>8</v>
      </c>
      <c r="L50" s="9">
        <v>3</v>
      </c>
      <c r="M50" s="9">
        <v>4</v>
      </c>
      <c r="N50" s="9">
        <v>4</v>
      </c>
      <c r="O50" s="9">
        <v>41</v>
      </c>
      <c r="P50" s="9">
        <v>0</v>
      </c>
      <c r="Q50" s="9">
        <v>0</v>
      </c>
      <c r="R50" s="9">
        <v>0</v>
      </c>
      <c r="S50" s="9">
        <v>5</v>
      </c>
      <c r="T50" s="9">
        <v>2</v>
      </c>
      <c r="U50" s="9">
        <v>0</v>
      </c>
      <c r="V50" s="9">
        <v>2</v>
      </c>
      <c r="W50" s="9">
        <v>0</v>
      </c>
      <c r="X50" s="9">
        <v>0</v>
      </c>
      <c r="Y50" s="9">
        <v>0</v>
      </c>
      <c r="Z50" s="9">
        <v>0</v>
      </c>
      <c r="AB50" s="9">
        <f t="shared" si="0"/>
        <v>98</v>
      </c>
      <c r="AC50" s="9">
        <f t="shared" si="1"/>
        <v>970</v>
      </c>
      <c r="AD50" s="10">
        <f t="shared" si="2"/>
        <v>9.8979591836734695</v>
      </c>
    </row>
    <row r="51" spans="1:30" x14ac:dyDescent="0.3">
      <c r="A51" s="55"/>
      <c r="B51" s="30" t="s">
        <v>53</v>
      </c>
      <c r="C51" s="9">
        <v>26</v>
      </c>
      <c r="D51" s="9">
        <v>23</v>
      </c>
      <c r="E51" s="9">
        <v>29</v>
      </c>
      <c r="F51" s="9">
        <v>31</v>
      </c>
      <c r="G51" s="9">
        <v>43</v>
      </c>
      <c r="H51" s="9">
        <v>54</v>
      </c>
      <c r="I51" s="9">
        <v>48</v>
      </c>
      <c r="J51" s="9">
        <v>50</v>
      </c>
      <c r="K51" s="9">
        <v>79</v>
      </c>
      <c r="L51" s="9">
        <v>53</v>
      </c>
      <c r="M51" s="9">
        <v>61</v>
      </c>
      <c r="N51" s="9">
        <v>46</v>
      </c>
      <c r="O51" s="9">
        <v>241</v>
      </c>
      <c r="P51" s="9">
        <v>5</v>
      </c>
      <c r="Q51" s="9">
        <v>6</v>
      </c>
      <c r="R51" s="9">
        <v>21</v>
      </c>
      <c r="S51" s="9">
        <v>32</v>
      </c>
      <c r="T51" s="9">
        <v>16</v>
      </c>
      <c r="U51" s="9">
        <v>0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B51" s="9">
        <f t="shared" si="0"/>
        <v>865</v>
      </c>
      <c r="AC51" s="9">
        <f t="shared" si="1"/>
        <v>7638</v>
      </c>
      <c r="AD51" s="10">
        <f t="shared" si="2"/>
        <v>8.8300578034682076</v>
      </c>
    </row>
    <row r="52" spans="1:30" x14ac:dyDescent="0.3">
      <c r="A52" s="55"/>
      <c r="B52" s="30" t="s">
        <v>54</v>
      </c>
      <c r="C52" s="9">
        <v>73</v>
      </c>
      <c r="D52" s="9">
        <v>36</v>
      </c>
      <c r="E52" s="9">
        <v>47</v>
      </c>
      <c r="F52" s="9">
        <v>71</v>
      </c>
      <c r="G52" s="9">
        <v>58</v>
      </c>
      <c r="H52" s="9">
        <v>84</v>
      </c>
      <c r="I52" s="9">
        <v>55</v>
      </c>
      <c r="J52" s="9">
        <v>43</v>
      </c>
      <c r="K52" s="9">
        <v>70</v>
      </c>
      <c r="L52" s="9">
        <v>55</v>
      </c>
      <c r="M52" s="9">
        <v>61</v>
      </c>
      <c r="N52" s="9">
        <v>74</v>
      </c>
      <c r="O52" s="9">
        <v>250</v>
      </c>
      <c r="P52" s="9">
        <v>8</v>
      </c>
      <c r="Q52" s="9">
        <v>9</v>
      </c>
      <c r="R52" s="9">
        <v>36</v>
      </c>
      <c r="S52" s="9">
        <v>45</v>
      </c>
      <c r="T52" s="9">
        <v>31</v>
      </c>
      <c r="U52" s="9">
        <v>1</v>
      </c>
      <c r="V52" s="9">
        <v>2</v>
      </c>
      <c r="W52" s="9">
        <v>1</v>
      </c>
      <c r="X52" s="9">
        <v>0</v>
      </c>
      <c r="Y52" s="9">
        <v>0</v>
      </c>
      <c r="Z52" s="9">
        <v>0</v>
      </c>
      <c r="AB52" s="9">
        <f t="shared" si="0"/>
        <v>1110</v>
      </c>
      <c r="AC52" s="9">
        <f t="shared" si="1"/>
        <v>9198</v>
      </c>
      <c r="AD52" s="10">
        <f t="shared" si="2"/>
        <v>8.2864864864864867</v>
      </c>
    </row>
    <row r="53" spans="1:30" x14ac:dyDescent="0.3">
      <c r="A53" s="55"/>
      <c r="B53" s="30" t="s">
        <v>55</v>
      </c>
      <c r="C53" s="9">
        <v>154</v>
      </c>
      <c r="D53" s="9">
        <v>52</v>
      </c>
      <c r="E53" s="9">
        <v>101</v>
      </c>
      <c r="F53" s="9">
        <v>157</v>
      </c>
      <c r="G53" s="9">
        <v>122</v>
      </c>
      <c r="H53" s="9">
        <v>141</v>
      </c>
      <c r="I53" s="9">
        <v>112</v>
      </c>
      <c r="J53" s="9">
        <v>84</v>
      </c>
      <c r="K53" s="9">
        <v>98</v>
      </c>
      <c r="L53" s="9">
        <v>100</v>
      </c>
      <c r="M53" s="9">
        <v>88</v>
      </c>
      <c r="N53" s="9">
        <v>81</v>
      </c>
      <c r="O53" s="9">
        <v>311</v>
      </c>
      <c r="P53" s="9">
        <v>11</v>
      </c>
      <c r="Q53" s="9">
        <v>7</v>
      </c>
      <c r="R53" s="9">
        <v>45</v>
      </c>
      <c r="S53" s="9">
        <v>61</v>
      </c>
      <c r="T53" s="9">
        <v>22</v>
      </c>
      <c r="U53" s="9">
        <v>0</v>
      </c>
      <c r="V53" s="9">
        <v>1</v>
      </c>
      <c r="W53" s="9">
        <v>0</v>
      </c>
      <c r="X53" s="9">
        <v>0</v>
      </c>
      <c r="Y53" s="9">
        <v>0</v>
      </c>
      <c r="Z53" s="9">
        <v>0</v>
      </c>
      <c r="AB53" s="9">
        <f t="shared" si="0"/>
        <v>1748</v>
      </c>
      <c r="AC53" s="9">
        <f t="shared" si="1"/>
        <v>12650</v>
      </c>
      <c r="AD53" s="10">
        <f t="shared" si="2"/>
        <v>7.2368421052631575</v>
      </c>
    </row>
    <row r="54" spans="1:30" x14ac:dyDescent="0.3">
      <c r="A54" s="55"/>
      <c r="B54" s="30" t="s">
        <v>56</v>
      </c>
      <c r="C54" s="9">
        <v>93</v>
      </c>
      <c r="D54" s="9">
        <v>31</v>
      </c>
      <c r="E54" s="9">
        <v>60</v>
      </c>
      <c r="F54" s="9">
        <v>102</v>
      </c>
      <c r="G54" s="9">
        <v>93</v>
      </c>
      <c r="H54" s="9">
        <v>127</v>
      </c>
      <c r="I54" s="9">
        <v>100</v>
      </c>
      <c r="J54" s="9">
        <v>66</v>
      </c>
      <c r="K54" s="9">
        <v>123</v>
      </c>
      <c r="L54" s="9">
        <v>99</v>
      </c>
      <c r="M54" s="9">
        <v>103</v>
      </c>
      <c r="N54" s="9">
        <v>73</v>
      </c>
      <c r="O54" s="9">
        <v>457</v>
      </c>
      <c r="P54" s="9">
        <v>13</v>
      </c>
      <c r="Q54" s="9">
        <v>11</v>
      </c>
      <c r="R54" s="9">
        <v>70</v>
      </c>
      <c r="S54" s="9">
        <v>82</v>
      </c>
      <c r="T54" s="9">
        <v>53</v>
      </c>
      <c r="U54" s="9">
        <v>0</v>
      </c>
      <c r="V54" s="9">
        <v>0</v>
      </c>
      <c r="W54" s="9">
        <v>2</v>
      </c>
      <c r="X54" s="9">
        <v>0</v>
      </c>
      <c r="Y54" s="9">
        <v>0</v>
      </c>
      <c r="Z54" s="9">
        <v>0</v>
      </c>
      <c r="AB54" s="9">
        <f t="shared" si="0"/>
        <v>1758</v>
      </c>
      <c r="AC54" s="9">
        <f t="shared" si="1"/>
        <v>15344</v>
      </c>
      <c r="AD54" s="10">
        <f t="shared" si="2"/>
        <v>8.7281001137656435</v>
      </c>
    </row>
    <row r="55" spans="1:30" x14ac:dyDescent="0.3">
      <c r="A55" s="55"/>
      <c r="B55" s="30" t="s">
        <v>57</v>
      </c>
      <c r="C55" s="9">
        <v>57</v>
      </c>
      <c r="D55" s="9">
        <v>23</v>
      </c>
      <c r="E55" s="9">
        <v>27</v>
      </c>
      <c r="F55" s="9">
        <v>55</v>
      </c>
      <c r="G55" s="9">
        <v>33</v>
      </c>
      <c r="H55" s="9">
        <v>47</v>
      </c>
      <c r="I55" s="9">
        <v>51</v>
      </c>
      <c r="J55" s="9">
        <v>26</v>
      </c>
      <c r="K55" s="9">
        <v>26</v>
      </c>
      <c r="L55" s="9">
        <v>33</v>
      </c>
      <c r="M55" s="9">
        <v>41</v>
      </c>
      <c r="N55" s="9">
        <v>29</v>
      </c>
      <c r="O55" s="9">
        <v>109</v>
      </c>
      <c r="P55" s="9">
        <v>2</v>
      </c>
      <c r="Q55" s="9">
        <v>2</v>
      </c>
      <c r="R55" s="9">
        <v>8</v>
      </c>
      <c r="S55" s="9">
        <v>6</v>
      </c>
      <c r="T55" s="9">
        <v>6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B55" s="9">
        <f t="shared" si="0"/>
        <v>581</v>
      </c>
      <c r="AC55" s="9">
        <f t="shared" si="1"/>
        <v>4011</v>
      </c>
      <c r="AD55" s="10">
        <f t="shared" si="2"/>
        <v>6.903614457831325</v>
      </c>
    </row>
    <row r="56" spans="1:30" x14ac:dyDescent="0.3">
      <c r="A56" s="55"/>
      <c r="B56" s="30" t="s">
        <v>58</v>
      </c>
      <c r="C56" s="9">
        <v>50</v>
      </c>
      <c r="D56" s="9">
        <v>12</v>
      </c>
      <c r="E56" s="9">
        <v>17</v>
      </c>
      <c r="F56" s="9">
        <v>34</v>
      </c>
      <c r="G56" s="9">
        <v>21</v>
      </c>
      <c r="H56" s="9">
        <v>28</v>
      </c>
      <c r="I56" s="9">
        <v>27</v>
      </c>
      <c r="J56" s="9">
        <v>27</v>
      </c>
      <c r="K56" s="9">
        <v>46</v>
      </c>
      <c r="L56" s="9">
        <v>47</v>
      </c>
      <c r="M56" s="9">
        <v>53</v>
      </c>
      <c r="N56" s="9">
        <v>46</v>
      </c>
      <c r="O56" s="9">
        <v>231</v>
      </c>
      <c r="P56" s="9">
        <v>4</v>
      </c>
      <c r="Q56" s="9">
        <v>13</v>
      </c>
      <c r="R56" s="9">
        <v>44</v>
      </c>
      <c r="S56" s="9">
        <v>58</v>
      </c>
      <c r="T56" s="9">
        <v>34</v>
      </c>
      <c r="U56" s="9">
        <v>2</v>
      </c>
      <c r="V56" s="9">
        <v>1</v>
      </c>
      <c r="W56" s="9">
        <v>0</v>
      </c>
      <c r="X56" s="9">
        <v>0</v>
      </c>
      <c r="Y56" s="9">
        <v>2</v>
      </c>
      <c r="Z56" s="9">
        <v>0</v>
      </c>
      <c r="AB56" s="9">
        <f t="shared" si="0"/>
        <v>797</v>
      </c>
      <c r="AC56" s="9">
        <f t="shared" si="1"/>
        <v>7821</v>
      </c>
      <c r="AD56" s="10">
        <f t="shared" si="2"/>
        <v>9.8130489335006281</v>
      </c>
    </row>
    <row r="57" spans="1:30" x14ac:dyDescent="0.3">
      <c r="A57" s="55"/>
      <c r="B57" s="30" t="s">
        <v>59</v>
      </c>
      <c r="C57" s="9">
        <v>72</v>
      </c>
      <c r="D57" s="9">
        <v>43</v>
      </c>
      <c r="E57" s="9">
        <v>48</v>
      </c>
      <c r="F57" s="9">
        <v>103</v>
      </c>
      <c r="G57" s="9">
        <v>83</v>
      </c>
      <c r="H57" s="9">
        <v>128</v>
      </c>
      <c r="I57" s="9">
        <v>102</v>
      </c>
      <c r="J57" s="9">
        <v>64</v>
      </c>
      <c r="K57" s="9">
        <v>83</v>
      </c>
      <c r="L57" s="9">
        <v>83</v>
      </c>
      <c r="M57" s="9">
        <v>85</v>
      </c>
      <c r="N57" s="9">
        <v>81</v>
      </c>
      <c r="O57" s="9">
        <v>302</v>
      </c>
      <c r="P57" s="9">
        <v>7</v>
      </c>
      <c r="Q57" s="9">
        <v>10</v>
      </c>
      <c r="R57" s="9">
        <v>28</v>
      </c>
      <c r="S57" s="9">
        <v>61</v>
      </c>
      <c r="T57" s="9">
        <v>23</v>
      </c>
      <c r="U57" s="9">
        <v>1</v>
      </c>
      <c r="V57" s="9">
        <v>3</v>
      </c>
      <c r="W57" s="9">
        <v>1</v>
      </c>
      <c r="X57" s="9">
        <v>0</v>
      </c>
      <c r="Y57" s="9">
        <v>0</v>
      </c>
      <c r="Z57" s="9">
        <v>0</v>
      </c>
      <c r="AB57" s="9">
        <f t="shared" si="0"/>
        <v>1411</v>
      </c>
      <c r="AC57" s="9">
        <f t="shared" si="1"/>
        <v>11369</v>
      </c>
      <c r="AD57" s="10">
        <f t="shared" si="2"/>
        <v>8.0574060949681083</v>
      </c>
    </row>
    <row r="58" spans="1:30" x14ac:dyDescent="0.3">
      <c r="A58" s="55"/>
      <c r="B58" s="30" t="s">
        <v>60</v>
      </c>
      <c r="C58" s="9">
        <v>153</v>
      </c>
      <c r="D58" s="9">
        <v>31</v>
      </c>
      <c r="E58" s="9">
        <v>62</v>
      </c>
      <c r="F58" s="9">
        <v>77</v>
      </c>
      <c r="G58" s="9">
        <v>75</v>
      </c>
      <c r="H58" s="9">
        <v>82</v>
      </c>
      <c r="I58" s="9">
        <v>58</v>
      </c>
      <c r="J58" s="9">
        <v>54</v>
      </c>
      <c r="K58" s="9">
        <v>48</v>
      </c>
      <c r="L58" s="9">
        <v>51</v>
      </c>
      <c r="M58" s="9">
        <v>43</v>
      </c>
      <c r="N58" s="9">
        <v>31</v>
      </c>
      <c r="O58" s="9">
        <v>172</v>
      </c>
      <c r="P58" s="9">
        <v>3</v>
      </c>
      <c r="Q58" s="9">
        <v>5</v>
      </c>
      <c r="R58" s="9">
        <v>29</v>
      </c>
      <c r="S58" s="9">
        <v>32</v>
      </c>
      <c r="T58" s="9">
        <v>15</v>
      </c>
      <c r="U58" s="9">
        <v>0</v>
      </c>
      <c r="V58" s="9">
        <v>0</v>
      </c>
      <c r="W58" s="9">
        <v>1</v>
      </c>
      <c r="X58" s="9">
        <v>0</v>
      </c>
      <c r="Y58" s="9">
        <v>0</v>
      </c>
      <c r="Z58" s="9">
        <v>0</v>
      </c>
      <c r="AB58" s="9">
        <f t="shared" si="0"/>
        <v>1022</v>
      </c>
      <c r="AC58" s="9">
        <f t="shared" si="1"/>
        <v>6831</v>
      </c>
      <c r="AD58" s="10">
        <f t="shared" si="2"/>
        <v>6.6839530332681019</v>
      </c>
    </row>
    <row r="59" spans="1:30" x14ac:dyDescent="0.3">
      <c r="A59" s="55"/>
      <c r="B59" s="30" t="s">
        <v>61</v>
      </c>
      <c r="C59" s="9">
        <v>71</v>
      </c>
      <c r="D59" s="9">
        <v>21</v>
      </c>
      <c r="E59" s="9">
        <v>41</v>
      </c>
      <c r="F59" s="9">
        <v>72</v>
      </c>
      <c r="G59" s="9">
        <v>45</v>
      </c>
      <c r="H59" s="9">
        <v>69</v>
      </c>
      <c r="I59" s="9">
        <v>54</v>
      </c>
      <c r="J59" s="9">
        <v>29</v>
      </c>
      <c r="K59" s="9">
        <v>50</v>
      </c>
      <c r="L59" s="9">
        <v>31</v>
      </c>
      <c r="M59" s="9">
        <v>46</v>
      </c>
      <c r="N59" s="9">
        <v>46</v>
      </c>
      <c r="O59" s="9">
        <v>124</v>
      </c>
      <c r="P59" s="9">
        <v>3</v>
      </c>
      <c r="Q59" s="9">
        <v>7</v>
      </c>
      <c r="R59" s="9">
        <v>9</v>
      </c>
      <c r="S59" s="9">
        <v>13</v>
      </c>
      <c r="T59" s="9">
        <v>10</v>
      </c>
      <c r="U59" s="9">
        <v>0</v>
      </c>
      <c r="V59" s="9">
        <v>3</v>
      </c>
      <c r="W59" s="9">
        <v>0</v>
      </c>
      <c r="X59" s="9">
        <v>0</v>
      </c>
      <c r="Y59" s="9">
        <v>0</v>
      </c>
      <c r="Z59" s="9">
        <v>0</v>
      </c>
      <c r="AB59" s="9">
        <f t="shared" si="0"/>
        <v>744</v>
      </c>
      <c r="AC59" s="9">
        <f t="shared" si="1"/>
        <v>5211</v>
      </c>
      <c r="AD59" s="10">
        <f t="shared" si="2"/>
        <v>7.004032258064516</v>
      </c>
    </row>
    <row r="60" spans="1:30" x14ac:dyDescent="0.3">
      <c r="A60" s="55"/>
      <c r="B60" s="30" t="s">
        <v>62</v>
      </c>
      <c r="C60" s="9">
        <v>123</v>
      </c>
      <c r="D60" s="9">
        <v>115</v>
      </c>
      <c r="E60" s="9">
        <v>149</v>
      </c>
      <c r="F60" s="9">
        <v>237</v>
      </c>
      <c r="G60" s="9">
        <v>227</v>
      </c>
      <c r="H60" s="9">
        <v>311</v>
      </c>
      <c r="I60" s="9">
        <v>196</v>
      </c>
      <c r="J60" s="9">
        <v>189</v>
      </c>
      <c r="K60" s="9">
        <v>231</v>
      </c>
      <c r="L60" s="9">
        <v>236</v>
      </c>
      <c r="M60" s="9">
        <v>226</v>
      </c>
      <c r="N60" s="9">
        <v>206</v>
      </c>
      <c r="O60" s="9">
        <v>774</v>
      </c>
      <c r="P60" s="9">
        <v>13</v>
      </c>
      <c r="Q60" s="9">
        <v>28</v>
      </c>
      <c r="R60" s="9">
        <v>107</v>
      </c>
      <c r="S60" s="9">
        <v>111</v>
      </c>
      <c r="T60" s="9">
        <v>66</v>
      </c>
      <c r="U60" s="9">
        <v>1</v>
      </c>
      <c r="V60" s="9">
        <v>8</v>
      </c>
      <c r="W60" s="9">
        <v>0</v>
      </c>
      <c r="X60" s="9">
        <v>0</v>
      </c>
      <c r="Y60" s="9">
        <v>0</v>
      </c>
      <c r="Z60" s="9">
        <v>0</v>
      </c>
      <c r="AB60" s="9">
        <f t="shared" si="0"/>
        <v>3554</v>
      </c>
      <c r="AC60" s="9">
        <f t="shared" si="1"/>
        <v>29106</v>
      </c>
      <c r="AD60" s="10">
        <f t="shared" si="2"/>
        <v>8.1896454698930778</v>
      </c>
    </row>
    <row r="61" spans="1:30" x14ac:dyDescent="0.3">
      <c r="A61" s="55"/>
      <c r="B61" s="30" t="s">
        <v>63</v>
      </c>
      <c r="C61" s="9">
        <v>45</v>
      </c>
      <c r="D61" s="9">
        <v>59</v>
      </c>
      <c r="E61" s="9">
        <v>62</v>
      </c>
      <c r="F61" s="9">
        <v>102</v>
      </c>
      <c r="G61" s="9">
        <v>107</v>
      </c>
      <c r="H61" s="9">
        <v>178</v>
      </c>
      <c r="I61" s="9">
        <v>173</v>
      </c>
      <c r="J61" s="9">
        <v>121</v>
      </c>
      <c r="K61" s="9">
        <v>184</v>
      </c>
      <c r="L61" s="9">
        <v>180</v>
      </c>
      <c r="M61" s="9">
        <v>202</v>
      </c>
      <c r="N61" s="9">
        <v>174</v>
      </c>
      <c r="O61" s="9">
        <v>562</v>
      </c>
      <c r="P61" s="9">
        <v>19</v>
      </c>
      <c r="Q61" s="9">
        <v>27</v>
      </c>
      <c r="R61" s="9">
        <v>83</v>
      </c>
      <c r="S61" s="9">
        <v>114</v>
      </c>
      <c r="T61" s="9">
        <v>53</v>
      </c>
      <c r="U61" s="9">
        <v>2</v>
      </c>
      <c r="V61" s="9">
        <v>3</v>
      </c>
      <c r="W61" s="9">
        <v>0</v>
      </c>
      <c r="X61" s="9">
        <v>0</v>
      </c>
      <c r="Y61" s="9">
        <v>0</v>
      </c>
      <c r="Z61" s="9">
        <v>0</v>
      </c>
      <c r="AB61" s="9">
        <f t="shared" si="0"/>
        <v>2450</v>
      </c>
      <c r="AC61" s="9">
        <f t="shared" si="1"/>
        <v>22150</v>
      </c>
      <c r="AD61" s="10">
        <f t="shared" si="2"/>
        <v>9.0408163265306118</v>
      </c>
    </row>
    <row r="62" spans="1:30" x14ac:dyDescent="0.3">
      <c r="A62" s="55"/>
      <c r="B62" s="30" t="s">
        <v>64</v>
      </c>
      <c r="C62" s="9">
        <v>69</v>
      </c>
      <c r="D62" s="9">
        <v>44</v>
      </c>
      <c r="E62" s="9">
        <v>50</v>
      </c>
      <c r="F62" s="9">
        <v>66</v>
      </c>
      <c r="G62" s="9">
        <v>62</v>
      </c>
      <c r="H62" s="9">
        <v>107</v>
      </c>
      <c r="I62" s="9">
        <v>100</v>
      </c>
      <c r="J62" s="9">
        <v>73</v>
      </c>
      <c r="K62" s="9">
        <v>106</v>
      </c>
      <c r="L62" s="9">
        <v>84</v>
      </c>
      <c r="M62" s="9">
        <v>111</v>
      </c>
      <c r="N62" s="9">
        <v>118</v>
      </c>
      <c r="O62" s="9">
        <v>313</v>
      </c>
      <c r="P62" s="9">
        <v>8</v>
      </c>
      <c r="Q62" s="9">
        <v>8</v>
      </c>
      <c r="R62" s="9">
        <v>43</v>
      </c>
      <c r="S62" s="9">
        <v>69</v>
      </c>
      <c r="T62" s="9">
        <v>16</v>
      </c>
      <c r="U62" s="9">
        <v>0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B62" s="9">
        <f t="shared" si="0"/>
        <v>1448</v>
      </c>
      <c r="AC62" s="9">
        <f t="shared" si="1"/>
        <v>12260</v>
      </c>
      <c r="AD62" s="10">
        <f t="shared" si="2"/>
        <v>8.4668508287292816</v>
      </c>
    </row>
    <row r="63" spans="1:30" x14ac:dyDescent="0.3">
      <c r="A63" s="55"/>
      <c r="B63" s="30" t="s">
        <v>65</v>
      </c>
      <c r="C63" s="9">
        <v>34</v>
      </c>
      <c r="D63" s="9">
        <v>9</v>
      </c>
      <c r="E63" s="9">
        <v>23</v>
      </c>
      <c r="F63" s="9">
        <v>27</v>
      </c>
      <c r="G63" s="9">
        <v>28</v>
      </c>
      <c r="H63" s="9">
        <v>36</v>
      </c>
      <c r="I63" s="9">
        <v>17</v>
      </c>
      <c r="J63" s="9">
        <v>8</v>
      </c>
      <c r="K63" s="9">
        <v>20</v>
      </c>
      <c r="L63" s="9">
        <v>16</v>
      </c>
      <c r="M63" s="9">
        <v>16</v>
      </c>
      <c r="N63" s="9">
        <v>16</v>
      </c>
      <c r="O63" s="9">
        <v>51</v>
      </c>
      <c r="P63" s="9">
        <v>2</v>
      </c>
      <c r="Q63" s="9">
        <v>3</v>
      </c>
      <c r="R63" s="9">
        <v>12</v>
      </c>
      <c r="S63" s="9">
        <v>12</v>
      </c>
      <c r="T63" s="9">
        <v>10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B63" s="9">
        <f t="shared" si="0"/>
        <v>340</v>
      </c>
      <c r="AC63" s="9">
        <f t="shared" si="1"/>
        <v>2448</v>
      </c>
      <c r="AD63" s="10">
        <f t="shared" si="2"/>
        <v>7.2</v>
      </c>
    </row>
    <row r="64" spans="1:30" x14ac:dyDescent="0.3">
      <c r="A64" s="55"/>
      <c r="B64" s="30" t="s">
        <v>66</v>
      </c>
      <c r="C64" s="9">
        <v>24</v>
      </c>
      <c r="D64" s="9">
        <v>9</v>
      </c>
      <c r="E64" s="9">
        <v>13</v>
      </c>
      <c r="F64" s="9">
        <v>28</v>
      </c>
      <c r="G64" s="9">
        <v>28</v>
      </c>
      <c r="H64" s="9">
        <v>40</v>
      </c>
      <c r="I64" s="9">
        <v>33</v>
      </c>
      <c r="J64" s="9">
        <v>29</v>
      </c>
      <c r="K64" s="9">
        <v>24</v>
      </c>
      <c r="L64" s="9">
        <v>40</v>
      </c>
      <c r="M64" s="9">
        <v>51</v>
      </c>
      <c r="N64" s="9">
        <v>41</v>
      </c>
      <c r="O64" s="9">
        <v>171</v>
      </c>
      <c r="P64" s="9">
        <v>5</v>
      </c>
      <c r="Q64" s="9">
        <v>2</v>
      </c>
      <c r="R64" s="9">
        <v>19</v>
      </c>
      <c r="S64" s="9">
        <v>24</v>
      </c>
      <c r="T64" s="9">
        <v>21</v>
      </c>
      <c r="U64" s="9">
        <v>3</v>
      </c>
      <c r="V64" s="9">
        <v>1</v>
      </c>
      <c r="W64" s="9">
        <v>0</v>
      </c>
      <c r="X64" s="9">
        <v>0</v>
      </c>
      <c r="Y64" s="9">
        <v>0</v>
      </c>
      <c r="Z64" s="9">
        <v>0</v>
      </c>
      <c r="AB64" s="9">
        <f t="shared" si="0"/>
        <v>606</v>
      </c>
      <c r="AC64" s="9">
        <f t="shared" si="1"/>
        <v>5589</v>
      </c>
      <c r="AD64" s="10">
        <f t="shared" si="2"/>
        <v>9.2227722772277225</v>
      </c>
    </row>
    <row r="65" spans="1:30" x14ac:dyDescent="0.3">
      <c r="A65" s="55"/>
      <c r="B65" s="30" t="s">
        <v>67</v>
      </c>
      <c r="C65" s="9">
        <v>44</v>
      </c>
      <c r="D65" s="9">
        <v>35</v>
      </c>
      <c r="E65" s="9">
        <v>60</v>
      </c>
      <c r="F65" s="9">
        <v>53</v>
      </c>
      <c r="G65" s="9">
        <v>49</v>
      </c>
      <c r="H65" s="9">
        <v>88</v>
      </c>
      <c r="I65" s="9">
        <v>110</v>
      </c>
      <c r="J65" s="9">
        <v>67</v>
      </c>
      <c r="K65" s="9">
        <v>94</v>
      </c>
      <c r="L65" s="9">
        <v>126</v>
      </c>
      <c r="M65" s="9">
        <v>156</v>
      </c>
      <c r="N65" s="9">
        <v>129</v>
      </c>
      <c r="O65" s="9">
        <v>386</v>
      </c>
      <c r="P65" s="9">
        <v>8</v>
      </c>
      <c r="Q65" s="9">
        <v>16</v>
      </c>
      <c r="R65" s="9">
        <v>71</v>
      </c>
      <c r="S65" s="9">
        <v>90</v>
      </c>
      <c r="T65" s="9">
        <v>41</v>
      </c>
      <c r="U65" s="9">
        <v>1</v>
      </c>
      <c r="V65" s="9">
        <v>1</v>
      </c>
      <c r="W65" s="9">
        <v>0</v>
      </c>
      <c r="X65" s="9">
        <v>0</v>
      </c>
      <c r="Y65" s="9">
        <v>0</v>
      </c>
      <c r="Z65" s="9">
        <v>0</v>
      </c>
      <c r="AB65" s="9">
        <f t="shared" si="0"/>
        <v>1625</v>
      </c>
      <c r="AC65" s="9">
        <f t="shared" si="1"/>
        <v>15143</v>
      </c>
      <c r="AD65" s="10">
        <f t="shared" si="2"/>
        <v>9.3187692307692309</v>
      </c>
    </row>
    <row r="66" spans="1:30" x14ac:dyDescent="0.3">
      <c r="A66" s="55"/>
      <c r="B66" s="30" t="s">
        <v>68</v>
      </c>
      <c r="C66" s="9">
        <v>62</v>
      </c>
      <c r="D66" s="9">
        <v>58</v>
      </c>
      <c r="E66" s="9">
        <v>66</v>
      </c>
      <c r="F66" s="9">
        <v>80</v>
      </c>
      <c r="G66" s="9">
        <v>80</v>
      </c>
      <c r="H66" s="9">
        <v>141</v>
      </c>
      <c r="I66" s="9">
        <v>145</v>
      </c>
      <c r="J66" s="9">
        <v>142</v>
      </c>
      <c r="K66" s="9">
        <v>161</v>
      </c>
      <c r="L66" s="9">
        <v>170</v>
      </c>
      <c r="M66" s="9">
        <v>218</v>
      </c>
      <c r="N66" s="9">
        <v>223</v>
      </c>
      <c r="O66" s="9">
        <v>598</v>
      </c>
      <c r="P66" s="9">
        <v>15</v>
      </c>
      <c r="Q66" s="9">
        <v>20</v>
      </c>
      <c r="R66" s="9">
        <v>75</v>
      </c>
      <c r="S66" s="9">
        <v>98</v>
      </c>
      <c r="T66" s="9">
        <v>38</v>
      </c>
      <c r="U66" s="9">
        <v>5</v>
      </c>
      <c r="V66" s="9">
        <v>3</v>
      </c>
      <c r="W66" s="9">
        <v>2</v>
      </c>
      <c r="X66" s="9">
        <v>0</v>
      </c>
      <c r="Y66" s="9">
        <v>0</v>
      </c>
      <c r="Z66" s="9">
        <v>0</v>
      </c>
      <c r="AB66" s="9">
        <f t="shared" si="0"/>
        <v>2400</v>
      </c>
      <c r="AC66" s="9">
        <f t="shared" si="1"/>
        <v>21947</v>
      </c>
      <c r="AD66" s="10">
        <f t="shared" si="2"/>
        <v>9.1445833333333333</v>
      </c>
    </row>
    <row r="67" spans="1:30" x14ac:dyDescent="0.3">
      <c r="A67" s="55"/>
      <c r="B67" s="30" t="s">
        <v>69</v>
      </c>
      <c r="C67" s="9">
        <v>57</v>
      </c>
      <c r="D67" s="9">
        <v>34</v>
      </c>
      <c r="E67" s="9">
        <v>31</v>
      </c>
      <c r="F67" s="9">
        <v>50</v>
      </c>
      <c r="G67" s="9">
        <v>37</v>
      </c>
      <c r="H67" s="9">
        <v>109</v>
      </c>
      <c r="I67" s="9">
        <v>110</v>
      </c>
      <c r="J67" s="9">
        <v>67</v>
      </c>
      <c r="K67" s="9">
        <v>97</v>
      </c>
      <c r="L67" s="9">
        <v>128</v>
      </c>
      <c r="M67" s="9">
        <v>120</v>
      </c>
      <c r="N67" s="9">
        <v>126</v>
      </c>
      <c r="O67" s="9">
        <v>353</v>
      </c>
      <c r="P67" s="9">
        <v>15</v>
      </c>
      <c r="Q67" s="9">
        <v>20</v>
      </c>
      <c r="R67" s="9">
        <v>46</v>
      </c>
      <c r="S67" s="9">
        <v>57</v>
      </c>
      <c r="T67" s="9">
        <v>29</v>
      </c>
      <c r="U67" s="9">
        <v>3</v>
      </c>
      <c r="V67" s="9">
        <v>5</v>
      </c>
      <c r="W67" s="9">
        <v>1</v>
      </c>
      <c r="X67" s="9">
        <v>1</v>
      </c>
      <c r="Y67" s="9">
        <v>0</v>
      </c>
      <c r="Z67" s="9">
        <v>0</v>
      </c>
      <c r="AB67" s="9">
        <f t="shared" si="0"/>
        <v>1496</v>
      </c>
      <c r="AC67" s="9">
        <f t="shared" si="1"/>
        <v>13578</v>
      </c>
      <c r="AD67" s="10">
        <f t="shared" si="2"/>
        <v>9.0762032085561497</v>
      </c>
    </row>
    <row r="68" spans="1:30" x14ac:dyDescent="0.3">
      <c r="A68" s="55"/>
      <c r="B68" s="30" t="s">
        <v>70</v>
      </c>
      <c r="C68" s="9">
        <v>178</v>
      </c>
      <c r="D68" s="9">
        <v>72</v>
      </c>
      <c r="E68" s="9">
        <v>73</v>
      </c>
      <c r="F68" s="9">
        <v>126</v>
      </c>
      <c r="G68" s="9">
        <v>112</v>
      </c>
      <c r="H68" s="9">
        <v>176</v>
      </c>
      <c r="I68" s="9">
        <v>201</v>
      </c>
      <c r="J68" s="9">
        <v>143</v>
      </c>
      <c r="K68" s="9">
        <v>166</v>
      </c>
      <c r="L68" s="9">
        <v>224</v>
      </c>
      <c r="M68" s="9">
        <v>255</v>
      </c>
      <c r="N68" s="9">
        <v>214</v>
      </c>
      <c r="O68" s="9">
        <v>612</v>
      </c>
      <c r="P68" s="9">
        <v>25</v>
      </c>
      <c r="Q68" s="9">
        <v>18</v>
      </c>
      <c r="R68" s="9">
        <v>72</v>
      </c>
      <c r="S68" s="9">
        <v>99</v>
      </c>
      <c r="T68" s="9">
        <v>63</v>
      </c>
      <c r="U68" s="9">
        <v>12</v>
      </c>
      <c r="V68" s="9">
        <v>12</v>
      </c>
      <c r="W68" s="9">
        <v>8</v>
      </c>
      <c r="X68" s="9">
        <v>2</v>
      </c>
      <c r="Y68" s="9">
        <v>1</v>
      </c>
      <c r="Z68" s="9">
        <v>1</v>
      </c>
      <c r="AB68" s="9">
        <f t="shared" ref="AB68:AB131" si="4">SUM(C68:Z68)</f>
        <v>2865</v>
      </c>
      <c r="AC68" s="9">
        <f t="shared" ref="AC68:AC131" si="5">C$2*C68+D$2*D68+E$2*E68+F$2*F68+G$2*G68+H$2*H68+I$2*I68+J$2*J68+K$2*K68+L$2*L68+M$2*M68+N$2*N68+O$2*O68+P$2*P68+Q$2*Q68+R$2*R68+S$2*S68+T$2*T68+U$2*U68+V$2*V68+W$2*W68+X$2*X68+Y$2*Y68+Z$2*Z68</f>
        <v>24726</v>
      </c>
      <c r="AD68" s="10">
        <f t="shared" si="2"/>
        <v>8.6303664921465977</v>
      </c>
    </row>
    <row r="69" spans="1:30" x14ac:dyDescent="0.3">
      <c r="A69" s="55"/>
      <c r="B69" s="30" t="s">
        <v>71</v>
      </c>
      <c r="C69" s="9">
        <v>53</v>
      </c>
      <c r="D69" s="9">
        <v>25</v>
      </c>
      <c r="E69" s="9">
        <v>53</v>
      </c>
      <c r="F69" s="9">
        <v>77</v>
      </c>
      <c r="G69" s="9">
        <v>72</v>
      </c>
      <c r="H69" s="9">
        <v>105</v>
      </c>
      <c r="I69" s="9">
        <v>78</v>
      </c>
      <c r="J69" s="9">
        <v>54</v>
      </c>
      <c r="K69" s="9">
        <v>56</v>
      </c>
      <c r="L69" s="9">
        <v>82</v>
      </c>
      <c r="M69" s="9">
        <v>71</v>
      </c>
      <c r="N69" s="9">
        <v>80</v>
      </c>
      <c r="O69" s="9">
        <v>260</v>
      </c>
      <c r="P69" s="9">
        <v>5</v>
      </c>
      <c r="Q69" s="9">
        <v>4</v>
      </c>
      <c r="R69" s="9">
        <v>16</v>
      </c>
      <c r="S69" s="9">
        <v>49</v>
      </c>
      <c r="T69" s="9">
        <v>19</v>
      </c>
      <c r="U69" s="9">
        <v>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B69" s="9">
        <f t="shared" si="4"/>
        <v>1160</v>
      </c>
      <c r="AC69" s="9">
        <f t="shared" si="5"/>
        <v>9403</v>
      </c>
      <c r="AD69" s="10">
        <f t="shared" ref="AD69:AD132" si="6">AC69/AB69</f>
        <v>8.1060344827586199</v>
      </c>
    </row>
    <row r="70" spans="1:30" x14ac:dyDescent="0.3">
      <c r="A70" s="55"/>
      <c r="B70" s="30" t="s">
        <v>72</v>
      </c>
      <c r="C70" s="9">
        <v>272</v>
      </c>
      <c r="D70" s="9">
        <v>192</v>
      </c>
      <c r="E70" s="9">
        <v>272</v>
      </c>
      <c r="F70" s="9">
        <v>382</v>
      </c>
      <c r="G70" s="9">
        <v>363</v>
      </c>
      <c r="H70" s="9">
        <v>670</v>
      </c>
      <c r="I70" s="9">
        <v>582</v>
      </c>
      <c r="J70" s="9">
        <v>475</v>
      </c>
      <c r="K70" s="9">
        <v>606</v>
      </c>
      <c r="L70" s="9">
        <v>870</v>
      </c>
      <c r="M70" s="9">
        <v>977</v>
      </c>
      <c r="N70" s="9">
        <v>865</v>
      </c>
      <c r="O70" s="9">
        <v>3790</v>
      </c>
      <c r="P70" s="9">
        <v>227</v>
      </c>
      <c r="Q70" s="9">
        <v>308</v>
      </c>
      <c r="R70" s="9">
        <v>820</v>
      </c>
      <c r="S70" s="9">
        <v>934</v>
      </c>
      <c r="T70" s="9">
        <v>804</v>
      </c>
      <c r="U70" s="9">
        <v>24</v>
      </c>
      <c r="V70" s="9">
        <v>23</v>
      </c>
      <c r="W70" s="9">
        <v>2</v>
      </c>
      <c r="X70" s="9">
        <v>4</v>
      </c>
      <c r="Y70" s="9">
        <v>0</v>
      </c>
      <c r="Z70" s="9">
        <v>3</v>
      </c>
      <c r="AB70" s="9">
        <f t="shared" si="4"/>
        <v>13465</v>
      </c>
      <c r="AC70" s="9">
        <f t="shared" si="5"/>
        <v>140181</v>
      </c>
      <c r="AD70" s="10">
        <f t="shared" si="6"/>
        <v>10.410768659487561</v>
      </c>
    </row>
    <row r="71" spans="1:30" x14ac:dyDescent="0.3">
      <c r="A71" s="55"/>
      <c r="B71" s="30" t="s">
        <v>73</v>
      </c>
      <c r="C71" s="9">
        <v>25</v>
      </c>
      <c r="D71" s="9">
        <v>16</v>
      </c>
      <c r="E71" s="9">
        <v>22</v>
      </c>
      <c r="F71" s="9">
        <v>35</v>
      </c>
      <c r="G71" s="9">
        <v>22</v>
      </c>
      <c r="H71" s="9">
        <v>46</v>
      </c>
      <c r="I71" s="9">
        <v>37</v>
      </c>
      <c r="J71" s="9">
        <v>36</v>
      </c>
      <c r="K71" s="9">
        <v>43</v>
      </c>
      <c r="L71" s="9">
        <v>37</v>
      </c>
      <c r="M71" s="9">
        <v>45</v>
      </c>
      <c r="N71" s="9">
        <v>61</v>
      </c>
      <c r="O71" s="9">
        <v>207</v>
      </c>
      <c r="P71" s="9">
        <v>5</v>
      </c>
      <c r="Q71" s="9">
        <v>9</v>
      </c>
      <c r="R71" s="9">
        <v>45</v>
      </c>
      <c r="S71" s="9">
        <v>35</v>
      </c>
      <c r="T71" s="9">
        <v>47</v>
      </c>
      <c r="U71" s="9">
        <v>1</v>
      </c>
      <c r="V71" s="9">
        <v>4</v>
      </c>
      <c r="W71" s="9">
        <v>1</v>
      </c>
      <c r="X71" s="9">
        <v>0</v>
      </c>
      <c r="Y71" s="9">
        <v>0</v>
      </c>
      <c r="Z71" s="9">
        <v>0</v>
      </c>
      <c r="AB71" s="9">
        <f t="shared" si="4"/>
        <v>779</v>
      </c>
      <c r="AC71" s="9">
        <f t="shared" si="5"/>
        <v>7578</v>
      </c>
      <c r="AD71" s="10">
        <f t="shared" si="6"/>
        <v>9.7278562259306796</v>
      </c>
    </row>
    <row r="72" spans="1:30" x14ac:dyDescent="0.3">
      <c r="A72" s="55"/>
      <c r="B72" s="30" t="s">
        <v>74</v>
      </c>
      <c r="C72" s="9">
        <v>96</v>
      </c>
      <c r="D72" s="9">
        <v>33</v>
      </c>
      <c r="E72" s="9">
        <v>36</v>
      </c>
      <c r="F72" s="9">
        <v>55</v>
      </c>
      <c r="G72" s="9">
        <v>56</v>
      </c>
      <c r="H72" s="9">
        <v>105</v>
      </c>
      <c r="I72" s="9">
        <v>87</v>
      </c>
      <c r="J72" s="9">
        <v>78</v>
      </c>
      <c r="K72" s="9">
        <v>99</v>
      </c>
      <c r="L72" s="9">
        <v>115</v>
      </c>
      <c r="M72" s="9">
        <v>128</v>
      </c>
      <c r="N72" s="9">
        <v>132</v>
      </c>
      <c r="O72" s="9">
        <v>440</v>
      </c>
      <c r="P72" s="9">
        <v>6</v>
      </c>
      <c r="Q72" s="9">
        <v>13</v>
      </c>
      <c r="R72" s="9">
        <v>50</v>
      </c>
      <c r="S72" s="9">
        <v>49</v>
      </c>
      <c r="T72" s="9">
        <v>30</v>
      </c>
      <c r="U72" s="9">
        <v>3</v>
      </c>
      <c r="V72" s="9">
        <v>4</v>
      </c>
      <c r="W72" s="9">
        <v>1</v>
      </c>
      <c r="X72" s="9">
        <v>0</v>
      </c>
      <c r="Y72" s="9">
        <v>0</v>
      </c>
      <c r="Z72" s="9">
        <v>0</v>
      </c>
      <c r="AB72" s="9">
        <f t="shared" si="4"/>
        <v>1616</v>
      </c>
      <c r="AC72" s="9">
        <f t="shared" si="5"/>
        <v>14380</v>
      </c>
      <c r="AD72" s="10">
        <f t="shared" si="6"/>
        <v>8.8985148514851478</v>
      </c>
    </row>
    <row r="73" spans="1:30" x14ac:dyDescent="0.3">
      <c r="A73" s="55"/>
      <c r="B73" s="30" t="s">
        <v>75</v>
      </c>
      <c r="C73" s="9">
        <v>21</v>
      </c>
      <c r="D73" s="9">
        <v>20</v>
      </c>
      <c r="E73" s="9">
        <v>24</v>
      </c>
      <c r="F73" s="9">
        <v>37</v>
      </c>
      <c r="G73" s="9">
        <v>48</v>
      </c>
      <c r="H73" s="9">
        <v>62</v>
      </c>
      <c r="I73" s="9">
        <v>49</v>
      </c>
      <c r="J73" s="9">
        <v>40</v>
      </c>
      <c r="K73" s="9">
        <v>44</v>
      </c>
      <c r="L73" s="9">
        <v>70</v>
      </c>
      <c r="M73" s="9">
        <v>82</v>
      </c>
      <c r="N73" s="9">
        <v>100</v>
      </c>
      <c r="O73" s="9">
        <v>319</v>
      </c>
      <c r="P73" s="9">
        <v>11</v>
      </c>
      <c r="Q73" s="9">
        <v>12</v>
      </c>
      <c r="R73" s="9">
        <v>43</v>
      </c>
      <c r="S73" s="9">
        <v>55</v>
      </c>
      <c r="T73" s="9">
        <v>29</v>
      </c>
      <c r="U73" s="9">
        <v>3</v>
      </c>
      <c r="V73" s="9">
        <v>0</v>
      </c>
      <c r="W73" s="9">
        <v>1</v>
      </c>
      <c r="X73" s="9">
        <v>0</v>
      </c>
      <c r="Y73" s="9">
        <v>0</v>
      </c>
      <c r="Z73" s="9">
        <v>0</v>
      </c>
      <c r="AB73" s="9">
        <f t="shared" si="4"/>
        <v>1070</v>
      </c>
      <c r="AC73" s="9">
        <f t="shared" si="5"/>
        <v>10388</v>
      </c>
      <c r="AD73" s="10">
        <f t="shared" si="6"/>
        <v>9.7084112149532711</v>
      </c>
    </row>
    <row r="74" spans="1:30" x14ac:dyDescent="0.3">
      <c r="A74" s="55"/>
      <c r="B74" s="30" t="s">
        <v>76</v>
      </c>
      <c r="C74" s="9">
        <v>32</v>
      </c>
      <c r="D74" s="9">
        <v>6</v>
      </c>
      <c r="E74" s="9">
        <v>13</v>
      </c>
      <c r="F74" s="9">
        <v>21</v>
      </c>
      <c r="G74" s="9">
        <v>32</v>
      </c>
      <c r="H74" s="9">
        <v>57</v>
      </c>
      <c r="I74" s="9">
        <v>24</v>
      </c>
      <c r="J74" s="9">
        <v>17</v>
      </c>
      <c r="K74" s="9">
        <v>35</v>
      </c>
      <c r="L74" s="9">
        <v>34</v>
      </c>
      <c r="M74" s="9">
        <v>36</v>
      </c>
      <c r="N74" s="9">
        <v>49</v>
      </c>
      <c r="O74" s="9">
        <v>326</v>
      </c>
      <c r="P74" s="9">
        <v>10</v>
      </c>
      <c r="Q74" s="9">
        <v>7</v>
      </c>
      <c r="R74" s="9">
        <v>21</v>
      </c>
      <c r="S74" s="9">
        <v>33</v>
      </c>
      <c r="T74" s="9">
        <v>20</v>
      </c>
      <c r="U74" s="9">
        <v>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B74" s="9">
        <f t="shared" si="4"/>
        <v>774</v>
      </c>
      <c r="AC74" s="9">
        <f t="shared" si="5"/>
        <v>7597</v>
      </c>
      <c r="AD74" s="10">
        <f t="shared" si="6"/>
        <v>9.8152454780361751</v>
      </c>
    </row>
    <row r="75" spans="1:30" x14ac:dyDescent="0.3">
      <c r="A75" s="55"/>
      <c r="B75" s="30" t="s">
        <v>77</v>
      </c>
      <c r="C75" s="9">
        <v>47</v>
      </c>
      <c r="D75" s="9">
        <v>31</v>
      </c>
      <c r="E75" s="9">
        <v>32</v>
      </c>
      <c r="F75" s="9">
        <v>54</v>
      </c>
      <c r="G75" s="9">
        <v>54</v>
      </c>
      <c r="H75" s="9">
        <v>89</v>
      </c>
      <c r="I75" s="9">
        <v>81</v>
      </c>
      <c r="J75" s="9">
        <v>55</v>
      </c>
      <c r="K75" s="9">
        <v>104</v>
      </c>
      <c r="L75" s="9">
        <v>128</v>
      </c>
      <c r="M75" s="9">
        <v>159</v>
      </c>
      <c r="N75" s="9">
        <v>111</v>
      </c>
      <c r="O75" s="9">
        <v>698</v>
      </c>
      <c r="P75" s="9">
        <v>16</v>
      </c>
      <c r="Q75" s="9">
        <v>15</v>
      </c>
      <c r="R75" s="9">
        <v>48</v>
      </c>
      <c r="S75" s="9">
        <v>74</v>
      </c>
      <c r="T75" s="9">
        <v>47</v>
      </c>
      <c r="U75" s="9">
        <v>2</v>
      </c>
      <c r="V75" s="9">
        <v>3</v>
      </c>
      <c r="W75" s="9">
        <v>3</v>
      </c>
      <c r="X75" s="9">
        <v>0</v>
      </c>
      <c r="Y75" s="9">
        <v>0</v>
      </c>
      <c r="Z75" s="9">
        <v>0</v>
      </c>
      <c r="AB75" s="9">
        <f t="shared" si="4"/>
        <v>1851</v>
      </c>
      <c r="AC75" s="9">
        <f t="shared" si="5"/>
        <v>18234</v>
      </c>
      <c r="AD75" s="10">
        <f t="shared" si="6"/>
        <v>9.8508914100486216</v>
      </c>
    </row>
    <row r="76" spans="1:30" x14ac:dyDescent="0.3">
      <c r="A76" s="55"/>
      <c r="B76" s="30" t="s">
        <v>78</v>
      </c>
      <c r="C76" s="9">
        <v>21</v>
      </c>
      <c r="D76" s="9">
        <v>25</v>
      </c>
      <c r="E76" s="9">
        <v>16</v>
      </c>
      <c r="F76" s="9">
        <v>25</v>
      </c>
      <c r="G76" s="9">
        <v>21</v>
      </c>
      <c r="H76" s="9">
        <v>47</v>
      </c>
      <c r="I76" s="9">
        <v>34</v>
      </c>
      <c r="J76" s="9">
        <v>40</v>
      </c>
      <c r="K76" s="9">
        <v>44</v>
      </c>
      <c r="L76" s="9">
        <v>43</v>
      </c>
      <c r="M76" s="9">
        <v>59</v>
      </c>
      <c r="N76" s="9">
        <v>49</v>
      </c>
      <c r="O76" s="9">
        <v>239</v>
      </c>
      <c r="P76" s="9">
        <v>1</v>
      </c>
      <c r="Q76" s="9">
        <v>3</v>
      </c>
      <c r="R76" s="9">
        <v>21</v>
      </c>
      <c r="S76" s="9">
        <v>17</v>
      </c>
      <c r="T76" s="9">
        <v>18</v>
      </c>
      <c r="U76" s="9">
        <v>1</v>
      </c>
      <c r="V76" s="9">
        <v>3</v>
      </c>
      <c r="W76" s="9">
        <v>2</v>
      </c>
      <c r="X76" s="9">
        <v>0</v>
      </c>
      <c r="Y76" s="9">
        <v>0</v>
      </c>
      <c r="Z76" s="9">
        <v>0</v>
      </c>
      <c r="AB76" s="9">
        <f t="shared" si="4"/>
        <v>729</v>
      </c>
      <c r="AC76" s="9">
        <f t="shared" si="5"/>
        <v>6734</v>
      </c>
      <c r="AD76" s="10">
        <f t="shared" si="6"/>
        <v>9.2373113854595328</v>
      </c>
    </row>
    <row r="77" spans="1:30" x14ac:dyDescent="0.3">
      <c r="A77" s="55"/>
      <c r="B77" s="30" t="s">
        <v>79</v>
      </c>
      <c r="C77" s="9">
        <v>46</v>
      </c>
      <c r="D77" s="9">
        <v>25</v>
      </c>
      <c r="E77" s="9">
        <v>38</v>
      </c>
      <c r="F77" s="9">
        <v>75</v>
      </c>
      <c r="G77" s="9">
        <v>77</v>
      </c>
      <c r="H77" s="9">
        <v>119</v>
      </c>
      <c r="I77" s="9">
        <v>80</v>
      </c>
      <c r="J77" s="9">
        <v>91</v>
      </c>
      <c r="K77" s="9">
        <v>94</v>
      </c>
      <c r="L77" s="9">
        <v>103</v>
      </c>
      <c r="M77" s="9">
        <v>132</v>
      </c>
      <c r="N77" s="9">
        <v>143</v>
      </c>
      <c r="O77" s="9">
        <v>467</v>
      </c>
      <c r="P77" s="9">
        <v>5</v>
      </c>
      <c r="Q77" s="9">
        <v>12</v>
      </c>
      <c r="R77" s="9">
        <v>53</v>
      </c>
      <c r="S77" s="9">
        <v>68</v>
      </c>
      <c r="T77" s="9">
        <v>43</v>
      </c>
      <c r="U77" s="9">
        <v>1</v>
      </c>
      <c r="V77" s="9">
        <v>1</v>
      </c>
      <c r="W77" s="9">
        <v>2</v>
      </c>
      <c r="X77" s="9">
        <v>0</v>
      </c>
      <c r="Y77" s="9">
        <v>0</v>
      </c>
      <c r="Z77" s="9">
        <v>0</v>
      </c>
      <c r="AB77" s="9">
        <f t="shared" si="4"/>
        <v>1675</v>
      </c>
      <c r="AC77" s="9">
        <f t="shared" si="5"/>
        <v>15446</v>
      </c>
      <c r="AD77" s="10">
        <f t="shared" si="6"/>
        <v>9.2214925373134324</v>
      </c>
    </row>
    <row r="78" spans="1:30" x14ac:dyDescent="0.3">
      <c r="A78" s="55"/>
      <c r="B78" s="30" t="s">
        <v>80</v>
      </c>
      <c r="C78" s="9">
        <v>92</v>
      </c>
      <c r="D78" s="9">
        <v>42</v>
      </c>
      <c r="E78" s="9">
        <v>53</v>
      </c>
      <c r="F78" s="9">
        <v>94</v>
      </c>
      <c r="G78" s="9">
        <v>88</v>
      </c>
      <c r="H78" s="9">
        <v>171</v>
      </c>
      <c r="I78" s="9">
        <v>115</v>
      </c>
      <c r="J78" s="9">
        <v>107</v>
      </c>
      <c r="K78" s="9">
        <v>124</v>
      </c>
      <c r="L78" s="9">
        <v>125</v>
      </c>
      <c r="M78" s="9">
        <v>125</v>
      </c>
      <c r="N78" s="9">
        <v>92</v>
      </c>
      <c r="O78" s="9">
        <v>416</v>
      </c>
      <c r="P78" s="9">
        <v>5</v>
      </c>
      <c r="Q78" s="9">
        <v>5</v>
      </c>
      <c r="R78" s="9">
        <v>23</v>
      </c>
      <c r="S78" s="9">
        <v>37</v>
      </c>
      <c r="T78" s="9">
        <v>15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B78" s="9">
        <f t="shared" si="4"/>
        <v>1729</v>
      </c>
      <c r="AC78" s="9">
        <f t="shared" si="5"/>
        <v>13774</v>
      </c>
      <c r="AD78" s="10">
        <f t="shared" si="6"/>
        <v>7.9664545980335451</v>
      </c>
    </row>
    <row r="79" spans="1:30" x14ac:dyDescent="0.3">
      <c r="A79" s="55"/>
      <c r="B79" s="30" t="s">
        <v>81</v>
      </c>
      <c r="C79" s="9">
        <v>35</v>
      </c>
      <c r="D79" s="9">
        <v>26</v>
      </c>
      <c r="E79" s="9">
        <v>26</v>
      </c>
      <c r="F79" s="9">
        <v>36</v>
      </c>
      <c r="G79" s="9">
        <v>30</v>
      </c>
      <c r="H79" s="9">
        <v>63</v>
      </c>
      <c r="I79" s="9">
        <v>40</v>
      </c>
      <c r="J79" s="9">
        <v>49</v>
      </c>
      <c r="K79" s="9">
        <v>69</v>
      </c>
      <c r="L79" s="9">
        <v>69</v>
      </c>
      <c r="M79" s="9">
        <v>80</v>
      </c>
      <c r="N79" s="9">
        <v>56</v>
      </c>
      <c r="O79" s="9">
        <v>201</v>
      </c>
      <c r="P79" s="9">
        <v>4</v>
      </c>
      <c r="Q79" s="9">
        <v>3</v>
      </c>
      <c r="R79" s="9">
        <v>17</v>
      </c>
      <c r="S79" s="9">
        <v>24</v>
      </c>
      <c r="T79" s="9">
        <v>12</v>
      </c>
      <c r="U79" s="9">
        <v>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B79" s="9">
        <f t="shared" si="4"/>
        <v>841</v>
      </c>
      <c r="AC79" s="9">
        <f t="shared" si="5"/>
        <v>7160</v>
      </c>
      <c r="AD79" s="10">
        <f t="shared" si="6"/>
        <v>8.5136741973840664</v>
      </c>
    </row>
    <row r="80" spans="1:30" x14ac:dyDescent="0.3">
      <c r="A80" s="55"/>
      <c r="B80" s="30" t="s">
        <v>82</v>
      </c>
      <c r="C80" s="9">
        <v>48</v>
      </c>
      <c r="D80" s="9">
        <v>13</v>
      </c>
      <c r="E80" s="9">
        <v>21</v>
      </c>
      <c r="F80" s="9">
        <v>30</v>
      </c>
      <c r="G80" s="9">
        <v>31</v>
      </c>
      <c r="H80" s="9">
        <v>40</v>
      </c>
      <c r="I80" s="9">
        <v>46</v>
      </c>
      <c r="J80" s="9">
        <v>41</v>
      </c>
      <c r="K80" s="9">
        <v>69</v>
      </c>
      <c r="L80" s="9">
        <v>48</v>
      </c>
      <c r="M80" s="9">
        <v>61</v>
      </c>
      <c r="N80" s="9">
        <v>55</v>
      </c>
      <c r="O80" s="9">
        <v>241</v>
      </c>
      <c r="P80" s="9">
        <v>8</v>
      </c>
      <c r="Q80" s="9">
        <v>7</v>
      </c>
      <c r="R80" s="9">
        <v>29</v>
      </c>
      <c r="S80" s="9">
        <v>21</v>
      </c>
      <c r="T80" s="9">
        <v>14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0</v>
      </c>
      <c r="AB80" s="9">
        <f t="shared" si="4"/>
        <v>824</v>
      </c>
      <c r="AC80" s="9">
        <f t="shared" si="5"/>
        <v>7353</v>
      </c>
      <c r="AD80" s="10">
        <f t="shared" si="6"/>
        <v>8.9235436893203879</v>
      </c>
    </row>
    <row r="81" spans="1:30" x14ac:dyDescent="0.3">
      <c r="A81" s="55"/>
      <c r="B81" s="30" t="s">
        <v>83</v>
      </c>
      <c r="C81" s="9">
        <v>68</v>
      </c>
      <c r="D81" s="9">
        <v>45</v>
      </c>
      <c r="E81" s="9">
        <v>35</v>
      </c>
      <c r="F81" s="9">
        <v>76</v>
      </c>
      <c r="G81" s="9">
        <v>57</v>
      </c>
      <c r="H81" s="9">
        <v>98</v>
      </c>
      <c r="I81" s="9">
        <v>106</v>
      </c>
      <c r="J81" s="9">
        <v>88</v>
      </c>
      <c r="K81" s="9">
        <v>124</v>
      </c>
      <c r="L81" s="9">
        <v>135</v>
      </c>
      <c r="M81" s="9">
        <v>114</v>
      </c>
      <c r="N81" s="9">
        <v>106</v>
      </c>
      <c r="O81" s="9">
        <v>412</v>
      </c>
      <c r="P81" s="9">
        <v>15</v>
      </c>
      <c r="Q81" s="9">
        <v>7</v>
      </c>
      <c r="R81" s="9">
        <v>50</v>
      </c>
      <c r="S81" s="9">
        <v>63</v>
      </c>
      <c r="T81" s="9">
        <v>29</v>
      </c>
      <c r="U81" s="9">
        <v>1</v>
      </c>
      <c r="V81" s="9">
        <v>0</v>
      </c>
      <c r="W81" s="9">
        <v>0</v>
      </c>
      <c r="X81" s="9">
        <v>0</v>
      </c>
      <c r="Y81" s="9">
        <v>0</v>
      </c>
      <c r="Z81" s="9">
        <v>1</v>
      </c>
      <c r="AB81" s="9">
        <f t="shared" si="4"/>
        <v>1630</v>
      </c>
      <c r="AC81" s="9">
        <f t="shared" si="5"/>
        <v>14355</v>
      </c>
      <c r="AD81" s="10">
        <f t="shared" si="6"/>
        <v>8.8067484662576678</v>
      </c>
    </row>
    <row r="82" spans="1:30" x14ac:dyDescent="0.3">
      <c r="A82" s="55"/>
      <c r="B82" s="30" t="s">
        <v>84</v>
      </c>
      <c r="C82" s="9">
        <v>41</v>
      </c>
      <c r="D82" s="9">
        <v>51</v>
      </c>
      <c r="E82" s="9">
        <v>76</v>
      </c>
      <c r="F82" s="9">
        <v>120</v>
      </c>
      <c r="G82" s="9">
        <v>150</v>
      </c>
      <c r="H82" s="9">
        <v>195</v>
      </c>
      <c r="I82" s="9">
        <v>151</v>
      </c>
      <c r="J82" s="9">
        <v>117</v>
      </c>
      <c r="K82" s="9">
        <v>157</v>
      </c>
      <c r="L82" s="9">
        <v>100</v>
      </c>
      <c r="M82" s="9">
        <v>103</v>
      </c>
      <c r="N82" s="9">
        <v>82</v>
      </c>
      <c r="O82" s="9">
        <v>231</v>
      </c>
      <c r="P82" s="9">
        <v>15</v>
      </c>
      <c r="Q82" s="9">
        <v>26</v>
      </c>
      <c r="R82" s="9">
        <v>41</v>
      </c>
      <c r="S82" s="9">
        <v>60</v>
      </c>
      <c r="T82" s="9">
        <v>29</v>
      </c>
      <c r="U82" s="9">
        <v>0</v>
      </c>
      <c r="V82" s="9">
        <v>1</v>
      </c>
      <c r="W82" s="9">
        <v>1</v>
      </c>
      <c r="X82" s="9">
        <v>0</v>
      </c>
      <c r="Y82" s="9">
        <v>0</v>
      </c>
      <c r="Z82" s="9">
        <v>0</v>
      </c>
      <c r="AB82" s="9">
        <f t="shared" si="4"/>
        <v>1747</v>
      </c>
      <c r="AC82" s="9">
        <f t="shared" si="5"/>
        <v>13389</v>
      </c>
      <c r="AD82" s="10">
        <f t="shared" si="6"/>
        <v>7.6639954207212364</v>
      </c>
    </row>
    <row r="83" spans="1:30" x14ac:dyDescent="0.3">
      <c r="A83" s="55"/>
      <c r="B83" s="30" t="s">
        <v>85</v>
      </c>
      <c r="C83" s="9">
        <v>47</v>
      </c>
      <c r="D83" s="9">
        <v>29</v>
      </c>
      <c r="E83" s="9">
        <v>52</v>
      </c>
      <c r="F83" s="9">
        <v>45</v>
      </c>
      <c r="G83" s="9">
        <v>76</v>
      </c>
      <c r="H83" s="9">
        <v>89</v>
      </c>
      <c r="I83" s="9">
        <v>94</v>
      </c>
      <c r="J83" s="9">
        <v>63</v>
      </c>
      <c r="K83" s="9">
        <v>81</v>
      </c>
      <c r="L83" s="9">
        <v>116</v>
      </c>
      <c r="M83" s="9">
        <v>113</v>
      </c>
      <c r="N83" s="9">
        <v>96</v>
      </c>
      <c r="O83" s="9">
        <v>286</v>
      </c>
      <c r="P83" s="9">
        <v>5</v>
      </c>
      <c r="Q83" s="9">
        <v>8</v>
      </c>
      <c r="R83" s="9">
        <v>46</v>
      </c>
      <c r="S83" s="9">
        <v>52</v>
      </c>
      <c r="T83" s="9">
        <v>40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B83" s="9">
        <f t="shared" si="4"/>
        <v>1338</v>
      </c>
      <c r="AC83" s="9">
        <f t="shared" si="5"/>
        <v>11711</v>
      </c>
      <c r="AD83" s="10">
        <f t="shared" si="6"/>
        <v>8.7526158445440956</v>
      </c>
    </row>
    <row r="84" spans="1:30" x14ac:dyDescent="0.3">
      <c r="A84" s="55"/>
      <c r="B84" s="30" t="s">
        <v>86</v>
      </c>
      <c r="C84" s="9">
        <v>52</v>
      </c>
      <c r="D84" s="9">
        <v>33</v>
      </c>
      <c r="E84" s="9">
        <v>55</v>
      </c>
      <c r="F84" s="9">
        <v>76</v>
      </c>
      <c r="G84" s="9">
        <v>75</v>
      </c>
      <c r="H84" s="9">
        <v>178</v>
      </c>
      <c r="I84" s="9">
        <v>119</v>
      </c>
      <c r="J84" s="9">
        <v>100</v>
      </c>
      <c r="K84" s="9">
        <v>154</v>
      </c>
      <c r="L84" s="9">
        <v>99</v>
      </c>
      <c r="M84" s="9">
        <v>145</v>
      </c>
      <c r="N84" s="9">
        <v>123</v>
      </c>
      <c r="O84" s="9">
        <v>294</v>
      </c>
      <c r="P84" s="9">
        <v>12</v>
      </c>
      <c r="Q84" s="9">
        <v>11</v>
      </c>
      <c r="R84" s="9">
        <v>38</v>
      </c>
      <c r="S84" s="9">
        <v>72</v>
      </c>
      <c r="T84" s="9">
        <v>26</v>
      </c>
      <c r="U84" s="9">
        <v>0</v>
      </c>
      <c r="V84" s="9">
        <v>3</v>
      </c>
      <c r="W84" s="9">
        <v>0</v>
      </c>
      <c r="X84" s="9">
        <v>0</v>
      </c>
      <c r="Y84" s="9">
        <v>0</v>
      </c>
      <c r="Z84" s="9">
        <v>1</v>
      </c>
      <c r="AB84" s="9">
        <f t="shared" si="4"/>
        <v>1666</v>
      </c>
      <c r="AC84" s="9">
        <f t="shared" si="5"/>
        <v>13983</v>
      </c>
      <c r="AD84" s="10">
        <f t="shared" si="6"/>
        <v>8.393157262905163</v>
      </c>
    </row>
    <row r="85" spans="1:30" x14ac:dyDescent="0.3">
      <c r="A85" s="55"/>
      <c r="B85" s="30" t="s">
        <v>87</v>
      </c>
      <c r="C85" s="9">
        <v>83</v>
      </c>
      <c r="D85" s="9">
        <v>82</v>
      </c>
      <c r="E85" s="9">
        <v>103</v>
      </c>
      <c r="F85" s="9">
        <v>144</v>
      </c>
      <c r="G85" s="9">
        <v>176</v>
      </c>
      <c r="H85" s="9">
        <v>257</v>
      </c>
      <c r="I85" s="9">
        <v>195</v>
      </c>
      <c r="J85" s="9">
        <v>148</v>
      </c>
      <c r="K85" s="9">
        <v>185</v>
      </c>
      <c r="L85" s="9">
        <v>164</v>
      </c>
      <c r="M85" s="9">
        <v>211</v>
      </c>
      <c r="N85" s="9">
        <v>175</v>
      </c>
      <c r="O85" s="9">
        <v>607</v>
      </c>
      <c r="P85" s="9">
        <v>26</v>
      </c>
      <c r="Q85" s="9">
        <v>38</v>
      </c>
      <c r="R85" s="9">
        <v>119</v>
      </c>
      <c r="S85" s="9">
        <v>114</v>
      </c>
      <c r="T85" s="9">
        <v>76</v>
      </c>
      <c r="U85" s="9">
        <v>1</v>
      </c>
      <c r="V85" s="9">
        <v>4</v>
      </c>
      <c r="W85" s="9">
        <v>3</v>
      </c>
      <c r="X85" s="9">
        <v>1</v>
      </c>
      <c r="Y85" s="9">
        <v>0</v>
      </c>
      <c r="Z85" s="9">
        <v>0</v>
      </c>
      <c r="AB85" s="9">
        <f t="shared" si="4"/>
        <v>2912</v>
      </c>
      <c r="AC85" s="9">
        <f t="shared" si="5"/>
        <v>25136</v>
      </c>
      <c r="AD85" s="10">
        <f t="shared" si="6"/>
        <v>8.6318681318681314</v>
      </c>
    </row>
    <row r="86" spans="1:30" x14ac:dyDescent="0.3">
      <c r="A86" s="55"/>
      <c r="B86" s="30" t="s">
        <v>88</v>
      </c>
      <c r="C86" s="9">
        <v>30</v>
      </c>
      <c r="D86" s="9">
        <v>28</v>
      </c>
      <c r="E86" s="9">
        <v>23</v>
      </c>
      <c r="F86" s="9">
        <v>56</v>
      </c>
      <c r="G86" s="9">
        <v>40</v>
      </c>
      <c r="H86" s="9">
        <v>94</v>
      </c>
      <c r="I86" s="9">
        <v>81</v>
      </c>
      <c r="J86" s="9">
        <v>70</v>
      </c>
      <c r="K86" s="9">
        <v>127</v>
      </c>
      <c r="L86" s="9">
        <v>84</v>
      </c>
      <c r="M86" s="9">
        <v>80</v>
      </c>
      <c r="N86" s="9">
        <v>75</v>
      </c>
      <c r="O86" s="9">
        <v>223</v>
      </c>
      <c r="P86" s="9">
        <v>11</v>
      </c>
      <c r="Q86" s="9">
        <v>6</v>
      </c>
      <c r="R86" s="9">
        <v>27</v>
      </c>
      <c r="S86" s="9">
        <v>37</v>
      </c>
      <c r="T86" s="9">
        <v>15</v>
      </c>
      <c r="U86" s="9">
        <v>0</v>
      </c>
      <c r="V86" s="9">
        <v>1</v>
      </c>
      <c r="W86" s="9">
        <v>0</v>
      </c>
      <c r="X86" s="9">
        <v>0</v>
      </c>
      <c r="Y86" s="9">
        <v>0</v>
      </c>
      <c r="Z86" s="9">
        <v>0</v>
      </c>
      <c r="AB86" s="9">
        <f t="shared" si="4"/>
        <v>1108</v>
      </c>
      <c r="AC86" s="9">
        <f t="shared" si="5"/>
        <v>9419</v>
      </c>
      <c r="AD86" s="10">
        <f t="shared" si="6"/>
        <v>8.5009025270758123</v>
      </c>
    </row>
    <row r="87" spans="1:30" x14ac:dyDescent="0.3">
      <c r="A87" s="55"/>
      <c r="B87" s="30" t="s">
        <v>89</v>
      </c>
      <c r="C87" s="9">
        <v>19</v>
      </c>
      <c r="D87" s="9">
        <v>15</v>
      </c>
      <c r="E87" s="9">
        <v>24</v>
      </c>
      <c r="F87" s="9">
        <v>45</v>
      </c>
      <c r="G87" s="9">
        <v>61</v>
      </c>
      <c r="H87" s="9">
        <v>62</v>
      </c>
      <c r="I87" s="9">
        <v>52</v>
      </c>
      <c r="J87" s="9">
        <v>72</v>
      </c>
      <c r="K87" s="9">
        <v>89</v>
      </c>
      <c r="L87" s="9">
        <v>49</v>
      </c>
      <c r="M87" s="9">
        <v>77</v>
      </c>
      <c r="N87" s="9">
        <v>82</v>
      </c>
      <c r="O87" s="9">
        <v>279</v>
      </c>
      <c r="P87" s="9">
        <v>0</v>
      </c>
      <c r="Q87" s="9">
        <v>4</v>
      </c>
      <c r="R87" s="9">
        <v>16</v>
      </c>
      <c r="S87" s="9">
        <v>15</v>
      </c>
      <c r="T87" s="9">
        <v>25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B87" s="9">
        <f t="shared" si="4"/>
        <v>986</v>
      </c>
      <c r="AC87" s="9">
        <f t="shared" si="5"/>
        <v>8702</v>
      </c>
      <c r="AD87" s="10">
        <f t="shared" si="6"/>
        <v>8.8255578093306291</v>
      </c>
    </row>
    <row r="88" spans="1:30" x14ac:dyDescent="0.3">
      <c r="A88" s="55"/>
      <c r="B88" s="30" t="s">
        <v>90</v>
      </c>
      <c r="C88" s="9">
        <v>69</v>
      </c>
      <c r="D88" s="9">
        <v>62</v>
      </c>
      <c r="E88" s="9">
        <v>71</v>
      </c>
      <c r="F88" s="9">
        <v>91</v>
      </c>
      <c r="G88" s="9">
        <v>112</v>
      </c>
      <c r="H88" s="9">
        <v>200</v>
      </c>
      <c r="I88" s="9">
        <v>201</v>
      </c>
      <c r="J88" s="9">
        <v>125</v>
      </c>
      <c r="K88" s="9">
        <v>200</v>
      </c>
      <c r="L88" s="9">
        <v>214</v>
      </c>
      <c r="M88" s="9">
        <v>224</v>
      </c>
      <c r="N88" s="9">
        <v>246</v>
      </c>
      <c r="O88" s="9">
        <v>833</v>
      </c>
      <c r="P88" s="9">
        <v>29</v>
      </c>
      <c r="Q88" s="9">
        <v>51</v>
      </c>
      <c r="R88" s="9">
        <v>134</v>
      </c>
      <c r="S88" s="9">
        <v>150</v>
      </c>
      <c r="T88" s="9">
        <v>85</v>
      </c>
      <c r="U88" s="9">
        <v>2</v>
      </c>
      <c r="V88" s="9">
        <v>2</v>
      </c>
      <c r="W88" s="9">
        <v>0</v>
      </c>
      <c r="X88" s="9">
        <v>1</v>
      </c>
      <c r="Y88" s="9">
        <v>0</v>
      </c>
      <c r="Z88" s="9">
        <v>0</v>
      </c>
      <c r="AB88" s="9">
        <f t="shared" si="4"/>
        <v>3102</v>
      </c>
      <c r="AC88" s="9">
        <f t="shared" si="5"/>
        <v>29515</v>
      </c>
      <c r="AD88" s="10">
        <f t="shared" si="6"/>
        <v>9.5148291424887166</v>
      </c>
    </row>
    <row r="89" spans="1:30" x14ac:dyDescent="0.3">
      <c r="A89" s="55"/>
      <c r="B89" s="30" t="s">
        <v>91</v>
      </c>
      <c r="C89" s="9">
        <v>69</v>
      </c>
      <c r="D89" s="9">
        <v>58</v>
      </c>
      <c r="E89" s="9">
        <v>96</v>
      </c>
      <c r="F89" s="9">
        <v>146</v>
      </c>
      <c r="G89" s="9">
        <v>168</v>
      </c>
      <c r="H89" s="9">
        <v>253</v>
      </c>
      <c r="I89" s="9">
        <v>172</v>
      </c>
      <c r="J89" s="9">
        <v>139</v>
      </c>
      <c r="K89" s="9">
        <v>196</v>
      </c>
      <c r="L89" s="9">
        <v>210</v>
      </c>
      <c r="M89" s="9">
        <v>237</v>
      </c>
      <c r="N89" s="9">
        <v>198</v>
      </c>
      <c r="O89" s="9">
        <v>693</v>
      </c>
      <c r="P89" s="9">
        <v>9</v>
      </c>
      <c r="Q89" s="9">
        <v>34</v>
      </c>
      <c r="R89" s="9">
        <v>85</v>
      </c>
      <c r="S89" s="9">
        <v>119</v>
      </c>
      <c r="T89" s="9">
        <v>86</v>
      </c>
      <c r="U89" s="9">
        <v>1</v>
      </c>
      <c r="V89" s="9">
        <v>4</v>
      </c>
      <c r="W89" s="9">
        <v>1</v>
      </c>
      <c r="X89" s="9">
        <v>0</v>
      </c>
      <c r="Y89" s="9">
        <v>0</v>
      </c>
      <c r="Z89" s="9">
        <v>0</v>
      </c>
      <c r="AB89" s="9">
        <f t="shared" si="4"/>
        <v>2974</v>
      </c>
      <c r="AC89" s="9">
        <f t="shared" si="5"/>
        <v>26300</v>
      </c>
      <c r="AD89" s="10">
        <f t="shared" si="6"/>
        <v>8.8433086751849359</v>
      </c>
    </row>
    <row r="90" spans="1:30" x14ac:dyDescent="0.3">
      <c r="A90" s="55"/>
      <c r="B90" s="30" t="s">
        <v>92</v>
      </c>
      <c r="C90" s="9">
        <v>30</v>
      </c>
      <c r="D90" s="9">
        <v>14</v>
      </c>
      <c r="E90" s="9">
        <v>22</v>
      </c>
      <c r="F90" s="9">
        <v>41</v>
      </c>
      <c r="G90" s="9">
        <v>30</v>
      </c>
      <c r="H90" s="9">
        <v>87</v>
      </c>
      <c r="I90" s="9">
        <v>62</v>
      </c>
      <c r="J90" s="9">
        <v>44</v>
      </c>
      <c r="K90" s="9">
        <v>72</v>
      </c>
      <c r="L90" s="9">
        <v>80</v>
      </c>
      <c r="M90" s="9">
        <v>99</v>
      </c>
      <c r="N90" s="9">
        <v>73</v>
      </c>
      <c r="O90" s="9">
        <v>384</v>
      </c>
      <c r="P90" s="9">
        <v>9</v>
      </c>
      <c r="Q90" s="9">
        <v>27</v>
      </c>
      <c r="R90" s="9">
        <v>45</v>
      </c>
      <c r="S90" s="9">
        <v>70</v>
      </c>
      <c r="T90" s="9">
        <v>26</v>
      </c>
      <c r="U90" s="9">
        <v>1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B90" s="9">
        <f t="shared" si="4"/>
        <v>1216</v>
      </c>
      <c r="AC90" s="9">
        <f t="shared" si="5"/>
        <v>11863</v>
      </c>
      <c r="AD90" s="10">
        <f t="shared" si="6"/>
        <v>9.7557565789473681</v>
      </c>
    </row>
    <row r="91" spans="1:30" x14ac:dyDescent="0.3">
      <c r="A91" s="55"/>
      <c r="B91" s="30" t="s">
        <v>93</v>
      </c>
      <c r="C91" s="9">
        <v>126</v>
      </c>
      <c r="D91" s="9">
        <v>89</v>
      </c>
      <c r="E91" s="9">
        <v>86</v>
      </c>
      <c r="F91" s="9">
        <v>158</v>
      </c>
      <c r="G91" s="9">
        <v>169</v>
      </c>
      <c r="H91" s="9">
        <v>247</v>
      </c>
      <c r="I91" s="9">
        <v>218</v>
      </c>
      <c r="J91" s="9">
        <v>192</v>
      </c>
      <c r="K91" s="9">
        <v>243</v>
      </c>
      <c r="L91" s="9">
        <v>288</v>
      </c>
      <c r="M91" s="9">
        <v>320</v>
      </c>
      <c r="N91" s="9">
        <v>281</v>
      </c>
      <c r="O91" s="9">
        <v>1092</v>
      </c>
      <c r="P91" s="9">
        <v>34</v>
      </c>
      <c r="Q91" s="9">
        <v>32</v>
      </c>
      <c r="R91" s="9">
        <v>205</v>
      </c>
      <c r="S91" s="9">
        <v>195</v>
      </c>
      <c r="T91" s="9">
        <v>115</v>
      </c>
      <c r="U91" s="9">
        <v>4</v>
      </c>
      <c r="V91" s="9">
        <v>5</v>
      </c>
      <c r="W91" s="9">
        <v>0</v>
      </c>
      <c r="X91" s="9">
        <v>1</v>
      </c>
      <c r="Y91" s="9">
        <v>0</v>
      </c>
      <c r="Z91" s="9">
        <v>0</v>
      </c>
      <c r="AB91" s="9">
        <f t="shared" si="4"/>
        <v>4100</v>
      </c>
      <c r="AC91" s="9">
        <f t="shared" si="5"/>
        <v>38457</v>
      </c>
      <c r="AD91" s="10">
        <f t="shared" si="6"/>
        <v>9.3797560975609748</v>
      </c>
    </row>
    <row r="92" spans="1:30" x14ac:dyDescent="0.3">
      <c r="A92" s="55"/>
      <c r="B92" s="30" t="s">
        <v>94</v>
      </c>
      <c r="C92" s="9">
        <v>247</v>
      </c>
      <c r="D92" s="9">
        <v>203</v>
      </c>
      <c r="E92" s="9">
        <v>312</v>
      </c>
      <c r="F92" s="9">
        <v>463</v>
      </c>
      <c r="G92" s="9">
        <v>477</v>
      </c>
      <c r="H92" s="9">
        <v>718</v>
      </c>
      <c r="I92" s="9">
        <v>555</v>
      </c>
      <c r="J92" s="9">
        <v>420</v>
      </c>
      <c r="K92" s="9">
        <v>608</v>
      </c>
      <c r="L92" s="9">
        <v>502</v>
      </c>
      <c r="M92" s="9">
        <v>574</v>
      </c>
      <c r="N92" s="9">
        <v>481</v>
      </c>
      <c r="O92" s="9">
        <v>1562</v>
      </c>
      <c r="P92" s="9">
        <v>30</v>
      </c>
      <c r="Q92" s="9">
        <v>37</v>
      </c>
      <c r="R92" s="9">
        <v>129</v>
      </c>
      <c r="S92" s="9">
        <v>155</v>
      </c>
      <c r="T92" s="9">
        <v>77</v>
      </c>
      <c r="U92" s="9">
        <v>2</v>
      </c>
      <c r="V92" s="9">
        <v>4</v>
      </c>
      <c r="W92" s="9">
        <v>0</v>
      </c>
      <c r="X92" s="9">
        <v>4</v>
      </c>
      <c r="Y92" s="9">
        <v>0</v>
      </c>
      <c r="Z92" s="9">
        <v>1</v>
      </c>
      <c r="AB92" s="9">
        <f t="shared" si="4"/>
        <v>7561</v>
      </c>
      <c r="AC92" s="9">
        <f t="shared" si="5"/>
        <v>59992</v>
      </c>
      <c r="AD92" s="10">
        <f t="shared" si="6"/>
        <v>7.9344002116122203</v>
      </c>
    </row>
    <row r="93" spans="1:30" x14ac:dyDescent="0.3">
      <c r="A93" s="55"/>
      <c r="B93" s="30" t="s">
        <v>95</v>
      </c>
      <c r="C93" s="9">
        <v>198</v>
      </c>
      <c r="D93" s="9">
        <v>110</v>
      </c>
      <c r="E93" s="9">
        <v>150</v>
      </c>
      <c r="F93" s="9">
        <v>180</v>
      </c>
      <c r="G93" s="9">
        <v>178</v>
      </c>
      <c r="H93" s="9">
        <v>318</v>
      </c>
      <c r="I93" s="9">
        <v>198</v>
      </c>
      <c r="J93" s="9">
        <v>145</v>
      </c>
      <c r="K93" s="9">
        <v>175</v>
      </c>
      <c r="L93" s="9">
        <v>244</v>
      </c>
      <c r="M93" s="9">
        <v>295</v>
      </c>
      <c r="N93" s="9">
        <v>260</v>
      </c>
      <c r="O93" s="9">
        <v>1062</v>
      </c>
      <c r="P93" s="9">
        <v>18</v>
      </c>
      <c r="Q93" s="9">
        <v>30</v>
      </c>
      <c r="R93" s="9">
        <v>90</v>
      </c>
      <c r="S93" s="9">
        <v>140</v>
      </c>
      <c r="T93" s="9">
        <v>73</v>
      </c>
      <c r="U93" s="9">
        <v>5</v>
      </c>
      <c r="V93" s="9">
        <v>5</v>
      </c>
      <c r="W93" s="9">
        <v>0</v>
      </c>
      <c r="X93" s="9">
        <v>0</v>
      </c>
      <c r="Y93" s="9">
        <v>0</v>
      </c>
      <c r="Z93" s="9">
        <v>0</v>
      </c>
      <c r="AB93" s="9">
        <f t="shared" si="4"/>
        <v>3874</v>
      </c>
      <c r="AC93" s="9">
        <f t="shared" si="5"/>
        <v>33275</v>
      </c>
      <c r="AD93" s="10">
        <f t="shared" si="6"/>
        <v>8.5893133711925653</v>
      </c>
    </row>
    <row r="94" spans="1:30" x14ac:dyDescent="0.3">
      <c r="A94" s="55"/>
      <c r="B94" s="30" t="s">
        <v>96</v>
      </c>
      <c r="C94" s="9">
        <v>154</v>
      </c>
      <c r="D94" s="9">
        <v>61</v>
      </c>
      <c r="E94" s="9">
        <v>107</v>
      </c>
      <c r="F94" s="9">
        <v>119</v>
      </c>
      <c r="G94" s="9">
        <v>138</v>
      </c>
      <c r="H94" s="9">
        <v>279</v>
      </c>
      <c r="I94" s="9">
        <v>232</v>
      </c>
      <c r="J94" s="9">
        <v>174</v>
      </c>
      <c r="K94" s="9">
        <v>231</v>
      </c>
      <c r="L94" s="9">
        <v>211</v>
      </c>
      <c r="M94" s="9">
        <v>273</v>
      </c>
      <c r="N94" s="9">
        <v>246</v>
      </c>
      <c r="O94" s="9">
        <v>1069</v>
      </c>
      <c r="P94" s="9">
        <v>22</v>
      </c>
      <c r="Q94" s="9">
        <v>24</v>
      </c>
      <c r="R94" s="9">
        <v>64</v>
      </c>
      <c r="S94" s="9">
        <v>94</v>
      </c>
      <c r="T94" s="9">
        <v>74</v>
      </c>
      <c r="U94" s="9">
        <v>2</v>
      </c>
      <c r="V94" s="9">
        <v>1</v>
      </c>
      <c r="W94" s="9">
        <v>0</v>
      </c>
      <c r="X94" s="9">
        <v>1</v>
      </c>
      <c r="Y94" s="9">
        <v>0</v>
      </c>
      <c r="Z94" s="9">
        <v>0</v>
      </c>
      <c r="AB94" s="9">
        <f t="shared" si="4"/>
        <v>3576</v>
      </c>
      <c r="AC94" s="9">
        <f t="shared" si="5"/>
        <v>31620</v>
      </c>
      <c r="AD94" s="10">
        <f t="shared" si="6"/>
        <v>8.8422818791946316</v>
      </c>
    </row>
    <row r="95" spans="1:30" x14ac:dyDescent="0.3">
      <c r="A95" s="55"/>
      <c r="B95" s="30" t="s">
        <v>97</v>
      </c>
      <c r="C95" s="9">
        <v>78</v>
      </c>
      <c r="D95" s="9">
        <v>32</v>
      </c>
      <c r="E95" s="9">
        <v>33</v>
      </c>
      <c r="F95" s="9">
        <v>70</v>
      </c>
      <c r="G95" s="9">
        <v>62</v>
      </c>
      <c r="H95" s="9">
        <v>126</v>
      </c>
      <c r="I95" s="9">
        <v>80</v>
      </c>
      <c r="J95" s="9">
        <v>65</v>
      </c>
      <c r="K95" s="9">
        <v>97</v>
      </c>
      <c r="L95" s="9">
        <v>127</v>
      </c>
      <c r="M95" s="9">
        <v>131</v>
      </c>
      <c r="N95" s="9">
        <v>131</v>
      </c>
      <c r="O95" s="9">
        <v>638</v>
      </c>
      <c r="P95" s="9">
        <v>26</v>
      </c>
      <c r="Q95" s="9">
        <v>22</v>
      </c>
      <c r="R95" s="9">
        <v>64</v>
      </c>
      <c r="S95" s="9">
        <v>80</v>
      </c>
      <c r="T95" s="9">
        <v>67</v>
      </c>
      <c r="U95" s="9">
        <v>1</v>
      </c>
      <c r="V95" s="9">
        <v>1</v>
      </c>
      <c r="W95" s="9">
        <v>1</v>
      </c>
      <c r="X95" s="9">
        <v>0</v>
      </c>
      <c r="Y95" s="9">
        <v>0</v>
      </c>
      <c r="Z95" s="9">
        <v>0</v>
      </c>
      <c r="AB95" s="9">
        <f t="shared" si="4"/>
        <v>1932</v>
      </c>
      <c r="AC95" s="9">
        <f t="shared" si="5"/>
        <v>18529</v>
      </c>
      <c r="AD95" s="10">
        <f t="shared" si="6"/>
        <v>9.5905797101449277</v>
      </c>
    </row>
    <row r="96" spans="1:30" x14ac:dyDescent="0.3">
      <c r="A96" s="55"/>
      <c r="B96" s="30" t="s">
        <v>98</v>
      </c>
      <c r="C96" s="9">
        <v>47</v>
      </c>
      <c r="D96" s="9">
        <v>19</v>
      </c>
      <c r="E96" s="9">
        <v>22</v>
      </c>
      <c r="F96" s="9">
        <v>32</v>
      </c>
      <c r="G96" s="9">
        <v>35</v>
      </c>
      <c r="H96" s="9">
        <v>54</v>
      </c>
      <c r="I96" s="9">
        <v>45</v>
      </c>
      <c r="J96" s="9">
        <v>34</v>
      </c>
      <c r="K96" s="9">
        <v>54</v>
      </c>
      <c r="L96" s="9">
        <v>56</v>
      </c>
      <c r="M96" s="9">
        <v>55</v>
      </c>
      <c r="N96" s="9">
        <v>62</v>
      </c>
      <c r="O96" s="9">
        <v>180</v>
      </c>
      <c r="P96" s="9">
        <v>2</v>
      </c>
      <c r="Q96" s="9">
        <v>5</v>
      </c>
      <c r="R96" s="9">
        <v>18</v>
      </c>
      <c r="S96" s="9">
        <v>30</v>
      </c>
      <c r="T96" s="9">
        <v>22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B96" s="9">
        <f t="shared" si="4"/>
        <v>772</v>
      </c>
      <c r="AC96" s="9">
        <f t="shared" si="5"/>
        <v>6625</v>
      </c>
      <c r="AD96" s="10">
        <f t="shared" si="6"/>
        <v>8.5816062176165797</v>
      </c>
    </row>
    <row r="97" spans="1:30" x14ac:dyDescent="0.3">
      <c r="A97" s="55"/>
      <c r="B97" s="30" t="s">
        <v>99</v>
      </c>
      <c r="C97" s="9">
        <v>130</v>
      </c>
      <c r="D97" s="9">
        <v>89</v>
      </c>
      <c r="E97" s="9">
        <v>110</v>
      </c>
      <c r="F97" s="9">
        <v>145</v>
      </c>
      <c r="G97" s="9">
        <v>155</v>
      </c>
      <c r="H97" s="9">
        <v>322</v>
      </c>
      <c r="I97" s="9">
        <v>244</v>
      </c>
      <c r="J97" s="9">
        <v>191</v>
      </c>
      <c r="K97" s="9">
        <v>254</v>
      </c>
      <c r="L97" s="9">
        <v>276</v>
      </c>
      <c r="M97" s="9">
        <v>294</v>
      </c>
      <c r="N97" s="9">
        <v>318</v>
      </c>
      <c r="O97" s="9">
        <v>1202</v>
      </c>
      <c r="P97" s="9">
        <v>31</v>
      </c>
      <c r="Q97" s="9">
        <v>63</v>
      </c>
      <c r="R97" s="9">
        <v>193</v>
      </c>
      <c r="S97" s="9">
        <v>220</v>
      </c>
      <c r="T97" s="9">
        <v>132</v>
      </c>
      <c r="U97" s="9">
        <v>6</v>
      </c>
      <c r="V97" s="9">
        <v>5</v>
      </c>
      <c r="W97" s="9">
        <v>1</v>
      </c>
      <c r="X97" s="9">
        <v>2</v>
      </c>
      <c r="Y97" s="9">
        <v>1</v>
      </c>
      <c r="Z97" s="9">
        <v>0</v>
      </c>
      <c r="AB97" s="9">
        <f t="shared" si="4"/>
        <v>4384</v>
      </c>
      <c r="AC97" s="9">
        <f t="shared" si="5"/>
        <v>41384</v>
      </c>
      <c r="AD97" s="10">
        <f t="shared" si="6"/>
        <v>9.4397810218978098</v>
      </c>
    </row>
    <row r="98" spans="1:30" x14ac:dyDescent="0.3">
      <c r="A98" s="55"/>
      <c r="B98" s="30" t="s">
        <v>100</v>
      </c>
      <c r="C98" s="9">
        <v>67</v>
      </c>
      <c r="D98" s="9">
        <v>14</v>
      </c>
      <c r="E98" s="9">
        <v>23</v>
      </c>
      <c r="F98" s="9">
        <v>14</v>
      </c>
      <c r="G98" s="9">
        <v>38</v>
      </c>
      <c r="H98" s="9">
        <v>56</v>
      </c>
      <c r="I98" s="9">
        <v>55</v>
      </c>
      <c r="J98" s="9">
        <v>43</v>
      </c>
      <c r="K98" s="9">
        <v>70</v>
      </c>
      <c r="L98" s="9">
        <v>67</v>
      </c>
      <c r="M98" s="9">
        <v>83</v>
      </c>
      <c r="N98" s="9">
        <v>79</v>
      </c>
      <c r="O98" s="9">
        <v>228</v>
      </c>
      <c r="P98" s="9">
        <v>7</v>
      </c>
      <c r="Q98" s="9">
        <v>11</v>
      </c>
      <c r="R98" s="9">
        <v>28</v>
      </c>
      <c r="S98" s="9">
        <v>39</v>
      </c>
      <c r="T98" s="9">
        <v>41</v>
      </c>
      <c r="U98" s="9">
        <v>3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B98" s="9">
        <f t="shared" si="4"/>
        <v>967</v>
      </c>
      <c r="AC98" s="9">
        <f t="shared" si="5"/>
        <v>8822</v>
      </c>
      <c r="AD98" s="10">
        <f t="shared" si="6"/>
        <v>9.1230610134436407</v>
      </c>
    </row>
    <row r="99" spans="1:30" x14ac:dyDescent="0.3">
      <c r="A99" s="55"/>
      <c r="B99" s="30" t="s">
        <v>101</v>
      </c>
      <c r="C99" s="9">
        <v>66</v>
      </c>
      <c r="D99" s="9">
        <v>31</v>
      </c>
      <c r="E99" s="9">
        <v>36</v>
      </c>
      <c r="F99" s="9">
        <v>34</v>
      </c>
      <c r="G99" s="9">
        <v>44</v>
      </c>
      <c r="H99" s="9">
        <v>65</v>
      </c>
      <c r="I99" s="9">
        <v>62</v>
      </c>
      <c r="J99" s="9">
        <v>52</v>
      </c>
      <c r="K99" s="9">
        <v>58</v>
      </c>
      <c r="L99" s="9">
        <v>67</v>
      </c>
      <c r="M99" s="9">
        <v>85</v>
      </c>
      <c r="N99" s="9">
        <v>78</v>
      </c>
      <c r="O99" s="9">
        <v>260</v>
      </c>
      <c r="P99" s="9">
        <v>5</v>
      </c>
      <c r="Q99" s="9">
        <v>3</v>
      </c>
      <c r="R99" s="9">
        <v>22</v>
      </c>
      <c r="S99" s="9">
        <v>19</v>
      </c>
      <c r="T99" s="9">
        <v>14</v>
      </c>
      <c r="U99" s="9">
        <v>0</v>
      </c>
      <c r="V99" s="9">
        <v>1</v>
      </c>
      <c r="W99" s="9">
        <v>0</v>
      </c>
      <c r="X99" s="9">
        <v>0</v>
      </c>
      <c r="Y99" s="9">
        <v>0</v>
      </c>
      <c r="Z99" s="9">
        <v>0</v>
      </c>
      <c r="AB99" s="9">
        <f t="shared" si="4"/>
        <v>1002</v>
      </c>
      <c r="AC99" s="9">
        <f t="shared" si="5"/>
        <v>8335</v>
      </c>
      <c r="AD99" s="10">
        <f t="shared" si="6"/>
        <v>8.3183632734530946</v>
      </c>
    </row>
    <row r="100" spans="1:30" x14ac:dyDescent="0.3">
      <c r="A100" s="55"/>
      <c r="B100" s="30" t="s">
        <v>102</v>
      </c>
      <c r="C100" s="9">
        <v>93</v>
      </c>
      <c r="D100" s="9">
        <v>34</v>
      </c>
      <c r="E100" s="9">
        <v>53</v>
      </c>
      <c r="F100" s="9">
        <v>55</v>
      </c>
      <c r="G100" s="9">
        <v>50</v>
      </c>
      <c r="H100" s="9">
        <v>115</v>
      </c>
      <c r="I100" s="9">
        <v>99</v>
      </c>
      <c r="J100" s="9">
        <v>73</v>
      </c>
      <c r="K100" s="9">
        <v>98</v>
      </c>
      <c r="L100" s="9">
        <v>109</v>
      </c>
      <c r="M100" s="9">
        <v>133</v>
      </c>
      <c r="N100" s="9">
        <v>125</v>
      </c>
      <c r="O100" s="9">
        <v>459</v>
      </c>
      <c r="P100" s="9">
        <v>6</v>
      </c>
      <c r="Q100" s="9">
        <v>4</v>
      </c>
      <c r="R100" s="9">
        <v>30</v>
      </c>
      <c r="S100" s="9">
        <v>45</v>
      </c>
      <c r="T100" s="9">
        <v>23</v>
      </c>
      <c r="U100" s="9">
        <v>1</v>
      </c>
      <c r="V100" s="9">
        <v>0</v>
      </c>
      <c r="W100" s="9">
        <v>4</v>
      </c>
      <c r="X100" s="9">
        <v>0</v>
      </c>
      <c r="Y100" s="9">
        <v>0</v>
      </c>
      <c r="Z100" s="9">
        <v>0</v>
      </c>
      <c r="AB100" s="9">
        <f t="shared" si="4"/>
        <v>1609</v>
      </c>
      <c r="AC100" s="9">
        <f t="shared" si="5"/>
        <v>13956</v>
      </c>
      <c r="AD100" s="10">
        <f t="shared" si="6"/>
        <v>8.6737103791174643</v>
      </c>
    </row>
    <row r="101" spans="1:30" x14ac:dyDescent="0.3">
      <c r="A101" s="55"/>
      <c r="B101" s="30" t="s">
        <v>103</v>
      </c>
      <c r="C101" s="9">
        <v>121</v>
      </c>
      <c r="D101" s="9">
        <v>68</v>
      </c>
      <c r="E101" s="9">
        <v>85</v>
      </c>
      <c r="F101" s="9">
        <v>120</v>
      </c>
      <c r="G101" s="9">
        <v>131</v>
      </c>
      <c r="H101" s="9">
        <v>217</v>
      </c>
      <c r="I101" s="9">
        <v>189</v>
      </c>
      <c r="J101" s="9">
        <v>123</v>
      </c>
      <c r="K101" s="9">
        <v>201</v>
      </c>
      <c r="L101" s="9">
        <v>197</v>
      </c>
      <c r="M101" s="9">
        <v>252</v>
      </c>
      <c r="N101" s="9">
        <v>218</v>
      </c>
      <c r="O101" s="9">
        <v>860</v>
      </c>
      <c r="P101" s="9">
        <v>23</v>
      </c>
      <c r="Q101" s="9">
        <v>45</v>
      </c>
      <c r="R101" s="9">
        <v>143</v>
      </c>
      <c r="S101" s="9">
        <v>167</v>
      </c>
      <c r="T101" s="9">
        <v>108</v>
      </c>
      <c r="U101" s="9">
        <v>12</v>
      </c>
      <c r="V101" s="9">
        <v>8</v>
      </c>
      <c r="W101" s="9">
        <v>3</v>
      </c>
      <c r="X101" s="9">
        <v>1</v>
      </c>
      <c r="Y101" s="9">
        <v>1</v>
      </c>
      <c r="Z101" s="9">
        <v>0</v>
      </c>
      <c r="AB101" s="9">
        <f t="shared" si="4"/>
        <v>3293</v>
      </c>
      <c r="AC101" s="9">
        <f t="shared" si="5"/>
        <v>30874</v>
      </c>
      <c r="AD101" s="10">
        <f t="shared" si="6"/>
        <v>9.3756453082295774</v>
      </c>
    </row>
    <row r="102" spans="1:30" x14ac:dyDescent="0.3">
      <c r="A102" s="55"/>
      <c r="B102" s="30" t="s">
        <v>104</v>
      </c>
      <c r="C102" s="9">
        <v>37</v>
      </c>
      <c r="D102" s="9">
        <v>29</v>
      </c>
      <c r="E102" s="9">
        <v>43</v>
      </c>
      <c r="F102" s="9">
        <v>40</v>
      </c>
      <c r="G102" s="9">
        <v>45</v>
      </c>
      <c r="H102" s="9">
        <v>95</v>
      </c>
      <c r="I102" s="9">
        <v>94</v>
      </c>
      <c r="J102" s="9">
        <v>60</v>
      </c>
      <c r="K102" s="9">
        <v>111</v>
      </c>
      <c r="L102" s="9">
        <v>116</v>
      </c>
      <c r="M102" s="9">
        <v>144</v>
      </c>
      <c r="N102" s="9">
        <v>126</v>
      </c>
      <c r="O102" s="9">
        <v>400</v>
      </c>
      <c r="P102" s="9">
        <v>6</v>
      </c>
      <c r="Q102" s="9">
        <v>6</v>
      </c>
      <c r="R102" s="9">
        <v>27</v>
      </c>
      <c r="S102" s="9">
        <v>42</v>
      </c>
      <c r="T102" s="9">
        <v>32</v>
      </c>
      <c r="U102" s="9">
        <v>2</v>
      </c>
      <c r="V102" s="9">
        <v>2</v>
      </c>
      <c r="W102" s="9">
        <v>0</v>
      </c>
      <c r="X102" s="9">
        <v>0</v>
      </c>
      <c r="Y102" s="9">
        <v>1</v>
      </c>
      <c r="Z102" s="9">
        <v>0</v>
      </c>
      <c r="AB102" s="9">
        <f t="shared" si="4"/>
        <v>1458</v>
      </c>
      <c r="AC102" s="9">
        <f t="shared" si="5"/>
        <v>13311</v>
      </c>
      <c r="AD102" s="10">
        <f t="shared" si="6"/>
        <v>9.1296296296296298</v>
      </c>
    </row>
    <row r="103" spans="1:30" x14ac:dyDescent="0.3">
      <c r="A103" s="55"/>
      <c r="B103" s="30" t="s">
        <v>105</v>
      </c>
      <c r="C103" s="9">
        <v>12</v>
      </c>
      <c r="D103" s="9">
        <v>8</v>
      </c>
      <c r="E103" s="9">
        <v>8</v>
      </c>
      <c r="F103" s="9">
        <v>19</v>
      </c>
      <c r="G103" s="9">
        <v>31</v>
      </c>
      <c r="H103" s="9">
        <v>39</v>
      </c>
      <c r="I103" s="9">
        <v>29</v>
      </c>
      <c r="J103" s="9">
        <v>45</v>
      </c>
      <c r="K103" s="9">
        <v>61</v>
      </c>
      <c r="L103" s="9">
        <v>70</v>
      </c>
      <c r="M103" s="9">
        <v>71</v>
      </c>
      <c r="N103" s="9">
        <v>77</v>
      </c>
      <c r="O103" s="9">
        <v>238</v>
      </c>
      <c r="P103" s="9">
        <v>4</v>
      </c>
      <c r="Q103" s="9">
        <v>1</v>
      </c>
      <c r="R103" s="9">
        <v>27</v>
      </c>
      <c r="S103" s="9">
        <v>37</v>
      </c>
      <c r="T103" s="9">
        <v>36</v>
      </c>
      <c r="U103" s="9">
        <v>1</v>
      </c>
      <c r="V103" s="9">
        <v>1</v>
      </c>
      <c r="W103" s="9">
        <v>0</v>
      </c>
      <c r="X103" s="9">
        <v>0</v>
      </c>
      <c r="Y103" s="9">
        <v>0</v>
      </c>
      <c r="Z103" s="9">
        <v>0</v>
      </c>
      <c r="AB103" s="9">
        <f t="shared" si="4"/>
        <v>815</v>
      </c>
      <c r="AC103" s="9">
        <f t="shared" si="5"/>
        <v>8132</v>
      </c>
      <c r="AD103" s="10">
        <f t="shared" si="6"/>
        <v>9.9779141104294471</v>
      </c>
    </row>
    <row r="104" spans="1:30" x14ac:dyDescent="0.3">
      <c r="A104" s="55"/>
      <c r="B104" s="30" t="s">
        <v>106</v>
      </c>
      <c r="C104" s="9">
        <v>74</v>
      </c>
      <c r="D104" s="9">
        <v>66</v>
      </c>
      <c r="E104" s="9">
        <v>86</v>
      </c>
      <c r="F104" s="9">
        <v>138</v>
      </c>
      <c r="G104" s="9">
        <v>145</v>
      </c>
      <c r="H104" s="9">
        <v>214</v>
      </c>
      <c r="I104" s="9">
        <v>174</v>
      </c>
      <c r="J104" s="9">
        <v>139</v>
      </c>
      <c r="K104" s="9">
        <v>194</v>
      </c>
      <c r="L104" s="9">
        <v>206</v>
      </c>
      <c r="M104" s="9">
        <v>238</v>
      </c>
      <c r="N104" s="9">
        <v>193</v>
      </c>
      <c r="O104" s="9">
        <v>760</v>
      </c>
      <c r="P104" s="9">
        <v>30</v>
      </c>
      <c r="Q104" s="9">
        <v>54</v>
      </c>
      <c r="R104" s="9">
        <v>122</v>
      </c>
      <c r="S104" s="9">
        <v>223</v>
      </c>
      <c r="T104" s="9">
        <v>187</v>
      </c>
      <c r="U104" s="9">
        <v>5</v>
      </c>
      <c r="V104" s="9">
        <v>11</v>
      </c>
      <c r="W104" s="9">
        <v>1</v>
      </c>
      <c r="X104" s="9">
        <v>1</v>
      </c>
      <c r="Y104" s="9">
        <v>0</v>
      </c>
      <c r="Z104" s="9">
        <v>0</v>
      </c>
      <c r="AB104" s="9">
        <f t="shared" si="4"/>
        <v>3261</v>
      </c>
      <c r="AC104" s="9">
        <f t="shared" si="5"/>
        <v>31411</v>
      </c>
      <c r="AD104" s="10">
        <f t="shared" si="6"/>
        <v>9.632321373811715</v>
      </c>
    </row>
    <row r="105" spans="1:30" x14ac:dyDescent="0.3">
      <c r="A105" s="55"/>
      <c r="B105" s="30" t="s">
        <v>107</v>
      </c>
      <c r="C105" s="9">
        <v>65</v>
      </c>
      <c r="D105" s="9">
        <v>63</v>
      </c>
      <c r="E105" s="9">
        <v>77</v>
      </c>
      <c r="F105" s="9">
        <v>107</v>
      </c>
      <c r="G105" s="9">
        <v>133</v>
      </c>
      <c r="H105" s="9">
        <v>210</v>
      </c>
      <c r="I105" s="9">
        <v>166</v>
      </c>
      <c r="J105" s="9">
        <v>157</v>
      </c>
      <c r="K105" s="9">
        <v>136</v>
      </c>
      <c r="L105" s="9">
        <v>209</v>
      </c>
      <c r="M105" s="9">
        <v>236</v>
      </c>
      <c r="N105" s="9">
        <v>216</v>
      </c>
      <c r="O105" s="9">
        <v>879</v>
      </c>
      <c r="P105" s="9">
        <v>9</v>
      </c>
      <c r="Q105" s="9">
        <v>18</v>
      </c>
      <c r="R105" s="9">
        <v>80</v>
      </c>
      <c r="S105" s="9">
        <v>92</v>
      </c>
      <c r="T105" s="9">
        <v>60</v>
      </c>
      <c r="U105" s="9">
        <v>2</v>
      </c>
      <c r="V105" s="9">
        <v>2</v>
      </c>
      <c r="W105" s="9">
        <v>1</v>
      </c>
      <c r="X105" s="9">
        <v>0</v>
      </c>
      <c r="Y105" s="9">
        <v>0</v>
      </c>
      <c r="Z105" s="9">
        <v>1</v>
      </c>
      <c r="AB105" s="9">
        <f t="shared" si="4"/>
        <v>2919</v>
      </c>
      <c r="AC105" s="9">
        <f t="shared" si="5"/>
        <v>26646</v>
      </c>
      <c r="AD105" s="10">
        <f t="shared" si="6"/>
        <v>9.1284686536485093</v>
      </c>
    </row>
    <row r="106" spans="1:30" x14ac:dyDescent="0.3">
      <c r="A106" s="55"/>
      <c r="B106" s="30" t="s">
        <v>108</v>
      </c>
      <c r="C106" s="9">
        <v>41</v>
      </c>
      <c r="D106" s="9">
        <v>33</v>
      </c>
      <c r="E106" s="9">
        <v>42</v>
      </c>
      <c r="F106" s="9">
        <v>57</v>
      </c>
      <c r="G106" s="9">
        <v>54</v>
      </c>
      <c r="H106" s="9">
        <v>102</v>
      </c>
      <c r="I106" s="9">
        <v>135</v>
      </c>
      <c r="J106" s="9">
        <v>91</v>
      </c>
      <c r="K106" s="9">
        <v>117</v>
      </c>
      <c r="L106" s="9">
        <v>143</v>
      </c>
      <c r="M106" s="9">
        <v>150</v>
      </c>
      <c r="N106" s="9">
        <v>120</v>
      </c>
      <c r="O106" s="9">
        <v>331</v>
      </c>
      <c r="P106" s="9">
        <v>10</v>
      </c>
      <c r="Q106" s="9">
        <v>16</v>
      </c>
      <c r="R106" s="9">
        <v>48</v>
      </c>
      <c r="S106" s="9">
        <v>82</v>
      </c>
      <c r="T106" s="9">
        <v>49</v>
      </c>
      <c r="U106" s="9">
        <v>1</v>
      </c>
      <c r="V106" s="9">
        <v>0</v>
      </c>
      <c r="W106" s="9">
        <v>2</v>
      </c>
      <c r="X106" s="9">
        <v>0</v>
      </c>
      <c r="Y106" s="9">
        <v>0</v>
      </c>
      <c r="Z106" s="9">
        <v>0</v>
      </c>
      <c r="AB106" s="9">
        <f t="shared" si="4"/>
        <v>1624</v>
      </c>
      <c r="AC106" s="9">
        <f t="shared" si="5"/>
        <v>14753</v>
      </c>
      <c r="AD106" s="10">
        <f t="shared" si="6"/>
        <v>9.0843596059113292</v>
      </c>
    </row>
    <row r="107" spans="1:30" x14ac:dyDescent="0.3">
      <c r="A107" s="55"/>
      <c r="B107" s="30" t="s">
        <v>109</v>
      </c>
      <c r="C107" s="9">
        <v>44</v>
      </c>
      <c r="D107" s="9">
        <v>18</v>
      </c>
      <c r="E107" s="9">
        <v>43</v>
      </c>
      <c r="F107" s="9">
        <v>60</v>
      </c>
      <c r="G107" s="9">
        <v>47</v>
      </c>
      <c r="H107" s="9">
        <v>82</v>
      </c>
      <c r="I107" s="9">
        <v>78</v>
      </c>
      <c r="J107" s="9">
        <v>62</v>
      </c>
      <c r="K107" s="9">
        <v>87</v>
      </c>
      <c r="L107" s="9">
        <v>118</v>
      </c>
      <c r="M107" s="9">
        <v>123</v>
      </c>
      <c r="N107" s="9">
        <v>101</v>
      </c>
      <c r="O107" s="9">
        <v>308</v>
      </c>
      <c r="P107" s="9">
        <v>18</v>
      </c>
      <c r="Q107" s="9">
        <v>27</v>
      </c>
      <c r="R107" s="9">
        <v>62</v>
      </c>
      <c r="S107" s="9">
        <v>88</v>
      </c>
      <c r="T107" s="9">
        <v>61</v>
      </c>
      <c r="U107" s="9">
        <v>4</v>
      </c>
      <c r="V107" s="9">
        <v>5</v>
      </c>
      <c r="W107" s="9">
        <v>1</v>
      </c>
      <c r="X107" s="9">
        <v>0</v>
      </c>
      <c r="Y107" s="9">
        <v>0</v>
      </c>
      <c r="Z107" s="9">
        <v>0</v>
      </c>
      <c r="AB107" s="9">
        <f t="shared" si="4"/>
        <v>1437</v>
      </c>
      <c r="AC107" s="9">
        <f t="shared" si="5"/>
        <v>13753</v>
      </c>
      <c r="AD107" s="10">
        <f t="shared" si="6"/>
        <v>9.5706332637439111</v>
      </c>
    </row>
    <row r="108" spans="1:30" x14ac:dyDescent="0.3">
      <c r="A108" s="55"/>
      <c r="B108" s="30" t="s">
        <v>110</v>
      </c>
      <c r="C108" s="9">
        <v>179</v>
      </c>
      <c r="D108" s="9">
        <v>45</v>
      </c>
      <c r="E108" s="9">
        <v>83</v>
      </c>
      <c r="F108" s="9">
        <v>127</v>
      </c>
      <c r="G108" s="9">
        <v>115</v>
      </c>
      <c r="H108" s="9">
        <v>174</v>
      </c>
      <c r="I108" s="9">
        <v>92</v>
      </c>
      <c r="J108" s="9">
        <v>70</v>
      </c>
      <c r="K108" s="9">
        <v>122</v>
      </c>
      <c r="L108" s="9">
        <v>91</v>
      </c>
      <c r="M108" s="9">
        <v>99</v>
      </c>
      <c r="N108" s="9">
        <v>84</v>
      </c>
      <c r="O108" s="9">
        <v>356</v>
      </c>
      <c r="P108" s="9">
        <v>6</v>
      </c>
      <c r="Q108" s="9">
        <v>8</v>
      </c>
      <c r="R108" s="9">
        <v>47</v>
      </c>
      <c r="S108" s="9">
        <v>54</v>
      </c>
      <c r="T108" s="9">
        <v>51</v>
      </c>
      <c r="U108" s="9">
        <v>3</v>
      </c>
      <c r="V108" s="9">
        <v>3</v>
      </c>
      <c r="W108" s="9">
        <v>2</v>
      </c>
      <c r="X108" s="9">
        <v>2</v>
      </c>
      <c r="Y108" s="9">
        <v>0</v>
      </c>
      <c r="Z108" s="9">
        <v>0</v>
      </c>
      <c r="AB108" s="9">
        <f t="shared" si="4"/>
        <v>1813</v>
      </c>
      <c r="AC108" s="9">
        <f t="shared" si="5"/>
        <v>13764</v>
      </c>
      <c r="AD108" s="10">
        <f t="shared" si="6"/>
        <v>7.591836734693878</v>
      </c>
    </row>
    <row r="109" spans="1:30" x14ac:dyDescent="0.3">
      <c r="A109" s="55"/>
      <c r="B109" s="30" t="s">
        <v>111</v>
      </c>
      <c r="C109" s="9">
        <v>51</v>
      </c>
      <c r="D109" s="9">
        <v>25</v>
      </c>
      <c r="E109" s="9">
        <v>30</v>
      </c>
      <c r="F109" s="9">
        <v>25</v>
      </c>
      <c r="G109" s="9">
        <v>52</v>
      </c>
      <c r="H109" s="9">
        <v>54</v>
      </c>
      <c r="I109" s="9">
        <v>32</v>
      </c>
      <c r="J109" s="9">
        <v>27</v>
      </c>
      <c r="K109" s="9">
        <v>40</v>
      </c>
      <c r="L109" s="9">
        <v>23</v>
      </c>
      <c r="M109" s="9">
        <v>34</v>
      </c>
      <c r="N109" s="9">
        <v>18</v>
      </c>
      <c r="O109" s="9">
        <v>71</v>
      </c>
      <c r="P109" s="9">
        <v>4</v>
      </c>
      <c r="Q109" s="9">
        <v>1</v>
      </c>
      <c r="R109" s="9">
        <v>12</v>
      </c>
      <c r="S109" s="9">
        <v>9</v>
      </c>
      <c r="T109" s="9">
        <v>14</v>
      </c>
      <c r="U109" s="9">
        <v>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B109" s="9">
        <f t="shared" si="4"/>
        <v>523</v>
      </c>
      <c r="AC109" s="9">
        <f t="shared" si="5"/>
        <v>3582</v>
      </c>
      <c r="AD109" s="10">
        <f t="shared" si="6"/>
        <v>6.8489483747609938</v>
      </c>
    </row>
    <row r="110" spans="1:30" x14ac:dyDescent="0.3">
      <c r="A110" s="55"/>
      <c r="B110" s="30" t="s">
        <v>112</v>
      </c>
      <c r="C110" s="9">
        <v>67</v>
      </c>
      <c r="D110" s="9">
        <v>45</v>
      </c>
      <c r="E110" s="9">
        <v>54</v>
      </c>
      <c r="F110" s="9">
        <v>84</v>
      </c>
      <c r="G110" s="9">
        <v>105</v>
      </c>
      <c r="H110" s="9">
        <v>163</v>
      </c>
      <c r="I110" s="9">
        <v>92</v>
      </c>
      <c r="J110" s="9">
        <v>82</v>
      </c>
      <c r="K110" s="9">
        <v>112</v>
      </c>
      <c r="L110" s="9">
        <v>109</v>
      </c>
      <c r="M110" s="9">
        <v>123</v>
      </c>
      <c r="N110" s="9">
        <v>126</v>
      </c>
      <c r="O110" s="9">
        <v>549</v>
      </c>
      <c r="P110" s="9">
        <v>22</v>
      </c>
      <c r="Q110" s="9">
        <v>15</v>
      </c>
      <c r="R110" s="9">
        <v>71</v>
      </c>
      <c r="S110" s="9">
        <v>89</v>
      </c>
      <c r="T110" s="9">
        <v>79</v>
      </c>
      <c r="U110" s="9">
        <v>0</v>
      </c>
      <c r="V110" s="9">
        <v>1</v>
      </c>
      <c r="W110" s="9">
        <v>1</v>
      </c>
      <c r="X110" s="9">
        <v>0</v>
      </c>
      <c r="Y110" s="9">
        <v>1</v>
      </c>
      <c r="Z110" s="9">
        <v>0</v>
      </c>
      <c r="AB110" s="9">
        <f t="shared" si="4"/>
        <v>1990</v>
      </c>
      <c r="AC110" s="9">
        <f t="shared" si="5"/>
        <v>18236</v>
      </c>
      <c r="AD110" s="10">
        <f t="shared" si="6"/>
        <v>9.1638190954773862</v>
      </c>
    </row>
    <row r="111" spans="1:30" x14ac:dyDescent="0.3">
      <c r="A111" s="55"/>
      <c r="B111" s="30" t="s">
        <v>113</v>
      </c>
      <c r="C111" s="9">
        <v>34</v>
      </c>
      <c r="D111" s="9">
        <v>18</v>
      </c>
      <c r="E111" s="9">
        <v>16</v>
      </c>
      <c r="F111" s="9">
        <v>16</v>
      </c>
      <c r="G111" s="9">
        <v>26</v>
      </c>
      <c r="H111" s="9">
        <v>33</v>
      </c>
      <c r="I111" s="9">
        <v>28</v>
      </c>
      <c r="J111" s="9">
        <v>21</v>
      </c>
      <c r="K111" s="9">
        <v>32</v>
      </c>
      <c r="L111" s="9">
        <v>45</v>
      </c>
      <c r="M111" s="9">
        <v>43</v>
      </c>
      <c r="N111" s="9">
        <v>34</v>
      </c>
      <c r="O111" s="9">
        <v>191</v>
      </c>
      <c r="P111" s="9">
        <v>7</v>
      </c>
      <c r="Q111" s="9">
        <v>12</v>
      </c>
      <c r="R111" s="9">
        <v>36</v>
      </c>
      <c r="S111" s="9">
        <v>38</v>
      </c>
      <c r="T111" s="9">
        <v>21</v>
      </c>
      <c r="U111" s="9">
        <v>0</v>
      </c>
      <c r="V111" s="9">
        <v>0</v>
      </c>
      <c r="W111" s="9">
        <v>1</v>
      </c>
      <c r="X111" s="9">
        <v>0</v>
      </c>
      <c r="Y111" s="9">
        <v>0</v>
      </c>
      <c r="Z111" s="9">
        <v>0</v>
      </c>
      <c r="AB111" s="9">
        <f t="shared" si="4"/>
        <v>652</v>
      </c>
      <c r="AC111" s="9">
        <f t="shared" si="5"/>
        <v>6223</v>
      </c>
      <c r="AD111" s="10">
        <f t="shared" si="6"/>
        <v>9.544478527607362</v>
      </c>
    </row>
    <row r="112" spans="1:30" x14ac:dyDescent="0.3">
      <c r="A112" s="55"/>
      <c r="B112" s="30" t="s">
        <v>114</v>
      </c>
      <c r="C112" s="9">
        <v>71</v>
      </c>
      <c r="D112" s="9">
        <v>16</v>
      </c>
      <c r="E112" s="9">
        <v>38</v>
      </c>
      <c r="F112" s="9">
        <v>27</v>
      </c>
      <c r="G112" s="9">
        <v>29</v>
      </c>
      <c r="H112" s="9">
        <v>56</v>
      </c>
      <c r="I112" s="9">
        <v>62</v>
      </c>
      <c r="J112" s="9">
        <v>48</v>
      </c>
      <c r="K112" s="9">
        <v>83</v>
      </c>
      <c r="L112" s="9">
        <v>72</v>
      </c>
      <c r="M112" s="9">
        <v>113</v>
      </c>
      <c r="N112" s="9">
        <v>87</v>
      </c>
      <c r="O112" s="9">
        <v>405</v>
      </c>
      <c r="P112" s="9">
        <v>2</v>
      </c>
      <c r="Q112" s="9">
        <v>6</v>
      </c>
      <c r="R112" s="9">
        <v>25</v>
      </c>
      <c r="S112" s="9">
        <v>32</v>
      </c>
      <c r="T112" s="9">
        <v>14</v>
      </c>
      <c r="U112" s="9">
        <v>1</v>
      </c>
      <c r="V112" s="9">
        <v>2</v>
      </c>
      <c r="W112" s="9">
        <v>3</v>
      </c>
      <c r="X112" s="9">
        <v>2</v>
      </c>
      <c r="Y112" s="9">
        <v>0</v>
      </c>
      <c r="Z112" s="9">
        <v>0</v>
      </c>
      <c r="AB112" s="9">
        <f t="shared" si="4"/>
        <v>1194</v>
      </c>
      <c r="AC112" s="9">
        <f t="shared" si="5"/>
        <v>10929</v>
      </c>
      <c r="AD112" s="10">
        <f t="shared" si="6"/>
        <v>9.1532663316582923</v>
      </c>
    </row>
    <row r="113" spans="1:30" x14ac:dyDescent="0.3">
      <c r="A113" s="55"/>
      <c r="B113" s="30" t="s">
        <v>115</v>
      </c>
      <c r="C113" s="9">
        <v>28</v>
      </c>
      <c r="D113" s="9">
        <v>11</v>
      </c>
      <c r="E113" s="9">
        <v>11</v>
      </c>
      <c r="F113" s="9">
        <v>28</v>
      </c>
      <c r="G113" s="9">
        <v>35</v>
      </c>
      <c r="H113" s="9">
        <v>31</v>
      </c>
      <c r="I113" s="9">
        <v>59</v>
      </c>
      <c r="J113" s="9">
        <v>46</v>
      </c>
      <c r="K113" s="9">
        <v>62</v>
      </c>
      <c r="L113" s="9">
        <v>108</v>
      </c>
      <c r="M113" s="9">
        <v>125</v>
      </c>
      <c r="N113" s="9">
        <v>123</v>
      </c>
      <c r="O113" s="9">
        <v>535</v>
      </c>
      <c r="P113" s="9">
        <v>6</v>
      </c>
      <c r="Q113" s="9">
        <v>9</v>
      </c>
      <c r="R113" s="9">
        <v>36</v>
      </c>
      <c r="S113" s="9">
        <v>43</v>
      </c>
      <c r="T113" s="9">
        <v>19</v>
      </c>
      <c r="U113" s="9">
        <v>0</v>
      </c>
      <c r="V113" s="9">
        <v>1</v>
      </c>
      <c r="W113" s="9">
        <v>0</v>
      </c>
      <c r="X113" s="9">
        <v>0</v>
      </c>
      <c r="Y113" s="9">
        <v>0</v>
      </c>
      <c r="Z113" s="9">
        <v>1</v>
      </c>
      <c r="AB113" s="9">
        <f t="shared" si="4"/>
        <v>1317</v>
      </c>
      <c r="AC113" s="9">
        <f t="shared" si="5"/>
        <v>13376</v>
      </c>
      <c r="AD113" s="10">
        <f t="shared" si="6"/>
        <v>10.156416097190585</v>
      </c>
    </row>
    <row r="114" spans="1:30" x14ac:dyDescent="0.3">
      <c r="A114" s="55"/>
      <c r="B114" s="30" t="s">
        <v>116</v>
      </c>
      <c r="C114" s="9">
        <v>32</v>
      </c>
      <c r="D114" s="9">
        <v>18</v>
      </c>
      <c r="E114" s="9">
        <v>19</v>
      </c>
      <c r="F114" s="9">
        <v>29</v>
      </c>
      <c r="G114" s="9">
        <v>29</v>
      </c>
      <c r="H114" s="9">
        <v>38</v>
      </c>
      <c r="I114" s="9">
        <v>46</v>
      </c>
      <c r="J114" s="9">
        <v>35</v>
      </c>
      <c r="K114" s="9">
        <v>39</v>
      </c>
      <c r="L114" s="9">
        <v>100</v>
      </c>
      <c r="M114" s="9">
        <v>101</v>
      </c>
      <c r="N114" s="9">
        <v>97</v>
      </c>
      <c r="O114" s="9">
        <v>258</v>
      </c>
      <c r="P114" s="9">
        <v>7</v>
      </c>
      <c r="Q114" s="9">
        <v>13</v>
      </c>
      <c r="R114" s="9">
        <v>44</v>
      </c>
      <c r="S114" s="9">
        <v>58</v>
      </c>
      <c r="T114" s="9">
        <v>42</v>
      </c>
      <c r="U114" s="9">
        <v>0</v>
      </c>
      <c r="V114" s="9">
        <v>1</v>
      </c>
      <c r="W114" s="9">
        <v>0</v>
      </c>
      <c r="X114" s="9">
        <v>1</v>
      </c>
      <c r="Y114" s="9">
        <v>0</v>
      </c>
      <c r="Z114" s="9">
        <v>0</v>
      </c>
      <c r="AB114" s="9">
        <f t="shared" si="4"/>
        <v>1007</v>
      </c>
      <c r="AC114" s="9">
        <f t="shared" si="5"/>
        <v>9970</v>
      </c>
      <c r="AD114" s="10">
        <f t="shared" si="6"/>
        <v>9.9006951340615696</v>
      </c>
    </row>
    <row r="115" spans="1:30" x14ac:dyDescent="0.3">
      <c r="A115" s="55"/>
      <c r="B115" s="30" t="s">
        <v>117</v>
      </c>
      <c r="C115" s="9">
        <v>12</v>
      </c>
      <c r="D115" s="9">
        <v>4</v>
      </c>
      <c r="E115" s="9">
        <v>5</v>
      </c>
      <c r="F115" s="9">
        <v>17</v>
      </c>
      <c r="G115" s="9">
        <v>6</v>
      </c>
      <c r="H115" s="9">
        <v>24</v>
      </c>
      <c r="I115" s="9">
        <v>17</v>
      </c>
      <c r="J115" s="9">
        <v>8</v>
      </c>
      <c r="K115" s="9">
        <v>30</v>
      </c>
      <c r="L115" s="9">
        <v>18</v>
      </c>
      <c r="M115" s="9">
        <v>17</v>
      </c>
      <c r="N115" s="9">
        <v>23</v>
      </c>
      <c r="O115" s="9">
        <v>96</v>
      </c>
      <c r="P115" s="9">
        <v>1</v>
      </c>
      <c r="Q115" s="9">
        <v>8</v>
      </c>
      <c r="R115" s="9">
        <v>6</v>
      </c>
      <c r="S115" s="9">
        <v>10</v>
      </c>
      <c r="T115" s="9">
        <v>7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B115" s="9">
        <f t="shared" si="4"/>
        <v>309</v>
      </c>
      <c r="AC115" s="9">
        <f t="shared" si="5"/>
        <v>2838</v>
      </c>
      <c r="AD115" s="10">
        <f t="shared" si="6"/>
        <v>9.1844660194174761</v>
      </c>
    </row>
    <row r="116" spans="1:30" x14ac:dyDescent="0.3">
      <c r="A116" s="55"/>
      <c r="B116" s="30" t="s">
        <v>118</v>
      </c>
      <c r="C116" s="9">
        <v>17</v>
      </c>
      <c r="D116" s="9">
        <v>10</v>
      </c>
      <c r="E116" s="9">
        <v>11</v>
      </c>
      <c r="F116" s="9">
        <v>12</v>
      </c>
      <c r="G116" s="9">
        <v>24</v>
      </c>
      <c r="H116" s="9">
        <v>39</v>
      </c>
      <c r="I116" s="9">
        <v>27</v>
      </c>
      <c r="J116" s="9">
        <v>21</v>
      </c>
      <c r="K116" s="9">
        <v>31</v>
      </c>
      <c r="L116" s="9">
        <v>29</v>
      </c>
      <c r="M116" s="9">
        <v>38</v>
      </c>
      <c r="N116" s="9">
        <v>31</v>
      </c>
      <c r="O116" s="9">
        <v>160</v>
      </c>
      <c r="P116" s="9">
        <v>7</v>
      </c>
      <c r="Q116" s="9">
        <v>13</v>
      </c>
      <c r="R116" s="9">
        <v>29</v>
      </c>
      <c r="S116" s="9">
        <v>33</v>
      </c>
      <c r="T116" s="9">
        <v>16</v>
      </c>
      <c r="U116" s="9">
        <v>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B116" s="9">
        <f t="shared" si="4"/>
        <v>549</v>
      </c>
      <c r="AC116" s="9">
        <f t="shared" si="5"/>
        <v>5344</v>
      </c>
      <c r="AD116" s="10">
        <f t="shared" si="6"/>
        <v>9.734061930783243</v>
      </c>
    </row>
    <row r="117" spans="1:30" x14ac:dyDescent="0.3">
      <c r="A117" s="55"/>
      <c r="B117" s="30" t="s">
        <v>119</v>
      </c>
      <c r="C117" s="9">
        <v>25</v>
      </c>
      <c r="D117" s="9">
        <v>5</v>
      </c>
      <c r="E117" s="9">
        <v>12</v>
      </c>
      <c r="F117" s="9">
        <v>9</v>
      </c>
      <c r="G117" s="9">
        <v>12</v>
      </c>
      <c r="H117" s="9">
        <v>30</v>
      </c>
      <c r="I117" s="9">
        <v>17</v>
      </c>
      <c r="J117" s="9">
        <v>26</v>
      </c>
      <c r="K117" s="9">
        <v>51</v>
      </c>
      <c r="L117" s="9">
        <v>25</v>
      </c>
      <c r="M117" s="9">
        <v>35</v>
      </c>
      <c r="N117" s="9">
        <v>32</v>
      </c>
      <c r="O117" s="9">
        <v>161</v>
      </c>
      <c r="P117" s="9">
        <v>1</v>
      </c>
      <c r="Q117" s="9">
        <v>3</v>
      </c>
      <c r="R117" s="9">
        <v>8</v>
      </c>
      <c r="S117" s="9">
        <v>18</v>
      </c>
      <c r="T117" s="9">
        <v>7</v>
      </c>
      <c r="U117" s="9">
        <v>0</v>
      </c>
      <c r="V117" s="9">
        <v>1</v>
      </c>
      <c r="W117" s="9">
        <v>1</v>
      </c>
      <c r="X117" s="9">
        <v>0</v>
      </c>
      <c r="Y117" s="9">
        <v>0</v>
      </c>
      <c r="Z117" s="9">
        <v>0</v>
      </c>
      <c r="AB117" s="9">
        <f t="shared" si="4"/>
        <v>479</v>
      </c>
      <c r="AC117" s="9">
        <f t="shared" si="5"/>
        <v>4426</v>
      </c>
      <c r="AD117" s="10">
        <f t="shared" si="6"/>
        <v>9.2400835073068901</v>
      </c>
    </row>
    <row r="118" spans="1:30" x14ac:dyDescent="0.3">
      <c r="A118" s="55"/>
      <c r="B118" s="30" t="s">
        <v>120</v>
      </c>
      <c r="C118" s="9">
        <v>203</v>
      </c>
      <c r="D118" s="9">
        <v>156</v>
      </c>
      <c r="E118" s="9">
        <v>208</v>
      </c>
      <c r="F118" s="9">
        <v>295</v>
      </c>
      <c r="G118" s="9">
        <v>300</v>
      </c>
      <c r="H118" s="9">
        <v>559</v>
      </c>
      <c r="I118" s="9">
        <v>454</v>
      </c>
      <c r="J118" s="9">
        <v>415</v>
      </c>
      <c r="K118" s="9">
        <v>556</v>
      </c>
      <c r="L118" s="9">
        <v>529</v>
      </c>
      <c r="M118" s="9">
        <v>632</v>
      </c>
      <c r="N118" s="9">
        <v>503</v>
      </c>
      <c r="O118" s="9">
        <v>1992</v>
      </c>
      <c r="P118" s="9">
        <v>82</v>
      </c>
      <c r="Q118" s="9">
        <v>99</v>
      </c>
      <c r="R118" s="9">
        <v>299</v>
      </c>
      <c r="S118" s="9">
        <v>400</v>
      </c>
      <c r="T118" s="9">
        <v>295</v>
      </c>
      <c r="U118" s="9">
        <v>12</v>
      </c>
      <c r="V118" s="9">
        <v>8</v>
      </c>
      <c r="W118" s="9">
        <v>4</v>
      </c>
      <c r="X118" s="9">
        <v>1</v>
      </c>
      <c r="Y118" s="9">
        <v>0</v>
      </c>
      <c r="Z118" s="9">
        <v>1</v>
      </c>
      <c r="AB118" s="9">
        <f t="shared" si="4"/>
        <v>8003</v>
      </c>
      <c r="AC118" s="9">
        <f t="shared" si="5"/>
        <v>74891</v>
      </c>
      <c r="AD118" s="10">
        <f t="shared" si="6"/>
        <v>9.3578658003248787</v>
      </c>
    </row>
    <row r="119" spans="1:30" x14ac:dyDescent="0.3">
      <c r="A119" s="55"/>
      <c r="B119" s="30" t="s">
        <v>121</v>
      </c>
      <c r="C119" s="9">
        <v>62</v>
      </c>
      <c r="D119" s="9">
        <v>34</v>
      </c>
      <c r="E119" s="9">
        <v>48</v>
      </c>
      <c r="F119" s="9">
        <v>60</v>
      </c>
      <c r="G119" s="9">
        <v>66</v>
      </c>
      <c r="H119" s="9">
        <v>145</v>
      </c>
      <c r="I119" s="9">
        <v>91</v>
      </c>
      <c r="J119" s="9">
        <v>88</v>
      </c>
      <c r="K119" s="9">
        <v>152</v>
      </c>
      <c r="L119" s="9">
        <v>108</v>
      </c>
      <c r="M119" s="9">
        <v>167</v>
      </c>
      <c r="N119" s="9">
        <v>118</v>
      </c>
      <c r="O119" s="9">
        <v>549</v>
      </c>
      <c r="P119" s="9">
        <v>18</v>
      </c>
      <c r="Q119" s="9">
        <v>22</v>
      </c>
      <c r="R119" s="9">
        <v>69</v>
      </c>
      <c r="S119" s="9">
        <v>70</v>
      </c>
      <c r="T119" s="9">
        <v>60</v>
      </c>
      <c r="U119" s="9">
        <v>1</v>
      </c>
      <c r="V119" s="9">
        <v>2</v>
      </c>
      <c r="W119" s="9">
        <v>1</v>
      </c>
      <c r="X119" s="9">
        <v>0</v>
      </c>
      <c r="Y119" s="9">
        <v>0</v>
      </c>
      <c r="Z119" s="9">
        <v>0</v>
      </c>
      <c r="AB119" s="9">
        <f t="shared" si="4"/>
        <v>1931</v>
      </c>
      <c r="AC119" s="9">
        <f t="shared" si="5"/>
        <v>17998</v>
      </c>
      <c r="AD119" s="10">
        <f t="shared" si="6"/>
        <v>9.3205592957017096</v>
      </c>
    </row>
    <row r="120" spans="1:30" x14ac:dyDescent="0.3">
      <c r="A120" s="55"/>
      <c r="B120" s="30" t="s">
        <v>122</v>
      </c>
      <c r="C120" s="9">
        <v>2237</v>
      </c>
      <c r="D120" s="9">
        <v>1450</v>
      </c>
      <c r="E120" s="9">
        <v>2026</v>
      </c>
      <c r="F120" s="9">
        <v>2679</v>
      </c>
      <c r="G120" s="9">
        <v>2587</v>
      </c>
      <c r="H120" s="9">
        <v>4417</v>
      </c>
      <c r="I120" s="9">
        <v>3175</v>
      </c>
      <c r="J120" s="9">
        <v>2680</v>
      </c>
      <c r="K120" s="9">
        <v>3774</v>
      </c>
      <c r="L120" s="9">
        <v>4726</v>
      </c>
      <c r="M120" s="9">
        <v>5589</v>
      </c>
      <c r="N120" s="9">
        <v>5177</v>
      </c>
      <c r="O120" s="9">
        <v>22720</v>
      </c>
      <c r="P120" s="9">
        <v>2184</v>
      </c>
      <c r="Q120" s="9">
        <v>3399</v>
      </c>
      <c r="R120" s="9">
        <v>9184</v>
      </c>
      <c r="S120" s="9">
        <v>15151</v>
      </c>
      <c r="T120" s="9">
        <v>18609</v>
      </c>
      <c r="U120" s="9">
        <v>1150</v>
      </c>
      <c r="V120" s="9">
        <v>1622</v>
      </c>
      <c r="W120" s="9">
        <v>207</v>
      </c>
      <c r="X120" s="9">
        <v>121</v>
      </c>
      <c r="Y120" s="9">
        <v>57</v>
      </c>
      <c r="Z120" s="9">
        <v>53</v>
      </c>
      <c r="AB120" s="9">
        <f t="shared" si="4"/>
        <v>114974</v>
      </c>
      <c r="AC120" s="9">
        <f t="shared" si="5"/>
        <v>1375164</v>
      </c>
      <c r="AD120" s="10">
        <f t="shared" si="6"/>
        <v>11.960651973489659</v>
      </c>
    </row>
    <row r="121" spans="1:30" x14ac:dyDescent="0.3">
      <c r="A121" s="55"/>
      <c r="B121" s="30" t="s">
        <v>123</v>
      </c>
      <c r="C121" s="9">
        <v>149</v>
      </c>
      <c r="D121" s="9">
        <v>96</v>
      </c>
      <c r="E121" s="9">
        <v>139</v>
      </c>
      <c r="F121" s="9">
        <v>237</v>
      </c>
      <c r="G121" s="9">
        <v>274</v>
      </c>
      <c r="H121" s="9">
        <v>331</v>
      </c>
      <c r="I121" s="9">
        <v>179</v>
      </c>
      <c r="J121" s="9">
        <v>142</v>
      </c>
      <c r="K121" s="9">
        <v>178</v>
      </c>
      <c r="L121" s="9">
        <v>76</v>
      </c>
      <c r="M121" s="9">
        <v>74</v>
      </c>
      <c r="N121" s="9">
        <v>70</v>
      </c>
      <c r="O121" s="9">
        <v>267</v>
      </c>
      <c r="P121" s="9">
        <v>24</v>
      </c>
      <c r="Q121" s="9">
        <v>35</v>
      </c>
      <c r="R121" s="9">
        <v>129</v>
      </c>
      <c r="S121" s="9">
        <v>109</v>
      </c>
      <c r="T121" s="9">
        <v>121</v>
      </c>
      <c r="U121" s="9">
        <v>2</v>
      </c>
      <c r="V121" s="9">
        <v>7</v>
      </c>
      <c r="W121" s="9">
        <v>1</v>
      </c>
      <c r="X121" s="9">
        <v>1</v>
      </c>
      <c r="Y121" s="9">
        <v>0</v>
      </c>
      <c r="Z121" s="9">
        <v>0</v>
      </c>
      <c r="AB121" s="9">
        <f t="shared" si="4"/>
        <v>2641</v>
      </c>
      <c r="AC121" s="9">
        <f t="shared" si="5"/>
        <v>19474</v>
      </c>
      <c r="AD121" s="10">
        <f t="shared" si="6"/>
        <v>7.3737220749716013</v>
      </c>
    </row>
    <row r="122" spans="1:30" x14ac:dyDescent="0.3">
      <c r="A122" s="55"/>
      <c r="B122" s="30" t="s">
        <v>124</v>
      </c>
      <c r="C122" s="9">
        <v>42</v>
      </c>
      <c r="D122" s="9">
        <v>29</v>
      </c>
      <c r="E122" s="9">
        <v>26</v>
      </c>
      <c r="F122" s="9">
        <v>40</v>
      </c>
      <c r="G122" s="9">
        <v>38</v>
      </c>
      <c r="H122" s="9">
        <v>83</v>
      </c>
      <c r="I122" s="9">
        <v>58</v>
      </c>
      <c r="J122" s="9">
        <v>63</v>
      </c>
      <c r="K122" s="9">
        <v>104</v>
      </c>
      <c r="L122" s="9">
        <v>59</v>
      </c>
      <c r="M122" s="9">
        <v>54</v>
      </c>
      <c r="N122" s="9">
        <v>52</v>
      </c>
      <c r="O122" s="9">
        <v>245</v>
      </c>
      <c r="P122" s="9">
        <v>5</v>
      </c>
      <c r="Q122" s="9">
        <v>15</v>
      </c>
      <c r="R122" s="9">
        <v>56</v>
      </c>
      <c r="S122" s="9">
        <v>103</v>
      </c>
      <c r="T122" s="9">
        <v>90</v>
      </c>
      <c r="U122" s="9">
        <v>4</v>
      </c>
      <c r="V122" s="9">
        <v>2</v>
      </c>
      <c r="W122" s="9">
        <v>2</v>
      </c>
      <c r="X122" s="9">
        <v>2</v>
      </c>
      <c r="Y122" s="9">
        <v>0</v>
      </c>
      <c r="Z122" s="9">
        <v>0</v>
      </c>
      <c r="AB122" s="9">
        <f t="shared" si="4"/>
        <v>1172</v>
      </c>
      <c r="AC122" s="9">
        <f t="shared" si="5"/>
        <v>11457</v>
      </c>
      <c r="AD122" s="10">
        <f t="shared" si="6"/>
        <v>9.7755972696245728</v>
      </c>
    </row>
    <row r="123" spans="1:30" x14ac:dyDescent="0.3">
      <c r="A123" s="55"/>
      <c r="B123" s="30" t="s">
        <v>125</v>
      </c>
      <c r="C123" s="9">
        <v>48</v>
      </c>
      <c r="D123" s="9">
        <v>25</v>
      </c>
      <c r="E123" s="9">
        <v>52</v>
      </c>
      <c r="F123" s="9">
        <v>66</v>
      </c>
      <c r="G123" s="9">
        <v>52</v>
      </c>
      <c r="H123" s="9">
        <v>90</v>
      </c>
      <c r="I123" s="9">
        <v>52</v>
      </c>
      <c r="J123" s="9">
        <v>44</v>
      </c>
      <c r="K123" s="9">
        <v>54</v>
      </c>
      <c r="L123" s="9">
        <v>25</v>
      </c>
      <c r="M123" s="9">
        <v>37</v>
      </c>
      <c r="N123" s="9">
        <v>29</v>
      </c>
      <c r="O123" s="9">
        <v>82</v>
      </c>
      <c r="P123" s="9">
        <v>0</v>
      </c>
      <c r="Q123" s="9">
        <v>4</v>
      </c>
      <c r="R123" s="9">
        <v>25</v>
      </c>
      <c r="S123" s="9">
        <v>48</v>
      </c>
      <c r="T123" s="9">
        <v>16</v>
      </c>
      <c r="U123" s="9">
        <v>0</v>
      </c>
      <c r="V123" s="9">
        <v>0</v>
      </c>
      <c r="W123" s="9">
        <v>1</v>
      </c>
      <c r="X123" s="9">
        <v>0</v>
      </c>
      <c r="Y123" s="9">
        <v>0</v>
      </c>
      <c r="Z123" s="9">
        <v>0</v>
      </c>
      <c r="AB123" s="9">
        <f t="shared" si="4"/>
        <v>750</v>
      </c>
      <c r="AC123" s="9">
        <f t="shared" si="5"/>
        <v>5426</v>
      </c>
      <c r="AD123" s="10">
        <f t="shared" si="6"/>
        <v>7.2346666666666666</v>
      </c>
    </row>
    <row r="124" spans="1:30" x14ac:dyDescent="0.3">
      <c r="A124" s="55"/>
      <c r="B124" s="30" t="s">
        <v>126</v>
      </c>
      <c r="C124" s="9">
        <v>275</v>
      </c>
      <c r="D124" s="9">
        <v>117</v>
      </c>
      <c r="E124" s="9">
        <v>215</v>
      </c>
      <c r="F124" s="9">
        <v>264</v>
      </c>
      <c r="G124" s="9">
        <v>322</v>
      </c>
      <c r="H124" s="9">
        <v>361</v>
      </c>
      <c r="I124" s="9">
        <v>188</v>
      </c>
      <c r="J124" s="9">
        <v>124</v>
      </c>
      <c r="K124" s="9">
        <v>179</v>
      </c>
      <c r="L124" s="9">
        <v>97</v>
      </c>
      <c r="M124" s="9">
        <v>107</v>
      </c>
      <c r="N124" s="9">
        <v>68</v>
      </c>
      <c r="O124" s="9">
        <v>325</v>
      </c>
      <c r="P124" s="9">
        <v>27</v>
      </c>
      <c r="Q124" s="9">
        <v>32</v>
      </c>
      <c r="R124" s="9">
        <v>120</v>
      </c>
      <c r="S124" s="9">
        <v>120</v>
      </c>
      <c r="T124" s="9">
        <v>43</v>
      </c>
      <c r="U124" s="9">
        <v>4</v>
      </c>
      <c r="V124" s="9">
        <v>2</v>
      </c>
      <c r="W124" s="9">
        <v>0</v>
      </c>
      <c r="X124" s="9">
        <v>0</v>
      </c>
      <c r="Y124" s="9">
        <v>0</v>
      </c>
      <c r="Z124" s="9">
        <v>1</v>
      </c>
      <c r="AB124" s="9">
        <f t="shared" si="4"/>
        <v>2991</v>
      </c>
      <c r="AC124" s="9">
        <f t="shared" si="5"/>
        <v>19834</v>
      </c>
      <c r="AD124" s="10">
        <f t="shared" si="6"/>
        <v>6.6312270143764627</v>
      </c>
    </row>
    <row r="125" spans="1:30" x14ac:dyDescent="0.3">
      <c r="A125" s="55"/>
      <c r="B125" s="30" t="s">
        <v>127</v>
      </c>
      <c r="C125" s="9">
        <v>146</v>
      </c>
      <c r="D125" s="9">
        <v>124</v>
      </c>
      <c r="E125" s="9">
        <v>164</v>
      </c>
      <c r="F125" s="9">
        <v>183</v>
      </c>
      <c r="G125" s="9">
        <v>196</v>
      </c>
      <c r="H125" s="9">
        <v>208</v>
      </c>
      <c r="I125" s="9">
        <v>128</v>
      </c>
      <c r="J125" s="9">
        <v>78</v>
      </c>
      <c r="K125" s="9">
        <v>90</v>
      </c>
      <c r="L125" s="9">
        <v>38</v>
      </c>
      <c r="M125" s="9">
        <v>32</v>
      </c>
      <c r="N125" s="9">
        <v>24</v>
      </c>
      <c r="O125" s="9">
        <v>52</v>
      </c>
      <c r="P125" s="9">
        <v>2</v>
      </c>
      <c r="Q125" s="9">
        <v>1</v>
      </c>
      <c r="R125" s="9">
        <v>11</v>
      </c>
      <c r="S125" s="9">
        <v>22</v>
      </c>
      <c r="T125" s="9">
        <v>11</v>
      </c>
      <c r="U125" s="9">
        <v>1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B125" s="9">
        <f t="shared" si="4"/>
        <v>1512</v>
      </c>
      <c r="AC125" s="9">
        <f t="shared" si="5"/>
        <v>7191</v>
      </c>
      <c r="AD125" s="10">
        <f t="shared" si="6"/>
        <v>4.7559523809523814</v>
      </c>
    </row>
    <row r="126" spans="1:30" x14ac:dyDescent="0.3">
      <c r="A126" s="55"/>
      <c r="B126" s="30" t="s">
        <v>128</v>
      </c>
      <c r="C126" s="9">
        <v>153</v>
      </c>
      <c r="D126" s="9">
        <v>121</v>
      </c>
      <c r="E126" s="9">
        <v>242</v>
      </c>
      <c r="F126" s="9">
        <v>353</v>
      </c>
      <c r="G126" s="9">
        <v>351</v>
      </c>
      <c r="H126" s="9">
        <v>454</v>
      </c>
      <c r="I126" s="9">
        <v>164</v>
      </c>
      <c r="J126" s="9">
        <v>94</v>
      </c>
      <c r="K126" s="9">
        <v>190</v>
      </c>
      <c r="L126" s="9">
        <v>63</v>
      </c>
      <c r="M126" s="9">
        <v>65</v>
      </c>
      <c r="N126" s="9">
        <v>55</v>
      </c>
      <c r="O126" s="9">
        <v>110</v>
      </c>
      <c r="P126" s="9">
        <v>24</v>
      </c>
      <c r="Q126" s="9">
        <v>13</v>
      </c>
      <c r="R126" s="9">
        <v>61</v>
      </c>
      <c r="S126" s="9">
        <v>69</v>
      </c>
      <c r="T126" s="9">
        <v>33</v>
      </c>
      <c r="U126" s="9">
        <v>0</v>
      </c>
      <c r="V126" s="9">
        <v>1</v>
      </c>
      <c r="W126" s="9">
        <v>2</v>
      </c>
      <c r="X126" s="9">
        <v>1</v>
      </c>
      <c r="Y126" s="9">
        <v>0</v>
      </c>
      <c r="Z126" s="9">
        <v>0</v>
      </c>
      <c r="AB126" s="9">
        <f t="shared" si="4"/>
        <v>2619</v>
      </c>
      <c r="AC126" s="9">
        <f t="shared" si="5"/>
        <v>14796</v>
      </c>
      <c r="AD126" s="10">
        <f t="shared" si="6"/>
        <v>5.6494845360824746</v>
      </c>
    </row>
    <row r="127" spans="1:30" x14ac:dyDescent="0.3">
      <c r="A127" s="55"/>
      <c r="B127" s="30" t="s">
        <v>129</v>
      </c>
      <c r="C127" s="9">
        <v>55</v>
      </c>
      <c r="D127" s="9">
        <v>38</v>
      </c>
      <c r="E127" s="9">
        <v>41</v>
      </c>
      <c r="F127" s="9">
        <v>69</v>
      </c>
      <c r="G127" s="9">
        <v>61</v>
      </c>
      <c r="H127" s="9">
        <v>101</v>
      </c>
      <c r="I127" s="9">
        <v>71</v>
      </c>
      <c r="J127" s="9">
        <v>53</v>
      </c>
      <c r="K127" s="9">
        <v>43</v>
      </c>
      <c r="L127" s="9">
        <v>51</v>
      </c>
      <c r="M127" s="9">
        <v>34</v>
      </c>
      <c r="N127" s="9">
        <v>32</v>
      </c>
      <c r="O127" s="9">
        <v>126</v>
      </c>
      <c r="P127" s="9">
        <v>20</v>
      </c>
      <c r="Q127" s="9">
        <v>22</v>
      </c>
      <c r="R127" s="9">
        <v>76</v>
      </c>
      <c r="S127" s="9">
        <v>68</v>
      </c>
      <c r="T127" s="9">
        <v>67</v>
      </c>
      <c r="U127" s="9">
        <v>2</v>
      </c>
      <c r="V127" s="9">
        <v>0</v>
      </c>
      <c r="W127" s="9">
        <v>0</v>
      </c>
      <c r="X127" s="9">
        <v>1</v>
      </c>
      <c r="Y127" s="9">
        <v>0</v>
      </c>
      <c r="Z127" s="9">
        <v>0</v>
      </c>
      <c r="AB127" s="9">
        <f t="shared" si="4"/>
        <v>1031</v>
      </c>
      <c r="AC127" s="9">
        <f t="shared" si="5"/>
        <v>8872</v>
      </c>
      <c r="AD127" s="10">
        <f t="shared" si="6"/>
        <v>8.6052376333656646</v>
      </c>
    </row>
    <row r="128" spans="1:30" x14ac:dyDescent="0.3">
      <c r="A128" s="55"/>
      <c r="B128" s="30" t="s">
        <v>130</v>
      </c>
      <c r="C128" s="9">
        <v>47</v>
      </c>
      <c r="D128" s="9">
        <v>32</v>
      </c>
      <c r="E128" s="9">
        <v>44</v>
      </c>
      <c r="F128" s="9">
        <v>84</v>
      </c>
      <c r="G128" s="9">
        <v>80</v>
      </c>
      <c r="H128" s="9">
        <v>86</v>
      </c>
      <c r="I128" s="9">
        <v>60</v>
      </c>
      <c r="J128" s="9">
        <v>40</v>
      </c>
      <c r="K128" s="9">
        <v>47</v>
      </c>
      <c r="L128" s="9">
        <v>25</v>
      </c>
      <c r="M128" s="9">
        <v>22</v>
      </c>
      <c r="N128" s="9">
        <v>17</v>
      </c>
      <c r="O128" s="9">
        <v>64</v>
      </c>
      <c r="P128" s="9">
        <v>8</v>
      </c>
      <c r="Q128" s="9">
        <v>7</v>
      </c>
      <c r="R128" s="9">
        <v>14</v>
      </c>
      <c r="S128" s="9">
        <v>16</v>
      </c>
      <c r="T128" s="9">
        <v>25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B128" s="9">
        <f t="shared" si="4"/>
        <v>718</v>
      </c>
      <c r="AC128" s="9">
        <f t="shared" si="5"/>
        <v>4631</v>
      </c>
      <c r="AD128" s="10">
        <f t="shared" si="6"/>
        <v>6.4498607242339832</v>
      </c>
    </row>
    <row r="129" spans="1:30" x14ac:dyDescent="0.3">
      <c r="A129" s="55"/>
      <c r="B129" s="30" t="s">
        <v>131</v>
      </c>
      <c r="C129" s="9">
        <v>132</v>
      </c>
      <c r="D129" s="9">
        <v>88</v>
      </c>
      <c r="E129" s="9">
        <v>157</v>
      </c>
      <c r="F129" s="9">
        <v>177</v>
      </c>
      <c r="G129" s="9">
        <v>213</v>
      </c>
      <c r="H129" s="9">
        <v>286</v>
      </c>
      <c r="I129" s="9">
        <v>194</v>
      </c>
      <c r="J129" s="9">
        <v>123</v>
      </c>
      <c r="K129" s="9">
        <v>162</v>
      </c>
      <c r="L129" s="9">
        <v>125</v>
      </c>
      <c r="M129" s="9">
        <v>154</v>
      </c>
      <c r="N129" s="9">
        <v>141</v>
      </c>
      <c r="O129" s="9">
        <v>440</v>
      </c>
      <c r="P129" s="9">
        <v>30</v>
      </c>
      <c r="Q129" s="9">
        <v>28</v>
      </c>
      <c r="R129" s="9">
        <v>74</v>
      </c>
      <c r="S129" s="9">
        <v>150</v>
      </c>
      <c r="T129" s="9">
        <v>120</v>
      </c>
      <c r="U129" s="9">
        <v>10</v>
      </c>
      <c r="V129" s="9">
        <v>14</v>
      </c>
      <c r="W129" s="9">
        <v>5</v>
      </c>
      <c r="X129" s="9">
        <v>6</v>
      </c>
      <c r="Y129" s="9">
        <v>1</v>
      </c>
      <c r="Z129" s="9">
        <v>2</v>
      </c>
      <c r="AB129" s="9">
        <f t="shared" si="4"/>
        <v>2832</v>
      </c>
      <c r="AC129" s="9">
        <f t="shared" si="5"/>
        <v>23104</v>
      </c>
      <c r="AD129" s="10">
        <f t="shared" si="6"/>
        <v>8.158192090395481</v>
      </c>
    </row>
    <row r="130" spans="1:30" x14ac:dyDescent="0.3">
      <c r="A130" s="55"/>
      <c r="B130" s="30" t="s">
        <v>132</v>
      </c>
      <c r="C130" s="9">
        <v>43</v>
      </c>
      <c r="D130" s="9">
        <v>27</v>
      </c>
      <c r="E130" s="9">
        <v>26</v>
      </c>
      <c r="F130" s="9">
        <v>30</v>
      </c>
      <c r="G130" s="9">
        <v>35</v>
      </c>
      <c r="H130" s="9">
        <v>42</v>
      </c>
      <c r="I130" s="9">
        <v>50</v>
      </c>
      <c r="J130" s="9">
        <v>25</v>
      </c>
      <c r="K130" s="9">
        <v>36</v>
      </c>
      <c r="L130" s="9">
        <v>25</v>
      </c>
      <c r="M130" s="9">
        <v>23</v>
      </c>
      <c r="N130" s="9">
        <v>21</v>
      </c>
      <c r="O130" s="9">
        <v>69</v>
      </c>
      <c r="P130" s="9">
        <v>6</v>
      </c>
      <c r="Q130" s="9">
        <v>2</v>
      </c>
      <c r="R130" s="9">
        <v>14</v>
      </c>
      <c r="S130" s="9">
        <v>19</v>
      </c>
      <c r="T130" s="9">
        <v>16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B130" s="9">
        <f t="shared" si="4"/>
        <v>509</v>
      </c>
      <c r="AC130" s="9">
        <f t="shared" si="5"/>
        <v>3688</v>
      </c>
      <c r="AD130" s="10">
        <f t="shared" si="6"/>
        <v>7.245579567779961</v>
      </c>
    </row>
    <row r="131" spans="1:30" x14ac:dyDescent="0.3">
      <c r="A131" s="55"/>
      <c r="B131" s="30" t="s">
        <v>133</v>
      </c>
      <c r="C131" s="9">
        <v>56</v>
      </c>
      <c r="D131" s="9">
        <v>23</v>
      </c>
      <c r="E131" s="9">
        <v>50</v>
      </c>
      <c r="F131" s="9">
        <v>66</v>
      </c>
      <c r="G131" s="9">
        <v>64</v>
      </c>
      <c r="H131" s="9">
        <v>87</v>
      </c>
      <c r="I131" s="9">
        <v>38</v>
      </c>
      <c r="J131" s="9">
        <v>27</v>
      </c>
      <c r="K131" s="9">
        <v>36</v>
      </c>
      <c r="L131" s="9">
        <v>32</v>
      </c>
      <c r="M131" s="9">
        <v>35</v>
      </c>
      <c r="N131" s="9">
        <v>29</v>
      </c>
      <c r="O131" s="9">
        <v>177</v>
      </c>
      <c r="P131" s="9">
        <v>22</v>
      </c>
      <c r="Q131" s="9">
        <v>30</v>
      </c>
      <c r="R131" s="9">
        <v>117</v>
      </c>
      <c r="S131" s="9">
        <v>121</v>
      </c>
      <c r="T131" s="9">
        <v>64</v>
      </c>
      <c r="U131" s="9">
        <v>0</v>
      </c>
      <c r="V131" s="9">
        <v>5</v>
      </c>
      <c r="W131" s="9">
        <v>1</v>
      </c>
      <c r="X131" s="9">
        <v>0</v>
      </c>
      <c r="Y131" s="9">
        <v>0</v>
      </c>
      <c r="Z131" s="9">
        <v>2</v>
      </c>
      <c r="AB131" s="9">
        <f t="shared" si="4"/>
        <v>1082</v>
      </c>
      <c r="AC131" s="9">
        <f t="shared" si="5"/>
        <v>10444</v>
      </c>
      <c r="AD131" s="10">
        <f t="shared" si="6"/>
        <v>9.6524953789279113</v>
      </c>
    </row>
    <row r="132" spans="1:30" x14ac:dyDescent="0.3">
      <c r="A132" s="55"/>
      <c r="B132" s="30" t="s">
        <v>134</v>
      </c>
      <c r="C132" s="9">
        <v>98</v>
      </c>
      <c r="D132" s="9">
        <v>43</v>
      </c>
      <c r="E132" s="9">
        <v>67</v>
      </c>
      <c r="F132" s="9">
        <v>77</v>
      </c>
      <c r="G132" s="9">
        <v>88</v>
      </c>
      <c r="H132" s="9">
        <v>95</v>
      </c>
      <c r="I132" s="9">
        <v>58</v>
      </c>
      <c r="J132" s="9">
        <v>30</v>
      </c>
      <c r="K132" s="9">
        <v>34</v>
      </c>
      <c r="L132" s="9">
        <v>37</v>
      </c>
      <c r="M132" s="9">
        <v>30</v>
      </c>
      <c r="N132" s="9">
        <v>26</v>
      </c>
      <c r="O132" s="9">
        <v>111</v>
      </c>
      <c r="P132" s="9">
        <v>8</v>
      </c>
      <c r="Q132" s="9">
        <v>4</v>
      </c>
      <c r="R132" s="9">
        <v>39</v>
      </c>
      <c r="S132" s="9">
        <v>32</v>
      </c>
      <c r="T132" s="9">
        <v>12</v>
      </c>
      <c r="U132" s="9">
        <v>2</v>
      </c>
      <c r="V132" s="9">
        <v>3</v>
      </c>
      <c r="W132" s="9">
        <v>2</v>
      </c>
      <c r="X132" s="9">
        <v>0</v>
      </c>
      <c r="Y132" s="9">
        <v>0</v>
      </c>
      <c r="Z132" s="9">
        <v>0</v>
      </c>
      <c r="AB132" s="9">
        <f t="shared" ref="AB132:AB195" si="7">SUM(C132:Z132)</f>
        <v>896</v>
      </c>
      <c r="AC132" s="9">
        <f t="shared" ref="AC132:AC195" si="8">C$2*C132+D$2*D132+E$2*E132+F$2*F132+G$2*G132+H$2*H132+I$2*I132+J$2*J132+K$2*K132+L$2*L132+M$2*M132+N$2*N132+O$2*O132+P$2*P132+Q$2*Q132+R$2*R132+S$2*S132+T$2*T132+U$2*U132+V$2*V132+W$2*W132+X$2*X132+Y$2*Y132+Z$2*Z132</f>
        <v>5910</v>
      </c>
      <c r="AD132" s="10">
        <f t="shared" si="6"/>
        <v>6.5959821428571432</v>
      </c>
    </row>
    <row r="133" spans="1:30" x14ac:dyDescent="0.3">
      <c r="A133" s="55"/>
      <c r="B133" s="30" t="s">
        <v>135</v>
      </c>
      <c r="C133" s="9">
        <v>289</v>
      </c>
      <c r="D133" s="9">
        <v>94</v>
      </c>
      <c r="E133" s="9">
        <v>165</v>
      </c>
      <c r="F133" s="9">
        <v>192</v>
      </c>
      <c r="G133" s="9">
        <v>126</v>
      </c>
      <c r="H133" s="9">
        <v>124</v>
      </c>
      <c r="I133" s="9">
        <v>55</v>
      </c>
      <c r="J133" s="9">
        <v>31</v>
      </c>
      <c r="K133" s="9">
        <v>39</v>
      </c>
      <c r="L133" s="9">
        <v>7</v>
      </c>
      <c r="M133" s="9">
        <v>22</v>
      </c>
      <c r="N133" s="9">
        <v>8</v>
      </c>
      <c r="O133" s="9">
        <v>52</v>
      </c>
      <c r="P133" s="9">
        <v>5</v>
      </c>
      <c r="Q133" s="9">
        <v>6</v>
      </c>
      <c r="R133" s="9">
        <v>18</v>
      </c>
      <c r="S133" s="9">
        <v>26</v>
      </c>
      <c r="T133" s="9">
        <v>10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0</v>
      </c>
      <c r="AB133" s="9">
        <f t="shared" si="7"/>
        <v>1270</v>
      </c>
      <c r="AC133" s="9">
        <f t="shared" si="8"/>
        <v>5002</v>
      </c>
      <c r="AD133" s="10">
        <f t="shared" ref="AD133:AD196" si="9">AC133/AB133</f>
        <v>3.9385826771653543</v>
      </c>
    </row>
    <row r="134" spans="1:30" x14ac:dyDescent="0.3">
      <c r="A134" s="55"/>
      <c r="B134" s="30" t="s">
        <v>136</v>
      </c>
      <c r="C134" s="9">
        <v>117</v>
      </c>
      <c r="D134" s="9">
        <v>76</v>
      </c>
      <c r="E134" s="9">
        <v>129</v>
      </c>
      <c r="F134" s="9">
        <v>133</v>
      </c>
      <c r="G134" s="9">
        <v>135</v>
      </c>
      <c r="H134" s="9">
        <v>135</v>
      </c>
      <c r="I134" s="9">
        <v>58</v>
      </c>
      <c r="J134" s="9">
        <v>42</v>
      </c>
      <c r="K134" s="9">
        <v>46</v>
      </c>
      <c r="L134" s="9">
        <v>21</v>
      </c>
      <c r="M134" s="9">
        <v>16</v>
      </c>
      <c r="N134" s="9">
        <v>16</v>
      </c>
      <c r="O134" s="9">
        <v>64</v>
      </c>
      <c r="P134" s="9">
        <v>2</v>
      </c>
      <c r="Q134" s="9">
        <v>2</v>
      </c>
      <c r="R134" s="9">
        <v>17</v>
      </c>
      <c r="S134" s="9">
        <v>16</v>
      </c>
      <c r="T134" s="9">
        <v>18</v>
      </c>
      <c r="U134" s="9">
        <v>1</v>
      </c>
      <c r="V134" s="9">
        <v>1</v>
      </c>
      <c r="W134" s="9">
        <v>0</v>
      </c>
      <c r="X134" s="9">
        <v>0</v>
      </c>
      <c r="Y134" s="9">
        <v>0</v>
      </c>
      <c r="Z134" s="9">
        <v>0</v>
      </c>
      <c r="AB134" s="9">
        <f t="shared" si="7"/>
        <v>1045</v>
      </c>
      <c r="AC134" s="9">
        <f t="shared" si="8"/>
        <v>5159</v>
      </c>
      <c r="AD134" s="10">
        <f t="shared" si="9"/>
        <v>4.9368421052631577</v>
      </c>
    </row>
    <row r="135" spans="1:30" x14ac:dyDescent="0.3">
      <c r="A135" s="55"/>
      <c r="B135" s="30" t="s">
        <v>137</v>
      </c>
      <c r="C135" s="9">
        <v>121</v>
      </c>
      <c r="D135" s="9">
        <v>95</v>
      </c>
      <c r="E135" s="9">
        <v>155</v>
      </c>
      <c r="F135" s="9">
        <v>191</v>
      </c>
      <c r="G135" s="9">
        <v>168</v>
      </c>
      <c r="H135" s="9">
        <v>256</v>
      </c>
      <c r="I135" s="9">
        <v>120</v>
      </c>
      <c r="J135" s="9">
        <v>87</v>
      </c>
      <c r="K135" s="9">
        <v>124</v>
      </c>
      <c r="L135" s="9">
        <v>114</v>
      </c>
      <c r="M135" s="9">
        <v>126</v>
      </c>
      <c r="N135" s="9">
        <v>119</v>
      </c>
      <c r="O135" s="9">
        <v>520</v>
      </c>
      <c r="P135" s="9">
        <v>23</v>
      </c>
      <c r="Q135" s="9">
        <v>35</v>
      </c>
      <c r="R135" s="9">
        <v>130</v>
      </c>
      <c r="S135" s="9">
        <v>163</v>
      </c>
      <c r="T135" s="9">
        <v>107</v>
      </c>
      <c r="U135" s="9">
        <v>3</v>
      </c>
      <c r="V135" s="9">
        <v>6</v>
      </c>
      <c r="W135" s="9">
        <v>1</v>
      </c>
      <c r="X135" s="9">
        <v>0</v>
      </c>
      <c r="Y135" s="9">
        <v>0</v>
      </c>
      <c r="Z135" s="9">
        <v>0</v>
      </c>
      <c r="AB135" s="9">
        <f t="shared" si="7"/>
        <v>2664</v>
      </c>
      <c r="AC135" s="9">
        <f t="shared" si="8"/>
        <v>22440</v>
      </c>
      <c r="AD135" s="10">
        <f t="shared" si="9"/>
        <v>8.423423423423424</v>
      </c>
    </row>
    <row r="136" spans="1:30" x14ac:dyDescent="0.3">
      <c r="A136" s="55"/>
      <c r="B136" s="30" t="s">
        <v>138</v>
      </c>
      <c r="C136" s="9">
        <v>39</v>
      </c>
      <c r="D136" s="9">
        <v>28</v>
      </c>
      <c r="E136" s="9">
        <v>35</v>
      </c>
      <c r="F136" s="9">
        <v>46</v>
      </c>
      <c r="G136" s="9">
        <v>38</v>
      </c>
      <c r="H136" s="9">
        <v>67</v>
      </c>
      <c r="I136" s="9">
        <v>41</v>
      </c>
      <c r="J136" s="9">
        <v>36</v>
      </c>
      <c r="K136" s="9">
        <v>58</v>
      </c>
      <c r="L136" s="9">
        <v>41</v>
      </c>
      <c r="M136" s="9">
        <v>37</v>
      </c>
      <c r="N136" s="9">
        <v>43</v>
      </c>
      <c r="O136" s="9">
        <v>154</v>
      </c>
      <c r="P136" s="9">
        <v>7</v>
      </c>
      <c r="Q136" s="9">
        <v>5</v>
      </c>
      <c r="R136" s="9">
        <v>26</v>
      </c>
      <c r="S136" s="9">
        <v>41</v>
      </c>
      <c r="T136" s="9">
        <v>38</v>
      </c>
      <c r="U136" s="9">
        <v>0</v>
      </c>
      <c r="V136" s="9">
        <v>3</v>
      </c>
      <c r="W136" s="9">
        <v>0</v>
      </c>
      <c r="X136" s="9">
        <v>0</v>
      </c>
      <c r="Y136" s="9">
        <v>0</v>
      </c>
      <c r="Z136" s="9">
        <v>0</v>
      </c>
      <c r="AB136" s="9">
        <f t="shared" si="7"/>
        <v>783</v>
      </c>
      <c r="AC136" s="9">
        <f t="shared" si="8"/>
        <v>6655</v>
      </c>
      <c r="AD136" s="10">
        <f t="shared" si="9"/>
        <v>8.4993614303959131</v>
      </c>
    </row>
    <row r="137" spans="1:30" x14ac:dyDescent="0.3">
      <c r="A137" s="55"/>
      <c r="B137" s="30" t="s">
        <v>139</v>
      </c>
      <c r="C137" s="9">
        <v>42</v>
      </c>
      <c r="D137" s="9">
        <v>30</v>
      </c>
      <c r="E137" s="9">
        <v>39</v>
      </c>
      <c r="F137" s="9">
        <v>45</v>
      </c>
      <c r="G137" s="9">
        <v>41</v>
      </c>
      <c r="H137" s="9">
        <v>67</v>
      </c>
      <c r="I137" s="9">
        <v>41</v>
      </c>
      <c r="J137" s="9">
        <v>25</v>
      </c>
      <c r="K137" s="9">
        <v>32</v>
      </c>
      <c r="L137" s="9">
        <v>14</v>
      </c>
      <c r="M137" s="9">
        <v>24</v>
      </c>
      <c r="N137" s="9">
        <v>30</v>
      </c>
      <c r="O137" s="9">
        <v>50</v>
      </c>
      <c r="P137" s="9">
        <v>0</v>
      </c>
      <c r="Q137" s="9">
        <v>1</v>
      </c>
      <c r="R137" s="9">
        <v>12</v>
      </c>
      <c r="S137" s="9">
        <v>14</v>
      </c>
      <c r="T137" s="9">
        <v>7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B137" s="9">
        <f t="shared" si="7"/>
        <v>514</v>
      </c>
      <c r="AC137" s="9">
        <f t="shared" si="8"/>
        <v>3252</v>
      </c>
      <c r="AD137" s="10">
        <f t="shared" si="9"/>
        <v>6.3268482490272371</v>
      </c>
    </row>
    <row r="138" spans="1:30" x14ac:dyDescent="0.3">
      <c r="A138" s="55"/>
      <c r="B138" s="30" t="s">
        <v>140</v>
      </c>
      <c r="C138" s="9">
        <v>111</v>
      </c>
      <c r="D138" s="9">
        <v>52</v>
      </c>
      <c r="E138" s="9">
        <v>87</v>
      </c>
      <c r="F138" s="9">
        <v>105</v>
      </c>
      <c r="G138" s="9">
        <v>106</v>
      </c>
      <c r="H138" s="9">
        <v>207</v>
      </c>
      <c r="I138" s="9">
        <v>128</v>
      </c>
      <c r="J138" s="9">
        <v>113</v>
      </c>
      <c r="K138" s="9">
        <v>129</v>
      </c>
      <c r="L138" s="9">
        <v>121</v>
      </c>
      <c r="M138" s="9">
        <v>160</v>
      </c>
      <c r="N138" s="9">
        <v>150</v>
      </c>
      <c r="O138" s="9">
        <v>619</v>
      </c>
      <c r="P138" s="9">
        <v>65</v>
      </c>
      <c r="Q138" s="9">
        <v>90</v>
      </c>
      <c r="R138" s="9">
        <v>266</v>
      </c>
      <c r="S138" s="9">
        <v>374</v>
      </c>
      <c r="T138" s="9">
        <v>296</v>
      </c>
      <c r="U138" s="9">
        <v>7</v>
      </c>
      <c r="V138" s="9">
        <v>17</v>
      </c>
      <c r="W138" s="9">
        <v>8</v>
      </c>
      <c r="X138" s="9">
        <v>0</v>
      </c>
      <c r="Y138" s="9">
        <v>1</v>
      </c>
      <c r="Z138" s="9">
        <v>0</v>
      </c>
      <c r="AB138" s="9">
        <f t="shared" si="7"/>
        <v>3212</v>
      </c>
      <c r="AC138" s="9">
        <f t="shared" si="8"/>
        <v>34100</v>
      </c>
      <c r="AD138" s="10">
        <f t="shared" si="9"/>
        <v>10.616438356164384</v>
      </c>
    </row>
    <row r="139" spans="1:30" x14ac:dyDescent="0.3">
      <c r="A139" s="55"/>
      <c r="B139" s="30" t="s">
        <v>141</v>
      </c>
      <c r="C139" s="9">
        <v>110</v>
      </c>
      <c r="D139" s="9">
        <v>31</v>
      </c>
      <c r="E139" s="9">
        <v>37</v>
      </c>
      <c r="F139" s="9">
        <v>59</v>
      </c>
      <c r="G139" s="9">
        <v>68</v>
      </c>
      <c r="H139" s="9">
        <v>93</v>
      </c>
      <c r="I139" s="9">
        <v>60</v>
      </c>
      <c r="J139" s="9">
        <v>65</v>
      </c>
      <c r="K139" s="9">
        <v>66</v>
      </c>
      <c r="L139" s="9">
        <v>48</v>
      </c>
      <c r="M139" s="9">
        <v>54</v>
      </c>
      <c r="N139" s="9">
        <v>65</v>
      </c>
      <c r="O139" s="9">
        <v>223</v>
      </c>
      <c r="P139" s="9">
        <v>5</v>
      </c>
      <c r="Q139" s="9">
        <v>15</v>
      </c>
      <c r="R139" s="9">
        <v>31</v>
      </c>
      <c r="S139" s="9">
        <v>62</v>
      </c>
      <c r="T139" s="9">
        <v>59</v>
      </c>
      <c r="U139" s="9">
        <v>3</v>
      </c>
      <c r="V139" s="9">
        <v>3</v>
      </c>
      <c r="W139" s="9">
        <v>4</v>
      </c>
      <c r="X139" s="9">
        <v>3</v>
      </c>
      <c r="Y139" s="9">
        <v>1</v>
      </c>
      <c r="Z139" s="9">
        <v>0</v>
      </c>
      <c r="AB139" s="9">
        <f t="shared" si="7"/>
        <v>1165</v>
      </c>
      <c r="AC139" s="9">
        <f t="shared" si="8"/>
        <v>9736</v>
      </c>
      <c r="AD139" s="10">
        <f t="shared" si="9"/>
        <v>8.3570815450643785</v>
      </c>
    </row>
    <row r="140" spans="1:30" x14ac:dyDescent="0.3">
      <c r="A140" s="55"/>
      <c r="B140" s="30" t="s">
        <v>142</v>
      </c>
      <c r="C140" s="9">
        <v>30</v>
      </c>
      <c r="D140" s="9">
        <v>12</v>
      </c>
      <c r="E140" s="9">
        <v>24</v>
      </c>
      <c r="F140" s="9">
        <v>29</v>
      </c>
      <c r="G140" s="9">
        <v>33</v>
      </c>
      <c r="H140" s="9">
        <v>82</v>
      </c>
      <c r="I140" s="9">
        <v>35</v>
      </c>
      <c r="J140" s="9">
        <v>32</v>
      </c>
      <c r="K140" s="9">
        <v>35</v>
      </c>
      <c r="L140" s="9">
        <v>27</v>
      </c>
      <c r="M140" s="9">
        <v>26</v>
      </c>
      <c r="N140" s="9">
        <v>34</v>
      </c>
      <c r="O140" s="9">
        <v>131</v>
      </c>
      <c r="P140" s="9">
        <v>5</v>
      </c>
      <c r="Q140" s="9">
        <v>8</v>
      </c>
      <c r="R140" s="9">
        <v>55</v>
      </c>
      <c r="S140" s="9">
        <v>65</v>
      </c>
      <c r="T140" s="9">
        <v>49</v>
      </c>
      <c r="U140" s="9">
        <v>3</v>
      </c>
      <c r="V140" s="9">
        <v>2</v>
      </c>
      <c r="W140" s="9">
        <v>2</v>
      </c>
      <c r="X140" s="9">
        <v>0</v>
      </c>
      <c r="Y140" s="9">
        <v>0</v>
      </c>
      <c r="Z140" s="9">
        <v>0</v>
      </c>
      <c r="AB140" s="9">
        <f t="shared" si="7"/>
        <v>719</v>
      </c>
      <c r="AC140" s="9">
        <f t="shared" si="8"/>
        <v>6859</v>
      </c>
      <c r="AD140" s="10">
        <f t="shared" si="9"/>
        <v>9.5396383866481216</v>
      </c>
    </row>
    <row r="141" spans="1:30" x14ac:dyDescent="0.3">
      <c r="A141" s="55"/>
      <c r="B141" s="30" t="s">
        <v>143</v>
      </c>
      <c r="C141" s="9">
        <v>371</v>
      </c>
      <c r="D141" s="9">
        <v>355</v>
      </c>
      <c r="E141" s="9">
        <v>552</v>
      </c>
      <c r="F141" s="9">
        <v>822</v>
      </c>
      <c r="G141" s="9">
        <v>711</v>
      </c>
      <c r="H141" s="9">
        <v>1164</v>
      </c>
      <c r="I141" s="9">
        <v>778</v>
      </c>
      <c r="J141" s="9">
        <v>620</v>
      </c>
      <c r="K141" s="9">
        <v>895</v>
      </c>
      <c r="L141" s="9">
        <v>1093</v>
      </c>
      <c r="M141" s="9">
        <v>1256</v>
      </c>
      <c r="N141" s="9">
        <v>1169</v>
      </c>
      <c r="O141" s="9">
        <v>4714</v>
      </c>
      <c r="P141" s="9">
        <v>453</v>
      </c>
      <c r="Q141" s="9">
        <v>741</v>
      </c>
      <c r="R141" s="9">
        <v>2011</v>
      </c>
      <c r="S141" s="9">
        <v>2722</v>
      </c>
      <c r="T141" s="9">
        <v>2710</v>
      </c>
      <c r="U141" s="9">
        <v>103</v>
      </c>
      <c r="V141" s="9">
        <v>132</v>
      </c>
      <c r="W141" s="9">
        <v>22</v>
      </c>
      <c r="X141" s="9">
        <v>13</v>
      </c>
      <c r="Y141" s="9">
        <v>5</v>
      </c>
      <c r="Z141" s="9">
        <v>6</v>
      </c>
      <c r="AB141" s="9">
        <f t="shared" si="7"/>
        <v>23418</v>
      </c>
      <c r="AC141" s="9">
        <f t="shared" si="8"/>
        <v>261954</v>
      </c>
      <c r="AD141" s="10">
        <f t="shared" si="9"/>
        <v>11.186010760953113</v>
      </c>
    </row>
    <row r="142" spans="1:30" x14ac:dyDescent="0.3">
      <c r="A142" s="55"/>
      <c r="B142" s="30" t="s">
        <v>144</v>
      </c>
      <c r="C142" s="9">
        <v>394</v>
      </c>
      <c r="D142" s="9">
        <v>208</v>
      </c>
      <c r="E142" s="9">
        <v>376</v>
      </c>
      <c r="F142" s="9">
        <v>410</v>
      </c>
      <c r="G142" s="9">
        <v>427</v>
      </c>
      <c r="H142" s="9">
        <v>562</v>
      </c>
      <c r="I142" s="9">
        <v>314</v>
      </c>
      <c r="J142" s="9">
        <v>247</v>
      </c>
      <c r="K142" s="9">
        <v>320</v>
      </c>
      <c r="L142" s="9">
        <v>307</v>
      </c>
      <c r="M142" s="9">
        <v>284</v>
      </c>
      <c r="N142" s="9">
        <v>303</v>
      </c>
      <c r="O142" s="9">
        <v>1013</v>
      </c>
      <c r="P142" s="9">
        <v>65</v>
      </c>
      <c r="Q142" s="9">
        <v>90</v>
      </c>
      <c r="R142" s="9">
        <v>289</v>
      </c>
      <c r="S142" s="9">
        <v>348</v>
      </c>
      <c r="T142" s="9">
        <v>285</v>
      </c>
      <c r="U142" s="9">
        <v>18</v>
      </c>
      <c r="V142" s="9">
        <v>18</v>
      </c>
      <c r="W142" s="9">
        <v>3</v>
      </c>
      <c r="X142" s="9">
        <v>2</v>
      </c>
      <c r="Y142" s="9">
        <v>1</v>
      </c>
      <c r="Z142" s="9">
        <v>2</v>
      </c>
      <c r="AB142" s="9">
        <f t="shared" si="7"/>
        <v>6286</v>
      </c>
      <c r="AC142" s="9">
        <f t="shared" si="8"/>
        <v>51662</v>
      </c>
      <c r="AD142" s="10">
        <f t="shared" si="9"/>
        <v>8.2185809735921094</v>
      </c>
    </row>
    <row r="143" spans="1:30" x14ac:dyDescent="0.3">
      <c r="A143" s="55"/>
      <c r="B143" s="30" t="s">
        <v>145</v>
      </c>
      <c r="C143" s="9">
        <v>194</v>
      </c>
      <c r="D143" s="9">
        <v>173</v>
      </c>
      <c r="E143" s="9">
        <v>237</v>
      </c>
      <c r="F143" s="9">
        <v>333</v>
      </c>
      <c r="G143" s="9">
        <v>302</v>
      </c>
      <c r="H143" s="9">
        <v>433</v>
      </c>
      <c r="I143" s="9">
        <v>313</v>
      </c>
      <c r="J143" s="9">
        <v>248</v>
      </c>
      <c r="K143" s="9">
        <v>320</v>
      </c>
      <c r="L143" s="9">
        <v>435</v>
      </c>
      <c r="M143" s="9">
        <v>480</v>
      </c>
      <c r="N143" s="9">
        <v>464</v>
      </c>
      <c r="O143" s="9">
        <v>1780</v>
      </c>
      <c r="P143" s="9">
        <v>169</v>
      </c>
      <c r="Q143" s="9">
        <v>284</v>
      </c>
      <c r="R143" s="9">
        <v>686</v>
      </c>
      <c r="S143" s="9">
        <v>1040</v>
      </c>
      <c r="T143" s="9">
        <v>1105</v>
      </c>
      <c r="U143" s="9">
        <v>51</v>
      </c>
      <c r="V143" s="9">
        <v>63</v>
      </c>
      <c r="W143" s="9">
        <v>20</v>
      </c>
      <c r="X143" s="9">
        <v>6</v>
      </c>
      <c r="Y143" s="9">
        <v>1</v>
      </c>
      <c r="Z143" s="9">
        <v>2</v>
      </c>
      <c r="AB143" s="9">
        <f t="shared" si="7"/>
        <v>9139</v>
      </c>
      <c r="AC143" s="9">
        <f t="shared" si="8"/>
        <v>100969</v>
      </c>
      <c r="AD143" s="10">
        <f t="shared" si="9"/>
        <v>11.048145311303205</v>
      </c>
    </row>
    <row r="144" spans="1:30" x14ac:dyDescent="0.3">
      <c r="A144" s="55"/>
      <c r="B144" s="30" t="s">
        <v>146</v>
      </c>
      <c r="C144" s="9">
        <v>248</v>
      </c>
      <c r="D144" s="9">
        <v>193</v>
      </c>
      <c r="E144" s="9">
        <v>273</v>
      </c>
      <c r="F144" s="9">
        <v>405</v>
      </c>
      <c r="G144" s="9">
        <v>396</v>
      </c>
      <c r="H144" s="9">
        <v>631</v>
      </c>
      <c r="I144" s="9">
        <v>383</v>
      </c>
      <c r="J144" s="9">
        <v>275</v>
      </c>
      <c r="K144" s="9">
        <v>347</v>
      </c>
      <c r="L144" s="9">
        <v>399</v>
      </c>
      <c r="M144" s="9">
        <v>446</v>
      </c>
      <c r="N144" s="9">
        <v>403</v>
      </c>
      <c r="O144" s="9">
        <v>1571</v>
      </c>
      <c r="P144" s="9">
        <v>144</v>
      </c>
      <c r="Q144" s="9">
        <v>197</v>
      </c>
      <c r="R144" s="9">
        <v>588</v>
      </c>
      <c r="S144" s="9">
        <v>752</v>
      </c>
      <c r="T144" s="9">
        <v>741</v>
      </c>
      <c r="U144" s="9">
        <v>18</v>
      </c>
      <c r="V144" s="9">
        <v>27</v>
      </c>
      <c r="W144" s="9">
        <v>7</v>
      </c>
      <c r="X144" s="9">
        <v>5</v>
      </c>
      <c r="Y144" s="9">
        <v>2</v>
      </c>
      <c r="Z144" s="9">
        <v>4</v>
      </c>
      <c r="AB144" s="9">
        <f t="shared" si="7"/>
        <v>8455</v>
      </c>
      <c r="AC144" s="9">
        <f t="shared" si="8"/>
        <v>84325</v>
      </c>
      <c r="AD144" s="10">
        <f t="shared" si="9"/>
        <v>9.9733885274985212</v>
      </c>
    </row>
    <row r="145" spans="1:30" x14ac:dyDescent="0.3">
      <c r="A145" s="55"/>
      <c r="B145" s="30" t="s">
        <v>147</v>
      </c>
      <c r="C145" s="9">
        <v>119</v>
      </c>
      <c r="D145" s="9">
        <v>86</v>
      </c>
      <c r="E145" s="9">
        <v>108</v>
      </c>
      <c r="F145" s="9">
        <v>180</v>
      </c>
      <c r="G145" s="9">
        <v>177</v>
      </c>
      <c r="H145" s="9">
        <v>340</v>
      </c>
      <c r="I145" s="9">
        <v>284</v>
      </c>
      <c r="J145" s="9">
        <v>227</v>
      </c>
      <c r="K145" s="9">
        <v>306</v>
      </c>
      <c r="L145" s="9">
        <v>430</v>
      </c>
      <c r="M145" s="9">
        <v>477</v>
      </c>
      <c r="N145" s="9">
        <v>453</v>
      </c>
      <c r="O145" s="9">
        <v>1931</v>
      </c>
      <c r="P145" s="9">
        <v>205</v>
      </c>
      <c r="Q145" s="9">
        <v>298</v>
      </c>
      <c r="R145" s="9">
        <v>870</v>
      </c>
      <c r="S145" s="9">
        <v>1311</v>
      </c>
      <c r="T145" s="9">
        <v>1468</v>
      </c>
      <c r="U145" s="9">
        <v>55</v>
      </c>
      <c r="V145" s="9">
        <v>94</v>
      </c>
      <c r="W145" s="9">
        <v>11</v>
      </c>
      <c r="X145" s="9">
        <v>4</v>
      </c>
      <c r="Y145" s="9">
        <v>6</v>
      </c>
      <c r="Z145" s="9">
        <v>3</v>
      </c>
      <c r="AB145" s="9">
        <f t="shared" si="7"/>
        <v>9443</v>
      </c>
      <c r="AC145" s="9">
        <f t="shared" si="8"/>
        <v>114886</v>
      </c>
      <c r="AD145" s="10">
        <f t="shared" si="9"/>
        <v>12.166260722228106</v>
      </c>
    </row>
    <row r="146" spans="1:30" x14ac:dyDescent="0.3">
      <c r="A146" s="55"/>
      <c r="B146" s="30" t="s">
        <v>148</v>
      </c>
      <c r="C146" s="9">
        <v>701</v>
      </c>
      <c r="D146" s="9">
        <v>532</v>
      </c>
      <c r="E146" s="9">
        <v>789</v>
      </c>
      <c r="F146" s="9">
        <v>1104</v>
      </c>
      <c r="G146" s="9">
        <v>1110</v>
      </c>
      <c r="H146" s="9">
        <v>1794</v>
      </c>
      <c r="I146" s="9">
        <v>1126</v>
      </c>
      <c r="J146" s="9">
        <v>882</v>
      </c>
      <c r="K146" s="9">
        <v>1219</v>
      </c>
      <c r="L146" s="9">
        <v>1364</v>
      </c>
      <c r="M146" s="9">
        <v>1541</v>
      </c>
      <c r="N146" s="9">
        <v>1434</v>
      </c>
      <c r="O146" s="9">
        <v>5563</v>
      </c>
      <c r="P146" s="9">
        <v>531</v>
      </c>
      <c r="Q146" s="9">
        <v>714</v>
      </c>
      <c r="R146" s="9">
        <v>2049</v>
      </c>
      <c r="S146" s="9">
        <v>3059</v>
      </c>
      <c r="T146" s="9">
        <v>3553</v>
      </c>
      <c r="U146" s="9">
        <v>173</v>
      </c>
      <c r="V146" s="9">
        <v>255</v>
      </c>
      <c r="W146" s="9">
        <v>52</v>
      </c>
      <c r="X146" s="9">
        <v>23</v>
      </c>
      <c r="Y146" s="9">
        <v>8</v>
      </c>
      <c r="Z146" s="9">
        <v>14</v>
      </c>
      <c r="AB146" s="9">
        <f t="shared" si="7"/>
        <v>29590</v>
      </c>
      <c r="AC146" s="9">
        <f t="shared" si="8"/>
        <v>318689</v>
      </c>
      <c r="AD146" s="10">
        <f t="shared" si="9"/>
        <v>10.770158837445083</v>
      </c>
    </row>
    <row r="147" spans="1:30" x14ac:dyDescent="0.3">
      <c r="A147" s="55"/>
      <c r="B147" s="30" t="s">
        <v>149</v>
      </c>
      <c r="C147" s="9">
        <v>168</v>
      </c>
      <c r="D147" s="9">
        <v>116</v>
      </c>
      <c r="E147" s="9">
        <v>189</v>
      </c>
      <c r="F147" s="9">
        <v>281</v>
      </c>
      <c r="G147" s="9">
        <v>283</v>
      </c>
      <c r="H147" s="9">
        <v>425</v>
      </c>
      <c r="I147" s="9">
        <v>176</v>
      </c>
      <c r="J147" s="9">
        <v>120</v>
      </c>
      <c r="K147" s="9">
        <v>158</v>
      </c>
      <c r="L147" s="9">
        <v>100</v>
      </c>
      <c r="M147" s="9">
        <v>115</v>
      </c>
      <c r="N147" s="9">
        <v>85</v>
      </c>
      <c r="O147" s="9">
        <v>300</v>
      </c>
      <c r="P147" s="9">
        <v>29</v>
      </c>
      <c r="Q147" s="9">
        <v>14</v>
      </c>
      <c r="R147" s="9">
        <v>50</v>
      </c>
      <c r="S147" s="9">
        <v>81</v>
      </c>
      <c r="T147" s="9">
        <v>55</v>
      </c>
      <c r="U147" s="9">
        <v>0</v>
      </c>
      <c r="V147" s="9">
        <v>5</v>
      </c>
      <c r="W147" s="9">
        <v>2</v>
      </c>
      <c r="X147" s="9">
        <v>2</v>
      </c>
      <c r="Y147" s="9">
        <v>0</v>
      </c>
      <c r="Z147" s="9">
        <v>0</v>
      </c>
      <c r="AB147" s="9">
        <f t="shared" si="7"/>
        <v>2754</v>
      </c>
      <c r="AC147" s="9">
        <f t="shared" si="8"/>
        <v>18070</v>
      </c>
      <c r="AD147" s="10">
        <f t="shared" si="9"/>
        <v>6.5613652868554828</v>
      </c>
    </row>
    <row r="148" spans="1:30" x14ac:dyDescent="0.3">
      <c r="A148" s="55"/>
      <c r="B148" s="30" t="s">
        <v>150</v>
      </c>
      <c r="C148" s="9">
        <v>765</v>
      </c>
      <c r="D148" s="9">
        <v>563</v>
      </c>
      <c r="E148" s="9">
        <v>867</v>
      </c>
      <c r="F148" s="9">
        <v>1107</v>
      </c>
      <c r="G148" s="9">
        <v>1120</v>
      </c>
      <c r="H148" s="9">
        <v>1517</v>
      </c>
      <c r="I148" s="9">
        <v>864</v>
      </c>
      <c r="J148" s="9">
        <v>643</v>
      </c>
      <c r="K148" s="9">
        <v>721</v>
      </c>
      <c r="L148" s="9">
        <v>468</v>
      </c>
      <c r="M148" s="9">
        <v>482</v>
      </c>
      <c r="N148" s="9">
        <v>449</v>
      </c>
      <c r="O148" s="9">
        <v>1329</v>
      </c>
      <c r="P148" s="9">
        <v>64</v>
      </c>
      <c r="Q148" s="9">
        <v>77</v>
      </c>
      <c r="R148" s="9">
        <v>325</v>
      </c>
      <c r="S148" s="9">
        <v>395</v>
      </c>
      <c r="T148" s="9">
        <v>210</v>
      </c>
      <c r="U148" s="9">
        <v>9</v>
      </c>
      <c r="V148" s="9">
        <v>10</v>
      </c>
      <c r="W148" s="9">
        <v>8</v>
      </c>
      <c r="X148" s="9">
        <v>3</v>
      </c>
      <c r="Y148" s="9">
        <v>1</v>
      </c>
      <c r="Z148" s="9">
        <v>2</v>
      </c>
      <c r="AB148" s="9">
        <f t="shared" si="7"/>
        <v>11999</v>
      </c>
      <c r="AC148" s="9">
        <f t="shared" si="8"/>
        <v>80373</v>
      </c>
      <c r="AD148" s="10">
        <f t="shared" si="9"/>
        <v>6.6983081923493621</v>
      </c>
    </row>
    <row r="149" spans="1:30" x14ac:dyDescent="0.3">
      <c r="A149" s="55"/>
      <c r="B149" s="30" t="s">
        <v>151</v>
      </c>
      <c r="C149" s="9">
        <v>486</v>
      </c>
      <c r="D149" s="9">
        <v>191</v>
      </c>
      <c r="E149" s="9">
        <v>310</v>
      </c>
      <c r="F149" s="9">
        <v>324</v>
      </c>
      <c r="G149" s="9">
        <v>302</v>
      </c>
      <c r="H149" s="9">
        <v>380</v>
      </c>
      <c r="I149" s="9">
        <v>189</v>
      </c>
      <c r="J149" s="9">
        <v>109</v>
      </c>
      <c r="K149" s="9">
        <v>135</v>
      </c>
      <c r="L149" s="9">
        <v>74</v>
      </c>
      <c r="M149" s="9">
        <v>87</v>
      </c>
      <c r="N149" s="9">
        <v>73</v>
      </c>
      <c r="O149" s="9">
        <v>274</v>
      </c>
      <c r="P149" s="9">
        <v>10</v>
      </c>
      <c r="Q149" s="9">
        <v>14</v>
      </c>
      <c r="R149" s="9">
        <v>45</v>
      </c>
      <c r="S149" s="9">
        <v>67</v>
      </c>
      <c r="T149" s="9">
        <v>23</v>
      </c>
      <c r="U149" s="9">
        <v>0</v>
      </c>
      <c r="V149" s="9">
        <v>2</v>
      </c>
      <c r="W149" s="9">
        <v>0</v>
      </c>
      <c r="X149" s="9">
        <v>0</v>
      </c>
      <c r="Y149" s="9">
        <v>0</v>
      </c>
      <c r="Z149" s="9">
        <v>0</v>
      </c>
      <c r="AB149" s="9">
        <f t="shared" si="7"/>
        <v>3095</v>
      </c>
      <c r="AC149" s="9">
        <f t="shared" si="8"/>
        <v>15997</v>
      </c>
      <c r="AD149" s="10">
        <f t="shared" si="9"/>
        <v>5.1686591276252019</v>
      </c>
    </row>
    <row r="150" spans="1:30" x14ac:dyDescent="0.3">
      <c r="A150" s="55"/>
      <c r="B150" s="30" t="s">
        <v>152</v>
      </c>
      <c r="C150" s="9">
        <v>149</v>
      </c>
      <c r="D150" s="9">
        <v>129</v>
      </c>
      <c r="E150" s="9">
        <v>206</v>
      </c>
      <c r="F150" s="9">
        <v>270</v>
      </c>
      <c r="G150" s="9">
        <v>265</v>
      </c>
      <c r="H150" s="9">
        <v>277</v>
      </c>
      <c r="I150" s="9">
        <v>124</v>
      </c>
      <c r="J150" s="9">
        <v>70</v>
      </c>
      <c r="K150" s="9">
        <v>82</v>
      </c>
      <c r="L150" s="9">
        <v>38</v>
      </c>
      <c r="M150" s="9">
        <v>53</v>
      </c>
      <c r="N150" s="9">
        <v>36</v>
      </c>
      <c r="O150" s="9">
        <v>107</v>
      </c>
      <c r="P150" s="9">
        <v>7</v>
      </c>
      <c r="Q150" s="9">
        <v>7</v>
      </c>
      <c r="R150" s="9">
        <v>44</v>
      </c>
      <c r="S150" s="9">
        <v>65</v>
      </c>
      <c r="T150" s="9">
        <v>29</v>
      </c>
      <c r="U150" s="9">
        <v>0</v>
      </c>
      <c r="V150" s="9">
        <v>1</v>
      </c>
      <c r="W150" s="9">
        <v>0</v>
      </c>
      <c r="X150" s="9">
        <v>0</v>
      </c>
      <c r="Y150" s="9">
        <v>0</v>
      </c>
      <c r="Z150" s="9">
        <v>0</v>
      </c>
      <c r="AB150" s="9">
        <f t="shared" si="7"/>
        <v>1959</v>
      </c>
      <c r="AC150" s="9">
        <f t="shared" si="8"/>
        <v>10639</v>
      </c>
      <c r="AD150" s="10">
        <f t="shared" si="9"/>
        <v>5.4308320571720268</v>
      </c>
    </row>
    <row r="151" spans="1:30" x14ac:dyDescent="0.3">
      <c r="A151" s="55"/>
      <c r="B151" s="30" t="s">
        <v>153</v>
      </c>
      <c r="C151" s="9">
        <v>71</v>
      </c>
      <c r="D151" s="9">
        <v>57</v>
      </c>
      <c r="E151" s="9">
        <v>138</v>
      </c>
      <c r="F151" s="9">
        <v>176</v>
      </c>
      <c r="G151" s="9">
        <v>161</v>
      </c>
      <c r="H151" s="9">
        <v>236</v>
      </c>
      <c r="I151" s="9">
        <v>103</v>
      </c>
      <c r="J151" s="9">
        <v>88</v>
      </c>
      <c r="K151" s="9">
        <v>89</v>
      </c>
      <c r="L151" s="9">
        <v>21</v>
      </c>
      <c r="M151" s="9">
        <v>22</v>
      </c>
      <c r="N151" s="9">
        <v>29</v>
      </c>
      <c r="O151" s="9">
        <v>69</v>
      </c>
      <c r="P151" s="9">
        <v>4</v>
      </c>
      <c r="Q151" s="9">
        <v>5</v>
      </c>
      <c r="R151" s="9">
        <v>25</v>
      </c>
      <c r="S151" s="9">
        <v>30</v>
      </c>
      <c r="T151" s="9">
        <v>15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B151" s="9">
        <f t="shared" si="7"/>
        <v>1339</v>
      </c>
      <c r="AC151" s="9">
        <f t="shared" si="8"/>
        <v>7419</v>
      </c>
      <c r="AD151" s="10">
        <f t="shared" si="9"/>
        <v>5.5407020164301715</v>
      </c>
    </row>
    <row r="152" spans="1:30" x14ac:dyDescent="0.3">
      <c r="A152" s="55"/>
      <c r="B152" s="30" t="s">
        <v>154</v>
      </c>
      <c r="C152" s="9">
        <v>86</v>
      </c>
      <c r="D152" s="9">
        <v>56</v>
      </c>
      <c r="E152" s="9">
        <v>112</v>
      </c>
      <c r="F152" s="9">
        <v>137</v>
      </c>
      <c r="G152" s="9">
        <v>134</v>
      </c>
      <c r="H152" s="9">
        <v>205</v>
      </c>
      <c r="I152" s="9">
        <v>113</v>
      </c>
      <c r="J152" s="9">
        <v>74</v>
      </c>
      <c r="K152" s="9">
        <v>84</v>
      </c>
      <c r="L152" s="9">
        <v>41</v>
      </c>
      <c r="M152" s="9">
        <v>33</v>
      </c>
      <c r="N152" s="9">
        <v>26</v>
      </c>
      <c r="O152" s="9">
        <v>76</v>
      </c>
      <c r="P152" s="9">
        <v>3</v>
      </c>
      <c r="Q152" s="9">
        <v>7</v>
      </c>
      <c r="R152" s="9">
        <v>29</v>
      </c>
      <c r="S152" s="9">
        <v>43</v>
      </c>
      <c r="T152" s="9">
        <v>33</v>
      </c>
      <c r="U152" s="9">
        <v>1</v>
      </c>
      <c r="V152" s="9">
        <v>0</v>
      </c>
      <c r="W152" s="9">
        <v>1</v>
      </c>
      <c r="X152" s="9">
        <v>0</v>
      </c>
      <c r="Y152" s="9">
        <v>0</v>
      </c>
      <c r="Z152" s="9">
        <v>0</v>
      </c>
      <c r="AB152" s="9">
        <f t="shared" si="7"/>
        <v>1294</v>
      </c>
      <c r="AC152" s="9">
        <f t="shared" si="8"/>
        <v>7876</v>
      </c>
      <c r="AD152" s="10">
        <f t="shared" si="9"/>
        <v>6.0865533230293662</v>
      </c>
    </row>
    <row r="153" spans="1:30" x14ac:dyDescent="0.3">
      <c r="A153" s="55"/>
      <c r="B153" s="30" t="s">
        <v>155</v>
      </c>
      <c r="C153" s="9">
        <v>149</v>
      </c>
      <c r="D153" s="9">
        <v>113</v>
      </c>
      <c r="E153" s="9">
        <v>211</v>
      </c>
      <c r="F153" s="9">
        <v>247</v>
      </c>
      <c r="G153" s="9">
        <v>233</v>
      </c>
      <c r="H153" s="9">
        <v>365</v>
      </c>
      <c r="I153" s="9">
        <v>245</v>
      </c>
      <c r="J153" s="9">
        <v>160</v>
      </c>
      <c r="K153" s="9">
        <v>196</v>
      </c>
      <c r="L153" s="9">
        <v>182</v>
      </c>
      <c r="M153" s="9">
        <v>185</v>
      </c>
      <c r="N153" s="9">
        <v>139</v>
      </c>
      <c r="O153" s="9">
        <v>497</v>
      </c>
      <c r="P153" s="9">
        <v>43</v>
      </c>
      <c r="Q153" s="9">
        <v>61</v>
      </c>
      <c r="R153" s="9">
        <v>189</v>
      </c>
      <c r="S153" s="9">
        <v>225</v>
      </c>
      <c r="T153" s="9">
        <v>157</v>
      </c>
      <c r="U153" s="9">
        <v>10</v>
      </c>
      <c r="V153" s="9">
        <v>8</v>
      </c>
      <c r="W153" s="9">
        <v>5</v>
      </c>
      <c r="X153" s="9">
        <v>2</v>
      </c>
      <c r="Y153" s="9">
        <v>0</v>
      </c>
      <c r="Z153" s="9">
        <v>1</v>
      </c>
      <c r="AB153" s="9">
        <f t="shared" si="7"/>
        <v>3623</v>
      </c>
      <c r="AC153" s="9">
        <f t="shared" si="8"/>
        <v>30186</v>
      </c>
      <c r="AD153" s="10">
        <f t="shared" si="9"/>
        <v>8.331769252001104</v>
      </c>
    </row>
    <row r="154" spans="1:30" x14ac:dyDescent="0.3">
      <c r="A154" s="55"/>
      <c r="B154" s="30" t="s">
        <v>156</v>
      </c>
      <c r="C154" s="9">
        <v>444</v>
      </c>
      <c r="D154" s="9">
        <v>323</v>
      </c>
      <c r="E154" s="9">
        <v>495</v>
      </c>
      <c r="F154" s="9">
        <v>664</v>
      </c>
      <c r="G154" s="9">
        <v>642</v>
      </c>
      <c r="H154" s="9">
        <v>847</v>
      </c>
      <c r="I154" s="9">
        <v>468</v>
      </c>
      <c r="J154" s="9">
        <v>379</v>
      </c>
      <c r="K154" s="9">
        <v>406</v>
      </c>
      <c r="L154" s="9">
        <v>332</v>
      </c>
      <c r="M154" s="9">
        <v>383</v>
      </c>
      <c r="N154" s="9">
        <v>316</v>
      </c>
      <c r="O154" s="9">
        <v>994</v>
      </c>
      <c r="P154" s="9">
        <v>46</v>
      </c>
      <c r="Q154" s="9">
        <v>64</v>
      </c>
      <c r="R154" s="9">
        <v>257</v>
      </c>
      <c r="S154" s="9">
        <v>341</v>
      </c>
      <c r="T154" s="9">
        <v>244</v>
      </c>
      <c r="U154" s="9">
        <v>5</v>
      </c>
      <c r="V154" s="9">
        <v>5</v>
      </c>
      <c r="W154" s="9">
        <v>8</v>
      </c>
      <c r="X154" s="9">
        <v>2</v>
      </c>
      <c r="Y154" s="9">
        <v>1</v>
      </c>
      <c r="Z154" s="9">
        <v>1</v>
      </c>
      <c r="AB154" s="9">
        <f t="shared" si="7"/>
        <v>7667</v>
      </c>
      <c r="AC154" s="9">
        <f t="shared" si="8"/>
        <v>56424</v>
      </c>
      <c r="AD154" s="10">
        <f t="shared" si="9"/>
        <v>7.359332202947698</v>
      </c>
    </row>
    <row r="155" spans="1:30" x14ac:dyDescent="0.3">
      <c r="A155" s="55"/>
      <c r="B155" s="30" t="s">
        <v>157</v>
      </c>
      <c r="C155" s="9">
        <v>333</v>
      </c>
      <c r="D155" s="9">
        <v>221</v>
      </c>
      <c r="E155" s="9">
        <v>354</v>
      </c>
      <c r="F155" s="9">
        <v>467</v>
      </c>
      <c r="G155" s="9">
        <v>442</v>
      </c>
      <c r="H155" s="9">
        <v>655</v>
      </c>
      <c r="I155" s="9">
        <v>362</v>
      </c>
      <c r="J155" s="9">
        <v>251</v>
      </c>
      <c r="K155" s="9">
        <v>307</v>
      </c>
      <c r="L155" s="9">
        <v>212</v>
      </c>
      <c r="M155" s="9">
        <v>264</v>
      </c>
      <c r="N155" s="9">
        <v>213</v>
      </c>
      <c r="O155" s="9">
        <v>700</v>
      </c>
      <c r="P155" s="9">
        <v>61</v>
      </c>
      <c r="Q155" s="9">
        <v>41</v>
      </c>
      <c r="R155" s="9">
        <v>140</v>
      </c>
      <c r="S155" s="9">
        <v>236</v>
      </c>
      <c r="T155" s="9">
        <v>140</v>
      </c>
      <c r="U155" s="9">
        <v>9</v>
      </c>
      <c r="V155" s="9">
        <v>6</v>
      </c>
      <c r="W155" s="9">
        <v>2</v>
      </c>
      <c r="X155" s="9">
        <v>3</v>
      </c>
      <c r="Y155" s="9">
        <v>0</v>
      </c>
      <c r="Z155" s="9">
        <v>0</v>
      </c>
      <c r="AB155" s="9">
        <f t="shared" si="7"/>
        <v>5419</v>
      </c>
      <c r="AC155" s="9">
        <f t="shared" si="8"/>
        <v>39051</v>
      </c>
      <c r="AD155" s="10">
        <f t="shared" si="9"/>
        <v>7.2063111275143017</v>
      </c>
    </row>
    <row r="156" spans="1:30" x14ac:dyDescent="0.3">
      <c r="A156" s="55"/>
      <c r="B156" s="30" t="s">
        <v>158</v>
      </c>
      <c r="C156" s="9">
        <v>279</v>
      </c>
      <c r="D156" s="9">
        <v>102</v>
      </c>
      <c r="E156" s="9">
        <v>174</v>
      </c>
      <c r="F156" s="9">
        <v>242</v>
      </c>
      <c r="G156" s="9">
        <v>219</v>
      </c>
      <c r="H156" s="9">
        <v>291</v>
      </c>
      <c r="I156" s="9">
        <v>129</v>
      </c>
      <c r="J156" s="9">
        <v>128</v>
      </c>
      <c r="K156" s="9">
        <v>115</v>
      </c>
      <c r="L156" s="9">
        <v>73</v>
      </c>
      <c r="M156" s="9">
        <v>115</v>
      </c>
      <c r="N156" s="9">
        <v>55</v>
      </c>
      <c r="O156" s="9">
        <v>210</v>
      </c>
      <c r="P156" s="9">
        <v>17</v>
      </c>
      <c r="Q156" s="9">
        <v>21</v>
      </c>
      <c r="R156" s="9">
        <v>94</v>
      </c>
      <c r="S156" s="9">
        <v>117</v>
      </c>
      <c r="T156" s="9">
        <v>60</v>
      </c>
      <c r="U156" s="9">
        <v>0</v>
      </c>
      <c r="V156" s="9">
        <v>3</v>
      </c>
      <c r="W156" s="9">
        <v>0</v>
      </c>
      <c r="X156" s="9">
        <v>0</v>
      </c>
      <c r="Y156" s="9">
        <v>0</v>
      </c>
      <c r="Z156" s="9">
        <v>1</v>
      </c>
      <c r="AB156" s="9">
        <f t="shared" si="7"/>
        <v>2445</v>
      </c>
      <c r="AC156" s="9">
        <f t="shared" si="8"/>
        <v>15926</v>
      </c>
      <c r="AD156" s="10">
        <f t="shared" si="9"/>
        <v>6.5137014314928425</v>
      </c>
    </row>
    <row r="157" spans="1:30" x14ac:dyDescent="0.3">
      <c r="A157" s="55"/>
      <c r="B157" s="30" t="s">
        <v>159</v>
      </c>
      <c r="C157" s="9">
        <v>99</v>
      </c>
      <c r="D157" s="9">
        <v>40</v>
      </c>
      <c r="E157" s="9">
        <v>69</v>
      </c>
      <c r="F157" s="9">
        <v>91</v>
      </c>
      <c r="G157" s="9">
        <v>66</v>
      </c>
      <c r="H157" s="9">
        <v>73</v>
      </c>
      <c r="I157" s="9">
        <v>41</v>
      </c>
      <c r="J157" s="9">
        <v>22</v>
      </c>
      <c r="K157" s="9">
        <v>25</v>
      </c>
      <c r="L157" s="9">
        <v>4</v>
      </c>
      <c r="M157" s="9">
        <v>7</v>
      </c>
      <c r="N157" s="9">
        <v>10</v>
      </c>
      <c r="O157" s="9">
        <v>37</v>
      </c>
      <c r="P157" s="9">
        <v>3</v>
      </c>
      <c r="Q157" s="9">
        <v>3</v>
      </c>
      <c r="R157" s="9">
        <v>12</v>
      </c>
      <c r="S157" s="9">
        <v>21</v>
      </c>
      <c r="T157" s="9">
        <v>10</v>
      </c>
      <c r="U157" s="9">
        <v>0</v>
      </c>
      <c r="V157" s="9">
        <v>0</v>
      </c>
      <c r="W157" s="9">
        <v>1</v>
      </c>
      <c r="X157" s="9">
        <v>0</v>
      </c>
      <c r="Y157" s="9">
        <v>0</v>
      </c>
      <c r="Z157" s="9">
        <v>0</v>
      </c>
      <c r="AB157" s="9">
        <f t="shared" si="7"/>
        <v>634</v>
      </c>
      <c r="AC157" s="9">
        <f t="shared" si="8"/>
        <v>3127</v>
      </c>
      <c r="AD157" s="10">
        <f t="shared" si="9"/>
        <v>4.9321766561514195</v>
      </c>
    </row>
    <row r="158" spans="1:30" x14ac:dyDescent="0.3">
      <c r="A158" s="55"/>
      <c r="B158" s="30" t="s">
        <v>160</v>
      </c>
      <c r="C158" s="9">
        <v>55</v>
      </c>
      <c r="D158" s="9">
        <v>18</v>
      </c>
      <c r="E158" s="9">
        <v>53</v>
      </c>
      <c r="F158" s="9">
        <v>53</v>
      </c>
      <c r="G158" s="9">
        <v>55</v>
      </c>
      <c r="H158" s="9">
        <v>34</v>
      </c>
      <c r="I158" s="9">
        <v>23</v>
      </c>
      <c r="J158" s="9">
        <v>14</v>
      </c>
      <c r="K158" s="9">
        <v>28</v>
      </c>
      <c r="L158" s="9">
        <v>13</v>
      </c>
      <c r="M158" s="9">
        <v>12</v>
      </c>
      <c r="N158" s="9">
        <v>8</v>
      </c>
      <c r="O158" s="9">
        <v>19</v>
      </c>
      <c r="P158" s="9">
        <v>5</v>
      </c>
      <c r="Q158" s="9">
        <v>1</v>
      </c>
      <c r="R158" s="9">
        <v>13</v>
      </c>
      <c r="S158" s="9">
        <v>8</v>
      </c>
      <c r="T158" s="9">
        <v>4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B158" s="9">
        <f t="shared" si="7"/>
        <v>416</v>
      </c>
      <c r="AC158" s="9">
        <f t="shared" si="8"/>
        <v>2156</v>
      </c>
      <c r="AD158" s="10">
        <f t="shared" si="9"/>
        <v>5.1826923076923075</v>
      </c>
    </row>
    <row r="159" spans="1:30" x14ac:dyDescent="0.3">
      <c r="A159" s="55"/>
      <c r="B159" s="30" t="s">
        <v>161</v>
      </c>
      <c r="C159" s="9">
        <v>232</v>
      </c>
      <c r="D159" s="9">
        <v>67</v>
      </c>
      <c r="E159" s="9">
        <v>90</v>
      </c>
      <c r="F159" s="9">
        <v>101</v>
      </c>
      <c r="G159" s="9">
        <v>121</v>
      </c>
      <c r="H159" s="9">
        <v>104</v>
      </c>
      <c r="I159" s="9">
        <v>69</v>
      </c>
      <c r="J159" s="9">
        <v>24</v>
      </c>
      <c r="K159" s="9">
        <v>30</v>
      </c>
      <c r="L159" s="9">
        <v>11</v>
      </c>
      <c r="M159" s="9">
        <v>15</v>
      </c>
      <c r="N159" s="9">
        <v>7</v>
      </c>
      <c r="O159" s="9">
        <v>27</v>
      </c>
      <c r="P159" s="9">
        <v>1</v>
      </c>
      <c r="Q159" s="9">
        <v>2</v>
      </c>
      <c r="R159" s="9">
        <v>4</v>
      </c>
      <c r="S159" s="9">
        <v>12</v>
      </c>
      <c r="T159" s="9">
        <v>1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B159" s="9">
        <f t="shared" si="7"/>
        <v>918</v>
      </c>
      <c r="AC159" s="9">
        <f t="shared" si="8"/>
        <v>3336</v>
      </c>
      <c r="AD159" s="10">
        <f t="shared" si="9"/>
        <v>3.6339869281045751</v>
      </c>
    </row>
    <row r="160" spans="1:30" x14ac:dyDescent="0.3">
      <c r="A160" s="55"/>
      <c r="B160" s="30" t="s">
        <v>162</v>
      </c>
      <c r="C160" s="9">
        <v>102</v>
      </c>
      <c r="D160" s="9">
        <v>87</v>
      </c>
      <c r="E160" s="9">
        <v>123</v>
      </c>
      <c r="F160" s="9">
        <v>176</v>
      </c>
      <c r="G160" s="9">
        <v>158</v>
      </c>
      <c r="H160" s="9">
        <v>284</v>
      </c>
      <c r="I160" s="9">
        <v>134</v>
      </c>
      <c r="J160" s="9">
        <v>123</v>
      </c>
      <c r="K160" s="9">
        <v>156</v>
      </c>
      <c r="L160" s="9">
        <v>149</v>
      </c>
      <c r="M160" s="9">
        <v>168</v>
      </c>
      <c r="N160" s="9">
        <v>196</v>
      </c>
      <c r="O160" s="9">
        <v>657</v>
      </c>
      <c r="P160" s="9">
        <v>92</v>
      </c>
      <c r="Q160" s="9">
        <v>144</v>
      </c>
      <c r="R160" s="9">
        <v>355</v>
      </c>
      <c r="S160" s="9">
        <v>448</v>
      </c>
      <c r="T160" s="9">
        <v>423</v>
      </c>
      <c r="U160" s="9">
        <v>5</v>
      </c>
      <c r="V160" s="9">
        <v>7</v>
      </c>
      <c r="W160" s="9">
        <v>3</v>
      </c>
      <c r="X160" s="9">
        <v>0</v>
      </c>
      <c r="Y160" s="9">
        <v>1</v>
      </c>
      <c r="Z160" s="9">
        <v>0</v>
      </c>
      <c r="AB160" s="9">
        <f t="shared" si="7"/>
        <v>3991</v>
      </c>
      <c r="AC160" s="9">
        <f t="shared" si="8"/>
        <v>42088</v>
      </c>
      <c r="AD160" s="10">
        <f t="shared" si="9"/>
        <v>10.545727887747432</v>
      </c>
    </row>
    <row r="161" spans="1:30" x14ac:dyDescent="0.3">
      <c r="A161" s="55"/>
      <c r="B161" s="30" t="s">
        <v>163</v>
      </c>
      <c r="C161" s="9">
        <v>88</v>
      </c>
      <c r="D161" s="9">
        <v>41</v>
      </c>
      <c r="E161" s="9">
        <v>48</v>
      </c>
      <c r="F161" s="9">
        <v>88</v>
      </c>
      <c r="G161" s="9">
        <v>69</v>
      </c>
      <c r="H161" s="9">
        <v>108</v>
      </c>
      <c r="I161" s="9">
        <v>69</v>
      </c>
      <c r="J161" s="9">
        <v>42</v>
      </c>
      <c r="K161" s="9">
        <v>56</v>
      </c>
      <c r="L161" s="9">
        <v>51</v>
      </c>
      <c r="M161" s="9">
        <v>58</v>
      </c>
      <c r="N161" s="9">
        <v>37</v>
      </c>
      <c r="O161" s="9">
        <v>165</v>
      </c>
      <c r="P161" s="9">
        <v>13</v>
      </c>
      <c r="Q161" s="9">
        <v>18</v>
      </c>
      <c r="R161" s="9">
        <v>85</v>
      </c>
      <c r="S161" s="9">
        <v>85</v>
      </c>
      <c r="T161" s="9">
        <v>51</v>
      </c>
      <c r="U161" s="9">
        <v>4</v>
      </c>
      <c r="V161" s="9">
        <v>8</v>
      </c>
      <c r="W161" s="9">
        <v>0</v>
      </c>
      <c r="X161" s="9">
        <v>0</v>
      </c>
      <c r="Y161" s="9">
        <v>0</v>
      </c>
      <c r="Z161" s="9">
        <v>1</v>
      </c>
      <c r="AB161" s="9">
        <f t="shared" si="7"/>
        <v>1185</v>
      </c>
      <c r="AC161" s="9">
        <f t="shared" si="8"/>
        <v>9969</v>
      </c>
      <c r="AD161" s="10">
        <f t="shared" si="9"/>
        <v>8.4126582278481017</v>
      </c>
    </row>
    <row r="162" spans="1:30" x14ac:dyDescent="0.3">
      <c r="A162" s="55"/>
      <c r="B162" s="30" t="s">
        <v>164</v>
      </c>
      <c r="C162" s="9">
        <v>78</v>
      </c>
      <c r="D162" s="9">
        <v>42</v>
      </c>
      <c r="E162" s="9">
        <v>62</v>
      </c>
      <c r="F162" s="9">
        <v>92</v>
      </c>
      <c r="G162" s="9">
        <v>75</v>
      </c>
      <c r="H162" s="9">
        <v>140</v>
      </c>
      <c r="I162" s="9">
        <v>105</v>
      </c>
      <c r="J162" s="9">
        <v>63</v>
      </c>
      <c r="K162" s="9">
        <v>108</v>
      </c>
      <c r="L162" s="9">
        <v>79</v>
      </c>
      <c r="M162" s="9">
        <v>83</v>
      </c>
      <c r="N162" s="9">
        <v>71</v>
      </c>
      <c r="O162" s="9">
        <v>265</v>
      </c>
      <c r="P162" s="9">
        <v>52</v>
      </c>
      <c r="Q162" s="9">
        <v>53</v>
      </c>
      <c r="R162" s="9">
        <v>177</v>
      </c>
      <c r="S162" s="9">
        <v>198</v>
      </c>
      <c r="T162" s="9">
        <v>121</v>
      </c>
      <c r="U162" s="9">
        <v>8</v>
      </c>
      <c r="V162" s="9">
        <v>3</v>
      </c>
      <c r="W162" s="9">
        <v>4</v>
      </c>
      <c r="X162" s="9">
        <v>1</v>
      </c>
      <c r="Y162" s="9">
        <v>1</v>
      </c>
      <c r="Z162" s="9">
        <v>1</v>
      </c>
      <c r="AB162" s="9">
        <f t="shared" si="7"/>
        <v>1882</v>
      </c>
      <c r="AC162" s="9">
        <f t="shared" si="8"/>
        <v>18524</v>
      </c>
      <c r="AD162" s="10">
        <f t="shared" si="9"/>
        <v>9.8427205100956421</v>
      </c>
    </row>
    <row r="163" spans="1:30" x14ac:dyDescent="0.3">
      <c r="A163" s="55"/>
      <c r="B163" s="30" t="s">
        <v>165</v>
      </c>
      <c r="C163" s="9">
        <v>5</v>
      </c>
      <c r="D163" s="9">
        <v>6</v>
      </c>
      <c r="E163" s="9">
        <v>2</v>
      </c>
      <c r="F163" s="9">
        <v>4</v>
      </c>
      <c r="G163" s="9">
        <v>5</v>
      </c>
      <c r="H163" s="9">
        <v>7</v>
      </c>
      <c r="I163" s="9">
        <v>6</v>
      </c>
      <c r="J163" s="9">
        <v>7</v>
      </c>
      <c r="K163" s="9">
        <v>17</v>
      </c>
      <c r="L163" s="9">
        <v>12</v>
      </c>
      <c r="M163" s="9">
        <v>8</v>
      </c>
      <c r="N163" s="9">
        <v>5</v>
      </c>
      <c r="O163" s="9">
        <v>40</v>
      </c>
      <c r="P163" s="9">
        <v>4</v>
      </c>
      <c r="Q163" s="9">
        <v>3</v>
      </c>
      <c r="R163" s="9">
        <v>14</v>
      </c>
      <c r="S163" s="9">
        <v>24</v>
      </c>
      <c r="T163" s="9">
        <v>17</v>
      </c>
      <c r="U163" s="9">
        <v>0</v>
      </c>
      <c r="V163" s="9">
        <v>2</v>
      </c>
      <c r="W163" s="9">
        <v>1</v>
      </c>
      <c r="X163" s="9">
        <v>0</v>
      </c>
      <c r="Y163" s="9">
        <v>1</v>
      </c>
      <c r="Z163" s="9">
        <v>1</v>
      </c>
      <c r="AB163" s="9">
        <f t="shared" si="7"/>
        <v>191</v>
      </c>
      <c r="AC163" s="9">
        <f t="shared" si="8"/>
        <v>2101</v>
      </c>
      <c r="AD163" s="10">
        <f t="shared" si="9"/>
        <v>11</v>
      </c>
    </row>
    <row r="164" spans="1:30" x14ac:dyDescent="0.3">
      <c r="A164" s="55"/>
      <c r="B164" s="30" t="s">
        <v>166</v>
      </c>
      <c r="C164" s="9">
        <v>28</v>
      </c>
      <c r="D164" s="9">
        <v>6</v>
      </c>
      <c r="E164" s="9">
        <v>16</v>
      </c>
      <c r="F164" s="9">
        <v>18</v>
      </c>
      <c r="G164" s="9">
        <v>13</v>
      </c>
      <c r="H164" s="9">
        <v>21</v>
      </c>
      <c r="I164" s="9">
        <v>19</v>
      </c>
      <c r="J164" s="9">
        <v>26</v>
      </c>
      <c r="K164" s="9">
        <v>30</v>
      </c>
      <c r="L164" s="9">
        <v>9</v>
      </c>
      <c r="M164" s="9">
        <v>27</v>
      </c>
      <c r="N164" s="9">
        <v>29</v>
      </c>
      <c r="O164" s="9">
        <v>96</v>
      </c>
      <c r="P164" s="9">
        <v>9</v>
      </c>
      <c r="Q164" s="9">
        <v>26</v>
      </c>
      <c r="R164" s="9">
        <v>50</v>
      </c>
      <c r="S164" s="9">
        <v>32</v>
      </c>
      <c r="T164" s="9">
        <v>17</v>
      </c>
      <c r="U164" s="9">
        <v>0</v>
      </c>
      <c r="V164" s="9">
        <v>1</v>
      </c>
      <c r="W164" s="9">
        <v>1</v>
      </c>
      <c r="X164" s="9">
        <v>0</v>
      </c>
      <c r="Y164" s="9">
        <v>0</v>
      </c>
      <c r="Z164" s="9">
        <v>0</v>
      </c>
      <c r="AB164" s="9">
        <f t="shared" si="7"/>
        <v>474</v>
      </c>
      <c r="AC164" s="9">
        <f t="shared" si="8"/>
        <v>4678</v>
      </c>
      <c r="AD164" s="10">
        <f t="shared" si="9"/>
        <v>9.8691983122362874</v>
      </c>
    </row>
    <row r="165" spans="1:30" x14ac:dyDescent="0.3">
      <c r="A165" s="55"/>
      <c r="B165" s="30" t="s">
        <v>167</v>
      </c>
      <c r="C165" s="9">
        <v>82</v>
      </c>
      <c r="D165" s="9">
        <v>55</v>
      </c>
      <c r="E165" s="9">
        <v>74</v>
      </c>
      <c r="F165" s="9">
        <v>109</v>
      </c>
      <c r="G165" s="9">
        <v>94</v>
      </c>
      <c r="H165" s="9">
        <v>110</v>
      </c>
      <c r="I165" s="9">
        <v>67</v>
      </c>
      <c r="J165" s="9">
        <v>24</v>
      </c>
      <c r="K165" s="9">
        <v>44</v>
      </c>
      <c r="L165" s="9">
        <v>21</v>
      </c>
      <c r="M165" s="9">
        <v>27</v>
      </c>
      <c r="N165" s="9">
        <v>25</v>
      </c>
      <c r="O165" s="9">
        <v>78</v>
      </c>
      <c r="P165" s="9">
        <v>3</v>
      </c>
      <c r="Q165" s="9">
        <v>3</v>
      </c>
      <c r="R165" s="9">
        <v>11</v>
      </c>
      <c r="S165" s="9">
        <v>28</v>
      </c>
      <c r="T165" s="9">
        <v>13</v>
      </c>
      <c r="U165" s="9">
        <v>1</v>
      </c>
      <c r="V165" s="9">
        <v>0</v>
      </c>
      <c r="W165" s="9">
        <v>2</v>
      </c>
      <c r="X165" s="9">
        <v>0</v>
      </c>
      <c r="Y165" s="9">
        <v>1</v>
      </c>
      <c r="Z165" s="9">
        <v>0</v>
      </c>
      <c r="AB165" s="9">
        <f t="shared" si="7"/>
        <v>872</v>
      </c>
      <c r="AC165" s="9">
        <f t="shared" si="8"/>
        <v>5043</v>
      </c>
      <c r="AD165" s="10">
        <f t="shared" si="9"/>
        <v>5.7832568807339451</v>
      </c>
    </row>
    <row r="166" spans="1:30" x14ac:dyDescent="0.3">
      <c r="A166" s="55"/>
      <c r="B166" s="30" t="s">
        <v>168</v>
      </c>
      <c r="C166" s="9">
        <v>161</v>
      </c>
      <c r="D166" s="9">
        <v>138</v>
      </c>
      <c r="E166" s="9">
        <v>206</v>
      </c>
      <c r="F166" s="9">
        <v>257</v>
      </c>
      <c r="G166" s="9">
        <v>354</v>
      </c>
      <c r="H166" s="9">
        <v>465</v>
      </c>
      <c r="I166" s="9">
        <v>182</v>
      </c>
      <c r="J166" s="9">
        <v>123</v>
      </c>
      <c r="K166" s="9">
        <v>149</v>
      </c>
      <c r="L166" s="9">
        <v>65</v>
      </c>
      <c r="M166" s="9">
        <v>80</v>
      </c>
      <c r="N166" s="9">
        <v>70</v>
      </c>
      <c r="O166" s="9">
        <v>242</v>
      </c>
      <c r="P166" s="9">
        <v>12</v>
      </c>
      <c r="Q166" s="9">
        <v>9</v>
      </c>
      <c r="R166" s="9">
        <v>33</v>
      </c>
      <c r="S166" s="9">
        <v>63</v>
      </c>
      <c r="T166" s="9">
        <v>39</v>
      </c>
      <c r="U166" s="9">
        <v>2</v>
      </c>
      <c r="V166" s="9">
        <v>1</v>
      </c>
      <c r="W166" s="9">
        <v>6</v>
      </c>
      <c r="X166" s="9">
        <v>2</v>
      </c>
      <c r="Y166" s="9">
        <v>0</v>
      </c>
      <c r="Z166" s="9">
        <v>0</v>
      </c>
      <c r="AB166" s="9">
        <f t="shared" si="7"/>
        <v>2659</v>
      </c>
      <c r="AC166" s="9">
        <f t="shared" si="8"/>
        <v>15931</v>
      </c>
      <c r="AD166" s="10">
        <f t="shared" si="9"/>
        <v>5.9913501316284314</v>
      </c>
    </row>
    <row r="167" spans="1:30" x14ac:dyDescent="0.3">
      <c r="A167" s="55"/>
      <c r="B167" s="30" t="s">
        <v>169</v>
      </c>
      <c r="C167" s="9">
        <v>191</v>
      </c>
      <c r="D167" s="9">
        <v>140</v>
      </c>
      <c r="E167" s="9">
        <v>235</v>
      </c>
      <c r="F167" s="9">
        <v>318</v>
      </c>
      <c r="G167" s="9">
        <v>335</v>
      </c>
      <c r="H167" s="9">
        <v>413</v>
      </c>
      <c r="I167" s="9">
        <v>205</v>
      </c>
      <c r="J167" s="9">
        <v>171</v>
      </c>
      <c r="K167" s="9">
        <v>233</v>
      </c>
      <c r="L167" s="9">
        <v>140</v>
      </c>
      <c r="M167" s="9">
        <v>172</v>
      </c>
      <c r="N167" s="9">
        <v>108</v>
      </c>
      <c r="O167" s="9">
        <v>488</v>
      </c>
      <c r="P167" s="9">
        <v>26</v>
      </c>
      <c r="Q167" s="9">
        <v>41</v>
      </c>
      <c r="R167" s="9">
        <v>117</v>
      </c>
      <c r="S167" s="9">
        <v>132</v>
      </c>
      <c r="T167" s="9">
        <v>111</v>
      </c>
      <c r="U167" s="9">
        <v>3</v>
      </c>
      <c r="V167" s="9">
        <v>2</v>
      </c>
      <c r="W167" s="9">
        <v>6</v>
      </c>
      <c r="X167" s="9">
        <v>2</v>
      </c>
      <c r="Y167" s="9">
        <v>0</v>
      </c>
      <c r="Z167" s="9">
        <v>0</v>
      </c>
      <c r="AB167" s="9">
        <f t="shared" si="7"/>
        <v>3589</v>
      </c>
      <c r="AC167" s="9">
        <f t="shared" si="8"/>
        <v>26204</v>
      </c>
      <c r="AD167" s="10">
        <f t="shared" si="9"/>
        <v>7.3011981053218165</v>
      </c>
    </row>
    <row r="168" spans="1:30" x14ac:dyDescent="0.3">
      <c r="A168" s="55"/>
      <c r="B168" s="30" t="s">
        <v>170</v>
      </c>
      <c r="C168" s="9">
        <v>731</v>
      </c>
      <c r="D168" s="9">
        <v>488</v>
      </c>
      <c r="E168" s="9">
        <v>654</v>
      </c>
      <c r="F168" s="9">
        <v>872</v>
      </c>
      <c r="G168" s="9">
        <v>775</v>
      </c>
      <c r="H168" s="9">
        <v>1407</v>
      </c>
      <c r="I168" s="9">
        <v>1087</v>
      </c>
      <c r="J168" s="9">
        <v>856</v>
      </c>
      <c r="K168" s="9">
        <v>1307</v>
      </c>
      <c r="L168" s="9">
        <v>2003</v>
      </c>
      <c r="M168" s="9">
        <v>2391</v>
      </c>
      <c r="N168" s="9">
        <v>2179</v>
      </c>
      <c r="O168" s="9">
        <v>10264</v>
      </c>
      <c r="P168" s="9">
        <v>1133</v>
      </c>
      <c r="Q168" s="9">
        <v>1820</v>
      </c>
      <c r="R168" s="9">
        <v>5153</v>
      </c>
      <c r="S168" s="9">
        <v>6836</v>
      </c>
      <c r="T168" s="9">
        <v>8006</v>
      </c>
      <c r="U168" s="9">
        <v>285</v>
      </c>
      <c r="V168" s="9">
        <v>347</v>
      </c>
      <c r="W168" s="9">
        <v>86</v>
      </c>
      <c r="X168" s="9">
        <v>54</v>
      </c>
      <c r="Y168" s="9">
        <v>29</v>
      </c>
      <c r="Z168" s="9">
        <v>32</v>
      </c>
      <c r="AB168" s="9">
        <f t="shared" si="7"/>
        <v>48795</v>
      </c>
      <c r="AC168" s="9">
        <f t="shared" si="8"/>
        <v>605524</v>
      </c>
      <c r="AD168" s="10">
        <f t="shared" si="9"/>
        <v>12.409550158827749</v>
      </c>
    </row>
    <row r="169" spans="1:30" x14ac:dyDescent="0.3">
      <c r="A169" s="55"/>
      <c r="B169" s="30" t="s">
        <v>171</v>
      </c>
      <c r="C169" s="9">
        <v>70</v>
      </c>
      <c r="D169" s="9">
        <v>51</v>
      </c>
      <c r="E169" s="9">
        <v>77</v>
      </c>
      <c r="F169" s="9">
        <v>119</v>
      </c>
      <c r="G169" s="9">
        <v>134</v>
      </c>
      <c r="H169" s="9">
        <v>251</v>
      </c>
      <c r="I169" s="9">
        <v>141</v>
      </c>
      <c r="J169" s="9">
        <v>114</v>
      </c>
      <c r="K169" s="9">
        <v>182</v>
      </c>
      <c r="L169" s="9">
        <v>178</v>
      </c>
      <c r="M169" s="9">
        <v>213</v>
      </c>
      <c r="N169" s="9">
        <v>177</v>
      </c>
      <c r="O169" s="9">
        <v>802</v>
      </c>
      <c r="P169" s="9">
        <v>46</v>
      </c>
      <c r="Q169" s="9">
        <v>60</v>
      </c>
      <c r="R169" s="9">
        <v>295</v>
      </c>
      <c r="S169" s="9">
        <v>285</v>
      </c>
      <c r="T169" s="9">
        <v>136</v>
      </c>
      <c r="U169" s="9">
        <v>3</v>
      </c>
      <c r="V169" s="9">
        <v>4</v>
      </c>
      <c r="W169" s="9">
        <v>2</v>
      </c>
      <c r="X169" s="9">
        <v>2</v>
      </c>
      <c r="Y169" s="9">
        <v>0</v>
      </c>
      <c r="Z169" s="9">
        <v>0</v>
      </c>
      <c r="AB169" s="9">
        <f t="shared" si="7"/>
        <v>3342</v>
      </c>
      <c r="AC169" s="9">
        <f t="shared" si="8"/>
        <v>33703</v>
      </c>
      <c r="AD169" s="10">
        <f t="shared" si="9"/>
        <v>10.084679832435667</v>
      </c>
    </row>
    <row r="170" spans="1:30" x14ac:dyDescent="0.3">
      <c r="A170" s="55"/>
      <c r="B170" s="30" t="s">
        <v>172</v>
      </c>
      <c r="C170" s="9">
        <v>28</v>
      </c>
      <c r="D170" s="9">
        <v>46</v>
      </c>
      <c r="E170" s="9">
        <v>54</v>
      </c>
      <c r="F170" s="9">
        <v>44</v>
      </c>
      <c r="G170" s="9">
        <v>73</v>
      </c>
      <c r="H170" s="9">
        <v>128</v>
      </c>
      <c r="I170" s="9">
        <v>100</v>
      </c>
      <c r="J170" s="9">
        <v>92</v>
      </c>
      <c r="K170" s="9">
        <v>122</v>
      </c>
      <c r="L170" s="9">
        <v>84</v>
      </c>
      <c r="M170" s="9">
        <v>91</v>
      </c>
      <c r="N170" s="9">
        <v>94</v>
      </c>
      <c r="O170" s="9">
        <v>328</v>
      </c>
      <c r="P170" s="9">
        <v>5</v>
      </c>
      <c r="Q170" s="9">
        <v>11</v>
      </c>
      <c r="R170" s="9">
        <v>54</v>
      </c>
      <c r="S170" s="9">
        <v>67</v>
      </c>
      <c r="T170" s="9">
        <v>41</v>
      </c>
      <c r="U170" s="9">
        <v>1</v>
      </c>
      <c r="V170" s="9">
        <v>0</v>
      </c>
      <c r="W170" s="9">
        <v>2</v>
      </c>
      <c r="X170" s="9">
        <v>2</v>
      </c>
      <c r="Y170" s="9">
        <v>0</v>
      </c>
      <c r="Z170" s="9">
        <v>0</v>
      </c>
      <c r="AB170" s="9">
        <f t="shared" si="7"/>
        <v>1467</v>
      </c>
      <c r="AC170" s="9">
        <f t="shared" si="8"/>
        <v>12972</v>
      </c>
      <c r="AD170" s="10">
        <f t="shared" si="9"/>
        <v>8.8425357873210633</v>
      </c>
    </row>
    <row r="171" spans="1:30" x14ac:dyDescent="0.3">
      <c r="A171" s="55"/>
      <c r="B171" s="30" t="s">
        <v>173</v>
      </c>
      <c r="C171" s="9">
        <v>63</v>
      </c>
      <c r="D171" s="9">
        <v>71</v>
      </c>
      <c r="E171" s="9">
        <v>70</v>
      </c>
      <c r="F171" s="9">
        <v>124</v>
      </c>
      <c r="G171" s="9">
        <v>153</v>
      </c>
      <c r="H171" s="9">
        <v>272</v>
      </c>
      <c r="I171" s="9">
        <v>117</v>
      </c>
      <c r="J171" s="9">
        <v>86</v>
      </c>
      <c r="K171" s="9">
        <v>112</v>
      </c>
      <c r="L171" s="9">
        <v>110</v>
      </c>
      <c r="M171" s="9">
        <v>88</v>
      </c>
      <c r="N171" s="9">
        <v>95</v>
      </c>
      <c r="O171" s="9">
        <v>332</v>
      </c>
      <c r="P171" s="9">
        <v>12</v>
      </c>
      <c r="Q171" s="9">
        <v>19</v>
      </c>
      <c r="R171" s="9">
        <v>45</v>
      </c>
      <c r="S171" s="9">
        <v>59</v>
      </c>
      <c r="T171" s="9">
        <v>36</v>
      </c>
      <c r="U171" s="9">
        <v>1</v>
      </c>
      <c r="V171" s="9">
        <v>4</v>
      </c>
      <c r="W171" s="9">
        <v>2</v>
      </c>
      <c r="X171" s="9">
        <v>1</v>
      </c>
      <c r="Y171" s="9">
        <v>0</v>
      </c>
      <c r="Z171" s="9">
        <v>0</v>
      </c>
      <c r="AB171" s="9">
        <f t="shared" si="7"/>
        <v>1872</v>
      </c>
      <c r="AC171" s="9">
        <f t="shared" si="8"/>
        <v>14462</v>
      </c>
      <c r="AD171" s="10">
        <f t="shared" si="9"/>
        <v>7.7254273504273501</v>
      </c>
    </row>
    <row r="172" spans="1:30" x14ac:dyDescent="0.3">
      <c r="A172" s="55"/>
      <c r="B172" s="30" t="s">
        <v>174</v>
      </c>
      <c r="C172" s="9">
        <v>255</v>
      </c>
      <c r="D172" s="9">
        <v>159</v>
      </c>
      <c r="E172" s="9">
        <v>204</v>
      </c>
      <c r="F172" s="9">
        <v>270</v>
      </c>
      <c r="G172" s="9">
        <v>289</v>
      </c>
      <c r="H172" s="9">
        <v>465</v>
      </c>
      <c r="I172" s="9">
        <v>240</v>
      </c>
      <c r="J172" s="9">
        <v>165</v>
      </c>
      <c r="K172" s="9">
        <v>191</v>
      </c>
      <c r="L172" s="9">
        <v>149</v>
      </c>
      <c r="M172" s="9">
        <v>191</v>
      </c>
      <c r="N172" s="9">
        <v>172</v>
      </c>
      <c r="O172" s="9">
        <v>742</v>
      </c>
      <c r="P172" s="9">
        <v>29</v>
      </c>
      <c r="Q172" s="9">
        <v>53</v>
      </c>
      <c r="R172" s="9">
        <v>188</v>
      </c>
      <c r="S172" s="9">
        <v>231</v>
      </c>
      <c r="T172" s="9">
        <v>194</v>
      </c>
      <c r="U172" s="9">
        <v>13</v>
      </c>
      <c r="V172" s="9">
        <v>14</v>
      </c>
      <c r="W172" s="9">
        <v>4</v>
      </c>
      <c r="X172" s="9">
        <v>2</v>
      </c>
      <c r="Y172" s="9">
        <v>1</v>
      </c>
      <c r="Z172" s="9">
        <v>1</v>
      </c>
      <c r="AB172" s="9">
        <f t="shared" si="7"/>
        <v>4222</v>
      </c>
      <c r="AC172" s="9">
        <f t="shared" si="8"/>
        <v>34628</v>
      </c>
      <c r="AD172" s="10">
        <f t="shared" si="9"/>
        <v>8.201800094741829</v>
      </c>
    </row>
    <row r="173" spans="1:30" x14ac:dyDescent="0.3">
      <c r="A173" s="55"/>
      <c r="B173" s="30" t="s">
        <v>175</v>
      </c>
      <c r="C173" s="9">
        <v>14</v>
      </c>
      <c r="D173" s="9">
        <v>9</v>
      </c>
      <c r="E173" s="9">
        <v>13</v>
      </c>
      <c r="F173" s="9">
        <v>14</v>
      </c>
      <c r="G173" s="9">
        <v>18</v>
      </c>
      <c r="H173" s="9">
        <v>41</v>
      </c>
      <c r="I173" s="9">
        <v>24</v>
      </c>
      <c r="J173" s="9">
        <v>19</v>
      </c>
      <c r="K173" s="9">
        <v>34</v>
      </c>
      <c r="L173" s="9">
        <v>38</v>
      </c>
      <c r="M173" s="9">
        <v>43</v>
      </c>
      <c r="N173" s="9">
        <v>29</v>
      </c>
      <c r="O173" s="9">
        <v>160</v>
      </c>
      <c r="P173" s="9">
        <v>4</v>
      </c>
      <c r="Q173" s="9">
        <v>13</v>
      </c>
      <c r="R173" s="9">
        <v>32</v>
      </c>
      <c r="S173" s="9">
        <v>46</v>
      </c>
      <c r="T173" s="9">
        <v>34</v>
      </c>
      <c r="U173" s="9">
        <v>2</v>
      </c>
      <c r="V173" s="9">
        <v>3</v>
      </c>
      <c r="W173" s="9">
        <v>1</v>
      </c>
      <c r="X173" s="9">
        <v>1</v>
      </c>
      <c r="Y173" s="9">
        <v>0</v>
      </c>
      <c r="Z173" s="9">
        <v>0</v>
      </c>
      <c r="AB173" s="9">
        <f t="shared" si="7"/>
        <v>592</v>
      </c>
      <c r="AC173" s="9">
        <f t="shared" si="8"/>
        <v>6076</v>
      </c>
      <c r="AD173" s="10">
        <f t="shared" si="9"/>
        <v>10.263513513513514</v>
      </c>
    </row>
    <row r="174" spans="1:30" x14ac:dyDescent="0.3">
      <c r="A174" s="55"/>
      <c r="B174" s="30" t="s">
        <v>176</v>
      </c>
      <c r="C174" s="9">
        <v>20</v>
      </c>
      <c r="D174" s="9">
        <v>19</v>
      </c>
      <c r="E174" s="9">
        <v>16</v>
      </c>
      <c r="F174" s="9">
        <v>22</v>
      </c>
      <c r="G174" s="9">
        <v>35</v>
      </c>
      <c r="H174" s="9">
        <v>57</v>
      </c>
      <c r="I174" s="9">
        <v>49</v>
      </c>
      <c r="J174" s="9">
        <v>37</v>
      </c>
      <c r="K174" s="9">
        <v>114</v>
      </c>
      <c r="L174" s="9">
        <v>68</v>
      </c>
      <c r="M174" s="9">
        <v>77</v>
      </c>
      <c r="N174" s="9">
        <v>46</v>
      </c>
      <c r="O174" s="9">
        <v>404</v>
      </c>
      <c r="P174" s="9">
        <v>22</v>
      </c>
      <c r="Q174" s="9">
        <v>28</v>
      </c>
      <c r="R174" s="9">
        <v>79</v>
      </c>
      <c r="S174" s="9">
        <v>78</v>
      </c>
      <c r="T174" s="9">
        <v>49</v>
      </c>
      <c r="U174" s="9">
        <v>0</v>
      </c>
      <c r="V174" s="9">
        <v>2</v>
      </c>
      <c r="W174" s="9">
        <v>2</v>
      </c>
      <c r="X174" s="9">
        <v>0</v>
      </c>
      <c r="Y174" s="9">
        <v>0</v>
      </c>
      <c r="Z174" s="9">
        <v>0</v>
      </c>
      <c r="AB174" s="9">
        <f t="shared" si="7"/>
        <v>1224</v>
      </c>
      <c r="AC174" s="9">
        <f t="shared" si="8"/>
        <v>12765</v>
      </c>
      <c r="AD174" s="10">
        <f t="shared" si="9"/>
        <v>10.428921568627452</v>
      </c>
    </row>
    <row r="175" spans="1:30" x14ac:dyDescent="0.3">
      <c r="A175" s="55"/>
      <c r="B175" s="30" t="s">
        <v>177</v>
      </c>
      <c r="C175" s="9">
        <v>3</v>
      </c>
      <c r="D175" s="9">
        <v>2</v>
      </c>
      <c r="E175" s="9">
        <v>3</v>
      </c>
      <c r="F175" s="9">
        <v>4</v>
      </c>
      <c r="G175" s="9">
        <v>4</v>
      </c>
      <c r="H175" s="9">
        <v>14</v>
      </c>
      <c r="I175" s="9">
        <v>11</v>
      </c>
      <c r="J175" s="9">
        <v>7</v>
      </c>
      <c r="K175" s="9">
        <v>13</v>
      </c>
      <c r="L175" s="9">
        <v>11</v>
      </c>
      <c r="M175" s="9">
        <v>16</v>
      </c>
      <c r="N175" s="9">
        <v>10</v>
      </c>
      <c r="O175" s="9">
        <v>100</v>
      </c>
      <c r="P175" s="9">
        <v>1</v>
      </c>
      <c r="Q175" s="9">
        <v>2</v>
      </c>
      <c r="R175" s="9">
        <v>28</v>
      </c>
      <c r="S175" s="9">
        <v>23</v>
      </c>
      <c r="T175" s="9">
        <v>20</v>
      </c>
      <c r="U175" s="9">
        <v>4</v>
      </c>
      <c r="V175" s="9">
        <v>2</v>
      </c>
      <c r="W175" s="9">
        <v>1</v>
      </c>
      <c r="X175" s="9">
        <v>0</v>
      </c>
      <c r="Y175" s="9">
        <v>0</v>
      </c>
      <c r="Z175" s="9">
        <v>0</v>
      </c>
      <c r="AB175" s="9">
        <f t="shared" si="7"/>
        <v>279</v>
      </c>
      <c r="AC175" s="9">
        <f t="shared" si="8"/>
        <v>3193</v>
      </c>
      <c r="AD175" s="10">
        <f t="shared" si="9"/>
        <v>11.444444444444445</v>
      </c>
    </row>
    <row r="176" spans="1:30" x14ac:dyDescent="0.3">
      <c r="A176" s="55"/>
      <c r="B176" s="30" t="s">
        <v>178</v>
      </c>
      <c r="C176" s="9">
        <v>29</v>
      </c>
      <c r="D176" s="9">
        <v>11</v>
      </c>
      <c r="E176" s="9">
        <v>9</v>
      </c>
      <c r="F176" s="9">
        <v>24</v>
      </c>
      <c r="G176" s="9">
        <v>23</v>
      </c>
      <c r="H176" s="9">
        <v>42</v>
      </c>
      <c r="I176" s="9">
        <v>22</v>
      </c>
      <c r="J176" s="9">
        <v>18</v>
      </c>
      <c r="K176" s="9">
        <v>25</v>
      </c>
      <c r="L176" s="9">
        <v>35</v>
      </c>
      <c r="M176" s="9">
        <v>35</v>
      </c>
      <c r="N176" s="9">
        <v>33</v>
      </c>
      <c r="O176" s="9">
        <v>145</v>
      </c>
      <c r="P176" s="9">
        <v>8</v>
      </c>
      <c r="Q176" s="9">
        <v>6</v>
      </c>
      <c r="R176" s="9">
        <v>26</v>
      </c>
      <c r="S176" s="9">
        <v>37</v>
      </c>
      <c r="T176" s="9">
        <v>35</v>
      </c>
      <c r="U176" s="9">
        <v>0</v>
      </c>
      <c r="V176" s="9">
        <v>1</v>
      </c>
      <c r="W176" s="9">
        <v>2</v>
      </c>
      <c r="X176" s="9">
        <v>0</v>
      </c>
      <c r="Y176" s="9">
        <v>0</v>
      </c>
      <c r="Z176" s="9">
        <v>0</v>
      </c>
      <c r="AB176" s="9">
        <f t="shared" si="7"/>
        <v>566</v>
      </c>
      <c r="AC176" s="9">
        <f t="shared" si="8"/>
        <v>5453</v>
      </c>
      <c r="AD176" s="10">
        <f t="shared" si="9"/>
        <v>9.6342756183745575</v>
      </c>
    </row>
    <row r="177" spans="1:30" x14ac:dyDescent="0.3">
      <c r="A177" s="55"/>
      <c r="B177" s="30" t="s">
        <v>179</v>
      </c>
      <c r="C177" s="9">
        <v>12</v>
      </c>
      <c r="D177" s="9">
        <v>8</v>
      </c>
      <c r="E177" s="9">
        <v>8</v>
      </c>
      <c r="F177" s="9">
        <v>15</v>
      </c>
      <c r="G177" s="9">
        <v>28</v>
      </c>
      <c r="H177" s="9">
        <v>41</v>
      </c>
      <c r="I177" s="9">
        <v>38</v>
      </c>
      <c r="J177" s="9">
        <v>38</v>
      </c>
      <c r="K177" s="9">
        <v>50</v>
      </c>
      <c r="L177" s="9">
        <v>48</v>
      </c>
      <c r="M177" s="9">
        <v>54</v>
      </c>
      <c r="N177" s="9">
        <v>47</v>
      </c>
      <c r="O177" s="9">
        <v>234</v>
      </c>
      <c r="P177" s="9">
        <v>7</v>
      </c>
      <c r="Q177" s="9">
        <v>12</v>
      </c>
      <c r="R177" s="9">
        <v>44</v>
      </c>
      <c r="S177" s="9">
        <v>63</v>
      </c>
      <c r="T177" s="9">
        <v>34</v>
      </c>
      <c r="U177" s="9">
        <v>0</v>
      </c>
      <c r="V177" s="9">
        <v>6</v>
      </c>
      <c r="W177" s="9">
        <v>0</v>
      </c>
      <c r="X177" s="9">
        <v>2</v>
      </c>
      <c r="Y177" s="9">
        <v>0</v>
      </c>
      <c r="Z177" s="9">
        <v>0</v>
      </c>
      <c r="AB177" s="9">
        <f t="shared" si="7"/>
        <v>789</v>
      </c>
      <c r="AC177" s="9">
        <f t="shared" si="8"/>
        <v>8238</v>
      </c>
      <c r="AD177" s="10">
        <f t="shared" si="9"/>
        <v>10.441064638783271</v>
      </c>
    </row>
    <row r="178" spans="1:30" x14ac:dyDescent="0.3">
      <c r="A178" s="55"/>
      <c r="B178" s="30" t="s">
        <v>180</v>
      </c>
      <c r="C178" s="9">
        <v>1</v>
      </c>
      <c r="D178" s="9">
        <v>0</v>
      </c>
      <c r="E178" s="9">
        <v>1</v>
      </c>
      <c r="F178" s="9">
        <v>2</v>
      </c>
      <c r="G178" s="9">
        <v>1</v>
      </c>
      <c r="H178" s="9">
        <v>1</v>
      </c>
      <c r="I178" s="9">
        <v>4</v>
      </c>
      <c r="J178" s="9">
        <v>2</v>
      </c>
      <c r="K178" s="9">
        <v>6</v>
      </c>
      <c r="L178" s="9">
        <v>8</v>
      </c>
      <c r="M178" s="9">
        <v>8</v>
      </c>
      <c r="N178" s="9">
        <v>12</v>
      </c>
      <c r="O178" s="9">
        <v>39</v>
      </c>
      <c r="P178" s="9">
        <v>4</v>
      </c>
      <c r="Q178" s="9">
        <v>7</v>
      </c>
      <c r="R178" s="9">
        <v>29</v>
      </c>
      <c r="S178" s="9">
        <v>26</v>
      </c>
      <c r="T178" s="9">
        <v>16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1</v>
      </c>
      <c r="AB178" s="9">
        <f t="shared" si="7"/>
        <v>168</v>
      </c>
      <c r="AC178" s="9">
        <f t="shared" si="8"/>
        <v>2151</v>
      </c>
      <c r="AD178" s="10">
        <f t="shared" si="9"/>
        <v>12.803571428571429</v>
      </c>
    </row>
    <row r="179" spans="1:30" x14ac:dyDescent="0.3">
      <c r="A179" s="55"/>
      <c r="B179" s="30" t="s">
        <v>181</v>
      </c>
      <c r="C179" s="9">
        <v>6</v>
      </c>
      <c r="D179" s="9">
        <v>4</v>
      </c>
      <c r="E179" s="9">
        <v>10</v>
      </c>
      <c r="F179" s="9">
        <v>11</v>
      </c>
      <c r="G179" s="9">
        <v>7</v>
      </c>
      <c r="H179" s="9">
        <v>22</v>
      </c>
      <c r="I179" s="9">
        <v>18</v>
      </c>
      <c r="J179" s="9">
        <v>24</v>
      </c>
      <c r="K179" s="9">
        <v>28</v>
      </c>
      <c r="L179" s="9">
        <v>58</v>
      </c>
      <c r="M179" s="9">
        <v>62</v>
      </c>
      <c r="N179" s="9">
        <v>56</v>
      </c>
      <c r="O179" s="9">
        <v>357</v>
      </c>
      <c r="P179" s="9">
        <v>2</v>
      </c>
      <c r="Q179" s="9">
        <v>5</v>
      </c>
      <c r="R179" s="9">
        <v>43</v>
      </c>
      <c r="S179" s="9">
        <v>55</v>
      </c>
      <c r="T179" s="9">
        <v>66</v>
      </c>
      <c r="U179" s="9">
        <v>1</v>
      </c>
      <c r="V179" s="9">
        <v>2</v>
      </c>
      <c r="W179" s="9">
        <v>1</v>
      </c>
      <c r="X179" s="9">
        <v>1</v>
      </c>
      <c r="Y179" s="9">
        <v>0</v>
      </c>
      <c r="Z179" s="9">
        <v>0</v>
      </c>
      <c r="AB179" s="9">
        <f t="shared" si="7"/>
        <v>839</v>
      </c>
      <c r="AC179" s="9">
        <f t="shared" si="8"/>
        <v>9577</v>
      </c>
      <c r="AD179" s="10">
        <f t="shared" si="9"/>
        <v>11.414779499404052</v>
      </c>
    </row>
    <row r="180" spans="1:30" x14ac:dyDescent="0.3">
      <c r="A180" s="55"/>
      <c r="B180" s="30" t="s">
        <v>182</v>
      </c>
      <c r="C180" s="9">
        <v>4</v>
      </c>
      <c r="D180" s="9">
        <v>1</v>
      </c>
      <c r="E180" s="9">
        <v>2</v>
      </c>
      <c r="F180" s="9">
        <v>5</v>
      </c>
      <c r="G180" s="9">
        <v>2</v>
      </c>
      <c r="H180" s="9">
        <v>20</v>
      </c>
      <c r="I180" s="9">
        <v>13</v>
      </c>
      <c r="J180" s="9">
        <v>17</v>
      </c>
      <c r="K180" s="9">
        <v>16</v>
      </c>
      <c r="L180" s="9">
        <v>31</v>
      </c>
      <c r="M180" s="9">
        <v>33</v>
      </c>
      <c r="N180" s="9">
        <v>28</v>
      </c>
      <c r="O180" s="9">
        <v>141</v>
      </c>
      <c r="P180" s="9">
        <v>5</v>
      </c>
      <c r="Q180" s="9">
        <v>2</v>
      </c>
      <c r="R180" s="9">
        <v>8</v>
      </c>
      <c r="S180" s="9">
        <v>18</v>
      </c>
      <c r="T180" s="9">
        <v>32</v>
      </c>
      <c r="U180" s="9">
        <v>1</v>
      </c>
      <c r="V180" s="9">
        <v>0</v>
      </c>
      <c r="W180" s="9">
        <v>1</v>
      </c>
      <c r="X180" s="9">
        <v>0</v>
      </c>
      <c r="Y180" s="9">
        <v>0</v>
      </c>
      <c r="Z180" s="9">
        <v>1</v>
      </c>
      <c r="AB180" s="9">
        <f t="shared" si="7"/>
        <v>381</v>
      </c>
      <c r="AC180" s="9">
        <f t="shared" si="8"/>
        <v>4168</v>
      </c>
      <c r="AD180" s="10">
        <f t="shared" si="9"/>
        <v>10.939632545931758</v>
      </c>
    </row>
    <row r="181" spans="1:30" x14ac:dyDescent="0.3">
      <c r="A181" s="55"/>
      <c r="B181" s="30" t="s">
        <v>183</v>
      </c>
      <c r="C181" s="9">
        <v>1</v>
      </c>
      <c r="D181" s="9">
        <v>0</v>
      </c>
      <c r="E181" s="9">
        <v>2</v>
      </c>
      <c r="F181" s="9">
        <v>4</v>
      </c>
      <c r="G181" s="9">
        <v>6</v>
      </c>
      <c r="H181" s="9">
        <v>11</v>
      </c>
      <c r="I181" s="9">
        <v>4</v>
      </c>
      <c r="J181" s="9">
        <v>2</v>
      </c>
      <c r="K181" s="9">
        <v>10</v>
      </c>
      <c r="L181" s="9">
        <v>9</v>
      </c>
      <c r="M181" s="9">
        <v>3</v>
      </c>
      <c r="N181" s="9">
        <v>10</v>
      </c>
      <c r="O181" s="9">
        <v>48</v>
      </c>
      <c r="P181" s="9">
        <v>0</v>
      </c>
      <c r="Q181" s="9">
        <v>0</v>
      </c>
      <c r="R181" s="9">
        <v>2</v>
      </c>
      <c r="S181" s="9">
        <v>2</v>
      </c>
      <c r="T181" s="9">
        <v>2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B181" s="9">
        <f t="shared" si="7"/>
        <v>116</v>
      </c>
      <c r="AC181" s="9">
        <f t="shared" si="8"/>
        <v>1106</v>
      </c>
      <c r="AD181" s="10">
        <f t="shared" si="9"/>
        <v>9.5344827586206904</v>
      </c>
    </row>
    <row r="182" spans="1:30" x14ac:dyDescent="0.3">
      <c r="A182" s="55"/>
      <c r="B182" s="30" t="s">
        <v>184</v>
      </c>
      <c r="C182" s="9">
        <v>4</v>
      </c>
      <c r="D182" s="9">
        <v>6</v>
      </c>
      <c r="E182" s="9">
        <v>8</v>
      </c>
      <c r="F182" s="9">
        <v>9</v>
      </c>
      <c r="G182" s="9">
        <v>9</v>
      </c>
      <c r="H182" s="9">
        <v>21</v>
      </c>
      <c r="I182" s="9">
        <v>15</v>
      </c>
      <c r="J182" s="9">
        <v>21</v>
      </c>
      <c r="K182" s="9">
        <v>24</v>
      </c>
      <c r="L182" s="9">
        <v>28</v>
      </c>
      <c r="M182" s="9">
        <v>43</v>
      </c>
      <c r="N182" s="9">
        <v>41</v>
      </c>
      <c r="O182" s="9">
        <v>175</v>
      </c>
      <c r="P182" s="9">
        <v>2</v>
      </c>
      <c r="Q182" s="9">
        <v>2</v>
      </c>
      <c r="R182" s="9">
        <v>14</v>
      </c>
      <c r="S182" s="9">
        <v>34</v>
      </c>
      <c r="T182" s="9">
        <v>29</v>
      </c>
      <c r="U182" s="9">
        <v>2</v>
      </c>
      <c r="V182" s="9">
        <v>3</v>
      </c>
      <c r="W182" s="9">
        <v>0</v>
      </c>
      <c r="X182" s="9">
        <v>1</v>
      </c>
      <c r="Y182" s="9">
        <v>1</v>
      </c>
      <c r="Z182" s="9">
        <v>1</v>
      </c>
      <c r="AB182" s="9">
        <f t="shared" si="7"/>
        <v>493</v>
      </c>
      <c r="AC182" s="9">
        <f t="shared" si="8"/>
        <v>5312</v>
      </c>
      <c r="AD182" s="10">
        <f t="shared" si="9"/>
        <v>10.774847870182557</v>
      </c>
    </row>
    <row r="183" spans="1:30" x14ac:dyDescent="0.3">
      <c r="A183" s="55"/>
      <c r="B183" s="30" t="s">
        <v>185</v>
      </c>
      <c r="C183" s="9">
        <v>52</v>
      </c>
      <c r="D183" s="9">
        <v>22</v>
      </c>
      <c r="E183" s="9">
        <v>20</v>
      </c>
      <c r="F183" s="9">
        <v>38</v>
      </c>
      <c r="G183" s="9">
        <v>30</v>
      </c>
      <c r="H183" s="9">
        <v>46</v>
      </c>
      <c r="I183" s="9">
        <v>44</v>
      </c>
      <c r="J183" s="9">
        <v>50</v>
      </c>
      <c r="K183" s="9">
        <v>43</v>
      </c>
      <c r="L183" s="9">
        <v>62</v>
      </c>
      <c r="M183" s="9">
        <v>76</v>
      </c>
      <c r="N183" s="9">
        <v>83</v>
      </c>
      <c r="O183" s="9">
        <v>342</v>
      </c>
      <c r="P183" s="9">
        <v>20</v>
      </c>
      <c r="Q183" s="9">
        <v>20</v>
      </c>
      <c r="R183" s="9">
        <v>68</v>
      </c>
      <c r="S183" s="9">
        <v>80</v>
      </c>
      <c r="T183" s="9">
        <v>68</v>
      </c>
      <c r="U183" s="9">
        <v>4</v>
      </c>
      <c r="V183" s="9">
        <v>4</v>
      </c>
      <c r="W183" s="9">
        <v>3</v>
      </c>
      <c r="X183" s="9">
        <v>2</v>
      </c>
      <c r="Y183" s="9">
        <v>2</v>
      </c>
      <c r="Z183" s="9">
        <v>2</v>
      </c>
      <c r="AB183" s="9">
        <f t="shared" si="7"/>
        <v>1181</v>
      </c>
      <c r="AC183" s="9">
        <f t="shared" si="8"/>
        <v>12155</v>
      </c>
      <c r="AD183" s="10">
        <f t="shared" si="9"/>
        <v>10.292125317527519</v>
      </c>
    </row>
    <row r="184" spans="1:30" x14ac:dyDescent="0.3">
      <c r="A184" s="55"/>
      <c r="B184" s="30" t="s">
        <v>186</v>
      </c>
      <c r="C184" s="9">
        <v>34</v>
      </c>
      <c r="D184" s="9">
        <v>15</v>
      </c>
      <c r="E184" s="9">
        <v>27</v>
      </c>
      <c r="F184" s="9">
        <v>22</v>
      </c>
      <c r="G184" s="9">
        <v>19</v>
      </c>
      <c r="H184" s="9">
        <v>34</v>
      </c>
      <c r="I184" s="9">
        <v>30</v>
      </c>
      <c r="J184" s="9">
        <v>27</v>
      </c>
      <c r="K184" s="9">
        <v>43</v>
      </c>
      <c r="L184" s="9">
        <v>51</v>
      </c>
      <c r="M184" s="9">
        <v>62</v>
      </c>
      <c r="N184" s="9">
        <v>63</v>
      </c>
      <c r="O184" s="9">
        <v>238</v>
      </c>
      <c r="P184" s="9">
        <v>10</v>
      </c>
      <c r="Q184" s="9">
        <v>21</v>
      </c>
      <c r="R184" s="9">
        <v>64</v>
      </c>
      <c r="S184" s="9">
        <v>81</v>
      </c>
      <c r="T184" s="9">
        <v>70</v>
      </c>
      <c r="U184" s="9">
        <v>0</v>
      </c>
      <c r="V184" s="9">
        <v>4</v>
      </c>
      <c r="W184" s="9">
        <v>1</v>
      </c>
      <c r="X184" s="9">
        <v>1</v>
      </c>
      <c r="Y184" s="9">
        <v>0</v>
      </c>
      <c r="Z184" s="9">
        <v>0</v>
      </c>
      <c r="AB184" s="9">
        <f t="shared" si="7"/>
        <v>917</v>
      </c>
      <c r="AC184" s="9">
        <f t="shared" si="8"/>
        <v>9709</v>
      </c>
      <c r="AD184" s="10">
        <f t="shared" si="9"/>
        <v>10.587786259541986</v>
      </c>
    </row>
    <row r="185" spans="1:30" x14ac:dyDescent="0.3">
      <c r="A185" s="55"/>
      <c r="B185" s="30" t="s">
        <v>187</v>
      </c>
      <c r="C185" s="9">
        <v>13</v>
      </c>
      <c r="D185" s="9">
        <v>9</v>
      </c>
      <c r="E185" s="9">
        <v>7</v>
      </c>
      <c r="F185" s="9">
        <v>20</v>
      </c>
      <c r="G185" s="9">
        <v>16</v>
      </c>
      <c r="H185" s="9">
        <v>29</v>
      </c>
      <c r="I185" s="9">
        <v>16</v>
      </c>
      <c r="J185" s="9">
        <v>9</v>
      </c>
      <c r="K185" s="9">
        <v>22</v>
      </c>
      <c r="L185" s="9">
        <v>32</v>
      </c>
      <c r="M185" s="9">
        <v>34</v>
      </c>
      <c r="N185" s="9">
        <v>33</v>
      </c>
      <c r="O185" s="9">
        <v>132</v>
      </c>
      <c r="P185" s="9">
        <v>6</v>
      </c>
      <c r="Q185" s="9">
        <v>20</v>
      </c>
      <c r="R185" s="9">
        <v>41</v>
      </c>
      <c r="S185" s="9">
        <v>49</v>
      </c>
      <c r="T185" s="9">
        <v>46</v>
      </c>
      <c r="U185" s="9">
        <v>0</v>
      </c>
      <c r="V185" s="9">
        <v>1</v>
      </c>
      <c r="W185" s="9">
        <v>0</v>
      </c>
      <c r="X185" s="9">
        <v>0</v>
      </c>
      <c r="Y185" s="9">
        <v>0</v>
      </c>
      <c r="Z185" s="9">
        <v>0</v>
      </c>
      <c r="AB185" s="9">
        <f t="shared" si="7"/>
        <v>535</v>
      </c>
      <c r="AC185" s="9">
        <f t="shared" si="8"/>
        <v>5760</v>
      </c>
      <c r="AD185" s="10">
        <f t="shared" si="9"/>
        <v>10.766355140186915</v>
      </c>
    </row>
    <row r="186" spans="1:30" x14ac:dyDescent="0.3">
      <c r="A186" s="55"/>
      <c r="B186" s="30" t="s">
        <v>188</v>
      </c>
      <c r="C186" s="9">
        <v>77</v>
      </c>
      <c r="D186" s="9">
        <v>81</v>
      </c>
      <c r="E186" s="9">
        <v>94</v>
      </c>
      <c r="F186" s="9">
        <v>146</v>
      </c>
      <c r="G186" s="9">
        <v>133</v>
      </c>
      <c r="H186" s="9">
        <v>200</v>
      </c>
      <c r="I186" s="9">
        <v>175</v>
      </c>
      <c r="J186" s="9">
        <v>135</v>
      </c>
      <c r="K186" s="9">
        <v>181</v>
      </c>
      <c r="L186" s="9">
        <v>272</v>
      </c>
      <c r="M186" s="9">
        <v>393</v>
      </c>
      <c r="N186" s="9">
        <v>340</v>
      </c>
      <c r="O186" s="9">
        <v>1137</v>
      </c>
      <c r="P186" s="9">
        <v>74</v>
      </c>
      <c r="Q186" s="9">
        <v>130</v>
      </c>
      <c r="R186" s="9">
        <v>281</v>
      </c>
      <c r="S186" s="9">
        <v>292</v>
      </c>
      <c r="T186" s="9">
        <v>273</v>
      </c>
      <c r="U186" s="9">
        <v>8</v>
      </c>
      <c r="V186" s="9">
        <v>14</v>
      </c>
      <c r="W186" s="9">
        <v>1</v>
      </c>
      <c r="X186" s="9">
        <v>2</v>
      </c>
      <c r="Y186" s="9">
        <v>0</v>
      </c>
      <c r="Z186" s="9">
        <v>1</v>
      </c>
      <c r="AB186" s="9">
        <f t="shared" si="7"/>
        <v>4440</v>
      </c>
      <c r="AC186" s="9">
        <f t="shared" si="8"/>
        <v>46249</v>
      </c>
      <c r="AD186" s="10">
        <f t="shared" si="9"/>
        <v>10.416441441441441</v>
      </c>
    </row>
    <row r="187" spans="1:30" x14ac:dyDescent="0.3">
      <c r="A187" s="55"/>
      <c r="B187" s="30" t="s">
        <v>189</v>
      </c>
      <c r="C187" s="9">
        <v>14</v>
      </c>
      <c r="D187" s="9">
        <v>11</v>
      </c>
      <c r="E187" s="9">
        <v>11</v>
      </c>
      <c r="F187" s="9">
        <v>15</v>
      </c>
      <c r="G187" s="9">
        <v>18</v>
      </c>
      <c r="H187" s="9">
        <v>36</v>
      </c>
      <c r="I187" s="9">
        <v>15</v>
      </c>
      <c r="J187" s="9">
        <v>17</v>
      </c>
      <c r="K187" s="9">
        <v>18</v>
      </c>
      <c r="L187" s="9">
        <v>36</v>
      </c>
      <c r="M187" s="9">
        <v>31</v>
      </c>
      <c r="N187" s="9">
        <v>38</v>
      </c>
      <c r="O187" s="9">
        <v>188</v>
      </c>
      <c r="P187" s="9">
        <v>15</v>
      </c>
      <c r="Q187" s="9">
        <v>16</v>
      </c>
      <c r="R187" s="9">
        <v>59</v>
      </c>
      <c r="S187" s="9">
        <v>85</v>
      </c>
      <c r="T187" s="9">
        <v>70</v>
      </c>
      <c r="U187" s="9">
        <v>0</v>
      </c>
      <c r="V187" s="9">
        <v>3</v>
      </c>
      <c r="W187" s="9">
        <v>3</v>
      </c>
      <c r="X187" s="9">
        <v>1</v>
      </c>
      <c r="Y187" s="9">
        <v>0</v>
      </c>
      <c r="Z187" s="9">
        <v>1</v>
      </c>
      <c r="AB187" s="9">
        <f t="shared" si="7"/>
        <v>701</v>
      </c>
      <c r="AC187" s="9">
        <f t="shared" si="8"/>
        <v>8006</v>
      </c>
      <c r="AD187" s="10">
        <f t="shared" si="9"/>
        <v>11.420827389443652</v>
      </c>
    </row>
    <row r="188" spans="1:30" x14ac:dyDescent="0.3">
      <c r="A188" s="55"/>
      <c r="B188" s="30" t="s">
        <v>190</v>
      </c>
      <c r="C188" s="9">
        <v>40</v>
      </c>
      <c r="D188" s="9">
        <v>31</v>
      </c>
      <c r="E188" s="9">
        <v>31</v>
      </c>
      <c r="F188" s="9">
        <v>51</v>
      </c>
      <c r="G188" s="9">
        <v>50</v>
      </c>
      <c r="H188" s="9">
        <v>99</v>
      </c>
      <c r="I188" s="9">
        <v>69</v>
      </c>
      <c r="J188" s="9">
        <v>65</v>
      </c>
      <c r="K188" s="9">
        <v>88</v>
      </c>
      <c r="L188" s="9">
        <v>120</v>
      </c>
      <c r="M188" s="9">
        <v>121</v>
      </c>
      <c r="N188" s="9">
        <v>103</v>
      </c>
      <c r="O188" s="9">
        <v>449</v>
      </c>
      <c r="P188" s="9">
        <v>12</v>
      </c>
      <c r="Q188" s="9">
        <v>39</v>
      </c>
      <c r="R188" s="9">
        <v>135</v>
      </c>
      <c r="S188" s="9">
        <v>154</v>
      </c>
      <c r="T188" s="9">
        <v>97</v>
      </c>
      <c r="U188" s="9">
        <v>3</v>
      </c>
      <c r="V188" s="9">
        <v>4</v>
      </c>
      <c r="W188" s="9">
        <v>1</v>
      </c>
      <c r="X188" s="9">
        <v>0</v>
      </c>
      <c r="Y188" s="9">
        <v>0</v>
      </c>
      <c r="Z188" s="9">
        <v>0</v>
      </c>
      <c r="AB188" s="9">
        <f t="shared" si="7"/>
        <v>1762</v>
      </c>
      <c r="AC188" s="9">
        <f t="shared" si="8"/>
        <v>18315</v>
      </c>
      <c r="AD188" s="10">
        <f t="shared" si="9"/>
        <v>10.394438138479002</v>
      </c>
    </row>
    <row r="189" spans="1:30" x14ac:dyDescent="0.3">
      <c r="A189" s="55"/>
      <c r="B189" s="30" t="s">
        <v>191</v>
      </c>
      <c r="C189" s="9">
        <v>18</v>
      </c>
      <c r="D189" s="9">
        <v>8</v>
      </c>
      <c r="E189" s="9">
        <v>10</v>
      </c>
      <c r="F189" s="9">
        <v>18</v>
      </c>
      <c r="G189" s="9">
        <v>26</v>
      </c>
      <c r="H189" s="9">
        <v>29</v>
      </c>
      <c r="I189" s="9">
        <v>24</v>
      </c>
      <c r="J189" s="9">
        <v>17</v>
      </c>
      <c r="K189" s="9">
        <v>22</v>
      </c>
      <c r="L189" s="9">
        <v>29</v>
      </c>
      <c r="M189" s="9">
        <v>21</v>
      </c>
      <c r="N189" s="9">
        <v>15</v>
      </c>
      <c r="O189" s="9">
        <v>96</v>
      </c>
      <c r="P189" s="9">
        <v>6</v>
      </c>
      <c r="Q189" s="9">
        <v>10</v>
      </c>
      <c r="R189" s="9">
        <v>26</v>
      </c>
      <c r="S189" s="9">
        <v>19</v>
      </c>
      <c r="T189" s="9">
        <v>17</v>
      </c>
      <c r="U189" s="9">
        <v>0</v>
      </c>
      <c r="V189" s="9">
        <v>1</v>
      </c>
      <c r="W189" s="9">
        <v>1</v>
      </c>
      <c r="X189" s="9">
        <v>0</v>
      </c>
      <c r="Y189" s="9">
        <v>0</v>
      </c>
      <c r="Z189" s="9">
        <v>0</v>
      </c>
      <c r="AB189" s="9">
        <f t="shared" si="7"/>
        <v>413</v>
      </c>
      <c r="AC189" s="9">
        <f t="shared" si="8"/>
        <v>3798</v>
      </c>
      <c r="AD189" s="10">
        <f t="shared" si="9"/>
        <v>9.1961259079903144</v>
      </c>
    </row>
    <row r="190" spans="1:30" x14ac:dyDescent="0.3">
      <c r="A190" s="55"/>
      <c r="B190" s="30" t="s">
        <v>192</v>
      </c>
      <c r="C190" s="9">
        <v>23</v>
      </c>
      <c r="D190" s="9">
        <v>17</v>
      </c>
      <c r="E190" s="9">
        <v>16</v>
      </c>
      <c r="F190" s="9">
        <v>27</v>
      </c>
      <c r="G190" s="9">
        <v>23</v>
      </c>
      <c r="H190" s="9">
        <v>54</v>
      </c>
      <c r="I190" s="9">
        <v>59</v>
      </c>
      <c r="J190" s="9">
        <v>53</v>
      </c>
      <c r="K190" s="9">
        <v>79</v>
      </c>
      <c r="L190" s="9">
        <v>94</v>
      </c>
      <c r="M190" s="9">
        <v>109</v>
      </c>
      <c r="N190" s="9">
        <v>109</v>
      </c>
      <c r="O190" s="9">
        <v>491</v>
      </c>
      <c r="P190" s="9">
        <v>13</v>
      </c>
      <c r="Q190" s="9">
        <v>15</v>
      </c>
      <c r="R190" s="9">
        <v>57</v>
      </c>
      <c r="S190" s="9">
        <v>103</v>
      </c>
      <c r="T190" s="9">
        <v>96</v>
      </c>
      <c r="U190" s="9">
        <v>3</v>
      </c>
      <c r="V190" s="9">
        <v>5</v>
      </c>
      <c r="W190" s="9">
        <v>4</v>
      </c>
      <c r="X190" s="9">
        <v>6</v>
      </c>
      <c r="Y190" s="9">
        <v>0</v>
      </c>
      <c r="Z190" s="9">
        <v>0</v>
      </c>
      <c r="AB190" s="9">
        <f t="shared" si="7"/>
        <v>1456</v>
      </c>
      <c r="AC190" s="9">
        <f t="shared" si="8"/>
        <v>15745</v>
      </c>
      <c r="AD190" s="10">
        <f t="shared" si="9"/>
        <v>10.813873626373626</v>
      </c>
    </row>
    <row r="191" spans="1:30" x14ac:dyDescent="0.3">
      <c r="A191" s="55"/>
      <c r="B191" s="30" t="s">
        <v>193</v>
      </c>
      <c r="C191" s="9">
        <v>0</v>
      </c>
      <c r="D191" s="9">
        <v>0</v>
      </c>
      <c r="E191" s="9">
        <v>0</v>
      </c>
      <c r="F191" s="9">
        <v>2</v>
      </c>
      <c r="G191" s="9">
        <v>1</v>
      </c>
      <c r="H191" s="9">
        <v>7</v>
      </c>
      <c r="I191" s="9">
        <v>6</v>
      </c>
      <c r="J191" s="9">
        <v>4</v>
      </c>
      <c r="K191" s="9">
        <v>12</v>
      </c>
      <c r="L191" s="9">
        <v>6</v>
      </c>
      <c r="M191" s="9">
        <v>6</v>
      </c>
      <c r="N191" s="9">
        <v>6</v>
      </c>
      <c r="O191" s="9">
        <v>50</v>
      </c>
      <c r="P191" s="9">
        <v>4</v>
      </c>
      <c r="Q191" s="9">
        <v>3</v>
      </c>
      <c r="R191" s="9">
        <v>11</v>
      </c>
      <c r="S191" s="9">
        <v>9</v>
      </c>
      <c r="T191" s="9">
        <v>8</v>
      </c>
      <c r="U191" s="9">
        <v>0</v>
      </c>
      <c r="V191" s="9">
        <v>0</v>
      </c>
      <c r="W191" s="9">
        <v>1</v>
      </c>
      <c r="X191" s="9">
        <v>0</v>
      </c>
      <c r="Y191" s="9">
        <v>0</v>
      </c>
      <c r="Z191" s="9">
        <v>0</v>
      </c>
      <c r="AB191" s="9">
        <f t="shared" si="7"/>
        <v>136</v>
      </c>
      <c r="AC191" s="9">
        <f t="shared" si="8"/>
        <v>1544</v>
      </c>
      <c r="AD191" s="10">
        <f t="shared" si="9"/>
        <v>11.352941176470589</v>
      </c>
    </row>
    <row r="192" spans="1:30" x14ac:dyDescent="0.3">
      <c r="A192" s="55"/>
      <c r="B192" s="30" t="s">
        <v>194</v>
      </c>
      <c r="C192" s="9">
        <v>8</v>
      </c>
      <c r="D192" s="9">
        <v>6</v>
      </c>
      <c r="E192" s="9">
        <v>13</v>
      </c>
      <c r="F192" s="9">
        <v>13</v>
      </c>
      <c r="G192" s="9">
        <v>10</v>
      </c>
      <c r="H192" s="9">
        <v>37</v>
      </c>
      <c r="I192" s="9">
        <v>12</v>
      </c>
      <c r="J192" s="9">
        <v>30</v>
      </c>
      <c r="K192" s="9">
        <v>39</v>
      </c>
      <c r="L192" s="9">
        <v>10</v>
      </c>
      <c r="M192" s="9">
        <v>27</v>
      </c>
      <c r="N192" s="9">
        <v>11</v>
      </c>
      <c r="O192" s="9">
        <v>53</v>
      </c>
      <c r="P192" s="9">
        <v>6</v>
      </c>
      <c r="Q192" s="9">
        <v>3</v>
      </c>
      <c r="R192" s="9">
        <v>11</v>
      </c>
      <c r="S192" s="9">
        <v>13</v>
      </c>
      <c r="T192" s="9">
        <v>4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B192" s="9">
        <f t="shared" si="7"/>
        <v>306</v>
      </c>
      <c r="AC192" s="9">
        <f t="shared" si="8"/>
        <v>2568</v>
      </c>
      <c r="AD192" s="10">
        <f t="shared" si="9"/>
        <v>8.3921568627450984</v>
      </c>
    </row>
    <row r="193" spans="1:30" x14ac:dyDescent="0.3">
      <c r="A193" s="55"/>
      <c r="B193" s="30" t="s">
        <v>195</v>
      </c>
      <c r="C193" s="9">
        <v>44</v>
      </c>
      <c r="D193" s="9">
        <v>26</v>
      </c>
      <c r="E193" s="9">
        <v>51</v>
      </c>
      <c r="F193" s="9">
        <v>54</v>
      </c>
      <c r="G193" s="9">
        <v>58</v>
      </c>
      <c r="H193" s="9">
        <v>103</v>
      </c>
      <c r="I193" s="9">
        <v>65</v>
      </c>
      <c r="J193" s="9">
        <v>71</v>
      </c>
      <c r="K193" s="9">
        <v>98</v>
      </c>
      <c r="L193" s="9">
        <v>77</v>
      </c>
      <c r="M193" s="9">
        <v>103</v>
      </c>
      <c r="N193" s="9">
        <v>95</v>
      </c>
      <c r="O193" s="9">
        <v>432</v>
      </c>
      <c r="P193" s="9">
        <v>19</v>
      </c>
      <c r="Q193" s="9">
        <v>22</v>
      </c>
      <c r="R193" s="9">
        <v>61</v>
      </c>
      <c r="S193" s="9">
        <v>111</v>
      </c>
      <c r="T193" s="9">
        <v>82</v>
      </c>
      <c r="U193" s="9">
        <v>5</v>
      </c>
      <c r="V193" s="9">
        <v>8</v>
      </c>
      <c r="W193" s="9">
        <v>2</v>
      </c>
      <c r="X193" s="9">
        <v>0</v>
      </c>
      <c r="Y193" s="9">
        <v>0</v>
      </c>
      <c r="Z193" s="9">
        <v>0</v>
      </c>
      <c r="AB193" s="9">
        <f t="shared" si="7"/>
        <v>1587</v>
      </c>
      <c r="AC193" s="9">
        <f t="shared" si="8"/>
        <v>15582</v>
      </c>
      <c r="AD193" s="10">
        <f t="shared" si="9"/>
        <v>9.8185255198487713</v>
      </c>
    </row>
    <row r="194" spans="1:30" x14ac:dyDescent="0.3">
      <c r="A194" s="55"/>
      <c r="B194" s="30" t="s">
        <v>196</v>
      </c>
      <c r="C194" s="9">
        <v>32</v>
      </c>
      <c r="D194" s="9">
        <v>14</v>
      </c>
      <c r="E194" s="9">
        <v>16</v>
      </c>
      <c r="F194" s="9">
        <v>25</v>
      </c>
      <c r="G194" s="9">
        <v>28</v>
      </c>
      <c r="H194" s="9">
        <v>39</v>
      </c>
      <c r="I194" s="9">
        <v>41</v>
      </c>
      <c r="J194" s="9">
        <v>28</v>
      </c>
      <c r="K194" s="9">
        <v>32</v>
      </c>
      <c r="L194" s="9">
        <v>59</v>
      </c>
      <c r="M194" s="9">
        <v>52</v>
      </c>
      <c r="N194" s="9">
        <v>45</v>
      </c>
      <c r="O194" s="9">
        <v>193</v>
      </c>
      <c r="P194" s="9">
        <v>13</v>
      </c>
      <c r="Q194" s="9">
        <v>13</v>
      </c>
      <c r="R194" s="9">
        <v>42</v>
      </c>
      <c r="S194" s="9">
        <v>54</v>
      </c>
      <c r="T194" s="9">
        <v>38</v>
      </c>
      <c r="U194" s="9">
        <v>1</v>
      </c>
      <c r="V194" s="9">
        <v>1</v>
      </c>
      <c r="W194" s="9">
        <v>1</v>
      </c>
      <c r="X194" s="9">
        <v>0</v>
      </c>
      <c r="Y194" s="9">
        <v>0</v>
      </c>
      <c r="Z194" s="9">
        <v>0</v>
      </c>
      <c r="AB194" s="9">
        <f t="shared" si="7"/>
        <v>767</v>
      </c>
      <c r="AC194" s="9">
        <f t="shared" si="8"/>
        <v>7536</v>
      </c>
      <c r="AD194" s="10">
        <f t="shared" si="9"/>
        <v>9.8252933507170788</v>
      </c>
    </row>
    <row r="195" spans="1:30" x14ac:dyDescent="0.3">
      <c r="A195" s="55"/>
      <c r="B195" s="30" t="s">
        <v>197</v>
      </c>
      <c r="C195" s="9">
        <v>18</v>
      </c>
      <c r="D195" s="9">
        <v>10</v>
      </c>
      <c r="E195" s="9">
        <v>12</v>
      </c>
      <c r="F195" s="9">
        <v>19</v>
      </c>
      <c r="G195" s="9">
        <v>22</v>
      </c>
      <c r="H195" s="9">
        <v>29</v>
      </c>
      <c r="I195" s="9">
        <v>29</v>
      </c>
      <c r="J195" s="9">
        <v>19</v>
      </c>
      <c r="K195" s="9">
        <v>28</v>
      </c>
      <c r="L195" s="9">
        <v>43</v>
      </c>
      <c r="M195" s="9">
        <v>39</v>
      </c>
      <c r="N195" s="9">
        <v>38</v>
      </c>
      <c r="O195" s="9">
        <v>228</v>
      </c>
      <c r="P195" s="9">
        <v>11</v>
      </c>
      <c r="Q195" s="9">
        <v>10</v>
      </c>
      <c r="R195" s="9">
        <v>57</v>
      </c>
      <c r="S195" s="9">
        <v>84</v>
      </c>
      <c r="T195" s="9">
        <v>49</v>
      </c>
      <c r="U195" s="9">
        <v>2</v>
      </c>
      <c r="V195" s="9">
        <v>3</v>
      </c>
      <c r="W195" s="9">
        <v>1</v>
      </c>
      <c r="X195" s="9">
        <v>1</v>
      </c>
      <c r="Y195" s="9">
        <v>0</v>
      </c>
      <c r="Z195" s="9">
        <v>0</v>
      </c>
      <c r="AB195" s="9">
        <f t="shared" si="7"/>
        <v>752</v>
      </c>
      <c r="AC195" s="9">
        <f t="shared" si="8"/>
        <v>8235</v>
      </c>
      <c r="AD195" s="10">
        <f t="shared" si="9"/>
        <v>10.950797872340425</v>
      </c>
    </row>
    <row r="196" spans="1:30" x14ac:dyDescent="0.3">
      <c r="A196" s="55"/>
      <c r="B196" s="30" t="s">
        <v>198</v>
      </c>
      <c r="C196" s="9">
        <v>8</v>
      </c>
      <c r="D196" s="9">
        <v>2</v>
      </c>
      <c r="E196" s="9">
        <v>1</v>
      </c>
      <c r="F196" s="9">
        <v>5</v>
      </c>
      <c r="G196" s="9">
        <v>4</v>
      </c>
      <c r="H196" s="9">
        <v>8</v>
      </c>
      <c r="I196" s="9">
        <v>6</v>
      </c>
      <c r="J196" s="9">
        <v>10</v>
      </c>
      <c r="K196" s="9">
        <v>19</v>
      </c>
      <c r="L196" s="9">
        <v>21</v>
      </c>
      <c r="M196" s="9">
        <v>15</v>
      </c>
      <c r="N196" s="9">
        <v>13</v>
      </c>
      <c r="O196" s="9">
        <v>78</v>
      </c>
      <c r="P196" s="9">
        <v>2</v>
      </c>
      <c r="Q196" s="9">
        <v>4</v>
      </c>
      <c r="R196" s="9">
        <v>18</v>
      </c>
      <c r="S196" s="9">
        <v>12</v>
      </c>
      <c r="T196" s="9">
        <v>15</v>
      </c>
      <c r="U196" s="9">
        <v>0</v>
      </c>
      <c r="V196" s="9">
        <v>5</v>
      </c>
      <c r="W196" s="9">
        <v>0</v>
      </c>
      <c r="X196" s="9">
        <v>0</v>
      </c>
      <c r="Y196" s="9">
        <v>0</v>
      </c>
      <c r="Z196" s="9">
        <v>0</v>
      </c>
      <c r="AB196" s="9">
        <f t="shared" ref="AB196:AB259" si="10">SUM(C196:Z196)</f>
        <v>246</v>
      </c>
      <c r="AC196" s="9">
        <f t="shared" ref="AC196:AC259" si="11">C$2*C196+D$2*D196+E$2*E196+F$2*F196+G$2*G196+H$2*H196+I$2*I196+J$2*J196+K$2*K196+L$2*L196+M$2*M196+N$2*N196+O$2*O196+P$2*P196+Q$2*Q196+R$2*R196+S$2*S196+T$2*T196+U$2*U196+V$2*V196+W$2*W196+X$2*X196+Y$2*Y196+Z$2*Z196</f>
        <v>2645</v>
      </c>
      <c r="AD196" s="10">
        <f t="shared" si="9"/>
        <v>10.752032520325203</v>
      </c>
    </row>
    <row r="197" spans="1:30" x14ac:dyDescent="0.3">
      <c r="A197" s="55"/>
      <c r="B197" s="30" t="s">
        <v>199</v>
      </c>
      <c r="C197" s="9">
        <v>16</v>
      </c>
      <c r="D197" s="9">
        <v>11</v>
      </c>
      <c r="E197" s="9">
        <v>17</v>
      </c>
      <c r="F197" s="9">
        <v>15</v>
      </c>
      <c r="G197" s="9">
        <v>16</v>
      </c>
      <c r="H197" s="9">
        <v>38</v>
      </c>
      <c r="I197" s="9">
        <v>28</v>
      </c>
      <c r="J197" s="9">
        <v>17</v>
      </c>
      <c r="K197" s="9">
        <v>37</v>
      </c>
      <c r="L197" s="9">
        <v>40</v>
      </c>
      <c r="M197" s="9">
        <v>52</v>
      </c>
      <c r="N197" s="9">
        <v>43</v>
      </c>
      <c r="O197" s="9">
        <v>221</v>
      </c>
      <c r="P197" s="9">
        <v>8</v>
      </c>
      <c r="Q197" s="9">
        <v>12</v>
      </c>
      <c r="R197" s="9">
        <v>36</v>
      </c>
      <c r="S197" s="9">
        <v>53</v>
      </c>
      <c r="T197" s="9">
        <v>34</v>
      </c>
      <c r="U197" s="9">
        <v>2</v>
      </c>
      <c r="V197" s="9">
        <v>4</v>
      </c>
      <c r="W197" s="9">
        <v>0</v>
      </c>
      <c r="X197" s="9">
        <v>0</v>
      </c>
      <c r="Y197" s="9">
        <v>0</v>
      </c>
      <c r="Z197" s="9">
        <v>0</v>
      </c>
      <c r="AB197" s="9">
        <f t="shared" si="10"/>
        <v>700</v>
      </c>
      <c r="AC197" s="9">
        <f t="shared" si="11"/>
        <v>7282</v>
      </c>
      <c r="AD197" s="10">
        <f t="shared" ref="AD197:AD260" si="12">AC197/AB197</f>
        <v>10.402857142857142</v>
      </c>
    </row>
    <row r="198" spans="1:30" x14ac:dyDescent="0.3">
      <c r="A198" s="55"/>
      <c r="B198" s="30" t="s">
        <v>200</v>
      </c>
      <c r="C198" s="9">
        <v>75</v>
      </c>
      <c r="D198" s="9">
        <v>39</v>
      </c>
      <c r="E198" s="9">
        <v>73</v>
      </c>
      <c r="F198" s="9">
        <v>87</v>
      </c>
      <c r="G198" s="9">
        <v>100</v>
      </c>
      <c r="H198" s="9">
        <v>131</v>
      </c>
      <c r="I198" s="9">
        <v>89</v>
      </c>
      <c r="J198" s="9">
        <v>87</v>
      </c>
      <c r="K198" s="9">
        <v>118</v>
      </c>
      <c r="L198" s="9">
        <v>75</v>
      </c>
      <c r="M198" s="9">
        <v>108</v>
      </c>
      <c r="N198" s="9">
        <v>95</v>
      </c>
      <c r="O198" s="9">
        <v>546</v>
      </c>
      <c r="P198" s="9">
        <v>23</v>
      </c>
      <c r="Q198" s="9">
        <v>39</v>
      </c>
      <c r="R198" s="9">
        <v>140</v>
      </c>
      <c r="S198" s="9">
        <v>194</v>
      </c>
      <c r="T198" s="9">
        <v>151</v>
      </c>
      <c r="U198" s="9">
        <v>6</v>
      </c>
      <c r="V198" s="9">
        <v>6</v>
      </c>
      <c r="W198" s="9">
        <v>5</v>
      </c>
      <c r="X198" s="9">
        <v>5</v>
      </c>
      <c r="Y198" s="9">
        <v>0</v>
      </c>
      <c r="Z198" s="9">
        <v>2</v>
      </c>
      <c r="AB198" s="9">
        <f t="shared" si="10"/>
        <v>2194</v>
      </c>
      <c r="AC198" s="9">
        <f t="shared" si="11"/>
        <v>22029</v>
      </c>
      <c r="AD198" s="10">
        <f t="shared" si="12"/>
        <v>10.04056517775752</v>
      </c>
    </row>
    <row r="199" spans="1:30" x14ac:dyDescent="0.3">
      <c r="A199" s="55"/>
      <c r="B199" s="30" t="s">
        <v>201</v>
      </c>
      <c r="C199" s="9">
        <v>1</v>
      </c>
      <c r="D199" s="9">
        <v>0</v>
      </c>
      <c r="E199" s="9">
        <v>0</v>
      </c>
      <c r="F199" s="9">
        <v>3</v>
      </c>
      <c r="G199" s="9">
        <v>0</v>
      </c>
      <c r="H199" s="9">
        <v>2</v>
      </c>
      <c r="I199" s="9">
        <v>2</v>
      </c>
      <c r="J199" s="9">
        <v>5</v>
      </c>
      <c r="K199" s="9">
        <v>14</v>
      </c>
      <c r="L199" s="9">
        <v>2</v>
      </c>
      <c r="M199" s="9">
        <v>7</v>
      </c>
      <c r="N199" s="9">
        <v>9</v>
      </c>
      <c r="O199" s="9">
        <v>40</v>
      </c>
      <c r="P199" s="9">
        <v>0</v>
      </c>
      <c r="Q199" s="9">
        <v>1</v>
      </c>
      <c r="R199" s="9">
        <v>3</v>
      </c>
      <c r="S199" s="9">
        <v>5</v>
      </c>
      <c r="T199" s="9">
        <v>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B199" s="9">
        <f t="shared" si="10"/>
        <v>97</v>
      </c>
      <c r="AC199" s="9">
        <f t="shared" si="11"/>
        <v>1035</v>
      </c>
      <c r="AD199" s="10">
        <f t="shared" si="12"/>
        <v>10.670103092783505</v>
      </c>
    </row>
    <row r="200" spans="1:30" x14ac:dyDescent="0.3">
      <c r="A200" s="55"/>
      <c r="B200" s="30" t="s">
        <v>202</v>
      </c>
      <c r="C200" s="9">
        <v>0</v>
      </c>
      <c r="D200" s="9">
        <v>1</v>
      </c>
      <c r="E200" s="9">
        <v>2</v>
      </c>
      <c r="F200" s="9">
        <v>4</v>
      </c>
      <c r="G200" s="9">
        <v>0</v>
      </c>
      <c r="H200" s="9">
        <v>6</v>
      </c>
      <c r="I200" s="9">
        <v>2</v>
      </c>
      <c r="J200" s="9">
        <v>1</v>
      </c>
      <c r="K200" s="9">
        <v>8</v>
      </c>
      <c r="L200" s="9">
        <v>8</v>
      </c>
      <c r="M200" s="9">
        <v>5</v>
      </c>
      <c r="N200" s="9">
        <v>7</v>
      </c>
      <c r="O200" s="9">
        <v>65</v>
      </c>
      <c r="P200" s="9">
        <v>2</v>
      </c>
      <c r="Q200" s="9">
        <v>0</v>
      </c>
      <c r="R200" s="9">
        <v>14</v>
      </c>
      <c r="S200" s="9">
        <v>11</v>
      </c>
      <c r="T200" s="9">
        <v>10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B200" s="9">
        <f t="shared" si="10"/>
        <v>146</v>
      </c>
      <c r="AC200" s="9">
        <f t="shared" si="11"/>
        <v>1691</v>
      </c>
      <c r="AD200" s="10">
        <f t="shared" si="12"/>
        <v>11.582191780821917</v>
      </c>
    </row>
    <row r="201" spans="1:30" x14ac:dyDescent="0.3">
      <c r="A201" s="55"/>
      <c r="B201" s="30" t="s">
        <v>203</v>
      </c>
      <c r="C201" s="9">
        <v>4</v>
      </c>
      <c r="D201" s="9">
        <v>2</v>
      </c>
      <c r="E201" s="9">
        <v>3</v>
      </c>
      <c r="F201" s="9">
        <v>3</v>
      </c>
      <c r="G201" s="9">
        <v>7</v>
      </c>
      <c r="H201" s="9">
        <v>3</v>
      </c>
      <c r="I201" s="9">
        <v>7</v>
      </c>
      <c r="J201" s="9">
        <v>8</v>
      </c>
      <c r="K201" s="9">
        <v>18</v>
      </c>
      <c r="L201" s="9">
        <v>9</v>
      </c>
      <c r="M201" s="9">
        <v>9</v>
      </c>
      <c r="N201" s="9">
        <v>6</v>
      </c>
      <c r="O201" s="9">
        <v>52</v>
      </c>
      <c r="P201" s="9">
        <v>2</v>
      </c>
      <c r="Q201" s="9">
        <v>2</v>
      </c>
      <c r="R201" s="9">
        <v>8</v>
      </c>
      <c r="S201" s="9">
        <v>6</v>
      </c>
      <c r="T201" s="9">
        <v>5</v>
      </c>
      <c r="U201" s="9">
        <v>0</v>
      </c>
      <c r="V201" s="9">
        <v>0</v>
      </c>
      <c r="W201" s="9">
        <v>1</v>
      </c>
      <c r="X201" s="9">
        <v>0</v>
      </c>
      <c r="Y201" s="9">
        <v>0</v>
      </c>
      <c r="Z201" s="9">
        <v>0</v>
      </c>
      <c r="AB201" s="9">
        <f t="shared" si="10"/>
        <v>155</v>
      </c>
      <c r="AC201" s="9">
        <f t="shared" si="11"/>
        <v>1538</v>
      </c>
      <c r="AD201" s="10">
        <f t="shared" si="12"/>
        <v>9.9225806451612897</v>
      </c>
    </row>
    <row r="202" spans="1:30" x14ac:dyDescent="0.3">
      <c r="A202" s="55"/>
      <c r="B202" s="30" t="s">
        <v>204</v>
      </c>
      <c r="C202" s="9">
        <v>17</v>
      </c>
      <c r="D202" s="9">
        <v>6</v>
      </c>
      <c r="E202" s="9">
        <v>11</v>
      </c>
      <c r="F202" s="9">
        <v>17</v>
      </c>
      <c r="G202" s="9">
        <v>12</v>
      </c>
      <c r="H202" s="9">
        <v>23</v>
      </c>
      <c r="I202" s="9">
        <v>28</v>
      </c>
      <c r="J202" s="9">
        <v>15</v>
      </c>
      <c r="K202" s="9">
        <v>39</v>
      </c>
      <c r="L202" s="9">
        <v>35</v>
      </c>
      <c r="M202" s="9">
        <v>61</v>
      </c>
      <c r="N202" s="9">
        <v>48</v>
      </c>
      <c r="O202" s="9">
        <v>216</v>
      </c>
      <c r="P202" s="9">
        <v>2</v>
      </c>
      <c r="Q202" s="9">
        <v>7</v>
      </c>
      <c r="R202" s="9">
        <v>44</v>
      </c>
      <c r="S202" s="9">
        <v>45</v>
      </c>
      <c r="T202" s="9">
        <v>42</v>
      </c>
      <c r="U202" s="9">
        <v>2</v>
      </c>
      <c r="V202" s="9">
        <v>2</v>
      </c>
      <c r="W202" s="9">
        <v>3</v>
      </c>
      <c r="X202" s="9">
        <v>0</v>
      </c>
      <c r="Y202" s="9">
        <v>3</v>
      </c>
      <c r="Z202" s="9">
        <v>1</v>
      </c>
      <c r="AB202" s="9">
        <f t="shared" si="10"/>
        <v>679</v>
      </c>
      <c r="AC202" s="9">
        <f t="shared" si="11"/>
        <v>7313</v>
      </c>
      <c r="AD202" s="10">
        <f t="shared" si="12"/>
        <v>10.770250368188513</v>
      </c>
    </row>
    <row r="203" spans="1:30" x14ac:dyDescent="0.3">
      <c r="A203" s="55"/>
      <c r="B203" s="30" t="s">
        <v>205</v>
      </c>
      <c r="C203" s="9">
        <v>811</v>
      </c>
      <c r="D203" s="9">
        <v>422</v>
      </c>
      <c r="E203" s="9">
        <v>614</v>
      </c>
      <c r="F203" s="9">
        <v>1013</v>
      </c>
      <c r="G203" s="9">
        <v>929</v>
      </c>
      <c r="H203" s="9">
        <v>1410</v>
      </c>
      <c r="I203" s="9">
        <v>985</v>
      </c>
      <c r="J203" s="9">
        <v>866</v>
      </c>
      <c r="K203" s="9">
        <v>1423</v>
      </c>
      <c r="L203" s="9">
        <v>1263</v>
      </c>
      <c r="M203" s="9">
        <v>1429</v>
      </c>
      <c r="N203" s="9">
        <v>1299</v>
      </c>
      <c r="O203" s="9">
        <v>6570</v>
      </c>
      <c r="P203" s="9">
        <v>887</v>
      </c>
      <c r="Q203" s="9">
        <v>1358</v>
      </c>
      <c r="R203" s="9">
        <v>3105</v>
      </c>
      <c r="S203" s="9">
        <v>4312</v>
      </c>
      <c r="T203" s="9">
        <v>4967</v>
      </c>
      <c r="U203" s="9">
        <v>186</v>
      </c>
      <c r="V203" s="9">
        <v>337</v>
      </c>
      <c r="W203" s="9">
        <v>26</v>
      </c>
      <c r="X203" s="9">
        <v>29</v>
      </c>
      <c r="Y203" s="9">
        <v>16</v>
      </c>
      <c r="Z203" s="9">
        <v>16</v>
      </c>
      <c r="AB203" s="9">
        <f t="shared" si="10"/>
        <v>34273</v>
      </c>
      <c r="AC203" s="9">
        <f t="shared" si="11"/>
        <v>399746</v>
      </c>
      <c r="AD203" s="10">
        <f t="shared" si="12"/>
        <v>11.663583578910513</v>
      </c>
    </row>
    <row r="204" spans="1:30" x14ac:dyDescent="0.3">
      <c r="A204" s="55"/>
      <c r="B204" s="30" t="s">
        <v>206</v>
      </c>
      <c r="C204" s="9">
        <v>614</v>
      </c>
      <c r="D204" s="9">
        <v>211</v>
      </c>
      <c r="E204" s="9">
        <v>279</v>
      </c>
      <c r="F204" s="9">
        <v>672</v>
      </c>
      <c r="G204" s="9">
        <v>332</v>
      </c>
      <c r="H204" s="9">
        <v>404</v>
      </c>
      <c r="I204" s="9">
        <v>194</v>
      </c>
      <c r="J204" s="9">
        <v>135</v>
      </c>
      <c r="K204" s="9">
        <v>174</v>
      </c>
      <c r="L204" s="9">
        <v>69</v>
      </c>
      <c r="M204" s="9">
        <v>74</v>
      </c>
      <c r="N204" s="9">
        <v>54</v>
      </c>
      <c r="O204" s="9">
        <v>154</v>
      </c>
      <c r="P204" s="9">
        <v>9</v>
      </c>
      <c r="Q204" s="9">
        <v>7</v>
      </c>
      <c r="R204" s="9">
        <v>36</v>
      </c>
      <c r="S204" s="9">
        <v>57</v>
      </c>
      <c r="T204" s="9">
        <v>42</v>
      </c>
      <c r="U204" s="9">
        <v>1</v>
      </c>
      <c r="V204" s="9">
        <v>1</v>
      </c>
      <c r="W204" s="9">
        <v>1</v>
      </c>
      <c r="X204" s="9">
        <v>1</v>
      </c>
      <c r="Y204" s="9">
        <v>0</v>
      </c>
      <c r="Z204" s="9">
        <v>0</v>
      </c>
      <c r="AB204" s="9">
        <f t="shared" si="10"/>
        <v>3521</v>
      </c>
      <c r="AC204" s="9">
        <f t="shared" si="11"/>
        <v>15896</v>
      </c>
      <c r="AD204" s="10">
        <f t="shared" si="12"/>
        <v>4.5146265265549559</v>
      </c>
    </row>
    <row r="205" spans="1:30" x14ac:dyDescent="0.3">
      <c r="A205" s="55"/>
      <c r="B205" s="30" t="s">
        <v>207</v>
      </c>
      <c r="C205" s="9">
        <v>37</v>
      </c>
      <c r="D205" s="9">
        <v>18</v>
      </c>
      <c r="E205" s="9">
        <v>28</v>
      </c>
      <c r="F205" s="9">
        <v>32</v>
      </c>
      <c r="G205" s="9">
        <v>48</v>
      </c>
      <c r="H205" s="9">
        <v>79</v>
      </c>
      <c r="I205" s="9">
        <v>68</v>
      </c>
      <c r="J205" s="9">
        <v>56</v>
      </c>
      <c r="K205" s="9">
        <v>119</v>
      </c>
      <c r="L205" s="9">
        <v>56</v>
      </c>
      <c r="M205" s="9">
        <v>68</v>
      </c>
      <c r="N205" s="9">
        <v>68</v>
      </c>
      <c r="O205" s="9">
        <v>278</v>
      </c>
      <c r="P205" s="9">
        <v>16</v>
      </c>
      <c r="Q205" s="9">
        <v>19</v>
      </c>
      <c r="R205" s="9">
        <v>47</v>
      </c>
      <c r="S205" s="9">
        <v>75</v>
      </c>
      <c r="T205" s="9">
        <v>46</v>
      </c>
      <c r="U205" s="9">
        <v>1</v>
      </c>
      <c r="V205" s="9">
        <v>2</v>
      </c>
      <c r="W205" s="9">
        <v>0</v>
      </c>
      <c r="X205" s="9">
        <v>0</v>
      </c>
      <c r="Y205" s="9">
        <v>0</v>
      </c>
      <c r="Z205" s="9">
        <v>0</v>
      </c>
      <c r="AB205" s="9">
        <f t="shared" si="10"/>
        <v>1161</v>
      </c>
      <c r="AC205" s="9">
        <f t="shared" si="11"/>
        <v>10994</v>
      </c>
      <c r="AD205" s="10">
        <f t="shared" si="12"/>
        <v>9.4694229112833757</v>
      </c>
    </row>
    <row r="206" spans="1:30" x14ac:dyDescent="0.3">
      <c r="A206" s="55"/>
      <c r="B206" s="30" t="s">
        <v>208</v>
      </c>
      <c r="C206" s="9">
        <v>14</v>
      </c>
      <c r="D206" s="9">
        <v>8</v>
      </c>
      <c r="E206" s="9">
        <v>9</v>
      </c>
      <c r="F206" s="9">
        <v>16</v>
      </c>
      <c r="G206" s="9">
        <v>14</v>
      </c>
      <c r="H206" s="9">
        <v>48</v>
      </c>
      <c r="I206" s="9">
        <v>32</v>
      </c>
      <c r="J206" s="9">
        <v>48</v>
      </c>
      <c r="K206" s="9">
        <v>62</v>
      </c>
      <c r="L206" s="9">
        <v>18</v>
      </c>
      <c r="M206" s="9">
        <v>25</v>
      </c>
      <c r="N206" s="9">
        <v>17</v>
      </c>
      <c r="O206" s="9">
        <v>102</v>
      </c>
      <c r="P206" s="9">
        <v>1</v>
      </c>
      <c r="Q206" s="9">
        <v>2</v>
      </c>
      <c r="R206" s="9">
        <v>6</v>
      </c>
      <c r="S206" s="9">
        <v>17</v>
      </c>
      <c r="T206" s="9">
        <v>6</v>
      </c>
      <c r="U206" s="9">
        <v>0</v>
      </c>
      <c r="V206" s="9">
        <v>1</v>
      </c>
      <c r="W206" s="9">
        <v>0</v>
      </c>
      <c r="X206" s="9">
        <v>0</v>
      </c>
      <c r="Y206" s="9">
        <v>0</v>
      </c>
      <c r="Z206" s="9">
        <v>0</v>
      </c>
      <c r="AB206" s="9">
        <f t="shared" si="10"/>
        <v>446</v>
      </c>
      <c r="AC206" s="9">
        <f t="shared" si="11"/>
        <v>3741</v>
      </c>
      <c r="AD206" s="10">
        <f t="shared" si="12"/>
        <v>8.3878923766816147</v>
      </c>
    </row>
    <row r="207" spans="1:30" x14ac:dyDescent="0.3">
      <c r="A207" s="55"/>
      <c r="B207" s="30" t="s">
        <v>209</v>
      </c>
      <c r="C207" s="9">
        <v>146</v>
      </c>
      <c r="D207" s="9">
        <v>104</v>
      </c>
      <c r="E207" s="9">
        <v>147</v>
      </c>
      <c r="F207" s="9">
        <v>194</v>
      </c>
      <c r="G207" s="9">
        <v>169</v>
      </c>
      <c r="H207" s="9">
        <v>331</v>
      </c>
      <c r="I207" s="9">
        <v>148</v>
      </c>
      <c r="J207" s="9">
        <v>124</v>
      </c>
      <c r="K207" s="9">
        <v>152</v>
      </c>
      <c r="L207" s="9">
        <v>88</v>
      </c>
      <c r="M207" s="9">
        <v>130</v>
      </c>
      <c r="N207" s="9">
        <v>100</v>
      </c>
      <c r="O207" s="9">
        <v>429</v>
      </c>
      <c r="P207" s="9">
        <v>54</v>
      </c>
      <c r="Q207" s="9">
        <v>58</v>
      </c>
      <c r="R207" s="9">
        <v>237</v>
      </c>
      <c r="S207" s="9">
        <v>225</v>
      </c>
      <c r="T207" s="9">
        <v>197</v>
      </c>
      <c r="U207" s="9">
        <v>5</v>
      </c>
      <c r="V207" s="9">
        <v>13</v>
      </c>
      <c r="W207" s="9">
        <v>3</v>
      </c>
      <c r="X207" s="9">
        <v>1</v>
      </c>
      <c r="Y207" s="9">
        <v>0</v>
      </c>
      <c r="Z207" s="9">
        <v>0</v>
      </c>
      <c r="AB207" s="9">
        <f t="shared" si="10"/>
        <v>3055</v>
      </c>
      <c r="AC207" s="9">
        <f t="shared" si="11"/>
        <v>27059</v>
      </c>
      <c r="AD207" s="10">
        <f t="shared" si="12"/>
        <v>8.8572831423895249</v>
      </c>
    </row>
    <row r="208" spans="1:30" x14ac:dyDescent="0.3">
      <c r="A208" s="55"/>
      <c r="B208" s="30" t="s">
        <v>210</v>
      </c>
      <c r="C208" s="9">
        <v>95</v>
      </c>
      <c r="D208" s="9">
        <v>64</v>
      </c>
      <c r="E208" s="9">
        <v>116</v>
      </c>
      <c r="F208" s="9">
        <v>143</v>
      </c>
      <c r="G208" s="9">
        <v>168</v>
      </c>
      <c r="H208" s="9">
        <v>249</v>
      </c>
      <c r="I208" s="9">
        <v>102</v>
      </c>
      <c r="J208" s="9">
        <v>86</v>
      </c>
      <c r="K208" s="9">
        <v>142</v>
      </c>
      <c r="L208" s="9">
        <v>56</v>
      </c>
      <c r="M208" s="9">
        <v>36</v>
      </c>
      <c r="N208" s="9">
        <v>46</v>
      </c>
      <c r="O208" s="9">
        <v>220</v>
      </c>
      <c r="P208" s="9">
        <v>31</v>
      </c>
      <c r="Q208" s="9">
        <v>25</v>
      </c>
      <c r="R208" s="9">
        <v>128</v>
      </c>
      <c r="S208" s="9">
        <v>116</v>
      </c>
      <c r="T208" s="9">
        <v>50</v>
      </c>
      <c r="U208" s="9">
        <v>3</v>
      </c>
      <c r="V208" s="9">
        <v>4</v>
      </c>
      <c r="W208" s="9">
        <v>2</v>
      </c>
      <c r="X208" s="9">
        <v>0</v>
      </c>
      <c r="Y208" s="9">
        <v>0</v>
      </c>
      <c r="Z208" s="9">
        <v>0</v>
      </c>
      <c r="AB208" s="9">
        <f t="shared" si="10"/>
        <v>1882</v>
      </c>
      <c r="AC208" s="9">
        <f t="shared" si="11"/>
        <v>14551</v>
      </c>
      <c r="AD208" s="10">
        <f t="shared" si="12"/>
        <v>7.7316684378320932</v>
      </c>
    </row>
    <row r="209" spans="1:30" x14ac:dyDescent="0.3">
      <c r="A209" s="55"/>
      <c r="B209" s="30" t="s">
        <v>211</v>
      </c>
      <c r="C209" s="9">
        <v>189</v>
      </c>
      <c r="D209" s="9">
        <v>139</v>
      </c>
      <c r="E209" s="9">
        <v>200</v>
      </c>
      <c r="F209" s="9">
        <v>226</v>
      </c>
      <c r="G209" s="9">
        <v>203</v>
      </c>
      <c r="H209" s="9">
        <v>345</v>
      </c>
      <c r="I209" s="9">
        <v>219</v>
      </c>
      <c r="J209" s="9">
        <v>173</v>
      </c>
      <c r="K209" s="9">
        <v>240</v>
      </c>
      <c r="L209" s="9">
        <v>216</v>
      </c>
      <c r="M209" s="9">
        <v>246</v>
      </c>
      <c r="N209" s="9">
        <v>231</v>
      </c>
      <c r="O209" s="9">
        <v>939</v>
      </c>
      <c r="P209" s="9">
        <v>155</v>
      </c>
      <c r="Q209" s="9">
        <v>254</v>
      </c>
      <c r="R209" s="9">
        <v>547</v>
      </c>
      <c r="S209" s="9">
        <v>642</v>
      </c>
      <c r="T209" s="9">
        <v>944</v>
      </c>
      <c r="U209" s="9">
        <v>32</v>
      </c>
      <c r="V209" s="9">
        <v>52</v>
      </c>
      <c r="W209" s="9">
        <v>2</v>
      </c>
      <c r="X209" s="9">
        <v>4</v>
      </c>
      <c r="Y209" s="9">
        <v>4</v>
      </c>
      <c r="Z209" s="9">
        <v>2</v>
      </c>
      <c r="AB209" s="9">
        <f t="shared" si="10"/>
        <v>6204</v>
      </c>
      <c r="AC209" s="9">
        <f t="shared" si="11"/>
        <v>68330</v>
      </c>
      <c r="AD209" s="10">
        <f t="shared" si="12"/>
        <v>11.013862024500323</v>
      </c>
    </row>
    <row r="210" spans="1:30" x14ac:dyDescent="0.3">
      <c r="A210" s="55"/>
      <c r="B210" s="30" t="s">
        <v>212</v>
      </c>
      <c r="C210" s="9">
        <v>99</v>
      </c>
      <c r="D210" s="9">
        <v>50</v>
      </c>
      <c r="E210" s="9">
        <v>117</v>
      </c>
      <c r="F210" s="9">
        <v>130</v>
      </c>
      <c r="G210" s="9">
        <v>85</v>
      </c>
      <c r="H210" s="9">
        <v>168</v>
      </c>
      <c r="I210" s="9">
        <v>68</v>
      </c>
      <c r="J210" s="9">
        <v>41</v>
      </c>
      <c r="K210" s="9">
        <v>68</v>
      </c>
      <c r="L210" s="9">
        <v>27</v>
      </c>
      <c r="M210" s="9">
        <v>31</v>
      </c>
      <c r="N210" s="9">
        <v>26</v>
      </c>
      <c r="O210" s="9">
        <v>117</v>
      </c>
      <c r="P210" s="9">
        <v>3</v>
      </c>
      <c r="Q210" s="9">
        <v>10</v>
      </c>
      <c r="R210" s="9">
        <v>42</v>
      </c>
      <c r="S210" s="9">
        <v>25</v>
      </c>
      <c r="T210" s="9">
        <v>28</v>
      </c>
      <c r="U210" s="9">
        <v>0</v>
      </c>
      <c r="V210" s="9">
        <v>2</v>
      </c>
      <c r="W210" s="9">
        <v>1</v>
      </c>
      <c r="X210" s="9">
        <v>0</v>
      </c>
      <c r="Y210" s="9">
        <v>1</v>
      </c>
      <c r="Z210" s="9">
        <v>0</v>
      </c>
      <c r="AB210" s="9">
        <f t="shared" si="10"/>
        <v>1139</v>
      </c>
      <c r="AC210" s="9">
        <f t="shared" si="11"/>
        <v>7101</v>
      </c>
      <c r="AD210" s="10">
        <f t="shared" si="12"/>
        <v>6.2344161545215098</v>
      </c>
    </row>
    <row r="211" spans="1:30" x14ac:dyDescent="0.3">
      <c r="A211" s="55"/>
      <c r="B211" s="30" t="s">
        <v>213</v>
      </c>
      <c r="C211" s="9">
        <v>299</v>
      </c>
      <c r="D211" s="9">
        <v>156</v>
      </c>
      <c r="E211" s="9">
        <v>204</v>
      </c>
      <c r="F211" s="9">
        <v>379</v>
      </c>
      <c r="G211" s="9">
        <v>346</v>
      </c>
      <c r="H211" s="9">
        <v>575</v>
      </c>
      <c r="I211" s="9">
        <v>319</v>
      </c>
      <c r="J211" s="9">
        <v>194</v>
      </c>
      <c r="K211" s="9">
        <v>289</v>
      </c>
      <c r="L211" s="9">
        <v>130</v>
      </c>
      <c r="M211" s="9">
        <v>142</v>
      </c>
      <c r="N211" s="9">
        <v>111</v>
      </c>
      <c r="O211" s="9">
        <v>452</v>
      </c>
      <c r="P211" s="9">
        <v>17</v>
      </c>
      <c r="Q211" s="9">
        <v>25</v>
      </c>
      <c r="R211" s="9">
        <v>95</v>
      </c>
      <c r="S211" s="9">
        <v>115</v>
      </c>
      <c r="T211" s="9">
        <v>77</v>
      </c>
      <c r="U211" s="9">
        <v>5</v>
      </c>
      <c r="V211" s="9">
        <v>8</v>
      </c>
      <c r="W211" s="9">
        <v>2</v>
      </c>
      <c r="X211" s="9">
        <v>0</v>
      </c>
      <c r="Y211" s="9">
        <v>0</v>
      </c>
      <c r="Z211" s="9">
        <v>1</v>
      </c>
      <c r="AB211" s="9">
        <f t="shared" si="10"/>
        <v>3941</v>
      </c>
      <c r="AC211" s="9">
        <f t="shared" si="11"/>
        <v>26229</v>
      </c>
      <c r="AD211" s="10">
        <f t="shared" si="12"/>
        <v>6.6554174067495557</v>
      </c>
    </row>
    <row r="212" spans="1:30" x14ac:dyDescent="0.3">
      <c r="A212" s="55"/>
      <c r="B212" s="30" t="s">
        <v>214</v>
      </c>
      <c r="C212" s="9">
        <v>85</v>
      </c>
      <c r="D212" s="9">
        <v>29</v>
      </c>
      <c r="E212" s="9">
        <v>38</v>
      </c>
      <c r="F212" s="9">
        <v>75</v>
      </c>
      <c r="G212" s="9">
        <v>74</v>
      </c>
      <c r="H212" s="9">
        <v>120</v>
      </c>
      <c r="I212" s="9">
        <v>84</v>
      </c>
      <c r="J212" s="9">
        <v>56</v>
      </c>
      <c r="K212" s="9">
        <v>101</v>
      </c>
      <c r="L212" s="9">
        <v>35</v>
      </c>
      <c r="M212" s="9">
        <v>31</v>
      </c>
      <c r="N212" s="9">
        <v>41</v>
      </c>
      <c r="O212" s="9">
        <v>134</v>
      </c>
      <c r="P212" s="9">
        <v>5</v>
      </c>
      <c r="Q212" s="9">
        <v>10</v>
      </c>
      <c r="R212" s="9">
        <v>17</v>
      </c>
      <c r="S212" s="9">
        <v>32</v>
      </c>
      <c r="T212" s="9">
        <v>29</v>
      </c>
      <c r="U212" s="9">
        <v>1</v>
      </c>
      <c r="V212" s="9">
        <v>2</v>
      </c>
      <c r="W212" s="9">
        <v>1</v>
      </c>
      <c r="X212" s="9">
        <v>0</v>
      </c>
      <c r="Y212" s="9">
        <v>0</v>
      </c>
      <c r="Z212" s="9">
        <v>0</v>
      </c>
      <c r="AB212" s="9">
        <f t="shared" si="10"/>
        <v>1000</v>
      </c>
      <c r="AC212" s="9">
        <f t="shared" si="11"/>
        <v>7155</v>
      </c>
      <c r="AD212" s="10">
        <f t="shared" si="12"/>
        <v>7.1550000000000002</v>
      </c>
    </row>
    <row r="213" spans="1:30" x14ac:dyDescent="0.3">
      <c r="A213" s="55"/>
      <c r="B213" s="30" t="s">
        <v>215</v>
      </c>
      <c r="C213" s="9">
        <v>267</v>
      </c>
      <c r="D213" s="9">
        <v>71</v>
      </c>
      <c r="E213" s="9">
        <v>116</v>
      </c>
      <c r="F213" s="9">
        <v>196</v>
      </c>
      <c r="G213" s="9">
        <v>154</v>
      </c>
      <c r="H213" s="9">
        <v>172</v>
      </c>
      <c r="I213" s="9">
        <v>106</v>
      </c>
      <c r="J213" s="9">
        <v>77</v>
      </c>
      <c r="K213" s="9">
        <v>89</v>
      </c>
      <c r="L213" s="9">
        <v>37</v>
      </c>
      <c r="M213" s="9">
        <v>25</v>
      </c>
      <c r="N213" s="9">
        <v>46</v>
      </c>
      <c r="O213" s="9">
        <v>98</v>
      </c>
      <c r="P213" s="9">
        <v>1</v>
      </c>
      <c r="Q213" s="9">
        <v>2</v>
      </c>
      <c r="R213" s="9">
        <v>21</v>
      </c>
      <c r="S213" s="9">
        <v>32</v>
      </c>
      <c r="T213" s="9">
        <v>21</v>
      </c>
      <c r="U213" s="9">
        <v>3</v>
      </c>
      <c r="V213" s="9">
        <v>1</v>
      </c>
      <c r="W213" s="9">
        <v>0</v>
      </c>
      <c r="X213" s="9">
        <v>0</v>
      </c>
      <c r="Y213" s="9">
        <v>0</v>
      </c>
      <c r="Z213" s="9">
        <v>0</v>
      </c>
      <c r="AB213" s="9">
        <f t="shared" si="10"/>
        <v>1535</v>
      </c>
      <c r="AC213" s="9">
        <f t="shared" si="11"/>
        <v>7817</v>
      </c>
      <c r="AD213" s="10">
        <f t="shared" si="12"/>
        <v>5.0925081433224753</v>
      </c>
    </row>
    <row r="214" spans="1:30" x14ac:dyDescent="0.3">
      <c r="A214" s="55"/>
      <c r="B214" s="30" t="s">
        <v>216</v>
      </c>
      <c r="C214" s="9">
        <v>365</v>
      </c>
      <c r="D214" s="9">
        <v>108</v>
      </c>
      <c r="E214" s="9">
        <v>161</v>
      </c>
      <c r="F214" s="9">
        <v>192</v>
      </c>
      <c r="G214" s="9">
        <v>150</v>
      </c>
      <c r="H214" s="9">
        <v>195</v>
      </c>
      <c r="I214" s="9">
        <v>98</v>
      </c>
      <c r="J214" s="9">
        <v>64</v>
      </c>
      <c r="K214" s="9">
        <v>59</v>
      </c>
      <c r="L214" s="9">
        <v>49</v>
      </c>
      <c r="M214" s="9">
        <v>70</v>
      </c>
      <c r="N214" s="9">
        <v>61</v>
      </c>
      <c r="O214" s="9">
        <v>164</v>
      </c>
      <c r="P214" s="9">
        <v>12</v>
      </c>
      <c r="Q214" s="9">
        <v>23</v>
      </c>
      <c r="R214" s="9">
        <v>58</v>
      </c>
      <c r="S214" s="9">
        <v>68</v>
      </c>
      <c r="T214" s="9">
        <v>53</v>
      </c>
      <c r="U214" s="9">
        <v>3</v>
      </c>
      <c r="V214" s="9">
        <v>6</v>
      </c>
      <c r="W214" s="9">
        <v>1</v>
      </c>
      <c r="X214" s="9">
        <v>0</v>
      </c>
      <c r="Y214" s="9">
        <v>1</v>
      </c>
      <c r="Z214" s="9">
        <v>0</v>
      </c>
      <c r="AB214" s="9">
        <f t="shared" si="10"/>
        <v>1961</v>
      </c>
      <c r="AC214" s="9">
        <f t="shared" si="11"/>
        <v>11416</v>
      </c>
      <c r="AD214" s="10">
        <f t="shared" si="12"/>
        <v>5.8215196328403875</v>
      </c>
    </row>
    <row r="215" spans="1:30" x14ac:dyDescent="0.3">
      <c r="A215" s="55"/>
      <c r="B215" s="30" t="s">
        <v>217</v>
      </c>
      <c r="C215" s="9">
        <v>526</v>
      </c>
      <c r="D215" s="9">
        <v>131</v>
      </c>
      <c r="E215" s="9">
        <v>217</v>
      </c>
      <c r="F215" s="9">
        <v>277</v>
      </c>
      <c r="G215" s="9">
        <v>218</v>
      </c>
      <c r="H215" s="9">
        <v>259</v>
      </c>
      <c r="I215" s="9">
        <v>130</v>
      </c>
      <c r="J215" s="9">
        <v>88</v>
      </c>
      <c r="K215" s="9">
        <v>77</v>
      </c>
      <c r="L215" s="9">
        <v>44</v>
      </c>
      <c r="M215" s="9">
        <v>35</v>
      </c>
      <c r="N215" s="9">
        <v>41</v>
      </c>
      <c r="O215" s="9">
        <v>96</v>
      </c>
      <c r="P215" s="9">
        <v>18</v>
      </c>
      <c r="Q215" s="9">
        <v>14</v>
      </c>
      <c r="R215" s="9">
        <v>58</v>
      </c>
      <c r="S215" s="9">
        <v>58</v>
      </c>
      <c r="T215" s="9">
        <v>55</v>
      </c>
      <c r="U215" s="9">
        <v>2</v>
      </c>
      <c r="V215" s="9">
        <v>3</v>
      </c>
      <c r="W215" s="9">
        <v>1</v>
      </c>
      <c r="X215" s="9">
        <v>0</v>
      </c>
      <c r="Y215" s="9">
        <v>0</v>
      </c>
      <c r="Z215" s="9">
        <v>0</v>
      </c>
      <c r="AB215" s="9">
        <f t="shared" si="10"/>
        <v>2348</v>
      </c>
      <c r="AC215" s="9">
        <f t="shared" si="11"/>
        <v>11200</v>
      </c>
      <c r="AD215" s="10">
        <f t="shared" si="12"/>
        <v>4.7700170357751279</v>
      </c>
    </row>
    <row r="216" spans="1:30" x14ac:dyDescent="0.3">
      <c r="A216" s="55"/>
      <c r="B216" s="30" t="s">
        <v>218</v>
      </c>
      <c r="C216" s="9">
        <v>273</v>
      </c>
      <c r="D216" s="9">
        <v>115</v>
      </c>
      <c r="E216" s="9">
        <v>243</v>
      </c>
      <c r="F216" s="9">
        <v>313</v>
      </c>
      <c r="G216" s="9">
        <v>286</v>
      </c>
      <c r="H216" s="9">
        <v>455</v>
      </c>
      <c r="I216" s="9">
        <v>178</v>
      </c>
      <c r="J216" s="9">
        <v>159</v>
      </c>
      <c r="K216" s="9">
        <v>180</v>
      </c>
      <c r="L216" s="9">
        <v>80</v>
      </c>
      <c r="M216" s="9">
        <v>90</v>
      </c>
      <c r="N216" s="9">
        <v>95</v>
      </c>
      <c r="O216" s="9">
        <v>334</v>
      </c>
      <c r="P216" s="9">
        <v>19</v>
      </c>
      <c r="Q216" s="9">
        <v>28</v>
      </c>
      <c r="R216" s="9">
        <v>119</v>
      </c>
      <c r="S216" s="9">
        <v>98</v>
      </c>
      <c r="T216" s="9">
        <v>89</v>
      </c>
      <c r="U216" s="9">
        <v>3</v>
      </c>
      <c r="V216" s="9">
        <v>6</v>
      </c>
      <c r="W216" s="9">
        <v>3</v>
      </c>
      <c r="X216" s="9">
        <v>0</v>
      </c>
      <c r="Y216" s="9">
        <v>0</v>
      </c>
      <c r="Z216" s="9">
        <v>1</v>
      </c>
      <c r="AB216" s="9">
        <f t="shared" si="10"/>
        <v>3167</v>
      </c>
      <c r="AC216" s="9">
        <f t="shared" si="11"/>
        <v>21009</v>
      </c>
      <c r="AD216" s="10">
        <f t="shared" si="12"/>
        <v>6.6337227660246292</v>
      </c>
    </row>
    <row r="217" spans="1:30" x14ac:dyDescent="0.3">
      <c r="A217" s="55"/>
      <c r="B217" s="30" t="s">
        <v>219</v>
      </c>
      <c r="C217" s="9">
        <v>516</v>
      </c>
      <c r="D217" s="9">
        <v>119</v>
      </c>
      <c r="E217" s="9">
        <v>198</v>
      </c>
      <c r="F217" s="9">
        <v>264</v>
      </c>
      <c r="G217" s="9">
        <v>172</v>
      </c>
      <c r="H217" s="9">
        <v>224</v>
      </c>
      <c r="I217" s="9">
        <v>103</v>
      </c>
      <c r="J217" s="9">
        <v>52</v>
      </c>
      <c r="K217" s="9">
        <v>70</v>
      </c>
      <c r="L217" s="9">
        <v>27</v>
      </c>
      <c r="M217" s="9">
        <v>19</v>
      </c>
      <c r="N217" s="9">
        <v>25</v>
      </c>
      <c r="O217" s="9">
        <v>73</v>
      </c>
      <c r="P217" s="9">
        <v>10</v>
      </c>
      <c r="Q217" s="9">
        <v>10</v>
      </c>
      <c r="R217" s="9">
        <v>54</v>
      </c>
      <c r="S217" s="9">
        <v>58</v>
      </c>
      <c r="T217" s="9">
        <v>41</v>
      </c>
      <c r="U217" s="9">
        <v>0</v>
      </c>
      <c r="V217" s="9">
        <v>1</v>
      </c>
      <c r="W217" s="9">
        <v>1</v>
      </c>
      <c r="X217" s="9">
        <v>0</v>
      </c>
      <c r="Y217" s="9">
        <v>0</v>
      </c>
      <c r="Z217" s="9">
        <v>0</v>
      </c>
      <c r="AB217" s="9">
        <f t="shared" si="10"/>
        <v>2037</v>
      </c>
      <c r="AC217" s="9">
        <f t="shared" si="11"/>
        <v>8985</v>
      </c>
      <c r="AD217" s="10">
        <f t="shared" si="12"/>
        <v>4.4108983799705452</v>
      </c>
    </row>
    <row r="218" spans="1:30" x14ac:dyDescent="0.3">
      <c r="A218" s="55"/>
      <c r="B218" s="30" t="s">
        <v>220</v>
      </c>
      <c r="C218" s="9">
        <v>462</v>
      </c>
      <c r="D218" s="9">
        <v>134</v>
      </c>
      <c r="E218" s="9">
        <v>262</v>
      </c>
      <c r="F218" s="9">
        <v>300</v>
      </c>
      <c r="G218" s="9">
        <v>213</v>
      </c>
      <c r="H218" s="9">
        <v>343</v>
      </c>
      <c r="I218" s="9">
        <v>165</v>
      </c>
      <c r="J218" s="9">
        <v>91</v>
      </c>
      <c r="K218" s="9">
        <v>85</v>
      </c>
      <c r="L218" s="9">
        <v>33</v>
      </c>
      <c r="M218" s="9">
        <v>30</v>
      </c>
      <c r="N218" s="9">
        <v>31</v>
      </c>
      <c r="O218" s="9">
        <v>92</v>
      </c>
      <c r="P218" s="9">
        <v>3</v>
      </c>
      <c r="Q218" s="9">
        <v>6</v>
      </c>
      <c r="R218" s="9">
        <v>46</v>
      </c>
      <c r="S218" s="9">
        <v>37</v>
      </c>
      <c r="T218" s="9">
        <v>31</v>
      </c>
      <c r="U218" s="9">
        <v>3</v>
      </c>
      <c r="V218" s="9">
        <v>2</v>
      </c>
      <c r="W218" s="9">
        <v>0</v>
      </c>
      <c r="X218" s="9">
        <v>0</v>
      </c>
      <c r="Y218" s="9">
        <v>0</v>
      </c>
      <c r="Z218" s="9">
        <v>0</v>
      </c>
      <c r="AB218" s="9">
        <f t="shared" si="10"/>
        <v>2369</v>
      </c>
      <c r="AC218" s="9">
        <f t="shared" si="11"/>
        <v>10498</v>
      </c>
      <c r="AD218" s="10">
        <f t="shared" si="12"/>
        <v>4.4314056563951034</v>
      </c>
    </row>
    <row r="219" spans="1:30" x14ac:dyDescent="0.3">
      <c r="A219" s="55"/>
      <c r="B219" s="30" t="s">
        <v>221</v>
      </c>
      <c r="C219" s="9">
        <v>469</v>
      </c>
      <c r="D219" s="9">
        <v>203</v>
      </c>
      <c r="E219" s="9">
        <v>395</v>
      </c>
      <c r="F219" s="9">
        <v>392</v>
      </c>
      <c r="G219" s="9">
        <v>311</v>
      </c>
      <c r="H219" s="9">
        <v>448</v>
      </c>
      <c r="I219" s="9">
        <v>232</v>
      </c>
      <c r="J219" s="9">
        <v>152</v>
      </c>
      <c r="K219" s="9">
        <v>174</v>
      </c>
      <c r="L219" s="9">
        <v>89</v>
      </c>
      <c r="M219" s="9">
        <v>94</v>
      </c>
      <c r="N219" s="9">
        <v>87</v>
      </c>
      <c r="O219" s="9">
        <v>273</v>
      </c>
      <c r="P219" s="9">
        <v>18</v>
      </c>
      <c r="Q219" s="9">
        <v>19</v>
      </c>
      <c r="R219" s="9">
        <v>91</v>
      </c>
      <c r="S219" s="9">
        <v>122</v>
      </c>
      <c r="T219" s="9">
        <v>83</v>
      </c>
      <c r="U219" s="9">
        <v>4</v>
      </c>
      <c r="V219" s="9">
        <v>4</v>
      </c>
      <c r="W219" s="9">
        <v>0</v>
      </c>
      <c r="X219" s="9">
        <v>1</v>
      </c>
      <c r="Y219" s="9">
        <v>0</v>
      </c>
      <c r="Z219" s="9">
        <v>0</v>
      </c>
      <c r="AB219" s="9">
        <f t="shared" si="10"/>
        <v>3661</v>
      </c>
      <c r="AC219" s="9">
        <f t="shared" si="11"/>
        <v>20872</v>
      </c>
      <c r="AD219" s="10">
        <f t="shared" si="12"/>
        <v>5.7011745424747335</v>
      </c>
    </row>
    <row r="220" spans="1:30" x14ac:dyDescent="0.3">
      <c r="A220" s="55"/>
      <c r="B220" s="30" t="s">
        <v>222</v>
      </c>
      <c r="C220" s="9">
        <v>96</v>
      </c>
      <c r="D220" s="9">
        <v>59</v>
      </c>
      <c r="E220" s="9">
        <v>95</v>
      </c>
      <c r="F220" s="9">
        <v>117</v>
      </c>
      <c r="G220" s="9">
        <v>119</v>
      </c>
      <c r="H220" s="9">
        <v>191</v>
      </c>
      <c r="I220" s="9">
        <v>110</v>
      </c>
      <c r="J220" s="9">
        <v>63</v>
      </c>
      <c r="K220" s="9">
        <v>76</v>
      </c>
      <c r="L220" s="9">
        <v>27</v>
      </c>
      <c r="M220" s="9">
        <v>19</v>
      </c>
      <c r="N220" s="9">
        <v>10</v>
      </c>
      <c r="O220" s="9">
        <v>78</v>
      </c>
      <c r="P220" s="9">
        <v>11</v>
      </c>
      <c r="Q220" s="9">
        <v>9</v>
      </c>
      <c r="R220" s="9">
        <v>64</v>
      </c>
      <c r="S220" s="9">
        <v>46</v>
      </c>
      <c r="T220" s="9">
        <v>28</v>
      </c>
      <c r="U220" s="9">
        <v>1</v>
      </c>
      <c r="V220" s="9">
        <v>1</v>
      </c>
      <c r="W220" s="9">
        <v>0</v>
      </c>
      <c r="X220" s="9">
        <v>1</v>
      </c>
      <c r="Y220" s="9">
        <v>0</v>
      </c>
      <c r="Z220" s="9">
        <v>0</v>
      </c>
      <c r="AB220" s="9">
        <f t="shared" si="10"/>
        <v>1221</v>
      </c>
      <c r="AC220" s="9">
        <f t="shared" si="11"/>
        <v>7718</v>
      </c>
      <c r="AD220" s="10">
        <f t="shared" si="12"/>
        <v>6.3210483210483215</v>
      </c>
    </row>
    <row r="221" spans="1:30" x14ac:dyDescent="0.3">
      <c r="A221" s="55"/>
      <c r="B221" s="30" t="s">
        <v>223</v>
      </c>
      <c r="C221" s="9">
        <v>138</v>
      </c>
      <c r="D221" s="9">
        <v>109</v>
      </c>
      <c r="E221" s="9">
        <v>135</v>
      </c>
      <c r="F221" s="9">
        <v>246</v>
      </c>
      <c r="G221" s="9">
        <v>254</v>
      </c>
      <c r="H221" s="9">
        <v>605</v>
      </c>
      <c r="I221" s="9">
        <v>279</v>
      </c>
      <c r="J221" s="9">
        <v>256</v>
      </c>
      <c r="K221" s="9">
        <v>450</v>
      </c>
      <c r="L221" s="9">
        <v>214</v>
      </c>
      <c r="M221" s="9">
        <v>257</v>
      </c>
      <c r="N221" s="9">
        <v>232</v>
      </c>
      <c r="O221" s="9">
        <v>938</v>
      </c>
      <c r="P221" s="9">
        <v>53</v>
      </c>
      <c r="Q221" s="9">
        <v>49</v>
      </c>
      <c r="R221" s="9">
        <v>207</v>
      </c>
      <c r="S221" s="9">
        <v>275</v>
      </c>
      <c r="T221" s="9">
        <v>170</v>
      </c>
      <c r="U221" s="9">
        <v>6</v>
      </c>
      <c r="V221" s="9">
        <v>5</v>
      </c>
      <c r="W221" s="9">
        <v>1</v>
      </c>
      <c r="X221" s="9">
        <v>4</v>
      </c>
      <c r="Y221" s="9">
        <v>0</v>
      </c>
      <c r="Z221" s="9">
        <v>0</v>
      </c>
      <c r="AB221" s="9">
        <f t="shared" si="10"/>
        <v>4883</v>
      </c>
      <c r="AC221" s="9">
        <f t="shared" si="11"/>
        <v>42605</v>
      </c>
      <c r="AD221" s="10">
        <f t="shared" si="12"/>
        <v>8.7251689535121848</v>
      </c>
    </row>
    <row r="222" spans="1:30" x14ac:dyDescent="0.3">
      <c r="A222" s="55"/>
      <c r="B222" s="30" t="s">
        <v>224</v>
      </c>
      <c r="C222" s="9">
        <v>48</v>
      </c>
      <c r="D222" s="9">
        <v>28</v>
      </c>
      <c r="E222" s="9">
        <v>36</v>
      </c>
      <c r="F222" s="9">
        <v>56</v>
      </c>
      <c r="G222" s="9">
        <v>76</v>
      </c>
      <c r="H222" s="9">
        <v>137</v>
      </c>
      <c r="I222" s="9">
        <v>87</v>
      </c>
      <c r="J222" s="9">
        <v>84</v>
      </c>
      <c r="K222" s="9">
        <v>177</v>
      </c>
      <c r="L222" s="9">
        <v>48</v>
      </c>
      <c r="M222" s="9">
        <v>39</v>
      </c>
      <c r="N222" s="9">
        <v>29</v>
      </c>
      <c r="O222" s="9">
        <v>182</v>
      </c>
      <c r="P222" s="9">
        <v>2</v>
      </c>
      <c r="Q222" s="9">
        <v>6</v>
      </c>
      <c r="R222" s="9">
        <v>67</v>
      </c>
      <c r="S222" s="9">
        <v>39</v>
      </c>
      <c r="T222" s="9">
        <v>46</v>
      </c>
      <c r="U222" s="9">
        <v>1</v>
      </c>
      <c r="V222" s="9">
        <v>2</v>
      </c>
      <c r="W222" s="9">
        <v>1</v>
      </c>
      <c r="X222" s="9">
        <v>0</v>
      </c>
      <c r="Y222" s="9">
        <v>0</v>
      </c>
      <c r="Z222" s="9">
        <v>0</v>
      </c>
      <c r="AB222" s="9">
        <f t="shared" si="10"/>
        <v>1191</v>
      </c>
      <c r="AC222" s="9">
        <f t="shared" si="11"/>
        <v>9705</v>
      </c>
      <c r="AD222" s="10">
        <f t="shared" si="12"/>
        <v>8.1486146095717888</v>
      </c>
    </row>
    <row r="223" spans="1:30" x14ac:dyDescent="0.3">
      <c r="A223" s="55"/>
      <c r="B223" s="30" t="s">
        <v>225</v>
      </c>
      <c r="C223" s="9">
        <v>274</v>
      </c>
      <c r="D223" s="9">
        <v>151</v>
      </c>
      <c r="E223" s="9">
        <v>272</v>
      </c>
      <c r="F223" s="9">
        <v>248</v>
      </c>
      <c r="G223" s="9">
        <v>274</v>
      </c>
      <c r="H223" s="9">
        <v>336</v>
      </c>
      <c r="I223" s="9">
        <v>161</v>
      </c>
      <c r="J223" s="9">
        <v>95</v>
      </c>
      <c r="K223" s="9">
        <v>96</v>
      </c>
      <c r="L223" s="9">
        <v>49</v>
      </c>
      <c r="M223" s="9">
        <v>49</v>
      </c>
      <c r="N223" s="9">
        <v>44</v>
      </c>
      <c r="O223" s="9">
        <v>160</v>
      </c>
      <c r="P223" s="9">
        <v>19</v>
      </c>
      <c r="Q223" s="9">
        <v>32</v>
      </c>
      <c r="R223" s="9">
        <v>86</v>
      </c>
      <c r="S223" s="9">
        <v>108</v>
      </c>
      <c r="T223" s="9">
        <v>55</v>
      </c>
      <c r="U223" s="9">
        <v>2</v>
      </c>
      <c r="V223" s="9">
        <v>4</v>
      </c>
      <c r="W223" s="9">
        <v>1</v>
      </c>
      <c r="X223" s="9">
        <v>1</v>
      </c>
      <c r="Y223" s="9">
        <v>0</v>
      </c>
      <c r="Z223" s="9">
        <v>0</v>
      </c>
      <c r="AB223" s="9">
        <f t="shared" si="10"/>
        <v>2517</v>
      </c>
      <c r="AC223" s="9">
        <f t="shared" si="11"/>
        <v>14750</v>
      </c>
      <c r="AD223" s="10">
        <f t="shared" si="12"/>
        <v>5.8601509733810095</v>
      </c>
    </row>
    <row r="224" spans="1:30" x14ac:dyDescent="0.3">
      <c r="A224" s="55"/>
      <c r="B224" s="30" t="s">
        <v>226</v>
      </c>
      <c r="C224" s="9">
        <v>50</v>
      </c>
      <c r="D224" s="9">
        <v>55</v>
      </c>
      <c r="E224" s="9">
        <v>92</v>
      </c>
      <c r="F224" s="9">
        <v>120</v>
      </c>
      <c r="G224" s="9">
        <v>90</v>
      </c>
      <c r="H224" s="9">
        <v>178</v>
      </c>
      <c r="I224" s="9">
        <v>83</v>
      </c>
      <c r="J224" s="9">
        <v>65</v>
      </c>
      <c r="K224" s="9">
        <v>92</v>
      </c>
      <c r="L224" s="9">
        <v>29</v>
      </c>
      <c r="M224" s="9">
        <v>25</v>
      </c>
      <c r="N224" s="9">
        <v>18</v>
      </c>
      <c r="O224" s="9">
        <v>106</v>
      </c>
      <c r="P224" s="9">
        <v>8</v>
      </c>
      <c r="Q224" s="9">
        <v>10</v>
      </c>
      <c r="R224" s="9">
        <v>33</v>
      </c>
      <c r="S224" s="9">
        <v>48</v>
      </c>
      <c r="T224" s="9">
        <v>23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B224" s="9">
        <f t="shared" si="10"/>
        <v>1125</v>
      </c>
      <c r="AC224" s="9">
        <f t="shared" si="11"/>
        <v>7417</v>
      </c>
      <c r="AD224" s="10">
        <f t="shared" si="12"/>
        <v>6.592888888888889</v>
      </c>
    </row>
    <row r="225" spans="1:30" x14ac:dyDescent="0.3">
      <c r="A225" s="55"/>
      <c r="B225" s="30" t="s">
        <v>227</v>
      </c>
      <c r="C225" s="9">
        <v>135</v>
      </c>
      <c r="D225" s="9">
        <v>106</v>
      </c>
      <c r="E225" s="9">
        <v>118</v>
      </c>
      <c r="F225" s="9">
        <v>208</v>
      </c>
      <c r="G225" s="9">
        <v>203</v>
      </c>
      <c r="H225" s="9">
        <v>580</v>
      </c>
      <c r="I225" s="9">
        <v>263</v>
      </c>
      <c r="J225" s="9">
        <v>217</v>
      </c>
      <c r="K225" s="9">
        <v>444</v>
      </c>
      <c r="L225" s="9">
        <v>232</v>
      </c>
      <c r="M225" s="9">
        <v>277</v>
      </c>
      <c r="N225" s="9">
        <v>255</v>
      </c>
      <c r="O225" s="9">
        <v>1450</v>
      </c>
      <c r="P225" s="9">
        <v>99</v>
      </c>
      <c r="Q225" s="9">
        <v>152</v>
      </c>
      <c r="R225" s="9">
        <v>444</v>
      </c>
      <c r="S225" s="9">
        <v>513</v>
      </c>
      <c r="T225" s="9">
        <v>515</v>
      </c>
      <c r="U225" s="9">
        <v>27</v>
      </c>
      <c r="V225" s="9">
        <v>30</v>
      </c>
      <c r="W225" s="9">
        <v>7</v>
      </c>
      <c r="X225" s="9">
        <v>2</v>
      </c>
      <c r="Y225" s="9">
        <v>1</v>
      </c>
      <c r="Z225" s="9">
        <v>2</v>
      </c>
      <c r="AB225" s="9">
        <f t="shared" si="10"/>
        <v>6280</v>
      </c>
      <c r="AC225" s="9">
        <f t="shared" si="11"/>
        <v>64734</v>
      </c>
      <c r="AD225" s="10">
        <f t="shared" si="12"/>
        <v>10.30796178343949</v>
      </c>
    </row>
    <row r="226" spans="1:30" x14ac:dyDescent="0.3">
      <c r="A226" s="55"/>
      <c r="B226" s="30" t="s">
        <v>228</v>
      </c>
      <c r="C226" s="9">
        <v>26</v>
      </c>
      <c r="D226" s="9">
        <v>26</v>
      </c>
      <c r="E226" s="9">
        <v>43</v>
      </c>
      <c r="F226" s="9">
        <v>64</v>
      </c>
      <c r="G226" s="9">
        <v>46</v>
      </c>
      <c r="H226" s="9">
        <v>137</v>
      </c>
      <c r="I226" s="9">
        <v>74</v>
      </c>
      <c r="J226" s="9">
        <v>66</v>
      </c>
      <c r="K226" s="9">
        <v>130</v>
      </c>
      <c r="L226" s="9">
        <v>79</v>
      </c>
      <c r="M226" s="9">
        <v>115</v>
      </c>
      <c r="N226" s="9">
        <v>106</v>
      </c>
      <c r="O226" s="9">
        <v>545</v>
      </c>
      <c r="P226" s="9">
        <v>23</v>
      </c>
      <c r="Q226" s="9">
        <v>51</v>
      </c>
      <c r="R226" s="9">
        <v>140</v>
      </c>
      <c r="S226" s="9">
        <v>147</v>
      </c>
      <c r="T226" s="9">
        <v>125</v>
      </c>
      <c r="U226" s="9">
        <v>7</v>
      </c>
      <c r="V226" s="9">
        <v>7</v>
      </c>
      <c r="W226" s="9">
        <v>1</v>
      </c>
      <c r="X226" s="9">
        <v>2</v>
      </c>
      <c r="Y226" s="9">
        <v>1</v>
      </c>
      <c r="Z226" s="9">
        <v>0</v>
      </c>
      <c r="AB226" s="9">
        <f t="shared" si="10"/>
        <v>1961</v>
      </c>
      <c r="AC226" s="9">
        <f t="shared" si="11"/>
        <v>20619</v>
      </c>
      <c r="AD226" s="10">
        <f t="shared" si="12"/>
        <v>10.514533401325854</v>
      </c>
    </row>
    <row r="227" spans="1:30" x14ac:dyDescent="0.3">
      <c r="A227" s="55"/>
      <c r="B227" s="30" t="s">
        <v>229</v>
      </c>
      <c r="C227" s="9">
        <v>13</v>
      </c>
      <c r="D227" s="9">
        <v>28</v>
      </c>
      <c r="E227" s="9">
        <v>25</v>
      </c>
      <c r="F227" s="9">
        <v>39</v>
      </c>
      <c r="G227" s="9">
        <v>38</v>
      </c>
      <c r="H227" s="9">
        <v>129</v>
      </c>
      <c r="I227" s="9">
        <v>104</v>
      </c>
      <c r="J227" s="9">
        <v>81</v>
      </c>
      <c r="K227" s="9">
        <v>193</v>
      </c>
      <c r="L227" s="9">
        <v>104</v>
      </c>
      <c r="M227" s="9">
        <v>130</v>
      </c>
      <c r="N227" s="9">
        <v>89</v>
      </c>
      <c r="O227" s="9">
        <v>595</v>
      </c>
      <c r="P227" s="9">
        <v>23</v>
      </c>
      <c r="Q227" s="9">
        <v>40</v>
      </c>
      <c r="R227" s="9">
        <v>229</v>
      </c>
      <c r="S227" s="9">
        <v>202</v>
      </c>
      <c r="T227" s="9">
        <v>197</v>
      </c>
      <c r="U227" s="9">
        <v>17</v>
      </c>
      <c r="V227" s="9">
        <v>23</v>
      </c>
      <c r="W227" s="9">
        <v>1</v>
      </c>
      <c r="X227" s="9">
        <v>2</v>
      </c>
      <c r="Y227" s="9">
        <v>2</v>
      </c>
      <c r="Z227" s="9">
        <v>0</v>
      </c>
      <c r="AB227" s="9">
        <f t="shared" si="10"/>
        <v>2304</v>
      </c>
      <c r="AC227" s="9">
        <f t="shared" si="11"/>
        <v>25806</v>
      </c>
      <c r="AD227" s="10">
        <f t="shared" si="12"/>
        <v>11.200520833333334</v>
      </c>
    </row>
    <row r="228" spans="1:30" x14ac:dyDescent="0.3">
      <c r="A228" s="55"/>
      <c r="B228" s="30" t="s">
        <v>230</v>
      </c>
      <c r="C228" s="9">
        <v>1</v>
      </c>
      <c r="D228" s="9">
        <v>3</v>
      </c>
      <c r="E228" s="9">
        <v>0</v>
      </c>
      <c r="F228" s="9">
        <v>0</v>
      </c>
      <c r="G228" s="9">
        <v>0</v>
      </c>
      <c r="H228" s="9">
        <v>5</v>
      </c>
      <c r="I228" s="9">
        <v>6</v>
      </c>
      <c r="J228" s="9">
        <v>2</v>
      </c>
      <c r="K228" s="9">
        <v>4</v>
      </c>
      <c r="L228" s="9">
        <v>10</v>
      </c>
      <c r="M228" s="9">
        <v>8</v>
      </c>
      <c r="N228" s="9">
        <v>7</v>
      </c>
      <c r="O228" s="9">
        <v>93</v>
      </c>
      <c r="P228" s="9">
        <v>1</v>
      </c>
      <c r="Q228" s="9">
        <v>5</v>
      </c>
      <c r="R228" s="9">
        <v>24</v>
      </c>
      <c r="S228" s="9">
        <v>11</v>
      </c>
      <c r="T228" s="9">
        <v>12</v>
      </c>
      <c r="U228" s="9">
        <v>1</v>
      </c>
      <c r="V228" s="9">
        <v>1</v>
      </c>
      <c r="W228" s="9">
        <v>0</v>
      </c>
      <c r="X228" s="9">
        <v>0</v>
      </c>
      <c r="Y228" s="9">
        <v>0</v>
      </c>
      <c r="Z228" s="9">
        <v>0</v>
      </c>
      <c r="AB228" s="9">
        <f t="shared" si="10"/>
        <v>194</v>
      </c>
      <c r="AC228" s="9">
        <f t="shared" si="11"/>
        <v>2333</v>
      </c>
      <c r="AD228" s="10">
        <f t="shared" si="12"/>
        <v>12.025773195876289</v>
      </c>
    </row>
    <row r="229" spans="1:30" x14ac:dyDescent="0.3">
      <c r="A229" s="55"/>
      <c r="B229" s="30" t="s">
        <v>231</v>
      </c>
      <c r="C229" s="9">
        <v>10</v>
      </c>
      <c r="D229" s="9">
        <v>7</v>
      </c>
      <c r="E229" s="9">
        <v>17</v>
      </c>
      <c r="F229" s="9">
        <v>14</v>
      </c>
      <c r="G229" s="9">
        <v>13</v>
      </c>
      <c r="H229" s="9">
        <v>60</v>
      </c>
      <c r="I229" s="9">
        <v>40</v>
      </c>
      <c r="J229" s="9">
        <v>32</v>
      </c>
      <c r="K229" s="9">
        <v>69</v>
      </c>
      <c r="L229" s="9">
        <v>27</v>
      </c>
      <c r="M229" s="9">
        <v>15</v>
      </c>
      <c r="N229" s="9">
        <v>27</v>
      </c>
      <c r="O229" s="9">
        <v>80</v>
      </c>
      <c r="P229" s="9">
        <v>4</v>
      </c>
      <c r="Q229" s="9">
        <v>5</v>
      </c>
      <c r="R229" s="9">
        <v>27</v>
      </c>
      <c r="S229" s="9">
        <v>40</v>
      </c>
      <c r="T229" s="9">
        <v>34</v>
      </c>
      <c r="U229" s="9">
        <v>5</v>
      </c>
      <c r="V229" s="9">
        <v>3</v>
      </c>
      <c r="W229" s="9">
        <v>2</v>
      </c>
      <c r="X229" s="9">
        <v>0</v>
      </c>
      <c r="Y229" s="9">
        <v>0</v>
      </c>
      <c r="Z229" s="9">
        <v>0</v>
      </c>
      <c r="AB229" s="9">
        <f t="shared" si="10"/>
        <v>531</v>
      </c>
      <c r="AC229" s="9">
        <f t="shared" si="11"/>
        <v>5033</v>
      </c>
      <c r="AD229" s="10">
        <f t="shared" si="12"/>
        <v>9.4783427495291903</v>
      </c>
    </row>
    <row r="230" spans="1:30" x14ac:dyDescent="0.3">
      <c r="A230" s="55"/>
      <c r="B230" s="30" t="s">
        <v>232</v>
      </c>
      <c r="C230" s="9">
        <v>4</v>
      </c>
      <c r="D230" s="9">
        <v>2</v>
      </c>
      <c r="E230" s="9">
        <v>4</v>
      </c>
      <c r="F230" s="9">
        <v>3</v>
      </c>
      <c r="G230" s="9">
        <v>13</v>
      </c>
      <c r="H230" s="9">
        <v>17</v>
      </c>
      <c r="I230" s="9">
        <v>17</v>
      </c>
      <c r="J230" s="9">
        <v>20</v>
      </c>
      <c r="K230" s="9">
        <v>34</v>
      </c>
      <c r="L230" s="9">
        <v>10</v>
      </c>
      <c r="M230" s="9">
        <v>9</v>
      </c>
      <c r="N230" s="9">
        <v>4</v>
      </c>
      <c r="O230" s="9">
        <v>44</v>
      </c>
      <c r="P230" s="9">
        <v>3</v>
      </c>
      <c r="Q230" s="9">
        <v>0</v>
      </c>
      <c r="R230" s="9">
        <v>8</v>
      </c>
      <c r="S230" s="9">
        <v>3</v>
      </c>
      <c r="T230" s="9">
        <v>7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B230" s="9">
        <f t="shared" si="10"/>
        <v>202</v>
      </c>
      <c r="AC230" s="9">
        <f t="shared" si="11"/>
        <v>1748</v>
      </c>
      <c r="AD230" s="10">
        <f t="shared" si="12"/>
        <v>8.653465346534654</v>
      </c>
    </row>
    <row r="231" spans="1:30" x14ac:dyDescent="0.3">
      <c r="A231" s="55"/>
      <c r="B231" s="30" t="s">
        <v>233</v>
      </c>
      <c r="C231" s="9">
        <v>5</v>
      </c>
      <c r="D231" s="9">
        <v>8</v>
      </c>
      <c r="E231" s="9">
        <v>9</v>
      </c>
      <c r="F231" s="9">
        <v>13</v>
      </c>
      <c r="G231" s="9">
        <v>11</v>
      </c>
      <c r="H231" s="9">
        <v>38</v>
      </c>
      <c r="I231" s="9">
        <v>17</v>
      </c>
      <c r="J231" s="9">
        <v>36</v>
      </c>
      <c r="K231" s="9">
        <v>76</v>
      </c>
      <c r="L231" s="9">
        <v>14</v>
      </c>
      <c r="M231" s="9">
        <v>11</v>
      </c>
      <c r="N231" s="9">
        <v>18</v>
      </c>
      <c r="O231" s="9">
        <v>75</v>
      </c>
      <c r="P231" s="9">
        <v>1</v>
      </c>
      <c r="Q231" s="9">
        <v>1</v>
      </c>
      <c r="R231" s="9">
        <v>7</v>
      </c>
      <c r="S231" s="9">
        <v>14</v>
      </c>
      <c r="T231" s="9">
        <v>6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B231" s="9">
        <f t="shared" si="10"/>
        <v>360</v>
      </c>
      <c r="AC231" s="9">
        <f t="shared" si="11"/>
        <v>3053</v>
      </c>
      <c r="AD231" s="10">
        <f t="shared" si="12"/>
        <v>8.4805555555555561</v>
      </c>
    </row>
    <row r="232" spans="1:30" x14ac:dyDescent="0.3">
      <c r="A232" s="55"/>
      <c r="B232" s="30" t="s">
        <v>234</v>
      </c>
      <c r="C232" s="9">
        <v>90</v>
      </c>
      <c r="D232" s="9">
        <v>66</v>
      </c>
      <c r="E232" s="9">
        <v>94</v>
      </c>
      <c r="F232" s="9">
        <v>145</v>
      </c>
      <c r="G232" s="9">
        <v>133</v>
      </c>
      <c r="H232" s="9">
        <v>277</v>
      </c>
      <c r="I232" s="9">
        <v>196</v>
      </c>
      <c r="J232" s="9">
        <v>147</v>
      </c>
      <c r="K232" s="9">
        <v>237</v>
      </c>
      <c r="L232" s="9">
        <v>99</v>
      </c>
      <c r="M232" s="9">
        <v>103</v>
      </c>
      <c r="N232" s="9">
        <v>114</v>
      </c>
      <c r="O232" s="9">
        <v>478</v>
      </c>
      <c r="P232" s="9">
        <v>24</v>
      </c>
      <c r="Q232" s="9">
        <v>35</v>
      </c>
      <c r="R232" s="9">
        <v>91</v>
      </c>
      <c r="S232" s="9">
        <v>144</v>
      </c>
      <c r="T232" s="9">
        <v>98</v>
      </c>
      <c r="U232" s="9">
        <v>4</v>
      </c>
      <c r="V232" s="9">
        <v>5</v>
      </c>
      <c r="W232" s="9">
        <v>1</v>
      </c>
      <c r="X232" s="9">
        <v>2</v>
      </c>
      <c r="Y232" s="9">
        <v>0</v>
      </c>
      <c r="Z232" s="9">
        <v>1</v>
      </c>
      <c r="AB232" s="9">
        <f t="shared" si="10"/>
        <v>2584</v>
      </c>
      <c r="AC232" s="9">
        <f t="shared" si="11"/>
        <v>22007</v>
      </c>
      <c r="AD232" s="10">
        <f t="shared" si="12"/>
        <v>8.5166408668730647</v>
      </c>
    </row>
    <row r="233" spans="1:30" x14ac:dyDescent="0.3">
      <c r="A233" s="55"/>
      <c r="B233" s="30" t="s">
        <v>235</v>
      </c>
      <c r="C233" s="9">
        <v>75</v>
      </c>
      <c r="D233" s="9">
        <v>28</v>
      </c>
      <c r="E233" s="9">
        <v>56</v>
      </c>
      <c r="F233" s="9">
        <v>82</v>
      </c>
      <c r="G233" s="9">
        <v>109</v>
      </c>
      <c r="H233" s="9">
        <v>163</v>
      </c>
      <c r="I233" s="9">
        <v>109</v>
      </c>
      <c r="J233" s="9">
        <v>93</v>
      </c>
      <c r="K233" s="9">
        <v>165</v>
      </c>
      <c r="L233" s="9">
        <v>68</v>
      </c>
      <c r="M233" s="9">
        <v>48</v>
      </c>
      <c r="N233" s="9">
        <v>70</v>
      </c>
      <c r="O233" s="9">
        <v>322</v>
      </c>
      <c r="P233" s="9">
        <v>17</v>
      </c>
      <c r="Q233" s="9">
        <v>28</v>
      </c>
      <c r="R233" s="9">
        <v>87</v>
      </c>
      <c r="S233" s="9">
        <v>101</v>
      </c>
      <c r="T233" s="9">
        <v>75</v>
      </c>
      <c r="U233" s="9">
        <v>2</v>
      </c>
      <c r="V233" s="9">
        <v>1</v>
      </c>
      <c r="W233" s="9">
        <v>2</v>
      </c>
      <c r="X233" s="9">
        <v>0</v>
      </c>
      <c r="Y233" s="9">
        <v>1</v>
      </c>
      <c r="Z233" s="9">
        <v>0</v>
      </c>
      <c r="AB233" s="9">
        <f t="shared" si="10"/>
        <v>1702</v>
      </c>
      <c r="AC233" s="9">
        <f t="shared" si="11"/>
        <v>14914</v>
      </c>
      <c r="AD233" s="10">
        <f t="shared" si="12"/>
        <v>8.7626321974148063</v>
      </c>
    </row>
    <row r="234" spans="1:30" x14ac:dyDescent="0.3">
      <c r="A234" s="55"/>
      <c r="B234" s="30" t="s">
        <v>236</v>
      </c>
      <c r="C234" s="9">
        <v>184</v>
      </c>
      <c r="D234" s="9">
        <v>87</v>
      </c>
      <c r="E234" s="9">
        <v>116</v>
      </c>
      <c r="F234" s="9">
        <v>222</v>
      </c>
      <c r="G234" s="9">
        <v>158</v>
      </c>
      <c r="H234" s="9">
        <v>249</v>
      </c>
      <c r="I234" s="9">
        <v>151</v>
      </c>
      <c r="J234" s="9">
        <v>111</v>
      </c>
      <c r="K234" s="9">
        <v>124</v>
      </c>
      <c r="L234" s="9">
        <v>45</v>
      </c>
      <c r="M234" s="9">
        <v>37</v>
      </c>
      <c r="N234" s="9">
        <v>39</v>
      </c>
      <c r="O234" s="9">
        <v>153</v>
      </c>
      <c r="P234" s="9">
        <v>5</v>
      </c>
      <c r="Q234" s="9">
        <v>9</v>
      </c>
      <c r="R234" s="9">
        <v>37</v>
      </c>
      <c r="S234" s="9">
        <v>27</v>
      </c>
      <c r="T234" s="9">
        <v>20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B234" s="9">
        <f t="shared" si="10"/>
        <v>1776</v>
      </c>
      <c r="AC234" s="9">
        <f t="shared" si="11"/>
        <v>10132</v>
      </c>
      <c r="AD234" s="10">
        <f t="shared" si="12"/>
        <v>5.704954954954955</v>
      </c>
    </row>
    <row r="235" spans="1:30" x14ac:dyDescent="0.3">
      <c r="A235" s="55"/>
      <c r="B235" s="30" t="s">
        <v>237</v>
      </c>
      <c r="C235" s="9">
        <v>70</v>
      </c>
      <c r="D235" s="9">
        <v>38</v>
      </c>
      <c r="E235" s="9">
        <v>56</v>
      </c>
      <c r="F235" s="9">
        <v>105</v>
      </c>
      <c r="G235" s="9">
        <v>104</v>
      </c>
      <c r="H235" s="9">
        <v>269</v>
      </c>
      <c r="I235" s="9">
        <v>180</v>
      </c>
      <c r="J235" s="9">
        <v>160</v>
      </c>
      <c r="K235" s="9">
        <v>334</v>
      </c>
      <c r="L235" s="9">
        <v>170</v>
      </c>
      <c r="M235" s="9">
        <v>243</v>
      </c>
      <c r="N235" s="9">
        <v>243</v>
      </c>
      <c r="O235" s="9">
        <v>1200</v>
      </c>
      <c r="P235" s="9">
        <v>95</v>
      </c>
      <c r="Q235" s="9">
        <v>137</v>
      </c>
      <c r="R235" s="9">
        <v>536</v>
      </c>
      <c r="S235" s="9">
        <v>473</v>
      </c>
      <c r="T235" s="9">
        <v>427</v>
      </c>
      <c r="U235" s="9">
        <v>10</v>
      </c>
      <c r="V235" s="9">
        <v>28</v>
      </c>
      <c r="W235" s="9">
        <v>4</v>
      </c>
      <c r="X235" s="9">
        <v>2</v>
      </c>
      <c r="Y235" s="9">
        <v>0</v>
      </c>
      <c r="Z235" s="9">
        <v>1</v>
      </c>
      <c r="AB235" s="9">
        <f t="shared" si="10"/>
        <v>4885</v>
      </c>
      <c r="AC235" s="9">
        <f t="shared" si="11"/>
        <v>55008</v>
      </c>
      <c r="AD235" s="10">
        <f t="shared" si="12"/>
        <v>11.260593654042989</v>
      </c>
    </row>
    <row r="236" spans="1:30" x14ac:dyDescent="0.3">
      <c r="A236" s="55"/>
      <c r="B236" s="30" t="s">
        <v>238</v>
      </c>
      <c r="C236" s="9">
        <v>25</v>
      </c>
      <c r="D236" s="9">
        <v>17</v>
      </c>
      <c r="E236" s="9">
        <v>37</v>
      </c>
      <c r="F236" s="9">
        <v>34</v>
      </c>
      <c r="G236" s="9">
        <v>45</v>
      </c>
      <c r="H236" s="9">
        <v>115</v>
      </c>
      <c r="I236" s="9">
        <v>59</v>
      </c>
      <c r="J236" s="9">
        <v>50</v>
      </c>
      <c r="K236" s="9">
        <v>95</v>
      </c>
      <c r="L236" s="9">
        <v>59</v>
      </c>
      <c r="M236" s="9">
        <v>56</v>
      </c>
      <c r="N236" s="9">
        <v>60</v>
      </c>
      <c r="O236" s="9">
        <v>275</v>
      </c>
      <c r="P236" s="9">
        <v>11</v>
      </c>
      <c r="Q236" s="9">
        <v>15</v>
      </c>
      <c r="R236" s="9">
        <v>66</v>
      </c>
      <c r="S236" s="9">
        <v>55</v>
      </c>
      <c r="T236" s="9">
        <v>53</v>
      </c>
      <c r="U236" s="9">
        <v>1</v>
      </c>
      <c r="V236" s="9">
        <v>10</v>
      </c>
      <c r="W236" s="9">
        <v>2</v>
      </c>
      <c r="X236" s="9">
        <v>0</v>
      </c>
      <c r="Y236" s="9">
        <v>0</v>
      </c>
      <c r="Z236" s="9">
        <v>0</v>
      </c>
      <c r="AB236" s="9">
        <f t="shared" si="10"/>
        <v>1140</v>
      </c>
      <c r="AC236" s="9">
        <f t="shared" si="11"/>
        <v>10835</v>
      </c>
      <c r="AD236" s="10">
        <f t="shared" si="12"/>
        <v>9.5043859649122808</v>
      </c>
    </row>
    <row r="237" spans="1:30" x14ac:dyDescent="0.3">
      <c r="A237" s="55"/>
      <c r="B237" s="30" t="s">
        <v>239</v>
      </c>
      <c r="C237" s="9">
        <v>35</v>
      </c>
      <c r="D237" s="9">
        <v>42</v>
      </c>
      <c r="E237" s="9">
        <v>74</v>
      </c>
      <c r="F237" s="9">
        <v>103</v>
      </c>
      <c r="G237" s="9">
        <v>106</v>
      </c>
      <c r="H237" s="9">
        <v>156</v>
      </c>
      <c r="I237" s="9">
        <v>116</v>
      </c>
      <c r="J237" s="9">
        <v>93</v>
      </c>
      <c r="K237" s="9">
        <v>150</v>
      </c>
      <c r="L237" s="9">
        <v>108</v>
      </c>
      <c r="M237" s="9">
        <v>119</v>
      </c>
      <c r="N237" s="9">
        <v>102</v>
      </c>
      <c r="O237" s="9">
        <v>498</v>
      </c>
      <c r="P237" s="9">
        <v>19</v>
      </c>
      <c r="Q237" s="9">
        <v>26</v>
      </c>
      <c r="R237" s="9">
        <v>96</v>
      </c>
      <c r="S237" s="9">
        <v>102</v>
      </c>
      <c r="T237" s="9">
        <v>79</v>
      </c>
      <c r="U237" s="9">
        <v>1</v>
      </c>
      <c r="V237" s="9">
        <v>9</v>
      </c>
      <c r="W237" s="9">
        <v>0</v>
      </c>
      <c r="X237" s="9">
        <v>0</v>
      </c>
      <c r="Y237" s="9">
        <v>0</v>
      </c>
      <c r="Z237" s="9">
        <v>0</v>
      </c>
      <c r="AB237" s="9">
        <f t="shared" si="10"/>
        <v>2034</v>
      </c>
      <c r="AC237" s="9">
        <f t="shared" si="11"/>
        <v>18725</v>
      </c>
      <c r="AD237" s="10">
        <f t="shared" si="12"/>
        <v>9.205998033431662</v>
      </c>
    </row>
    <row r="238" spans="1:30" x14ac:dyDescent="0.3">
      <c r="A238" s="55"/>
      <c r="B238" s="30" t="s">
        <v>240</v>
      </c>
      <c r="C238" s="9">
        <v>29</v>
      </c>
      <c r="D238" s="9">
        <v>12</v>
      </c>
      <c r="E238" s="9">
        <v>27</v>
      </c>
      <c r="F238" s="9">
        <v>46</v>
      </c>
      <c r="G238" s="9">
        <v>51</v>
      </c>
      <c r="H238" s="9">
        <v>77</v>
      </c>
      <c r="I238" s="9">
        <v>32</v>
      </c>
      <c r="J238" s="9">
        <v>43</v>
      </c>
      <c r="K238" s="9">
        <v>70</v>
      </c>
      <c r="L238" s="9">
        <v>37</v>
      </c>
      <c r="M238" s="9">
        <v>40</v>
      </c>
      <c r="N238" s="9">
        <v>32</v>
      </c>
      <c r="O238" s="9">
        <v>131</v>
      </c>
      <c r="P238" s="9">
        <v>1</v>
      </c>
      <c r="Q238" s="9">
        <v>2</v>
      </c>
      <c r="R238" s="9">
        <v>23</v>
      </c>
      <c r="S238" s="9">
        <v>38</v>
      </c>
      <c r="T238" s="9">
        <v>24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B238" s="9">
        <f t="shared" si="10"/>
        <v>715</v>
      </c>
      <c r="AC238" s="9">
        <f t="shared" si="11"/>
        <v>5905</v>
      </c>
      <c r="AD238" s="10">
        <f t="shared" si="12"/>
        <v>8.2587412587412583</v>
      </c>
    </row>
    <row r="239" spans="1:30" x14ac:dyDescent="0.3">
      <c r="A239" s="55"/>
      <c r="B239" s="30" t="s">
        <v>241</v>
      </c>
      <c r="C239" s="9">
        <v>32</v>
      </c>
      <c r="D239" s="9">
        <v>21</v>
      </c>
      <c r="E239" s="9">
        <v>50</v>
      </c>
      <c r="F239" s="9">
        <v>60</v>
      </c>
      <c r="G239" s="9">
        <v>60</v>
      </c>
      <c r="H239" s="9">
        <v>67</v>
      </c>
      <c r="I239" s="9">
        <v>28</v>
      </c>
      <c r="J239" s="9">
        <v>27</v>
      </c>
      <c r="K239" s="9">
        <v>31</v>
      </c>
      <c r="L239" s="9">
        <v>9</v>
      </c>
      <c r="M239" s="9">
        <v>10</v>
      </c>
      <c r="N239" s="9">
        <v>5</v>
      </c>
      <c r="O239" s="9">
        <v>24</v>
      </c>
      <c r="P239" s="9">
        <v>5</v>
      </c>
      <c r="Q239" s="9">
        <v>2</v>
      </c>
      <c r="R239" s="9">
        <v>27</v>
      </c>
      <c r="S239" s="9">
        <v>30</v>
      </c>
      <c r="T239" s="9">
        <v>22</v>
      </c>
      <c r="U239" s="9">
        <v>0</v>
      </c>
      <c r="V239" s="9">
        <v>3</v>
      </c>
      <c r="W239" s="9">
        <v>0</v>
      </c>
      <c r="X239" s="9">
        <v>0</v>
      </c>
      <c r="Y239" s="9">
        <v>0</v>
      </c>
      <c r="Z239" s="9">
        <v>0</v>
      </c>
      <c r="AB239" s="9">
        <f t="shared" si="10"/>
        <v>513</v>
      </c>
      <c r="AC239" s="9">
        <f t="shared" si="11"/>
        <v>3414</v>
      </c>
      <c r="AD239" s="10">
        <f t="shared" si="12"/>
        <v>6.6549707602339181</v>
      </c>
    </row>
    <row r="240" spans="1:30" x14ac:dyDescent="0.3">
      <c r="A240" s="55"/>
      <c r="B240" s="30" t="s">
        <v>242</v>
      </c>
      <c r="C240" s="9">
        <v>23</v>
      </c>
      <c r="D240" s="9">
        <v>21</v>
      </c>
      <c r="E240" s="9">
        <v>42</v>
      </c>
      <c r="F240" s="9">
        <v>59</v>
      </c>
      <c r="G240" s="9">
        <v>54</v>
      </c>
      <c r="H240" s="9">
        <v>60</v>
      </c>
      <c r="I240" s="9">
        <v>59</v>
      </c>
      <c r="J240" s="9">
        <v>44</v>
      </c>
      <c r="K240" s="9">
        <v>50</v>
      </c>
      <c r="L240" s="9">
        <v>17</v>
      </c>
      <c r="M240" s="9">
        <v>15</v>
      </c>
      <c r="N240" s="9">
        <v>14</v>
      </c>
      <c r="O240" s="9">
        <v>65</v>
      </c>
      <c r="P240" s="9">
        <v>6</v>
      </c>
      <c r="Q240" s="9">
        <v>7</v>
      </c>
      <c r="R240" s="9">
        <v>31</v>
      </c>
      <c r="S240" s="9">
        <v>35</v>
      </c>
      <c r="T240" s="9">
        <v>26</v>
      </c>
      <c r="U240" s="9">
        <v>0</v>
      </c>
      <c r="V240" s="9">
        <v>3</v>
      </c>
      <c r="W240" s="9">
        <v>0</v>
      </c>
      <c r="X240" s="9">
        <v>0</v>
      </c>
      <c r="Y240" s="9">
        <v>1</v>
      </c>
      <c r="Z240" s="9">
        <v>0</v>
      </c>
      <c r="AB240" s="9">
        <f t="shared" si="10"/>
        <v>632</v>
      </c>
      <c r="AC240" s="9">
        <f t="shared" si="11"/>
        <v>4819</v>
      </c>
      <c r="AD240" s="10">
        <f t="shared" si="12"/>
        <v>7.625</v>
      </c>
    </row>
    <row r="241" spans="1:54" x14ac:dyDescent="0.3">
      <c r="A241" s="55"/>
      <c r="B241" s="30" t="s">
        <v>243</v>
      </c>
      <c r="C241" s="9">
        <v>5</v>
      </c>
      <c r="D241" s="9">
        <v>3</v>
      </c>
      <c r="E241" s="9">
        <v>8</v>
      </c>
      <c r="F241" s="9">
        <v>3</v>
      </c>
      <c r="G241" s="9">
        <v>9</v>
      </c>
      <c r="H241" s="9">
        <v>22</v>
      </c>
      <c r="I241" s="9">
        <v>25</v>
      </c>
      <c r="J241" s="9">
        <v>16</v>
      </c>
      <c r="K241" s="9">
        <v>44</v>
      </c>
      <c r="L241" s="9">
        <v>34</v>
      </c>
      <c r="M241" s="9">
        <v>33</v>
      </c>
      <c r="N241" s="9">
        <v>30</v>
      </c>
      <c r="O241" s="9">
        <v>165</v>
      </c>
      <c r="P241" s="9">
        <v>20</v>
      </c>
      <c r="Q241" s="9">
        <v>21</v>
      </c>
      <c r="R241" s="9">
        <v>102</v>
      </c>
      <c r="S241" s="9">
        <v>73</v>
      </c>
      <c r="T241" s="9">
        <v>34</v>
      </c>
      <c r="U241" s="9">
        <v>2</v>
      </c>
      <c r="V241" s="9">
        <v>2</v>
      </c>
      <c r="W241" s="9">
        <v>0</v>
      </c>
      <c r="X241" s="9">
        <v>0</v>
      </c>
      <c r="Y241" s="9">
        <v>1</v>
      </c>
      <c r="Z241" s="9">
        <v>0</v>
      </c>
      <c r="AB241" s="9">
        <f t="shared" si="10"/>
        <v>652</v>
      </c>
      <c r="AC241" s="9">
        <f t="shared" si="11"/>
        <v>7660</v>
      </c>
      <c r="AD241" s="10">
        <f t="shared" si="12"/>
        <v>11.748466257668712</v>
      </c>
    </row>
    <row r="242" spans="1:54" x14ac:dyDescent="0.3">
      <c r="A242" s="55"/>
      <c r="B242" s="30" t="s">
        <v>244</v>
      </c>
      <c r="C242" s="9">
        <v>5</v>
      </c>
      <c r="D242" s="9">
        <v>0</v>
      </c>
      <c r="E242" s="9">
        <v>1</v>
      </c>
      <c r="F242" s="9">
        <v>5</v>
      </c>
      <c r="G242" s="9">
        <v>5</v>
      </c>
      <c r="H242" s="9">
        <v>5</v>
      </c>
      <c r="I242" s="9">
        <v>6</v>
      </c>
      <c r="J242" s="9">
        <v>1</v>
      </c>
      <c r="K242" s="9">
        <v>10</v>
      </c>
      <c r="L242" s="9">
        <v>6</v>
      </c>
      <c r="M242" s="9">
        <v>13</v>
      </c>
      <c r="N242" s="9">
        <v>10</v>
      </c>
      <c r="O242" s="9">
        <v>88</v>
      </c>
      <c r="P242" s="9">
        <v>5</v>
      </c>
      <c r="Q242" s="9">
        <v>3</v>
      </c>
      <c r="R242" s="9">
        <v>33</v>
      </c>
      <c r="S242" s="9">
        <v>8</v>
      </c>
      <c r="T242" s="9">
        <v>21</v>
      </c>
      <c r="U242" s="9">
        <v>0</v>
      </c>
      <c r="V242" s="9">
        <v>1</v>
      </c>
      <c r="W242" s="9">
        <v>1</v>
      </c>
      <c r="X242" s="9">
        <v>0</v>
      </c>
      <c r="Y242" s="9">
        <v>0</v>
      </c>
      <c r="Z242" s="9">
        <v>0</v>
      </c>
      <c r="AB242" s="9">
        <f t="shared" si="10"/>
        <v>227</v>
      </c>
      <c r="AC242" s="9">
        <f t="shared" si="11"/>
        <v>2661</v>
      </c>
      <c r="AD242" s="10">
        <f t="shared" si="12"/>
        <v>11.722466960352422</v>
      </c>
    </row>
    <row r="243" spans="1:54" x14ac:dyDescent="0.3">
      <c r="A243" s="55"/>
      <c r="B243" s="30" t="s">
        <v>245</v>
      </c>
      <c r="C243" s="9">
        <v>175</v>
      </c>
      <c r="D243" s="9">
        <v>142</v>
      </c>
      <c r="E243" s="9">
        <v>188</v>
      </c>
      <c r="F243" s="9">
        <v>278</v>
      </c>
      <c r="G243" s="9">
        <v>290</v>
      </c>
      <c r="H243" s="9">
        <v>684</v>
      </c>
      <c r="I243" s="9">
        <v>331</v>
      </c>
      <c r="J243" s="9">
        <v>265</v>
      </c>
      <c r="K243" s="9">
        <v>485</v>
      </c>
      <c r="L243" s="9">
        <v>298</v>
      </c>
      <c r="M243" s="9">
        <v>375</v>
      </c>
      <c r="N243" s="9">
        <v>326</v>
      </c>
      <c r="O243" s="9">
        <v>1514</v>
      </c>
      <c r="P243" s="9">
        <v>83</v>
      </c>
      <c r="Q243" s="9">
        <v>103</v>
      </c>
      <c r="R243" s="9">
        <v>374</v>
      </c>
      <c r="S243" s="9">
        <v>405</v>
      </c>
      <c r="T243" s="9">
        <v>483</v>
      </c>
      <c r="U243" s="9">
        <v>30</v>
      </c>
      <c r="V243" s="9">
        <v>28</v>
      </c>
      <c r="W243" s="9">
        <v>10</v>
      </c>
      <c r="X243" s="9">
        <v>5</v>
      </c>
      <c r="Y243" s="9">
        <v>1</v>
      </c>
      <c r="Z243" s="9">
        <v>3</v>
      </c>
      <c r="AB243" s="9">
        <f t="shared" si="10"/>
        <v>6876</v>
      </c>
      <c r="AC243" s="9">
        <f t="shared" si="11"/>
        <v>66129</v>
      </c>
      <c r="AD243" s="10">
        <f t="shared" si="12"/>
        <v>9.6173647469458992</v>
      </c>
    </row>
    <row r="244" spans="1:54" x14ac:dyDescent="0.3">
      <c r="A244" s="55"/>
      <c r="B244" s="30" t="s">
        <v>246</v>
      </c>
      <c r="C244" s="9">
        <v>6</v>
      </c>
      <c r="D244" s="9">
        <v>4</v>
      </c>
      <c r="E244" s="9">
        <v>7</v>
      </c>
      <c r="F244" s="9">
        <v>3</v>
      </c>
      <c r="G244" s="9">
        <v>9</v>
      </c>
      <c r="H244" s="9">
        <v>32</v>
      </c>
      <c r="I244" s="9">
        <v>18</v>
      </c>
      <c r="J244" s="9">
        <v>7</v>
      </c>
      <c r="K244" s="9">
        <v>35</v>
      </c>
      <c r="L244" s="9">
        <v>9</v>
      </c>
      <c r="M244" s="9">
        <v>8</v>
      </c>
      <c r="N244" s="9">
        <v>4</v>
      </c>
      <c r="O244" s="9">
        <v>70</v>
      </c>
      <c r="P244" s="9">
        <v>1</v>
      </c>
      <c r="Q244" s="9">
        <v>2</v>
      </c>
      <c r="R244" s="9">
        <v>20</v>
      </c>
      <c r="S244" s="9">
        <v>11</v>
      </c>
      <c r="T244" s="9">
        <v>12</v>
      </c>
      <c r="U244" s="9">
        <v>2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B244" s="9">
        <f t="shared" si="10"/>
        <v>260</v>
      </c>
      <c r="AC244" s="9">
        <f t="shared" si="11"/>
        <v>2462</v>
      </c>
      <c r="AD244" s="10">
        <f t="shared" si="12"/>
        <v>9.4692307692307693</v>
      </c>
    </row>
    <row r="245" spans="1:54" x14ac:dyDescent="0.3">
      <c r="A245" s="55"/>
      <c r="B245" s="30" t="s">
        <v>247</v>
      </c>
      <c r="C245" s="9">
        <v>555</v>
      </c>
      <c r="D245" s="9">
        <v>499</v>
      </c>
      <c r="E245" s="9">
        <v>686</v>
      </c>
      <c r="F245" s="9">
        <v>1114</v>
      </c>
      <c r="G245" s="9">
        <v>1151</v>
      </c>
      <c r="H245" s="9">
        <v>2272</v>
      </c>
      <c r="I245" s="9">
        <v>1314</v>
      </c>
      <c r="J245" s="9">
        <v>1076</v>
      </c>
      <c r="K245" s="9">
        <v>1513</v>
      </c>
      <c r="L245" s="9">
        <v>1523</v>
      </c>
      <c r="M245" s="9">
        <v>1794</v>
      </c>
      <c r="N245" s="9">
        <v>1673</v>
      </c>
      <c r="O245" s="9">
        <v>6370</v>
      </c>
      <c r="P245" s="9">
        <v>644</v>
      </c>
      <c r="Q245" s="9">
        <v>1018</v>
      </c>
      <c r="R245" s="9">
        <v>2766</v>
      </c>
      <c r="S245" s="9">
        <v>4569</v>
      </c>
      <c r="T245" s="9">
        <v>6443</v>
      </c>
      <c r="U245" s="9">
        <v>304</v>
      </c>
      <c r="V245" s="9">
        <v>438</v>
      </c>
      <c r="W245" s="9">
        <v>65</v>
      </c>
      <c r="X245" s="9">
        <v>41</v>
      </c>
      <c r="Y245" s="9">
        <v>14</v>
      </c>
      <c r="Z245" s="9">
        <v>17</v>
      </c>
      <c r="AB245" s="9">
        <f t="shared" si="10"/>
        <v>37859</v>
      </c>
      <c r="AC245" s="9">
        <f t="shared" si="11"/>
        <v>438590</v>
      </c>
      <c r="AD245" s="10">
        <f t="shared" si="12"/>
        <v>11.584827914102327</v>
      </c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</row>
    <row r="246" spans="1:54" x14ac:dyDescent="0.3">
      <c r="A246" s="55"/>
      <c r="B246" s="30" t="s">
        <v>248</v>
      </c>
      <c r="C246" s="9">
        <v>120</v>
      </c>
      <c r="D246" s="9">
        <v>106</v>
      </c>
      <c r="E246" s="9">
        <v>145</v>
      </c>
      <c r="F246" s="9">
        <v>265</v>
      </c>
      <c r="G246" s="9">
        <v>305</v>
      </c>
      <c r="H246" s="9">
        <v>458</v>
      </c>
      <c r="I246" s="9">
        <v>171</v>
      </c>
      <c r="J246" s="9">
        <v>117</v>
      </c>
      <c r="K246" s="9">
        <v>172</v>
      </c>
      <c r="L246" s="9">
        <v>65</v>
      </c>
      <c r="M246" s="9">
        <v>70</v>
      </c>
      <c r="N246" s="9">
        <v>60</v>
      </c>
      <c r="O246" s="9">
        <v>281</v>
      </c>
      <c r="P246" s="9">
        <v>25</v>
      </c>
      <c r="Q246" s="9">
        <v>45</v>
      </c>
      <c r="R246" s="9">
        <v>107</v>
      </c>
      <c r="S246" s="9">
        <v>114</v>
      </c>
      <c r="T246" s="9">
        <v>108</v>
      </c>
      <c r="U246" s="9">
        <v>1</v>
      </c>
      <c r="V246" s="9">
        <v>2</v>
      </c>
      <c r="W246" s="9">
        <v>2</v>
      </c>
      <c r="X246" s="9">
        <v>1</v>
      </c>
      <c r="Y246" s="9">
        <v>1</v>
      </c>
      <c r="Z246" s="9">
        <v>2</v>
      </c>
      <c r="AB246" s="9">
        <f t="shared" si="10"/>
        <v>2743</v>
      </c>
      <c r="AC246" s="9">
        <f t="shared" si="11"/>
        <v>19644</v>
      </c>
      <c r="AD246" s="10">
        <f t="shared" si="12"/>
        <v>7.1615020051039009</v>
      </c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</row>
    <row r="247" spans="1:54" x14ac:dyDescent="0.3">
      <c r="A247" s="55"/>
      <c r="B247" s="30" t="s">
        <v>249</v>
      </c>
      <c r="C247" s="9">
        <v>133</v>
      </c>
      <c r="D247" s="9">
        <v>110</v>
      </c>
      <c r="E247" s="9">
        <v>190</v>
      </c>
      <c r="F247" s="9">
        <v>272</v>
      </c>
      <c r="G247" s="9">
        <v>282</v>
      </c>
      <c r="H247" s="9">
        <v>562</v>
      </c>
      <c r="I247" s="9">
        <v>293</v>
      </c>
      <c r="J247" s="9">
        <v>226</v>
      </c>
      <c r="K247" s="9">
        <v>267</v>
      </c>
      <c r="L247" s="9">
        <v>259</v>
      </c>
      <c r="M247" s="9">
        <v>342</v>
      </c>
      <c r="N247" s="9">
        <v>247</v>
      </c>
      <c r="O247" s="9">
        <v>1179</v>
      </c>
      <c r="P247" s="9">
        <v>81</v>
      </c>
      <c r="Q247" s="9">
        <v>102</v>
      </c>
      <c r="R247" s="9">
        <v>362</v>
      </c>
      <c r="S247" s="9">
        <v>492</v>
      </c>
      <c r="T247" s="9">
        <v>568</v>
      </c>
      <c r="U247" s="9">
        <v>26</v>
      </c>
      <c r="V247" s="9">
        <v>30</v>
      </c>
      <c r="W247" s="9">
        <v>2</v>
      </c>
      <c r="X247" s="9">
        <v>3</v>
      </c>
      <c r="Y247" s="9">
        <v>2</v>
      </c>
      <c r="Z247" s="9">
        <v>1</v>
      </c>
      <c r="AB247" s="9">
        <f t="shared" si="10"/>
        <v>6031</v>
      </c>
      <c r="AC247" s="9">
        <f t="shared" si="11"/>
        <v>59983</v>
      </c>
      <c r="AD247" s="10">
        <f t="shared" si="12"/>
        <v>9.9457801359641849</v>
      </c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</row>
    <row r="248" spans="1:54" s="46" customFormat="1" x14ac:dyDescent="0.3">
      <c r="A248" s="55"/>
      <c r="B248" s="30" t="s">
        <v>250</v>
      </c>
      <c r="C248" s="9">
        <v>492</v>
      </c>
      <c r="D248" s="9">
        <v>361</v>
      </c>
      <c r="E248" s="9">
        <v>438</v>
      </c>
      <c r="F248" s="9">
        <v>657</v>
      </c>
      <c r="G248" s="9">
        <v>693</v>
      </c>
      <c r="H248" s="9">
        <v>1269</v>
      </c>
      <c r="I248" s="9">
        <v>820</v>
      </c>
      <c r="J248" s="9">
        <v>638</v>
      </c>
      <c r="K248" s="9">
        <v>830</v>
      </c>
      <c r="L248" s="9">
        <v>801</v>
      </c>
      <c r="M248" s="9">
        <v>921</v>
      </c>
      <c r="N248" s="9">
        <v>816</v>
      </c>
      <c r="O248" s="9">
        <v>2674</v>
      </c>
      <c r="P248" s="9">
        <v>189</v>
      </c>
      <c r="Q248" s="9">
        <v>215</v>
      </c>
      <c r="R248" s="9">
        <v>712</v>
      </c>
      <c r="S248" s="9">
        <v>1170</v>
      </c>
      <c r="T248" s="9">
        <v>1339</v>
      </c>
      <c r="U248" s="9">
        <v>60</v>
      </c>
      <c r="V248" s="9">
        <v>65</v>
      </c>
      <c r="W248" s="9">
        <v>19</v>
      </c>
      <c r="X248" s="9">
        <v>13</v>
      </c>
      <c r="Y248" s="9">
        <v>3</v>
      </c>
      <c r="Z248" s="9">
        <v>3</v>
      </c>
      <c r="AA248" s="1"/>
      <c r="AB248" s="9">
        <f t="shared" si="10"/>
        <v>15198</v>
      </c>
      <c r="AC248" s="9">
        <f t="shared" si="11"/>
        <v>146567</v>
      </c>
      <c r="AD248" s="10">
        <f t="shared" si="12"/>
        <v>9.6438347150940906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s="46" customFormat="1" x14ac:dyDescent="0.3">
      <c r="A249" s="55"/>
      <c r="B249" s="30" t="s">
        <v>251</v>
      </c>
      <c r="C249" s="9">
        <v>76</v>
      </c>
      <c r="D249" s="9">
        <v>72</v>
      </c>
      <c r="E249" s="9">
        <v>79</v>
      </c>
      <c r="F249" s="9">
        <v>128</v>
      </c>
      <c r="G249" s="9">
        <v>151</v>
      </c>
      <c r="H249" s="9">
        <v>259</v>
      </c>
      <c r="I249" s="9">
        <v>176</v>
      </c>
      <c r="J249" s="9">
        <v>140</v>
      </c>
      <c r="K249" s="9">
        <v>194</v>
      </c>
      <c r="L249" s="9">
        <v>174</v>
      </c>
      <c r="M249" s="9">
        <v>179</v>
      </c>
      <c r="N249" s="9">
        <v>144</v>
      </c>
      <c r="O249" s="9">
        <v>512</v>
      </c>
      <c r="P249" s="9">
        <v>42</v>
      </c>
      <c r="Q249" s="9">
        <v>31</v>
      </c>
      <c r="R249" s="9">
        <v>163</v>
      </c>
      <c r="S249" s="9">
        <v>279</v>
      </c>
      <c r="T249" s="9">
        <v>341</v>
      </c>
      <c r="U249" s="9">
        <v>13</v>
      </c>
      <c r="V249" s="9">
        <v>16</v>
      </c>
      <c r="W249" s="9">
        <v>9</v>
      </c>
      <c r="X249" s="9">
        <v>5</v>
      </c>
      <c r="Y249" s="9">
        <v>0</v>
      </c>
      <c r="Z249" s="9">
        <v>1</v>
      </c>
      <c r="AA249" s="1"/>
      <c r="AB249" s="9">
        <f t="shared" si="10"/>
        <v>3184</v>
      </c>
      <c r="AC249" s="9">
        <f t="shared" si="11"/>
        <v>31717</v>
      </c>
      <c r="AD249" s="10">
        <f t="shared" si="12"/>
        <v>9.9613693467336688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s="46" customFormat="1" x14ac:dyDescent="0.3">
      <c r="A250" s="55"/>
      <c r="B250" s="30" t="s">
        <v>252</v>
      </c>
      <c r="C250" s="9">
        <v>168</v>
      </c>
      <c r="D250" s="9">
        <v>137</v>
      </c>
      <c r="E250" s="9">
        <v>164</v>
      </c>
      <c r="F250" s="9">
        <v>259</v>
      </c>
      <c r="G250" s="9">
        <v>263</v>
      </c>
      <c r="H250" s="9">
        <v>441</v>
      </c>
      <c r="I250" s="9">
        <v>465</v>
      </c>
      <c r="J250" s="9">
        <v>309</v>
      </c>
      <c r="K250" s="9">
        <v>372</v>
      </c>
      <c r="L250" s="9">
        <v>415</v>
      </c>
      <c r="M250" s="9">
        <v>486</v>
      </c>
      <c r="N250" s="9">
        <v>411</v>
      </c>
      <c r="O250" s="9">
        <v>1386</v>
      </c>
      <c r="P250" s="9">
        <v>67</v>
      </c>
      <c r="Q250" s="9">
        <v>101</v>
      </c>
      <c r="R250" s="9">
        <v>323</v>
      </c>
      <c r="S250" s="9">
        <v>611</v>
      </c>
      <c r="T250" s="9">
        <v>668</v>
      </c>
      <c r="U250" s="9">
        <v>34</v>
      </c>
      <c r="V250" s="9">
        <v>21</v>
      </c>
      <c r="W250" s="9">
        <v>12</v>
      </c>
      <c r="X250" s="9">
        <v>4</v>
      </c>
      <c r="Y250" s="9">
        <v>0</v>
      </c>
      <c r="Z250" s="9">
        <v>1</v>
      </c>
      <c r="AA250" s="1"/>
      <c r="AB250" s="9">
        <f t="shared" si="10"/>
        <v>7118</v>
      </c>
      <c r="AC250" s="9">
        <f t="shared" si="11"/>
        <v>71796</v>
      </c>
      <c r="AD250" s="10">
        <f t="shared" si="12"/>
        <v>10.086541163248103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3">
      <c r="A251" s="55"/>
      <c r="B251" s="30" t="s">
        <v>253</v>
      </c>
      <c r="C251" s="9">
        <v>77</v>
      </c>
      <c r="D251" s="9">
        <v>92</v>
      </c>
      <c r="E251" s="9">
        <v>142</v>
      </c>
      <c r="F251" s="9">
        <v>215</v>
      </c>
      <c r="G251" s="9">
        <v>209</v>
      </c>
      <c r="H251" s="9">
        <v>432</v>
      </c>
      <c r="I251" s="9">
        <v>168</v>
      </c>
      <c r="J251" s="9">
        <v>136</v>
      </c>
      <c r="K251" s="9">
        <v>144</v>
      </c>
      <c r="L251" s="9">
        <v>71</v>
      </c>
      <c r="M251" s="9">
        <v>82</v>
      </c>
      <c r="N251" s="9">
        <v>83</v>
      </c>
      <c r="O251" s="9">
        <v>264</v>
      </c>
      <c r="P251" s="9">
        <v>13</v>
      </c>
      <c r="Q251" s="9">
        <v>17</v>
      </c>
      <c r="R251" s="9">
        <v>73</v>
      </c>
      <c r="S251" s="9">
        <v>118</v>
      </c>
      <c r="T251" s="9">
        <v>117</v>
      </c>
      <c r="U251" s="9">
        <v>3</v>
      </c>
      <c r="V251" s="9">
        <v>4</v>
      </c>
      <c r="W251" s="9">
        <v>1</v>
      </c>
      <c r="X251" s="9">
        <v>1</v>
      </c>
      <c r="Y251" s="9">
        <v>0</v>
      </c>
      <c r="Z251" s="9">
        <v>0</v>
      </c>
      <c r="AB251" s="9">
        <f t="shared" si="10"/>
        <v>2462</v>
      </c>
      <c r="AC251" s="9">
        <f t="shared" si="11"/>
        <v>18219</v>
      </c>
      <c r="AD251" s="10">
        <f t="shared" si="12"/>
        <v>7.4000812347684812</v>
      </c>
    </row>
    <row r="252" spans="1:54" x14ac:dyDescent="0.3">
      <c r="A252" s="55"/>
      <c r="B252" s="30" t="s">
        <v>254</v>
      </c>
      <c r="C252" s="9">
        <v>32</v>
      </c>
      <c r="D252" s="9">
        <v>36</v>
      </c>
      <c r="E252" s="9">
        <v>49</v>
      </c>
      <c r="F252" s="9">
        <v>125</v>
      </c>
      <c r="G252" s="9">
        <v>86</v>
      </c>
      <c r="H252" s="9">
        <v>99</v>
      </c>
      <c r="I252" s="9">
        <v>38</v>
      </c>
      <c r="J252" s="9">
        <v>29</v>
      </c>
      <c r="K252" s="9">
        <v>53</v>
      </c>
      <c r="L252" s="9">
        <v>13</v>
      </c>
      <c r="M252" s="9">
        <v>12</v>
      </c>
      <c r="N252" s="9">
        <v>14</v>
      </c>
      <c r="O252" s="9">
        <v>58</v>
      </c>
      <c r="P252" s="9">
        <v>6</v>
      </c>
      <c r="Q252" s="9">
        <v>7</v>
      </c>
      <c r="R252" s="9">
        <v>20</v>
      </c>
      <c r="S252" s="9">
        <v>39</v>
      </c>
      <c r="T252" s="9">
        <v>38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B252" s="9">
        <f t="shared" si="10"/>
        <v>754</v>
      </c>
      <c r="AC252" s="9">
        <f t="shared" si="11"/>
        <v>5036</v>
      </c>
      <c r="AD252" s="10">
        <f t="shared" si="12"/>
        <v>6.6790450928381961</v>
      </c>
    </row>
    <row r="253" spans="1:54" x14ac:dyDescent="0.3">
      <c r="A253" s="55"/>
      <c r="B253" s="30" t="s">
        <v>255</v>
      </c>
      <c r="C253" s="9">
        <v>154</v>
      </c>
      <c r="D253" s="9">
        <v>92</v>
      </c>
      <c r="E253" s="9">
        <v>151</v>
      </c>
      <c r="F253" s="9">
        <v>261</v>
      </c>
      <c r="G253" s="9">
        <v>190</v>
      </c>
      <c r="H253" s="9">
        <v>390</v>
      </c>
      <c r="I253" s="9">
        <v>150</v>
      </c>
      <c r="J253" s="9">
        <v>141</v>
      </c>
      <c r="K253" s="9">
        <v>184</v>
      </c>
      <c r="L253" s="9">
        <v>105</v>
      </c>
      <c r="M253" s="9">
        <v>155</v>
      </c>
      <c r="N253" s="9">
        <v>110</v>
      </c>
      <c r="O253" s="9">
        <v>456</v>
      </c>
      <c r="P253" s="9">
        <v>56</v>
      </c>
      <c r="Q253" s="9">
        <v>56</v>
      </c>
      <c r="R253" s="9">
        <v>212</v>
      </c>
      <c r="S253" s="9">
        <v>261</v>
      </c>
      <c r="T253" s="9">
        <v>208</v>
      </c>
      <c r="U253" s="9">
        <v>9</v>
      </c>
      <c r="V253" s="9">
        <v>12</v>
      </c>
      <c r="W253" s="9">
        <v>5</v>
      </c>
      <c r="X253" s="9">
        <v>1</v>
      </c>
      <c r="Y253" s="9">
        <v>1</v>
      </c>
      <c r="Z253" s="9">
        <v>0</v>
      </c>
      <c r="AB253" s="9">
        <f t="shared" si="10"/>
        <v>3360</v>
      </c>
      <c r="AC253" s="9">
        <f t="shared" si="11"/>
        <v>29360</v>
      </c>
      <c r="AD253" s="10">
        <f t="shared" si="12"/>
        <v>8.7380952380952372</v>
      </c>
    </row>
    <row r="254" spans="1:54" x14ac:dyDescent="0.3">
      <c r="A254" s="55"/>
      <c r="B254" s="30" t="s">
        <v>256</v>
      </c>
      <c r="C254" s="9">
        <v>96</v>
      </c>
      <c r="D254" s="9">
        <v>66</v>
      </c>
      <c r="E254" s="9">
        <v>105</v>
      </c>
      <c r="F254" s="9">
        <v>161</v>
      </c>
      <c r="G254" s="9">
        <v>170</v>
      </c>
      <c r="H254" s="9">
        <v>301</v>
      </c>
      <c r="I254" s="9">
        <v>78</v>
      </c>
      <c r="J254" s="9">
        <v>61</v>
      </c>
      <c r="K254" s="9">
        <v>100</v>
      </c>
      <c r="L254" s="9">
        <v>44</v>
      </c>
      <c r="M254" s="9">
        <v>44</v>
      </c>
      <c r="N254" s="9">
        <v>34</v>
      </c>
      <c r="O254" s="9">
        <v>167</v>
      </c>
      <c r="P254" s="9">
        <v>13</v>
      </c>
      <c r="Q254" s="9">
        <v>13</v>
      </c>
      <c r="R254" s="9">
        <v>78</v>
      </c>
      <c r="S254" s="9">
        <v>64</v>
      </c>
      <c r="T254" s="9">
        <v>81</v>
      </c>
      <c r="U254" s="9">
        <v>0</v>
      </c>
      <c r="V254" s="9">
        <v>6</v>
      </c>
      <c r="W254" s="9">
        <v>5</v>
      </c>
      <c r="X254" s="9">
        <v>0</v>
      </c>
      <c r="Y254" s="9">
        <v>0</v>
      </c>
      <c r="Z254" s="9">
        <v>0</v>
      </c>
      <c r="AB254" s="9">
        <f t="shared" si="10"/>
        <v>1687</v>
      </c>
      <c r="AC254" s="9">
        <f t="shared" si="11"/>
        <v>11989</v>
      </c>
      <c r="AD254" s="10">
        <f t="shared" si="12"/>
        <v>7.1066982809721395</v>
      </c>
    </row>
    <row r="255" spans="1:54" x14ac:dyDescent="0.3">
      <c r="A255" s="55"/>
      <c r="B255" s="30" t="s">
        <v>257</v>
      </c>
      <c r="C255" s="9">
        <v>148</v>
      </c>
      <c r="D255" s="9">
        <v>106</v>
      </c>
      <c r="E255" s="9">
        <v>168</v>
      </c>
      <c r="F255" s="9">
        <v>219</v>
      </c>
      <c r="G255" s="9">
        <v>233</v>
      </c>
      <c r="H255" s="9">
        <v>410</v>
      </c>
      <c r="I255" s="9">
        <v>235</v>
      </c>
      <c r="J255" s="9">
        <v>153</v>
      </c>
      <c r="K255" s="9">
        <v>242</v>
      </c>
      <c r="L255" s="9">
        <v>120</v>
      </c>
      <c r="M255" s="9">
        <v>137</v>
      </c>
      <c r="N255" s="9">
        <v>149</v>
      </c>
      <c r="O255" s="9">
        <v>432</v>
      </c>
      <c r="P255" s="9">
        <v>22</v>
      </c>
      <c r="Q255" s="9">
        <v>32</v>
      </c>
      <c r="R255" s="9">
        <v>147</v>
      </c>
      <c r="S255" s="9">
        <v>195</v>
      </c>
      <c r="T255" s="9">
        <v>257</v>
      </c>
      <c r="U255" s="9">
        <v>11</v>
      </c>
      <c r="V255" s="9">
        <v>11</v>
      </c>
      <c r="W255" s="9">
        <v>2</v>
      </c>
      <c r="X255" s="9">
        <v>2</v>
      </c>
      <c r="Y255" s="9">
        <v>1</v>
      </c>
      <c r="Z255" s="9">
        <v>1</v>
      </c>
      <c r="AB255" s="9">
        <f t="shared" si="10"/>
        <v>3433</v>
      </c>
      <c r="AC255" s="9">
        <f t="shared" si="11"/>
        <v>28733</v>
      </c>
      <c r="AD255" s="10">
        <f t="shared" si="12"/>
        <v>8.3696475385959808</v>
      </c>
    </row>
    <row r="256" spans="1:54" x14ac:dyDescent="0.3">
      <c r="A256" s="55"/>
      <c r="B256" s="30" t="s">
        <v>258</v>
      </c>
      <c r="C256" s="9">
        <v>2900</v>
      </c>
      <c r="D256" s="9">
        <v>2566</v>
      </c>
      <c r="E256" s="9">
        <v>3350</v>
      </c>
      <c r="F256" s="9">
        <v>4639</v>
      </c>
      <c r="G256" s="9">
        <v>4940</v>
      </c>
      <c r="H256" s="9">
        <v>9353</v>
      </c>
      <c r="I256" s="9">
        <v>9717</v>
      </c>
      <c r="J256" s="9">
        <v>7910</v>
      </c>
      <c r="K256" s="9">
        <v>10523</v>
      </c>
      <c r="L256" s="9">
        <v>16011</v>
      </c>
      <c r="M256" s="9">
        <v>19095</v>
      </c>
      <c r="N256" s="9">
        <v>17177</v>
      </c>
      <c r="O256" s="9">
        <v>65824</v>
      </c>
      <c r="P256" s="9">
        <v>5276</v>
      </c>
      <c r="Q256" s="9">
        <v>6598</v>
      </c>
      <c r="R256" s="9">
        <v>16893</v>
      </c>
      <c r="S256" s="9">
        <v>30493</v>
      </c>
      <c r="T256" s="9">
        <v>32550</v>
      </c>
      <c r="U256" s="9">
        <v>2209</v>
      </c>
      <c r="V256" s="9">
        <v>2803</v>
      </c>
      <c r="W256" s="9">
        <v>297</v>
      </c>
      <c r="X256" s="9">
        <v>165</v>
      </c>
      <c r="Y256" s="9">
        <v>85</v>
      </c>
      <c r="Z256" s="9">
        <v>93</v>
      </c>
      <c r="AB256" s="9">
        <f t="shared" si="10"/>
        <v>271467</v>
      </c>
      <c r="AC256" s="9">
        <f t="shared" si="11"/>
        <v>3163474</v>
      </c>
      <c r="AD256" s="10">
        <f t="shared" si="12"/>
        <v>11.653254355041312</v>
      </c>
    </row>
    <row r="257" spans="1:30" x14ac:dyDescent="0.3">
      <c r="A257" s="55"/>
      <c r="B257" s="30" t="s">
        <v>259</v>
      </c>
      <c r="C257" s="9">
        <v>293</v>
      </c>
      <c r="D257" s="9">
        <v>220</v>
      </c>
      <c r="E257" s="9">
        <v>271</v>
      </c>
      <c r="F257" s="9">
        <v>393</v>
      </c>
      <c r="G257" s="9">
        <v>393</v>
      </c>
      <c r="H257" s="9">
        <v>774</v>
      </c>
      <c r="I257" s="9">
        <v>595</v>
      </c>
      <c r="J257" s="9">
        <v>451</v>
      </c>
      <c r="K257" s="9">
        <v>639</v>
      </c>
      <c r="L257" s="9">
        <v>678</v>
      </c>
      <c r="M257" s="9">
        <v>759</v>
      </c>
      <c r="N257" s="9">
        <v>649</v>
      </c>
      <c r="O257" s="9">
        <v>1914</v>
      </c>
      <c r="P257" s="9">
        <v>91</v>
      </c>
      <c r="Q257" s="9">
        <v>101</v>
      </c>
      <c r="R257" s="9">
        <v>277</v>
      </c>
      <c r="S257" s="9">
        <v>465</v>
      </c>
      <c r="T257" s="9">
        <v>341</v>
      </c>
      <c r="U257" s="9">
        <v>17</v>
      </c>
      <c r="V257" s="9">
        <v>21</v>
      </c>
      <c r="W257" s="9">
        <v>3</v>
      </c>
      <c r="X257" s="9">
        <v>4</v>
      </c>
      <c r="Y257" s="9">
        <v>2</v>
      </c>
      <c r="Z257" s="9">
        <v>1</v>
      </c>
      <c r="AB257" s="9">
        <f t="shared" si="10"/>
        <v>9352</v>
      </c>
      <c r="AC257" s="9">
        <f t="shared" si="11"/>
        <v>83926</v>
      </c>
      <c r="AD257" s="10">
        <f t="shared" si="12"/>
        <v>8.9741231822070144</v>
      </c>
    </row>
    <row r="258" spans="1:30" x14ac:dyDescent="0.3">
      <c r="A258" s="55"/>
      <c r="B258" s="30" t="s">
        <v>260</v>
      </c>
      <c r="C258" s="9">
        <v>50</v>
      </c>
      <c r="D258" s="9">
        <v>45</v>
      </c>
      <c r="E258" s="9">
        <v>58</v>
      </c>
      <c r="F258" s="9">
        <v>80</v>
      </c>
      <c r="G258" s="9">
        <v>77</v>
      </c>
      <c r="H258" s="9">
        <v>149</v>
      </c>
      <c r="I258" s="9">
        <v>126</v>
      </c>
      <c r="J258" s="9">
        <v>88</v>
      </c>
      <c r="K258" s="9">
        <v>136</v>
      </c>
      <c r="L258" s="9">
        <v>128</v>
      </c>
      <c r="M258" s="9">
        <v>141</v>
      </c>
      <c r="N258" s="9">
        <v>111</v>
      </c>
      <c r="O258" s="9">
        <v>440</v>
      </c>
      <c r="P258" s="9">
        <v>18</v>
      </c>
      <c r="Q258" s="9">
        <v>26</v>
      </c>
      <c r="R258" s="9">
        <v>107</v>
      </c>
      <c r="S258" s="9">
        <v>140</v>
      </c>
      <c r="T258" s="9">
        <v>184</v>
      </c>
      <c r="U258" s="9">
        <v>28</v>
      </c>
      <c r="V258" s="9">
        <v>36</v>
      </c>
      <c r="W258" s="9">
        <v>1</v>
      </c>
      <c r="X258" s="9">
        <v>1</v>
      </c>
      <c r="Y258" s="9">
        <v>1</v>
      </c>
      <c r="Z258" s="9">
        <v>0</v>
      </c>
      <c r="AB258" s="9">
        <f t="shared" si="10"/>
        <v>2171</v>
      </c>
      <c r="AC258" s="9">
        <f t="shared" si="11"/>
        <v>21799</v>
      </c>
      <c r="AD258" s="10">
        <f t="shared" si="12"/>
        <v>10.040994933210502</v>
      </c>
    </row>
    <row r="259" spans="1:30" x14ac:dyDescent="0.3">
      <c r="A259" s="55"/>
      <c r="B259" s="30" t="s">
        <v>261</v>
      </c>
      <c r="C259" s="9">
        <v>306</v>
      </c>
      <c r="D259" s="9">
        <v>338</v>
      </c>
      <c r="E259" s="9">
        <v>512</v>
      </c>
      <c r="F259" s="9">
        <v>650</v>
      </c>
      <c r="G259" s="9">
        <v>696</v>
      </c>
      <c r="H259" s="9">
        <v>1361</v>
      </c>
      <c r="I259" s="9">
        <v>870</v>
      </c>
      <c r="J259" s="9">
        <v>735</v>
      </c>
      <c r="K259" s="9">
        <v>954</v>
      </c>
      <c r="L259" s="9">
        <v>1023</v>
      </c>
      <c r="M259" s="9">
        <v>1121</v>
      </c>
      <c r="N259" s="9">
        <v>994</v>
      </c>
      <c r="O259" s="9">
        <v>3477</v>
      </c>
      <c r="P259" s="9">
        <v>211</v>
      </c>
      <c r="Q259" s="9">
        <v>240</v>
      </c>
      <c r="R259" s="9">
        <v>623</v>
      </c>
      <c r="S259" s="9">
        <v>1033</v>
      </c>
      <c r="T259" s="9">
        <v>914</v>
      </c>
      <c r="U259" s="9">
        <v>44</v>
      </c>
      <c r="V259" s="9">
        <v>53</v>
      </c>
      <c r="W259" s="9">
        <v>5</v>
      </c>
      <c r="X259" s="9">
        <v>8</v>
      </c>
      <c r="Y259" s="9">
        <v>1</v>
      </c>
      <c r="Z259" s="9">
        <v>4</v>
      </c>
      <c r="AB259" s="9">
        <f t="shared" si="10"/>
        <v>16173</v>
      </c>
      <c r="AC259" s="9">
        <f t="shared" si="11"/>
        <v>153668</v>
      </c>
      <c r="AD259" s="10">
        <f t="shared" si="12"/>
        <v>9.5015148704631169</v>
      </c>
    </row>
    <row r="260" spans="1:30" x14ac:dyDescent="0.3">
      <c r="A260" s="55"/>
      <c r="B260" s="30" t="s">
        <v>262</v>
      </c>
      <c r="C260" s="9">
        <v>260</v>
      </c>
      <c r="D260" s="9">
        <v>237</v>
      </c>
      <c r="E260" s="9">
        <v>322</v>
      </c>
      <c r="F260" s="9">
        <v>479</v>
      </c>
      <c r="G260" s="9">
        <v>482</v>
      </c>
      <c r="H260" s="9">
        <v>721</v>
      </c>
      <c r="I260" s="9">
        <v>447</v>
      </c>
      <c r="J260" s="9">
        <v>363</v>
      </c>
      <c r="K260" s="9">
        <v>412</v>
      </c>
      <c r="L260" s="9">
        <v>434</v>
      </c>
      <c r="M260" s="9">
        <v>455</v>
      </c>
      <c r="N260" s="9">
        <v>405</v>
      </c>
      <c r="O260" s="9">
        <v>1324</v>
      </c>
      <c r="P260" s="9">
        <v>94</v>
      </c>
      <c r="Q260" s="9">
        <v>130</v>
      </c>
      <c r="R260" s="9">
        <v>348</v>
      </c>
      <c r="S260" s="9">
        <v>484</v>
      </c>
      <c r="T260" s="9">
        <v>378</v>
      </c>
      <c r="U260" s="9">
        <v>13</v>
      </c>
      <c r="V260" s="9">
        <v>21</v>
      </c>
      <c r="W260" s="9">
        <v>7</v>
      </c>
      <c r="X260" s="9">
        <v>2</v>
      </c>
      <c r="Y260" s="9">
        <v>1</v>
      </c>
      <c r="Z260" s="9">
        <v>1</v>
      </c>
      <c r="AB260" s="9">
        <f t="shared" ref="AB260:AB323" si="13">SUM(C260:Z260)</f>
        <v>7820</v>
      </c>
      <c r="AC260" s="9">
        <f t="shared" ref="AC260:AC323" si="14">C$2*C260+D$2*D260+E$2*E260+F$2*F260+G$2*G260+H$2*H260+I$2*I260+J$2*J260+K$2*K260+L$2*L260+M$2*M260+N$2*N260+O$2*O260+P$2*P260+Q$2*Q260+R$2*R260+S$2*S260+T$2*T260+U$2*U260+V$2*V260+W$2*W260+X$2*X260+Y$2*Y260+Z$2*Z260</f>
        <v>68461</v>
      </c>
      <c r="AD260" s="10">
        <f t="shared" si="12"/>
        <v>8.7546035805626605</v>
      </c>
    </row>
    <row r="261" spans="1:30" x14ac:dyDescent="0.3">
      <c r="A261" s="55"/>
      <c r="B261" s="30" t="s">
        <v>263</v>
      </c>
      <c r="C261" s="9">
        <v>399</v>
      </c>
      <c r="D261" s="9">
        <v>396</v>
      </c>
      <c r="E261" s="9">
        <v>523</v>
      </c>
      <c r="F261" s="9">
        <v>663</v>
      </c>
      <c r="G261" s="9">
        <v>659</v>
      </c>
      <c r="H261" s="9">
        <v>1271</v>
      </c>
      <c r="I261" s="9">
        <v>1060</v>
      </c>
      <c r="J261" s="9">
        <v>806</v>
      </c>
      <c r="K261" s="9">
        <v>1038</v>
      </c>
      <c r="L261" s="9">
        <v>1273</v>
      </c>
      <c r="M261" s="9">
        <v>1396</v>
      </c>
      <c r="N261" s="9">
        <v>1170</v>
      </c>
      <c r="O261" s="9">
        <v>3525</v>
      </c>
      <c r="P261" s="9">
        <v>161</v>
      </c>
      <c r="Q261" s="9">
        <v>188</v>
      </c>
      <c r="R261" s="9">
        <v>607</v>
      </c>
      <c r="S261" s="9">
        <v>955</v>
      </c>
      <c r="T261" s="9">
        <v>652</v>
      </c>
      <c r="U261" s="9">
        <v>30</v>
      </c>
      <c r="V261" s="9">
        <v>40</v>
      </c>
      <c r="W261" s="9">
        <v>9</v>
      </c>
      <c r="X261" s="9">
        <v>3</v>
      </c>
      <c r="Y261" s="9">
        <v>2</v>
      </c>
      <c r="Z261" s="9">
        <v>5</v>
      </c>
      <c r="AB261" s="9">
        <f t="shared" si="13"/>
        <v>16831</v>
      </c>
      <c r="AC261" s="9">
        <f t="shared" si="14"/>
        <v>155211</v>
      </c>
      <c r="AD261" s="10">
        <f t="shared" ref="AD261:AD324" si="15">AC261/AB261</f>
        <v>9.2217337056621709</v>
      </c>
    </row>
    <row r="262" spans="1:30" x14ac:dyDescent="0.3">
      <c r="A262" s="55"/>
      <c r="B262" s="30" t="s">
        <v>264</v>
      </c>
      <c r="C262" s="9">
        <v>43</v>
      </c>
      <c r="D262" s="9">
        <v>46</v>
      </c>
      <c r="E262" s="9">
        <v>54</v>
      </c>
      <c r="F262" s="9">
        <v>64</v>
      </c>
      <c r="G262" s="9">
        <v>85</v>
      </c>
      <c r="H262" s="9">
        <v>135</v>
      </c>
      <c r="I262" s="9">
        <v>141</v>
      </c>
      <c r="J262" s="9">
        <v>95</v>
      </c>
      <c r="K262" s="9">
        <v>119</v>
      </c>
      <c r="L262" s="9">
        <v>142</v>
      </c>
      <c r="M262" s="9">
        <v>130</v>
      </c>
      <c r="N262" s="9">
        <v>114</v>
      </c>
      <c r="O262" s="9">
        <v>399</v>
      </c>
      <c r="P262" s="9">
        <v>18</v>
      </c>
      <c r="Q262" s="9">
        <v>18</v>
      </c>
      <c r="R262" s="9">
        <v>54</v>
      </c>
      <c r="S262" s="9">
        <v>85</v>
      </c>
      <c r="T262" s="9">
        <v>58</v>
      </c>
      <c r="U262" s="9">
        <v>3</v>
      </c>
      <c r="V262" s="9">
        <v>1</v>
      </c>
      <c r="W262" s="9">
        <v>0</v>
      </c>
      <c r="X262" s="9">
        <v>0</v>
      </c>
      <c r="Y262" s="9">
        <v>0</v>
      </c>
      <c r="Z262" s="9">
        <v>1</v>
      </c>
      <c r="AB262" s="9">
        <f t="shared" si="13"/>
        <v>1805</v>
      </c>
      <c r="AC262" s="9">
        <f t="shared" si="14"/>
        <v>16182</v>
      </c>
      <c r="AD262" s="10">
        <f t="shared" si="15"/>
        <v>8.9650969529085867</v>
      </c>
    </row>
    <row r="263" spans="1:30" x14ac:dyDescent="0.3">
      <c r="A263" s="55"/>
      <c r="B263" s="30" t="s">
        <v>265</v>
      </c>
      <c r="C263" s="9">
        <v>171</v>
      </c>
      <c r="D263" s="9">
        <v>172</v>
      </c>
      <c r="E263" s="9">
        <v>226</v>
      </c>
      <c r="F263" s="9">
        <v>315</v>
      </c>
      <c r="G263" s="9">
        <v>338</v>
      </c>
      <c r="H263" s="9">
        <v>757</v>
      </c>
      <c r="I263" s="9">
        <v>674</v>
      </c>
      <c r="J263" s="9">
        <v>557</v>
      </c>
      <c r="K263" s="9">
        <v>696</v>
      </c>
      <c r="L263" s="9">
        <v>541</v>
      </c>
      <c r="M263" s="9">
        <v>508</v>
      </c>
      <c r="N263" s="9">
        <v>376</v>
      </c>
      <c r="O263" s="9">
        <v>1339</v>
      </c>
      <c r="P263" s="9">
        <v>56</v>
      </c>
      <c r="Q263" s="9">
        <v>95</v>
      </c>
      <c r="R263" s="9">
        <v>213</v>
      </c>
      <c r="S263" s="9">
        <v>338</v>
      </c>
      <c r="T263" s="9">
        <v>256</v>
      </c>
      <c r="U263" s="9">
        <v>7</v>
      </c>
      <c r="V263" s="9">
        <v>15</v>
      </c>
      <c r="W263" s="9">
        <v>4</v>
      </c>
      <c r="X263" s="9">
        <v>3</v>
      </c>
      <c r="Y263" s="9">
        <v>0</v>
      </c>
      <c r="Z263" s="9">
        <v>3</v>
      </c>
      <c r="AB263" s="9">
        <f t="shared" si="13"/>
        <v>7660</v>
      </c>
      <c r="AC263" s="9">
        <f t="shared" si="14"/>
        <v>66006</v>
      </c>
      <c r="AD263" s="10">
        <f t="shared" si="15"/>
        <v>8.6169712793733684</v>
      </c>
    </row>
    <row r="264" spans="1:30" x14ac:dyDescent="0.3">
      <c r="A264" s="55"/>
      <c r="B264" s="30" t="s">
        <v>266</v>
      </c>
      <c r="C264" s="9">
        <v>13</v>
      </c>
      <c r="D264" s="9">
        <v>50</v>
      </c>
      <c r="E264" s="9">
        <v>47</v>
      </c>
      <c r="F264" s="9">
        <v>87</v>
      </c>
      <c r="G264" s="9">
        <v>97</v>
      </c>
      <c r="H264" s="9">
        <v>189</v>
      </c>
      <c r="I264" s="9">
        <v>117</v>
      </c>
      <c r="J264" s="9">
        <v>87</v>
      </c>
      <c r="K264" s="9">
        <v>144</v>
      </c>
      <c r="L264" s="9">
        <v>93</v>
      </c>
      <c r="M264" s="9">
        <v>108</v>
      </c>
      <c r="N264" s="9">
        <v>90</v>
      </c>
      <c r="O264" s="9">
        <v>312</v>
      </c>
      <c r="P264" s="9">
        <v>9</v>
      </c>
      <c r="Q264" s="9">
        <v>23</v>
      </c>
      <c r="R264" s="9">
        <v>40</v>
      </c>
      <c r="S264" s="9">
        <v>61</v>
      </c>
      <c r="T264" s="9">
        <v>44</v>
      </c>
      <c r="U264" s="9">
        <v>0</v>
      </c>
      <c r="V264" s="9">
        <v>1</v>
      </c>
      <c r="W264" s="9">
        <v>2</v>
      </c>
      <c r="X264" s="9">
        <v>1</v>
      </c>
      <c r="Y264" s="9">
        <v>0</v>
      </c>
      <c r="Z264" s="9">
        <v>0</v>
      </c>
      <c r="AB264" s="9">
        <f t="shared" si="13"/>
        <v>1615</v>
      </c>
      <c r="AC264" s="9">
        <f t="shared" si="14"/>
        <v>13695</v>
      </c>
      <c r="AD264" s="10">
        <f t="shared" si="15"/>
        <v>8.4798761609907114</v>
      </c>
    </row>
    <row r="265" spans="1:30" x14ac:dyDescent="0.3">
      <c r="A265" s="55"/>
      <c r="B265" s="30" t="s">
        <v>267</v>
      </c>
      <c r="C265" s="9">
        <v>16</v>
      </c>
      <c r="D265" s="9">
        <v>22</v>
      </c>
      <c r="E265" s="9">
        <v>25</v>
      </c>
      <c r="F265" s="9">
        <v>40</v>
      </c>
      <c r="G265" s="9">
        <v>51</v>
      </c>
      <c r="H265" s="9">
        <v>90</v>
      </c>
      <c r="I265" s="9">
        <v>76</v>
      </c>
      <c r="J265" s="9">
        <v>68</v>
      </c>
      <c r="K265" s="9">
        <v>92</v>
      </c>
      <c r="L265" s="9">
        <v>83</v>
      </c>
      <c r="M265" s="9">
        <v>66</v>
      </c>
      <c r="N265" s="9">
        <v>60</v>
      </c>
      <c r="O265" s="9">
        <v>218</v>
      </c>
      <c r="P265" s="9">
        <v>5</v>
      </c>
      <c r="Q265" s="9">
        <v>6</v>
      </c>
      <c r="R265" s="9">
        <v>14</v>
      </c>
      <c r="S265" s="9">
        <v>42</v>
      </c>
      <c r="T265" s="9">
        <v>36</v>
      </c>
      <c r="U265" s="9">
        <v>2</v>
      </c>
      <c r="V265" s="9">
        <v>1</v>
      </c>
      <c r="W265" s="9">
        <v>0</v>
      </c>
      <c r="X265" s="9">
        <v>2</v>
      </c>
      <c r="Y265" s="9">
        <v>0</v>
      </c>
      <c r="Z265" s="9">
        <v>0</v>
      </c>
      <c r="AB265" s="9">
        <f t="shared" si="13"/>
        <v>1015</v>
      </c>
      <c r="AC265" s="9">
        <f t="shared" si="14"/>
        <v>8937</v>
      </c>
      <c r="AD265" s="10">
        <f t="shared" si="15"/>
        <v>8.8049261083743851</v>
      </c>
    </row>
    <row r="266" spans="1:30" x14ac:dyDescent="0.3">
      <c r="A266" s="55"/>
      <c r="B266" s="30" t="s">
        <v>268</v>
      </c>
      <c r="C266" s="9">
        <v>50</v>
      </c>
      <c r="D266" s="9">
        <v>36</v>
      </c>
      <c r="E266" s="9">
        <v>69</v>
      </c>
      <c r="F266" s="9">
        <v>82</v>
      </c>
      <c r="G266" s="9">
        <v>98</v>
      </c>
      <c r="H266" s="9">
        <v>166</v>
      </c>
      <c r="I266" s="9">
        <v>132</v>
      </c>
      <c r="J266" s="9">
        <v>87</v>
      </c>
      <c r="K266" s="9">
        <v>114</v>
      </c>
      <c r="L266" s="9">
        <v>115</v>
      </c>
      <c r="M266" s="9">
        <v>113</v>
      </c>
      <c r="N266" s="9">
        <v>108</v>
      </c>
      <c r="O266" s="9">
        <v>357</v>
      </c>
      <c r="P266" s="9">
        <v>23</v>
      </c>
      <c r="Q266" s="9">
        <v>18</v>
      </c>
      <c r="R266" s="9">
        <v>48</v>
      </c>
      <c r="S266" s="9">
        <v>90</v>
      </c>
      <c r="T266" s="9">
        <v>47</v>
      </c>
      <c r="U266" s="9">
        <v>3</v>
      </c>
      <c r="V266" s="9">
        <v>0</v>
      </c>
      <c r="W266" s="9">
        <v>3</v>
      </c>
      <c r="X266" s="9">
        <v>0</v>
      </c>
      <c r="Y266" s="9">
        <v>0</v>
      </c>
      <c r="Z266" s="9">
        <v>0</v>
      </c>
      <c r="AB266" s="9">
        <f t="shared" si="13"/>
        <v>1759</v>
      </c>
      <c r="AC266" s="9">
        <f t="shared" si="14"/>
        <v>15216</v>
      </c>
      <c r="AD266" s="10">
        <f t="shared" si="15"/>
        <v>8.65036952814099</v>
      </c>
    </row>
    <row r="267" spans="1:30" x14ac:dyDescent="0.3">
      <c r="A267" s="55"/>
      <c r="B267" s="30" t="s">
        <v>269</v>
      </c>
      <c r="C267" s="9">
        <v>89</v>
      </c>
      <c r="D267" s="9">
        <v>74</v>
      </c>
      <c r="E267" s="9">
        <v>79</v>
      </c>
      <c r="F267" s="9">
        <v>144</v>
      </c>
      <c r="G267" s="9">
        <v>132</v>
      </c>
      <c r="H267" s="9">
        <v>251</v>
      </c>
      <c r="I267" s="9">
        <v>200</v>
      </c>
      <c r="J267" s="9">
        <v>132</v>
      </c>
      <c r="K267" s="9">
        <v>168</v>
      </c>
      <c r="L267" s="9">
        <v>170</v>
      </c>
      <c r="M267" s="9">
        <v>177</v>
      </c>
      <c r="N267" s="9">
        <v>176</v>
      </c>
      <c r="O267" s="9">
        <v>643</v>
      </c>
      <c r="P267" s="9">
        <v>37</v>
      </c>
      <c r="Q267" s="9">
        <v>42</v>
      </c>
      <c r="R267" s="9">
        <v>118</v>
      </c>
      <c r="S267" s="9">
        <v>145</v>
      </c>
      <c r="T267" s="9">
        <v>143</v>
      </c>
      <c r="U267" s="9">
        <v>6</v>
      </c>
      <c r="V267" s="9">
        <v>9</v>
      </c>
      <c r="W267" s="9">
        <v>4</v>
      </c>
      <c r="X267" s="9">
        <v>3</v>
      </c>
      <c r="Y267" s="9">
        <v>0</v>
      </c>
      <c r="Z267" s="9">
        <v>1</v>
      </c>
      <c r="AB267" s="9">
        <f t="shared" si="13"/>
        <v>2943</v>
      </c>
      <c r="AC267" s="9">
        <f t="shared" si="14"/>
        <v>26902</v>
      </c>
      <c r="AD267" s="10">
        <f t="shared" si="15"/>
        <v>9.1410125722052324</v>
      </c>
    </row>
    <row r="268" spans="1:30" x14ac:dyDescent="0.3">
      <c r="A268" s="55"/>
      <c r="B268" s="30" t="s">
        <v>270</v>
      </c>
      <c r="C268" s="9">
        <v>277</v>
      </c>
      <c r="D268" s="9">
        <v>290</v>
      </c>
      <c r="E268" s="9">
        <v>372</v>
      </c>
      <c r="F268" s="9">
        <v>508</v>
      </c>
      <c r="G268" s="9">
        <v>541</v>
      </c>
      <c r="H268" s="9">
        <v>780</v>
      </c>
      <c r="I268" s="9">
        <v>556</v>
      </c>
      <c r="J268" s="9">
        <v>400</v>
      </c>
      <c r="K268" s="9">
        <v>513</v>
      </c>
      <c r="L268" s="9">
        <v>507</v>
      </c>
      <c r="M268" s="9">
        <v>587</v>
      </c>
      <c r="N268" s="9">
        <v>499</v>
      </c>
      <c r="O268" s="9">
        <v>1673</v>
      </c>
      <c r="P268" s="9">
        <v>64</v>
      </c>
      <c r="Q268" s="9">
        <v>92</v>
      </c>
      <c r="R268" s="9">
        <v>324</v>
      </c>
      <c r="S268" s="9">
        <v>501</v>
      </c>
      <c r="T268" s="9">
        <v>416</v>
      </c>
      <c r="U268" s="9">
        <v>16</v>
      </c>
      <c r="V268" s="9">
        <v>9</v>
      </c>
      <c r="W268" s="9">
        <v>3</v>
      </c>
      <c r="X268" s="9">
        <v>3</v>
      </c>
      <c r="Y268" s="9">
        <v>0</v>
      </c>
      <c r="Z268" s="9">
        <v>2</v>
      </c>
      <c r="AB268" s="9">
        <f t="shared" si="13"/>
        <v>8933</v>
      </c>
      <c r="AC268" s="9">
        <f t="shared" si="14"/>
        <v>77556</v>
      </c>
      <c r="AD268" s="10">
        <f t="shared" si="15"/>
        <v>8.6819657449904852</v>
      </c>
    </row>
    <row r="269" spans="1:30" x14ac:dyDescent="0.3">
      <c r="A269" s="55"/>
      <c r="B269" s="30" t="s">
        <v>271</v>
      </c>
      <c r="C269" s="9">
        <v>24</v>
      </c>
      <c r="D269" s="9">
        <v>42</v>
      </c>
      <c r="E269" s="9">
        <v>55</v>
      </c>
      <c r="F269" s="9">
        <v>88</v>
      </c>
      <c r="G269" s="9">
        <v>70</v>
      </c>
      <c r="H269" s="9">
        <v>139</v>
      </c>
      <c r="I269" s="9">
        <v>109</v>
      </c>
      <c r="J269" s="9">
        <v>72</v>
      </c>
      <c r="K269" s="9">
        <v>107</v>
      </c>
      <c r="L269" s="9">
        <v>108</v>
      </c>
      <c r="M269" s="9">
        <v>94</v>
      </c>
      <c r="N269" s="9">
        <v>75</v>
      </c>
      <c r="O269" s="9">
        <v>280</v>
      </c>
      <c r="P269" s="9">
        <v>14</v>
      </c>
      <c r="Q269" s="9">
        <v>18</v>
      </c>
      <c r="R269" s="9">
        <v>65</v>
      </c>
      <c r="S269" s="9">
        <v>92</v>
      </c>
      <c r="T269" s="9">
        <v>56</v>
      </c>
      <c r="U269" s="9">
        <v>1</v>
      </c>
      <c r="V269" s="9">
        <v>1</v>
      </c>
      <c r="W269" s="9">
        <v>2</v>
      </c>
      <c r="X269" s="9">
        <v>0</v>
      </c>
      <c r="Y269" s="9">
        <v>0</v>
      </c>
      <c r="Z269" s="9">
        <v>0</v>
      </c>
      <c r="AB269" s="9">
        <f t="shared" si="13"/>
        <v>1512</v>
      </c>
      <c r="AC269" s="9">
        <f t="shared" si="14"/>
        <v>13412</v>
      </c>
      <c r="AD269" s="10">
        <f t="shared" si="15"/>
        <v>8.8703703703703702</v>
      </c>
    </row>
    <row r="270" spans="1:30" x14ac:dyDescent="0.3">
      <c r="A270" s="55"/>
      <c r="B270" s="30" t="s">
        <v>272</v>
      </c>
      <c r="C270" s="9">
        <v>158</v>
      </c>
      <c r="D270" s="9">
        <v>178</v>
      </c>
      <c r="E270" s="9">
        <v>129</v>
      </c>
      <c r="F270" s="9">
        <v>140</v>
      </c>
      <c r="G270" s="9">
        <v>284</v>
      </c>
      <c r="H270" s="9">
        <v>374</v>
      </c>
      <c r="I270" s="9">
        <v>510</v>
      </c>
      <c r="J270" s="9">
        <v>273</v>
      </c>
      <c r="K270" s="9">
        <v>404</v>
      </c>
      <c r="L270" s="9">
        <v>275</v>
      </c>
      <c r="M270" s="9">
        <v>332</v>
      </c>
      <c r="N270" s="9">
        <v>277</v>
      </c>
      <c r="O270" s="9">
        <v>830</v>
      </c>
      <c r="P270" s="9">
        <v>31</v>
      </c>
      <c r="Q270" s="9">
        <v>41</v>
      </c>
      <c r="R270" s="9">
        <v>117</v>
      </c>
      <c r="S270" s="9">
        <v>238</v>
      </c>
      <c r="T270" s="9">
        <v>163</v>
      </c>
      <c r="U270" s="9">
        <v>6</v>
      </c>
      <c r="V270" s="9">
        <v>7</v>
      </c>
      <c r="W270" s="9">
        <v>2</v>
      </c>
      <c r="X270" s="9">
        <v>3</v>
      </c>
      <c r="Y270" s="9">
        <v>0</v>
      </c>
      <c r="Z270" s="9">
        <v>0</v>
      </c>
      <c r="AB270" s="9">
        <f t="shared" si="13"/>
        <v>4772</v>
      </c>
      <c r="AC270" s="9">
        <f t="shared" si="14"/>
        <v>40522</v>
      </c>
      <c r="AD270" s="10">
        <f t="shared" si="15"/>
        <v>8.4916177703269078</v>
      </c>
    </row>
    <row r="271" spans="1:30" x14ac:dyDescent="0.3">
      <c r="A271" s="55"/>
      <c r="B271" s="30" t="s">
        <v>273</v>
      </c>
      <c r="C271" s="9">
        <v>229</v>
      </c>
      <c r="D271" s="9">
        <v>191</v>
      </c>
      <c r="E271" s="9">
        <v>215</v>
      </c>
      <c r="F271" s="9">
        <v>344</v>
      </c>
      <c r="G271" s="9">
        <v>241</v>
      </c>
      <c r="H271" s="9">
        <v>477</v>
      </c>
      <c r="I271" s="9">
        <v>633</v>
      </c>
      <c r="J271" s="9">
        <v>761</v>
      </c>
      <c r="K271" s="9">
        <v>524</v>
      </c>
      <c r="L271" s="9">
        <v>315</v>
      </c>
      <c r="M271" s="9">
        <v>341</v>
      </c>
      <c r="N271" s="9">
        <v>259</v>
      </c>
      <c r="O271" s="9">
        <v>740</v>
      </c>
      <c r="P271" s="9">
        <v>22</v>
      </c>
      <c r="Q271" s="9">
        <v>31</v>
      </c>
      <c r="R271" s="9">
        <v>110</v>
      </c>
      <c r="S271" s="9">
        <v>162</v>
      </c>
      <c r="T271" s="9">
        <v>137</v>
      </c>
      <c r="U271" s="9">
        <v>6</v>
      </c>
      <c r="V271" s="9">
        <v>4</v>
      </c>
      <c r="W271" s="9">
        <v>1</v>
      </c>
      <c r="X271" s="9">
        <v>0</v>
      </c>
      <c r="Y271" s="9">
        <v>0</v>
      </c>
      <c r="Z271" s="9">
        <v>0</v>
      </c>
      <c r="AB271" s="9">
        <f t="shared" si="13"/>
        <v>5743</v>
      </c>
      <c r="AC271" s="9">
        <f t="shared" si="14"/>
        <v>43788</v>
      </c>
      <c r="AD271" s="10">
        <f t="shared" si="15"/>
        <v>7.6245864530733067</v>
      </c>
    </row>
    <row r="272" spans="1:30" x14ac:dyDescent="0.3">
      <c r="A272" s="55"/>
      <c r="B272" s="30" t="s">
        <v>274</v>
      </c>
      <c r="C272" s="9">
        <v>42</v>
      </c>
      <c r="D272" s="9">
        <v>21</v>
      </c>
      <c r="E272" s="9">
        <v>19</v>
      </c>
      <c r="F272" s="9">
        <v>37</v>
      </c>
      <c r="G272" s="9">
        <v>42</v>
      </c>
      <c r="H272" s="9">
        <v>65</v>
      </c>
      <c r="I272" s="9">
        <v>95</v>
      </c>
      <c r="J272" s="9">
        <v>93</v>
      </c>
      <c r="K272" s="9">
        <v>139</v>
      </c>
      <c r="L272" s="9">
        <v>176</v>
      </c>
      <c r="M272" s="9">
        <v>216</v>
      </c>
      <c r="N272" s="9">
        <v>145</v>
      </c>
      <c r="O272" s="9">
        <v>595</v>
      </c>
      <c r="P272" s="9">
        <v>25</v>
      </c>
      <c r="Q272" s="9">
        <v>28</v>
      </c>
      <c r="R272" s="9">
        <v>113</v>
      </c>
      <c r="S272" s="9">
        <v>164</v>
      </c>
      <c r="T272" s="9">
        <v>103</v>
      </c>
      <c r="U272" s="9">
        <v>6</v>
      </c>
      <c r="V272" s="9">
        <v>6</v>
      </c>
      <c r="W272" s="9">
        <v>1</v>
      </c>
      <c r="X272" s="9">
        <v>1</v>
      </c>
      <c r="Y272" s="9">
        <v>0</v>
      </c>
      <c r="Z272" s="9">
        <v>1</v>
      </c>
      <c r="AB272" s="9">
        <f t="shared" si="13"/>
        <v>2133</v>
      </c>
      <c r="AC272" s="9">
        <f t="shared" si="14"/>
        <v>22548</v>
      </c>
      <c r="AD272" s="10">
        <f t="shared" si="15"/>
        <v>10.571026722925458</v>
      </c>
    </row>
    <row r="273" spans="1:30" x14ac:dyDescent="0.3">
      <c r="A273" s="55"/>
      <c r="B273" s="30" t="s">
        <v>275</v>
      </c>
      <c r="C273" s="9">
        <v>69</v>
      </c>
      <c r="D273" s="9">
        <v>43</v>
      </c>
      <c r="E273" s="9">
        <v>61</v>
      </c>
      <c r="F273" s="9">
        <v>78</v>
      </c>
      <c r="G273" s="9">
        <v>86</v>
      </c>
      <c r="H273" s="9">
        <v>143</v>
      </c>
      <c r="I273" s="9">
        <v>127</v>
      </c>
      <c r="J273" s="9">
        <v>104</v>
      </c>
      <c r="K273" s="9">
        <v>117</v>
      </c>
      <c r="L273" s="9">
        <v>179</v>
      </c>
      <c r="M273" s="9">
        <v>186</v>
      </c>
      <c r="N273" s="9">
        <v>155</v>
      </c>
      <c r="O273" s="9">
        <v>561</v>
      </c>
      <c r="P273" s="9">
        <v>63</v>
      </c>
      <c r="Q273" s="9">
        <v>65</v>
      </c>
      <c r="R273" s="9">
        <v>234</v>
      </c>
      <c r="S273" s="9">
        <v>235</v>
      </c>
      <c r="T273" s="9">
        <v>120</v>
      </c>
      <c r="U273" s="9">
        <v>3</v>
      </c>
      <c r="V273" s="9">
        <v>4</v>
      </c>
      <c r="W273" s="9">
        <v>2</v>
      </c>
      <c r="X273" s="9">
        <v>0</v>
      </c>
      <c r="Y273" s="9">
        <v>2</v>
      </c>
      <c r="Z273" s="9">
        <v>1</v>
      </c>
      <c r="AB273" s="9">
        <f t="shared" si="13"/>
        <v>2638</v>
      </c>
      <c r="AC273" s="9">
        <f t="shared" si="14"/>
        <v>27068</v>
      </c>
      <c r="AD273" s="10">
        <f t="shared" si="15"/>
        <v>10.260803639120546</v>
      </c>
    </row>
    <row r="274" spans="1:30" x14ac:dyDescent="0.3">
      <c r="A274" s="55"/>
      <c r="B274" s="30" t="s">
        <v>276</v>
      </c>
      <c r="C274" s="9">
        <v>111</v>
      </c>
      <c r="D274" s="9">
        <v>100</v>
      </c>
      <c r="E274" s="9">
        <v>154</v>
      </c>
      <c r="F274" s="9">
        <v>180</v>
      </c>
      <c r="G274" s="9">
        <v>226</v>
      </c>
      <c r="H274" s="9">
        <v>303</v>
      </c>
      <c r="I274" s="9">
        <v>212</v>
      </c>
      <c r="J274" s="9">
        <v>176</v>
      </c>
      <c r="K274" s="9">
        <v>188</v>
      </c>
      <c r="L274" s="9">
        <v>191</v>
      </c>
      <c r="M274" s="9">
        <v>178</v>
      </c>
      <c r="N274" s="9">
        <v>157</v>
      </c>
      <c r="O274" s="9">
        <v>456</v>
      </c>
      <c r="P274" s="9">
        <v>12</v>
      </c>
      <c r="Q274" s="9">
        <v>23</v>
      </c>
      <c r="R274" s="9">
        <v>85</v>
      </c>
      <c r="S274" s="9">
        <v>147</v>
      </c>
      <c r="T274" s="9">
        <v>76</v>
      </c>
      <c r="U274" s="9">
        <v>2</v>
      </c>
      <c r="V274" s="9">
        <v>6</v>
      </c>
      <c r="W274" s="9">
        <v>2</v>
      </c>
      <c r="X274" s="9">
        <v>2</v>
      </c>
      <c r="Y274" s="9">
        <v>0</v>
      </c>
      <c r="Z274" s="9">
        <v>0</v>
      </c>
      <c r="AB274" s="9">
        <f t="shared" si="13"/>
        <v>2987</v>
      </c>
      <c r="AC274" s="9">
        <f t="shared" si="14"/>
        <v>23702</v>
      </c>
      <c r="AD274" s="10">
        <f t="shared" si="15"/>
        <v>7.9350518915299633</v>
      </c>
    </row>
    <row r="275" spans="1:30" x14ac:dyDescent="0.3">
      <c r="A275" s="55"/>
      <c r="B275" s="30" t="s">
        <v>277</v>
      </c>
      <c r="C275" s="9">
        <v>10</v>
      </c>
      <c r="D275" s="9">
        <v>11</v>
      </c>
      <c r="E275" s="9">
        <v>20</v>
      </c>
      <c r="F275" s="9">
        <v>21</v>
      </c>
      <c r="G275" s="9">
        <v>38</v>
      </c>
      <c r="H275" s="9">
        <v>59</v>
      </c>
      <c r="I275" s="9">
        <v>62</v>
      </c>
      <c r="J275" s="9">
        <v>38</v>
      </c>
      <c r="K275" s="9">
        <v>76</v>
      </c>
      <c r="L275" s="9">
        <v>75</v>
      </c>
      <c r="M275" s="9">
        <v>73</v>
      </c>
      <c r="N275" s="9">
        <v>76</v>
      </c>
      <c r="O275" s="9">
        <v>233</v>
      </c>
      <c r="P275" s="9">
        <v>6</v>
      </c>
      <c r="Q275" s="9">
        <v>9</v>
      </c>
      <c r="R275" s="9">
        <v>21</v>
      </c>
      <c r="S275" s="9">
        <v>41</v>
      </c>
      <c r="T275" s="9">
        <v>22</v>
      </c>
      <c r="U275" s="9">
        <v>2</v>
      </c>
      <c r="V275" s="9">
        <v>4</v>
      </c>
      <c r="W275" s="9">
        <v>1</v>
      </c>
      <c r="X275" s="9">
        <v>0</v>
      </c>
      <c r="Y275" s="9">
        <v>1</v>
      </c>
      <c r="Z275" s="9">
        <v>1</v>
      </c>
      <c r="AB275" s="9">
        <f t="shared" si="13"/>
        <v>900</v>
      </c>
      <c r="AC275" s="9">
        <f t="shared" si="14"/>
        <v>8570</v>
      </c>
      <c r="AD275" s="10">
        <f t="shared" si="15"/>
        <v>9.5222222222222221</v>
      </c>
    </row>
    <row r="276" spans="1:30" x14ac:dyDescent="0.3">
      <c r="A276" s="55"/>
      <c r="B276" s="30" t="s">
        <v>278</v>
      </c>
      <c r="C276" s="9">
        <v>22</v>
      </c>
      <c r="D276" s="9">
        <v>14</v>
      </c>
      <c r="E276" s="9">
        <v>20</v>
      </c>
      <c r="F276" s="9">
        <v>44</v>
      </c>
      <c r="G276" s="9">
        <v>41</v>
      </c>
      <c r="H276" s="9">
        <v>75</v>
      </c>
      <c r="I276" s="9">
        <v>52</v>
      </c>
      <c r="J276" s="9">
        <v>25</v>
      </c>
      <c r="K276" s="9">
        <v>72</v>
      </c>
      <c r="L276" s="9">
        <v>33</v>
      </c>
      <c r="M276" s="9">
        <v>32</v>
      </c>
      <c r="N276" s="9">
        <v>43</v>
      </c>
      <c r="O276" s="9">
        <v>164</v>
      </c>
      <c r="P276" s="9">
        <v>1</v>
      </c>
      <c r="Q276" s="9">
        <v>18</v>
      </c>
      <c r="R276" s="9">
        <v>32</v>
      </c>
      <c r="S276" s="9">
        <v>54</v>
      </c>
      <c r="T276" s="9">
        <v>36</v>
      </c>
      <c r="U276" s="9">
        <v>3</v>
      </c>
      <c r="V276" s="9">
        <v>1</v>
      </c>
      <c r="W276" s="9">
        <v>0</v>
      </c>
      <c r="X276" s="9">
        <v>0</v>
      </c>
      <c r="Y276" s="9">
        <v>0</v>
      </c>
      <c r="Z276" s="9">
        <v>1</v>
      </c>
      <c r="AB276" s="9">
        <f t="shared" si="13"/>
        <v>783</v>
      </c>
      <c r="AC276" s="9">
        <f t="shared" si="14"/>
        <v>7163</v>
      </c>
      <c r="AD276" s="10">
        <f t="shared" si="15"/>
        <v>9.1481481481481488</v>
      </c>
    </row>
    <row r="277" spans="1:30" x14ac:dyDescent="0.3">
      <c r="A277" s="55"/>
      <c r="B277" s="30" t="s">
        <v>279</v>
      </c>
      <c r="C277" s="9">
        <v>144</v>
      </c>
      <c r="D277" s="9">
        <v>167</v>
      </c>
      <c r="E277" s="9">
        <v>223</v>
      </c>
      <c r="F277" s="9">
        <v>276</v>
      </c>
      <c r="G277" s="9">
        <v>348</v>
      </c>
      <c r="H277" s="9">
        <v>438</v>
      </c>
      <c r="I277" s="9">
        <v>274</v>
      </c>
      <c r="J277" s="9">
        <v>246</v>
      </c>
      <c r="K277" s="9">
        <v>338</v>
      </c>
      <c r="L277" s="9">
        <v>198</v>
      </c>
      <c r="M277" s="9">
        <v>226</v>
      </c>
      <c r="N277" s="9">
        <v>182</v>
      </c>
      <c r="O277" s="9">
        <v>706</v>
      </c>
      <c r="P277" s="9">
        <v>25</v>
      </c>
      <c r="Q277" s="9">
        <v>46</v>
      </c>
      <c r="R277" s="9">
        <v>207</v>
      </c>
      <c r="S277" s="9">
        <v>203</v>
      </c>
      <c r="T277" s="9">
        <v>154</v>
      </c>
      <c r="U277" s="9">
        <v>7</v>
      </c>
      <c r="V277" s="9">
        <v>8</v>
      </c>
      <c r="W277" s="9">
        <v>4</v>
      </c>
      <c r="X277" s="9">
        <v>0</v>
      </c>
      <c r="Y277" s="9">
        <v>0</v>
      </c>
      <c r="Z277" s="9">
        <v>0</v>
      </c>
      <c r="AB277" s="9">
        <f t="shared" si="13"/>
        <v>4420</v>
      </c>
      <c r="AC277" s="9">
        <f t="shared" si="14"/>
        <v>35907</v>
      </c>
      <c r="AD277" s="10">
        <f t="shared" si="15"/>
        <v>8.1237556561085977</v>
      </c>
    </row>
    <row r="278" spans="1:30" x14ac:dyDescent="0.3">
      <c r="A278" s="55"/>
      <c r="B278" s="30" t="s">
        <v>280</v>
      </c>
      <c r="C278" s="9">
        <v>122</v>
      </c>
      <c r="D278" s="9">
        <v>199</v>
      </c>
      <c r="E278" s="9">
        <v>267</v>
      </c>
      <c r="F278" s="9">
        <v>295</v>
      </c>
      <c r="G278" s="9">
        <v>685</v>
      </c>
      <c r="H278" s="9">
        <v>506</v>
      </c>
      <c r="I278" s="9">
        <v>200</v>
      </c>
      <c r="J278" s="9">
        <v>174</v>
      </c>
      <c r="K278" s="9">
        <v>191</v>
      </c>
      <c r="L278" s="9">
        <v>197</v>
      </c>
      <c r="M278" s="9">
        <v>216</v>
      </c>
      <c r="N278" s="9">
        <v>145</v>
      </c>
      <c r="O278" s="9">
        <v>493</v>
      </c>
      <c r="P278" s="9">
        <v>25</v>
      </c>
      <c r="Q278" s="9">
        <v>26</v>
      </c>
      <c r="R278" s="9">
        <v>83</v>
      </c>
      <c r="S278" s="9">
        <v>168</v>
      </c>
      <c r="T278" s="9">
        <v>120</v>
      </c>
      <c r="U278" s="9">
        <v>4</v>
      </c>
      <c r="V278" s="9">
        <v>1</v>
      </c>
      <c r="W278" s="9">
        <v>3</v>
      </c>
      <c r="X278" s="9">
        <v>1</v>
      </c>
      <c r="Y278" s="9">
        <v>1</v>
      </c>
      <c r="Z278" s="9">
        <v>0</v>
      </c>
      <c r="AB278" s="9">
        <f t="shared" si="13"/>
        <v>4122</v>
      </c>
      <c r="AC278" s="9">
        <f t="shared" si="14"/>
        <v>29134</v>
      </c>
      <c r="AD278" s="10">
        <f t="shared" si="15"/>
        <v>7.0679281901989324</v>
      </c>
    </row>
    <row r="279" spans="1:30" x14ac:dyDescent="0.3">
      <c r="A279" s="55"/>
      <c r="B279" s="30" t="s">
        <v>281</v>
      </c>
      <c r="C279" s="9">
        <v>28</v>
      </c>
      <c r="D279" s="9">
        <v>13</v>
      </c>
      <c r="E279" s="9">
        <v>11</v>
      </c>
      <c r="F279" s="9">
        <v>29</v>
      </c>
      <c r="G279" s="9">
        <v>26</v>
      </c>
      <c r="H279" s="9">
        <v>38</v>
      </c>
      <c r="I279" s="9">
        <v>41</v>
      </c>
      <c r="J279" s="9">
        <v>41</v>
      </c>
      <c r="K279" s="9">
        <v>55</v>
      </c>
      <c r="L279" s="9">
        <v>40</v>
      </c>
      <c r="M279" s="9">
        <v>43</v>
      </c>
      <c r="N279" s="9">
        <v>32</v>
      </c>
      <c r="O279" s="9">
        <v>131</v>
      </c>
      <c r="P279" s="9">
        <v>10</v>
      </c>
      <c r="Q279" s="9">
        <v>15</v>
      </c>
      <c r="R279" s="9">
        <v>45</v>
      </c>
      <c r="S279" s="9">
        <v>61</v>
      </c>
      <c r="T279" s="9">
        <v>38</v>
      </c>
      <c r="U279" s="9">
        <v>2</v>
      </c>
      <c r="V279" s="9">
        <v>2</v>
      </c>
      <c r="W279" s="9">
        <v>1</v>
      </c>
      <c r="X279" s="9">
        <v>0</v>
      </c>
      <c r="Y279" s="9">
        <v>0</v>
      </c>
      <c r="Z279" s="9">
        <v>0</v>
      </c>
      <c r="AB279" s="9">
        <f t="shared" si="13"/>
        <v>702</v>
      </c>
      <c r="AC279" s="9">
        <f t="shared" si="14"/>
        <v>6834</v>
      </c>
      <c r="AD279" s="10">
        <f t="shared" si="15"/>
        <v>9.7350427350427342</v>
      </c>
    </row>
    <row r="280" spans="1:30" x14ac:dyDescent="0.3">
      <c r="A280" s="55"/>
      <c r="B280" s="30" t="s">
        <v>282</v>
      </c>
      <c r="C280" s="9">
        <v>55</v>
      </c>
      <c r="D280" s="9">
        <v>39</v>
      </c>
      <c r="E280" s="9">
        <v>55</v>
      </c>
      <c r="F280" s="9">
        <v>74</v>
      </c>
      <c r="G280" s="9">
        <v>77</v>
      </c>
      <c r="H280" s="9">
        <v>133</v>
      </c>
      <c r="I280" s="9">
        <v>146</v>
      </c>
      <c r="J280" s="9">
        <v>107</v>
      </c>
      <c r="K280" s="9">
        <v>149</v>
      </c>
      <c r="L280" s="9">
        <v>116</v>
      </c>
      <c r="M280" s="9">
        <v>113</v>
      </c>
      <c r="N280" s="9">
        <v>114</v>
      </c>
      <c r="O280" s="9">
        <v>279</v>
      </c>
      <c r="P280" s="9">
        <v>17</v>
      </c>
      <c r="Q280" s="9">
        <v>16</v>
      </c>
      <c r="R280" s="9">
        <v>69</v>
      </c>
      <c r="S280" s="9">
        <v>71</v>
      </c>
      <c r="T280" s="9">
        <v>39</v>
      </c>
      <c r="U280" s="9">
        <v>3</v>
      </c>
      <c r="V280" s="9">
        <v>4</v>
      </c>
      <c r="W280" s="9">
        <v>3</v>
      </c>
      <c r="X280" s="9">
        <v>1</v>
      </c>
      <c r="Y280" s="9">
        <v>0</v>
      </c>
      <c r="Z280" s="9">
        <v>0</v>
      </c>
      <c r="AB280" s="9">
        <f t="shared" si="13"/>
        <v>1680</v>
      </c>
      <c r="AC280" s="9">
        <f t="shared" si="14"/>
        <v>14427</v>
      </c>
      <c r="AD280" s="10">
        <f t="shared" si="15"/>
        <v>8.5875000000000004</v>
      </c>
    </row>
    <row r="281" spans="1:30" x14ac:dyDescent="0.3">
      <c r="A281" s="55"/>
      <c r="B281" s="30" t="s">
        <v>283</v>
      </c>
      <c r="C281" s="9">
        <v>46</v>
      </c>
      <c r="D281" s="9">
        <v>35</v>
      </c>
      <c r="E281" s="9">
        <v>53</v>
      </c>
      <c r="F281" s="9">
        <v>94</v>
      </c>
      <c r="G281" s="9">
        <v>86</v>
      </c>
      <c r="H281" s="9">
        <v>176</v>
      </c>
      <c r="I281" s="9">
        <v>202</v>
      </c>
      <c r="J281" s="9">
        <v>145</v>
      </c>
      <c r="K281" s="9">
        <v>248</v>
      </c>
      <c r="L281" s="9">
        <v>278</v>
      </c>
      <c r="M281" s="9">
        <v>312</v>
      </c>
      <c r="N281" s="9">
        <v>272</v>
      </c>
      <c r="O281" s="9">
        <v>1112</v>
      </c>
      <c r="P281" s="9">
        <v>110</v>
      </c>
      <c r="Q281" s="9">
        <v>125</v>
      </c>
      <c r="R281" s="9">
        <v>527</v>
      </c>
      <c r="S281" s="9">
        <v>603</v>
      </c>
      <c r="T281" s="9">
        <v>611</v>
      </c>
      <c r="U281" s="9">
        <v>17</v>
      </c>
      <c r="V281" s="9">
        <v>29</v>
      </c>
      <c r="W281" s="9">
        <v>8</v>
      </c>
      <c r="X281" s="9">
        <v>1</v>
      </c>
      <c r="Y281" s="9">
        <v>0</v>
      </c>
      <c r="Z281" s="9">
        <v>0</v>
      </c>
      <c r="AB281" s="9">
        <f t="shared" si="13"/>
        <v>5090</v>
      </c>
      <c r="AC281" s="9">
        <f t="shared" si="14"/>
        <v>59974</v>
      </c>
      <c r="AD281" s="10">
        <f t="shared" si="15"/>
        <v>11.782711198428292</v>
      </c>
    </row>
    <row r="282" spans="1:30" x14ac:dyDescent="0.3">
      <c r="A282" s="55"/>
      <c r="B282" s="30" t="s">
        <v>284</v>
      </c>
      <c r="C282" s="9">
        <v>23</v>
      </c>
      <c r="D282" s="9">
        <v>14</v>
      </c>
      <c r="E282" s="9">
        <v>28</v>
      </c>
      <c r="F282" s="9">
        <v>37</v>
      </c>
      <c r="G282" s="9">
        <v>41</v>
      </c>
      <c r="H282" s="9">
        <v>59</v>
      </c>
      <c r="I282" s="9">
        <v>51</v>
      </c>
      <c r="J282" s="9">
        <v>45</v>
      </c>
      <c r="K282" s="9">
        <v>37</v>
      </c>
      <c r="L282" s="9">
        <v>54</v>
      </c>
      <c r="M282" s="9">
        <v>55</v>
      </c>
      <c r="N282" s="9">
        <v>50</v>
      </c>
      <c r="O282" s="9">
        <v>140</v>
      </c>
      <c r="P282" s="9">
        <v>4</v>
      </c>
      <c r="Q282" s="9">
        <v>13</v>
      </c>
      <c r="R282" s="9">
        <v>54</v>
      </c>
      <c r="S282" s="9">
        <v>63</v>
      </c>
      <c r="T282" s="9">
        <v>49</v>
      </c>
      <c r="U282" s="9">
        <v>3</v>
      </c>
      <c r="V282" s="9">
        <v>0</v>
      </c>
      <c r="W282" s="9">
        <v>1</v>
      </c>
      <c r="X282" s="9">
        <v>1</v>
      </c>
      <c r="Y282" s="9">
        <v>0</v>
      </c>
      <c r="Z282" s="9">
        <v>1</v>
      </c>
      <c r="AB282" s="9">
        <f t="shared" si="13"/>
        <v>823</v>
      </c>
      <c r="AC282" s="9">
        <f t="shared" si="14"/>
        <v>7826</v>
      </c>
      <c r="AD282" s="10">
        <f t="shared" si="15"/>
        <v>9.5091130012150664</v>
      </c>
    </row>
    <row r="283" spans="1:30" x14ac:dyDescent="0.3">
      <c r="A283" s="55"/>
      <c r="B283" s="30" t="s">
        <v>285</v>
      </c>
      <c r="C283" s="9">
        <v>82</v>
      </c>
      <c r="D283" s="9">
        <v>61</v>
      </c>
      <c r="E283" s="9">
        <v>70</v>
      </c>
      <c r="F283" s="9">
        <v>104</v>
      </c>
      <c r="G283" s="9">
        <v>97</v>
      </c>
      <c r="H283" s="9">
        <v>174</v>
      </c>
      <c r="I283" s="9">
        <v>125</v>
      </c>
      <c r="J283" s="9">
        <v>122</v>
      </c>
      <c r="K283" s="9">
        <v>192</v>
      </c>
      <c r="L283" s="9">
        <v>145</v>
      </c>
      <c r="M283" s="9">
        <v>134</v>
      </c>
      <c r="N283" s="9">
        <v>128</v>
      </c>
      <c r="O283" s="9">
        <v>467</v>
      </c>
      <c r="P283" s="9">
        <v>42</v>
      </c>
      <c r="Q283" s="9">
        <v>35</v>
      </c>
      <c r="R283" s="9">
        <v>146</v>
      </c>
      <c r="S283" s="9">
        <v>163</v>
      </c>
      <c r="T283" s="9">
        <v>171</v>
      </c>
      <c r="U283" s="9">
        <v>9</v>
      </c>
      <c r="V283" s="9">
        <v>13</v>
      </c>
      <c r="W283" s="9">
        <v>3</v>
      </c>
      <c r="X283" s="9">
        <v>1</v>
      </c>
      <c r="Y283" s="9">
        <v>0</v>
      </c>
      <c r="Z283" s="9">
        <v>2</v>
      </c>
      <c r="AB283" s="9">
        <f t="shared" si="13"/>
        <v>2486</v>
      </c>
      <c r="AC283" s="9">
        <f t="shared" si="14"/>
        <v>23845</v>
      </c>
      <c r="AD283" s="10">
        <f t="shared" si="15"/>
        <v>9.5917135961383746</v>
      </c>
    </row>
    <row r="284" spans="1:30" x14ac:dyDescent="0.3">
      <c r="A284" s="55"/>
      <c r="B284" s="30" t="s">
        <v>286</v>
      </c>
      <c r="C284" s="9">
        <v>14</v>
      </c>
      <c r="D284" s="9">
        <v>7</v>
      </c>
      <c r="E284" s="9">
        <v>2</v>
      </c>
      <c r="F284" s="9">
        <v>10</v>
      </c>
      <c r="G284" s="9">
        <v>8</v>
      </c>
      <c r="H284" s="9">
        <v>20</v>
      </c>
      <c r="I284" s="9">
        <v>19</v>
      </c>
      <c r="J284" s="9">
        <v>11</v>
      </c>
      <c r="K284" s="9">
        <v>18</v>
      </c>
      <c r="L284" s="9">
        <v>36</v>
      </c>
      <c r="M284" s="9">
        <v>27</v>
      </c>
      <c r="N284" s="9">
        <v>25</v>
      </c>
      <c r="O284" s="9">
        <v>118</v>
      </c>
      <c r="P284" s="9">
        <v>3</v>
      </c>
      <c r="Q284" s="9">
        <v>6</v>
      </c>
      <c r="R284" s="9">
        <v>15</v>
      </c>
      <c r="S284" s="9">
        <v>18</v>
      </c>
      <c r="T284" s="9">
        <v>19</v>
      </c>
      <c r="U284" s="9">
        <v>1</v>
      </c>
      <c r="V284" s="9">
        <v>1</v>
      </c>
      <c r="W284" s="9">
        <v>0</v>
      </c>
      <c r="X284" s="9">
        <v>0</v>
      </c>
      <c r="Y284" s="9">
        <v>0</v>
      </c>
      <c r="Z284" s="9">
        <v>1</v>
      </c>
      <c r="AB284" s="9">
        <f t="shared" si="13"/>
        <v>379</v>
      </c>
      <c r="AC284" s="9">
        <f t="shared" si="14"/>
        <v>3812</v>
      </c>
      <c r="AD284" s="10">
        <f t="shared" si="15"/>
        <v>10.058047493403693</v>
      </c>
    </row>
    <row r="285" spans="1:30" x14ac:dyDescent="0.3">
      <c r="A285" s="55"/>
      <c r="B285" s="30" t="s">
        <v>287</v>
      </c>
      <c r="C285" s="9">
        <v>10</v>
      </c>
      <c r="D285" s="9">
        <v>11</v>
      </c>
      <c r="E285" s="9">
        <v>20</v>
      </c>
      <c r="F285" s="9">
        <v>23</v>
      </c>
      <c r="G285" s="9">
        <v>33</v>
      </c>
      <c r="H285" s="9">
        <v>56</v>
      </c>
      <c r="I285" s="9">
        <v>27</v>
      </c>
      <c r="J285" s="9">
        <v>22</v>
      </c>
      <c r="K285" s="9">
        <v>30</v>
      </c>
      <c r="L285" s="9">
        <v>27</v>
      </c>
      <c r="M285" s="9">
        <v>21</v>
      </c>
      <c r="N285" s="9">
        <v>21</v>
      </c>
      <c r="O285" s="9">
        <v>70</v>
      </c>
      <c r="P285" s="9">
        <v>0</v>
      </c>
      <c r="Q285" s="9">
        <v>2</v>
      </c>
      <c r="R285" s="9">
        <v>12</v>
      </c>
      <c r="S285" s="9">
        <v>19</v>
      </c>
      <c r="T285" s="9">
        <v>8</v>
      </c>
      <c r="U285" s="9">
        <v>0</v>
      </c>
      <c r="V285" s="9">
        <v>1</v>
      </c>
      <c r="W285" s="9">
        <v>0</v>
      </c>
      <c r="X285" s="9">
        <v>0</v>
      </c>
      <c r="Y285" s="9">
        <v>0</v>
      </c>
      <c r="Z285" s="9">
        <v>0</v>
      </c>
      <c r="AB285" s="9">
        <f t="shared" si="13"/>
        <v>413</v>
      </c>
      <c r="AC285" s="9">
        <f t="shared" si="14"/>
        <v>3279</v>
      </c>
      <c r="AD285" s="10">
        <f t="shared" si="15"/>
        <v>7.9394673123486683</v>
      </c>
    </row>
    <row r="286" spans="1:30" x14ac:dyDescent="0.3">
      <c r="A286" s="55"/>
      <c r="B286" s="30" t="s">
        <v>288</v>
      </c>
      <c r="C286" s="9">
        <v>41</v>
      </c>
      <c r="D286" s="9">
        <v>8</v>
      </c>
      <c r="E286" s="9">
        <v>15</v>
      </c>
      <c r="F286" s="9">
        <v>25</v>
      </c>
      <c r="G286" s="9">
        <v>23</v>
      </c>
      <c r="H286" s="9">
        <v>39</v>
      </c>
      <c r="I286" s="9">
        <v>14</v>
      </c>
      <c r="J286" s="9">
        <v>11</v>
      </c>
      <c r="K286" s="9">
        <v>18</v>
      </c>
      <c r="L286" s="9">
        <v>22</v>
      </c>
      <c r="M286" s="9">
        <v>16</v>
      </c>
      <c r="N286" s="9">
        <v>17</v>
      </c>
      <c r="O286" s="9">
        <v>90</v>
      </c>
      <c r="P286" s="9">
        <v>6</v>
      </c>
      <c r="Q286" s="9">
        <v>11</v>
      </c>
      <c r="R286" s="9">
        <v>22</v>
      </c>
      <c r="S286" s="9">
        <v>21</v>
      </c>
      <c r="T286" s="9">
        <v>26</v>
      </c>
      <c r="U286" s="9">
        <v>5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B286" s="9">
        <f t="shared" si="13"/>
        <v>430</v>
      </c>
      <c r="AC286" s="9">
        <f t="shared" si="14"/>
        <v>3760</v>
      </c>
      <c r="AD286" s="10">
        <f t="shared" si="15"/>
        <v>8.7441860465116275</v>
      </c>
    </row>
    <row r="287" spans="1:30" x14ac:dyDescent="0.3">
      <c r="A287" s="55"/>
      <c r="B287" s="30" t="s">
        <v>289</v>
      </c>
      <c r="C287" s="9">
        <v>12</v>
      </c>
      <c r="D287" s="9">
        <v>6</v>
      </c>
      <c r="E287" s="9">
        <v>9</v>
      </c>
      <c r="F287" s="9">
        <v>18</v>
      </c>
      <c r="G287" s="9">
        <v>15</v>
      </c>
      <c r="H287" s="9">
        <v>29</v>
      </c>
      <c r="I287" s="9">
        <v>17</v>
      </c>
      <c r="J287" s="9">
        <v>16</v>
      </c>
      <c r="K287" s="9">
        <v>33</v>
      </c>
      <c r="L287" s="9">
        <v>14</v>
      </c>
      <c r="M287" s="9">
        <v>15</v>
      </c>
      <c r="N287" s="9">
        <v>7</v>
      </c>
      <c r="O287" s="9">
        <v>42</v>
      </c>
      <c r="P287" s="9">
        <v>7</v>
      </c>
      <c r="Q287" s="9">
        <v>4</v>
      </c>
      <c r="R287" s="9">
        <v>12</v>
      </c>
      <c r="S287" s="9">
        <v>32</v>
      </c>
      <c r="T287" s="9">
        <v>16</v>
      </c>
      <c r="U287" s="9">
        <v>2</v>
      </c>
      <c r="V287" s="9">
        <v>1</v>
      </c>
      <c r="W287" s="9">
        <v>1</v>
      </c>
      <c r="X287" s="9">
        <v>1</v>
      </c>
      <c r="Y287" s="9">
        <v>0</v>
      </c>
      <c r="Z287" s="9">
        <v>0</v>
      </c>
      <c r="AB287" s="9">
        <f t="shared" si="13"/>
        <v>309</v>
      </c>
      <c r="AC287" s="9">
        <f t="shared" si="14"/>
        <v>2825</v>
      </c>
      <c r="AD287" s="10">
        <f t="shared" si="15"/>
        <v>9.142394822006473</v>
      </c>
    </row>
    <row r="288" spans="1:30" x14ac:dyDescent="0.3">
      <c r="A288" s="55"/>
      <c r="B288" s="30" t="s">
        <v>290</v>
      </c>
      <c r="C288" s="9">
        <v>63</v>
      </c>
      <c r="D288" s="9">
        <v>39</v>
      </c>
      <c r="E288" s="9">
        <v>78</v>
      </c>
      <c r="F288" s="9">
        <v>97</v>
      </c>
      <c r="G288" s="9">
        <v>88</v>
      </c>
      <c r="H288" s="9">
        <v>138</v>
      </c>
      <c r="I288" s="9">
        <v>83</v>
      </c>
      <c r="J288" s="9">
        <v>66</v>
      </c>
      <c r="K288" s="9">
        <v>91</v>
      </c>
      <c r="L288" s="9">
        <v>83</v>
      </c>
      <c r="M288" s="9">
        <v>112</v>
      </c>
      <c r="N288" s="9">
        <v>70</v>
      </c>
      <c r="O288" s="9">
        <v>285</v>
      </c>
      <c r="P288" s="9">
        <v>14</v>
      </c>
      <c r="Q288" s="9">
        <v>17</v>
      </c>
      <c r="R288" s="9">
        <v>69</v>
      </c>
      <c r="S288" s="9">
        <v>92</v>
      </c>
      <c r="T288" s="9">
        <v>63</v>
      </c>
      <c r="U288" s="9">
        <v>6</v>
      </c>
      <c r="V288" s="9">
        <v>8</v>
      </c>
      <c r="W288" s="9">
        <v>0</v>
      </c>
      <c r="X288" s="9">
        <v>0</v>
      </c>
      <c r="Y288" s="9">
        <v>1</v>
      </c>
      <c r="Z288" s="9">
        <v>0</v>
      </c>
      <c r="AB288" s="9">
        <f t="shared" si="13"/>
        <v>1563</v>
      </c>
      <c r="AC288" s="9">
        <f t="shared" si="14"/>
        <v>13553</v>
      </c>
      <c r="AD288" s="10">
        <f t="shared" si="15"/>
        <v>8.6711452335252712</v>
      </c>
    </row>
    <row r="289" spans="1:30" x14ac:dyDescent="0.3">
      <c r="A289" s="55"/>
      <c r="B289" s="30" t="s">
        <v>291</v>
      </c>
      <c r="C289" s="9">
        <v>67</v>
      </c>
      <c r="D289" s="9">
        <v>48</v>
      </c>
      <c r="E289" s="9">
        <v>92</v>
      </c>
      <c r="F289" s="9">
        <v>110</v>
      </c>
      <c r="G289" s="9">
        <v>126</v>
      </c>
      <c r="H289" s="9">
        <v>152</v>
      </c>
      <c r="I289" s="9">
        <v>90</v>
      </c>
      <c r="J289" s="9">
        <v>80</v>
      </c>
      <c r="K289" s="9">
        <v>85</v>
      </c>
      <c r="L289" s="9">
        <v>57</v>
      </c>
      <c r="M289" s="9">
        <v>48</v>
      </c>
      <c r="N289" s="9">
        <v>54</v>
      </c>
      <c r="O289" s="9">
        <v>179</v>
      </c>
      <c r="P289" s="9">
        <v>13</v>
      </c>
      <c r="Q289" s="9">
        <v>12</v>
      </c>
      <c r="R289" s="9">
        <v>49</v>
      </c>
      <c r="S289" s="9">
        <v>69</v>
      </c>
      <c r="T289" s="9">
        <v>35</v>
      </c>
      <c r="U289" s="9">
        <v>3</v>
      </c>
      <c r="V289" s="9">
        <v>2</v>
      </c>
      <c r="W289" s="9">
        <v>3</v>
      </c>
      <c r="X289" s="9">
        <v>0</v>
      </c>
      <c r="Y289" s="9">
        <v>0</v>
      </c>
      <c r="Z289" s="9">
        <v>0</v>
      </c>
      <c r="AB289" s="9">
        <f t="shared" si="13"/>
        <v>1374</v>
      </c>
      <c r="AC289" s="9">
        <f t="shared" si="14"/>
        <v>10264</v>
      </c>
      <c r="AD289" s="10">
        <f t="shared" si="15"/>
        <v>7.4701601164483264</v>
      </c>
    </row>
    <row r="290" spans="1:30" x14ac:dyDescent="0.3">
      <c r="A290" s="55"/>
      <c r="B290" s="30" t="s">
        <v>292</v>
      </c>
      <c r="C290" s="9">
        <v>53</v>
      </c>
      <c r="D290" s="9">
        <v>62</v>
      </c>
      <c r="E290" s="9">
        <v>84</v>
      </c>
      <c r="F290" s="9">
        <v>114</v>
      </c>
      <c r="G290" s="9">
        <v>127</v>
      </c>
      <c r="H290" s="9">
        <v>168</v>
      </c>
      <c r="I290" s="9">
        <v>103</v>
      </c>
      <c r="J290" s="9">
        <v>53</v>
      </c>
      <c r="K290" s="9">
        <v>78</v>
      </c>
      <c r="L290" s="9">
        <v>79</v>
      </c>
      <c r="M290" s="9">
        <v>104</v>
      </c>
      <c r="N290" s="9">
        <v>84</v>
      </c>
      <c r="O290" s="9">
        <v>226</v>
      </c>
      <c r="P290" s="9">
        <v>16</v>
      </c>
      <c r="Q290" s="9">
        <v>21</v>
      </c>
      <c r="R290" s="9">
        <v>76</v>
      </c>
      <c r="S290" s="9">
        <v>89</v>
      </c>
      <c r="T290" s="9">
        <v>64</v>
      </c>
      <c r="U290" s="9">
        <v>5</v>
      </c>
      <c r="V290" s="9">
        <v>5</v>
      </c>
      <c r="W290" s="9">
        <v>1</v>
      </c>
      <c r="X290" s="9">
        <v>0</v>
      </c>
      <c r="Y290" s="9">
        <v>2</v>
      </c>
      <c r="Z290" s="9">
        <v>0</v>
      </c>
      <c r="AB290" s="9">
        <f t="shared" si="13"/>
        <v>1614</v>
      </c>
      <c r="AC290" s="9">
        <f t="shared" si="14"/>
        <v>13323</v>
      </c>
      <c r="AD290" s="10">
        <f t="shared" si="15"/>
        <v>8.2546468401486983</v>
      </c>
    </row>
    <row r="291" spans="1:30" x14ac:dyDescent="0.3">
      <c r="A291" s="55"/>
      <c r="B291" s="30" t="s">
        <v>293</v>
      </c>
      <c r="C291" s="9">
        <v>21</v>
      </c>
      <c r="D291" s="9">
        <v>10</v>
      </c>
      <c r="E291" s="9">
        <v>15</v>
      </c>
      <c r="F291" s="9">
        <v>25</v>
      </c>
      <c r="G291" s="9">
        <v>30</v>
      </c>
      <c r="H291" s="9">
        <v>40</v>
      </c>
      <c r="I291" s="9">
        <v>25</v>
      </c>
      <c r="J291" s="9">
        <v>31</v>
      </c>
      <c r="K291" s="9">
        <v>36</v>
      </c>
      <c r="L291" s="9">
        <v>21</v>
      </c>
      <c r="M291" s="9">
        <v>38</v>
      </c>
      <c r="N291" s="9">
        <v>30</v>
      </c>
      <c r="O291" s="9">
        <v>141</v>
      </c>
      <c r="P291" s="9">
        <v>5</v>
      </c>
      <c r="Q291" s="9">
        <v>4</v>
      </c>
      <c r="R291" s="9">
        <v>36</v>
      </c>
      <c r="S291" s="9">
        <v>29</v>
      </c>
      <c r="T291" s="9">
        <v>22</v>
      </c>
      <c r="U291" s="9">
        <v>0</v>
      </c>
      <c r="V291" s="9">
        <v>2</v>
      </c>
      <c r="W291" s="9">
        <v>1</v>
      </c>
      <c r="X291" s="9">
        <v>2</v>
      </c>
      <c r="Y291" s="9">
        <v>0</v>
      </c>
      <c r="Z291" s="9">
        <v>0</v>
      </c>
      <c r="AB291" s="9">
        <f t="shared" si="13"/>
        <v>564</v>
      </c>
      <c r="AC291" s="9">
        <f t="shared" si="14"/>
        <v>5280</v>
      </c>
      <c r="AD291" s="10">
        <f t="shared" si="15"/>
        <v>9.3617021276595747</v>
      </c>
    </row>
    <row r="292" spans="1:30" x14ac:dyDescent="0.3">
      <c r="A292" s="55"/>
      <c r="B292" s="30" t="s">
        <v>294</v>
      </c>
      <c r="C292" s="9">
        <v>366</v>
      </c>
      <c r="D292" s="9">
        <v>311</v>
      </c>
      <c r="E292" s="9">
        <v>448</v>
      </c>
      <c r="F292" s="9">
        <v>603</v>
      </c>
      <c r="G292" s="9">
        <v>613</v>
      </c>
      <c r="H292" s="9">
        <v>1034</v>
      </c>
      <c r="I292" s="9">
        <v>958</v>
      </c>
      <c r="J292" s="9">
        <v>738</v>
      </c>
      <c r="K292" s="9">
        <v>970</v>
      </c>
      <c r="L292" s="9">
        <v>1234</v>
      </c>
      <c r="M292" s="9">
        <v>1372</v>
      </c>
      <c r="N292" s="9">
        <v>1176</v>
      </c>
      <c r="O292" s="9">
        <v>4092</v>
      </c>
      <c r="P292" s="9">
        <v>243</v>
      </c>
      <c r="Q292" s="9">
        <v>361</v>
      </c>
      <c r="R292" s="9">
        <v>962</v>
      </c>
      <c r="S292" s="9">
        <v>1602</v>
      </c>
      <c r="T292" s="9">
        <v>1460</v>
      </c>
      <c r="U292" s="9">
        <v>73</v>
      </c>
      <c r="V292" s="9">
        <v>65</v>
      </c>
      <c r="W292" s="9">
        <v>28</v>
      </c>
      <c r="X292" s="9">
        <v>9</v>
      </c>
      <c r="Y292" s="9">
        <v>2</v>
      </c>
      <c r="Z292" s="9">
        <v>5</v>
      </c>
      <c r="AB292" s="9">
        <f t="shared" si="13"/>
        <v>18725</v>
      </c>
      <c r="AC292" s="9">
        <f t="shared" si="14"/>
        <v>192730</v>
      </c>
      <c r="AD292" s="10">
        <f t="shared" si="15"/>
        <v>10.292656875834446</v>
      </c>
    </row>
    <row r="293" spans="1:30" x14ac:dyDescent="0.3">
      <c r="A293" s="55"/>
      <c r="B293" s="30" t="s">
        <v>295</v>
      </c>
      <c r="C293" s="9">
        <v>97</v>
      </c>
      <c r="D293" s="9">
        <v>82</v>
      </c>
      <c r="E293" s="9">
        <v>93</v>
      </c>
      <c r="F293" s="9">
        <v>173</v>
      </c>
      <c r="G293" s="9">
        <v>141</v>
      </c>
      <c r="H293" s="9">
        <v>228</v>
      </c>
      <c r="I293" s="9">
        <v>158</v>
      </c>
      <c r="J293" s="9">
        <v>124</v>
      </c>
      <c r="K293" s="9">
        <v>151</v>
      </c>
      <c r="L293" s="9">
        <v>128</v>
      </c>
      <c r="M293" s="9">
        <v>140</v>
      </c>
      <c r="N293" s="9">
        <v>107</v>
      </c>
      <c r="O293" s="9">
        <v>342</v>
      </c>
      <c r="P293" s="9">
        <v>11</v>
      </c>
      <c r="Q293" s="9">
        <v>16</v>
      </c>
      <c r="R293" s="9">
        <v>48</v>
      </c>
      <c r="S293" s="9">
        <v>107</v>
      </c>
      <c r="T293" s="9">
        <v>70</v>
      </c>
      <c r="U293" s="9">
        <v>0</v>
      </c>
      <c r="V293" s="9">
        <v>0</v>
      </c>
      <c r="W293" s="9">
        <v>1</v>
      </c>
      <c r="X293" s="9">
        <v>2</v>
      </c>
      <c r="Y293" s="9">
        <v>1</v>
      </c>
      <c r="Z293" s="9">
        <v>0</v>
      </c>
      <c r="AB293" s="9">
        <f t="shared" si="13"/>
        <v>2220</v>
      </c>
      <c r="AC293" s="9">
        <f t="shared" si="14"/>
        <v>17421</v>
      </c>
      <c r="AD293" s="10">
        <f t="shared" si="15"/>
        <v>7.8472972972972972</v>
      </c>
    </row>
    <row r="294" spans="1:30" x14ac:dyDescent="0.3">
      <c r="A294" s="55"/>
      <c r="B294" s="30" t="s">
        <v>296</v>
      </c>
      <c r="C294" s="9">
        <v>129</v>
      </c>
      <c r="D294" s="9">
        <v>78</v>
      </c>
      <c r="E294" s="9">
        <v>126</v>
      </c>
      <c r="F294" s="9">
        <v>188</v>
      </c>
      <c r="G294" s="9">
        <v>177</v>
      </c>
      <c r="H294" s="9">
        <v>324</v>
      </c>
      <c r="I294" s="9">
        <v>303</v>
      </c>
      <c r="J294" s="9">
        <v>197</v>
      </c>
      <c r="K294" s="9">
        <v>271</v>
      </c>
      <c r="L294" s="9">
        <v>252</v>
      </c>
      <c r="M294" s="9">
        <v>284</v>
      </c>
      <c r="N294" s="9">
        <v>245</v>
      </c>
      <c r="O294" s="9">
        <v>778</v>
      </c>
      <c r="P294" s="9">
        <v>22</v>
      </c>
      <c r="Q294" s="9">
        <v>47</v>
      </c>
      <c r="R294" s="9">
        <v>133</v>
      </c>
      <c r="S294" s="9">
        <v>183</v>
      </c>
      <c r="T294" s="9">
        <v>141</v>
      </c>
      <c r="U294" s="9">
        <v>5</v>
      </c>
      <c r="V294" s="9">
        <v>16</v>
      </c>
      <c r="W294" s="9">
        <v>5</v>
      </c>
      <c r="X294" s="9">
        <v>3</v>
      </c>
      <c r="Y294" s="9">
        <v>0</v>
      </c>
      <c r="Z294" s="9">
        <v>0</v>
      </c>
      <c r="AB294" s="9">
        <f t="shared" si="13"/>
        <v>3907</v>
      </c>
      <c r="AC294" s="9">
        <f t="shared" si="14"/>
        <v>34547</v>
      </c>
      <c r="AD294" s="10">
        <f t="shared" si="15"/>
        <v>8.8423342718198104</v>
      </c>
    </row>
    <row r="295" spans="1:30" x14ac:dyDescent="0.3">
      <c r="A295" s="55"/>
      <c r="B295" s="30" t="s">
        <v>297</v>
      </c>
      <c r="C295" s="9">
        <v>83</v>
      </c>
      <c r="D295" s="9">
        <v>71</v>
      </c>
      <c r="E295" s="9">
        <v>117</v>
      </c>
      <c r="F295" s="9">
        <v>153</v>
      </c>
      <c r="G295" s="9">
        <v>145</v>
      </c>
      <c r="H295" s="9">
        <v>225</v>
      </c>
      <c r="I295" s="9">
        <v>159</v>
      </c>
      <c r="J295" s="9">
        <v>134</v>
      </c>
      <c r="K295" s="9">
        <v>226</v>
      </c>
      <c r="L295" s="9">
        <v>174</v>
      </c>
      <c r="M295" s="9">
        <v>164</v>
      </c>
      <c r="N295" s="9">
        <v>190</v>
      </c>
      <c r="O295" s="9">
        <v>548</v>
      </c>
      <c r="P295" s="9">
        <v>15</v>
      </c>
      <c r="Q295" s="9">
        <v>16</v>
      </c>
      <c r="R295" s="9">
        <v>82</v>
      </c>
      <c r="S295" s="9">
        <v>135</v>
      </c>
      <c r="T295" s="9">
        <v>99</v>
      </c>
      <c r="U295" s="9">
        <v>6</v>
      </c>
      <c r="V295" s="9">
        <v>8</v>
      </c>
      <c r="W295" s="9">
        <v>5</v>
      </c>
      <c r="X295" s="9">
        <v>3</v>
      </c>
      <c r="Y295" s="9">
        <v>0</v>
      </c>
      <c r="Z295" s="9">
        <v>1</v>
      </c>
      <c r="AB295" s="9">
        <f t="shared" si="13"/>
        <v>2759</v>
      </c>
      <c r="AC295" s="9">
        <f t="shared" si="14"/>
        <v>23979</v>
      </c>
      <c r="AD295" s="10">
        <f t="shared" si="15"/>
        <v>8.6911924610366071</v>
      </c>
    </row>
    <row r="296" spans="1:30" x14ac:dyDescent="0.3">
      <c r="A296" s="55"/>
      <c r="B296" s="30" t="s">
        <v>298</v>
      </c>
      <c r="C296" s="9">
        <v>101</v>
      </c>
      <c r="D296" s="9">
        <v>76</v>
      </c>
      <c r="E296" s="9">
        <v>105</v>
      </c>
      <c r="F296" s="9">
        <v>160</v>
      </c>
      <c r="G296" s="9">
        <v>185</v>
      </c>
      <c r="H296" s="9">
        <v>244</v>
      </c>
      <c r="I296" s="9">
        <v>221</v>
      </c>
      <c r="J296" s="9">
        <v>189</v>
      </c>
      <c r="K296" s="9">
        <v>286</v>
      </c>
      <c r="L296" s="9">
        <v>234</v>
      </c>
      <c r="M296" s="9">
        <v>274</v>
      </c>
      <c r="N296" s="9">
        <v>229</v>
      </c>
      <c r="O296" s="9">
        <v>805</v>
      </c>
      <c r="P296" s="9">
        <v>28</v>
      </c>
      <c r="Q296" s="9">
        <v>39</v>
      </c>
      <c r="R296" s="9">
        <v>149</v>
      </c>
      <c r="S296" s="9">
        <v>150</v>
      </c>
      <c r="T296" s="9">
        <v>156</v>
      </c>
      <c r="U296" s="9">
        <v>7</v>
      </c>
      <c r="V296" s="9">
        <v>2</v>
      </c>
      <c r="W296" s="9">
        <v>3</v>
      </c>
      <c r="X296" s="9">
        <v>0</v>
      </c>
      <c r="Y296" s="9">
        <v>0</v>
      </c>
      <c r="Z296" s="9">
        <v>0</v>
      </c>
      <c r="AB296" s="9">
        <f t="shared" si="13"/>
        <v>3643</v>
      </c>
      <c r="AC296" s="9">
        <f t="shared" si="14"/>
        <v>33109</v>
      </c>
      <c r="AD296" s="10">
        <f t="shared" si="15"/>
        <v>9.088388690639583</v>
      </c>
    </row>
    <row r="297" spans="1:30" x14ac:dyDescent="0.3">
      <c r="A297" s="55"/>
      <c r="B297" s="30" t="s">
        <v>299</v>
      </c>
      <c r="C297" s="9">
        <v>68</v>
      </c>
      <c r="D297" s="9">
        <v>70</v>
      </c>
      <c r="E297" s="9">
        <v>102</v>
      </c>
      <c r="F297" s="9">
        <v>142</v>
      </c>
      <c r="G297" s="9">
        <v>143</v>
      </c>
      <c r="H297" s="9">
        <v>289</v>
      </c>
      <c r="I297" s="9">
        <v>214</v>
      </c>
      <c r="J297" s="9">
        <v>155</v>
      </c>
      <c r="K297" s="9">
        <v>210</v>
      </c>
      <c r="L297" s="9">
        <v>192</v>
      </c>
      <c r="M297" s="9">
        <v>219</v>
      </c>
      <c r="N297" s="9">
        <v>158</v>
      </c>
      <c r="O297" s="9">
        <v>498</v>
      </c>
      <c r="P297" s="9">
        <v>15</v>
      </c>
      <c r="Q297" s="9">
        <v>33</v>
      </c>
      <c r="R297" s="9">
        <v>100</v>
      </c>
      <c r="S297" s="9">
        <v>139</v>
      </c>
      <c r="T297" s="9">
        <v>103</v>
      </c>
      <c r="U297" s="9">
        <v>0</v>
      </c>
      <c r="V297" s="9">
        <v>0</v>
      </c>
      <c r="W297" s="9">
        <v>2</v>
      </c>
      <c r="X297" s="9">
        <v>1</v>
      </c>
      <c r="Y297" s="9">
        <v>1</v>
      </c>
      <c r="Z297" s="9">
        <v>1</v>
      </c>
      <c r="AB297" s="9">
        <f t="shared" si="13"/>
        <v>2855</v>
      </c>
      <c r="AC297" s="9">
        <f t="shared" si="14"/>
        <v>24636</v>
      </c>
      <c r="AD297" s="10">
        <f t="shared" si="15"/>
        <v>8.6290718038528897</v>
      </c>
    </row>
    <row r="298" spans="1:30" x14ac:dyDescent="0.3">
      <c r="A298" s="55"/>
      <c r="B298" s="30" t="s">
        <v>300</v>
      </c>
      <c r="C298" s="9">
        <v>55</v>
      </c>
      <c r="D298" s="9">
        <v>57</v>
      </c>
      <c r="E298" s="9">
        <v>78</v>
      </c>
      <c r="F298" s="9">
        <v>114</v>
      </c>
      <c r="G298" s="9">
        <v>121</v>
      </c>
      <c r="H298" s="9">
        <v>190</v>
      </c>
      <c r="I298" s="9">
        <v>151</v>
      </c>
      <c r="J298" s="9">
        <v>139</v>
      </c>
      <c r="K298" s="9">
        <v>166</v>
      </c>
      <c r="L298" s="9">
        <v>135</v>
      </c>
      <c r="M298" s="9">
        <v>143</v>
      </c>
      <c r="N298" s="9">
        <v>106</v>
      </c>
      <c r="O298" s="9">
        <v>334</v>
      </c>
      <c r="P298" s="9">
        <v>22</v>
      </c>
      <c r="Q298" s="9">
        <v>28</v>
      </c>
      <c r="R298" s="9">
        <v>80</v>
      </c>
      <c r="S298" s="9">
        <v>95</v>
      </c>
      <c r="T298" s="9">
        <v>55</v>
      </c>
      <c r="U298" s="9">
        <v>3</v>
      </c>
      <c r="V298" s="9">
        <v>1</v>
      </c>
      <c r="W298" s="9">
        <v>1</v>
      </c>
      <c r="X298" s="9">
        <v>1</v>
      </c>
      <c r="Y298" s="9">
        <v>0</v>
      </c>
      <c r="Z298" s="9">
        <v>0</v>
      </c>
      <c r="AB298" s="9">
        <f t="shared" si="13"/>
        <v>2075</v>
      </c>
      <c r="AC298" s="9">
        <f t="shared" si="14"/>
        <v>17462</v>
      </c>
      <c r="AD298" s="10">
        <f t="shared" si="15"/>
        <v>8.4154216867469884</v>
      </c>
    </row>
    <row r="299" spans="1:30" x14ac:dyDescent="0.3">
      <c r="A299" s="55"/>
      <c r="B299" s="30" t="s">
        <v>301</v>
      </c>
      <c r="C299" s="9">
        <v>238</v>
      </c>
      <c r="D299" s="9">
        <v>221</v>
      </c>
      <c r="E299" s="9">
        <v>365</v>
      </c>
      <c r="F299" s="9">
        <v>480</v>
      </c>
      <c r="G299" s="9">
        <v>473</v>
      </c>
      <c r="H299" s="9">
        <v>649</v>
      </c>
      <c r="I299" s="9">
        <v>497</v>
      </c>
      <c r="J299" s="9">
        <v>488</v>
      </c>
      <c r="K299" s="9">
        <v>454</v>
      </c>
      <c r="L299" s="9">
        <v>416</v>
      </c>
      <c r="M299" s="9">
        <v>384</v>
      </c>
      <c r="N299" s="9">
        <v>304</v>
      </c>
      <c r="O299" s="9">
        <v>1004</v>
      </c>
      <c r="P299" s="9">
        <v>71</v>
      </c>
      <c r="Q299" s="9">
        <v>86</v>
      </c>
      <c r="R299" s="9">
        <v>329</v>
      </c>
      <c r="S299" s="9">
        <v>383</v>
      </c>
      <c r="T299" s="9">
        <v>286</v>
      </c>
      <c r="U299" s="9">
        <v>9</v>
      </c>
      <c r="V299" s="9">
        <v>10</v>
      </c>
      <c r="W299" s="9">
        <v>5</v>
      </c>
      <c r="X299" s="9">
        <v>2</v>
      </c>
      <c r="Y299" s="9">
        <v>0</v>
      </c>
      <c r="Z299" s="9">
        <v>1</v>
      </c>
      <c r="AB299" s="9">
        <f t="shared" si="13"/>
        <v>7155</v>
      </c>
      <c r="AC299" s="9">
        <f t="shared" si="14"/>
        <v>59103</v>
      </c>
      <c r="AD299" s="10">
        <f t="shared" si="15"/>
        <v>8.2603773584905653</v>
      </c>
    </row>
    <row r="300" spans="1:30" x14ac:dyDescent="0.3">
      <c r="A300" s="55"/>
      <c r="B300" s="30" t="s">
        <v>302</v>
      </c>
      <c r="C300" s="9">
        <v>13</v>
      </c>
      <c r="D300" s="9">
        <v>7</v>
      </c>
      <c r="E300" s="9">
        <v>22</v>
      </c>
      <c r="F300" s="9">
        <v>34</v>
      </c>
      <c r="G300" s="9">
        <v>34</v>
      </c>
      <c r="H300" s="9">
        <v>62</v>
      </c>
      <c r="I300" s="9">
        <v>45</v>
      </c>
      <c r="J300" s="9">
        <v>59</v>
      </c>
      <c r="K300" s="9">
        <v>66</v>
      </c>
      <c r="L300" s="9">
        <v>66</v>
      </c>
      <c r="M300" s="9">
        <v>73</v>
      </c>
      <c r="N300" s="9">
        <v>74</v>
      </c>
      <c r="O300" s="9">
        <v>231</v>
      </c>
      <c r="P300" s="9">
        <v>20</v>
      </c>
      <c r="Q300" s="9">
        <v>17</v>
      </c>
      <c r="R300" s="9">
        <v>39</v>
      </c>
      <c r="S300" s="9">
        <v>65</v>
      </c>
      <c r="T300" s="9">
        <v>45</v>
      </c>
      <c r="U300" s="9">
        <v>2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B300" s="9">
        <f t="shared" si="13"/>
        <v>974</v>
      </c>
      <c r="AC300" s="9">
        <f t="shared" si="14"/>
        <v>9644</v>
      </c>
      <c r="AD300" s="10">
        <f t="shared" si="15"/>
        <v>9.9014373716632438</v>
      </c>
    </row>
    <row r="301" spans="1:30" x14ac:dyDescent="0.3">
      <c r="A301" s="55"/>
      <c r="B301" s="30" t="s">
        <v>303</v>
      </c>
      <c r="C301" s="9">
        <v>43</v>
      </c>
      <c r="D301" s="9">
        <v>27</v>
      </c>
      <c r="E301" s="9">
        <v>41</v>
      </c>
      <c r="F301" s="9">
        <v>64</v>
      </c>
      <c r="G301" s="9">
        <v>71</v>
      </c>
      <c r="H301" s="9">
        <v>106</v>
      </c>
      <c r="I301" s="9">
        <v>87</v>
      </c>
      <c r="J301" s="9">
        <v>60</v>
      </c>
      <c r="K301" s="9">
        <v>83</v>
      </c>
      <c r="L301" s="9">
        <v>69</v>
      </c>
      <c r="M301" s="9">
        <v>95</v>
      </c>
      <c r="N301" s="9">
        <v>87</v>
      </c>
      <c r="O301" s="9">
        <v>230</v>
      </c>
      <c r="P301" s="9">
        <v>13</v>
      </c>
      <c r="Q301" s="9">
        <v>20</v>
      </c>
      <c r="R301" s="9">
        <v>42</v>
      </c>
      <c r="S301" s="9">
        <v>40</v>
      </c>
      <c r="T301" s="9">
        <v>47</v>
      </c>
      <c r="U301" s="9">
        <v>0</v>
      </c>
      <c r="V301" s="9">
        <v>2</v>
      </c>
      <c r="W301" s="9">
        <v>1</v>
      </c>
      <c r="X301" s="9">
        <v>0</v>
      </c>
      <c r="Y301" s="9">
        <v>0</v>
      </c>
      <c r="Z301" s="9">
        <v>0</v>
      </c>
      <c r="AB301" s="9">
        <f t="shared" si="13"/>
        <v>1228</v>
      </c>
      <c r="AC301" s="9">
        <f t="shared" si="14"/>
        <v>10585</v>
      </c>
      <c r="AD301" s="10">
        <f t="shared" si="15"/>
        <v>8.6197068403908794</v>
      </c>
    </row>
    <row r="302" spans="1:30" x14ac:dyDescent="0.3">
      <c r="A302" s="55"/>
      <c r="B302" s="30" t="s">
        <v>304</v>
      </c>
      <c r="C302" s="9">
        <v>132</v>
      </c>
      <c r="D302" s="9">
        <v>115</v>
      </c>
      <c r="E302" s="9">
        <v>163</v>
      </c>
      <c r="F302" s="9">
        <v>217</v>
      </c>
      <c r="G302" s="9">
        <v>270</v>
      </c>
      <c r="H302" s="9">
        <v>490</v>
      </c>
      <c r="I302" s="9">
        <v>376</v>
      </c>
      <c r="J302" s="9">
        <v>301</v>
      </c>
      <c r="K302" s="9">
        <v>279</v>
      </c>
      <c r="L302" s="9">
        <v>165</v>
      </c>
      <c r="M302" s="9">
        <v>177</v>
      </c>
      <c r="N302" s="9">
        <v>135</v>
      </c>
      <c r="O302" s="9">
        <v>434</v>
      </c>
      <c r="P302" s="9">
        <v>23</v>
      </c>
      <c r="Q302" s="9">
        <v>35</v>
      </c>
      <c r="R302" s="9">
        <v>111</v>
      </c>
      <c r="S302" s="9">
        <v>154</v>
      </c>
      <c r="T302" s="9">
        <v>114</v>
      </c>
      <c r="U302" s="9">
        <v>4</v>
      </c>
      <c r="V302" s="9">
        <v>2</v>
      </c>
      <c r="W302" s="9">
        <v>0</v>
      </c>
      <c r="X302" s="9">
        <v>1</v>
      </c>
      <c r="Y302" s="9">
        <v>0</v>
      </c>
      <c r="Z302" s="9">
        <v>0</v>
      </c>
      <c r="AB302" s="9">
        <f t="shared" si="13"/>
        <v>3698</v>
      </c>
      <c r="AC302" s="9">
        <f t="shared" si="14"/>
        <v>28152</v>
      </c>
      <c r="AD302" s="10">
        <f t="shared" si="15"/>
        <v>7.6127636560302863</v>
      </c>
    </row>
    <row r="303" spans="1:30" x14ac:dyDescent="0.3">
      <c r="A303" s="55"/>
      <c r="B303" s="30" t="s">
        <v>305</v>
      </c>
      <c r="C303" s="9">
        <v>38</v>
      </c>
      <c r="D303" s="9">
        <v>49</v>
      </c>
      <c r="E303" s="9">
        <v>43</v>
      </c>
      <c r="F303" s="9">
        <v>80</v>
      </c>
      <c r="G303" s="9">
        <v>79</v>
      </c>
      <c r="H303" s="9">
        <v>195</v>
      </c>
      <c r="I303" s="9">
        <v>196</v>
      </c>
      <c r="J303" s="9">
        <v>132</v>
      </c>
      <c r="K303" s="9">
        <v>201</v>
      </c>
      <c r="L303" s="9">
        <v>141</v>
      </c>
      <c r="M303" s="9">
        <v>165</v>
      </c>
      <c r="N303" s="9">
        <v>114</v>
      </c>
      <c r="O303" s="9">
        <v>447</v>
      </c>
      <c r="P303" s="9">
        <v>20</v>
      </c>
      <c r="Q303" s="9">
        <v>15</v>
      </c>
      <c r="R303" s="9">
        <v>79</v>
      </c>
      <c r="S303" s="9">
        <v>104</v>
      </c>
      <c r="T303" s="9">
        <v>61</v>
      </c>
      <c r="U303" s="9">
        <v>5</v>
      </c>
      <c r="V303" s="9">
        <v>2</v>
      </c>
      <c r="W303" s="9">
        <v>3</v>
      </c>
      <c r="X303" s="9">
        <v>2</v>
      </c>
      <c r="Y303" s="9">
        <v>0</v>
      </c>
      <c r="Z303" s="9">
        <v>1</v>
      </c>
      <c r="AB303" s="9">
        <f t="shared" si="13"/>
        <v>2172</v>
      </c>
      <c r="AC303" s="9">
        <f t="shared" si="14"/>
        <v>19520</v>
      </c>
      <c r="AD303" s="10">
        <f t="shared" si="15"/>
        <v>8.9871086556169431</v>
      </c>
    </row>
    <row r="304" spans="1:30" x14ac:dyDescent="0.3">
      <c r="A304" s="55"/>
      <c r="B304" s="30" t="s">
        <v>306</v>
      </c>
      <c r="C304" s="9">
        <v>94</v>
      </c>
      <c r="D304" s="9">
        <v>94</v>
      </c>
      <c r="E304" s="9">
        <v>168</v>
      </c>
      <c r="F304" s="9">
        <v>224</v>
      </c>
      <c r="G304" s="9">
        <v>225</v>
      </c>
      <c r="H304" s="9">
        <v>295</v>
      </c>
      <c r="I304" s="9">
        <v>118</v>
      </c>
      <c r="J304" s="9">
        <v>98</v>
      </c>
      <c r="K304" s="9">
        <v>137</v>
      </c>
      <c r="L304" s="9">
        <v>93</v>
      </c>
      <c r="M304" s="9">
        <v>93</v>
      </c>
      <c r="N304" s="9">
        <v>66</v>
      </c>
      <c r="O304" s="9">
        <v>306</v>
      </c>
      <c r="P304" s="9">
        <v>28</v>
      </c>
      <c r="Q304" s="9">
        <v>30</v>
      </c>
      <c r="R304" s="9">
        <v>117</v>
      </c>
      <c r="S304" s="9">
        <v>144</v>
      </c>
      <c r="T304" s="9">
        <v>99</v>
      </c>
      <c r="U304" s="9">
        <v>3</v>
      </c>
      <c r="V304" s="9">
        <v>2</v>
      </c>
      <c r="W304" s="9">
        <v>4</v>
      </c>
      <c r="X304" s="9">
        <v>2</v>
      </c>
      <c r="Y304" s="9">
        <v>1</v>
      </c>
      <c r="Z304" s="9">
        <v>0</v>
      </c>
      <c r="AB304" s="9">
        <f t="shared" si="13"/>
        <v>2441</v>
      </c>
      <c r="AC304" s="9">
        <f t="shared" si="14"/>
        <v>18894</v>
      </c>
      <c r="AD304" s="10">
        <f t="shared" si="15"/>
        <v>7.7402703809913973</v>
      </c>
    </row>
    <row r="305" spans="1:30" x14ac:dyDescent="0.3">
      <c r="A305" s="55"/>
      <c r="B305" s="30" t="s">
        <v>307</v>
      </c>
      <c r="C305" s="9">
        <v>41</v>
      </c>
      <c r="D305" s="9">
        <v>30</v>
      </c>
      <c r="E305" s="9">
        <v>45</v>
      </c>
      <c r="F305" s="9">
        <v>81</v>
      </c>
      <c r="G305" s="9">
        <v>90</v>
      </c>
      <c r="H305" s="9">
        <v>146</v>
      </c>
      <c r="I305" s="9">
        <v>50</v>
      </c>
      <c r="J305" s="9">
        <v>44</v>
      </c>
      <c r="K305" s="9">
        <v>70</v>
      </c>
      <c r="L305" s="9">
        <v>45</v>
      </c>
      <c r="M305" s="9">
        <v>51</v>
      </c>
      <c r="N305" s="9">
        <v>48</v>
      </c>
      <c r="O305" s="9">
        <v>148</v>
      </c>
      <c r="P305" s="9">
        <v>6</v>
      </c>
      <c r="Q305" s="9">
        <v>13</v>
      </c>
      <c r="R305" s="9">
        <v>51</v>
      </c>
      <c r="S305" s="9">
        <v>55</v>
      </c>
      <c r="T305" s="9">
        <v>47</v>
      </c>
      <c r="U305" s="9">
        <v>5</v>
      </c>
      <c r="V305" s="9">
        <v>3</v>
      </c>
      <c r="W305" s="9">
        <v>2</v>
      </c>
      <c r="X305" s="9">
        <v>1</v>
      </c>
      <c r="Y305" s="9">
        <v>0</v>
      </c>
      <c r="Z305" s="9">
        <v>0</v>
      </c>
      <c r="AB305" s="9">
        <f t="shared" si="13"/>
        <v>1072</v>
      </c>
      <c r="AC305" s="9">
        <f t="shared" si="14"/>
        <v>8752</v>
      </c>
      <c r="AD305" s="10">
        <f t="shared" si="15"/>
        <v>8.1641791044776113</v>
      </c>
    </row>
    <row r="306" spans="1:30" x14ac:dyDescent="0.3">
      <c r="A306" s="55"/>
      <c r="B306" s="30" t="s">
        <v>308</v>
      </c>
      <c r="C306" s="9">
        <v>55</v>
      </c>
      <c r="D306" s="9">
        <v>28</v>
      </c>
      <c r="E306" s="9">
        <v>51</v>
      </c>
      <c r="F306" s="9">
        <v>70</v>
      </c>
      <c r="G306" s="9">
        <v>70</v>
      </c>
      <c r="H306" s="9">
        <v>118</v>
      </c>
      <c r="I306" s="9">
        <v>162</v>
      </c>
      <c r="J306" s="9">
        <v>142</v>
      </c>
      <c r="K306" s="9">
        <v>177</v>
      </c>
      <c r="L306" s="9">
        <v>295</v>
      </c>
      <c r="M306" s="9">
        <v>391</v>
      </c>
      <c r="N306" s="9">
        <v>295</v>
      </c>
      <c r="O306" s="9">
        <v>982</v>
      </c>
      <c r="P306" s="9">
        <v>29</v>
      </c>
      <c r="Q306" s="9">
        <v>28</v>
      </c>
      <c r="R306" s="9">
        <v>159</v>
      </c>
      <c r="S306" s="9">
        <v>227</v>
      </c>
      <c r="T306" s="9">
        <v>180</v>
      </c>
      <c r="U306" s="9">
        <v>6</v>
      </c>
      <c r="V306" s="9">
        <v>7</v>
      </c>
      <c r="W306" s="9">
        <v>9</v>
      </c>
      <c r="X306" s="9">
        <v>4</v>
      </c>
      <c r="Y306" s="9">
        <v>1</v>
      </c>
      <c r="Z306" s="9">
        <v>2</v>
      </c>
      <c r="AB306" s="9">
        <f t="shared" si="13"/>
        <v>3488</v>
      </c>
      <c r="AC306" s="9">
        <f t="shared" si="14"/>
        <v>36605</v>
      </c>
      <c r="AD306" s="10">
        <f t="shared" si="15"/>
        <v>10.494552752293577</v>
      </c>
    </row>
    <row r="307" spans="1:30" x14ac:dyDescent="0.3">
      <c r="A307" s="55"/>
      <c r="B307" s="30" t="s">
        <v>309</v>
      </c>
      <c r="C307" s="9">
        <v>44</v>
      </c>
      <c r="D307" s="9">
        <v>34</v>
      </c>
      <c r="E307" s="9">
        <v>36</v>
      </c>
      <c r="F307" s="9">
        <v>56</v>
      </c>
      <c r="G307" s="9">
        <v>63</v>
      </c>
      <c r="H307" s="9">
        <v>130</v>
      </c>
      <c r="I307" s="9">
        <v>164</v>
      </c>
      <c r="J307" s="9">
        <v>137</v>
      </c>
      <c r="K307" s="9">
        <v>149</v>
      </c>
      <c r="L307" s="9">
        <v>242</v>
      </c>
      <c r="M307" s="9">
        <v>270</v>
      </c>
      <c r="N307" s="9">
        <v>264</v>
      </c>
      <c r="O307" s="9">
        <v>910</v>
      </c>
      <c r="P307" s="9">
        <v>28</v>
      </c>
      <c r="Q307" s="9">
        <v>31</v>
      </c>
      <c r="R307" s="9">
        <v>121</v>
      </c>
      <c r="S307" s="9">
        <v>174</v>
      </c>
      <c r="T307" s="9">
        <v>95</v>
      </c>
      <c r="U307" s="9">
        <v>8</v>
      </c>
      <c r="V307" s="9">
        <v>6</v>
      </c>
      <c r="W307" s="9">
        <v>4</v>
      </c>
      <c r="X307" s="9">
        <v>4</v>
      </c>
      <c r="Y307" s="9">
        <v>0</v>
      </c>
      <c r="Z307" s="9">
        <v>0</v>
      </c>
      <c r="AB307" s="9">
        <f t="shared" si="13"/>
        <v>2970</v>
      </c>
      <c r="AC307" s="9">
        <f t="shared" si="14"/>
        <v>30447</v>
      </c>
      <c r="AD307" s="10">
        <f t="shared" si="15"/>
        <v>10.251515151515152</v>
      </c>
    </row>
    <row r="308" spans="1:30" x14ac:dyDescent="0.3">
      <c r="A308" s="55"/>
      <c r="B308" s="30" t="s">
        <v>310</v>
      </c>
      <c r="C308" s="9">
        <v>19</v>
      </c>
      <c r="D308" s="9">
        <v>14</v>
      </c>
      <c r="E308" s="9">
        <v>19</v>
      </c>
      <c r="F308" s="9">
        <v>38</v>
      </c>
      <c r="G308" s="9">
        <v>30</v>
      </c>
      <c r="H308" s="9">
        <v>72</v>
      </c>
      <c r="I308" s="9">
        <v>65</v>
      </c>
      <c r="J308" s="9">
        <v>64</v>
      </c>
      <c r="K308" s="9">
        <v>83</v>
      </c>
      <c r="L308" s="9">
        <v>73</v>
      </c>
      <c r="M308" s="9">
        <v>90</v>
      </c>
      <c r="N308" s="9">
        <v>72</v>
      </c>
      <c r="O308" s="9">
        <v>229</v>
      </c>
      <c r="P308" s="9">
        <v>5</v>
      </c>
      <c r="Q308" s="9">
        <v>6</v>
      </c>
      <c r="R308" s="9">
        <v>25</v>
      </c>
      <c r="S308" s="9">
        <v>43</v>
      </c>
      <c r="T308" s="9">
        <v>32</v>
      </c>
      <c r="U308" s="9">
        <v>1</v>
      </c>
      <c r="V308" s="9">
        <v>6</v>
      </c>
      <c r="W308" s="9">
        <v>0</v>
      </c>
      <c r="X308" s="9">
        <v>0</v>
      </c>
      <c r="Y308" s="9">
        <v>0</v>
      </c>
      <c r="Z308" s="9">
        <v>1</v>
      </c>
      <c r="AB308" s="9">
        <f t="shared" si="13"/>
        <v>987</v>
      </c>
      <c r="AC308" s="9">
        <f t="shared" si="14"/>
        <v>9156</v>
      </c>
      <c r="AD308" s="10">
        <f t="shared" si="15"/>
        <v>9.2765957446808507</v>
      </c>
    </row>
    <row r="309" spans="1:30" x14ac:dyDescent="0.3">
      <c r="A309" s="55"/>
      <c r="B309" s="30" t="s">
        <v>311</v>
      </c>
      <c r="C309" s="9">
        <v>64</v>
      </c>
      <c r="D309" s="9">
        <v>111</v>
      </c>
      <c r="E309" s="9">
        <v>128</v>
      </c>
      <c r="F309" s="9">
        <v>205</v>
      </c>
      <c r="G309" s="9">
        <v>218</v>
      </c>
      <c r="H309" s="9">
        <v>361</v>
      </c>
      <c r="I309" s="9">
        <v>316</v>
      </c>
      <c r="J309" s="9">
        <v>217</v>
      </c>
      <c r="K309" s="9">
        <v>256</v>
      </c>
      <c r="L309" s="9">
        <v>264</v>
      </c>
      <c r="M309" s="9">
        <v>297</v>
      </c>
      <c r="N309" s="9">
        <v>221</v>
      </c>
      <c r="O309" s="9">
        <v>786</v>
      </c>
      <c r="P309" s="9">
        <v>32</v>
      </c>
      <c r="Q309" s="9">
        <v>22</v>
      </c>
      <c r="R309" s="9">
        <v>108</v>
      </c>
      <c r="S309" s="9">
        <v>198</v>
      </c>
      <c r="T309" s="9">
        <v>163</v>
      </c>
      <c r="U309" s="9">
        <v>11</v>
      </c>
      <c r="V309" s="9">
        <v>15</v>
      </c>
      <c r="W309" s="9">
        <v>6</v>
      </c>
      <c r="X309" s="9">
        <v>2</v>
      </c>
      <c r="Y309" s="9">
        <v>3</v>
      </c>
      <c r="Z309" s="9">
        <v>0</v>
      </c>
      <c r="AB309" s="9">
        <f t="shared" si="13"/>
        <v>4004</v>
      </c>
      <c r="AC309" s="9">
        <f t="shared" si="14"/>
        <v>35325</v>
      </c>
      <c r="AD309" s="10">
        <f t="shared" si="15"/>
        <v>8.8224275724275731</v>
      </c>
    </row>
    <row r="310" spans="1:30" x14ac:dyDescent="0.3">
      <c r="A310" s="55"/>
      <c r="B310" s="30" t="s">
        <v>312</v>
      </c>
      <c r="C310" s="9">
        <v>11</v>
      </c>
      <c r="D310" s="9">
        <v>14</v>
      </c>
      <c r="E310" s="9">
        <v>22</v>
      </c>
      <c r="F310" s="9">
        <v>22</v>
      </c>
      <c r="G310" s="9">
        <v>45</v>
      </c>
      <c r="H310" s="9">
        <v>84</v>
      </c>
      <c r="I310" s="9">
        <v>88</v>
      </c>
      <c r="J310" s="9">
        <v>52</v>
      </c>
      <c r="K310" s="9">
        <v>88</v>
      </c>
      <c r="L310" s="9">
        <v>59</v>
      </c>
      <c r="M310" s="9">
        <v>63</v>
      </c>
      <c r="N310" s="9">
        <v>58</v>
      </c>
      <c r="O310" s="9">
        <v>239</v>
      </c>
      <c r="P310" s="9">
        <v>9</v>
      </c>
      <c r="Q310" s="9">
        <v>5</v>
      </c>
      <c r="R310" s="9">
        <v>48</v>
      </c>
      <c r="S310" s="9">
        <v>45</v>
      </c>
      <c r="T310" s="9">
        <v>29</v>
      </c>
      <c r="U310" s="9">
        <v>2</v>
      </c>
      <c r="V310" s="9">
        <v>2</v>
      </c>
      <c r="W310" s="9">
        <v>1</v>
      </c>
      <c r="X310" s="9">
        <v>1</v>
      </c>
      <c r="Y310" s="9">
        <v>0</v>
      </c>
      <c r="Z310" s="9">
        <v>0</v>
      </c>
      <c r="AB310" s="9">
        <f t="shared" si="13"/>
        <v>987</v>
      </c>
      <c r="AC310" s="9">
        <f t="shared" si="14"/>
        <v>9222</v>
      </c>
      <c r="AD310" s="10">
        <f t="shared" si="15"/>
        <v>9.3434650455927049</v>
      </c>
    </row>
    <row r="311" spans="1:30" x14ac:dyDescent="0.3">
      <c r="A311" s="55"/>
      <c r="B311" s="30" t="s">
        <v>313</v>
      </c>
      <c r="C311" s="9">
        <v>109</v>
      </c>
      <c r="D311" s="9">
        <v>63</v>
      </c>
      <c r="E311" s="9">
        <v>115</v>
      </c>
      <c r="F311" s="9">
        <v>154</v>
      </c>
      <c r="G311" s="9">
        <v>161</v>
      </c>
      <c r="H311" s="9">
        <v>268</v>
      </c>
      <c r="I311" s="9">
        <v>175</v>
      </c>
      <c r="J311" s="9">
        <v>135</v>
      </c>
      <c r="K311" s="9">
        <v>164</v>
      </c>
      <c r="L311" s="9">
        <v>128</v>
      </c>
      <c r="M311" s="9">
        <v>140</v>
      </c>
      <c r="N311" s="9">
        <v>106</v>
      </c>
      <c r="O311" s="9">
        <v>347</v>
      </c>
      <c r="P311" s="9">
        <v>17</v>
      </c>
      <c r="Q311" s="9">
        <v>10</v>
      </c>
      <c r="R311" s="9">
        <v>75</v>
      </c>
      <c r="S311" s="9">
        <v>93</v>
      </c>
      <c r="T311" s="9">
        <v>47</v>
      </c>
      <c r="U311" s="9">
        <v>2</v>
      </c>
      <c r="V311" s="9">
        <v>1</v>
      </c>
      <c r="W311" s="9">
        <v>1</v>
      </c>
      <c r="X311" s="9">
        <v>2</v>
      </c>
      <c r="Y311" s="9">
        <v>1</v>
      </c>
      <c r="Z311" s="9">
        <v>0</v>
      </c>
      <c r="AB311" s="9">
        <f t="shared" si="13"/>
        <v>2314</v>
      </c>
      <c r="AC311" s="9">
        <f t="shared" si="14"/>
        <v>17840</v>
      </c>
      <c r="AD311" s="10">
        <f t="shared" si="15"/>
        <v>7.7095937770095073</v>
      </c>
    </row>
    <row r="312" spans="1:30" x14ac:dyDescent="0.3">
      <c r="A312" s="55"/>
      <c r="B312" s="30" t="s">
        <v>314</v>
      </c>
      <c r="C312" s="9">
        <v>218</v>
      </c>
      <c r="D312" s="9">
        <v>132</v>
      </c>
      <c r="E312" s="9">
        <v>171</v>
      </c>
      <c r="F312" s="9">
        <v>242</v>
      </c>
      <c r="G312" s="9">
        <v>253</v>
      </c>
      <c r="H312" s="9">
        <v>449</v>
      </c>
      <c r="I312" s="9">
        <v>679</v>
      </c>
      <c r="J312" s="9">
        <v>538</v>
      </c>
      <c r="K312" s="9">
        <v>724</v>
      </c>
      <c r="L312" s="9">
        <v>1094</v>
      </c>
      <c r="M312" s="9">
        <v>1211</v>
      </c>
      <c r="N312" s="9">
        <v>1069</v>
      </c>
      <c r="O312" s="9">
        <v>4760</v>
      </c>
      <c r="P312" s="9">
        <v>412</v>
      </c>
      <c r="Q312" s="9">
        <v>552</v>
      </c>
      <c r="R312" s="9">
        <v>1147</v>
      </c>
      <c r="S312" s="9">
        <v>1999</v>
      </c>
      <c r="T312" s="9">
        <v>2289</v>
      </c>
      <c r="U312" s="9">
        <v>95</v>
      </c>
      <c r="V312" s="9">
        <v>110</v>
      </c>
      <c r="W312" s="9">
        <v>37</v>
      </c>
      <c r="X312" s="9">
        <v>10</v>
      </c>
      <c r="Y312" s="9">
        <v>8</v>
      </c>
      <c r="Z312" s="9">
        <v>4</v>
      </c>
      <c r="AB312" s="9">
        <f t="shared" si="13"/>
        <v>18203</v>
      </c>
      <c r="AC312" s="9">
        <f t="shared" si="14"/>
        <v>215128</v>
      </c>
      <c r="AD312" s="10">
        <f t="shared" si="15"/>
        <v>11.818271713453827</v>
      </c>
    </row>
    <row r="313" spans="1:30" x14ac:dyDescent="0.3">
      <c r="A313" s="55"/>
      <c r="B313" s="30" t="s">
        <v>315</v>
      </c>
      <c r="C313" s="9">
        <v>9</v>
      </c>
      <c r="D313" s="9">
        <v>17</v>
      </c>
      <c r="E313" s="9">
        <v>18</v>
      </c>
      <c r="F313" s="9">
        <v>34</v>
      </c>
      <c r="G313" s="9">
        <v>32</v>
      </c>
      <c r="H313" s="9">
        <v>73</v>
      </c>
      <c r="I313" s="9">
        <v>71</v>
      </c>
      <c r="J313" s="9">
        <v>117</v>
      </c>
      <c r="K313" s="9">
        <v>61</v>
      </c>
      <c r="L313" s="9">
        <v>42</v>
      </c>
      <c r="M313" s="9">
        <v>41</v>
      </c>
      <c r="N313" s="9">
        <v>64</v>
      </c>
      <c r="O313" s="9">
        <v>139</v>
      </c>
      <c r="P313" s="9">
        <v>5</v>
      </c>
      <c r="Q313" s="9">
        <v>6</v>
      </c>
      <c r="R313" s="9">
        <v>26</v>
      </c>
      <c r="S313" s="9">
        <v>35</v>
      </c>
      <c r="T313" s="9">
        <v>25</v>
      </c>
      <c r="U313" s="9">
        <v>1</v>
      </c>
      <c r="V313" s="9">
        <v>0</v>
      </c>
      <c r="W313" s="9">
        <v>0</v>
      </c>
      <c r="X313" s="9">
        <v>0</v>
      </c>
      <c r="Y313" s="9">
        <v>1</v>
      </c>
      <c r="Z313" s="9">
        <v>0</v>
      </c>
      <c r="AB313" s="9">
        <f t="shared" si="13"/>
        <v>817</v>
      </c>
      <c r="AC313" s="9">
        <f t="shared" si="14"/>
        <v>7105</v>
      </c>
      <c r="AD313" s="10">
        <f t="shared" si="15"/>
        <v>8.696450428396572</v>
      </c>
    </row>
    <row r="314" spans="1:30" x14ac:dyDescent="0.3">
      <c r="A314" s="55"/>
      <c r="B314" s="30" t="s">
        <v>316</v>
      </c>
      <c r="C314" s="9">
        <v>301</v>
      </c>
      <c r="D314" s="9">
        <v>192</v>
      </c>
      <c r="E314" s="9">
        <v>266</v>
      </c>
      <c r="F314" s="9">
        <v>388</v>
      </c>
      <c r="G314" s="9">
        <v>374</v>
      </c>
      <c r="H314" s="9">
        <v>729</v>
      </c>
      <c r="I314" s="9">
        <v>910</v>
      </c>
      <c r="J314" s="9">
        <v>672</v>
      </c>
      <c r="K314" s="9">
        <v>872</v>
      </c>
      <c r="L314" s="9">
        <v>1113</v>
      </c>
      <c r="M314" s="9">
        <v>1181</v>
      </c>
      <c r="N314" s="9">
        <v>1066</v>
      </c>
      <c r="O314" s="9">
        <v>3176</v>
      </c>
      <c r="P314" s="9">
        <v>182</v>
      </c>
      <c r="Q314" s="9">
        <v>268</v>
      </c>
      <c r="R314" s="9">
        <v>725</v>
      </c>
      <c r="S314" s="9">
        <v>999</v>
      </c>
      <c r="T314" s="9">
        <v>705</v>
      </c>
      <c r="U314" s="9">
        <v>31</v>
      </c>
      <c r="V314" s="9">
        <v>37</v>
      </c>
      <c r="W314" s="9">
        <v>20</v>
      </c>
      <c r="X314" s="9">
        <v>12</v>
      </c>
      <c r="Y314" s="9">
        <v>4</v>
      </c>
      <c r="Z314" s="9">
        <v>9</v>
      </c>
      <c r="AB314" s="9">
        <f t="shared" si="13"/>
        <v>14232</v>
      </c>
      <c r="AC314" s="9">
        <f t="shared" si="14"/>
        <v>143004</v>
      </c>
      <c r="AD314" s="10">
        <f t="shared" si="15"/>
        <v>10.048060708263069</v>
      </c>
    </row>
    <row r="315" spans="1:30" x14ac:dyDescent="0.3">
      <c r="A315" s="55"/>
      <c r="B315" s="30" t="s">
        <v>317</v>
      </c>
      <c r="C315" s="9">
        <v>120</v>
      </c>
      <c r="D315" s="9">
        <v>63</v>
      </c>
      <c r="E315" s="9">
        <v>89</v>
      </c>
      <c r="F315" s="9">
        <v>144</v>
      </c>
      <c r="G315" s="9">
        <v>130</v>
      </c>
      <c r="H315" s="9">
        <v>307</v>
      </c>
      <c r="I315" s="9">
        <v>371</v>
      </c>
      <c r="J315" s="9">
        <v>238</v>
      </c>
      <c r="K315" s="9">
        <v>327</v>
      </c>
      <c r="L315" s="9">
        <v>474</v>
      </c>
      <c r="M315" s="9">
        <v>554</v>
      </c>
      <c r="N315" s="9">
        <v>524</v>
      </c>
      <c r="O315" s="9">
        <v>1832</v>
      </c>
      <c r="P315" s="9">
        <v>91</v>
      </c>
      <c r="Q315" s="9">
        <v>126</v>
      </c>
      <c r="R315" s="9">
        <v>335</v>
      </c>
      <c r="S315" s="9">
        <v>439</v>
      </c>
      <c r="T315" s="9">
        <v>368</v>
      </c>
      <c r="U315" s="9">
        <v>9</v>
      </c>
      <c r="V315" s="9">
        <v>15</v>
      </c>
      <c r="W315" s="9">
        <v>5</v>
      </c>
      <c r="X315" s="9">
        <v>3</v>
      </c>
      <c r="Y315" s="9">
        <v>2</v>
      </c>
      <c r="Z315" s="9">
        <v>0</v>
      </c>
      <c r="AB315" s="9">
        <f t="shared" si="13"/>
        <v>6566</v>
      </c>
      <c r="AC315" s="9">
        <f t="shared" si="14"/>
        <v>68696</v>
      </c>
      <c r="AD315" s="10">
        <f t="shared" si="15"/>
        <v>10.462381967712458</v>
      </c>
    </row>
    <row r="316" spans="1:30" x14ac:dyDescent="0.3">
      <c r="A316" s="55"/>
      <c r="B316" s="30" t="s">
        <v>318</v>
      </c>
      <c r="C316" s="9">
        <v>41</v>
      </c>
      <c r="D316" s="9">
        <v>36</v>
      </c>
      <c r="E316" s="9">
        <v>35</v>
      </c>
      <c r="F316" s="9">
        <v>48</v>
      </c>
      <c r="G316" s="9">
        <v>66</v>
      </c>
      <c r="H316" s="9">
        <v>142</v>
      </c>
      <c r="I316" s="9">
        <v>116</v>
      </c>
      <c r="J316" s="9">
        <v>92</v>
      </c>
      <c r="K316" s="9">
        <v>152</v>
      </c>
      <c r="L316" s="9">
        <v>113</v>
      </c>
      <c r="M316" s="9">
        <v>161</v>
      </c>
      <c r="N316" s="9">
        <v>118</v>
      </c>
      <c r="O316" s="9">
        <v>517</v>
      </c>
      <c r="P316" s="9">
        <v>11</v>
      </c>
      <c r="Q316" s="9">
        <v>20</v>
      </c>
      <c r="R316" s="9">
        <v>71</v>
      </c>
      <c r="S316" s="9">
        <v>110</v>
      </c>
      <c r="T316" s="9">
        <v>111</v>
      </c>
      <c r="U316" s="9">
        <v>3</v>
      </c>
      <c r="V316" s="9">
        <v>2</v>
      </c>
      <c r="W316" s="9">
        <v>1</v>
      </c>
      <c r="X316" s="9">
        <v>1</v>
      </c>
      <c r="Y316" s="9">
        <v>0</v>
      </c>
      <c r="Z316" s="9">
        <v>1</v>
      </c>
      <c r="AB316" s="9">
        <f t="shared" si="13"/>
        <v>1968</v>
      </c>
      <c r="AC316" s="9">
        <f t="shared" si="14"/>
        <v>19200</v>
      </c>
      <c r="AD316" s="10">
        <f t="shared" si="15"/>
        <v>9.7560975609756095</v>
      </c>
    </row>
    <row r="317" spans="1:30" x14ac:dyDescent="0.3">
      <c r="A317" s="55"/>
      <c r="B317" s="30" t="s">
        <v>319</v>
      </c>
      <c r="C317" s="9">
        <v>474</v>
      </c>
      <c r="D317" s="9">
        <v>115</v>
      </c>
      <c r="E317" s="9">
        <v>179</v>
      </c>
      <c r="F317" s="9">
        <v>289</v>
      </c>
      <c r="G317" s="9">
        <v>277</v>
      </c>
      <c r="H317" s="9">
        <v>333</v>
      </c>
      <c r="I317" s="9">
        <v>407</v>
      </c>
      <c r="J317" s="9">
        <v>263</v>
      </c>
      <c r="K317" s="9">
        <v>317</v>
      </c>
      <c r="L317" s="9">
        <v>299</v>
      </c>
      <c r="M317" s="9">
        <v>363</v>
      </c>
      <c r="N317" s="9">
        <v>311</v>
      </c>
      <c r="O317" s="9">
        <v>1201</v>
      </c>
      <c r="P317" s="9">
        <v>44</v>
      </c>
      <c r="Q317" s="9">
        <v>53</v>
      </c>
      <c r="R317" s="9">
        <v>196</v>
      </c>
      <c r="S317" s="9">
        <v>234</v>
      </c>
      <c r="T317" s="9">
        <v>266</v>
      </c>
      <c r="U317" s="9">
        <v>8</v>
      </c>
      <c r="V317" s="9">
        <v>9</v>
      </c>
      <c r="W317" s="9">
        <v>6</v>
      </c>
      <c r="X317" s="9">
        <v>3</v>
      </c>
      <c r="Y317" s="9">
        <v>0</v>
      </c>
      <c r="Z317" s="9">
        <v>1</v>
      </c>
      <c r="AB317" s="9">
        <f t="shared" si="13"/>
        <v>5648</v>
      </c>
      <c r="AC317" s="9">
        <f t="shared" si="14"/>
        <v>48127</v>
      </c>
      <c r="AD317" s="10">
        <f t="shared" si="15"/>
        <v>8.5210694050991496</v>
      </c>
    </row>
    <row r="318" spans="1:30" x14ac:dyDescent="0.3">
      <c r="A318" s="55"/>
      <c r="B318" s="30" t="s">
        <v>320</v>
      </c>
      <c r="C318" s="9">
        <v>20</v>
      </c>
      <c r="D318" s="9">
        <v>27</v>
      </c>
      <c r="E318" s="9">
        <v>29</v>
      </c>
      <c r="F318" s="9">
        <v>39</v>
      </c>
      <c r="G318" s="9">
        <v>58</v>
      </c>
      <c r="H318" s="9">
        <v>131</v>
      </c>
      <c r="I318" s="9">
        <v>116</v>
      </c>
      <c r="J318" s="9">
        <v>82</v>
      </c>
      <c r="K318" s="9">
        <v>131</v>
      </c>
      <c r="L318" s="9">
        <v>110</v>
      </c>
      <c r="M318" s="9">
        <v>127</v>
      </c>
      <c r="N318" s="9">
        <v>114</v>
      </c>
      <c r="O318" s="9">
        <v>282</v>
      </c>
      <c r="P318" s="9">
        <v>7</v>
      </c>
      <c r="Q318" s="9">
        <v>11</v>
      </c>
      <c r="R318" s="9">
        <v>46</v>
      </c>
      <c r="S318" s="9">
        <v>71</v>
      </c>
      <c r="T318" s="9">
        <v>43</v>
      </c>
      <c r="U318" s="9">
        <v>0</v>
      </c>
      <c r="V318" s="9">
        <v>1</v>
      </c>
      <c r="W318" s="9">
        <v>1</v>
      </c>
      <c r="X318" s="9">
        <v>2</v>
      </c>
      <c r="Y318" s="9">
        <v>0</v>
      </c>
      <c r="Z318" s="9">
        <v>0</v>
      </c>
      <c r="AB318" s="9">
        <f t="shared" si="13"/>
        <v>1448</v>
      </c>
      <c r="AC318" s="9">
        <f t="shared" si="14"/>
        <v>13188</v>
      </c>
      <c r="AD318" s="10">
        <f t="shared" si="15"/>
        <v>9.1077348066298338</v>
      </c>
    </row>
    <row r="319" spans="1:30" x14ac:dyDescent="0.3">
      <c r="A319" s="55"/>
      <c r="B319" s="30" t="s">
        <v>321</v>
      </c>
      <c r="C319" s="9">
        <v>92</v>
      </c>
      <c r="D319" s="9">
        <v>42</v>
      </c>
      <c r="E319" s="9">
        <v>53</v>
      </c>
      <c r="F319" s="9">
        <v>80</v>
      </c>
      <c r="G319" s="9">
        <v>72</v>
      </c>
      <c r="H319" s="9">
        <v>138</v>
      </c>
      <c r="I319" s="9">
        <v>167</v>
      </c>
      <c r="J319" s="9">
        <v>120</v>
      </c>
      <c r="K319" s="9">
        <v>192</v>
      </c>
      <c r="L319" s="9">
        <v>203</v>
      </c>
      <c r="M319" s="9">
        <v>258</v>
      </c>
      <c r="N319" s="9">
        <v>213</v>
      </c>
      <c r="O319" s="9">
        <v>907</v>
      </c>
      <c r="P319" s="9">
        <v>39</v>
      </c>
      <c r="Q319" s="9">
        <v>37</v>
      </c>
      <c r="R319" s="9">
        <v>147</v>
      </c>
      <c r="S319" s="9">
        <v>178</v>
      </c>
      <c r="T319" s="9">
        <v>153</v>
      </c>
      <c r="U319" s="9">
        <v>6</v>
      </c>
      <c r="V319" s="9">
        <v>9</v>
      </c>
      <c r="W319" s="9">
        <v>6</v>
      </c>
      <c r="X319" s="9">
        <v>3</v>
      </c>
      <c r="Y319" s="9">
        <v>0</v>
      </c>
      <c r="Z319" s="9">
        <v>1</v>
      </c>
      <c r="AB319" s="9">
        <f t="shared" si="13"/>
        <v>3116</v>
      </c>
      <c r="AC319" s="9">
        <f t="shared" si="14"/>
        <v>31542</v>
      </c>
      <c r="AD319" s="10">
        <f t="shared" si="15"/>
        <v>10.122593068035943</v>
      </c>
    </row>
    <row r="320" spans="1:30" x14ac:dyDescent="0.3">
      <c r="A320" s="55"/>
      <c r="B320" s="30" t="s">
        <v>322</v>
      </c>
      <c r="C320" s="9">
        <v>117</v>
      </c>
      <c r="D320" s="9">
        <v>37</v>
      </c>
      <c r="E320" s="9">
        <v>57</v>
      </c>
      <c r="F320" s="9">
        <v>75</v>
      </c>
      <c r="G320" s="9">
        <v>69</v>
      </c>
      <c r="H320" s="9">
        <v>154</v>
      </c>
      <c r="I320" s="9">
        <v>119</v>
      </c>
      <c r="J320" s="9">
        <v>107</v>
      </c>
      <c r="K320" s="9">
        <v>154</v>
      </c>
      <c r="L320" s="9">
        <v>116</v>
      </c>
      <c r="M320" s="9">
        <v>157</v>
      </c>
      <c r="N320" s="9">
        <v>143</v>
      </c>
      <c r="O320" s="9">
        <v>589</v>
      </c>
      <c r="P320" s="9">
        <v>56</v>
      </c>
      <c r="Q320" s="9">
        <v>65</v>
      </c>
      <c r="R320" s="9">
        <v>130</v>
      </c>
      <c r="S320" s="9">
        <v>107</v>
      </c>
      <c r="T320" s="9">
        <v>146</v>
      </c>
      <c r="U320" s="9">
        <v>2</v>
      </c>
      <c r="V320" s="9">
        <v>6</v>
      </c>
      <c r="W320" s="9">
        <v>2</v>
      </c>
      <c r="X320" s="9">
        <v>2</v>
      </c>
      <c r="Y320" s="9">
        <v>0</v>
      </c>
      <c r="Z320" s="9">
        <v>0</v>
      </c>
      <c r="AB320" s="9">
        <f t="shared" si="13"/>
        <v>2410</v>
      </c>
      <c r="AC320" s="9">
        <f t="shared" si="14"/>
        <v>23386</v>
      </c>
      <c r="AD320" s="10">
        <f t="shared" si="15"/>
        <v>9.7037344398340242</v>
      </c>
    </row>
    <row r="321" spans="1:30" x14ac:dyDescent="0.3">
      <c r="A321" s="55"/>
      <c r="B321" s="30" t="s">
        <v>323</v>
      </c>
      <c r="C321" s="9">
        <v>55</v>
      </c>
      <c r="D321" s="9">
        <v>25</v>
      </c>
      <c r="E321" s="9">
        <v>33</v>
      </c>
      <c r="F321" s="9">
        <v>39</v>
      </c>
      <c r="G321" s="9">
        <v>52</v>
      </c>
      <c r="H321" s="9">
        <v>92</v>
      </c>
      <c r="I321" s="9">
        <v>83</v>
      </c>
      <c r="J321" s="9">
        <v>62</v>
      </c>
      <c r="K321" s="9">
        <v>90</v>
      </c>
      <c r="L321" s="9">
        <v>70</v>
      </c>
      <c r="M321" s="9">
        <v>91</v>
      </c>
      <c r="N321" s="9">
        <v>67</v>
      </c>
      <c r="O321" s="9">
        <v>193</v>
      </c>
      <c r="P321" s="9">
        <v>3</v>
      </c>
      <c r="Q321" s="9">
        <v>4</v>
      </c>
      <c r="R321" s="9">
        <v>9</v>
      </c>
      <c r="S321" s="9">
        <v>22</v>
      </c>
      <c r="T321" s="9">
        <v>16</v>
      </c>
      <c r="U321" s="9">
        <v>1</v>
      </c>
      <c r="V321" s="9">
        <v>1</v>
      </c>
      <c r="W321" s="9">
        <v>2</v>
      </c>
      <c r="X321" s="9">
        <v>0</v>
      </c>
      <c r="Y321" s="9">
        <v>0</v>
      </c>
      <c r="Z321" s="9">
        <v>0</v>
      </c>
      <c r="AB321" s="9">
        <f t="shared" si="13"/>
        <v>1010</v>
      </c>
      <c r="AC321" s="9">
        <f t="shared" si="14"/>
        <v>8052</v>
      </c>
      <c r="AD321" s="10">
        <f t="shared" si="15"/>
        <v>7.9722772277227723</v>
      </c>
    </row>
    <row r="322" spans="1:30" x14ac:dyDescent="0.3">
      <c r="A322" s="55"/>
      <c r="B322" s="30" t="s">
        <v>324</v>
      </c>
      <c r="C322" s="9">
        <v>108</v>
      </c>
      <c r="D322" s="9">
        <v>42</v>
      </c>
      <c r="E322" s="9">
        <v>73</v>
      </c>
      <c r="F322" s="9">
        <v>93</v>
      </c>
      <c r="G322" s="9">
        <v>95</v>
      </c>
      <c r="H322" s="9">
        <v>203</v>
      </c>
      <c r="I322" s="9">
        <v>161</v>
      </c>
      <c r="J322" s="9">
        <v>151</v>
      </c>
      <c r="K322" s="9">
        <v>157</v>
      </c>
      <c r="L322" s="9">
        <v>184</v>
      </c>
      <c r="M322" s="9">
        <v>165</v>
      </c>
      <c r="N322" s="9">
        <v>120</v>
      </c>
      <c r="O322" s="9">
        <v>520</v>
      </c>
      <c r="P322" s="9">
        <v>31</v>
      </c>
      <c r="Q322" s="9">
        <v>34</v>
      </c>
      <c r="R322" s="9">
        <v>152</v>
      </c>
      <c r="S322" s="9">
        <v>142</v>
      </c>
      <c r="T322" s="9">
        <v>170</v>
      </c>
      <c r="U322" s="9">
        <v>2</v>
      </c>
      <c r="V322" s="9">
        <v>3</v>
      </c>
      <c r="W322" s="9">
        <v>4</v>
      </c>
      <c r="X322" s="9">
        <v>0</v>
      </c>
      <c r="Y322" s="9">
        <v>0</v>
      </c>
      <c r="Z322" s="9">
        <v>0</v>
      </c>
      <c r="AB322" s="9">
        <f t="shared" si="13"/>
        <v>2610</v>
      </c>
      <c r="AC322" s="9">
        <f t="shared" si="14"/>
        <v>24501</v>
      </c>
      <c r="AD322" s="10">
        <f t="shared" si="15"/>
        <v>9.3873563218390803</v>
      </c>
    </row>
    <row r="323" spans="1:30" x14ac:dyDescent="0.3">
      <c r="A323" s="55"/>
      <c r="B323" s="30" t="s">
        <v>325</v>
      </c>
      <c r="C323" s="9">
        <v>19</v>
      </c>
      <c r="D323" s="9">
        <v>14</v>
      </c>
      <c r="E323" s="9">
        <v>17</v>
      </c>
      <c r="F323" s="9">
        <v>38</v>
      </c>
      <c r="G323" s="9">
        <v>34</v>
      </c>
      <c r="H323" s="9">
        <v>42</v>
      </c>
      <c r="I323" s="9">
        <v>45</v>
      </c>
      <c r="J323" s="9">
        <v>37</v>
      </c>
      <c r="K323" s="9">
        <v>46</v>
      </c>
      <c r="L323" s="9">
        <v>32</v>
      </c>
      <c r="M323" s="9">
        <v>33</v>
      </c>
      <c r="N323" s="9">
        <v>27</v>
      </c>
      <c r="O323" s="9">
        <v>75</v>
      </c>
      <c r="P323" s="9">
        <v>2</v>
      </c>
      <c r="Q323" s="9">
        <v>3</v>
      </c>
      <c r="R323" s="9">
        <v>15</v>
      </c>
      <c r="S323" s="9">
        <v>42</v>
      </c>
      <c r="T323" s="9">
        <v>27</v>
      </c>
      <c r="U323" s="9">
        <v>2</v>
      </c>
      <c r="V323" s="9">
        <v>0</v>
      </c>
      <c r="W323" s="9">
        <v>0</v>
      </c>
      <c r="X323" s="9">
        <v>1</v>
      </c>
      <c r="Y323" s="9">
        <v>0</v>
      </c>
      <c r="Z323" s="9">
        <v>0</v>
      </c>
      <c r="AB323" s="9">
        <f t="shared" si="13"/>
        <v>551</v>
      </c>
      <c r="AC323" s="9">
        <f t="shared" si="14"/>
        <v>4701</v>
      </c>
      <c r="AD323" s="10">
        <f t="shared" si="15"/>
        <v>8.5317604355716874</v>
      </c>
    </row>
    <row r="324" spans="1:30" x14ac:dyDescent="0.3">
      <c r="A324" s="55"/>
      <c r="B324" s="30" t="s">
        <v>326</v>
      </c>
      <c r="C324" s="9">
        <v>65</v>
      </c>
      <c r="D324" s="9">
        <v>38</v>
      </c>
      <c r="E324" s="9">
        <v>84</v>
      </c>
      <c r="F324" s="9">
        <v>103</v>
      </c>
      <c r="G324" s="9">
        <v>84</v>
      </c>
      <c r="H324" s="9">
        <v>200</v>
      </c>
      <c r="I324" s="9">
        <v>165</v>
      </c>
      <c r="J324" s="9">
        <v>106</v>
      </c>
      <c r="K324" s="9">
        <v>147</v>
      </c>
      <c r="L324" s="9">
        <v>136</v>
      </c>
      <c r="M324" s="9">
        <v>159</v>
      </c>
      <c r="N324" s="9">
        <v>108</v>
      </c>
      <c r="O324" s="9">
        <v>315</v>
      </c>
      <c r="P324" s="9">
        <v>7</v>
      </c>
      <c r="Q324" s="9">
        <v>4</v>
      </c>
      <c r="R324" s="9">
        <v>39</v>
      </c>
      <c r="S324" s="9">
        <v>59</v>
      </c>
      <c r="T324" s="9">
        <v>44</v>
      </c>
      <c r="U324" s="9">
        <v>2</v>
      </c>
      <c r="V324" s="9">
        <v>1</v>
      </c>
      <c r="W324" s="9">
        <v>1</v>
      </c>
      <c r="X324" s="9">
        <v>1</v>
      </c>
      <c r="Y324" s="9">
        <v>0</v>
      </c>
      <c r="Z324" s="9">
        <v>0</v>
      </c>
      <c r="AB324" s="9">
        <f t="shared" ref="AB324:AB346" si="16">SUM(C324:Z324)</f>
        <v>1868</v>
      </c>
      <c r="AC324" s="9">
        <f t="shared" ref="AC324:AC346" si="17">C$2*C324+D$2*D324+E$2*E324+F$2*F324+G$2*G324+H$2*H324+I$2*I324+J$2*J324+K$2*K324+L$2*L324+M$2*M324+N$2*N324+O$2*O324+P$2*P324+Q$2*Q324+R$2*R324+S$2*S324+T$2*T324+U$2*U324+V$2*V324+W$2*W324+X$2*X324+Y$2*Y324+Z$2*Z324</f>
        <v>15061</v>
      </c>
      <c r="AD324" s="10">
        <f t="shared" si="15"/>
        <v>8.0626338329764451</v>
      </c>
    </row>
    <row r="325" spans="1:30" x14ac:dyDescent="0.3">
      <c r="A325" s="55"/>
      <c r="B325" s="30" t="s">
        <v>327</v>
      </c>
      <c r="C325" s="9">
        <v>19</v>
      </c>
      <c r="D325" s="9">
        <v>12</v>
      </c>
      <c r="E325" s="9">
        <v>15</v>
      </c>
      <c r="F325" s="9">
        <v>34</v>
      </c>
      <c r="G325" s="9">
        <v>40</v>
      </c>
      <c r="H325" s="9">
        <v>95</v>
      </c>
      <c r="I325" s="9">
        <v>64</v>
      </c>
      <c r="J325" s="9">
        <v>63</v>
      </c>
      <c r="K325" s="9">
        <v>73</v>
      </c>
      <c r="L325" s="9">
        <v>65</v>
      </c>
      <c r="M325" s="9">
        <v>65</v>
      </c>
      <c r="N325" s="9">
        <v>70</v>
      </c>
      <c r="O325" s="9">
        <v>298</v>
      </c>
      <c r="P325" s="9">
        <v>10</v>
      </c>
      <c r="Q325" s="9">
        <v>6</v>
      </c>
      <c r="R325" s="9">
        <v>42</v>
      </c>
      <c r="S325" s="9">
        <v>63</v>
      </c>
      <c r="T325" s="9">
        <v>62</v>
      </c>
      <c r="U325" s="9">
        <v>2</v>
      </c>
      <c r="V325" s="9">
        <v>0</v>
      </c>
      <c r="W325" s="9">
        <v>1</v>
      </c>
      <c r="X325" s="9">
        <v>0</v>
      </c>
      <c r="Y325" s="9">
        <v>1</v>
      </c>
      <c r="Z325" s="9">
        <v>0</v>
      </c>
      <c r="AB325" s="9">
        <f t="shared" si="16"/>
        <v>1100</v>
      </c>
      <c r="AC325" s="9">
        <f t="shared" si="17"/>
        <v>10753</v>
      </c>
      <c r="AD325" s="10">
        <f t="shared" ref="AD325:AD346" si="18">AC325/AB325</f>
        <v>9.7754545454545454</v>
      </c>
    </row>
    <row r="326" spans="1:30" x14ac:dyDescent="0.3">
      <c r="A326" s="55"/>
      <c r="B326" s="30" t="s">
        <v>328</v>
      </c>
      <c r="C326" s="9">
        <v>14</v>
      </c>
      <c r="D326" s="9">
        <v>9</v>
      </c>
      <c r="E326" s="9">
        <v>18</v>
      </c>
      <c r="F326" s="9">
        <v>14</v>
      </c>
      <c r="G326" s="9">
        <v>34</v>
      </c>
      <c r="H326" s="9">
        <v>46</v>
      </c>
      <c r="I326" s="9">
        <v>49</v>
      </c>
      <c r="J326" s="9">
        <v>43</v>
      </c>
      <c r="K326" s="9">
        <v>64</v>
      </c>
      <c r="L326" s="9">
        <v>50</v>
      </c>
      <c r="M326" s="9">
        <v>50</v>
      </c>
      <c r="N326" s="9">
        <v>47</v>
      </c>
      <c r="O326" s="9">
        <v>176</v>
      </c>
      <c r="P326" s="9">
        <v>9</v>
      </c>
      <c r="Q326" s="9">
        <v>9</v>
      </c>
      <c r="R326" s="9">
        <v>22</v>
      </c>
      <c r="S326" s="9">
        <v>30</v>
      </c>
      <c r="T326" s="9">
        <v>39</v>
      </c>
      <c r="U326" s="9">
        <v>1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B326" s="9">
        <f t="shared" si="16"/>
        <v>724</v>
      </c>
      <c r="AC326" s="9">
        <f t="shared" si="17"/>
        <v>6873</v>
      </c>
      <c r="AD326" s="10">
        <f t="shared" si="18"/>
        <v>9.4930939226519335</v>
      </c>
    </row>
    <row r="327" spans="1:30" x14ac:dyDescent="0.3">
      <c r="A327" s="55"/>
      <c r="B327" s="30" t="s">
        <v>329</v>
      </c>
      <c r="C327" s="9">
        <v>7</v>
      </c>
      <c r="D327" s="9">
        <v>0</v>
      </c>
      <c r="E327" s="9">
        <v>2</v>
      </c>
      <c r="F327" s="9">
        <v>6</v>
      </c>
      <c r="G327" s="9">
        <v>3</v>
      </c>
      <c r="H327" s="9">
        <v>9</v>
      </c>
      <c r="I327" s="9">
        <v>11</v>
      </c>
      <c r="J327" s="9">
        <v>11</v>
      </c>
      <c r="K327" s="9">
        <v>24</v>
      </c>
      <c r="L327" s="9">
        <v>7</v>
      </c>
      <c r="M327" s="9">
        <v>10</v>
      </c>
      <c r="N327" s="9">
        <v>8</v>
      </c>
      <c r="O327" s="9">
        <v>23</v>
      </c>
      <c r="P327" s="9">
        <v>2</v>
      </c>
      <c r="Q327" s="9">
        <v>1</v>
      </c>
      <c r="R327" s="9">
        <v>5</v>
      </c>
      <c r="S327" s="9">
        <v>8</v>
      </c>
      <c r="T327" s="9">
        <v>3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B327" s="9">
        <f t="shared" si="16"/>
        <v>140</v>
      </c>
      <c r="AC327" s="9">
        <f t="shared" si="17"/>
        <v>1235</v>
      </c>
      <c r="AD327" s="10">
        <f t="shared" si="18"/>
        <v>8.8214285714285712</v>
      </c>
    </row>
    <row r="328" spans="1:30" x14ac:dyDescent="0.3">
      <c r="A328" s="55"/>
      <c r="B328" s="30" t="s">
        <v>330</v>
      </c>
      <c r="C328" s="9">
        <v>40</v>
      </c>
      <c r="D328" s="9">
        <v>15</v>
      </c>
      <c r="E328" s="9">
        <v>13</v>
      </c>
      <c r="F328" s="9">
        <v>30</v>
      </c>
      <c r="G328" s="9">
        <v>45</v>
      </c>
      <c r="H328" s="9">
        <v>73</v>
      </c>
      <c r="I328" s="9">
        <v>79</v>
      </c>
      <c r="J328" s="9">
        <v>84</v>
      </c>
      <c r="K328" s="9">
        <v>123</v>
      </c>
      <c r="L328" s="9">
        <v>130</v>
      </c>
      <c r="M328" s="9">
        <v>141</v>
      </c>
      <c r="N328" s="9">
        <v>116</v>
      </c>
      <c r="O328" s="9">
        <v>498</v>
      </c>
      <c r="P328" s="9">
        <v>13</v>
      </c>
      <c r="Q328" s="9">
        <v>18</v>
      </c>
      <c r="R328" s="9">
        <v>59</v>
      </c>
      <c r="S328" s="9">
        <v>93</v>
      </c>
      <c r="T328" s="9">
        <v>76</v>
      </c>
      <c r="U328" s="9">
        <v>0</v>
      </c>
      <c r="V328" s="9">
        <v>2</v>
      </c>
      <c r="W328" s="9">
        <v>4</v>
      </c>
      <c r="X328" s="9">
        <v>1</v>
      </c>
      <c r="Y328" s="9">
        <v>0</v>
      </c>
      <c r="Z328" s="9">
        <v>2</v>
      </c>
      <c r="AB328" s="9">
        <f t="shared" si="16"/>
        <v>1655</v>
      </c>
      <c r="AC328" s="9">
        <f t="shared" si="17"/>
        <v>16825</v>
      </c>
      <c r="AD328" s="10">
        <f t="shared" si="18"/>
        <v>10.166163141993957</v>
      </c>
    </row>
    <row r="329" spans="1:30" x14ac:dyDescent="0.3">
      <c r="A329" s="55"/>
      <c r="B329" s="30" t="s">
        <v>331</v>
      </c>
      <c r="C329" s="9">
        <v>14</v>
      </c>
      <c r="D329" s="9">
        <v>8</v>
      </c>
      <c r="E329" s="9">
        <v>16</v>
      </c>
      <c r="F329" s="9">
        <v>25</v>
      </c>
      <c r="G329" s="9">
        <v>19</v>
      </c>
      <c r="H329" s="9">
        <v>59</v>
      </c>
      <c r="I329" s="9">
        <v>64</v>
      </c>
      <c r="J329" s="9">
        <v>65</v>
      </c>
      <c r="K329" s="9">
        <v>93</v>
      </c>
      <c r="L329" s="9">
        <v>73</v>
      </c>
      <c r="M329" s="9">
        <v>77</v>
      </c>
      <c r="N329" s="9">
        <v>61</v>
      </c>
      <c r="O329" s="9">
        <v>237</v>
      </c>
      <c r="P329" s="9">
        <v>8</v>
      </c>
      <c r="Q329" s="9">
        <v>9</v>
      </c>
      <c r="R329" s="9">
        <v>40</v>
      </c>
      <c r="S329" s="9">
        <v>53</v>
      </c>
      <c r="T329" s="9">
        <v>34</v>
      </c>
      <c r="U329" s="9">
        <v>0</v>
      </c>
      <c r="V329" s="9">
        <v>2</v>
      </c>
      <c r="W329" s="9">
        <v>1</v>
      </c>
      <c r="X329" s="9">
        <v>2</v>
      </c>
      <c r="Y329" s="9">
        <v>0</v>
      </c>
      <c r="Z329" s="9">
        <v>0</v>
      </c>
      <c r="AB329" s="9">
        <f t="shared" si="16"/>
        <v>960</v>
      </c>
      <c r="AC329" s="9">
        <f t="shared" si="17"/>
        <v>9367</v>
      </c>
      <c r="AD329" s="10">
        <f t="shared" si="18"/>
        <v>9.7572916666666671</v>
      </c>
    </row>
    <row r="330" spans="1:30" x14ac:dyDescent="0.3">
      <c r="A330" s="55"/>
      <c r="B330" s="30" t="s">
        <v>332</v>
      </c>
      <c r="C330" s="9">
        <v>7</v>
      </c>
      <c r="D330" s="9">
        <v>6</v>
      </c>
      <c r="E330" s="9">
        <v>16</v>
      </c>
      <c r="F330" s="9">
        <v>14</v>
      </c>
      <c r="G330" s="9">
        <v>17</v>
      </c>
      <c r="H330" s="9">
        <v>54</v>
      </c>
      <c r="I330" s="9">
        <v>33</v>
      </c>
      <c r="J330" s="9">
        <v>33</v>
      </c>
      <c r="K330" s="9">
        <v>54</v>
      </c>
      <c r="L330" s="9">
        <v>43</v>
      </c>
      <c r="M330" s="9">
        <v>53</v>
      </c>
      <c r="N330" s="9">
        <v>37</v>
      </c>
      <c r="O330" s="9">
        <v>185</v>
      </c>
      <c r="P330" s="9">
        <v>6</v>
      </c>
      <c r="Q330" s="9">
        <v>5</v>
      </c>
      <c r="R330" s="9">
        <v>19</v>
      </c>
      <c r="S330" s="9">
        <v>25</v>
      </c>
      <c r="T330" s="9">
        <v>30</v>
      </c>
      <c r="U330" s="9">
        <v>0</v>
      </c>
      <c r="V330" s="9">
        <v>0</v>
      </c>
      <c r="W330" s="9">
        <v>3</v>
      </c>
      <c r="X330" s="9">
        <v>3</v>
      </c>
      <c r="Y330" s="9">
        <v>1</v>
      </c>
      <c r="Z330" s="9">
        <v>0</v>
      </c>
      <c r="AB330" s="9">
        <f t="shared" si="16"/>
        <v>644</v>
      </c>
      <c r="AC330" s="9">
        <f t="shared" si="17"/>
        <v>6311</v>
      </c>
      <c r="AD330" s="10">
        <f t="shared" si="18"/>
        <v>9.799689440993788</v>
      </c>
    </row>
    <row r="331" spans="1:30" x14ac:dyDescent="0.3">
      <c r="A331" s="55"/>
      <c r="B331" s="30" t="s">
        <v>333</v>
      </c>
      <c r="C331" s="9">
        <v>19</v>
      </c>
      <c r="D331" s="9">
        <v>14</v>
      </c>
      <c r="E331" s="9">
        <v>18</v>
      </c>
      <c r="F331" s="9">
        <v>26</v>
      </c>
      <c r="G331" s="9">
        <v>20</v>
      </c>
      <c r="H331" s="9">
        <v>44</v>
      </c>
      <c r="I331" s="9">
        <v>31</v>
      </c>
      <c r="J331" s="9">
        <v>27</v>
      </c>
      <c r="K331" s="9">
        <v>34</v>
      </c>
      <c r="L331" s="9">
        <v>15</v>
      </c>
      <c r="M331" s="9">
        <v>24</v>
      </c>
      <c r="N331" s="9">
        <v>19</v>
      </c>
      <c r="O331" s="9">
        <v>45</v>
      </c>
      <c r="P331" s="9">
        <v>1</v>
      </c>
      <c r="Q331" s="9">
        <v>3</v>
      </c>
      <c r="R331" s="9">
        <v>21</v>
      </c>
      <c r="S331" s="9">
        <v>23</v>
      </c>
      <c r="T331" s="9">
        <v>8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B331" s="9">
        <f t="shared" si="16"/>
        <v>392</v>
      </c>
      <c r="AC331" s="9">
        <f t="shared" si="17"/>
        <v>3073</v>
      </c>
      <c r="AD331" s="10">
        <f t="shared" si="18"/>
        <v>7.8392857142857144</v>
      </c>
    </row>
    <row r="332" spans="1:30" x14ac:dyDescent="0.3">
      <c r="A332" s="55"/>
      <c r="B332" s="30" t="s">
        <v>334</v>
      </c>
      <c r="C332" s="9">
        <v>116</v>
      </c>
      <c r="D332" s="9">
        <v>56</v>
      </c>
      <c r="E332" s="9">
        <v>101</v>
      </c>
      <c r="F332" s="9">
        <v>120</v>
      </c>
      <c r="G332" s="9">
        <v>122</v>
      </c>
      <c r="H332" s="9">
        <v>361</v>
      </c>
      <c r="I332" s="9">
        <v>411</v>
      </c>
      <c r="J332" s="9">
        <v>274</v>
      </c>
      <c r="K332" s="9">
        <v>400</v>
      </c>
      <c r="L332" s="9">
        <v>514</v>
      </c>
      <c r="M332" s="9">
        <v>608</v>
      </c>
      <c r="N332" s="9">
        <v>524</v>
      </c>
      <c r="O332" s="9">
        <v>2337</v>
      </c>
      <c r="P332" s="9">
        <v>193</v>
      </c>
      <c r="Q332" s="9">
        <v>221</v>
      </c>
      <c r="R332" s="9">
        <v>602</v>
      </c>
      <c r="S332" s="9">
        <v>936</v>
      </c>
      <c r="T332" s="9">
        <v>1122</v>
      </c>
      <c r="U332" s="9">
        <v>35</v>
      </c>
      <c r="V332" s="9">
        <v>51</v>
      </c>
      <c r="W332" s="9">
        <v>22</v>
      </c>
      <c r="X332" s="9">
        <v>6</v>
      </c>
      <c r="Y332" s="9">
        <v>5</v>
      </c>
      <c r="Z332" s="9">
        <v>4</v>
      </c>
      <c r="AB332" s="9">
        <f t="shared" si="16"/>
        <v>9141</v>
      </c>
      <c r="AC332" s="9">
        <f t="shared" si="17"/>
        <v>106059</v>
      </c>
      <c r="AD332" s="10">
        <f t="shared" si="18"/>
        <v>11.602559894978668</v>
      </c>
    </row>
    <row r="333" spans="1:30" x14ac:dyDescent="0.3">
      <c r="A333" s="55"/>
      <c r="B333" s="30" t="s">
        <v>335</v>
      </c>
      <c r="C333" s="9">
        <v>38</v>
      </c>
      <c r="D333" s="9">
        <v>22</v>
      </c>
      <c r="E333" s="9">
        <v>36</v>
      </c>
      <c r="F333" s="9">
        <v>28</v>
      </c>
      <c r="G333" s="9">
        <v>38</v>
      </c>
      <c r="H333" s="9">
        <v>78</v>
      </c>
      <c r="I333" s="9">
        <v>88</v>
      </c>
      <c r="J333" s="9">
        <v>64</v>
      </c>
      <c r="K333" s="9">
        <v>102</v>
      </c>
      <c r="L333" s="9">
        <v>84</v>
      </c>
      <c r="M333" s="9">
        <v>107</v>
      </c>
      <c r="N333" s="9">
        <v>104</v>
      </c>
      <c r="O333" s="9">
        <v>389</v>
      </c>
      <c r="P333" s="9">
        <v>16</v>
      </c>
      <c r="Q333" s="9">
        <v>14</v>
      </c>
      <c r="R333" s="9">
        <v>41</v>
      </c>
      <c r="S333" s="9">
        <v>75</v>
      </c>
      <c r="T333" s="9">
        <v>51</v>
      </c>
      <c r="U333" s="9">
        <v>4</v>
      </c>
      <c r="V333" s="9">
        <v>2</v>
      </c>
      <c r="W333" s="9">
        <v>2</v>
      </c>
      <c r="X333" s="9">
        <v>4</v>
      </c>
      <c r="Y333" s="9">
        <v>0</v>
      </c>
      <c r="Z333" s="9">
        <v>0</v>
      </c>
      <c r="AB333" s="9">
        <f t="shared" si="16"/>
        <v>1387</v>
      </c>
      <c r="AC333" s="9">
        <f t="shared" si="17"/>
        <v>13470</v>
      </c>
      <c r="AD333" s="10">
        <f t="shared" si="18"/>
        <v>9.7116077865897612</v>
      </c>
    </row>
    <row r="334" spans="1:30" x14ac:dyDescent="0.3">
      <c r="A334" s="55"/>
      <c r="B334" s="30" t="s">
        <v>336</v>
      </c>
      <c r="C334" s="9">
        <v>21</v>
      </c>
      <c r="D334" s="9">
        <v>6</v>
      </c>
      <c r="E334" s="9">
        <v>13</v>
      </c>
      <c r="F334" s="9">
        <v>20</v>
      </c>
      <c r="G334" s="9">
        <v>19</v>
      </c>
      <c r="H334" s="9">
        <v>35</v>
      </c>
      <c r="I334" s="9">
        <v>29</v>
      </c>
      <c r="J334" s="9">
        <v>15</v>
      </c>
      <c r="K334" s="9">
        <v>31</v>
      </c>
      <c r="L334" s="9">
        <v>17</v>
      </c>
      <c r="M334" s="9">
        <v>19</v>
      </c>
      <c r="N334" s="9">
        <v>21</v>
      </c>
      <c r="O334" s="9">
        <v>64</v>
      </c>
      <c r="P334" s="9">
        <v>4</v>
      </c>
      <c r="Q334" s="9">
        <v>8</v>
      </c>
      <c r="R334" s="9">
        <v>11</v>
      </c>
      <c r="S334" s="9">
        <v>21</v>
      </c>
      <c r="T334" s="9">
        <v>23</v>
      </c>
      <c r="U334" s="9">
        <v>0</v>
      </c>
      <c r="V334" s="9">
        <v>1</v>
      </c>
      <c r="W334" s="9">
        <v>0</v>
      </c>
      <c r="X334" s="9">
        <v>0</v>
      </c>
      <c r="Y334" s="9">
        <v>0</v>
      </c>
      <c r="Z334" s="9">
        <v>0</v>
      </c>
      <c r="AB334" s="9">
        <f t="shared" si="16"/>
        <v>378</v>
      </c>
      <c r="AC334" s="9">
        <f t="shared" si="17"/>
        <v>3287</v>
      </c>
      <c r="AD334" s="10">
        <f t="shared" si="18"/>
        <v>8.6957671957671963</v>
      </c>
    </row>
    <row r="335" spans="1:30" x14ac:dyDescent="0.3">
      <c r="A335" s="55"/>
      <c r="B335" s="30" t="s">
        <v>337</v>
      </c>
      <c r="C335" s="9">
        <v>50</v>
      </c>
      <c r="D335" s="9">
        <v>15</v>
      </c>
      <c r="E335" s="9">
        <v>26</v>
      </c>
      <c r="F335" s="9">
        <v>29</v>
      </c>
      <c r="G335" s="9">
        <v>25</v>
      </c>
      <c r="H335" s="9">
        <v>60</v>
      </c>
      <c r="I335" s="9">
        <v>43</v>
      </c>
      <c r="J335" s="9">
        <v>34</v>
      </c>
      <c r="K335" s="9">
        <v>34</v>
      </c>
      <c r="L335" s="9">
        <v>26</v>
      </c>
      <c r="M335" s="9">
        <v>51</v>
      </c>
      <c r="N335" s="9">
        <v>43</v>
      </c>
      <c r="O335" s="9">
        <v>132</v>
      </c>
      <c r="P335" s="9">
        <v>10</v>
      </c>
      <c r="Q335" s="9">
        <v>16</v>
      </c>
      <c r="R335" s="9">
        <v>31</v>
      </c>
      <c r="S335" s="9">
        <v>46</v>
      </c>
      <c r="T335" s="9">
        <v>35</v>
      </c>
      <c r="U335" s="9">
        <v>0</v>
      </c>
      <c r="V335" s="9">
        <v>0</v>
      </c>
      <c r="W335" s="9">
        <v>1</v>
      </c>
      <c r="X335" s="9">
        <v>0</v>
      </c>
      <c r="Y335" s="9">
        <v>0</v>
      </c>
      <c r="Z335" s="9">
        <v>0</v>
      </c>
      <c r="AB335" s="9">
        <f t="shared" si="16"/>
        <v>707</v>
      </c>
      <c r="AC335" s="9">
        <f t="shared" si="17"/>
        <v>6293</v>
      </c>
      <c r="AD335" s="10">
        <f t="shared" si="18"/>
        <v>8.9009900990099009</v>
      </c>
    </row>
    <row r="336" spans="1:30" x14ac:dyDescent="0.3">
      <c r="A336" s="55"/>
      <c r="B336" s="30" t="s">
        <v>338</v>
      </c>
      <c r="C336" s="9">
        <v>27</v>
      </c>
      <c r="D336" s="9">
        <v>7</v>
      </c>
      <c r="E336" s="9">
        <v>21</v>
      </c>
      <c r="F336" s="9">
        <v>33</v>
      </c>
      <c r="G336" s="9">
        <v>36</v>
      </c>
      <c r="H336" s="9">
        <v>85</v>
      </c>
      <c r="I336" s="9">
        <v>71</v>
      </c>
      <c r="J336" s="9">
        <v>58</v>
      </c>
      <c r="K336" s="9">
        <v>59</v>
      </c>
      <c r="L336" s="9">
        <v>46</v>
      </c>
      <c r="M336" s="9">
        <v>69</v>
      </c>
      <c r="N336" s="9">
        <v>54</v>
      </c>
      <c r="O336" s="9">
        <v>176</v>
      </c>
      <c r="P336" s="9">
        <v>14</v>
      </c>
      <c r="Q336" s="9">
        <v>18</v>
      </c>
      <c r="R336" s="9">
        <v>75</v>
      </c>
      <c r="S336" s="9">
        <v>58</v>
      </c>
      <c r="T336" s="9">
        <v>43</v>
      </c>
      <c r="U336" s="9">
        <v>0</v>
      </c>
      <c r="V336" s="9">
        <v>1</v>
      </c>
      <c r="W336" s="9">
        <v>1</v>
      </c>
      <c r="X336" s="9">
        <v>2</v>
      </c>
      <c r="Y336" s="9">
        <v>1</v>
      </c>
      <c r="Z336" s="9">
        <v>0</v>
      </c>
      <c r="AB336" s="9">
        <f t="shared" si="16"/>
        <v>955</v>
      </c>
      <c r="AC336" s="9">
        <f t="shared" si="17"/>
        <v>9152</v>
      </c>
      <c r="AD336" s="10">
        <f t="shared" si="18"/>
        <v>9.5832460732984295</v>
      </c>
    </row>
    <row r="337" spans="1:30" x14ac:dyDescent="0.3">
      <c r="A337" s="55"/>
      <c r="B337" s="30" t="s">
        <v>339</v>
      </c>
      <c r="C337" s="9">
        <v>46</v>
      </c>
      <c r="D337" s="9">
        <v>15</v>
      </c>
      <c r="E337" s="9">
        <v>21</v>
      </c>
      <c r="F337" s="9">
        <v>18</v>
      </c>
      <c r="G337" s="9">
        <v>19</v>
      </c>
      <c r="H337" s="9">
        <v>39</v>
      </c>
      <c r="I337" s="9">
        <v>29</v>
      </c>
      <c r="J337" s="9">
        <v>28</v>
      </c>
      <c r="K337" s="9">
        <v>50</v>
      </c>
      <c r="L337" s="9">
        <v>25</v>
      </c>
      <c r="M337" s="9">
        <v>25</v>
      </c>
      <c r="N337" s="9">
        <v>31</v>
      </c>
      <c r="O337" s="9">
        <v>61</v>
      </c>
      <c r="P337" s="9">
        <v>0</v>
      </c>
      <c r="Q337" s="9">
        <v>2</v>
      </c>
      <c r="R337" s="9">
        <v>11</v>
      </c>
      <c r="S337" s="9">
        <v>13</v>
      </c>
      <c r="T337" s="9">
        <v>13</v>
      </c>
      <c r="U337" s="9">
        <v>1</v>
      </c>
      <c r="V337" s="9">
        <v>0</v>
      </c>
      <c r="W337" s="9">
        <v>1</v>
      </c>
      <c r="X337" s="9">
        <v>0</v>
      </c>
      <c r="Y337" s="9">
        <v>0</v>
      </c>
      <c r="Z337" s="9">
        <v>0</v>
      </c>
      <c r="AB337" s="9">
        <f t="shared" si="16"/>
        <v>448</v>
      </c>
      <c r="AC337" s="9">
        <f t="shared" si="17"/>
        <v>3360</v>
      </c>
      <c r="AD337" s="10">
        <f t="shared" si="18"/>
        <v>7.5</v>
      </c>
    </row>
    <row r="338" spans="1:30" x14ac:dyDescent="0.3">
      <c r="A338" s="55"/>
      <c r="B338" s="30" t="s">
        <v>340</v>
      </c>
      <c r="C338" s="9">
        <v>51</v>
      </c>
      <c r="D338" s="9">
        <v>27</v>
      </c>
      <c r="E338" s="9">
        <v>33</v>
      </c>
      <c r="F338" s="9">
        <v>47</v>
      </c>
      <c r="G338" s="9">
        <v>30</v>
      </c>
      <c r="H338" s="9">
        <v>87</v>
      </c>
      <c r="I338" s="9">
        <v>86</v>
      </c>
      <c r="J338" s="9">
        <v>55</v>
      </c>
      <c r="K338" s="9">
        <v>70</v>
      </c>
      <c r="L338" s="9">
        <v>61</v>
      </c>
      <c r="M338" s="9">
        <v>71</v>
      </c>
      <c r="N338" s="9">
        <v>66</v>
      </c>
      <c r="O338" s="9">
        <v>176</v>
      </c>
      <c r="P338" s="9">
        <v>10</v>
      </c>
      <c r="Q338" s="9">
        <v>10</v>
      </c>
      <c r="R338" s="9">
        <v>23</v>
      </c>
      <c r="S338" s="9">
        <v>30</v>
      </c>
      <c r="T338" s="9">
        <v>25</v>
      </c>
      <c r="U338" s="9">
        <v>0</v>
      </c>
      <c r="V338" s="9">
        <v>3</v>
      </c>
      <c r="W338" s="9">
        <v>3</v>
      </c>
      <c r="X338" s="9">
        <v>1</v>
      </c>
      <c r="Y338" s="9">
        <v>0</v>
      </c>
      <c r="Z338" s="9">
        <v>0</v>
      </c>
      <c r="AB338" s="9">
        <f t="shared" si="16"/>
        <v>965</v>
      </c>
      <c r="AC338" s="9">
        <f t="shared" si="17"/>
        <v>8005</v>
      </c>
      <c r="AD338" s="10">
        <f t="shared" si="18"/>
        <v>8.2953367875647661</v>
      </c>
    </row>
    <row r="339" spans="1:30" x14ac:dyDescent="0.3">
      <c r="A339" s="55"/>
      <c r="B339" s="30" t="s">
        <v>341</v>
      </c>
      <c r="C339" s="9">
        <v>33</v>
      </c>
      <c r="D339" s="9">
        <v>15</v>
      </c>
      <c r="E339" s="9">
        <v>12</v>
      </c>
      <c r="F339" s="9">
        <v>46</v>
      </c>
      <c r="G339" s="9">
        <v>42</v>
      </c>
      <c r="H339" s="9">
        <v>78</v>
      </c>
      <c r="I339" s="9">
        <v>76</v>
      </c>
      <c r="J339" s="9">
        <v>73</v>
      </c>
      <c r="K339" s="9">
        <v>81</v>
      </c>
      <c r="L339" s="9">
        <v>74</v>
      </c>
      <c r="M339" s="9">
        <v>90</v>
      </c>
      <c r="N339" s="9">
        <v>96</v>
      </c>
      <c r="O339" s="9">
        <v>315</v>
      </c>
      <c r="P339" s="9">
        <v>3</v>
      </c>
      <c r="Q339" s="9">
        <v>16</v>
      </c>
      <c r="R339" s="9">
        <v>41</v>
      </c>
      <c r="S339" s="9">
        <v>38</v>
      </c>
      <c r="T339" s="9">
        <v>37</v>
      </c>
      <c r="U339" s="9">
        <v>2</v>
      </c>
      <c r="V339" s="9">
        <v>2</v>
      </c>
      <c r="W339" s="9">
        <v>1</v>
      </c>
      <c r="X339" s="9">
        <v>2</v>
      </c>
      <c r="Y339" s="9">
        <v>2</v>
      </c>
      <c r="Z339" s="9">
        <v>0</v>
      </c>
      <c r="AB339" s="9">
        <f t="shared" si="16"/>
        <v>1175</v>
      </c>
      <c r="AC339" s="9">
        <f t="shared" si="17"/>
        <v>11047</v>
      </c>
      <c r="AD339" s="10">
        <f t="shared" si="18"/>
        <v>9.4017021276595738</v>
      </c>
    </row>
    <row r="340" spans="1:30" x14ac:dyDescent="0.3">
      <c r="A340" s="55"/>
      <c r="B340" s="30" t="s">
        <v>342</v>
      </c>
      <c r="C340" s="9">
        <v>62</v>
      </c>
      <c r="D340" s="9">
        <v>7</v>
      </c>
      <c r="E340" s="9">
        <v>23</v>
      </c>
      <c r="F340" s="9">
        <v>55</v>
      </c>
      <c r="G340" s="9">
        <v>63</v>
      </c>
      <c r="H340" s="9">
        <v>121</v>
      </c>
      <c r="I340" s="9">
        <v>87</v>
      </c>
      <c r="J340" s="9">
        <v>61</v>
      </c>
      <c r="K340" s="9">
        <v>106</v>
      </c>
      <c r="L340" s="9">
        <v>88</v>
      </c>
      <c r="M340" s="9">
        <v>100</v>
      </c>
      <c r="N340" s="9">
        <v>91</v>
      </c>
      <c r="O340" s="9">
        <v>223</v>
      </c>
      <c r="P340" s="9">
        <v>9</v>
      </c>
      <c r="Q340" s="9">
        <v>14</v>
      </c>
      <c r="R340" s="9">
        <v>38</v>
      </c>
      <c r="S340" s="9">
        <v>51</v>
      </c>
      <c r="T340" s="9">
        <v>30</v>
      </c>
      <c r="U340" s="9">
        <v>1</v>
      </c>
      <c r="V340" s="9">
        <v>0</v>
      </c>
      <c r="W340" s="9">
        <v>1</v>
      </c>
      <c r="X340" s="9">
        <v>0</v>
      </c>
      <c r="Y340" s="9">
        <v>0</v>
      </c>
      <c r="Z340" s="9">
        <v>0</v>
      </c>
      <c r="AB340" s="9">
        <f t="shared" si="16"/>
        <v>1231</v>
      </c>
      <c r="AC340" s="9">
        <f t="shared" si="17"/>
        <v>10588</v>
      </c>
      <c r="AD340" s="10">
        <f t="shared" si="18"/>
        <v>8.6011372867587319</v>
      </c>
    </row>
    <row r="341" spans="1:30" x14ac:dyDescent="0.3">
      <c r="A341" s="55"/>
      <c r="B341" s="30" t="s">
        <v>343</v>
      </c>
      <c r="C341" s="9">
        <v>63</v>
      </c>
      <c r="D341" s="9">
        <v>23</v>
      </c>
      <c r="E341" s="9">
        <v>28</v>
      </c>
      <c r="F341" s="9">
        <v>74</v>
      </c>
      <c r="G341" s="9">
        <v>64</v>
      </c>
      <c r="H341" s="9">
        <v>131</v>
      </c>
      <c r="I341" s="9">
        <v>133</v>
      </c>
      <c r="J341" s="9">
        <v>100</v>
      </c>
      <c r="K341" s="9">
        <v>126</v>
      </c>
      <c r="L341" s="9">
        <v>84</v>
      </c>
      <c r="M341" s="9">
        <v>103</v>
      </c>
      <c r="N341" s="9">
        <v>67</v>
      </c>
      <c r="O341" s="9">
        <v>239</v>
      </c>
      <c r="P341" s="9">
        <v>2</v>
      </c>
      <c r="Q341" s="9">
        <v>9</v>
      </c>
      <c r="R341" s="9">
        <v>28</v>
      </c>
      <c r="S341" s="9">
        <v>32</v>
      </c>
      <c r="T341" s="9">
        <v>23</v>
      </c>
      <c r="U341" s="9">
        <v>0</v>
      </c>
      <c r="V341" s="9">
        <v>1</v>
      </c>
      <c r="W341" s="9">
        <v>1</v>
      </c>
      <c r="X341" s="9">
        <v>0</v>
      </c>
      <c r="Y341" s="9">
        <v>0</v>
      </c>
      <c r="Z341" s="9">
        <v>0</v>
      </c>
      <c r="AB341" s="9">
        <f t="shared" si="16"/>
        <v>1331</v>
      </c>
      <c r="AC341" s="9">
        <f t="shared" si="17"/>
        <v>10623</v>
      </c>
      <c r="AD341" s="10">
        <f t="shared" si="18"/>
        <v>7.9812171299774608</v>
      </c>
    </row>
    <row r="342" spans="1:30" x14ac:dyDescent="0.3">
      <c r="A342" s="55"/>
      <c r="B342" s="30" t="s">
        <v>344</v>
      </c>
      <c r="C342" s="9">
        <v>14</v>
      </c>
      <c r="D342" s="9">
        <v>14</v>
      </c>
      <c r="E342" s="9">
        <v>11</v>
      </c>
      <c r="F342" s="9">
        <v>23</v>
      </c>
      <c r="G342" s="9">
        <v>20</v>
      </c>
      <c r="H342" s="9">
        <v>39</v>
      </c>
      <c r="I342" s="9">
        <v>27</v>
      </c>
      <c r="J342" s="9">
        <v>20</v>
      </c>
      <c r="K342" s="9">
        <v>38</v>
      </c>
      <c r="L342" s="9">
        <v>28</v>
      </c>
      <c r="M342" s="9">
        <v>38</v>
      </c>
      <c r="N342" s="9">
        <v>26</v>
      </c>
      <c r="O342" s="9">
        <v>88</v>
      </c>
      <c r="P342" s="9">
        <v>4</v>
      </c>
      <c r="Q342" s="9">
        <v>6</v>
      </c>
      <c r="R342" s="9">
        <v>17</v>
      </c>
      <c r="S342" s="9">
        <v>20</v>
      </c>
      <c r="T342" s="9">
        <v>14</v>
      </c>
      <c r="U342" s="9">
        <v>0</v>
      </c>
      <c r="V342" s="9">
        <v>0</v>
      </c>
      <c r="W342" s="9">
        <v>2</v>
      </c>
      <c r="X342" s="9">
        <v>0</v>
      </c>
      <c r="Y342" s="9">
        <v>0</v>
      </c>
      <c r="Z342" s="9">
        <v>0</v>
      </c>
      <c r="AB342" s="9">
        <f t="shared" si="16"/>
        <v>449</v>
      </c>
      <c r="AC342" s="9">
        <f t="shared" si="17"/>
        <v>3949</v>
      </c>
      <c r="AD342" s="10">
        <f t="shared" si="18"/>
        <v>8.7951002227171493</v>
      </c>
    </row>
    <row r="343" spans="1:30" x14ac:dyDescent="0.3">
      <c r="A343" s="55"/>
      <c r="B343" s="30" t="s">
        <v>345</v>
      </c>
      <c r="C343" s="9">
        <v>9</v>
      </c>
      <c r="D343" s="9">
        <v>5</v>
      </c>
      <c r="E343" s="9">
        <v>8</v>
      </c>
      <c r="F343" s="9">
        <v>11</v>
      </c>
      <c r="G343" s="9">
        <v>18</v>
      </c>
      <c r="H343" s="9">
        <v>33</v>
      </c>
      <c r="I343" s="9">
        <v>27</v>
      </c>
      <c r="J343" s="9">
        <v>13</v>
      </c>
      <c r="K343" s="9">
        <v>19</v>
      </c>
      <c r="L343" s="9">
        <v>20</v>
      </c>
      <c r="M343" s="9">
        <v>33</v>
      </c>
      <c r="N343" s="9">
        <v>14</v>
      </c>
      <c r="O343" s="9">
        <v>53</v>
      </c>
      <c r="P343" s="9">
        <v>0</v>
      </c>
      <c r="Q343" s="9">
        <v>3</v>
      </c>
      <c r="R343" s="9">
        <v>4</v>
      </c>
      <c r="S343" s="9">
        <v>11</v>
      </c>
      <c r="T343" s="9">
        <v>6</v>
      </c>
      <c r="U343" s="9">
        <v>0</v>
      </c>
      <c r="V343" s="9">
        <v>0</v>
      </c>
      <c r="W343" s="9">
        <v>1</v>
      </c>
      <c r="X343" s="9">
        <v>1</v>
      </c>
      <c r="Y343" s="9">
        <v>0</v>
      </c>
      <c r="Z343" s="9">
        <v>0</v>
      </c>
      <c r="AB343" s="9">
        <f t="shared" si="16"/>
        <v>289</v>
      </c>
      <c r="AC343" s="9">
        <f t="shared" si="17"/>
        <v>2417</v>
      </c>
      <c r="AD343" s="10">
        <f t="shared" si="18"/>
        <v>8.3633217993079576</v>
      </c>
    </row>
    <row r="344" spans="1:30" x14ac:dyDescent="0.3">
      <c r="A344" s="55"/>
      <c r="B344" s="30" t="s">
        <v>346</v>
      </c>
      <c r="C344" s="9">
        <v>16</v>
      </c>
      <c r="D344" s="9">
        <v>8</v>
      </c>
      <c r="E344" s="9">
        <v>9</v>
      </c>
      <c r="F344" s="9">
        <v>12</v>
      </c>
      <c r="G344" s="9">
        <v>14</v>
      </c>
      <c r="H344" s="9">
        <v>28</v>
      </c>
      <c r="I344" s="9">
        <v>39</v>
      </c>
      <c r="J344" s="9">
        <v>12</v>
      </c>
      <c r="K344" s="9">
        <v>24</v>
      </c>
      <c r="L344" s="9">
        <v>41</v>
      </c>
      <c r="M344" s="9">
        <v>51</v>
      </c>
      <c r="N344" s="9">
        <v>31</v>
      </c>
      <c r="O344" s="9">
        <v>81</v>
      </c>
      <c r="P344" s="9">
        <v>2</v>
      </c>
      <c r="Q344" s="9">
        <v>3</v>
      </c>
      <c r="R344" s="9">
        <v>9</v>
      </c>
      <c r="S344" s="9">
        <v>12</v>
      </c>
      <c r="T344" s="9">
        <v>9</v>
      </c>
      <c r="U344" s="9">
        <v>0</v>
      </c>
      <c r="V344" s="9">
        <v>1</v>
      </c>
      <c r="W344" s="9">
        <v>1</v>
      </c>
      <c r="X344" s="9">
        <v>0</v>
      </c>
      <c r="Y344" s="9">
        <v>0</v>
      </c>
      <c r="Z344" s="9">
        <v>0</v>
      </c>
      <c r="AB344" s="9">
        <f t="shared" si="16"/>
        <v>403</v>
      </c>
      <c r="AC344" s="9">
        <f t="shared" si="17"/>
        <v>3547</v>
      </c>
      <c r="AD344" s="10">
        <f t="shared" si="18"/>
        <v>8.8014888337468982</v>
      </c>
    </row>
    <row r="345" spans="1:30" x14ac:dyDescent="0.3">
      <c r="A345" s="55"/>
      <c r="B345" s="30" t="s">
        <v>347</v>
      </c>
      <c r="C345" s="9">
        <v>16</v>
      </c>
      <c r="D345" s="9">
        <v>9</v>
      </c>
      <c r="E345" s="9">
        <v>16</v>
      </c>
      <c r="F345" s="9">
        <v>24</v>
      </c>
      <c r="G345" s="9">
        <v>27</v>
      </c>
      <c r="H345" s="9">
        <v>38</v>
      </c>
      <c r="I345" s="9">
        <v>38</v>
      </c>
      <c r="J345" s="9">
        <v>25</v>
      </c>
      <c r="K345" s="9">
        <v>41</v>
      </c>
      <c r="L345" s="9">
        <v>31</v>
      </c>
      <c r="M345" s="9">
        <v>32</v>
      </c>
      <c r="N345" s="9">
        <v>30</v>
      </c>
      <c r="O345" s="9">
        <v>83</v>
      </c>
      <c r="P345" s="9">
        <v>5</v>
      </c>
      <c r="Q345" s="9">
        <v>5</v>
      </c>
      <c r="R345" s="9">
        <v>10</v>
      </c>
      <c r="S345" s="9">
        <v>12</v>
      </c>
      <c r="T345" s="9">
        <v>9</v>
      </c>
      <c r="U345" s="9">
        <v>0</v>
      </c>
      <c r="V345" s="9">
        <v>1</v>
      </c>
      <c r="W345" s="9">
        <v>1</v>
      </c>
      <c r="X345" s="9">
        <v>0</v>
      </c>
      <c r="Y345" s="9">
        <v>0</v>
      </c>
      <c r="Z345" s="9">
        <v>0</v>
      </c>
      <c r="AB345" s="9">
        <f t="shared" si="16"/>
        <v>453</v>
      </c>
      <c r="AC345" s="9">
        <f t="shared" si="17"/>
        <v>3736</v>
      </c>
      <c r="AD345" s="10">
        <f>AC345/AB345</f>
        <v>8.2472406181015447</v>
      </c>
    </row>
    <row r="346" spans="1:30" x14ac:dyDescent="0.3">
      <c r="A346" s="55"/>
      <c r="B346" s="30" t="s">
        <v>348</v>
      </c>
      <c r="C346" s="15">
        <v>12</v>
      </c>
      <c r="D346" s="14">
        <v>12</v>
      </c>
      <c r="E346" s="14">
        <v>10</v>
      </c>
      <c r="F346" s="14">
        <v>18</v>
      </c>
      <c r="G346" s="14">
        <v>12</v>
      </c>
      <c r="H346" s="14">
        <v>37</v>
      </c>
      <c r="I346" s="14">
        <v>48</v>
      </c>
      <c r="J346" s="14">
        <v>34</v>
      </c>
      <c r="K346" s="14">
        <v>25</v>
      </c>
      <c r="L346" s="14">
        <v>39</v>
      </c>
      <c r="M346" s="14">
        <v>53</v>
      </c>
      <c r="N346" s="14">
        <v>30</v>
      </c>
      <c r="O346" s="14">
        <v>62</v>
      </c>
      <c r="P346" s="14">
        <v>3</v>
      </c>
      <c r="Q346" s="14">
        <v>4</v>
      </c>
      <c r="R346" s="14">
        <v>12</v>
      </c>
      <c r="S346" s="14">
        <v>9</v>
      </c>
      <c r="T346" s="14">
        <v>7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B346" s="14">
        <f t="shared" si="16"/>
        <v>427</v>
      </c>
      <c r="AC346" s="14">
        <f t="shared" si="17"/>
        <v>3538</v>
      </c>
      <c r="AD346" s="16">
        <f t="shared" si="18"/>
        <v>8.2857142857142865</v>
      </c>
    </row>
    <row r="347" spans="1:30" x14ac:dyDescent="0.3">
      <c r="A347" s="11"/>
      <c r="C347" s="17">
        <f t="shared" ref="C347:Z347" si="19">SUM(C4:C346)</f>
        <v>46308</v>
      </c>
      <c r="D347" s="17">
        <f t="shared" si="19"/>
        <v>29946</v>
      </c>
      <c r="E347" s="17">
        <f t="shared" si="19"/>
        <v>42291</v>
      </c>
      <c r="F347" s="17">
        <f t="shared" si="19"/>
        <v>59016</v>
      </c>
      <c r="G347" s="17">
        <f t="shared" si="19"/>
        <v>58981</v>
      </c>
      <c r="H347" s="17">
        <f t="shared" si="19"/>
        <v>99382</v>
      </c>
      <c r="I347" s="17">
        <f t="shared" si="19"/>
        <v>72203</v>
      </c>
      <c r="J347" s="17">
        <f t="shared" si="19"/>
        <v>56693</v>
      </c>
      <c r="K347" s="17">
        <f t="shared" si="19"/>
        <v>76712</v>
      </c>
      <c r="L347" s="17">
        <f t="shared" si="19"/>
        <v>83803</v>
      </c>
      <c r="M347" s="17">
        <f t="shared" si="19"/>
        <v>96737</v>
      </c>
      <c r="N347" s="17">
        <f t="shared" si="19"/>
        <v>86688</v>
      </c>
      <c r="O347" s="17">
        <f t="shared" si="19"/>
        <v>353244</v>
      </c>
      <c r="P347" s="17">
        <f t="shared" si="19"/>
        <v>26929</v>
      </c>
      <c r="Q347" s="17">
        <f t="shared" si="19"/>
        <v>37236</v>
      </c>
      <c r="R347" s="17">
        <f t="shared" si="19"/>
        <v>104907</v>
      </c>
      <c r="S347" s="17">
        <f t="shared" si="19"/>
        <v>153622</v>
      </c>
      <c r="T347" s="17">
        <f t="shared" si="19"/>
        <v>166675</v>
      </c>
      <c r="U347" s="17">
        <f t="shared" si="19"/>
        <v>8766</v>
      </c>
      <c r="V347" s="17">
        <f t="shared" si="19"/>
        <v>12208</v>
      </c>
      <c r="W347" s="17">
        <f t="shared" si="19"/>
        <v>1690</v>
      </c>
      <c r="X347" s="17">
        <f t="shared" si="19"/>
        <v>994</v>
      </c>
      <c r="Y347" s="17">
        <f t="shared" si="19"/>
        <v>461</v>
      </c>
      <c r="Z347" s="17">
        <f t="shared" si="19"/>
        <v>482</v>
      </c>
      <c r="AB347" s="17">
        <f>SUM(AB4:AB346)</f>
        <v>1675974</v>
      </c>
      <c r="AC347" s="17">
        <f>SUM(AC4:AC346)</f>
        <v>17584323</v>
      </c>
      <c r="AD347" s="18">
        <f>AC347/AB347</f>
        <v>10.492002262564933</v>
      </c>
    </row>
    <row r="348" spans="1:30" x14ac:dyDescent="0.3">
      <c r="A348" s="11"/>
    </row>
    <row r="349" spans="1:30" x14ac:dyDescent="0.3">
      <c r="A349" s="11"/>
    </row>
    <row r="350" spans="1:30" x14ac:dyDescent="0.3">
      <c r="A350" s="11"/>
    </row>
    <row r="351" spans="1:30" x14ac:dyDescent="0.3">
      <c r="A351" s="11"/>
    </row>
    <row r="352" spans="1:30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Z1"/>
    <mergeCell ref="A4:A3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D26A-0230-4082-94C7-9C6B760B517A}">
  <dimension ref="A1:FW681"/>
  <sheetViews>
    <sheetView workbookViewId="0">
      <selection sqref="A1:AK540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4" width="8.21875" style="1" customWidth="1"/>
    <col min="5" max="6" width="7.33203125" style="1" bestFit="1" customWidth="1"/>
    <col min="7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4.44140625" style="1" bestFit="1" customWidth="1"/>
    <col min="35" max="35" width="25.33203125" style="1" bestFit="1" customWidth="1"/>
    <col min="36" max="36" width="20.33203125" style="1" bestFit="1" customWidth="1"/>
    <col min="37" max="16384" width="11.5546875" style="1"/>
  </cols>
  <sheetData>
    <row r="1" spans="1:35" x14ac:dyDescent="0.3">
      <c r="A1" s="49"/>
      <c r="B1" s="49"/>
      <c r="C1" s="51" t="s">
        <v>0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/>
    </row>
    <row r="2" spans="1:35" x14ac:dyDescent="0.3">
      <c r="A2" s="49"/>
      <c r="B2" s="49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</row>
    <row r="3" spans="1:35" ht="43.8" thickBot="1" x14ac:dyDescent="0.35">
      <c r="A3" s="50"/>
      <c r="B3" s="50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B3" s="6" t="s">
        <v>2</v>
      </c>
      <c r="AC3" s="7" t="s">
        <v>3</v>
      </c>
      <c r="AD3" s="8" t="s">
        <v>4</v>
      </c>
      <c r="AF3" s="24" t="s">
        <v>349</v>
      </c>
      <c r="AG3" s="8" t="s">
        <v>350</v>
      </c>
      <c r="AH3" s="8" t="s">
        <v>351</v>
      </c>
      <c r="AI3" s="8" t="s">
        <v>352</v>
      </c>
    </row>
    <row r="4" spans="1:35" x14ac:dyDescent="0.3">
      <c r="A4" s="54" t="s">
        <v>5</v>
      </c>
      <c r="B4" s="19" t="s">
        <v>6</v>
      </c>
      <c r="C4" s="9">
        <v>1004</v>
      </c>
      <c r="D4" s="9">
        <v>505</v>
      </c>
      <c r="E4" s="9">
        <v>701</v>
      </c>
      <c r="F4" s="9">
        <v>884</v>
      </c>
      <c r="G4" s="9">
        <v>901</v>
      </c>
      <c r="H4" s="9">
        <v>1314</v>
      </c>
      <c r="I4" s="9">
        <v>770</v>
      </c>
      <c r="J4" s="9">
        <v>491</v>
      </c>
      <c r="K4" s="9">
        <v>602</v>
      </c>
      <c r="L4" s="9">
        <v>653</v>
      </c>
      <c r="M4" s="9">
        <v>750</v>
      </c>
      <c r="N4" s="9">
        <v>697</v>
      </c>
      <c r="O4" s="9">
        <v>2732</v>
      </c>
      <c r="P4" s="9">
        <v>382</v>
      </c>
      <c r="Q4" s="9">
        <v>629</v>
      </c>
      <c r="R4" s="9">
        <v>1970</v>
      </c>
      <c r="S4" s="9">
        <v>2830</v>
      </c>
      <c r="T4" s="9">
        <v>4696</v>
      </c>
      <c r="U4" s="9">
        <v>247</v>
      </c>
      <c r="V4" s="9">
        <v>313</v>
      </c>
      <c r="W4" s="9">
        <v>34</v>
      </c>
      <c r="X4" s="9">
        <v>21</v>
      </c>
      <c r="Y4" s="9">
        <v>7</v>
      </c>
      <c r="Z4" s="9">
        <v>10</v>
      </c>
      <c r="AB4" s="9">
        <f t="shared" ref="AB4:AB67" si="0">SUM(C4:Z4)</f>
        <v>23143</v>
      </c>
      <c r="AC4" s="9">
        <f t="shared" ref="AC4:AC67" si="1">C$2*C4+D$2*D4+E$2*E4+F$2*F4+G$2*G4+H$2*H4+I$2*I4+J$2*J4+K$2*K4+L$2*L4+M$2*M4+N$2*N4+O$2*O4+P$2*P4+Q$2*Q4+R$2*R4+S$2*S4+T$2*T4+U$2*U4+V$2*V4+W$2*W4+X$2*X4+Y$2*Y4+Z$2*Z4</f>
        <v>261766</v>
      </c>
      <c r="AD4" s="10">
        <f>AC4/AB4</f>
        <v>11.310806723415288</v>
      </c>
      <c r="AF4" s="22" t="s">
        <v>353</v>
      </c>
      <c r="AG4" s="28">
        <f>+SUM(AB4:AB32)</f>
        <v>43835</v>
      </c>
      <c r="AH4" s="28">
        <f>+SUM(AC4:AC32)</f>
        <v>398892</v>
      </c>
      <c r="AI4" s="26">
        <f>+AH4/AG4</f>
        <v>9.0998517166647659</v>
      </c>
    </row>
    <row r="5" spans="1:35" x14ac:dyDescent="0.3">
      <c r="A5" s="55"/>
      <c r="B5" s="30" t="s">
        <v>7</v>
      </c>
      <c r="C5" s="9">
        <v>36</v>
      </c>
      <c r="D5" s="9">
        <v>28</v>
      </c>
      <c r="E5" s="9">
        <v>29</v>
      </c>
      <c r="F5" s="9">
        <v>41</v>
      </c>
      <c r="G5" s="9">
        <v>49</v>
      </c>
      <c r="H5" s="9">
        <v>81</v>
      </c>
      <c r="I5" s="9">
        <v>34</v>
      </c>
      <c r="J5" s="9">
        <v>21</v>
      </c>
      <c r="K5" s="9">
        <v>33</v>
      </c>
      <c r="L5" s="9">
        <v>31</v>
      </c>
      <c r="M5" s="9">
        <v>23</v>
      </c>
      <c r="N5" s="9">
        <v>18</v>
      </c>
      <c r="O5" s="9">
        <v>72</v>
      </c>
      <c r="P5" s="9">
        <v>6</v>
      </c>
      <c r="Q5" s="9">
        <v>10</v>
      </c>
      <c r="R5" s="9">
        <v>24</v>
      </c>
      <c r="S5" s="9">
        <v>42</v>
      </c>
      <c r="T5" s="9">
        <v>38</v>
      </c>
      <c r="U5" s="9">
        <v>0</v>
      </c>
      <c r="V5" s="9">
        <v>3</v>
      </c>
      <c r="W5" s="9">
        <v>0</v>
      </c>
      <c r="X5" s="9">
        <v>0</v>
      </c>
      <c r="Y5" s="9">
        <v>0</v>
      </c>
      <c r="Z5" s="9">
        <v>0</v>
      </c>
      <c r="AB5" s="9">
        <f t="shared" si="0"/>
        <v>619</v>
      </c>
      <c r="AC5" s="9">
        <f t="shared" si="1"/>
        <v>4949</v>
      </c>
      <c r="AD5" s="10">
        <f t="shared" ref="AD5:AD68" si="2">AC5/AB5</f>
        <v>7.9951534733441036</v>
      </c>
      <c r="AF5" s="22" t="s">
        <v>354</v>
      </c>
      <c r="AG5" s="28">
        <f>+SUM(AB33:AB119)</f>
        <v>235678</v>
      </c>
      <c r="AH5" s="28">
        <f>+SUM(AC33:AC119)</f>
        <v>2499635</v>
      </c>
      <c r="AI5" s="26">
        <f t="shared" ref="AI5:AI12" si="3">+AH5/AG5</f>
        <v>10.606144824718472</v>
      </c>
    </row>
    <row r="6" spans="1:35" x14ac:dyDescent="0.3">
      <c r="A6" s="55"/>
      <c r="B6" s="30" t="s">
        <v>8</v>
      </c>
      <c r="C6" s="9">
        <v>186</v>
      </c>
      <c r="D6" s="9">
        <v>73</v>
      </c>
      <c r="E6" s="9">
        <v>118</v>
      </c>
      <c r="F6" s="9">
        <v>149</v>
      </c>
      <c r="G6" s="9">
        <v>134</v>
      </c>
      <c r="H6" s="9">
        <v>106</v>
      </c>
      <c r="I6" s="9">
        <v>75</v>
      </c>
      <c r="J6" s="9">
        <v>23</v>
      </c>
      <c r="K6" s="9">
        <v>39</v>
      </c>
      <c r="L6" s="9">
        <v>7</v>
      </c>
      <c r="M6" s="9">
        <v>10</v>
      </c>
      <c r="N6" s="9">
        <v>8</v>
      </c>
      <c r="O6" s="9">
        <v>26</v>
      </c>
      <c r="P6" s="9">
        <v>5</v>
      </c>
      <c r="Q6" s="9">
        <v>10</v>
      </c>
      <c r="R6" s="9">
        <v>11</v>
      </c>
      <c r="S6" s="9">
        <v>18</v>
      </c>
      <c r="T6" s="9">
        <v>15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B6" s="9">
        <f t="shared" si="0"/>
        <v>1013</v>
      </c>
      <c r="AC6" s="9">
        <f t="shared" si="1"/>
        <v>4221</v>
      </c>
      <c r="AD6" s="10">
        <f t="shared" si="2"/>
        <v>4.1668311944718655</v>
      </c>
      <c r="AF6" s="22" t="s">
        <v>355</v>
      </c>
      <c r="AG6" s="28">
        <f>+SUM(AB120:AB167)</f>
        <v>147163</v>
      </c>
      <c r="AH6" s="28">
        <f>+SUM(AC120:AC167)</f>
        <v>1440012</v>
      </c>
      <c r="AI6" s="26">
        <f t="shared" si="3"/>
        <v>9.7851497998817631</v>
      </c>
    </row>
    <row r="7" spans="1:35" x14ac:dyDescent="0.3">
      <c r="A7" s="55"/>
      <c r="B7" s="30" t="s">
        <v>9</v>
      </c>
      <c r="C7" s="9">
        <v>139</v>
      </c>
      <c r="D7" s="9">
        <v>41</v>
      </c>
      <c r="E7" s="9">
        <v>56</v>
      </c>
      <c r="F7" s="9">
        <v>71</v>
      </c>
      <c r="G7" s="9">
        <v>61</v>
      </c>
      <c r="H7" s="9">
        <v>97</v>
      </c>
      <c r="I7" s="9">
        <v>41</v>
      </c>
      <c r="J7" s="9">
        <v>15</v>
      </c>
      <c r="K7" s="9">
        <v>18</v>
      </c>
      <c r="L7" s="9">
        <v>10</v>
      </c>
      <c r="M7" s="9">
        <v>4</v>
      </c>
      <c r="N7" s="9">
        <v>11</v>
      </c>
      <c r="O7" s="9">
        <v>22</v>
      </c>
      <c r="P7" s="9">
        <v>4</v>
      </c>
      <c r="Q7" s="9">
        <v>11</v>
      </c>
      <c r="R7" s="9">
        <v>27</v>
      </c>
      <c r="S7" s="9">
        <v>14</v>
      </c>
      <c r="T7" s="9">
        <v>26</v>
      </c>
      <c r="U7" s="9">
        <v>0</v>
      </c>
      <c r="V7" s="9">
        <v>2</v>
      </c>
      <c r="W7" s="9">
        <v>1</v>
      </c>
      <c r="X7" s="9">
        <v>0</v>
      </c>
      <c r="Y7" s="9">
        <v>0</v>
      </c>
      <c r="Z7" s="9">
        <v>0</v>
      </c>
      <c r="AB7" s="9">
        <f t="shared" si="0"/>
        <v>671</v>
      </c>
      <c r="AC7" s="9">
        <f t="shared" si="1"/>
        <v>3440</v>
      </c>
      <c r="AD7" s="10">
        <f t="shared" si="2"/>
        <v>5.1266766020864383</v>
      </c>
      <c r="AF7" s="22" t="s">
        <v>356</v>
      </c>
      <c r="AG7" s="28">
        <f>+SUM(AB168:AB202)</f>
        <v>43066</v>
      </c>
      <c r="AH7" s="28">
        <f>+SUM(AC168:AC202)</f>
        <v>473031</v>
      </c>
      <c r="AI7" s="26">
        <f t="shared" si="3"/>
        <v>10.983861979287605</v>
      </c>
    </row>
    <row r="8" spans="1:35" x14ac:dyDescent="0.3">
      <c r="A8" s="55"/>
      <c r="B8" s="30" t="s">
        <v>10</v>
      </c>
      <c r="C8" s="9">
        <v>197</v>
      </c>
      <c r="D8" s="9">
        <v>51</v>
      </c>
      <c r="E8" s="9">
        <v>57</v>
      </c>
      <c r="F8" s="9">
        <v>70</v>
      </c>
      <c r="G8" s="9">
        <v>63</v>
      </c>
      <c r="H8" s="9">
        <v>58</v>
      </c>
      <c r="I8" s="9">
        <v>48</v>
      </c>
      <c r="J8" s="9">
        <v>19</v>
      </c>
      <c r="K8" s="9">
        <v>23</v>
      </c>
      <c r="L8" s="9">
        <v>11</v>
      </c>
      <c r="M8" s="9">
        <v>5</v>
      </c>
      <c r="N8" s="9">
        <v>8</v>
      </c>
      <c r="O8" s="9">
        <v>19</v>
      </c>
      <c r="P8" s="9">
        <v>7</v>
      </c>
      <c r="Q8" s="9">
        <v>9</v>
      </c>
      <c r="R8" s="9">
        <v>35</v>
      </c>
      <c r="S8" s="9">
        <v>27</v>
      </c>
      <c r="T8" s="9">
        <v>36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B8" s="9">
        <f t="shared" si="0"/>
        <v>743</v>
      </c>
      <c r="AC8" s="9">
        <f t="shared" si="1"/>
        <v>3773</v>
      </c>
      <c r="AD8" s="10">
        <f t="shared" si="2"/>
        <v>5.0780619111709289</v>
      </c>
      <c r="AF8" s="22" t="s">
        <v>357</v>
      </c>
      <c r="AG8" s="28">
        <f>+SUM(AB203:AB244)</f>
        <v>59667</v>
      </c>
      <c r="AH8" s="28">
        <f>+SUM(AC203:AC244)</f>
        <v>521467</v>
      </c>
      <c r="AI8" s="26">
        <f t="shared" si="3"/>
        <v>8.7396215663599648</v>
      </c>
    </row>
    <row r="9" spans="1:35" x14ac:dyDescent="0.3">
      <c r="A9" s="55"/>
      <c r="B9" s="30" t="s">
        <v>11</v>
      </c>
      <c r="C9" s="9">
        <v>84</v>
      </c>
      <c r="D9" s="9">
        <v>40</v>
      </c>
      <c r="E9" s="9">
        <v>69</v>
      </c>
      <c r="F9" s="9">
        <v>81</v>
      </c>
      <c r="G9" s="9">
        <v>67</v>
      </c>
      <c r="H9" s="9">
        <v>111</v>
      </c>
      <c r="I9" s="9">
        <v>33</v>
      </c>
      <c r="J9" s="9">
        <v>24</v>
      </c>
      <c r="K9" s="9">
        <v>28</v>
      </c>
      <c r="L9" s="9">
        <v>22</v>
      </c>
      <c r="M9" s="9">
        <v>21</v>
      </c>
      <c r="N9" s="9">
        <v>10</v>
      </c>
      <c r="O9" s="9">
        <v>68</v>
      </c>
      <c r="P9" s="9">
        <v>11</v>
      </c>
      <c r="Q9" s="9">
        <v>9</v>
      </c>
      <c r="R9" s="9">
        <v>40</v>
      </c>
      <c r="S9" s="9">
        <v>46</v>
      </c>
      <c r="T9" s="9">
        <v>59</v>
      </c>
      <c r="U9" s="9">
        <v>1</v>
      </c>
      <c r="V9" s="9">
        <v>1</v>
      </c>
      <c r="W9" s="9">
        <v>2</v>
      </c>
      <c r="X9" s="9">
        <v>0</v>
      </c>
      <c r="Y9" s="9">
        <v>0</v>
      </c>
      <c r="Z9" s="9">
        <v>0</v>
      </c>
      <c r="AB9" s="9">
        <f t="shared" si="0"/>
        <v>827</v>
      </c>
      <c r="AC9" s="9">
        <f t="shared" si="1"/>
        <v>5853</v>
      </c>
      <c r="AD9" s="10">
        <f t="shared" si="2"/>
        <v>7.0773881499395408</v>
      </c>
      <c r="AF9" s="22" t="s">
        <v>358</v>
      </c>
      <c r="AG9" s="28">
        <f>+SUM(AB245:AB255)</f>
        <v>42113</v>
      </c>
      <c r="AH9" s="28">
        <f>+SUM(AC245:AC255)</f>
        <v>430568</v>
      </c>
      <c r="AI9" s="26">
        <f t="shared" si="3"/>
        <v>10.224111319545033</v>
      </c>
    </row>
    <row r="10" spans="1:35" x14ac:dyDescent="0.3">
      <c r="A10" s="55"/>
      <c r="B10" s="30" t="s">
        <v>12</v>
      </c>
      <c r="C10" s="9">
        <v>220</v>
      </c>
      <c r="D10" s="9">
        <v>56</v>
      </c>
      <c r="E10" s="9">
        <v>62</v>
      </c>
      <c r="F10" s="9">
        <v>79</v>
      </c>
      <c r="G10" s="9">
        <v>80</v>
      </c>
      <c r="H10" s="9">
        <v>118</v>
      </c>
      <c r="I10" s="9">
        <v>41</v>
      </c>
      <c r="J10" s="9">
        <v>37</v>
      </c>
      <c r="K10" s="9">
        <v>43</v>
      </c>
      <c r="L10" s="9">
        <v>19</v>
      </c>
      <c r="M10" s="9">
        <v>12</v>
      </c>
      <c r="N10" s="9">
        <v>22</v>
      </c>
      <c r="O10" s="9">
        <v>51</v>
      </c>
      <c r="P10" s="9">
        <v>2</v>
      </c>
      <c r="Q10" s="9">
        <v>6</v>
      </c>
      <c r="R10" s="9">
        <v>33</v>
      </c>
      <c r="S10" s="9">
        <v>41</v>
      </c>
      <c r="T10" s="9">
        <v>33</v>
      </c>
      <c r="U10" s="9">
        <v>0</v>
      </c>
      <c r="V10" s="9">
        <v>1</v>
      </c>
      <c r="W10" s="9">
        <v>0</v>
      </c>
      <c r="X10" s="9">
        <v>0</v>
      </c>
      <c r="Y10" s="9">
        <v>0</v>
      </c>
      <c r="Z10" s="9">
        <v>0</v>
      </c>
      <c r="AB10" s="9">
        <f t="shared" si="0"/>
        <v>956</v>
      </c>
      <c r="AC10" s="9">
        <f t="shared" si="1"/>
        <v>5162</v>
      </c>
      <c r="AD10" s="10">
        <f t="shared" si="2"/>
        <v>5.3995815899581592</v>
      </c>
      <c r="AF10" s="22" t="s">
        <v>359</v>
      </c>
      <c r="AG10" s="28">
        <f>+SUM(AB256:AB311)</f>
        <v>231498</v>
      </c>
      <c r="AH10" s="28">
        <f>+SUM(AC256:AC311)</f>
        <v>2408673</v>
      </c>
      <c r="AI10" s="26">
        <f t="shared" si="3"/>
        <v>10.404724878832646</v>
      </c>
    </row>
    <row r="11" spans="1:35" x14ac:dyDescent="0.3">
      <c r="A11" s="55"/>
      <c r="B11" s="30" t="s">
        <v>13</v>
      </c>
      <c r="C11" s="9">
        <v>62</v>
      </c>
      <c r="D11" s="9">
        <v>23</v>
      </c>
      <c r="E11" s="9">
        <v>25</v>
      </c>
      <c r="F11" s="9">
        <v>33</v>
      </c>
      <c r="G11" s="9">
        <v>48</v>
      </c>
      <c r="H11" s="9">
        <v>69</v>
      </c>
      <c r="I11" s="9">
        <v>40</v>
      </c>
      <c r="J11" s="9">
        <v>17</v>
      </c>
      <c r="K11" s="9">
        <v>31</v>
      </c>
      <c r="L11" s="9">
        <v>8</v>
      </c>
      <c r="M11" s="9">
        <v>13</v>
      </c>
      <c r="N11" s="9">
        <v>16</v>
      </c>
      <c r="O11" s="9">
        <v>36</v>
      </c>
      <c r="P11" s="9">
        <v>5</v>
      </c>
      <c r="Q11" s="9">
        <v>1</v>
      </c>
      <c r="R11" s="9">
        <v>23</v>
      </c>
      <c r="S11" s="9">
        <v>18</v>
      </c>
      <c r="T11" s="9">
        <v>16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B11" s="9">
        <f t="shared" si="0"/>
        <v>484</v>
      </c>
      <c r="AC11" s="9">
        <f t="shared" si="1"/>
        <v>3110</v>
      </c>
      <c r="AD11" s="10">
        <f t="shared" si="2"/>
        <v>6.4256198347107434</v>
      </c>
      <c r="AF11" s="22" t="s">
        <v>360</v>
      </c>
      <c r="AG11" s="28">
        <f>+SUM(AB312:AB331)</f>
        <v>32557</v>
      </c>
      <c r="AH11" s="28">
        <f>+SUM(AC312:AC331)</f>
        <v>327073</v>
      </c>
      <c r="AI11" s="26">
        <f>+AH11/AG11</f>
        <v>10.046165187210123</v>
      </c>
    </row>
    <row r="12" spans="1:35" x14ac:dyDescent="0.3">
      <c r="A12" s="55"/>
      <c r="B12" s="30" t="s">
        <v>14</v>
      </c>
      <c r="C12" s="9">
        <v>87</v>
      </c>
      <c r="D12" s="9">
        <v>27</v>
      </c>
      <c r="E12" s="9">
        <v>31</v>
      </c>
      <c r="F12" s="9">
        <v>33</v>
      </c>
      <c r="G12" s="9">
        <v>36</v>
      </c>
      <c r="H12" s="9">
        <v>53</v>
      </c>
      <c r="I12" s="9">
        <v>22</v>
      </c>
      <c r="J12" s="9">
        <v>14</v>
      </c>
      <c r="K12" s="9">
        <v>27</v>
      </c>
      <c r="L12" s="9">
        <v>8</v>
      </c>
      <c r="M12" s="9">
        <v>8</v>
      </c>
      <c r="N12" s="9">
        <v>9</v>
      </c>
      <c r="O12" s="9">
        <v>21</v>
      </c>
      <c r="P12" s="9">
        <v>1</v>
      </c>
      <c r="Q12" s="9">
        <v>3</v>
      </c>
      <c r="R12" s="9">
        <v>15</v>
      </c>
      <c r="S12" s="9">
        <v>21</v>
      </c>
      <c r="T12" s="9">
        <v>19</v>
      </c>
      <c r="U12" s="9">
        <v>1</v>
      </c>
      <c r="V12" s="9">
        <v>1</v>
      </c>
      <c r="W12" s="9">
        <v>0</v>
      </c>
      <c r="X12" s="9">
        <v>0</v>
      </c>
      <c r="Y12" s="9">
        <v>0</v>
      </c>
      <c r="Z12" s="9">
        <v>0</v>
      </c>
      <c r="AB12" s="9">
        <f t="shared" si="0"/>
        <v>437</v>
      </c>
      <c r="AC12" s="9">
        <f t="shared" si="1"/>
        <v>2522</v>
      </c>
      <c r="AD12" s="10">
        <f t="shared" si="2"/>
        <v>5.7711670480549202</v>
      </c>
      <c r="AF12" s="23" t="s">
        <v>361</v>
      </c>
      <c r="AG12" s="29">
        <f>+SUM(AB332:AB346)</f>
        <v>9114</v>
      </c>
      <c r="AH12" s="29">
        <f>+SUM(AC332:AC346)</f>
        <v>90040</v>
      </c>
      <c r="AI12" s="27">
        <f t="shared" si="3"/>
        <v>9.8793065613342108</v>
      </c>
    </row>
    <row r="13" spans="1:35" x14ac:dyDescent="0.3">
      <c r="A13" s="55"/>
      <c r="B13" s="30" t="s">
        <v>15</v>
      </c>
      <c r="C13" s="9">
        <v>53</v>
      </c>
      <c r="D13" s="9">
        <v>36</v>
      </c>
      <c r="E13" s="9">
        <v>48</v>
      </c>
      <c r="F13" s="9">
        <v>60</v>
      </c>
      <c r="G13" s="9">
        <v>72</v>
      </c>
      <c r="H13" s="9">
        <v>114</v>
      </c>
      <c r="I13" s="9">
        <v>38</v>
      </c>
      <c r="J13" s="9">
        <v>17</v>
      </c>
      <c r="K13" s="9">
        <v>31</v>
      </c>
      <c r="L13" s="9">
        <v>16</v>
      </c>
      <c r="M13" s="9">
        <v>17</v>
      </c>
      <c r="N13" s="9">
        <v>14</v>
      </c>
      <c r="O13" s="9">
        <v>32</v>
      </c>
      <c r="P13" s="9">
        <v>6</v>
      </c>
      <c r="Q13" s="9">
        <v>15</v>
      </c>
      <c r="R13" s="9">
        <v>50</v>
      </c>
      <c r="S13" s="9">
        <v>33</v>
      </c>
      <c r="T13" s="9">
        <v>52</v>
      </c>
      <c r="U13" s="9">
        <v>0</v>
      </c>
      <c r="V13" s="9">
        <v>1</v>
      </c>
      <c r="W13" s="9">
        <v>0</v>
      </c>
      <c r="X13" s="9">
        <v>0</v>
      </c>
      <c r="Y13" s="9">
        <v>0</v>
      </c>
      <c r="Z13" s="9">
        <v>0</v>
      </c>
      <c r="AB13" s="9">
        <f t="shared" si="0"/>
        <v>705</v>
      </c>
      <c r="AC13" s="9">
        <f t="shared" si="1"/>
        <v>5086</v>
      </c>
      <c r="AD13" s="10">
        <f t="shared" si="2"/>
        <v>7.2141843971631205</v>
      </c>
      <c r="AF13" s="22" t="s">
        <v>362</v>
      </c>
      <c r="AG13" s="28">
        <f>SUM(AG4:AG12)</f>
        <v>844691</v>
      </c>
      <c r="AH13" s="28">
        <f>SUM(AH4:AH12)</f>
        <v>8589391</v>
      </c>
      <c r="AI13" s="26">
        <f>+AH13/AG13</f>
        <v>10.168678250389787</v>
      </c>
    </row>
    <row r="14" spans="1:35" x14ac:dyDescent="0.3">
      <c r="A14" s="55"/>
      <c r="B14" s="30" t="s">
        <v>16</v>
      </c>
      <c r="C14" s="9">
        <v>118</v>
      </c>
      <c r="D14" s="9">
        <v>22</v>
      </c>
      <c r="E14" s="9">
        <v>39</v>
      </c>
      <c r="F14" s="9">
        <v>48</v>
      </c>
      <c r="G14" s="9">
        <v>55</v>
      </c>
      <c r="H14" s="9">
        <v>65</v>
      </c>
      <c r="I14" s="9">
        <v>32</v>
      </c>
      <c r="J14" s="9">
        <v>24</v>
      </c>
      <c r="K14" s="9">
        <v>15</v>
      </c>
      <c r="L14" s="9">
        <v>8</v>
      </c>
      <c r="M14" s="9">
        <v>12</v>
      </c>
      <c r="N14" s="9">
        <v>8</v>
      </c>
      <c r="O14" s="9">
        <v>25</v>
      </c>
      <c r="P14" s="9">
        <v>4</v>
      </c>
      <c r="Q14" s="9">
        <v>3</v>
      </c>
      <c r="R14" s="9">
        <v>34</v>
      </c>
      <c r="S14" s="9">
        <v>21</v>
      </c>
      <c r="T14" s="9">
        <v>25</v>
      </c>
      <c r="U14" s="9">
        <v>0</v>
      </c>
      <c r="V14" s="9">
        <v>0</v>
      </c>
      <c r="W14" s="9">
        <v>0</v>
      </c>
      <c r="X14" s="9">
        <v>1</v>
      </c>
      <c r="Y14" s="9">
        <v>0</v>
      </c>
      <c r="Z14" s="9">
        <v>0</v>
      </c>
      <c r="AB14" s="9">
        <f t="shared" si="0"/>
        <v>559</v>
      </c>
      <c r="AC14" s="9">
        <f t="shared" si="1"/>
        <v>3235</v>
      </c>
      <c r="AD14" s="10">
        <f t="shared" si="2"/>
        <v>5.7871198568872986</v>
      </c>
      <c r="AF14" s="20" t="s">
        <v>709</v>
      </c>
      <c r="AG14" s="17">
        <f>SUM(AB248:AB250)</f>
        <v>12425</v>
      </c>
      <c r="AH14" s="17">
        <f>SUM(AC248:AC250)</f>
        <v>119838</v>
      </c>
      <c r="AI14" s="26">
        <f>+AH14/AG14</f>
        <v>9.644909456740443</v>
      </c>
    </row>
    <row r="15" spans="1:35" x14ac:dyDescent="0.3">
      <c r="A15" s="55"/>
      <c r="B15" s="30" t="s">
        <v>17</v>
      </c>
      <c r="C15" s="9">
        <v>105</v>
      </c>
      <c r="D15" s="9">
        <v>29</v>
      </c>
      <c r="E15" s="9">
        <v>51</v>
      </c>
      <c r="F15" s="9">
        <v>49</v>
      </c>
      <c r="G15" s="9">
        <v>34</v>
      </c>
      <c r="H15" s="9">
        <v>43</v>
      </c>
      <c r="I15" s="9">
        <v>24</v>
      </c>
      <c r="J15" s="9">
        <v>12</v>
      </c>
      <c r="K15" s="9">
        <v>26</v>
      </c>
      <c r="L15" s="9">
        <v>7</v>
      </c>
      <c r="M15" s="9">
        <v>7</v>
      </c>
      <c r="N15" s="9">
        <v>8</v>
      </c>
      <c r="O15" s="9">
        <v>14</v>
      </c>
      <c r="P15" s="9">
        <v>8</v>
      </c>
      <c r="Q15" s="9">
        <v>6</v>
      </c>
      <c r="R15" s="9">
        <v>15</v>
      </c>
      <c r="S15" s="9">
        <v>29</v>
      </c>
      <c r="T15" s="9">
        <v>28</v>
      </c>
      <c r="U15" s="9">
        <v>0</v>
      </c>
      <c r="V15" s="9">
        <v>1</v>
      </c>
      <c r="W15" s="9">
        <v>0</v>
      </c>
      <c r="X15" s="9">
        <v>0</v>
      </c>
      <c r="Y15" s="9">
        <v>0</v>
      </c>
      <c r="Z15" s="9">
        <v>1</v>
      </c>
      <c r="AB15" s="9">
        <f t="shared" si="0"/>
        <v>497</v>
      </c>
      <c r="AC15" s="9">
        <f t="shared" si="1"/>
        <v>2849</v>
      </c>
      <c r="AD15" s="10">
        <f t="shared" si="2"/>
        <v>5.732394366197183</v>
      </c>
    </row>
    <row r="16" spans="1:35" x14ac:dyDescent="0.3">
      <c r="A16" s="55"/>
      <c r="B16" s="30" t="s">
        <v>18</v>
      </c>
      <c r="C16" s="9">
        <v>30</v>
      </c>
      <c r="D16" s="9">
        <v>16</v>
      </c>
      <c r="E16" s="9">
        <v>21</v>
      </c>
      <c r="F16" s="9">
        <v>38</v>
      </c>
      <c r="G16" s="9">
        <v>20</v>
      </c>
      <c r="H16" s="9">
        <v>40</v>
      </c>
      <c r="I16" s="9">
        <v>26</v>
      </c>
      <c r="J16" s="9">
        <v>12</v>
      </c>
      <c r="K16" s="9">
        <v>15</v>
      </c>
      <c r="L16" s="9">
        <v>11</v>
      </c>
      <c r="M16" s="9">
        <v>11</v>
      </c>
      <c r="N16" s="9">
        <v>13</v>
      </c>
      <c r="O16" s="9">
        <v>52</v>
      </c>
      <c r="P16" s="9">
        <v>7</v>
      </c>
      <c r="Q16" s="9">
        <v>6</v>
      </c>
      <c r="R16" s="9">
        <v>22</v>
      </c>
      <c r="S16" s="9">
        <v>34</v>
      </c>
      <c r="T16" s="9">
        <v>43</v>
      </c>
      <c r="U16" s="9">
        <v>0</v>
      </c>
      <c r="V16" s="9">
        <v>3</v>
      </c>
      <c r="W16" s="9">
        <v>1</v>
      </c>
      <c r="X16" s="9">
        <v>0</v>
      </c>
      <c r="Y16" s="9">
        <v>0</v>
      </c>
      <c r="Z16" s="9">
        <v>0</v>
      </c>
      <c r="AB16" s="9">
        <f t="shared" si="0"/>
        <v>421</v>
      </c>
      <c r="AC16" s="9">
        <f t="shared" si="1"/>
        <v>3645</v>
      </c>
      <c r="AD16" s="10">
        <f t="shared" si="2"/>
        <v>8.6579572446555826</v>
      </c>
    </row>
    <row r="17" spans="1:30" x14ac:dyDescent="0.3">
      <c r="A17" s="55"/>
      <c r="B17" s="30" t="s">
        <v>19</v>
      </c>
      <c r="C17" s="9">
        <v>40</v>
      </c>
      <c r="D17" s="9">
        <v>13</v>
      </c>
      <c r="E17" s="9">
        <v>14</v>
      </c>
      <c r="F17" s="9">
        <v>34</v>
      </c>
      <c r="G17" s="9">
        <v>25</v>
      </c>
      <c r="H17" s="9">
        <v>30</v>
      </c>
      <c r="I17" s="9">
        <v>17</v>
      </c>
      <c r="J17" s="9">
        <v>9</v>
      </c>
      <c r="K17" s="9">
        <v>12</v>
      </c>
      <c r="L17" s="9">
        <v>11</v>
      </c>
      <c r="M17" s="9">
        <v>10</v>
      </c>
      <c r="N17" s="9">
        <v>10</v>
      </c>
      <c r="O17" s="9">
        <v>36</v>
      </c>
      <c r="P17" s="9">
        <v>0</v>
      </c>
      <c r="Q17" s="9">
        <v>6</v>
      </c>
      <c r="R17" s="9">
        <v>13</v>
      </c>
      <c r="S17" s="9">
        <v>14</v>
      </c>
      <c r="T17" s="9">
        <v>13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B17" s="9">
        <f t="shared" si="0"/>
        <v>307</v>
      </c>
      <c r="AC17" s="9">
        <f t="shared" si="1"/>
        <v>2119</v>
      </c>
      <c r="AD17" s="10">
        <f t="shared" si="2"/>
        <v>6.9022801302931596</v>
      </c>
    </row>
    <row r="18" spans="1:30" x14ac:dyDescent="0.3">
      <c r="A18" s="55"/>
      <c r="B18" s="30" t="s">
        <v>20</v>
      </c>
      <c r="C18" s="9">
        <v>128</v>
      </c>
      <c r="D18" s="9">
        <v>42</v>
      </c>
      <c r="E18" s="9">
        <v>77</v>
      </c>
      <c r="F18" s="9">
        <v>93</v>
      </c>
      <c r="G18" s="9">
        <v>100</v>
      </c>
      <c r="H18" s="9">
        <v>168</v>
      </c>
      <c r="I18" s="9">
        <v>95</v>
      </c>
      <c r="J18" s="9">
        <v>70</v>
      </c>
      <c r="K18" s="9">
        <v>76</v>
      </c>
      <c r="L18" s="9">
        <v>51</v>
      </c>
      <c r="M18" s="9">
        <v>64</v>
      </c>
      <c r="N18" s="9">
        <v>58</v>
      </c>
      <c r="O18" s="9">
        <v>210</v>
      </c>
      <c r="P18" s="9">
        <v>26</v>
      </c>
      <c r="Q18" s="9">
        <v>27</v>
      </c>
      <c r="R18" s="9">
        <v>105</v>
      </c>
      <c r="S18" s="9">
        <v>143</v>
      </c>
      <c r="T18" s="9">
        <v>130</v>
      </c>
      <c r="U18" s="9">
        <v>5</v>
      </c>
      <c r="V18" s="9">
        <v>8</v>
      </c>
      <c r="W18" s="9">
        <v>0</v>
      </c>
      <c r="X18" s="9">
        <v>0</v>
      </c>
      <c r="Y18" s="9">
        <v>0</v>
      </c>
      <c r="Z18" s="9">
        <v>0</v>
      </c>
      <c r="AB18" s="9">
        <f t="shared" si="0"/>
        <v>1676</v>
      </c>
      <c r="AC18" s="9">
        <f t="shared" si="1"/>
        <v>14671</v>
      </c>
      <c r="AD18" s="10">
        <f t="shared" si="2"/>
        <v>8.7535799522673035</v>
      </c>
    </row>
    <row r="19" spans="1:30" x14ac:dyDescent="0.3">
      <c r="A19" s="55"/>
      <c r="B19" s="30" t="s">
        <v>21</v>
      </c>
      <c r="C19" s="9">
        <v>55</v>
      </c>
      <c r="D19" s="9">
        <v>18</v>
      </c>
      <c r="E19" s="9">
        <v>44</v>
      </c>
      <c r="F19" s="9">
        <v>43</v>
      </c>
      <c r="G19" s="9">
        <v>28</v>
      </c>
      <c r="H19" s="9">
        <v>50</v>
      </c>
      <c r="I19" s="9">
        <v>35</v>
      </c>
      <c r="J19" s="9">
        <v>17</v>
      </c>
      <c r="K19" s="9">
        <v>32</v>
      </c>
      <c r="L19" s="9">
        <v>15</v>
      </c>
      <c r="M19" s="9">
        <v>20</v>
      </c>
      <c r="N19" s="9">
        <v>17</v>
      </c>
      <c r="O19" s="9">
        <v>61</v>
      </c>
      <c r="P19" s="9">
        <v>6</v>
      </c>
      <c r="Q19" s="9">
        <v>7</v>
      </c>
      <c r="R19" s="9">
        <v>29</v>
      </c>
      <c r="S19" s="9">
        <v>25</v>
      </c>
      <c r="T19" s="9">
        <v>18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B19" s="9">
        <f t="shared" si="0"/>
        <v>521</v>
      </c>
      <c r="AC19" s="9">
        <f t="shared" si="1"/>
        <v>3771</v>
      </c>
      <c r="AD19" s="10">
        <f t="shared" si="2"/>
        <v>7.2380038387715935</v>
      </c>
    </row>
    <row r="20" spans="1:30" x14ac:dyDescent="0.3">
      <c r="A20" s="55"/>
      <c r="B20" s="30" t="s">
        <v>22</v>
      </c>
      <c r="C20" s="9">
        <v>185</v>
      </c>
      <c r="D20" s="9">
        <v>42</v>
      </c>
      <c r="E20" s="9">
        <v>67</v>
      </c>
      <c r="F20" s="9">
        <v>83</v>
      </c>
      <c r="G20" s="9">
        <v>80</v>
      </c>
      <c r="H20" s="9">
        <v>108</v>
      </c>
      <c r="I20" s="9">
        <v>51</v>
      </c>
      <c r="J20" s="9">
        <v>27</v>
      </c>
      <c r="K20" s="9">
        <v>37</v>
      </c>
      <c r="L20" s="9">
        <v>12</v>
      </c>
      <c r="M20" s="9">
        <v>10</v>
      </c>
      <c r="N20" s="9">
        <v>16</v>
      </c>
      <c r="O20" s="9">
        <v>31</v>
      </c>
      <c r="P20" s="9">
        <v>9</v>
      </c>
      <c r="Q20" s="9">
        <v>11</v>
      </c>
      <c r="R20" s="9">
        <v>47</v>
      </c>
      <c r="S20" s="9">
        <v>29</v>
      </c>
      <c r="T20" s="9">
        <v>33</v>
      </c>
      <c r="U20" s="9">
        <v>2</v>
      </c>
      <c r="V20" s="9">
        <v>2</v>
      </c>
      <c r="W20" s="9">
        <v>0</v>
      </c>
      <c r="X20" s="9">
        <v>0</v>
      </c>
      <c r="Y20" s="9">
        <v>0</v>
      </c>
      <c r="Z20" s="9">
        <v>0</v>
      </c>
      <c r="AB20" s="9">
        <f t="shared" si="0"/>
        <v>882</v>
      </c>
      <c r="AC20" s="9">
        <f t="shared" si="1"/>
        <v>4907</v>
      </c>
      <c r="AD20" s="10">
        <f t="shared" si="2"/>
        <v>5.5634920634920633</v>
      </c>
    </row>
    <row r="21" spans="1:30" x14ac:dyDescent="0.3">
      <c r="A21" s="55"/>
      <c r="B21" s="30" t="s">
        <v>23</v>
      </c>
      <c r="C21" s="9">
        <v>46</v>
      </c>
      <c r="D21" s="9">
        <v>21</v>
      </c>
      <c r="E21" s="9">
        <v>31</v>
      </c>
      <c r="F21" s="9">
        <v>46</v>
      </c>
      <c r="G21" s="9">
        <v>66</v>
      </c>
      <c r="H21" s="9">
        <v>107</v>
      </c>
      <c r="I21" s="9">
        <v>43</v>
      </c>
      <c r="J21" s="9">
        <v>31</v>
      </c>
      <c r="K21" s="9">
        <v>27</v>
      </c>
      <c r="L21" s="9">
        <v>10</v>
      </c>
      <c r="M21" s="9">
        <v>9</v>
      </c>
      <c r="N21" s="9">
        <v>9</v>
      </c>
      <c r="O21" s="9">
        <v>33</v>
      </c>
      <c r="P21" s="9">
        <v>3</v>
      </c>
      <c r="Q21" s="9">
        <v>6</v>
      </c>
      <c r="R21" s="9">
        <v>27</v>
      </c>
      <c r="S21" s="9">
        <v>28</v>
      </c>
      <c r="T21" s="9">
        <v>35</v>
      </c>
      <c r="U21" s="9">
        <v>2</v>
      </c>
      <c r="V21" s="9">
        <v>1</v>
      </c>
      <c r="W21" s="9">
        <v>1</v>
      </c>
      <c r="X21" s="9">
        <v>1</v>
      </c>
      <c r="Y21" s="9">
        <v>1</v>
      </c>
      <c r="Z21" s="9">
        <v>0</v>
      </c>
      <c r="AB21" s="9">
        <f t="shared" si="0"/>
        <v>584</v>
      </c>
      <c r="AC21" s="9">
        <f t="shared" si="1"/>
        <v>4075</v>
      </c>
      <c r="AD21" s="10">
        <f t="shared" si="2"/>
        <v>6.977739726027397</v>
      </c>
    </row>
    <row r="22" spans="1:30" x14ac:dyDescent="0.3">
      <c r="A22" s="55"/>
      <c r="B22" s="30" t="s">
        <v>24</v>
      </c>
      <c r="C22" s="9">
        <v>59</v>
      </c>
      <c r="D22" s="9">
        <v>54</v>
      </c>
      <c r="E22" s="9">
        <v>52</v>
      </c>
      <c r="F22" s="9">
        <v>63</v>
      </c>
      <c r="G22" s="9">
        <v>87</v>
      </c>
      <c r="H22" s="9">
        <v>179</v>
      </c>
      <c r="I22" s="9">
        <v>42</v>
      </c>
      <c r="J22" s="9">
        <v>37</v>
      </c>
      <c r="K22" s="9">
        <v>50</v>
      </c>
      <c r="L22" s="9">
        <v>30</v>
      </c>
      <c r="M22" s="9">
        <v>36</v>
      </c>
      <c r="N22" s="9">
        <v>29</v>
      </c>
      <c r="O22" s="9">
        <v>167</v>
      </c>
      <c r="P22" s="9">
        <v>15</v>
      </c>
      <c r="Q22" s="9">
        <v>23</v>
      </c>
      <c r="R22" s="9">
        <v>64</v>
      </c>
      <c r="S22" s="9">
        <v>68</v>
      </c>
      <c r="T22" s="9">
        <v>81</v>
      </c>
      <c r="U22" s="9">
        <v>1</v>
      </c>
      <c r="V22" s="9">
        <v>7</v>
      </c>
      <c r="W22" s="9">
        <v>2</v>
      </c>
      <c r="X22" s="9">
        <v>0</v>
      </c>
      <c r="Y22" s="9">
        <v>0</v>
      </c>
      <c r="Z22" s="9">
        <v>0</v>
      </c>
      <c r="AB22" s="9">
        <f t="shared" si="0"/>
        <v>1146</v>
      </c>
      <c r="AC22" s="9">
        <f t="shared" si="1"/>
        <v>9587</v>
      </c>
      <c r="AD22" s="10">
        <f t="shared" si="2"/>
        <v>8.3656195462478191</v>
      </c>
    </row>
    <row r="23" spans="1:30" x14ac:dyDescent="0.3">
      <c r="A23" s="55"/>
      <c r="B23" s="30" t="s">
        <v>25</v>
      </c>
      <c r="C23" s="9">
        <v>244</v>
      </c>
      <c r="D23" s="9">
        <v>106</v>
      </c>
      <c r="E23" s="9">
        <v>132</v>
      </c>
      <c r="F23" s="9">
        <v>196</v>
      </c>
      <c r="G23" s="9">
        <v>171</v>
      </c>
      <c r="H23" s="9">
        <v>271</v>
      </c>
      <c r="I23" s="9">
        <v>148</v>
      </c>
      <c r="J23" s="9">
        <v>94</v>
      </c>
      <c r="K23" s="9">
        <v>127</v>
      </c>
      <c r="L23" s="9">
        <v>27</v>
      </c>
      <c r="M23" s="9">
        <v>40</v>
      </c>
      <c r="N23" s="9">
        <v>26</v>
      </c>
      <c r="O23" s="9">
        <v>111</v>
      </c>
      <c r="P23" s="9">
        <v>17</v>
      </c>
      <c r="Q23" s="9">
        <v>13</v>
      </c>
      <c r="R23" s="9">
        <v>62</v>
      </c>
      <c r="S23" s="9">
        <v>56</v>
      </c>
      <c r="T23" s="9">
        <v>44</v>
      </c>
      <c r="U23" s="9">
        <v>4</v>
      </c>
      <c r="V23" s="9">
        <v>2</v>
      </c>
      <c r="W23" s="9">
        <v>0</v>
      </c>
      <c r="X23" s="9">
        <v>0</v>
      </c>
      <c r="Y23" s="9">
        <v>0</v>
      </c>
      <c r="Z23" s="9">
        <v>0</v>
      </c>
      <c r="AB23" s="9">
        <f t="shared" si="0"/>
        <v>1891</v>
      </c>
      <c r="AC23" s="9">
        <f t="shared" si="1"/>
        <v>10907</v>
      </c>
      <c r="AD23" s="10">
        <f t="shared" si="2"/>
        <v>5.7678476996298258</v>
      </c>
    </row>
    <row r="24" spans="1:30" x14ac:dyDescent="0.3">
      <c r="A24" s="55"/>
      <c r="B24" s="30" t="s">
        <v>26</v>
      </c>
      <c r="C24" s="9">
        <v>103</v>
      </c>
      <c r="D24" s="9">
        <v>38</v>
      </c>
      <c r="E24" s="9">
        <v>48</v>
      </c>
      <c r="F24" s="9">
        <v>91</v>
      </c>
      <c r="G24" s="9">
        <v>78</v>
      </c>
      <c r="H24" s="9">
        <v>186</v>
      </c>
      <c r="I24" s="9">
        <v>46</v>
      </c>
      <c r="J24" s="9">
        <v>45</v>
      </c>
      <c r="K24" s="9">
        <v>45</v>
      </c>
      <c r="L24" s="9">
        <v>21</v>
      </c>
      <c r="M24" s="9">
        <v>18</v>
      </c>
      <c r="N24" s="9">
        <v>12</v>
      </c>
      <c r="O24" s="9">
        <v>73</v>
      </c>
      <c r="P24" s="9">
        <v>4</v>
      </c>
      <c r="Q24" s="9">
        <v>4</v>
      </c>
      <c r="R24" s="9">
        <v>28</v>
      </c>
      <c r="S24" s="9">
        <v>33</v>
      </c>
      <c r="T24" s="9">
        <v>30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B24" s="9">
        <f t="shared" si="0"/>
        <v>903</v>
      </c>
      <c r="AC24" s="9">
        <f t="shared" si="1"/>
        <v>5543</v>
      </c>
      <c r="AD24" s="10">
        <f t="shared" si="2"/>
        <v>6.138427464008859</v>
      </c>
    </row>
    <row r="25" spans="1:30" x14ac:dyDescent="0.3">
      <c r="A25" s="55"/>
      <c r="B25" s="30" t="s">
        <v>27</v>
      </c>
      <c r="C25" s="9">
        <v>93</v>
      </c>
      <c r="D25" s="9">
        <v>56</v>
      </c>
      <c r="E25" s="9">
        <v>83</v>
      </c>
      <c r="F25" s="9">
        <v>97</v>
      </c>
      <c r="G25" s="9">
        <v>117</v>
      </c>
      <c r="H25" s="9">
        <v>296</v>
      </c>
      <c r="I25" s="9">
        <v>85</v>
      </c>
      <c r="J25" s="9">
        <v>67</v>
      </c>
      <c r="K25" s="9">
        <v>64</v>
      </c>
      <c r="L25" s="9">
        <v>24</v>
      </c>
      <c r="M25" s="9">
        <v>23</v>
      </c>
      <c r="N25" s="9">
        <v>17</v>
      </c>
      <c r="O25" s="9">
        <v>45</v>
      </c>
      <c r="P25" s="9">
        <v>6</v>
      </c>
      <c r="Q25" s="9">
        <v>8</v>
      </c>
      <c r="R25" s="9">
        <v>26</v>
      </c>
      <c r="S25" s="9">
        <v>21</v>
      </c>
      <c r="T25" s="9">
        <v>14</v>
      </c>
      <c r="U25" s="9">
        <v>0</v>
      </c>
      <c r="V25" s="9">
        <v>0</v>
      </c>
      <c r="W25" s="9">
        <v>1</v>
      </c>
      <c r="X25" s="9">
        <v>0</v>
      </c>
      <c r="Y25" s="9">
        <v>0</v>
      </c>
      <c r="Z25" s="9">
        <v>0</v>
      </c>
      <c r="AB25" s="9">
        <f t="shared" si="0"/>
        <v>1143</v>
      </c>
      <c r="AC25" s="9">
        <f t="shared" si="1"/>
        <v>6299</v>
      </c>
      <c r="AD25" s="10">
        <f t="shared" si="2"/>
        <v>5.5109361329833773</v>
      </c>
    </row>
    <row r="26" spans="1:30" x14ac:dyDescent="0.3">
      <c r="A26" s="55"/>
      <c r="B26" s="30" t="s">
        <v>28</v>
      </c>
      <c r="C26" s="9">
        <v>85</v>
      </c>
      <c r="D26" s="9">
        <v>29</v>
      </c>
      <c r="E26" s="9">
        <v>61</v>
      </c>
      <c r="F26" s="9">
        <v>51</v>
      </c>
      <c r="G26" s="9">
        <v>59</v>
      </c>
      <c r="H26" s="9">
        <v>71</v>
      </c>
      <c r="I26" s="9">
        <v>33</v>
      </c>
      <c r="J26" s="9">
        <v>10</v>
      </c>
      <c r="K26" s="9">
        <v>23</v>
      </c>
      <c r="L26" s="9">
        <v>8</v>
      </c>
      <c r="M26" s="9">
        <v>14</v>
      </c>
      <c r="N26" s="9">
        <v>11</v>
      </c>
      <c r="O26" s="9">
        <v>43</v>
      </c>
      <c r="P26" s="9">
        <v>16</v>
      </c>
      <c r="Q26" s="9">
        <v>18</v>
      </c>
      <c r="R26" s="9">
        <v>45</v>
      </c>
      <c r="S26" s="9">
        <v>44</v>
      </c>
      <c r="T26" s="9">
        <v>27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B26" s="9">
        <f t="shared" si="0"/>
        <v>648</v>
      </c>
      <c r="AC26" s="9">
        <f t="shared" si="1"/>
        <v>4494</v>
      </c>
      <c r="AD26" s="10">
        <f t="shared" si="2"/>
        <v>6.9351851851851851</v>
      </c>
    </row>
    <row r="27" spans="1:30" x14ac:dyDescent="0.3">
      <c r="A27" s="55"/>
      <c r="B27" s="30" t="s">
        <v>29</v>
      </c>
      <c r="C27" s="9">
        <v>8</v>
      </c>
      <c r="D27" s="9">
        <v>10</v>
      </c>
      <c r="E27" s="9">
        <v>12</v>
      </c>
      <c r="F27" s="9">
        <v>21</v>
      </c>
      <c r="G27" s="9">
        <v>22</v>
      </c>
      <c r="H27" s="9">
        <v>63</v>
      </c>
      <c r="I27" s="9">
        <v>11</v>
      </c>
      <c r="J27" s="9">
        <v>13</v>
      </c>
      <c r="K27" s="9">
        <v>19</v>
      </c>
      <c r="L27" s="9">
        <v>4</v>
      </c>
      <c r="M27" s="9">
        <v>6</v>
      </c>
      <c r="N27" s="9">
        <v>10</v>
      </c>
      <c r="O27" s="9">
        <v>32</v>
      </c>
      <c r="P27" s="9">
        <v>1</v>
      </c>
      <c r="Q27" s="9">
        <v>5</v>
      </c>
      <c r="R27" s="9">
        <v>10</v>
      </c>
      <c r="S27" s="9">
        <v>11</v>
      </c>
      <c r="T27" s="9">
        <v>16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B27" s="9">
        <f t="shared" si="0"/>
        <v>275</v>
      </c>
      <c r="AC27" s="9">
        <f t="shared" si="1"/>
        <v>2098</v>
      </c>
      <c r="AD27" s="10">
        <f t="shared" si="2"/>
        <v>7.6290909090909089</v>
      </c>
    </row>
    <row r="28" spans="1:30" x14ac:dyDescent="0.3">
      <c r="A28" s="55"/>
      <c r="B28" s="30" t="s">
        <v>30</v>
      </c>
      <c r="C28" s="9">
        <v>82</v>
      </c>
      <c r="D28" s="9">
        <v>54</v>
      </c>
      <c r="E28" s="9">
        <v>85</v>
      </c>
      <c r="F28" s="9">
        <v>104</v>
      </c>
      <c r="G28" s="9">
        <v>132</v>
      </c>
      <c r="H28" s="9">
        <v>282</v>
      </c>
      <c r="I28" s="9">
        <v>62</v>
      </c>
      <c r="J28" s="9">
        <v>31</v>
      </c>
      <c r="K28" s="9">
        <v>50</v>
      </c>
      <c r="L28" s="9">
        <v>20</v>
      </c>
      <c r="M28" s="9">
        <v>19</v>
      </c>
      <c r="N28" s="9">
        <v>15</v>
      </c>
      <c r="O28" s="9">
        <v>59</v>
      </c>
      <c r="P28" s="9">
        <v>16</v>
      </c>
      <c r="Q28" s="9">
        <v>11</v>
      </c>
      <c r="R28" s="9">
        <v>49</v>
      </c>
      <c r="S28" s="9">
        <v>35</v>
      </c>
      <c r="T28" s="9">
        <v>40</v>
      </c>
      <c r="U28" s="9">
        <v>1</v>
      </c>
      <c r="V28" s="9">
        <v>1</v>
      </c>
      <c r="W28" s="9">
        <v>0</v>
      </c>
      <c r="X28" s="9">
        <v>0</v>
      </c>
      <c r="Y28" s="9">
        <v>0</v>
      </c>
      <c r="Z28" s="9">
        <v>0</v>
      </c>
      <c r="AB28" s="9">
        <f t="shared" si="0"/>
        <v>1148</v>
      </c>
      <c r="AC28" s="9">
        <f t="shared" si="1"/>
        <v>7080</v>
      </c>
      <c r="AD28" s="10">
        <f t="shared" si="2"/>
        <v>6.1672473867595823</v>
      </c>
    </row>
    <row r="29" spans="1:30" x14ac:dyDescent="0.3">
      <c r="A29" s="55"/>
      <c r="B29" s="30" t="s">
        <v>31</v>
      </c>
      <c r="C29" s="9">
        <v>20</v>
      </c>
      <c r="D29" s="9">
        <v>13</v>
      </c>
      <c r="E29" s="9">
        <v>15</v>
      </c>
      <c r="F29" s="9">
        <v>20</v>
      </c>
      <c r="G29" s="9">
        <v>19</v>
      </c>
      <c r="H29" s="9">
        <v>45</v>
      </c>
      <c r="I29" s="9">
        <v>15</v>
      </c>
      <c r="J29" s="9">
        <v>13</v>
      </c>
      <c r="K29" s="9">
        <v>10</v>
      </c>
      <c r="L29" s="9">
        <v>7</v>
      </c>
      <c r="M29" s="9">
        <v>15</v>
      </c>
      <c r="N29" s="9">
        <v>9</v>
      </c>
      <c r="O29" s="9">
        <v>49</v>
      </c>
      <c r="P29" s="9">
        <v>5</v>
      </c>
      <c r="Q29" s="9">
        <v>4</v>
      </c>
      <c r="R29" s="9">
        <v>19</v>
      </c>
      <c r="S29" s="9">
        <v>20</v>
      </c>
      <c r="T29" s="9">
        <v>14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B29" s="9">
        <f t="shared" si="0"/>
        <v>313</v>
      </c>
      <c r="AC29" s="9">
        <f t="shared" si="1"/>
        <v>2548</v>
      </c>
      <c r="AD29" s="10">
        <f t="shared" si="2"/>
        <v>8.140575079872205</v>
      </c>
    </row>
    <row r="30" spans="1:30" x14ac:dyDescent="0.3">
      <c r="A30" s="55"/>
      <c r="B30" s="30" t="s">
        <v>32</v>
      </c>
      <c r="C30" s="9">
        <v>87</v>
      </c>
      <c r="D30" s="9">
        <v>17</v>
      </c>
      <c r="E30" s="9">
        <v>30</v>
      </c>
      <c r="F30" s="9">
        <v>37</v>
      </c>
      <c r="G30" s="9">
        <v>39</v>
      </c>
      <c r="H30" s="9">
        <v>59</v>
      </c>
      <c r="I30" s="9">
        <v>23</v>
      </c>
      <c r="J30" s="9">
        <v>28</v>
      </c>
      <c r="K30" s="9">
        <v>33</v>
      </c>
      <c r="L30" s="9">
        <v>20</v>
      </c>
      <c r="M30" s="9">
        <v>23</v>
      </c>
      <c r="N30" s="9">
        <v>23</v>
      </c>
      <c r="O30" s="9">
        <v>62</v>
      </c>
      <c r="P30" s="9">
        <v>11</v>
      </c>
      <c r="Q30" s="9">
        <v>20</v>
      </c>
      <c r="R30" s="9">
        <v>43</v>
      </c>
      <c r="S30" s="9">
        <v>35</v>
      </c>
      <c r="T30" s="9">
        <v>56</v>
      </c>
      <c r="U30" s="9">
        <v>0</v>
      </c>
      <c r="V30" s="9">
        <v>3</v>
      </c>
      <c r="W30" s="9">
        <v>2</v>
      </c>
      <c r="X30" s="9">
        <v>1</v>
      </c>
      <c r="Y30" s="9">
        <v>0</v>
      </c>
      <c r="Z30" s="9">
        <v>0</v>
      </c>
      <c r="AB30" s="9">
        <f t="shared" si="0"/>
        <v>652</v>
      </c>
      <c r="AC30" s="9">
        <f t="shared" si="1"/>
        <v>5342</v>
      </c>
      <c r="AD30" s="10">
        <f t="shared" si="2"/>
        <v>8.1932515337423322</v>
      </c>
    </row>
    <row r="31" spans="1:30" x14ac:dyDescent="0.3">
      <c r="A31" s="55"/>
      <c r="B31" s="30" t="s">
        <v>33</v>
      </c>
      <c r="C31" s="9">
        <v>11</v>
      </c>
      <c r="D31" s="9">
        <v>5</v>
      </c>
      <c r="E31" s="9">
        <v>7</v>
      </c>
      <c r="F31" s="9">
        <v>13</v>
      </c>
      <c r="G31" s="9">
        <v>7</v>
      </c>
      <c r="H31" s="9">
        <v>10</v>
      </c>
      <c r="I31" s="9">
        <v>4</v>
      </c>
      <c r="J31" s="9">
        <v>7</v>
      </c>
      <c r="K31" s="9">
        <v>7</v>
      </c>
      <c r="L31" s="9">
        <v>2</v>
      </c>
      <c r="M31" s="9">
        <v>13</v>
      </c>
      <c r="N31" s="9">
        <v>5</v>
      </c>
      <c r="O31" s="9">
        <v>16</v>
      </c>
      <c r="P31" s="9">
        <v>3</v>
      </c>
      <c r="Q31" s="9">
        <v>1</v>
      </c>
      <c r="R31" s="9">
        <v>10</v>
      </c>
      <c r="S31" s="9">
        <v>12</v>
      </c>
      <c r="T31" s="9">
        <v>9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B31" s="9">
        <f t="shared" si="0"/>
        <v>142</v>
      </c>
      <c r="AC31" s="9">
        <f t="shared" si="1"/>
        <v>1208</v>
      </c>
      <c r="AD31" s="10">
        <f t="shared" si="2"/>
        <v>8.5070422535211261</v>
      </c>
    </row>
    <row r="32" spans="1:30" x14ac:dyDescent="0.3">
      <c r="A32" s="55"/>
      <c r="B32" s="30" t="s">
        <v>34</v>
      </c>
      <c r="C32" s="9">
        <v>19</v>
      </c>
      <c r="D32" s="9">
        <v>15</v>
      </c>
      <c r="E32" s="9">
        <v>26</v>
      </c>
      <c r="F32" s="9">
        <v>27</v>
      </c>
      <c r="G32" s="9">
        <v>33</v>
      </c>
      <c r="H32" s="9">
        <v>44</v>
      </c>
      <c r="I32" s="9">
        <v>33</v>
      </c>
      <c r="J32" s="9">
        <v>26</v>
      </c>
      <c r="K32" s="9">
        <v>41</v>
      </c>
      <c r="L32" s="9">
        <v>29</v>
      </c>
      <c r="M32" s="9">
        <v>22</v>
      </c>
      <c r="N32" s="9">
        <v>16</v>
      </c>
      <c r="O32" s="9">
        <v>92</v>
      </c>
      <c r="P32" s="9">
        <v>10</v>
      </c>
      <c r="Q32" s="9">
        <v>7</v>
      </c>
      <c r="R32" s="9">
        <v>29</v>
      </c>
      <c r="S32" s="9">
        <v>22</v>
      </c>
      <c r="T32" s="9">
        <v>36</v>
      </c>
      <c r="U32" s="9">
        <v>2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B32" s="9">
        <f t="shared" si="0"/>
        <v>529</v>
      </c>
      <c r="AC32" s="9">
        <f t="shared" si="1"/>
        <v>4632</v>
      </c>
      <c r="AD32" s="10">
        <f t="shared" si="2"/>
        <v>8.7561436672967865</v>
      </c>
    </row>
    <row r="33" spans="1:30" x14ac:dyDescent="0.3">
      <c r="A33" s="55"/>
      <c r="B33" s="30" t="s">
        <v>35</v>
      </c>
      <c r="C33" s="9">
        <v>774</v>
      </c>
      <c r="D33" s="9">
        <v>481</v>
      </c>
      <c r="E33" s="9">
        <v>673</v>
      </c>
      <c r="F33" s="9">
        <v>953</v>
      </c>
      <c r="G33" s="9">
        <v>826</v>
      </c>
      <c r="H33" s="9">
        <v>1566</v>
      </c>
      <c r="I33" s="9">
        <v>1382</v>
      </c>
      <c r="J33" s="9">
        <v>1005</v>
      </c>
      <c r="K33" s="9">
        <v>1419</v>
      </c>
      <c r="L33" s="9">
        <v>2557</v>
      </c>
      <c r="M33" s="9">
        <v>2995</v>
      </c>
      <c r="N33" s="9">
        <v>2787</v>
      </c>
      <c r="O33" s="9">
        <v>15151</v>
      </c>
      <c r="P33" s="9">
        <v>1931</v>
      </c>
      <c r="Q33" s="9">
        <v>2934</v>
      </c>
      <c r="R33" s="9">
        <v>7013</v>
      </c>
      <c r="S33" s="9">
        <v>11042</v>
      </c>
      <c r="T33" s="9">
        <v>15548</v>
      </c>
      <c r="U33" s="9">
        <v>1039</v>
      </c>
      <c r="V33" s="9">
        <v>1623</v>
      </c>
      <c r="W33" s="9">
        <v>69</v>
      </c>
      <c r="X33" s="9">
        <v>74</v>
      </c>
      <c r="Y33" s="9">
        <v>38</v>
      </c>
      <c r="Z33" s="9">
        <v>28</v>
      </c>
      <c r="AB33" s="9">
        <f t="shared" si="0"/>
        <v>73908</v>
      </c>
      <c r="AC33" s="9">
        <f t="shared" si="1"/>
        <v>974246</v>
      </c>
      <c r="AD33" s="10">
        <f t="shared" si="2"/>
        <v>13.181874763219136</v>
      </c>
    </row>
    <row r="34" spans="1:30" x14ac:dyDescent="0.3">
      <c r="A34" s="55"/>
      <c r="B34" s="30" t="s">
        <v>36</v>
      </c>
      <c r="C34" s="9">
        <v>65</v>
      </c>
      <c r="D34" s="9">
        <v>62</v>
      </c>
      <c r="E34" s="9">
        <v>66</v>
      </c>
      <c r="F34" s="9">
        <v>97</v>
      </c>
      <c r="G34" s="9">
        <v>123</v>
      </c>
      <c r="H34" s="9">
        <v>182</v>
      </c>
      <c r="I34" s="9">
        <v>87</v>
      </c>
      <c r="J34" s="9">
        <v>68</v>
      </c>
      <c r="K34" s="9">
        <v>81</v>
      </c>
      <c r="L34" s="9">
        <v>47</v>
      </c>
      <c r="M34" s="9">
        <v>41</v>
      </c>
      <c r="N34" s="9">
        <v>41</v>
      </c>
      <c r="O34" s="9">
        <v>114</v>
      </c>
      <c r="P34" s="9">
        <v>3</v>
      </c>
      <c r="Q34" s="9">
        <v>5</v>
      </c>
      <c r="R34" s="9">
        <v>13</v>
      </c>
      <c r="S34" s="9">
        <v>26</v>
      </c>
      <c r="T34" s="9">
        <v>5</v>
      </c>
      <c r="U34" s="9">
        <v>0</v>
      </c>
      <c r="V34" s="9">
        <v>0</v>
      </c>
      <c r="W34" s="9">
        <v>1</v>
      </c>
      <c r="X34" s="9">
        <v>0</v>
      </c>
      <c r="Y34" s="9">
        <v>0</v>
      </c>
      <c r="Z34" s="9">
        <v>0</v>
      </c>
      <c r="AB34" s="9">
        <f t="shared" si="0"/>
        <v>1127</v>
      </c>
      <c r="AC34" s="9">
        <f t="shared" si="1"/>
        <v>7010</v>
      </c>
      <c r="AD34" s="10">
        <f t="shared" si="2"/>
        <v>6.2200532386867788</v>
      </c>
    </row>
    <row r="35" spans="1:30" x14ac:dyDescent="0.3">
      <c r="A35" s="55"/>
      <c r="B35" s="30" t="s">
        <v>37</v>
      </c>
      <c r="C35" s="9">
        <v>24</v>
      </c>
      <c r="D35" s="9">
        <v>40</v>
      </c>
      <c r="E35" s="9">
        <v>45</v>
      </c>
      <c r="F35" s="9">
        <v>62</v>
      </c>
      <c r="G35" s="9">
        <v>85</v>
      </c>
      <c r="H35" s="9">
        <v>107</v>
      </c>
      <c r="I35" s="9">
        <v>81</v>
      </c>
      <c r="J35" s="9">
        <v>55</v>
      </c>
      <c r="K35" s="9">
        <v>67</v>
      </c>
      <c r="L35" s="9">
        <v>61</v>
      </c>
      <c r="M35" s="9">
        <v>63</v>
      </c>
      <c r="N35" s="9">
        <v>70</v>
      </c>
      <c r="O35" s="9">
        <v>213</v>
      </c>
      <c r="P35" s="9">
        <v>4</v>
      </c>
      <c r="Q35" s="9">
        <v>10</v>
      </c>
      <c r="R35" s="9">
        <v>34</v>
      </c>
      <c r="S35" s="9">
        <v>58</v>
      </c>
      <c r="T35" s="9">
        <v>75</v>
      </c>
      <c r="U35" s="9">
        <v>8</v>
      </c>
      <c r="V35" s="9">
        <v>5</v>
      </c>
      <c r="W35" s="9">
        <v>1</v>
      </c>
      <c r="X35" s="9">
        <v>1</v>
      </c>
      <c r="Y35" s="9">
        <v>1</v>
      </c>
      <c r="Z35" s="9">
        <v>0</v>
      </c>
      <c r="AB35" s="9">
        <f t="shared" si="0"/>
        <v>1170</v>
      </c>
      <c r="AC35" s="9">
        <f t="shared" si="1"/>
        <v>10310</v>
      </c>
      <c r="AD35" s="10">
        <f t="shared" si="2"/>
        <v>8.8119658119658126</v>
      </c>
    </row>
    <row r="36" spans="1:30" x14ac:dyDescent="0.3">
      <c r="A36" s="55"/>
      <c r="B36" s="30" t="s">
        <v>38</v>
      </c>
      <c r="C36" s="9">
        <v>50</v>
      </c>
      <c r="D36" s="9">
        <v>41</v>
      </c>
      <c r="E36" s="9">
        <v>70</v>
      </c>
      <c r="F36" s="9">
        <v>108</v>
      </c>
      <c r="G36" s="9">
        <v>98</v>
      </c>
      <c r="H36" s="9">
        <v>177</v>
      </c>
      <c r="I36" s="9">
        <v>105</v>
      </c>
      <c r="J36" s="9">
        <v>84</v>
      </c>
      <c r="K36" s="9">
        <v>96</v>
      </c>
      <c r="L36" s="9">
        <v>85</v>
      </c>
      <c r="M36" s="9">
        <v>98</v>
      </c>
      <c r="N36" s="9">
        <v>81</v>
      </c>
      <c r="O36" s="9">
        <v>437</v>
      </c>
      <c r="P36" s="9">
        <v>17</v>
      </c>
      <c r="Q36" s="9">
        <v>9</v>
      </c>
      <c r="R36" s="9">
        <v>55</v>
      </c>
      <c r="S36" s="9">
        <v>83</v>
      </c>
      <c r="T36" s="9">
        <v>57</v>
      </c>
      <c r="U36" s="9">
        <v>2</v>
      </c>
      <c r="V36" s="9">
        <v>6</v>
      </c>
      <c r="W36" s="9">
        <v>0</v>
      </c>
      <c r="X36" s="9">
        <v>2</v>
      </c>
      <c r="Y36" s="9">
        <v>0</v>
      </c>
      <c r="Z36" s="9">
        <v>0</v>
      </c>
      <c r="AB36" s="9">
        <f t="shared" si="0"/>
        <v>1761</v>
      </c>
      <c r="AC36" s="9">
        <f t="shared" si="1"/>
        <v>15309</v>
      </c>
      <c r="AD36" s="10">
        <f t="shared" si="2"/>
        <v>8.6933560477001706</v>
      </c>
    </row>
    <row r="37" spans="1:30" x14ac:dyDescent="0.3">
      <c r="A37" s="55"/>
      <c r="B37" s="30" t="s">
        <v>39</v>
      </c>
      <c r="C37" s="9">
        <v>1715</v>
      </c>
      <c r="D37" s="9">
        <v>1598</v>
      </c>
      <c r="E37" s="9">
        <v>2057</v>
      </c>
      <c r="F37" s="9">
        <v>3055</v>
      </c>
      <c r="G37" s="9">
        <v>2762</v>
      </c>
      <c r="H37" s="9">
        <v>5026</v>
      </c>
      <c r="I37" s="9">
        <v>3142</v>
      </c>
      <c r="J37" s="9">
        <v>2460</v>
      </c>
      <c r="K37" s="9">
        <v>3345</v>
      </c>
      <c r="L37" s="9">
        <v>4183</v>
      </c>
      <c r="M37" s="9">
        <v>4688</v>
      </c>
      <c r="N37" s="9">
        <v>4330</v>
      </c>
      <c r="O37" s="9">
        <v>21513</v>
      </c>
      <c r="P37" s="9">
        <v>1640</v>
      </c>
      <c r="Q37" s="9">
        <v>2510</v>
      </c>
      <c r="R37" s="9">
        <v>5778</v>
      </c>
      <c r="S37" s="9">
        <v>6861</v>
      </c>
      <c r="T37" s="9">
        <v>7013</v>
      </c>
      <c r="U37" s="9">
        <v>177</v>
      </c>
      <c r="V37" s="9">
        <v>219</v>
      </c>
      <c r="W37" s="9">
        <v>50</v>
      </c>
      <c r="X37" s="9">
        <v>31</v>
      </c>
      <c r="Y37" s="9">
        <v>16</v>
      </c>
      <c r="Z37" s="9">
        <v>9</v>
      </c>
      <c r="AB37" s="9">
        <f t="shared" si="0"/>
        <v>84178</v>
      </c>
      <c r="AC37" s="9">
        <f t="shared" si="1"/>
        <v>885884</v>
      </c>
      <c r="AD37" s="10">
        <f t="shared" si="2"/>
        <v>10.523937370809476</v>
      </c>
    </row>
    <row r="38" spans="1:30" x14ac:dyDescent="0.3">
      <c r="A38" s="55"/>
      <c r="B38" s="30" t="s">
        <v>40</v>
      </c>
      <c r="C38" s="9">
        <v>161</v>
      </c>
      <c r="D38" s="9">
        <v>64</v>
      </c>
      <c r="E38" s="9">
        <v>110</v>
      </c>
      <c r="F38" s="9">
        <v>141</v>
      </c>
      <c r="G38" s="9">
        <v>142</v>
      </c>
      <c r="H38" s="9">
        <v>253</v>
      </c>
      <c r="I38" s="9">
        <v>154</v>
      </c>
      <c r="J38" s="9">
        <v>129</v>
      </c>
      <c r="K38" s="9">
        <v>217</v>
      </c>
      <c r="L38" s="9">
        <v>194</v>
      </c>
      <c r="M38" s="9">
        <v>180</v>
      </c>
      <c r="N38" s="9">
        <v>181</v>
      </c>
      <c r="O38" s="9">
        <v>697</v>
      </c>
      <c r="P38" s="9">
        <v>27</v>
      </c>
      <c r="Q38" s="9">
        <v>40</v>
      </c>
      <c r="R38" s="9">
        <v>127</v>
      </c>
      <c r="S38" s="9">
        <v>138</v>
      </c>
      <c r="T38" s="9">
        <v>91</v>
      </c>
      <c r="U38" s="9">
        <v>1</v>
      </c>
      <c r="V38" s="9">
        <v>3</v>
      </c>
      <c r="W38" s="9">
        <v>1</v>
      </c>
      <c r="X38" s="9">
        <v>2</v>
      </c>
      <c r="Y38" s="9">
        <v>0</v>
      </c>
      <c r="Z38" s="9">
        <v>0</v>
      </c>
      <c r="AB38" s="9">
        <f t="shared" si="0"/>
        <v>3053</v>
      </c>
      <c r="AC38" s="9">
        <f t="shared" si="1"/>
        <v>26712</v>
      </c>
      <c r="AD38" s="10">
        <f t="shared" si="2"/>
        <v>8.7494267933180474</v>
      </c>
    </row>
    <row r="39" spans="1:30" x14ac:dyDescent="0.3">
      <c r="A39" s="55"/>
      <c r="B39" s="30" t="s">
        <v>41</v>
      </c>
      <c r="C39" s="9">
        <v>84</v>
      </c>
      <c r="D39" s="9">
        <v>22</v>
      </c>
      <c r="E39" s="9">
        <v>41</v>
      </c>
      <c r="F39" s="9">
        <v>38</v>
      </c>
      <c r="G39" s="9">
        <v>40</v>
      </c>
      <c r="H39" s="9">
        <v>69</v>
      </c>
      <c r="I39" s="9">
        <v>36</v>
      </c>
      <c r="J39" s="9">
        <v>32</v>
      </c>
      <c r="K39" s="9">
        <v>56</v>
      </c>
      <c r="L39" s="9">
        <v>30</v>
      </c>
      <c r="M39" s="9">
        <v>43</v>
      </c>
      <c r="N39" s="9">
        <v>34</v>
      </c>
      <c r="O39" s="9">
        <v>120</v>
      </c>
      <c r="P39" s="9">
        <v>3</v>
      </c>
      <c r="Q39" s="9">
        <v>6</v>
      </c>
      <c r="R39" s="9">
        <v>9</v>
      </c>
      <c r="S39" s="9">
        <v>13</v>
      </c>
      <c r="T39" s="9">
        <v>14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B39" s="9">
        <f t="shared" si="0"/>
        <v>690</v>
      </c>
      <c r="AC39" s="9">
        <f t="shared" si="1"/>
        <v>4829</v>
      </c>
      <c r="AD39" s="10">
        <f t="shared" si="2"/>
        <v>6.9985507246376812</v>
      </c>
    </row>
    <row r="40" spans="1:30" x14ac:dyDescent="0.3">
      <c r="A40" s="55"/>
      <c r="B40" s="30" t="s">
        <v>42</v>
      </c>
      <c r="C40" s="9">
        <v>27</v>
      </c>
      <c r="D40" s="9">
        <v>16</v>
      </c>
      <c r="E40" s="9">
        <v>18</v>
      </c>
      <c r="F40" s="9">
        <v>21</v>
      </c>
      <c r="G40" s="9">
        <v>13</v>
      </c>
      <c r="H40" s="9">
        <v>43</v>
      </c>
      <c r="I40" s="9">
        <v>17</v>
      </c>
      <c r="J40" s="9">
        <v>20</v>
      </c>
      <c r="K40" s="9">
        <v>16</v>
      </c>
      <c r="L40" s="9">
        <v>29</v>
      </c>
      <c r="M40" s="9">
        <v>24</v>
      </c>
      <c r="N40" s="9">
        <v>33</v>
      </c>
      <c r="O40" s="9">
        <v>120</v>
      </c>
      <c r="P40" s="9">
        <v>6</v>
      </c>
      <c r="Q40" s="9">
        <v>5</v>
      </c>
      <c r="R40" s="9">
        <v>21</v>
      </c>
      <c r="S40" s="9">
        <v>28</v>
      </c>
      <c r="T40" s="9">
        <v>12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B40" s="9">
        <f t="shared" si="0"/>
        <v>469</v>
      </c>
      <c r="AC40" s="9">
        <f t="shared" si="1"/>
        <v>4171</v>
      </c>
      <c r="AD40" s="10">
        <f t="shared" si="2"/>
        <v>8.8933901918976552</v>
      </c>
    </row>
    <row r="41" spans="1:30" x14ac:dyDescent="0.3">
      <c r="A41" s="55"/>
      <c r="B41" s="30" t="s">
        <v>43</v>
      </c>
      <c r="C41" s="9">
        <v>15</v>
      </c>
      <c r="D41" s="9">
        <v>7</v>
      </c>
      <c r="E41" s="9">
        <v>16</v>
      </c>
      <c r="F41" s="9">
        <v>12</v>
      </c>
      <c r="G41" s="9">
        <v>14</v>
      </c>
      <c r="H41" s="9">
        <v>15</v>
      </c>
      <c r="I41" s="9">
        <v>20</v>
      </c>
      <c r="J41" s="9">
        <v>18</v>
      </c>
      <c r="K41" s="9">
        <v>15</v>
      </c>
      <c r="L41" s="9">
        <v>26</v>
      </c>
      <c r="M41" s="9">
        <v>24</v>
      </c>
      <c r="N41" s="9">
        <v>26</v>
      </c>
      <c r="O41" s="9">
        <v>106</v>
      </c>
      <c r="P41" s="9">
        <v>5</v>
      </c>
      <c r="Q41" s="9">
        <v>13</v>
      </c>
      <c r="R41" s="9">
        <v>32</v>
      </c>
      <c r="S41" s="9">
        <v>36</v>
      </c>
      <c r="T41" s="9">
        <v>12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B41" s="9">
        <f t="shared" si="0"/>
        <v>412</v>
      </c>
      <c r="AC41" s="9">
        <f t="shared" si="1"/>
        <v>4111</v>
      </c>
      <c r="AD41" s="10">
        <f t="shared" si="2"/>
        <v>9.9781553398058254</v>
      </c>
    </row>
    <row r="42" spans="1:30" x14ac:dyDescent="0.3">
      <c r="A42" s="55"/>
      <c r="B42" s="30" t="s">
        <v>44</v>
      </c>
      <c r="C42" s="9">
        <v>4</v>
      </c>
      <c r="D42" s="9">
        <v>1</v>
      </c>
      <c r="E42" s="9">
        <v>3</v>
      </c>
      <c r="F42" s="9">
        <v>2</v>
      </c>
      <c r="G42" s="9">
        <v>3</v>
      </c>
      <c r="H42" s="9">
        <v>5</v>
      </c>
      <c r="I42" s="9">
        <v>10</v>
      </c>
      <c r="J42" s="9">
        <v>2</v>
      </c>
      <c r="K42" s="9">
        <v>5</v>
      </c>
      <c r="L42" s="9">
        <v>9</v>
      </c>
      <c r="M42" s="9">
        <v>17</v>
      </c>
      <c r="N42" s="9">
        <v>14</v>
      </c>
      <c r="O42" s="9">
        <v>85</v>
      </c>
      <c r="P42" s="9">
        <v>11</v>
      </c>
      <c r="Q42" s="9">
        <v>12</v>
      </c>
      <c r="R42" s="9">
        <v>40</v>
      </c>
      <c r="S42" s="9">
        <v>28</v>
      </c>
      <c r="T42" s="9">
        <v>19</v>
      </c>
      <c r="U42" s="9">
        <v>0</v>
      </c>
      <c r="V42" s="9">
        <v>1</v>
      </c>
      <c r="W42" s="9">
        <v>0</v>
      </c>
      <c r="X42" s="9">
        <v>1</v>
      </c>
      <c r="Y42" s="9">
        <v>0</v>
      </c>
      <c r="Z42" s="9">
        <v>0</v>
      </c>
      <c r="AB42" s="9">
        <f t="shared" si="0"/>
        <v>272</v>
      </c>
      <c r="AC42" s="9">
        <f t="shared" si="1"/>
        <v>3311</v>
      </c>
      <c r="AD42" s="10">
        <f t="shared" si="2"/>
        <v>12.172794117647058</v>
      </c>
    </row>
    <row r="43" spans="1:30" x14ac:dyDescent="0.3">
      <c r="A43" s="55"/>
      <c r="B43" s="30" t="s">
        <v>45</v>
      </c>
      <c r="C43" s="9">
        <v>10</v>
      </c>
      <c r="D43" s="9">
        <v>6</v>
      </c>
      <c r="E43" s="9">
        <v>17</v>
      </c>
      <c r="F43" s="9">
        <v>7</v>
      </c>
      <c r="G43" s="9">
        <v>7</v>
      </c>
      <c r="H43" s="9">
        <v>20</v>
      </c>
      <c r="I43" s="9">
        <v>15</v>
      </c>
      <c r="J43" s="9">
        <v>11</v>
      </c>
      <c r="K43" s="9">
        <v>10</v>
      </c>
      <c r="L43" s="9">
        <v>19</v>
      </c>
      <c r="M43" s="9">
        <v>25</v>
      </c>
      <c r="N43" s="9">
        <v>24</v>
      </c>
      <c r="O43" s="9">
        <v>88</v>
      </c>
      <c r="P43" s="9">
        <v>2</v>
      </c>
      <c r="Q43" s="9">
        <v>7</v>
      </c>
      <c r="R43" s="9">
        <v>10</v>
      </c>
      <c r="S43" s="9">
        <v>13</v>
      </c>
      <c r="T43" s="9">
        <v>15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B43" s="9">
        <f t="shared" si="0"/>
        <v>306</v>
      </c>
      <c r="AC43" s="9">
        <f t="shared" si="1"/>
        <v>2914</v>
      </c>
      <c r="AD43" s="10">
        <f t="shared" si="2"/>
        <v>9.522875816993464</v>
      </c>
    </row>
    <row r="44" spans="1:30" x14ac:dyDescent="0.3">
      <c r="A44" s="55"/>
      <c r="B44" s="30" t="s">
        <v>46</v>
      </c>
      <c r="C44" s="9">
        <v>44</v>
      </c>
      <c r="D44" s="9">
        <v>17</v>
      </c>
      <c r="E44" s="9">
        <v>23</v>
      </c>
      <c r="F44" s="9">
        <v>28</v>
      </c>
      <c r="G44" s="9">
        <v>31</v>
      </c>
      <c r="H44" s="9">
        <v>48</v>
      </c>
      <c r="I44" s="9">
        <v>43</v>
      </c>
      <c r="J44" s="9">
        <v>21</v>
      </c>
      <c r="K44" s="9">
        <v>46</v>
      </c>
      <c r="L44" s="9">
        <v>31</v>
      </c>
      <c r="M44" s="9">
        <v>34</v>
      </c>
      <c r="N44" s="9">
        <v>31</v>
      </c>
      <c r="O44" s="9">
        <v>141</v>
      </c>
      <c r="P44" s="9">
        <v>7</v>
      </c>
      <c r="Q44" s="9">
        <v>4</v>
      </c>
      <c r="R44" s="9">
        <v>23</v>
      </c>
      <c r="S44" s="9">
        <v>41</v>
      </c>
      <c r="T44" s="9">
        <v>21</v>
      </c>
      <c r="U44" s="9">
        <v>0</v>
      </c>
      <c r="V44" s="9">
        <v>0</v>
      </c>
      <c r="W44" s="9">
        <v>1</v>
      </c>
      <c r="X44" s="9">
        <v>0</v>
      </c>
      <c r="Y44" s="9">
        <v>0</v>
      </c>
      <c r="Z44" s="9">
        <v>0</v>
      </c>
      <c r="AB44" s="9">
        <f t="shared" si="0"/>
        <v>635</v>
      </c>
      <c r="AC44" s="9">
        <f t="shared" si="1"/>
        <v>5461</v>
      </c>
      <c r="AD44" s="10">
        <f t="shared" si="2"/>
        <v>8.6</v>
      </c>
    </row>
    <row r="45" spans="1:30" x14ac:dyDescent="0.3">
      <c r="A45" s="55"/>
      <c r="B45" s="30" t="s">
        <v>47</v>
      </c>
      <c r="C45" s="9">
        <v>35</v>
      </c>
      <c r="D45" s="9">
        <v>25</v>
      </c>
      <c r="E45" s="9">
        <v>22</v>
      </c>
      <c r="F45" s="9">
        <v>39</v>
      </c>
      <c r="G45" s="9">
        <v>46</v>
      </c>
      <c r="H45" s="9">
        <v>65</v>
      </c>
      <c r="I45" s="9">
        <v>59</v>
      </c>
      <c r="J45" s="9">
        <v>34</v>
      </c>
      <c r="K45" s="9">
        <v>71</v>
      </c>
      <c r="L45" s="9">
        <v>53</v>
      </c>
      <c r="M45" s="9">
        <v>57</v>
      </c>
      <c r="N45" s="9">
        <v>49</v>
      </c>
      <c r="O45" s="9">
        <v>195</v>
      </c>
      <c r="P45" s="9">
        <v>2</v>
      </c>
      <c r="Q45" s="9">
        <v>5</v>
      </c>
      <c r="R45" s="9">
        <v>21</v>
      </c>
      <c r="S45" s="9">
        <v>27</v>
      </c>
      <c r="T45" s="9">
        <v>29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B45" s="9">
        <f t="shared" si="0"/>
        <v>834</v>
      </c>
      <c r="AC45" s="9">
        <f t="shared" si="1"/>
        <v>7117</v>
      </c>
      <c r="AD45" s="10">
        <f t="shared" si="2"/>
        <v>8.5335731414868103</v>
      </c>
    </row>
    <row r="46" spans="1:30" x14ac:dyDescent="0.3">
      <c r="A46" s="55"/>
      <c r="B46" s="30" t="s">
        <v>48</v>
      </c>
      <c r="C46" s="9">
        <v>22</v>
      </c>
      <c r="D46" s="9">
        <v>21</v>
      </c>
      <c r="E46" s="9">
        <v>17</v>
      </c>
      <c r="F46" s="9">
        <v>26</v>
      </c>
      <c r="G46" s="9">
        <v>35</v>
      </c>
      <c r="H46" s="9">
        <v>38</v>
      </c>
      <c r="I46" s="9">
        <v>26</v>
      </c>
      <c r="J46" s="9">
        <v>24</v>
      </c>
      <c r="K46" s="9">
        <v>44</v>
      </c>
      <c r="L46" s="9">
        <v>36</v>
      </c>
      <c r="M46" s="9">
        <v>40</v>
      </c>
      <c r="N46" s="9">
        <v>37</v>
      </c>
      <c r="O46" s="9">
        <v>146</v>
      </c>
      <c r="P46" s="9">
        <v>1</v>
      </c>
      <c r="Q46" s="9">
        <v>1</v>
      </c>
      <c r="R46" s="9">
        <v>8</v>
      </c>
      <c r="S46" s="9">
        <v>14</v>
      </c>
      <c r="T46" s="9">
        <v>5</v>
      </c>
      <c r="U46" s="9">
        <v>1</v>
      </c>
      <c r="V46" s="9">
        <v>1</v>
      </c>
      <c r="W46" s="9">
        <v>0</v>
      </c>
      <c r="X46" s="9">
        <v>0</v>
      </c>
      <c r="Y46" s="9">
        <v>0</v>
      </c>
      <c r="Z46" s="9">
        <v>0</v>
      </c>
      <c r="AB46" s="9">
        <f t="shared" si="0"/>
        <v>543</v>
      </c>
      <c r="AC46" s="9">
        <f t="shared" si="1"/>
        <v>4515</v>
      </c>
      <c r="AD46" s="10">
        <f t="shared" si="2"/>
        <v>8.3149171270718227</v>
      </c>
    </row>
    <row r="47" spans="1:30" x14ac:dyDescent="0.3">
      <c r="A47" s="55"/>
      <c r="B47" s="30" t="s">
        <v>49</v>
      </c>
      <c r="C47" s="9">
        <v>9</v>
      </c>
      <c r="D47" s="9">
        <v>4</v>
      </c>
      <c r="E47" s="9">
        <v>10</v>
      </c>
      <c r="F47" s="9">
        <v>11</v>
      </c>
      <c r="G47" s="9">
        <v>11</v>
      </c>
      <c r="H47" s="9">
        <v>21</v>
      </c>
      <c r="I47" s="9">
        <v>9</v>
      </c>
      <c r="J47" s="9">
        <v>10</v>
      </c>
      <c r="K47" s="9">
        <v>15</v>
      </c>
      <c r="L47" s="9">
        <v>10</v>
      </c>
      <c r="M47" s="9">
        <v>12</v>
      </c>
      <c r="N47" s="9">
        <v>10</v>
      </c>
      <c r="O47" s="9">
        <v>53</v>
      </c>
      <c r="P47" s="9">
        <v>0</v>
      </c>
      <c r="Q47" s="9">
        <v>3</v>
      </c>
      <c r="R47" s="9">
        <v>6</v>
      </c>
      <c r="S47" s="9">
        <v>8</v>
      </c>
      <c r="T47" s="9">
        <v>4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B47" s="9">
        <f t="shared" si="0"/>
        <v>206</v>
      </c>
      <c r="AC47" s="9">
        <f t="shared" si="1"/>
        <v>1734</v>
      </c>
      <c r="AD47" s="10">
        <f t="shared" si="2"/>
        <v>8.4174757281553401</v>
      </c>
    </row>
    <row r="48" spans="1:30" x14ac:dyDescent="0.3">
      <c r="A48" s="55"/>
      <c r="B48" s="30" t="s">
        <v>50</v>
      </c>
      <c r="C48" s="9">
        <v>6</v>
      </c>
      <c r="D48" s="9">
        <v>5</v>
      </c>
      <c r="E48" s="9">
        <v>5</v>
      </c>
      <c r="F48" s="9">
        <v>9</v>
      </c>
      <c r="G48" s="9">
        <v>10</v>
      </c>
      <c r="H48" s="9">
        <v>24</v>
      </c>
      <c r="I48" s="9">
        <v>13</v>
      </c>
      <c r="J48" s="9">
        <v>11</v>
      </c>
      <c r="K48" s="9">
        <v>16</v>
      </c>
      <c r="L48" s="9">
        <v>13</v>
      </c>
      <c r="M48" s="9">
        <v>16</v>
      </c>
      <c r="N48" s="9">
        <v>16</v>
      </c>
      <c r="O48" s="9">
        <v>63</v>
      </c>
      <c r="P48" s="9">
        <v>4</v>
      </c>
      <c r="Q48" s="9">
        <v>0</v>
      </c>
      <c r="R48" s="9">
        <v>6</v>
      </c>
      <c r="S48" s="9">
        <v>5</v>
      </c>
      <c r="T48" s="9">
        <v>6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B48" s="9">
        <f t="shared" si="0"/>
        <v>228</v>
      </c>
      <c r="AC48" s="9">
        <f t="shared" si="1"/>
        <v>2018</v>
      </c>
      <c r="AD48" s="10">
        <f t="shared" si="2"/>
        <v>8.8508771929824555</v>
      </c>
    </row>
    <row r="49" spans="1:30" x14ac:dyDescent="0.3">
      <c r="A49" s="55"/>
      <c r="B49" s="30" t="s">
        <v>51</v>
      </c>
      <c r="C49" s="9">
        <v>15</v>
      </c>
      <c r="D49" s="9">
        <v>8</v>
      </c>
      <c r="E49" s="9">
        <v>13</v>
      </c>
      <c r="F49" s="9">
        <v>14</v>
      </c>
      <c r="G49" s="9">
        <v>15</v>
      </c>
      <c r="H49" s="9">
        <v>20</v>
      </c>
      <c r="I49" s="9">
        <v>22</v>
      </c>
      <c r="J49" s="9">
        <v>26</v>
      </c>
      <c r="K49" s="9">
        <v>40</v>
      </c>
      <c r="L49" s="9">
        <v>25</v>
      </c>
      <c r="M49" s="9">
        <v>45</v>
      </c>
      <c r="N49" s="9">
        <v>35</v>
      </c>
      <c r="O49" s="9">
        <v>129</v>
      </c>
      <c r="P49" s="9">
        <v>2</v>
      </c>
      <c r="Q49" s="9">
        <v>1</v>
      </c>
      <c r="R49" s="9">
        <v>7</v>
      </c>
      <c r="S49" s="9">
        <v>6</v>
      </c>
      <c r="T49" s="9">
        <v>7</v>
      </c>
      <c r="U49" s="9">
        <v>0</v>
      </c>
      <c r="V49" s="9">
        <v>0</v>
      </c>
      <c r="W49" s="9">
        <v>2</v>
      </c>
      <c r="X49" s="9">
        <v>0</v>
      </c>
      <c r="Y49" s="9">
        <v>0</v>
      </c>
      <c r="Z49" s="9">
        <v>0</v>
      </c>
      <c r="AB49" s="9">
        <f t="shared" si="0"/>
        <v>432</v>
      </c>
      <c r="AC49" s="9">
        <f t="shared" si="1"/>
        <v>3878</v>
      </c>
      <c r="AD49" s="10">
        <f t="shared" si="2"/>
        <v>8.9768518518518512</v>
      </c>
    </row>
    <row r="50" spans="1:30" x14ac:dyDescent="0.3">
      <c r="A50" s="55"/>
      <c r="B50" s="30" t="s">
        <v>52</v>
      </c>
      <c r="C50" s="9">
        <v>1</v>
      </c>
      <c r="D50" s="9">
        <v>1</v>
      </c>
      <c r="E50" s="9">
        <v>1</v>
      </c>
      <c r="F50" s="9">
        <v>0</v>
      </c>
      <c r="G50" s="9">
        <v>2</v>
      </c>
      <c r="H50" s="9">
        <v>2</v>
      </c>
      <c r="I50" s="9">
        <v>9</v>
      </c>
      <c r="J50" s="9">
        <v>2</v>
      </c>
      <c r="K50" s="9">
        <v>5</v>
      </c>
      <c r="L50" s="9">
        <v>1</v>
      </c>
      <c r="M50" s="9">
        <v>1</v>
      </c>
      <c r="N50" s="9">
        <v>0</v>
      </c>
      <c r="O50" s="9">
        <v>17</v>
      </c>
      <c r="P50" s="9">
        <v>0</v>
      </c>
      <c r="Q50" s="9">
        <v>0</v>
      </c>
      <c r="R50" s="9">
        <v>0</v>
      </c>
      <c r="S50" s="9">
        <v>2</v>
      </c>
      <c r="T50" s="9">
        <v>0</v>
      </c>
      <c r="U50" s="9">
        <v>0</v>
      </c>
      <c r="V50" s="9">
        <v>2</v>
      </c>
      <c r="W50" s="9">
        <v>0</v>
      </c>
      <c r="X50" s="9">
        <v>0</v>
      </c>
      <c r="Y50" s="9">
        <v>0</v>
      </c>
      <c r="Z50" s="9">
        <v>0</v>
      </c>
      <c r="AB50" s="9">
        <f t="shared" si="0"/>
        <v>46</v>
      </c>
      <c r="AC50" s="9">
        <f t="shared" si="1"/>
        <v>422</v>
      </c>
      <c r="AD50" s="10">
        <f t="shared" si="2"/>
        <v>9.1739130434782616</v>
      </c>
    </row>
    <row r="51" spans="1:30" x14ac:dyDescent="0.3">
      <c r="A51" s="55"/>
      <c r="B51" s="30" t="s">
        <v>53</v>
      </c>
      <c r="C51" s="9">
        <v>16</v>
      </c>
      <c r="D51" s="9">
        <v>14</v>
      </c>
      <c r="E51" s="9">
        <v>21</v>
      </c>
      <c r="F51" s="9">
        <v>27</v>
      </c>
      <c r="G51" s="9">
        <v>36</v>
      </c>
      <c r="H51" s="9">
        <v>39</v>
      </c>
      <c r="I51" s="9">
        <v>22</v>
      </c>
      <c r="J51" s="9">
        <v>23</v>
      </c>
      <c r="K51" s="9">
        <v>33</v>
      </c>
      <c r="L51" s="9">
        <v>19</v>
      </c>
      <c r="M51" s="9">
        <v>25</v>
      </c>
      <c r="N51" s="9">
        <v>19</v>
      </c>
      <c r="O51" s="9">
        <v>66</v>
      </c>
      <c r="P51" s="9">
        <v>1</v>
      </c>
      <c r="Q51" s="9">
        <v>1</v>
      </c>
      <c r="R51" s="9">
        <v>11</v>
      </c>
      <c r="S51" s="9">
        <v>10</v>
      </c>
      <c r="T51" s="9">
        <v>9</v>
      </c>
      <c r="U51" s="9">
        <v>0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B51" s="9">
        <f t="shared" si="0"/>
        <v>393</v>
      </c>
      <c r="AC51" s="9">
        <f t="shared" si="1"/>
        <v>2979</v>
      </c>
      <c r="AD51" s="10">
        <f t="shared" si="2"/>
        <v>7.5801526717557248</v>
      </c>
    </row>
    <row r="52" spans="1:30" x14ac:dyDescent="0.3">
      <c r="A52" s="55"/>
      <c r="B52" s="30" t="s">
        <v>54</v>
      </c>
      <c r="C52" s="9">
        <v>49</v>
      </c>
      <c r="D52" s="9">
        <v>23</v>
      </c>
      <c r="E52" s="9">
        <v>35</v>
      </c>
      <c r="F52" s="9">
        <v>55</v>
      </c>
      <c r="G52" s="9">
        <v>37</v>
      </c>
      <c r="H52" s="9">
        <v>52</v>
      </c>
      <c r="I52" s="9">
        <v>21</v>
      </c>
      <c r="J52" s="9">
        <v>20</v>
      </c>
      <c r="K52" s="9">
        <v>39</v>
      </c>
      <c r="L52" s="9">
        <v>21</v>
      </c>
      <c r="M52" s="9">
        <v>19</v>
      </c>
      <c r="N52" s="9">
        <v>22</v>
      </c>
      <c r="O52" s="9">
        <v>79</v>
      </c>
      <c r="P52" s="9">
        <v>3</v>
      </c>
      <c r="Q52" s="9">
        <v>5</v>
      </c>
      <c r="R52" s="9">
        <v>13</v>
      </c>
      <c r="S52" s="9">
        <v>16</v>
      </c>
      <c r="T52" s="9">
        <v>12</v>
      </c>
      <c r="U52" s="9">
        <v>0</v>
      </c>
      <c r="V52" s="9">
        <v>0</v>
      </c>
      <c r="W52" s="9">
        <v>1</v>
      </c>
      <c r="X52" s="9">
        <v>0</v>
      </c>
      <c r="Y52" s="9">
        <v>0</v>
      </c>
      <c r="Z52" s="9">
        <v>0</v>
      </c>
      <c r="AB52" s="9">
        <f t="shared" si="0"/>
        <v>522</v>
      </c>
      <c r="AC52" s="9">
        <f t="shared" si="1"/>
        <v>3597</v>
      </c>
      <c r="AD52" s="10">
        <f t="shared" si="2"/>
        <v>6.8908045977011492</v>
      </c>
    </row>
    <row r="53" spans="1:30" x14ac:dyDescent="0.3">
      <c r="A53" s="55"/>
      <c r="B53" s="30" t="s">
        <v>55</v>
      </c>
      <c r="C53" s="9">
        <v>105</v>
      </c>
      <c r="D53" s="9">
        <v>37</v>
      </c>
      <c r="E53" s="9">
        <v>72</v>
      </c>
      <c r="F53" s="9">
        <v>93</v>
      </c>
      <c r="G53" s="9">
        <v>83</v>
      </c>
      <c r="H53" s="9">
        <v>88</v>
      </c>
      <c r="I53" s="9">
        <v>52</v>
      </c>
      <c r="J53" s="9">
        <v>41</v>
      </c>
      <c r="K53" s="9">
        <v>39</v>
      </c>
      <c r="L53" s="9">
        <v>28</v>
      </c>
      <c r="M53" s="9">
        <v>17</v>
      </c>
      <c r="N53" s="9">
        <v>25</v>
      </c>
      <c r="O53" s="9">
        <v>80</v>
      </c>
      <c r="P53" s="9">
        <v>3</v>
      </c>
      <c r="Q53" s="9">
        <v>1</v>
      </c>
      <c r="R53" s="9">
        <v>8</v>
      </c>
      <c r="S53" s="9">
        <v>21</v>
      </c>
      <c r="T53" s="9">
        <v>7</v>
      </c>
      <c r="U53" s="9">
        <v>0</v>
      </c>
      <c r="V53" s="9">
        <v>1</v>
      </c>
      <c r="W53" s="9">
        <v>0</v>
      </c>
      <c r="X53" s="9">
        <v>0</v>
      </c>
      <c r="Y53" s="9">
        <v>0</v>
      </c>
      <c r="Z53" s="9">
        <v>0</v>
      </c>
      <c r="AB53" s="9">
        <f t="shared" si="0"/>
        <v>801</v>
      </c>
      <c r="AC53" s="9">
        <f t="shared" si="1"/>
        <v>4447</v>
      </c>
      <c r="AD53" s="10">
        <f t="shared" si="2"/>
        <v>5.5518102372034956</v>
      </c>
    </row>
    <row r="54" spans="1:30" x14ac:dyDescent="0.3">
      <c r="A54" s="55"/>
      <c r="B54" s="30" t="s">
        <v>56</v>
      </c>
      <c r="C54" s="9">
        <v>51</v>
      </c>
      <c r="D54" s="9">
        <v>18</v>
      </c>
      <c r="E54" s="9">
        <v>40</v>
      </c>
      <c r="F54" s="9">
        <v>83</v>
      </c>
      <c r="G54" s="9">
        <v>65</v>
      </c>
      <c r="H54" s="9">
        <v>71</v>
      </c>
      <c r="I54" s="9">
        <v>51</v>
      </c>
      <c r="J54" s="9">
        <v>34</v>
      </c>
      <c r="K54" s="9">
        <v>57</v>
      </c>
      <c r="L54" s="9">
        <v>33</v>
      </c>
      <c r="M54" s="9">
        <v>40</v>
      </c>
      <c r="N54" s="9">
        <v>22</v>
      </c>
      <c r="O54" s="9">
        <v>139</v>
      </c>
      <c r="P54" s="9">
        <v>3</v>
      </c>
      <c r="Q54" s="9">
        <v>3</v>
      </c>
      <c r="R54" s="9">
        <v>25</v>
      </c>
      <c r="S54" s="9">
        <v>28</v>
      </c>
      <c r="T54" s="9">
        <v>17</v>
      </c>
      <c r="U54" s="9">
        <v>0</v>
      </c>
      <c r="V54" s="9">
        <v>0</v>
      </c>
      <c r="W54" s="9">
        <v>1</v>
      </c>
      <c r="X54" s="9">
        <v>0</v>
      </c>
      <c r="Y54" s="9">
        <v>0</v>
      </c>
      <c r="Z54" s="9">
        <v>0</v>
      </c>
      <c r="AB54" s="9">
        <f t="shared" si="0"/>
        <v>781</v>
      </c>
      <c r="AC54" s="9">
        <f t="shared" si="1"/>
        <v>5782</v>
      </c>
      <c r="AD54" s="10">
        <f t="shared" si="2"/>
        <v>7.4033290653008965</v>
      </c>
    </row>
    <row r="55" spans="1:30" x14ac:dyDescent="0.3">
      <c r="A55" s="55"/>
      <c r="B55" s="30" t="s">
        <v>57</v>
      </c>
      <c r="C55" s="9">
        <v>34</v>
      </c>
      <c r="D55" s="9">
        <v>16</v>
      </c>
      <c r="E55" s="9">
        <v>19</v>
      </c>
      <c r="F55" s="9">
        <v>29</v>
      </c>
      <c r="G55" s="9">
        <v>21</v>
      </c>
      <c r="H55" s="9">
        <v>33</v>
      </c>
      <c r="I55" s="9">
        <v>33</v>
      </c>
      <c r="J55" s="9">
        <v>16</v>
      </c>
      <c r="K55" s="9">
        <v>12</v>
      </c>
      <c r="L55" s="9">
        <v>13</v>
      </c>
      <c r="M55" s="9">
        <v>10</v>
      </c>
      <c r="N55" s="9">
        <v>7</v>
      </c>
      <c r="O55" s="9">
        <v>23</v>
      </c>
      <c r="P55" s="9">
        <v>1</v>
      </c>
      <c r="Q55" s="9">
        <v>0</v>
      </c>
      <c r="R55" s="9">
        <v>2</v>
      </c>
      <c r="S55" s="9">
        <v>1</v>
      </c>
      <c r="T55" s="9">
        <v>1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B55" s="9">
        <f t="shared" si="0"/>
        <v>271</v>
      </c>
      <c r="AC55" s="9">
        <f t="shared" si="1"/>
        <v>1442</v>
      </c>
      <c r="AD55" s="10">
        <f t="shared" si="2"/>
        <v>5.3210332103321036</v>
      </c>
    </row>
    <row r="56" spans="1:30" x14ac:dyDescent="0.3">
      <c r="A56" s="55"/>
      <c r="B56" s="30" t="s">
        <v>58</v>
      </c>
      <c r="C56" s="9">
        <v>41</v>
      </c>
      <c r="D56" s="9">
        <v>8</v>
      </c>
      <c r="E56" s="9">
        <v>14</v>
      </c>
      <c r="F56" s="9">
        <v>29</v>
      </c>
      <c r="G56" s="9">
        <v>16</v>
      </c>
      <c r="H56" s="9">
        <v>20</v>
      </c>
      <c r="I56" s="9">
        <v>15</v>
      </c>
      <c r="J56" s="9">
        <v>16</v>
      </c>
      <c r="K56" s="9">
        <v>29</v>
      </c>
      <c r="L56" s="9">
        <v>22</v>
      </c>
      <c r="M56" s="9">
        <v>26</v>
      </c>
      <c r="N56" s="9">
        <v>27</v>
      </c>
      <c r="O56" s="9">
        <v>92</v>
      </c>
      <c r="P56" s="9">
        <v>0</v>
      </c>
      <c r="Q56" s="9">
        <v>6</v>
      </c>
      <c r="R56" s="9">
        <v>15</v>
      </c>
      <c r="S56" s="9">
        <v>22</v>
      </c>
      <c r="T56" s="9">
        <v>7</v>
      </c>
      <c r="U56" s="9">
        <v>0</v>
      </c>
      <c r="V56" s="9">
        <v>0</v>
      </c>
      <c r="W56" s="9">
        <v>0</v>
      </c>
      <c r="X56" s="9">
        <v>0</v>
      </c>
      <c r="Y56" s="9">
        <v>1</v>
      </c>
      <c r="Z56" s="9">
        <v>0</v>
      </c>
      <c r="AB56" s="9">
        <f t="shared" si="0"/>
        <v>406</v>
      </c>
      <c r="AC56" s="9">
        <f t="shared" si="1"/>
        <v>3382</v>
      </c>
      <c r="AD56" s="10">
        <f t="shared" si="2"/>
        <v>8.3300492610837438</v>
      </c>
    </row>
    <row r="57" spans="1:30" x14ac:dyDescent="0.3">
      <c r="A57" s="55"/>
      <c r="B57" s="30" t="s">
        <v>59</v>
      </c>
      <c r="C57" s="9">
        <v>52</v>
      </c>
      <c r="D57" s="9">
        <v>27</v>
      </c>
      <c r="E57" s="9">
        <v>33</v>
      </c>
      <c r="F57" s="9">
        <v>68</v>
      </c>
      <c r="G57" s="9">
        <v>47</v>
      </c>
      <c r="H57" s="9">
        <v>81</v>
      </c>
      <c r="I57" s="9">
        <v>49</v>
      </c>
      <c r="J57" s="9">
        <v>29</v>
      </c>
      <c r="K57" s="9">
        <v>33</v>
      </c>
      <c r="L57" s="9">
        <v>36</v>
      </c>
      <c r="M57" s="9">
        <v>31</v>
      </c>
      <c r="N57" s="9">
        <v>22</v>
      </c>
      <c r="O57" s="9">
        <v>96</v>
      </c>
      <c r="P57" s="9">
        <v>2</v>
      </c>
      <c r="Q57" s="9">
        <v>4</v>
      </c>
      <c r="R57" s="9">
        <v>11</v>
      </c>
      <c r="S57" s="9">
        <v>22</v>
      </c>
      <c r="T57" s="9">
        <v>6</v>
      </c>
      <c r="U57" s="9">
        <v>0</v>
      </c>
      <c r="V57" s="9">
        <v>0</v>
      </c>
      <c r="W57" s="9">
        <v>1</v>
      </c>
      <c r="X57" s="9">
        <v>0</v>
      </c>
      <c r="Y57" s="9">
        <v>0</v>
      </c>
      <c r="Z57" s="9">
        <v>0</v>
      </c>
      <c r="AB57" s="9">
        <f t="shared" si="0"/>
        <v>650</v>
      </c>
      <c r="AC57" s="9">
        <f t="shared" si="1"/>
        <v>4400</v>
      </c>
      <c r="AD57" s="10">
        <f t="shared" si="2"/>
        <v>6.7692307692307692</v>
      </c>
    </row>
    <row r="58" spans="1:30" x14ac:dyDescent="0.3">
      <c r="A58" s="55"/>
      <c r="B58" s="30" t="s">
        <v>60</v>
      </c>
      <c r="C58" s="9">
        <v>109</v>
      </c>
      <c r="D58" s="9">
        <v>18</v>
      </c>
      <c r="E58" s="9">
        <v>44</v>
      </c>
      <c r="F58" s="9">
        <v>51</v>
      </c>
      <c r="G58" s="9">
        <v>37</v>
      </c>
      <c r="H58" s="9">
        <v>40</v>
      </c>
      <c r="I58" s="9">
        <v>21</v>
      </c>
      <c r="J58" s="9">
        <v>28</v>
      </c>
      <c r="K58" s="9">
        <v>21</v>
      </c>
      <c r="L58" s="9">
        <v>15</v>
      </c>
      <c r="M58" s="9">
        <v>10</v>
      </c>
      <c r="N58" s="9">
        <v>10</v>
      </c>
      <c r="O58" s="9">
        <v>35</v>
      </c>
      <c r="P58" s="9">
        <v>1</v>
      </c>
      <c r="Q58" s="9">
        <v>1</v>
      </c>
      <c r="R58" s="9">
        <v>11</v>
      </c>
      <c r="S58" s="9">
        <v>11</v>
      </c>
      <c r="T58" s="9">
        <v>4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B58" s="9">
        <f t="shared" si="0"/>
        <v>467</v>
      </c>
      <c r="AC58" s="9">
        <f t="shared" si="1"/>
        <v>2298</v>
      </c>
      <c r="AD58" s="10">
        <f t="shared" si="2"/>
        <v>4.9207708779443253</v>
      </c>
    </row>
    <row r="59" spans="1:30" x14ac:dyDescent="0.3">
      <c r="A59" s="55"/>
      <c r="B59" s="30" t="s">
        <v>61</v>
      </c>
      <c r="C59" s="9">
        <v>53</v>
      </c>
      <c r="D59" s="9">
        <v>12</v>
      </c>
      <c r="E59" s="9">
        <v>31</v>
      </c>
      <c r="F59" s="9">
        <v>42</v>
      </c>
      <c r="G59" s="9">
        <v>21</v>
      </c>
      <c r="H59" s="9">
        <v>28</v>
      </c>
      <c r="I59" s="9">
        <v>14</v>
      </c>
      <c r="J59" s="9">
        <v>9</v>
      </c>
      <c r="K59" s="9">
        <v>14</v>
      </c>
      <c r="L59" s="9">
        <v>11</v>
      </c>
      <c r="M59" s="9">
        <v>14</v>
      </c>
      <c r="N59" s="9">
        <v>9</v>
      </c>
      <c r="O59" s="9">
        <v>31</v>
      </c>
      <c r="P59" s="9">
        <v>3</v>
      </c>
      <c r="Q59" s="9">
        <v>2</v>
      </c>
      <c r="R59" s="9">
        <v>4</v>
      </c>
      <c r="S59" s="9">
        <v>4</v>
      </c>
      <c r="T59" s="9">
        <v>6</v>
      </c>
      <c r="U59" s="9">
        <v>0</v>
      </c>
      <c r="V59" s="9">
        <v>2</v>
      </c>
      <c r="W59" s="9">
        <v>0</v>
      </c>
      <c r="X59" s="9">
        <v>0</v>
      </c>
      <c r="Y59" s="9">
        <v>0</v>
      </c>
      <c r="Z59" s="9">
        <v>0</v>
      </c>
      <c r="AB59" s="9">
        <f t="shared" si="0"/>
        <v>310</v>
      </c>
      <c r="AC59" s="9">
        <f t="shared" si="1"/>
        <v>1724</v>
      </c>
      <c r="AD59" s="10">
        <f t="shared" si="2"/>
        <v>5.5612903225806454</v>
      </c>
    </row>
    <row r="60" spans="1:30" x14ac:dyDescent="0.3">
      <c r="A60" s="55"/>
      <c r="B60" s="30" t="s">
        <v>62</v>
      </c>
      <c r="C60" s="9">
        <v>75</v>
      </c>
      <c r="D60" s="9">
        <v>78</v>
      </c>
      <c r="E60" s="9">
        <v>86</v>
      </c>
      <c r="F60" s="9">
        <v>158</v>
      </c>
      <c r="G60" s="9">
        <v>151</v>
      </c>
      <c r="H60" s="9">
        <v>178</v>
      </c>
      <c r="I60" s="9">
        <v>104</v>
      </c>
      <c r="J60" s="9">
        <v>90</v>
      </c>
      <c r="K60" s="9">
        <v>102</v>
      </c>
      <c r="L60" s="9">
        <v>103</v>
      </c>
      <c r="M60" s="9">
        <v>83</v>
      </c>
      <c r="N60" s="9">
        <v>61</v>
      </c>
      <c r="O60" s="9">
        <v>258</v>
      </c>
      <c r="P60" s="9">
        <v>7</v>
      </c>
      <c r="Q60" s="9">
        <v>13</v>
      </c>
      <c r="R60" s="9">
        <v>37</v>
      </c>
      <c r="S60" s="9">
        <v>48</v>
      </c>
      <c r="T60" s="9">
        <v>29</v>
      </c>
      <c r="U60" s="9">
        <v>0</v>
      </c>
      <c r="V60" s="9">
        <v>3</v>
      </c>
      <c r="W60" s="9">
        <v>0</v>
      </c>
      <c r="X60" s="9">
        <v>0</v>
      </c>
      <c r="Y60" s="9">
        <v>0</v>
      </c>
      <c r="Z60" s="9">
        <v>0</v>
      </c>
      <c r="AB60" s="9">
        <f t="shared" si="0"/>
        <v>1664</v>
      </c>
      <c r="AC60" s="9">
        <f t="shared" si="1"/>
        <v>11958</v>
      </c>
      <c r="AD60" s="10">
        <f t="shared" si="2"/>
        <v>7.1862980769230766</v>
      </c>
    </row>
    <row r="61" spans="1:30" x14ac:dyDescent="0.3">
      <c r="A61" s="55"/>
      <c r="B61" s="30" t="s">
        <v>63</v>
      </c>
      <c r="C61" s="9">
        <v>26</v>
      </c>
      <c r="D61" s="9">
        <v>32</v>
      </c>
      <c r="E61" s="9">
        <v>30</v>
      </c>
      <c r="F61" s="9">
        <v>66</v>
      </c>
      <c r="G61" s="9">
        <v>63</v>
      </c>
      <c r="H61" s="9">
        <v>85</v>
      </c>
      <c r="I61" s="9">
        <v>81</v>
      </c>
      <c r="J61" s="9">
        <v>68</v>
      </c>
      <c r="K61" s="9">
        <v>78</v>
      </c>
      <c r="L61" s="9">
        <v>74</v>
      </c>
      <c r="M61" s="9">
        <v>78</v>
      </c>
      <c r="N61" s="9">
        <v>67</v>
      </c>
      <c r="O61" s="9">
        <v>237</v>
      </c>
      <c r="P61" s="9">
        <v>10</v>
      </c>
      <c r="Q61" s="9">
        <v>12</v>
      </c>
      <c r="R61" s="9">
        <v>26</v>
      </c>
      <c r="S61" s="9">
        <v>40</v>
      </c>
      <c r="T61" s="9">
        <v>21</v>
      </c>
      <c r="U61" s="9">
        <v>2</v>
      </c>
      <c r="V61" s="9">
        <v>1</v>
      </c>
      <c r="W61" s="9">
        <v>0</v>
      </c>
      <c r="X61" s="9">
        <v>0</v>
      </c>
      <c r="Y61" s="9">
        <v>0</v>
      </c>
      <c r="Z61" s="9">
        <v>0</v>
      </c>
      <c r="AB61" s="9">
        <f t="shared" si="0"/>
        <v>1097</v>
      </c>
      <c r="AC61" s="9">
        <f t="shared" si="1"/>
        <v>9320</v>
      </c>
      <c r="AD61" s="10">
        <f t="shared" si="2"/>
        <v>8.4958979033728355</v>
      </c>
    </row>
    <row r="62" spans="1:30" x14ac:dyDescent="0.3">
      <c r="A62" s="55"/>
      <c r="B62" s="30" t="s">
        <v>64</v>
      </c>
      <c r="C62" s="9">
        <v>39</v>
      </c>
      <c r="D62" s="9">
        <v>28</v>
      </c>
      <c r="E62" s="9">
        <v>34</v>
      </c>
      <c r="F62" s="9">
        <v>39</v>
      </c>
      <c r="G62" s="9">
        <v>38</v>
      </c>
      <c r="H62" s="9">
        <v>65</v>
      </c>
      <c r="I62" s="9">
        <v>42</v>
      </c>
      <c r="J62" s="9">
        <v>32</v>
      </c>
      <c r="K62" s="9">
        <v>46</v>
      </c>
      <c r="L62" s="9">
        <v>26</v>
      </c>
      <c r="M62" s="9">
        <v>34</v>
      </c>
      <c r="N62" s="9">
        <v>39</v>
      </c>
      <c r="O62" s="9">
        <v>106</v>
      </c>
      <c r="P62" s="9">
        <v>2</v>
      </c>
      <c r="Q62" s="9">
        <v>3</v>
      </c>
      <c r="R62" s="9">
        <v>18</v>
      </c>
      <c r="S62" s="9">
        <v>29</v>
      </c>
      <c r="T62" s="9">
        <v>1</v>
      </c>
      <c r="U62" s="9">
        <v>0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B62" s="9">
        <f t="shared" si="0"/>
        <v>622</v>
      </c>
      <c r="AC62" s="9">
        <f t="shared" si="1"/>
        <v>4647</v>
      </c>
      <c r="AD62" s="10">
        <f t="shared" si="2"/>
        <v>7.471061093247588</v>
      </c>
    </row>
    <row r="63" spans="1:30" x14ac:dyDescent="0.3">
      <c r="A63" s="55"/>
      <c r="B63" s="30" t="s">
        <v>65</v>
      </c>
      <c r="C63" s="9">
        <v>19</v>
      </c>
      <c r="D63" s="9">
        <v>4</v>
      </c>
      <c r="E63" s="9">
        <v>12</v>
      </c>
      <c r="F63" s="9">
        <v>17</v>
      </c>
      <c r="G63" s="9">
        <v>15</v>
      </c>
      <c r="H63" s="9">
        <v>15</v>
      </c>
      <c r="I63" s="9">
        <v>7</v>
      </c>
      <c r="J63" s="9">
        <v>2</v>
      </c>
      <c r="K63" s="9">
        <v>9</v>
      </c>
      <c r="L63" s="9">
        <v>10</v>
      </c>
      <c r="M63" s="9">
        <v>8</v>
      </c>
      <c r="N63" s="9">
        <v>6</v>
      </c>
      <c r="O63" s="9">
        <v>18</v>
      </c>
      <c r="P63" s="9">
        <v>1</v>
      </c>
      <c r="Q63" s="9">
        <v>1</v>
      </c>
      <c r="R63" s="9">
        <v>5</v>
      </c>
      <c r="S63" s="9">
        <v>9</v>
      </c>
      <c r="T63" s="9">
        <v>3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B63" s="9">
        <f t="shared" si="0"/>
        <v>161</v>
      </c>
      <c r="AC63" s="9">
        <f t="shared" si="1"/>
        <v>1091</v>
      </c>
      <c r="AD63" s="10">
        <f t="shared" si="2"/>
        <v>6.7763975155279503</v>
      </c>
    </row>
    <row r="64" spans="1:30" x14ac:dyDescent="0.3">
      <c r="A64" s="55"/>
      <c r="B64" s="30" t="s">
        <v>66</v>
      </c>
      <c r="C64" s="9">
        <v>19</v>
      </c>
      <c r="D64" s="9">
        <v>4</v>
      </c>
      <c r="E64" s="9">
        <v>9</v>
      </c>
      <c r="F64" s="9">
        <v>24</v>
      </c>
      <c r="G64" s="9">
        <v>25</v>
      </c>
      <c r="H64" s="9">
        <v>32</v>
      </c>
      <c r="I64" s="9">
        <v>16</v>
      </c>
      <c r="J64" s="9">
        <v>17</v>
      </c>
      <c r="K64" s="9">
        <v>12</v>
      </c>
      <c r="L64" s="9">
        <v>16</v>
      </c>
      <c r="M64" s="9">
        <v>18</v>
      </c>
      <c r="N64" s="9">
        <v>21</v>
      </c>
      <c r="O64" s="9">
        <v>49</v>
      </c>
      <c r="P64" s="9">
        <v>3</v>
      </c>
      <c r="Q64" s="9">
        <v>0</v>
      </c>
      <c r="R64" s="9">
        <v>7</v>
      </c>
      <c r="S64" s="9">
        <v>9</v>
      </c>
      <c r="T64" s="9">
        <v>9</v>
      </c>
      <c r="U64" s="9">
        <v>0</v>
      </c>
      <c r="V64" s="9">
        <v>1</v>
      </c>
      <c r="W64" s="9">
        <v>0</v>
      </c>
      <c r="X64" s="9">
        <v>0</v>
      </c>
      <c r="Y64" s="9">
        <v>0</v>
      </c>
      <c r="Z64" s="9">
        <v>0</v>
      </c>
      <c r="AB64" s="9">
        <f t="shared" si="0"/>
        <v>291</v>
      </c>
      <c r="AC64" s="9">
        <f t="shared" si="1"/>
        <v>2268</v>
      </c>
      <c r="AD64" s="10">
        <f t="shared" si="2"/>
        <v>7.7938144329896906</v>
      </c>
    </row>
    <row r="65" spans="1:30" x14ac:dyDescent="0.3">
      <c r="A65" s="55"/>
      <c r="B65" s="30" t="s">
        <v>67</v>
      </c>
      <c r="C65" s="9">
        <v>25</v>
      </c>
      <c r="D65" s="9">
        <v>19</v>
      </c>
      <c r="E65" s="9">
        <v>41</v>
      </c>
      <c r="F65" s="9">
        <v>34</v>
      </c>
      <c r="G65" s="9">
        <v>31</v>
      </c>
      <c r="H65" s="9">
        <v>48</v>
      </c>
      <c r="I65" s="9">
        <v>59</v>
      </c>
      <c r="J65" s="9">
        <v>32</v>
      </c>
      <c r="K65" s="9">
        <v>38</v>
      </c>
      <c r="L65" s="9">
        <v>47</v>
      </c>
      <c r="M65" s="9">
        <v>70</v>
      </c>
      <c r="N65" s="9">
        <v>63</v>
      </c>
      <c r="O65" s="9">
        <v>174</v>
      </c>
      <c r="P65" s="9">
        <v>1</v>
      </c>
      <c r="Q65" s="9">
        <v>7</v>
      </c>
      <c r="R65" s="9">
        <v>35</v>
      </c>
      <c r="S65" s="9">
        <v>42</v>
      </c>
      <c r="T65" s="9">
        <v>24</v>
      </c>
      <c r="U65" s="9">
        <v>0</v>
      </c>
      <c r="V65" s="9">
        <v>1</v>
      </c>
      <c r="W65" s="9">
        <v>0</v>
      </c>
      <c r="X65" s="9">
        <v>0</v>
      </c>
      <c r="Y65" s="9">
        <v>0</v>
      </c>
      <c r="Z65" s="9">
        <v>0</v>
      </c>
      <c r="AB65" s="9">
        <f t="shared" si="0"/>
        <v>791</v>
      </c>
      <c r="AC65" s="9">
        <f t="shared" si="1"/>
        <v>7088</v>
      </c>
      <c r="AD65" s="10">
        <f t="shared" si="2"/>
        <v>8.9608091024020222</v>
      </c>
    </row>
    <row r="66" spans="1:30" x14ac:dyDescent="0.3">
      <c r="A66" s="55"/>
      <c r="B66" s="30" t="s">
        <v>68</v>
      </c>
      <c r="C66" s="9">
        <v>30</v>
      </c>
      <c r="D66" s="9">
        <v>38</v>
      </c>
      <c r="E66" s="9">
        <v>37</v>
      </c>
      <c r="F66" s="9">
        <v>59</v>
      </c>
      <c r="G66" s="9">
        <v>44</v>
      </c>
      <c r="H66" s="9">
        <v>81</v>
      </c>
      <c r="I66" s="9">
        <v>68</v>
      </c>
      <c r="J66" s="9">
        <v>73</v>
      </c>
      <c r="K66" s="9">
        <v>80</v>
      </c>
      <c r="L66" s="9">
        <v>72</v>
      </c>
      <c r="M66" s="9">
        <v>79</v>
      </c>
      <c r="N66" s="9">
        <v>91</v>
      </c>
      <c r="O66" s="9">
        <v>202</v>
      </c>
      <c r="P66" s="9">
        <v>5</v>
      </c>
      <c r="Q66" s="9">
        <v>10</v>
      </c>
      <c r="R66" s="9">
        <v>33</v>
      </c>
      <c r="S66" s="9">
        <v>39</v>
      </c>
      <c r="T66" s="9">
        <v>17</v>
      </c>
      <c r="U66" s="9">
        <v>2</v>
      </c>
      <c r="V66" s="9">
        <v>1</v>
      </c>
      <c r="W66" s="9">
        <v>1</v>
      </c>
      <c r="X66" s="9">
        <v>0</v>
      </c>
      <c r="Y66" s="9">
        <v>0</v>
      </c>
      <c r="Z66" s="9">
        <v>0</v>
      </c>
      <c r="AB66" s="9">
        <f t="shared" si="0"/>
        <v>1062</v>
      </c>
      <c r="AC66" s="9">
        <f t="shared" si="1"/>
        <v>8980</v>
      </c>
      <c r="AD66" s="10">
        <f t="shared" si="2"/>
        <v>8.4557438794726938</v>
      </c>
    </row>
    <row r="67" spans="1:30" x14ac:dyDescent="0.3">
      <c r="A67" s="55"/>
      <c r="B67" s="30" t="s">
        <v>69</v>
      </c>
      <c r="C67" s="9">
        <v>31</v>
      </c>
      <c r="D67" s="9">
        <v>22</v>
      </c>
      <c r="E67" s="9">
        <v>20</v>
      </c>
      <c r="F67" s="9">
        <v>29</v>
      </c>
      <c r="G67" s="9">
        <v>20</v>
      </c>
      <c r="H67" s="9">
        <v>58</v>
      </c>
      <c r="I67" s="9">
        <v>56</v>
      </c>
      <c r="J67" s="9">
        <v>31</v>
      </c>
      <c r="K67" s="9">
        <v>52</v>
      </c>
      <c r="L67" s="9">
        <v>57</v>
      </c>
      <c r="M67" s="9">
        <v>35</v>
      </c>
      <c r="N67" s="9">
        <v>57</v>
      </c>
      <c r="O67" s="9">
        <v>131</v>
      </c>
      <c r="P67" s="9">
        <v>7</v>
      </c>
      <c r="Q67" s="9">
        <v>12</v>
      </c>
      <c r="R67" s="9">
        <v>16</v>
      </c>
      <c r="S67" s="9">
        <v>20</v>
      </c>
      <c r="T67" s="9">
        <v>15</v>
      </c>
      <c r="U67" s="9">
        <v>1</v>
      </c>
      <c r="V67" s="9">
        <v>2</v>
      </c>
      <c r="W67" s="9">
        <v>0</v>
      </c>
      <c r="X67" s="9">
        <v>1</v>
      </c>
      <c r="Y67" s="9">
        <v>0</v>
      </c>
      <c r="Z67" s="9">
        <v>0</v>
      </c>
      <c r="AB67" s="9">
        <f t="shared" si="0"/>
        <v>673</v>
      </c>
      <c r="AC67" s="9">
        <f t="shared" si="1"/>
        <v>5701</v>
      </c>
      <c r="AD67" s="10">
        <f t="shared" si="2"/>
        <v>8.4710252600297178</v>
      </c>
    </row>
    <row r="68" spans="1:30" x14ac:dyDescent="0.3">
      <c r="A68" s="55"/>
      <c r="B68" s="30" t="s">
        <v>70</v>
      </c>
      <c r="C68" s="9">
        <v>86</v>
      </c>
      <c r="D68" s="9">
        <v>37</v>
      </c>
      <c r="E68" s="9">
        <v>40</v>
      </c>
      <c r="F68" s="9">
        <v>75</v>
      </c>
      <c r="G68" s="9">
        <v>65</v>
      </c>
      <c r="H68" s="9">
        <v>104</v>
      </c>
      <c r="I68" s="9">
        <v>101</v>
      </c>
      <c r="J68" s="9">
        <v>79</v>
      </c>
      <c r="K68" s="9">
        <v>79</v>
      </c>
      <c r="L68" s="9">
        <v>102</v>
      </c>
      <c r="M68" s="9">
        <v>105</v>
      </c>
      <c r="N68" s="9">
        <v>85</v>
      </c>
      <c r="O68" s="9">
        <v>233</v>
      </c>
      <c r="P68" s="9">
        <v>7</v>
      </c>
      <c r="Q68" s="9">
        <v>7</v>
      </c>
      <c r="R68" s="9">
        <v>22</v>
      </c>
      <c r="S68" s="9">
        <v>34</v>
      </c>
      <c r="T68" s="9">
        <v>31</v>
      </c>
      <c r="U68" s="9">
        <v>4</v>
      </c>
      <c r="V68" s="9">
        <v>3</v>
      </c>
      <c r="W68" s="9">
        <v>4</v>
      </c>
      <c r="X68" s="9">
        <v>0</v>
      </c>
      <c r="Y68" s="9">
        <v>1</v>
      </c>
      <c r="Z68" s="9">
        <v>1</v>
      </c>
      <c r="AB68" s="9">
        <f t="shared" ref="AB68:AB131" si="4">SUM(C68:Z68)</f>
        <v>1305</v>
      </c>
      <c r="AC68" s="9">
        <f t="shared" ref="AC68:AC131" si="5">C$2*C68+D$2*D68+E$2*E68+F$2*F68+G$2*G68+H$2*H68+I$2*I68+J$2*J68+K$2*K68+L$2*L68+M$2*M68+N$2*N68+O$2*O68+P$2*P68+Q$2*Q68+R$2*R68+S$2*S68+T$2*T68+U$2*U68+V$2*V68+W$2*W68+X$2*X68+Y$2*Y68+Z$2*Z68</f>
        <v>10456</v>
      </c>
      <c r="AD68" s="10">
        <f t="shared" si="2"/>
        <v>8.0122605363984682</v>
      </c>
    </row>
    <row r="69" spans="1:30" x14ac:dyDescent="0.3">
      <c r="A69" s="55"/>
      <c r="B69" s="30" t="s">
        <v>71</v>
      </c>
      <c r="C69" s="9">
        <v>24</v>
      </c>
      <c r="D69" s="9">
        <v>17</v>
      </c>
      <c r="E69" s="9">
        <v>37</v>
      </c>
      <c r="F69" s="9">
        <v>53</v>
      </c>
      <c r="G69" s="9">
        <v>38</v>
      </c>
      <c r="H69" s="9">
        <v>69</v>
      </c>
      <c r="I69" s="9">
        <v>32</v>
      </c>
      <c r="J69" s="9">
        <v>21</v>
      </c>
      <c r="K69" s="9">
        <v>26</v>
      </c>
      <c r="L69" s="9">
        <v>25</v>
      </c>
      <c r="M69" s="9">
        <v>19</v>
      </c>
      <c r="N69" s="9">
        <v>24</v>
      </c>
      <c r="O69" s="9">
        <v>69</v>
      </c>
      <c r="P69" s="9">
        <v>2</v>
      </c>
      <c r="Q69" s="9">
        <v>1</v>
      </c>
      <c r="R69" s="9">
        <v>5</v>
      </c>
      <c r="S69" s="9">
        <v>15</v>
      </c>
      <c r="T69" s="9">
        <v>6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B69" s="9">
        <f t="shared" si="4"/>
        <v>483</v>
      </c>
      <c r="AC69" s="9">
        <f t="shared" si="5"/>
        <v>3258</v>
      </c>
      <c r="AD69" s="10">
        <f t="shared" ref="AD69:AD132" si="6">AC69/AB69</f>
        <v>6.7453416149068319</v>
      </c>
    </row>
    <row r="70" spans="1:30" x14ac:dyDescent="0.3">
      <c r="A70" s="55"/>
      <c r="B70" s="30" t="s">
        <v>72</v>
      </c>
      <c r="C70" s="9">
        <v>181</v>
      </c>
      <c r="D70" s="9">
        <v>142</v>
      </c>
      <c r="E70" s="9">
        <v>209</v>
      </c>
      <c r="F70" s="9">
        <v>292</v>
      </c>
      <c r="G70" s="9">
        <v>284</v>
      </c>
      <c r="H70" s="9">
        <v>506</v>
      </c>
      <c r="I70" s="9">
        <v>341</v>
      </c>
      <c r="J70" s="9">
        <v>283</v>
      </c>
      <c r="K70" s="9">
        <v>358</v>
      </c>
      <c r="L70" s="9">
        <v>398</v>
      </c>
      <c r="M70" s="9">
        <v>473</v>
      </c>
      <c r="N70" s="9">
        <v>367</v>
      </c>
      <c r="O70" s="9">
        <v>1741</v>
      </c>
      <c r="P70" s="9">
        <v>106</v>
      </c>
      <c r="Q70" s="9">
        <v>160</v>
      </c>
      <c r="R70" s="9">
        <v>388</v>
      </c>
      <c r="S70" s="9">
        <v>430</v>
      </c>
      <c r="T70" s="9">
        <v>409</v>
      </c>
      <c r="U70" s="9">
        <v>11</v>
      </c>
      <c r="V70" s="9">
        <v>12</v>
      </c>
      <c r="W70" s="9">
        <v>2</v>
      </c>
      <c r="X70" s="9">
        <v>2</v>
      </c>
      <c r="Y70" s="9">
        <v>0</v>
      </c>
      <c r="Z70" s="9">
        <v>2</v>
      </c>
      <c r="AB70" s="9">
        <f t="shared" si="4"/>
        <v>7097</v>
      </c>
      <c r="AC70" s="9">
        <f t="shared" si="5"/>
        <v>69059</v>
      </c>
      <c r="AD70" s="10">
        <f t="shared" si="6"/>
        <v>9.730731294913344</v>
      </c>
    </row>
    <row r="71" spans="1:30" x14ac:dyDescent="0.3">
      <c r="A71" s="55"/>
      <c r="B71" s="30" t="s">
        <v>73</v>
      </c>
      <c r="C71" s="9">
        <v>13</v>
      </c>
      <c r="D71" s="9">
        <v>14</v>
      </c>
      <c r="E71" s="9">
        <v>16</v>
      </c>
      <c r="F71" s="9">
        <v>24</v>
      </c>
      <c r="G71" s="9">
        <v>16</v>
      </c>
      <c r="H71" s="9">
        <v>35</v>
      </c>
      <c r="I71" s="9">
        <v>26</v>
      </c>
      <c r="J71" s="9">
        <v>25</v>
      </c>
      <c r="K71" s="9">
        <v>27</v>
      </c>
      <c r="L71" s="9">
        <v>18</v>
      </c>
      <c r="M71" s="9">
        <v>26</v>
      </c>
      <c r="N71" s="9">
        <v>27</v>
      </c>
      <c r="O71" s="9">
        <v>92</v>
      </c>
      <c r="P71" s="9">
        <v>2</v>
      </c>
      <c r="Q71" s="9">
        <v>4</v>
      </c>
      <c r="R71" s="9">
        <v>19</v>
      </c>
      <c r="S71" s="9">
        <v>18</v>
      </c>
      <c r="T71" s="9">
        <v>18</v>
      </c>
      <c r="U71" s="9">
        <v>1</v>
      </c>
      <c r="V71" s="9">
        <v>3</v>
      </c>
      <c r="W71" s="9">
        <v>1</v>
      </c>
      <c r="X71" s="9">
        <v>0</v>
      </c>
      <c r="Y71" s="9">
        <v>0</v>
      </c>
      <c r="Z71" s="9">
        <v>0</v>
      </c>
      <c r="AB71" s="9">
        <f t="shared" si="4"/>
        <v>425</v>
      </c>
      <c r="AC71" s="9">
        <f t="shared" si="5"/>
        <v>3783</v>
      </c>
      <c r="AD71" s="10">
        <f t="shared" si="6"/>
        <v>8.9011764705882346</v>
      </c>
    </row>
    <row r="72" spans="1:30" x14ac:dyDescent="0.3">
      <c r="A72" s="55"/>
      <c r="B72" s="30" t="s">
        <v>74</v>
      </c>
      <c r="C72" s="9">
        <v>53</v>
      </c>
      <c r="D72" s="9">
        <v>25</v>
      </c>
      <c r="E72" s="9">
        <v>27</v>
      </c>
      <c r="F72" s="9">
        <v>40</v>
      </c>
      <c r="G72" s="9">
        <v>37</v>
      </c>
      <c r="H72" s="9">
        <v>78</v>
      </c>
      <c r="I72" s="9">
        <v>55</v>
      </c>
      <c r="J72" s="9">
        <v>49</v>
      </c>
      <c r="K72" s="9">
        <v>54</v>
      </c>
      <c r="L72" s="9">
        <v>54</v>
      </c>
      <c r="M72" s="9">
        <v>65</v>
      </c>
      <c r="N72" s="9">
        <v>56</v>
      </c>
      <c r="O72" s="9">
        <v>193</v>
      </c>
      <c r="P72" s="9">
        <v>3</v>
      </c>
      <c r="Q72" s="9">
        <v>4</v>
      </c>
      <c r="R72" s="9">
        <v>17</v>
      </c>
      <c r="S72" s="9">
        <v>21</v>
      </c>
      <c r="T72" s="9">
        <v>11</v>
      </c>
      <c r="U72" s="9">
        <v>1</v>
      </c>
      <c r="V72" s="9">
        <v>0</v>
      </c>
      <c r="W72" s="9">
        <v>1</v>
      </c>
      <c r="X72" s="9">
        <v>0</v>
      </c>
      <c r="Y72" s="9">
        <v>0</v>
      </c>
      <c r="Z72" s="9">
        <v>0</v>
      </c>
      <c r="AB72" s="9">
        <f t="shared" si="4"/>
        <v>844</v>
      </c>
      <c r="AC72" s="9">
        <f t="shared" si="5"/>
        <v>6821</v>
      </c>
      <c r="AD72" s="10">
        <f t="shared" si="6"/>
        <v>8.0817535545023702</v>
      </c>
    </row>
    <row r="73" spans="1:30" x14ac:dyDescent="0.3">
      <c r="A73" s="55"/>
      <c r="B73" s="30" t="s">
        <v>75</v>
      </c>
      <c r="C73" s="9">
        <v>16</v>
      </c>
      <c r="D73" s="9">
        <v>15</v>
      </c>
      <c r="E73" s="9">
        <v>16</v>
      </c>
      <c r="F73" s="9">
        <v>33</v>
      </c>
      <c r="G73" s="9">
        <v>37</v>
      </c>
      <c r="H73" s="9">
        <v>51</v>
      </c>
      <c r="I73" s="9">
        <v>31</v>
      </c>
      <c r="J73" s="9">
        <v>23</v>
      </c>
      <c r="K73" s="9">
        <v>26</v>
      </c>
      <c r="L73" s="9">
        <v>26</v>
      </c>
      <c r="M73" s="9">
        <v>40</v>
      </c>
      <c r="N73" s="9">
        <v>36</v>
      </c>
      <c r="O73" s="9">
        <v>117</v>
      </c>
      <c r="P73" s="9">
        <v>7</v>
      </c>
      <c r="Q73" s="9">
        <v>7</v>
      </c>
      <c r="R73" s="9">
        <v>18</v>
      </c>
      <c r="S73" s="9">
        <v>27</v>
      </c>
      <c r="T73" s="9">
        <v>13</v>
      </c>
      <c r="U73" s="9">
        <v>2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B73" s="9">
        <f t="shared" si="4"/>
        <v>541</v>
      </c>
      <c r="AC73" s="9">
        <f t="shared" si="5"/>
        <v>4686</v>
      </c>
      <c r="AD73" s="10">
        <f t="shared" si="6"/>
        <v>8.6617375231053604</v>
      </c>
    </row>
    <row r="74" spans="1:30" x14ac:dyDescent="0.3">
      <c r="A74" s="55"/>
      <c r="B74" s="30" t="s">
        <v>76</v>
      </c>
      <c r="C74" s="9">
        <v>20</v>
      </c>
      <c r="D74" s="9">
        <v>6</v>
      </c>
      <c r="E74" s="9">
        <v>9</v>
      </c>
      <c r="F74" s="9">
        <v>16</v>
      </c>
      <c r="G74" s="9">
        <v>22</v>
      </c>
      <c r="H74" s="9">
        <v>42</v>
      </c>
      <c r="I74" s="9">
        <v>19</v>
      </c>
      <c r="J74" s="9">
        <v>11</v>
      </c>
      <c r="K74" s="9">
        <v>27</v>
      </c>
      <c r="L74" s="9">
        <v>11</v>
      </c>
      <c r="M74" s="9">
        <v>13</v>
      </c>
      <c r="N74" s="9">
        <v>23</v>
      </c>
      <c r="O74" s="9">
        <v>134</v>
      </c>
      <c r="P74" s="9">
        <v>2</v>
      </c>
      <c r="Q74" s="9">
        <v>3</v>
      </c>
      <c r="R74" s="9">
        <v>6</v>
      </c>
      <c r="S74" s="9">
        <v>11</v>
      </c>
      <c r="T74" s="9">
        <v>9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B74" s="9">
        <f t="shared" si="4"/>
        <v>384</v>
      </c>
      <c r="AC74" s="9">
        <f t="shared" si="5"/>
        <v>3354</v>
      </c>
      <c r="AD74" s="10">
        <f t="shared" si="6"/>
        <v>8.734375</v>
      </c>
    </row>
    <row r="75" spans="1:30" x14ac:dyDescent="0.3">
      <c r="A75" s="55"/>
      <c r="B75" s="30" t="s">
        <v>77</v>
      </c>
      <c r="C75" s="9">
        <v>26</v>
      </c>
      <c r="D75" s="9">
        <v>23</v>
      </c>
      <c r="E75" s="9">
        <v>23</v>
      </c>
      <c r="F75" s="9">
        <v>37</v>
      </c>
      <c r="G75" s="9">
        <v>38</v>
      </c>
      <c r="H75" s="9">
        <v>62</v>
      </c>
      <c r="I75" s="9">
        <v>52</v>
      </c>
      <c r="J75" s="9">
        <v>34</v>
      </c>
      <c r="K75" s="9">
        <v>57</v>
      </c>
      <c r="L75" s="9">
        <v>70</v>
      </c>
      <c r="M75" s="9">
        <v>75</v>
      </c>
      <c r="N75" s="9">
        <v>44</v>
      </c>
      <c r="O75" s="9">
        <v>292</v>
      </c>
      <c r="P75" s="9">
        <v>8</v>
      </c>
      <c r="Q75" s="9">
        <v>5</v>
      </c>
      <c r="R75" s="9">
        <v>15</v>
      </c>
      <c r="S75" s="9">
        <v>29</v>
      </c>
      <c r="T75" s="9">
        <v>13</v>
      </c>
      <c r="U75" s="9">
        <v>2</v>
      </c>
      <c r="V75" s="9">
        <v>1</v>
      </c>
      <c r="W75" s="9">
        <v>3</v>
      </c>
      <c r="X75" s="9">
        <v>0</v>
      </c>
      <c r="Y75" s="9">
        <v>0</v>
      </c>
      <c r="Z75" s="9">
        <v>0</v>
      </c>
      <c r="AB75" s="9">
        <f t="shared" si="4"/>
        <v>909</v>
      </c>
      <c r="AC75" s="9">
        <f t="shared" si="5"/>
        <v>8215</v>
      </c>
      <c r="AD75" s="10">
        <f t="shared" si="6"/>
        <v>9.037403740374037</v>
      </c>
    </row>
    <row r="76" spans="1:30" x14ac:dyDescent="0.3">
      <c r="A76" s="55"/>
      <c r="B76" s="30" t="s">
        <v>78</v>
      </c>
      <c r="C76" s="9">
        <v>14</v>
      </c>
      <c r="D76" s="9">
        <v>17</v>
      </c>
      <c r="E76" s="9">
        <v>9</v>
      </c>
      <c r="F76" s="9">
        <v>23</v>
      </c>
      <c r="G76" s="9">
        <v>13</v>
      </c>
      <c r="H76" s="9">
        <v>38</v>
      </c>
      <c r="I76" s="9">
        <v>21</v>
      </c>
      <c r="J76" s="9">
        <v>28</v>
      </c>
      <c r="K76" s="9">
        <v>25</v>
      </c>
      <c r="L76" s="9">
        <v>17</v>
      </c>
      <c r="M76" s="9">
        <v>24</v>
      </c>
      <c r="N76" s="9">
        <v>22</v>
      </c>
      <c r="O76" s="9">
        <v>103</v>
      </c>
      <c r="P76" s="9">
        <v>1</v>
      </c>
      <c r="Q76" s="9">
        <v>0</v>
      </c>
      <c r="R76" s="9">
        <v>7</v>
      </c>
      <c r="S76" s="9">
        <v>4</v>
      </c>
      <c r="T76" s="9">
        <v>4</v>
      </c>
      <c r="U76" s="9">
        <v>0</v>
      </c>
      <c r="V76" s="9">
        <v>1</v>
      </c>
      <c r="W76" s="9">
        <v>1</v>
      </c>
      <c r="X76" s="9">
        <v>0</v>
      </c>
      <c r="Y76" s="9">
        <v>0</v>
      </c>
      <c r="Z76" s="9">
        <v>0</v>
      </c>
      <c r="AB76" s="9">
        <f t="shared" si="4"/>
        <v>372</v>
      </c>
      <c r="AC76" s="9">
        <f t="shared" si="5"/>
        <v>3028</v>
      </c>
      <c r="AD76" s="10">
        <f t="shared" si="6"/>
        <v>8.1397849462365599</v>
      </c>
    </row>
    <row r="77" spans="1:30" x14ac:dyDescent="0.3">
      <c r="A77" s="55"/>
      <c r="B77" s="30" t="s">
        <v>79</v>
      </c>
      <c r="C77" s="9">
        <v>27</v>
      </c>
      <c r="D77" s="9">
        <v>15</v>
      </c>
      <c r="E77" s="9">
        <v>27</v>
      </c>
      <c r="F77" s="9">
        <v>57</v>
      </c>
      <c r="G77" s="9">
        <v>52</v>
      </c>
      <c r="H77" s="9">
        <v>83</v>
      </c>
      <c r="I77" s="9">
        <v>42</v>
      </c>
      <c r="J77" s="9">
        <v>49</v>
      </c>
      <c r="K77" s="9">
        <v>48</v>
      </c>
      <c r="L77" s="9">
        <v>45</v>
      </c>
      <c r="M77" s="9">
        <v>63</v>
      </c>
      <c r="N77" s="9">
        <v>45</v>
      </c>
      <c r="O77" s="9">
        <v>176</v>
      </c>
      <c r="P77" s="9">
        <v>4</v>
      </c>
      <c r="Q77" s="9">
        <v>6</v>
      </c>
      <c r="R77" s="9">
        <v>23</v>
      </c>
      <c r="S77" s="9">
        <v>37</v>
      </c>
      <c r="T77" s="9">
        <v>16</v>
      </c>
      <c r="U77" s="9">
        <v>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B77" s="9">
        <f t="shared" si="4"/>
        <v>816</v>
      </c>
      <c r="AC77" s="9">
        <f t="shared" si="5"/>
        <v>6847</v>
      </c>
      <c r="AD77" s="10">
        <f t="shared" si="6"/>
        <v>8.3909313725490193</v>
      </c>
    </row>
    <row r="78" spans="1:30" x14ac:dyDescent="0.3">
      <c r="A78" s="55"/>
      <c r="B78" s="30" t="s">
        <v>80</v>
      </c>
      <c r="C78" s="9">
        <v>58</v>
      </c>
      <c r="D78" s="9">
        <v>28</v>
      </c>
      <c r="E78" s="9">
        <v>38</v>
      </c>
      <c r="F78" s="9">
        <v>65</v>
      </c>
      <c r="G78" s="9">
        <v>69</v>
      </c>
      <c r="H78" s="9">
        <v>115</v>
      </c>
      <c r="I78" s="9">
        <v>64</v>
      </c>
      <c r="J78" s="9">
        <v>65</v>
      </c>
      <c r="K78" s="9">
        <v>64</v>
      </c>
      <c r="L78" s="9">
        <v>42</v>
      </c>
      <c r="M78" s="9">
        <v>45</v>
      </c>
      <c r="N78" s="9">
        <v>39</v>
      </c>
      <c r="O78" s="9">
        <v>185</v>
      </c>
      <c r="P78" s="9">
        <v>1</v>
      </c>
      <c r="Q78" s="9">
        <v>2</v>
      </c>
      <c r="R78" s="9">
        <v>6</v>
      </c>
      <c r="S78" s="9">
        <v>9</v>
      </c>
      <c r="T78" s="9">
        <v>6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B78" s="9">
        <f t="shared" si="4"/>
        <v>901</v>
      </c>
      <c r="AC78" s="9">
        <f t="shared" si="5"/>
        <v>6355</v>
      </c>
      <c r="AD78" s="10">
        <f t="shared" si="6"/>
        <v>7.0532741398446168</v>
      </c>
    </row>
    <row r="79" spans="1:30" x14ac:dyDescent="0.3">
      <c r="A79" s="55"/>
      <c r="B79" s="30" t="s">
        <v>81</v>
      </c>
      <c r="C79" s="9">
        <v>21</v>
      </c>
      <c r="D79" s="9">
        <v>16</v>
      </c>
      <c r="E79" s="9">
        <v>19</v>
      </c>
      <c r="F79" s="9">
        <v>26</v>
      </c>
      <c r="G79" s="9">
        <v>17</v>
      </c>
      <c r="H79" s="9">
        <v>47</v>
      </c>
      <c r="I79" s="9">
        <v>21</v>
      </c>
      <c r="J79" s="9">
        <v>33</v>
      </c>
      <c r="K79" s="9">
        <v>38</v>
      </c>
      <c r="L79" s="9">
        <v>28</v>
      </c>
      <c r="M79" s="9">
        <v>31</v>
      </c>
      <c r="N79" s="9">
        <v>14</v>
      </c>
      <c r="O79" s="9">
        <v>74</v>
      </c>
      <c r="P79" s="9">
        <v>3</v>
      </c>
      <c r="Q79" s="9">
        <v>1</v>
      </c>
      <c r="R79" s="9">
        <v>4</v>
      </c>
      <c r="S79" s="9">
        <v>9</v>
      </c>
      <c r="T79" s="9">
        <v>4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B79" s="9">
        <f t="shared" si="4"/>
        <v>406</v>
      </c>
      <c r="AC79" s="9">
        <f t="shared" si="5"/>
        <v>3025</v>
      </c>
      <c r="AD79" s="10">
        <f t="shared" si="6"/>
        <v>7.4507389162561575</v>
      </c>
    </row>
    <row r="80" spans="1:30" x14ac:dyDescent="0.3">
      <c r="A80" s="55"/>
      <c r="B80" s="30" t="s">
        <v>82</v>
      </c>
      <c r="C80" s="9">
        <v>25</v>
      </c>
      <c r="D80" s="9">
        <v>8</v>
      </c>
      <c r="E80" s="9">
        <v>14</v>
      </c>
      <c r="F80" s="9">
        <v>24</v>
      </c>
      <c r="G80" s="9">
        <v>21</v>
      </c>
      <c r="H80" s="9">
        <v>27</v>
      </c>
      <c r="I80" s="9">
        <v>22</v>
      </c>
      <c r="J80" s="9">
        <v>20</v>
      </c>
      <c r="K80" s="9">
        <v>29</v>
      </c>
      <c r="L80" s="9">
        <v>14</v>
      </c>
      <c r="M80" s="9">
        <v>22</v>
      </c>
      <c r="N80" s="9">
        <v>19</v>
      </c>
      <c r="O80" s="9">
        <v>87</v>
      </c>
      <c r="P80" s="9">
        <v>2</v>
      </c>
      <c r="Q80" s="9">
        <v>3</v>
      </c>
      <c r="R80" s="9">
        <v>15</v>
      </c>
      <c r="S80" s="9">
        <v>6</v>
      </c>
      <c r="T80" s="9">
        <v>2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0</v>
      </c>
      <c r="AB80" s="9">
        <f t="shared" si="4"/>
        <v>361</v>
      </c>
      <c r="AC80" s="9">
        <f t="shared" si="5"/>
        <v>2872</v>
      </c>
      <c r="AD80" s="10">
        <f t="shared" si="6"/>
        <v>7.9556786703601112</v>
      </c>
    </row>
    <row r="81" spans="1:30" x14ac:dyDescent="0.3">
      <c r="A81" s="55"/>
      <c r="B81" s="30" t="s">
        <v>83</v>
      </c>
      <c r="C81" s="9">
        <v>38</v>
      </c>
      <c r="D81" s="9">
        <v>26</v>
      </c>
      <c r="E81" s="9">
        <v>25</v>
      </c>
      <c r="F81" s="9">
        <v>52</v>
      </c>
      <c r="G81" s="9">
        <v>47</v>
      </c>
      <c r="H81" s="9">
        <v>62</v>
      </c>
      <c r="I81" s="9">
        <v>52</v>
      </c>
      <c r="J81" s="9">
        <v>44</v>
      </c>
      <c r="K81" s="9">
        <v>60</v>
      </c>
      <c r="L81" s="9">
        <v>46</v>
      </c>
      <c r="M81" s="9">
        <v>52</v>
      </c>
      <c r="N81" s="9">
        <v>33</v>
      </c>
      <c r="O81" s="9">
        <v>157</v>
      </c>
      <c r="P81" s="9">
        <v>5</v>
      </c>
      <c r="Q81" s="9">
        <v>3</v>
      </c>
      <c r="R81" s="9">
        <v>19</v>
      </c>
      <c r="S81" s="9">
        <v>29</v>
      </c>
      <c r="T81" s="9">
        <v>14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1</v>
      </c>
      <c r="AB81" s="9">
        <f t="shared" si="4"/>
        <v>765</v>
      </c>
      <c r="AC81" s="9">
        <f t="shared" si="5"/>
        <v>6128</v>
      </c>
      <c r="AD81" s="10">
        <f t="shared" si="6"/>
        <v>8.0104575163398692</v>
      </c>
    </row>
    <row r="82" spans="1:30" x14ac:dyDescent="0.3">
      <c r="A82" s="55"/>
      <c r="B82" s="30" t="s">
        <v>84</v>
      </c>
      <c r="C82" s="9">
        <v>22</v>
      </c>
      <c r="D82" s="9">
        <v>34</v>
      </c>
      <c r="E82" s="9">
        <v>52</v>
      </c>
      <c r="F82" s="9">
        <v>80</v>
      </c>
      <c r="G82" s="9">
        <v>85</v>
      </c>
      <c r="H82" s="9">
        <v>108</v>
      </c>
      <c r="I82" s="9">
        <v>71</v>
      </c>
      <c r="J82" s="9">
        <v>51</v>
      </c>
      <c r="K82" s="9">
        <v>48</v>
      </c>
      <c r="L82" s="9">
        <v>26</v>
      </c>
      <c r="M82" s="9">
        <v>24</v>
      </c>
      <c r="N82" s="9">
        <v>29</v>
      </c>
      <c r="O82" s="9">
        <v>71</v>
      </c>
      <c r="P82" s="9">
        <v>5</v>
      </c>
      <c r="Q82" s="9">
        <v>15</v>
      </c>
      <c r="R82" s="9">
        <v>20</v>
      </c>
      <c r="S82" s="9">
        <v>26</v>
      </c>
      <c r="T82" s="9">
        <v>8</v>
      </c>
      <c r="U82" s="9">
        <v>0</v>
      </c>
      <c r="V82" s="9">
        <v>0</v>
      </c>
      <c r="W82" s="9">
        <v>1</v>
      </c>
      <c r="X82" s="9">
        <v>0</v>
      </c>
      <c r="Y82" s="9">
        <v>0</v>
      </c>
      <c r="Z82" s="9">
        <v>0</v>
      </c>
      <c r="AB82" s="9">
        <f t="shared" si="4"/>
        <v>776</v>
      </c>
      <c r="AC82" s="9">
        <f t="shared" si="5"/>
        <v>5217</v>
      </c>
      <c r="AD82" s="10">
        <f t="shared" si="6"/>
        <v>6.7229381443298966</v>
      </c>
    </row>
    <row r="83" spans="1:30" x14ac:dyDescent="0.3">
      <c r="A83" s="55"/>
      <c r="B83" s="30" t="s">
        <v>85</v>
      </c>
      <c r="C83" s="9">
        <v>30</v>
      </c>
      <c r="D83" s="9">
        <v>21</v>
      </c>
      <c r="E83" s="9">
        <v>30</v>
      </c>
      <c r="F83" s="9">
        <v>27</v>
      </c>
      <c r="G83" s="9">
        <v>50</v>
      </c>
      <c r="H83" s="9">
        <v>41</v>
      </c>
      <c r="I83" s="9">
        <v>35</v>
      </c>
      <c r="J83" s="9">
        <v>26</v>
      </c>
      <c r="K83" s="9">
        <v>31</v>
      </c>
      <c r="L83" s="9">
        <v>43</v>
      </c>
      <c r="M83" s="9">
        <v>34</v>
      </c>
      <c r="N83" s="9">
        <v>32</v>
      </c>
      <c r="O83" s="9">
        <v>80</v>
      </c>
      <c r="P83" s="9">
        <v>3</v>
      </c>
      <c r="Q83" s="9">
        <v>4</v>
      </c>
      <c r="R83" s="9">
        <v>12</v>
      </c>
      <c r="S83" s="9">
        <v>27</v>
      </c>
      <c r="T83" s="9">
        <v>18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B83" s="9">
        <f t="shared" si="4"/>
        <v>544</v>
      </c>
      <c r="AC83" s="9">
        <f t="shared" si="5"/>
        <v>4259</v>
      </c>
      <c r="AD83" s="10">
        <f t="shared" si="6"/>
        <v>7.8290441176470589</v>
      </c>
    </row>
    <row r="84" spans="1:30" x14ac:dyDescent="0.3">
      <c r="A84" s="55"/>
      <c r="B84" s="30" t="s">
        <v>86</v>
      </c>
      <c r="C84" s="9">
        <v>29</v>
      </c>
      <c r="D84" s="9">
        <v>20</v>
      </c>
      <c r="E84" s="9">
        <v>31</v>
      </c>
      <c r="F84" s="9">
        <v>40</v>
      </c>
      <c r="G84" s="9">
        <v>45</v>
      </c>
      <c r="H84" s="9">
        <v>112</v>
      </c>
      <c r="I84" s="9">
        <v>60</v>
      </c>
      <c r="J84" s="9">
        <v>51</v>
      </c>
      <c r="K84" s="9">
        <v>80</v>
      </c>
      <c r="L84" s="9">
        <v>37</v>
      </c>
      <c r="M84" s="9">
        <v>55</v>
      </c>
      <c r="N84" s="9">
        <v>55</v>
      </c>
      <c r="O84" s="9">
        <v>119</v>
      </c>
      <c r="P84" s="9">
        <v>4</v>
      </c>
      <c r="Q84" s="9">
        <v>4</v>
      </c>
      <c r="R84" s="9">
        <v>21</v>
      </c>
      <c r="S84" s="9">
        <v>35</v>
      </c>
      <c r="T84" s="9">
        <v>12</v>
      </c>
      <c r="U84" s="9">
        <v>0</v>
      </c>
      <c r="V84" s="9">
        <v>1</v>
      </c>
      <c r="W84" s="9">
        <v>0</v>
      </c>
      <c r="X84" s="9">
        <v>0</v>
      </c>
      <c r="Y84" s="9">
        <v>0</v>
      </c>
      <c r="Z84" s="9">
        <v>1</v>
      </c>
      <c r="AB84" s="9">
        <f t="shared" si="4"/>
        <v>812</v>
      </c>
      <c r="AC84" s="9">
        <f t="shared" si="5"/>
        <v>6444</v>
      </c>
      <c r="AD84" s="10">
        <f t="shared" si="6"/>
        <v>7.9359605911330053</v>
      </c>
    </row>
    <row r="85" spans="1:30" x14ac:dyDescent="0.3">
      <c r="A85" s="55"/>
      <c r="B85" s="30" t="s">
        <v>87</v>
      </c>
      <c r="C85" s="9">
        <v>39</v>
      </c>
      <c r="D85" s="9">
        <v>50</v>
      </c>
      <c r="E85" s="9">
        <v>72</v>
      </c>
      <c r="F85" s="9">
        <v>95</v>
      </c>
      <c r="G85" s="9">
        <v>115</v>
      </c>
      <c r="H85" s="9">
        <v>141</v>
      </c>
      <c r="I85" s="9">
        <v>70</v>
      </c>
      <c r="J85" s="9">
        <v>50</v>
      </c>
      <c r="K85" s="9">
        <v>61</v>
      </c>
      <c r="L85" s="9">
        <v>51</v>
      </c>
      <c r="M85" s="9">
        <v>69</v>
      </c>
      <c r="N85" s="9">
        <v>51</v>
      </c>
      <c r="O85" s="9">
        <v>195</v>
      </c>
      <c r="P85" s="9">
        <v>10</v>
      </c>
      <c r="Q85" s="9">
        <v>16</v>
      </c>
      <c r="R85" s="9">
        <v>49</v>
      </c>
      <c r="S85" s="9">
        <v>49</v>
      </c>
      <c r="T85" s="9">
        <v>26</v>
      </c>
      <c r="U85" s="9">
        <v>0</v>
      </c>
      <c r="V85" s="9">
        <v>2</v>
      </c>
      <c r="W85" s="9">
        <v>0</v>
      </c>
      <c r="X85" s="9">
        <v>0</v>
      </c>
      <c r="Y85" s="9">
        <v>0</v>
      </c>
      <c r="Z85" s="9">
        <v>0</v>
      </c>
      <c r="AB85" s="9">
        <f t="shared" si="4"/>
        <v>1211</v>
      </c>
      <c r="AC85" s="9">
        <f t="shared" si="5"/>
        <v>9305</v>
      </c>
      <c r="AD85" s="10">
        <f t="shared" si="6"/>
        <v>7.6837324525185799</v>
      </c>
    </row>
    <row r="86" spans="1:30" x14ac:dyDescent="0.3">
      <c r="A86" s="55"/>
      <c r="B86" s="30" t="s">
        <v>88</v>
      </c>
      <c r="C86" s="9">
        <v>17</v>
      </c>
      <c r="D86" s="9">
        <v>12</v>
      </c>
      <c r="E86" s="9">
        <v>16</v>
      </c>
      <c r="F86" s="9">
        <v>34</v>
      </c>
      <c r="G86" s="9">
        <v>26</v>
      </c>
      <c r="H86" s="9">
        <v>61</v>
      </c>
      <c r="I86" s="9">
        <v>43</v>
      </c>
      <c r="J86" s="9">
        <v>36</v>
      </c>
      <c r="K86" s="9">
        <v>61</v>
      </c>
      <c r="L86" s="9">
        <v>32</v>
      </c>
      <c r="M86" s="9">
        <v>35</v>
      </c>
      <c r="N86" s="9">
        <v>33</v>
      </c>
      <c r="O86" s="9">
        <v>66</v>
      </c>
      <c r="P86" s="9">
        <v>3</v>
      </c>
      <c r="Q86" s="9">
        <v>4</v>
      </c>
      <c r="R86" s="9">
        <v>13</v>
      </c>
      <c r="S86" s="9">
        <v>13</v>
      </c>
      <c r="T86" s="9">
        <v>8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B86" s="9">
        <f t="shared" si="4"/>
        <v>513</v>
      </c>
      <c r="AC86" s="9">
        <f t="shared" si="5"/>
        <v>3980</v>
      </c>
      <c r="AD86" s="10">
        <f t="shared" si="6"/>
        <v>7.7582846003898638</v>
      </c>
    </row>
    <row r="87" spans="1:30" x14ac:dyDescent="0.3">
      <c r="A87" s="55"/>
      <c r="B87" s="30" t="s">
        <v>89</v>
      </c>
      <c r="C87" s="9">
        <v>12</v>
      </c>
      <c r="D87" s="9">
        <v>8</v>
      </c>
      <c r="E87" s="9">
        <v>14</v>
      </c>
      <c r="F87" s="9">
        <v>31</v>
      </c>
      <c r="G87" s="9">
        <v>30</v>
      </c>
      <c r="H87" s="9">
        <v>32</v>
      </c>
      <c r="I87" s="9">
        <v>31</v>
      </c>
      <c r="J87" s="9">
        <v>39</v>
      </c>
      <c r="K87" s="9">
        <v>41</v>
      </c>
      <c r="L87" s="9">
        <v>23</v>
      </c>
      <c r="M87" s="9">
        <v>25</v>
      </c>
      <c r="N87" s="9">
        <v>28</v>
      </c>
      <c r="O87" s="9">
        <v>120</v>
      </c>
      <c r="P87" s="9">
        <v>0</v>
      </c>
      <c r="Q87" s="9">
        <v>2</v>
      </c>
      <c r="R87" s="9">
        <v>7</v>
      </c>
      <c r="S87" s="9">
        <v>6</v>
      </c>
      <c r="T87" s="9">
        <v>14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B87" s="9">
        <f t="shared" si="4"/>
        <v>463</v>
      </c>
      <c r="AC87" s="9">
        <f t="shared" si="5"/>
        <v>3868</v>
      </c>
      <c r="AD87" s="10">
        <f t="shared" si="6"/>
        <v>8.3542116630669554</v>
      </c>
    </row>
    <row r="88" spans="1:30" x14ac:dyDescent="0.3">
      <c r="A88" s="55"/>
      <c r="B88" s="30" t="s">
        <v>90</v>
      </c>
      <c r="C88" s="9">
        <v>39</v>
      </c>
      <c r="D88" s="9">
        <v>35</v>
      </c>
      <c r="E88" s="9">
        <v>50</v>
      </c>
      <c r="F88" s="9">
        <v>60</v>
      </c>
      <c r="G88" s="9">
        <v>79</v>
      </c>
      <c r="H88" s="9">
        <v>120</v>
      </c>
      <c r="I88" s="9">
        <v>112</v>
      </c>
      <c r="J88" s="9">
        <v>61</v>
      </c>
      <c r="K88" s="9">
        <v>107</v>
      </c>
      <c r="L88" s="9">
        <v>89</v>
      </c>
      <c r="M88" s="9">
        <v>97</v>
      </c>
      <c r="N88" s="9">
        <v>108</v>
      </c>
      <c r="O88" s="9">
        <v>375</v>
      </c>
      <c r="P88" s="9">
        <v>14</v>
      </c>
      <c r="Q88" s="9">
        <v>27</v>
      </c>
      <c r="R88" s="9">
        <v>50</v>
      </c>
      <c r="S88" s="9">
        <v>68</v>
      </c>
      <c r="T88" s="9">
        <v>45</v>
      </c>
      <c r="U88" s="9">
        <v>1</v>
      </c>
      <c r="V88" s="9">
        <v>1</v>
      </c>
      <c r="W88" s="9">
        <v>0</v>
      </c>
      <c r="X88" s="9">
        <v>1</v>
      </c>
      <c r="Y88" s="9">
        <v>0</v>
      </c>
      <c r="Z88" s="9">
        <v>0</v>
      </c>
      <c r="AB88" s="9">
        <f t="shared" si="4"/>
        <v>1539</v>
      </c>
      <c r="AC88" s="9">
        <f t="shared" si="5"/>
        <v>13866</v>
      </c>
      <c r="AD88" s="10">
        <f t="shared" si="6"/>
        <v>9.0097465886939574</v>
      </c>
    </row>
    <row r="89" spans="1:30" x14ac:dyDescent="0.3">
      <c r="A89" s="55"/>
      <c r="B89" s="30" t="s">
        <v>91</v>
      </c>
      <c r="C89" s="9">
        <v>46</v>
      </c>
      <c r="D89" s="9">
        <v>34</v>
      </c>
      <c r="E89" s="9">
        <v>60</v>
      </c>
      <c r="F89" s="9">
        <v>92</v>
      </c>
      <c r="G89" s="9">
        <v>106</v>
      </c>
      <c r="H89" s="9">
        <v>153</v>
      </c>
      <c r="I89" s="9">
        <v>82</v>
      </c>
      <c r="J89" s="9">
        <v>64</v>
      </c>
      <c r="K89" s="9">
        <v>78</v>
      </c>
      <c r="L89" s="9">
        <v>72</v>
      </c>
      <c r="M89" s="9">
        <v>74</v>
      </c>
      <c r="N89" s="9">
        <v>62</v>
      </c>
      <c r="O89" s="9">
        <v>238</v>
      </c>
      <c r="P89" s="9">
        <v>3</v>
      </c>
      <c r="Q89" s="9">
        <v>21</v>
      </c>
      <c r="R89" s="9">
        <v>40</v>
      </c>
      <c r="S89" s="9">
        <v>56</v>
      </c>
      <c r="T89" s="9">
        <v>41</v>
      </c>
      <c r="U89" s="9">
        <v>0</v>
      </c>
      <c r="V89" s="9">
        <v>2</v>
      </c>
      <c r="W89" s="9">
        <v>0</v>
      </c>
      <c r="X89" s="9">
        <v>0</v>
      </c>
      <c r="Y89" s="9">
        <v>0</v>
      </c>
      <c r="Z89" s="9">
        <v>0</v>
      </c>
      <c r="AB89" s="9">
        <f t="shared" si="4"/>
        <v>1324</v>
      </c>
      <c r="AC89" s="9">
        <f t="shared" si="5"/>
        <v>10673</v>
      </c>
      <c r="AD89" s="10">
        <f t="shared" si="6"/>
        <v>8.0611782477341389</v>
      </c>
    </row>
    <row r="90" spans="1:30" x14ac:dyDescent="0.3">
      <c r="A90" s="55"/>
      <c r="B90" s="30" t="s">
        <v>92</v>
      </c>
      <c r="C90" s="9">
        <v>13</v>
      </c>
      <c r="D90" s="9">
        <v>8</v>
      </c>
      <c r="E90" s="9">
        <v>18</v>
      </c>
      <c r="F90" s="9">
        <v>24</v>
      </c>
      <c r="G90" s="9">
        <v>20</v>
      </c>
      <c r="H90" s="9">
        <v>49</v>
      </c>
      <c r="I90" s="9">
        <v>33</v>
      </c>
      <c r="J90" s="9">
        <v>17</v>
      </c>
      <c r="K90" s="9">
        <v>45</v>
      </c>
      <c r="L90" s="9">
        <v>30</v>
      </c>
      <c r="M90" s="9">
        <v>35</v>
      </c>
      <c r="N90" s="9">
        <v>32</v>
      </c>
      <c r="O90" s="9">
        <v>168</v>
      </c>
      <c r="P90" s="9">
        <v>6</v>
      </c>
      <c r="Q90" s="9">
        <v>15</v>
      </c>
      <c r="R90" s="9">
        <v>25</v>
      </c>
      <c r="S90" s="9">
        <v>31</v>
      </c>
      <c r="T90" s="9">
        <v>16</v>
      </c>
      <c r="U90" s="9">
        <v>1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B90" s="9">
        <f t="shared" si="4"/>
        <v>586</v>
      </c>
      <c r="AC90" s="9">
        <f t="shared" si="5"/>
        <v>5555</v>
      </c>
      <c r="AD90" s="10">
        <f t="shared" si="6"/>
        <v>9.4795221843003414</v>
      </c>
    </row>
    <row r="91" spans="1:30" x14ac:dyDescent="0.3">
      <c r="A91" s="55"/>
      <c r="B91" s="30" t="s">
        <v>93</v>
      </c>
      <c r="C91" s="9">
        <v>74</v>
      </c>
      <c r="D91" s="9">
        <v>59</v>
      </c>
      <c r="E91" s="9">
        <v>51</v>
      </c>
      <c r="F91" s="9">
        <v>96</v>
      </c>
      <c r="G91" s="9">
        <v>93</v>
      </c>
      <c r="H91" s="9">
        <v>135</v>
      </c>
      <c r="I91" s="9">
        <v>110</v>
      </c>
      <c r="J91" s="9">
        <v>86</v>
      </c>
      <c r="K91" s="9">
        <v>110</v>
      </c>
      <c r="L91" s="9">
        <v>118</v>
      </c>
      <c r="M91" s="9">
        <v>128</v>
      </c>
      <c r="N91" s="9">
        <v>111</v>
      </c>
      <c r="O91" s="9">
        <v>423</v>
      </c>
      <c r="P91" s="9">
        <v>19</v>
      </c>
      <c r="Q91" s="9">
        <v>15</v>
      </c>
      <c r="R91" s="9">
        <v>86</v>
      </c>
      <c r="S91" s="9">
        <v>70</v>
      </c>
      <c r="T91" s="9">
        <v>61</v>
      </c>
      <c r="U91" s="9">
        <v>3</v>
      </c>
      <c r="V91" s="9">
        <v>1</v>
      </c>
      <c r="W91" s="9">
        <v>0</v>
      </c>
      <c r="X91" s="9">
        <v>1</v>
      </c>
      <c r="Y91" s="9">
        <v>0</v>
      </c>
      <c r="Z91" s="9">
        <v>0</v>
      </c>
      <c r="AB91" s="9">
        <f t="shared" si="4"/>
        <v>1850</v>
      </c>
      <c r="AC91" s="9">
        <f t="shared" si="5"/>
        <v>16275</v>
      </c>
      <c r="AD91" s="10">
        <f t="shared" si="6"/>
        <v>8.7972972972972965</v>
      </c>
    </row>
    <row r="92" spans="1:30" x14ac:dyDescent="0.3">
      <c r="A92" s="55"/>
      <c r="B92" s="30" t="s">
        <v>94</v>
      </c>
      <c r="C92" s="9">
        <v>149</v>
      </c>
      <c r="D92" s="9">
        <v>121</v>
      </c>
      <c r="E92" s="9">
        <v>215</v>
      </c>
      <c r="F92" s="9">
        <v>293</v>
      </c>
      <c r="G92" s="9">
        <v>283</v>
      </c>
      <c r="H92" s="9">
        <v>440</v>
      </c>
      <c r="I92" s="9">
        <v>280</v>
      </c>
      <c r="J92" s="9">
        <v>185</v>
      </c>
      <c r="K92" s="9">
        <v>283</v>
      </c>
      <c r="L92" s="9">
        <v>185</v>
      </c>
      <c r="M92" s="9">
        <v>202</v>
      </c>
      <c r="N92" s="9">
        <v>158</v>
      </c>
      <c r="O92" s="9">
        <v>533</v>
      </c>
      <c r="P92" s="9">
        <v>14</v>
      </c>
      <c r="Q92" s="9">
        <v>11</v>
      </c>
      <c r="R92" s="9">
        <v>47</v>
      </c>
      <c r="S92" s="9">
        <v>78</v>
      </c>
      <c r="T92" s="9">
        <v>26</v>
      </c>
      <c r="U92" s="9">
        <v>1</v>
      </c>
      <c r="V92" s="9">
        <v>2</v>
      </c>
      <c r="W92" s="9">
        <v>0</v>
      </c>
      <c r="X92" s="9">
        <v>3</v>
      </c>
      <c r="Y92" s="9">
        <v>0</v>
      </c>
      <c r="Z92" s="9">
        <v>1</v>
      </c>
      <c r="AB92" s="9">
        <f t="shared" si="4"/>
        <v>3510</v>
      </c>
      <c r="AC92" s="9">
        <f t="shared" si="5"/>
        <v>24693</v>
      </c>
      <c r="AD92" s="10">
        <f t="shared" si="6"/>
        <v>7.0350427350427349</v>
      </c>
    </row>
    <row r="93" spans="1:30" x14ac:dyDescent="0.3">
      <c r="A93" s="55"/>
      <c r="B93" s="30" t="s">
        <v>95</v>
      </c>
      <c r="C93" s="9">
        <v>128</v>
      </c>
      <c r="D93" s="9">
        <v>77</v>
      </c>
      <c r="E93" s="9">
        <v>115</v>
      </c>
      <c r="F93" s="9">
        <v>132</v>
      </c>
      <c r="G93" s="9">
        <v>130</v>
      </c>
      <c r="H93" s="9">
        <v>219</v>
      </c>
      <c r="I93" s="9">
        <v>123</v>
      </c>
      <c r="J93" s="9">
        <v>85</v>
      </c>
      <c r="K93" s="9">
        <v>94</v>
      </c>
      <c r="L93" s="9">
        <v>109</v>
      </c>
      <c r="M93" s="9">
        <v>147</v>
      </c>
      <c r="N93" s="9">
        <v>112</v>
      </c>
      <c r="O93" s="9">
        <v>416</v>
      </c>
      <c r="P93" s="9">
        <v>7</v>
      </c>
      <c r="Q93" s="9">
        <v>12</v>
      </c>
      <c r="R93" s="9">
        <v>37</v>
      </c>
      <c r="S93" s="9">
        <v>54</v>
      </c>
      <c r="T93" s="9">
        <v>31</v>
      </c>
      <c r="U93" s="9">
        <v>1</v>
      </c>
      <c r="V93" s="9">
        <v>3</v>
      </c>
      <c r="W93" s="9">
        <v>0</v>
      </c>
      <c r="X93" s="9">
        <v>0</v>
      </c>
      <c r="Y93" s="9">
        <v>0</v>
      </c>
      <c r="Z93" s="9">
        <v>0</v>
      </c>
      <c r="AB93" s="9">
        <f t="shared" si="4"/>
        <v>2032</v>
      </c>
      <c r="AC93" s="9">
        <f t="shared" si="5"/>
        <v>15358</v>
      </c>
      <c r="AD93" s="10">
        <f t="shared" si="6"/>
        <v>7.5580708661417324</v>
      </c>
    </row>
    <row r="94" spans="1:30" x14ac:dyDescent="0.3">
      <c r="A94" s="55"/>
      <c r="B94" s="30" t="s">
        <v>96</v>
      </c>
      <c r="C94" s="9">
        <v>84</v>
      </c>
      <c r="D94" s="9">
        <v>50</v>
      </c>
      <c r="E94" s="9">
        <v>73</v>
      </c>
      <c r="F94" s="9">
        <v>88</v>
      </c>
      <c r="G94" s="9">
        <v>100</v>
      </c>
      <c r="H94" s="9">
        <v>204</v>
      </c>
      <c r="I94" s="9">
        <v>145</v>
      </c>
      <c r="J94" s="9">
        <v>102</v>
      </c>
      <c r="K94" s="9">
        <v>132</v>
      </c>
      <c r="L94" s="9">
        <v>94</v>
      </c>
      <c r="M94" s="9">
        <v>103</v>
      </c>
      <c r="N94" s="9">
        <v>103</v>
      </c>
      <c r="O94" s="9">
        <v>406</v>
      </c>
      <c r="P94" s="9">
        <v>9</v>
      </c>
      <c r="Q94" s="9">
        <v>9</v>
      </c>
      <c r="R94" s="9">
        <v>23</v>
      </c>
      <c r="S94" s="9">
        <v>36</v>
      </c>
      <c r="T94" s="9">
        <v>27</v>
      </c>
      <c r="U94" s="9">
        <v>2</v>
      </c>
      <c r="V94" s="9">
        <v>1</v>
      </c>
      <c r="W94" s="9">
        <v>0</v>
      </c>
      <c r="X94" s="9">
        <v>1</v>
      </c>
      <c r="Y94" s="9">
        <v>0</v>
      </c>
      <c r="Z94" s="9">
        <v>0</v>
      </c>
      <c r="AB94" s="9">
        <f t="shared" si="4"/>
        <v>1792</v>
      </c>
      <c r="AC94" s="9">
        <f t="shared" si="5"/>
        <v>14100</v>
      </c>
      <c r="AD94" s="10">
        <f t="shared" si="6"/>
        <v>7.8683035714285712</v>
      </c>
    </row>
    <row r="95" spans="1:30" x14ac:dyDescent="0.3">
      <c r="A95" s="55"/>
      <c r="B95" s="30" t="s">
        <v>97</v>
      </c>
      <c r="C95" s="9">
        <v>53</v>
      </c>
      <c r="D95" s="9">
        <v>24</v>
      </c>
      <c r="E95" s="9">
        <v>20</v>
      </c>
      <c r="F95" s="9">
        <v>50</v>
      </c>
      <c r="G95" s="9">
        <v>45</v>
      </c>
      <c r="H95" s="9">
        <v>94</v>
      </c>
      <c r="I95" s="9">
        <v>45</v>
      </c>
      <c r="J95" s="9">
        <v>40</v>
      </c>
      <c r="K95" s="9">
        <v>64</v>
      </c>
      <c r="L95" s="9">
        <v>77</v>
      </c>
      <c r="M95" s="9">
        <v>65</v>
      </c>
      <c r="N95" s="9">
        <v>61</v>
      </c>
      <c r="O95" s="9">
        <v>262</v>
      </c>
      <c r="P95" s="9">
        <v>10</v>
      </c>
      <c r="Q95" s="9">
        <v>11</v>
      </c>
      <c r="R95" s="9">
        <v>27</v>
      </c>
      <c r="S95" s="9">
        <v>37</v>
      </c>
      <c r="T95" s="9">
        <v>24</v>
      </c>
      <c r="U95" s="9">
        <v>0</v>
      </c>
      <c r="V95" s="9">
        <v>0</v>
      </c>
      <c r="W95" s="9">
        <v>1</v>
      </c>
      <c r="X95" s="9">
        <v>0</v>
      </c>
      <c r="Y95" s="9">
        <v>0</v>
      </c>
      <c r="Z95" s="9">
        <v>0</v>
      </c>
      <c r="AB95" s="9">
        <f t="shared" si="4"/>
        <v>1010</v>
      </c>
      <c r="AC95" s="9">
        <f t="shared" si="5"/>
        <v>8793</v>
      </c>
      <c r="AD95" s="10">
        <f t="shared" si="6"/>
        <v>8.7059405940594061</v>
      </c>
    </row>
    <row r="96" spans="1:30" x14ac:dyDescent="0.3">
      <c r="A96" s="55"/>
      <c r="B96" s="30" t="s">
        <v>98</v>
      </c>
      <c r="C96" s="9">
        <v>27</v>
      </c>
      <c r="D96" s="9">
        <v>16</v>
      </c>
      <c r="E96" s="9">
        <v>18</v>
      </c>
      <c r="F96" s="9">
        <v>29</v>
      </c>
      <c r="G96" s="9">
        <v>28</v>
      </c>
      <c r="H96" s="9">
        <v>45</v>
      </c>
      <c r="I96" s="9">
        <v>30</v>
      </c>
      <c r="J96" s="9">
        <v>20</v>
      </c>
      <c r="K96" s="9">
        <v>32</v>
      </c>
      <c r="L96" s="9">
        <v>20</v>
      </c>
      <c r="M96" s="9">
        <v>26</v>
      </c>
      <c r="N96" s="9">
        <v>16</v>
      </c>
      <c r="O96" s="9">
        <v>64</v>
      </c>
      <c r="P96" s="9">
        <v>0</v>
      </c>
      <c r="Q96" s="9">
        <v>2</v>
      </c>
      <c r="R96" s="9">
        <v>8</v>
      </c>
      <c r="S96" s="9">
        <v>13</v>
      </c>
      <c r="T96" s="9">
        <v>8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B96" s="9">
        <f t="shared" si="4"/>
        <v>402</v>
      </c>
      <c r="AC96" s="9">
        <f t="shared" si="5"/>
        <v>2928</v>
      </c>
      <c r="AD96" s="10">
        <f t="shared" si="6"/>
        <v>7.2835820895522385</v>
      </c>
    </row>
    <row r="97" spans="1:30" x14ac:dyDescent="0.3">
      <c r="A97" s="55"/>
      <c r="B97" s="30" t="s">
        <v>99</v>
      </c>
      <c r="C97" s="9">
        <v>76</v>
      </c>
      <c r="D97" s="9">
        <v>65</v>
      </c>
      <c r="E97" s="9">
        <v>87</v>
      </c>
      <c r="F97" s="9">
        <v>115</v>
      </c>
      <c r="G97" s="9">
        <v>120</v>
      </c>
      <c r="H97" s="9">
        <v>217</v>
      </c>
      <c r="I97" s="9">
        <v>143</v>
      </c>
      <c r="J97" s="9">
        <v>99</v>
      </c>
      <c r="K97" s="9">
        <v>144</v>
      </c>
      <c r="L97" s="9">
        <v>125</v>
      </c>
      <c r="M97" s="9">
        <v>118</v>
      </c>
      <c r="N97" s="9">
        <v>128</v>
      </c>
      <c r="O97" s="9">
        <v>412</v>
      </c>
      <c r="P97" s="9">
        <v>6</v>
      </c>
      <c r="Q97" s="9">
        <v>20</v>
      </c>
      <c r="R97" s="9">
        <v>76</v>
      </c>
      <c r="S97" s="9">
        <v>79</v>
      </c>
      <c r="T97" s="9">
        <v>46</v>
      </c>
      <c r="U97" s="9">
        <v>0</v>
      </c>
      <c r="V97" s="9">
        <v>2</v>
      </c>
      <c r="W97" s="9">
        <v>1</v>
      </c>
      <c r="X97" s="9">
        <v>1</v>
      </c>
      <c r="Y97" s="9">
        <v>0</v>
      </c>
      <c r="Z97" s="9">
        <v>0</v>
      </c>
      <c r="AB97" s="9">
        <f t="shared" si="4"/>
        <v>2080</v>
      </c>
      <c r="AC97" s="9">
        <f t="shared" si="5"/>
        <v>17132</v>
      </c>
      <c r="AD97" s="10">
        <f t="shared" si="6"/>
        <v>8.236538461538462</v>
      </c>
    </row>
    <row r="98" spans="1:30" x14ac:dyDescent="0.3">
      <c r="A98" s="55"/>
      <c r="B98" s="30" t="s">
        <v>100</v>
      </c>
      <c r="C98" s="9">
        <v>37</v>
      </c>
      <c r="D98" s="9">
        <v>12</v>
      </c>
      <c r="E98" s="9">
        <v>14</v>
      </c>
      <c r="F98" s="9">
        <v>10</v>
      </c>
      <c r="G98" s="9">
        <v>29</v>
      </c>
      <c r="H98" s="9">
        <v>37</v>
      </c>
      <c r="I98" s="9">
        <v>32</v>
      </c>
      <c r="J98" s="9">
        <v>25</v>
      </c>
      <c r="K98" s="9">
        <v>35</v>
      </c>
      <c r="L98" s="9">
        <v>21</v>
      </c>
      <c r="M98" s="9">
        <v>28</v>
      </c>
      <c r="N98" s="9">
        <v>27</v>
      </c>
      <c r="O98" s="9">
        <v>86</v>
      </c>
      <c r="P98" s="9">
        <v>3</v>
      </c>
      <c r="Q98" s="9">
        <v>6</v>
      </c>
      <c r="R98" s="9">
        <v>11</v>
      </c>
      <c r="S98" s="9">
        <v>14</v>
      </c>
      <c r="T98" s="9">
        <v>22</v>
      </c>
      <c r="U98" s="9">
        <v>2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B98" s="9">
        <f t="shared" si="4"/>
        <v>451</v>
      </c>
      <c r="AC98" s="9">
        <f t="shared" si="5"/>
        <v>3738</v>
      </c>
      <c r="AD98" s="10">
        <f t="shared" si="6"/>
        <v>8.2882483370288256</v>
      </c>
    </row>
    <row r="99" spans="1:30" x14ac:dyDescent="0.3">
      <c r="A99" s="55"/>
      <c r="B99" s="30" t="s">
        <v>101</v>
      </c>
      <c r="C99" s="9">
        <v>45</v>
      </c>
      <c r="D99" s="9">
        <v>21</v>
      </c>
      <c r="E99" s="9">
        <v>26</v>
      </c>
      <c r="F99" s="9">
        <v>30</v>
      </c>
      <c r="G99" s="9">
        <v>31</v>
      </c>
      <c r="H99" s="9">
        <v>42</v>
      </c>
      <c r="I99" s="9">
        <v>38</v>
      </c>
      <c r="J99" s="9">
        <v>28</v>
      </c>
      <c r="K99" s="9">
        <v>32</v>
      </c>
      <c r="L99" s="9">
        <v>27</v>
      </c>
      <c r="M99" s="9">
        <v>34</v>
      </c>
      <c r="N99" s="9">
        <v>29</v>
      </c>
      <c r="O99" s="9">
        <v>80</v>
      </c>
      <c r="P99" s="9">
        <v>1</v>
      </c>
      <c r="Q99" s="9">
        <v>0</v>
      </c>
      <c r="R99" s="9">
        <v>8</v>
      </c>
      <c r="S99" s="9">
        <v>5</v>
      </c>
      <c r="T99" s="9">
        <v>7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B99" s="9">
        <f t="shared" si="4"/>
        <v>484</v>
      </c>
      <c r="AC99" s="9">
        <f t="shared" si="5"/>
        <v>3371</v>
      </c>
      <c r="AD99" s="10">
        <f t="shared" si="6"/>
        <v>6.964876033057851</v>
      </c>
    </row>
    <row r="100" spans="1:30" x14ac:dyDescent="0.3">
      <c r="A100" s="55"/>
      <c r="B100" s="30" t="s">
        <v>102</v>
      </c>
      <c r="C100" s="9">
        <v>47</v>
      </c>
      <c r="D100" s="9">
        <v>18</v>
      </c>
      <c r="E100" s="9">
        <v>35</v>
      </c>
      <c r="F100" s="9">
        <v>41</v>
      </c>
      <c r="G100" s="9">
        <v>42</v>
      </c>
      <c r="H100" s="9">
        <v>76</v>
      </c>
      <c r="I100" s="9">
        <v>58</v>
      </c>
      <c r="J100" s="9">
        <v>45</v>
      </c>
      <c r="K100" s="9">
        <v>60</v>
      </c>
      <c r="L100" s="9">
        <v>45</v>
      </c>
      <c r="M100" s="9">
        <v>46</v>
      </c>
      <c r="N100" s="9">
        <v>46</v>
      </c>
      <c r="O100" s="9">
        <v>178</v>
      </c>
      <c r="P100" s="9">
        <v>1</v>
      </c>
      <c r="Q100" s="9">
        <v>1</v>
      </c>
      <c r="R100" s="9">
        <v>9</v>
      </c>
      <c r="S100" s="9">
        <v>13</v>
      </c>
      <c r="T100" s="9">
        <v>11</v>
      </c>
      <c r="U100" s="9">
        <v>1</v>
      </c>
      <c r="V100" s="9">
        <v>0</v>
      </c>
      <c r="W100" s="9">
        <v>2</v>
      </c>
      <c r="X100" s="9">
        <v>0</v>
      </c>
      <c r="Y100" s="9">
        <v>0</v>
      </c>
      <c r="Z100" s="9">
        <v>0</v>
      </c>
      <c r="AB100" s="9">
        <f t="shared" si="4"/>
        <v>775</v>
      </c>
      <c r="AC100" s="9">
        <f t="shared" si="5"/>
        <v>6024</v>
      </c>
      <c r="AD100" s="10">
        <f t="shared" si="6"/>
        <v>7.7729032258064512</v>
      </c>
    </row>
    <row r="101" spans="1:30" x14ac:dyDescent="0.3">
      <c r="A101" s="55"/>
      <c r="B101" s="30" t="s">
        <v>103</v>
      </c>
      <c r="C101" s="9">
        <v>70</v>
      </c>
      <c r="D101" s="9">
        <v>53</v>
      </c>
      <c r="E101" s="9">
        <v>64</v>
      </c>
      <c r="F101" s="9">
        <v>94</v>
      </c>
      <c r="G101" s="9">
        <v>99</v>
      </c>
      <c r="H101" s="9">
        <v>162</v>
      </c>
      <c r="I101" s="9">
        <v>112</v>
      </c>
      <c r="J101" s="9">
        <v>81</v>
      </c>
      <c r="K101" s="9">
        <v>106</v>
      </c>
      <c r="L101" s="9">
        <v>79</v>
      </c>
      <c r="M101" s="9">
        <v>102</v>
      </c>
      <c r="N101" s="9">
        <v>95</v>
      </c>
      <c r="O101" s="9">
        <v>353</v>
      </c>
      <c r="P101" s="9">
        <v>11</v>
      </c>
      <c r="Q101" s="9">
        <v>19</v>
      </c>
      <c r="R101" s="9">
        <v>61</v>
      </c>
      <c r="S101" s="9">
        <v>67</v>
      </c>
      <c r="T101" s="9">
        <v>39</v>
      </c>
      <c r="U101" s="9">
        <v>6</v>
      </c>
      <c r="V101" s="9">
        <v>1</v>
      </c>
      <c r="W101" s="9">
        <v>2</v>
      </c>
      <c r="X101" s="9">
        <v>1</v>
      </c>
      <c r="Y101" s="9">
        <v>1</v>
      </c>
      <c r="Z101" s="9">
        <v>0</v>
      </c>
      <c r="AB101" s="9">
        <f t="shared" si="4"/>
        <v>1678</v>
      </c>
      <c r="AC101" s="9">
        <f t="shared" si="5"/>
        <v>14037</v>
      </c>
      <c r="AD101" s="10">
        <f t="shared" si="6"/>
        <v>8.365315852205006</v>
      </c>
    </row>
    <row r="102" spans="1:30" x14ac:dyDescent="0.3">
      <c r="A102" s="55"/>
      <c r="B102" s="30" t="s">
        <v>104</v>
      </c>
      <c r="C102" s="9">
        <v>23</v>
      </c>
      <c r="D102" s="9">
        <v>22</v>
      </c>
      <c r="E102" s="9">
        <v>32</v>
      </c>
      <c r="F102" s="9">
        <v>26</v>
      </c>
      <c r="G102" s="9">
        <v>32</v>
      </c>
      <c r="H102" s="9">
        <v>66</v>
      </c>
      <c r="I102" s="9">
        <v>55</v>
      </c>
      <c r="J102" s="9">
        <v>31</v>
      </c>
      <c r="K102" s="9">
        <v>53</v>
      </c>
      <c r="L102" s="9">
        <v>56</v>
      </c>
      <c r="M102" s="9">
        <v>51</v>
      </c>
      <c r="N102" s="9">
        <v>56</v>
      </c>
      <c r="O102" s="9">
        <v>152</v>
      </c>
      <c r="P102" s="9">
        <v>1</v>
      </c>
      <c r="Q102" s="9">
        <v>2</v>
      </c>
      <c r="R102" s="9">
        <v>8</v>
      </c>
      <c r="S102" s="9">
        <v>13</v>
      </c>
      <c r="T102" s="9">
        <v>11</v>
      </c>
      <c r="U102" s="9">
        <v>1</v>
      </c>
      <c r="V102" s="9">
        <v>1</v>
      </c>
      <c r="W102" s="9">
        <v>0</v>
      </c>
      <c r="X102" s="9">
        <v>0</v>
      </c>
      <c r="Y102" s="9">
        <v>0</v>
      </c>
      <c r="Z102" s="9">
        <v>0</v>
      </c>
      <c r="AB102" s="9">
        <f t="shared" si="4"/>
        <v>692</v>
      </c>
      <c r="AC102" s="9">
        <f t="shared" si="5"/>
        <v>5640</v>
      </c>
      <c r="AD102" s="10">
        <f t="shared" si="6"/>
        <v>8.1502890173410396</v>
      </c>
    </row>
    <row r="103" spans="1:30" x14ac:dyDescent="0.3">
      <c r="A103" s="55"/>
      <c r="B103" s="30" t="s">
        <v>105</v>
      </c>
      <c r="C103" s="9">
        <v>9</v>
      </c>
      <c r="D103" s="9">
        <v>4</v>
      </c>
      <c r="E103" s="9">
        <v>7</v>
      </c>
      <c r="F103" s="9">
        <v>10</v>
      </c>
      <c r="G103" s="9">
        <v>22</v>
      </c>
      <c r="H103" s="9">
        <v>22</v>
      </c>
      <c r="I103" s="9">
        <v>17</v>
      </c>
      <c r="J103" s="9">
        <v>30</v>
      </c>
      <c r="K103" s="9">
        <v>30</v>
      </c>
      <c r="L103" s="9">
        <v>30</v>
      </c>
      <c r="M103" s="9">
        <v>42</v>
      </c>
      <c r="N103" s="9">
        <v>41</v>
      </c>
      <c r="O103" s="9">
        <v>98</v>
      </c>
      <c r="P103" s="9">
        <v>2</v>
      </c>
      <c r="Q103" s="9">
        <v>1</v>
      </c>
      <c r="R103" s="9">
        <v>11</v>
      </c>
      <c r="S103" s="9">
        <v>16</v>
      </c>
      <c r="T103" s="9">
        <v>20</v>
      </c>
      <c r="U103" s="9">
        <v>1</v>
      </c>
      <c r="V103" s="9">
        <v>1</v>
      </c>
      <c r="W103" s="9">
        <v>0</v>
      </c>
      <c r="X103" s="9">
        <v>0</v>
      </c>
      <c r="Y103" s="9">
        <v>0</v>
      </c>
      <c r="Z103" s="9">
        <v>0</v>
      </c>
      <c r="AB103" s="9">
        <f t="shared" si="4"/>
        <v>414</v>
      </c>
      <c r="AC103" s="9">
        <f t="shared" si="5"/>
        <v>3953</v>
      </c>
      <c r="AD103" s="10">
        <f t="shared" si="6"/>
        <v>9.5483091787439616</v>
      </c>
    </row>
    <row r="104" spans="1:30" x14ac:dyDescent="0.3">
      <c r="A104" s="55"/>
      <c r="B104" s="30" t="s">
        <v>106</v>
      </c>
      <c r="C104" s="9">
        <v>44</v>
      </c>
      <c r="D104" s="9">
        <v>42</v>
      </c>
      <c r="E104" s="9">
        <v>57</v>
      </c>
      <c r="F104" s="9">
        <v>96</v>
      </c>
      <c r="G104" s="9">
        <v>90</v>
      </c>
      <c r="H104" s="9">
        <v>148</v>
      </c>
      <c r="I104" s="9">
        <v>95</v>
      </c>
      <c r="J104" s="9">
        <v>80</v>
      </c>
      <c r="K104" s="9">
        <v>93</v>
      </c>
      <c r="L104" s="9">
        <v>72</v>
      </c>
      <c r="M104" s="9">
        <v>94</v>
      </c>
      <c r="N104" s="9">
        <v>72</v>
      </c>
      <c r="O104" s="9">
        <v>293</v>
      </c>
      <c r="P104" s="9">
        <v>18</v>
      </c>
      <c r="Q104" s="9">
        <v>20</v>
      </c>
      <c r="R104" s="9">
        <v>65</v>
      </c>
      <c r="S104" s="9">
        <v>99</v>
      </c>
      <c r="T104" s="9">
        <v>91</v>
      </c>
      <c r="U104" s="9">
        <v>2</v>
      </c>
      <c r="V104" s="9">
        <v>6</v>
      </c>
      <c r="W104" s="9">
        <v>1</v>
      </c>
      <c r="X104" s="9">
        <v>0</v>
      </c>
      <c r="Y104" s="9">
        <v>0</v>
      </c>
      <c r="Z104" s="9">
        <v>0</v>
      </c>
      <c r="AB104" s="9">
        <f t="shared" si="4"/>
        <v>1578</v>
      </c>
      <c r="AC104" s="9">
        <f t="shared" si="5"/>
        <v>14104</v>
      </c>
      <c r="AD104" s="10">
        <f t="shared" si="6"/>
        <v>8.9378960709759188</v>
      </c>
    </row>
    <row r="105" spans="1:30" x14ac:dyDescent="0.3">
      <c r="A105" s="55"/>
      <c r="B105" s="30" t="s">
        <v>107</v>
      </c>
      <c r="C105" s="9">
        <v>35</v>
      </c>
      <c r="D105" s="9">
        <v>47</v>
      </c>
      <c r="E105" s="9">
        <v>54</v>
      </c>
      <c r="F105" s="9">
        <v>78</v>
      </c>
      <c r="G105" s="9">
        <v>92</v>
      </c>
      <c r="H105" s="9">
        <v>146</v>
      </c>
      <c r="I105" s="9">
        <v>90</v>
      </c>
      <c r="J105" s="9">
        <v>75</v>
      </c>
      <c r="K105" s="9">
        <v>67</v>
      </c>
      <c r="L105" s="9">
        <v>91</v>
      </c>
      <c r="M105" s="9">
        <v>116</v>
      </c>
      <c r="N105" s="9">
        <v>95</v>
      </c>
      <c r="O105" s="9">
        <v>398</v>
      </c>
      <c r="P105" s="9">
        <v>5</v>
      </c>
      <c r="Q105" s="9">
        <v>9</v>
      </c>
      <c r="R105" s="9">
        <v>38</v>
      </c>
      <c r="S105" s="9">
        <v>37</v>
      </c>
      <c r="T105" s="9">
        <v>26</v>
      </c>
      <c r="U105" s="9">
        <v>0</v>
      </c>
      <c r="V105" s="9">
        <v>0</v>
      </c>
      <c r="W105" s="9">
        <v>1</v>
      </c>
      <c r="X105" s="9">
        <v>0</v>
      </c>
      <c r="Y105" s="9">
        <v>0</v>
      </c>
      <c r="Z105" s="9">
        <v>1</v>
      </c>
      <c r="AB105" s="9">
        <f t="shared" si="4"/>
        <v>1501</v>
      </c>
      <c r="AC105" s="9">
        <f t="shared" si="5"/>
        <v>12726</v>
      </c>
      <c r="AD105" s="10">
        <f t="shared" si="6"/>
        <v>8.4783477681545634</v>
      </c>
    </row>
    <row r="106" spans="1:30" x14ac:dyDescent="0.3">
      <c r="A106" s="55"/>
      <c r="B106" s="30" t="s">
        <v>108</v>
      </c>
      <c r="C106" s="9">
        <v>27</v>
      </c>
      <c r="D106" s="9">
        <v>16</v>
      </c>
      <c r="E106" s="9">
        <v>26</v>
      </c>
      <c r="F106" s="9">
        <v>24</v>
      </c>
      <c r="G106" s="9">
        <v>23</v>
      </c>
      <c r="H106" s="9">
        <v>56</v>
      </c>
      <c r="I106" s="9">
        <v>58</v>
      </c>
      <c r="J106" s="9">
        <v>38</v>
      </c>
      <c r="K106" s="9">
        <v>54</v>
      </c>
      <c r="L106" s="9">
        <v>61</v>
      </c>
      <c r="M106" s="9">
        <v>59</v>
      </c>
      <c r="N106" s="9">
        <v>40</v>
      </c>
      <c r="O106" s="9">
        <v>139</v>
      </c>
      <c r="P106" s="9">
        <v>5</v>
      </c>
      <c r="Q106" s="9">
        <v>6</v>
      </c>
      <c r="R106" s="9">
        <v>23</v>
      </c>
      <c r="S106" s="9">
        <v>28</v>
      </c>
      <c r="T106" s="9">
        <v>12</v>
      </c>
      <c r="U106" s="9">
        <v>0</v>
      </c>
      <c r="V106" s="9">
        <v>0</v>
      </c>
      <c r="W106" s="9">
        <v>2</v>
      </c>
      <c r="X106" s="9">
        <v>0</v>
      </c>
      <c r="Y106" s="9">
        <v>0</v>
      </c>
      <c r="Z106" s="9">
        <v>0</v>
      </c>
      <c r="AB106" s="9">
        <f t="shared" si="4"/>
        <v>697</v>
      </c>
      <c r="AC106" s="9">
        <f t="shared" si="5"/>
        <v>5991</v>
      </c>
      <c r="AD106" s="10">
        <f t="shared" si="6"/>
        <v>8.5954088952654235</v>
      </c>
    </row>
    <row r="107" spans="1:30" x14ac:dyDescent="0.3">
      <c r="A107" s="55"/>
      <c r="B107" s="30" t="s">
        <v>109</v>
      </c>
      <c r="C107" s="9">
        <v>27</v>
      </c>
      <c r="D107" s="9">
        <v>10</v>
      </c>
      <c r="E107" s="9">
        <v>28</v>
      </c>
      <c r="F107" s="9">
        <v>27</v>
      </c>
      <c r="G107" s="9">
        <v>30</v>
      </c>
      <c r="H107" s="9">
        <v>31</v>
      </c>
      <c r="I107" s="9">
        <v>27</v>
      </c>
      <c r="J107" s="9">
        <v>33</v>
      </c>
      <c r="K107" s="9">
        <v>48</v>
      </c>
      <c r="L107" s="9">
        <v>53</v>
      </c>
      <c r="M107" s="9">
        <v>49</v>
      </c>
      <c r="N107" s="9">
        <v>48</v>
      </c>
      <c r="O107" s="9">
        <v>133</v>
      </c>
      <c r="P107" s="9">
        <v>11</v>
      </c>
      <c r="Q107" s="9">
        <v>12</v>
      </c>
      <c r="R107" s="9">
        <v>29</v>
      </c>
      <c r="S107" s="9">
        <v>46</v>
      </c>
      <c r="T107" s="9">
        <v>29</v>
      </c>
      <c r="U107" s="9">
        <v>1</v>
      </c>
      <c r="V107" s="9">
        <v>2</v>
      </c>
      <c r="W107" s="9">
        <v>1</v>
      </c>
      <c r="X107" s="9">
        <v>0</v>
      </c>
      <c r="Y107" s="9">
        <v>0</v>
      </c>
      <c r="Z107" s="9">
        <v>0</v>
      </c>
      <c r="AB107" s="9">
        <f t="shared" si="4"/>
        <v>675</v>
      </c>
      <c r="AC107" s="9">
        <f t="shared" si="5"/>
        <v>6341</v>
      </c>
      <c r="AD107" s="10">
        <f t="shared" si="6"/>
        <v>9.3940740740740747</v>
      </c>
    </row>
    <row r="108" spans="1:30" x14ac:dyDescent="0.3">
      <c r="A108" s="55"/>
      <c r="B108" s="30" t="s">
        <v>110</v>
      </c>
      <c r="C108" s="9">
        <v>130</v>
      </c>
      <c r="D108" s="9">
        <v>29</v>
      </c>
      <c r="E108" s="9">
        <v>61</v>
      </c>
      <c r="F108" s="9">
        <v>78</v>
      </c>
      <c r="G108" s="9">
        <v>77</v>
      </c>
      <c r="H108" s="9">
        <v>102</v>
      </c>
      <c r="I108" s="9">
        <v>40</v>
      </c>
      <c r="J108" s="9">
        <v>26</v>
      </c>
      <c r="K108" s="9">
        <v>52</v>
      </c>
      <c r="L108" s="9">
        <v>34</v>
      </c>
      <c r="M108" s="9">
        <v>24</v>
      </c>
      <c r="N108" s="9">
        <v>21</v>
      </c>
      <c r="O108" s="9">
        <v>95</v>
      </c>
      <c r="P108" s="9">
        <v>2</v>
      </c>
      <c r="Q108" s="9">
        <v>3</v>
      </c>
      <c r="R108" s="9">
        <v>15</v>
      </c>
      <c r="S108" s="9">
        <v>22</v>
      </c>
      <c r="T108" s="9">
        <v>22</v>
      </c>
      <c r="U108" s="9">
        <v>2</v>
      </c>
      <c r="V108" s="9">
        <v>1</v>
      </c>
      <c r="W108" s="9">
        <v>2</v>
      </c>
      <c r="X108" s="9">
        <v>1</v>
      </c>
      <c r="Y108" s="9">
        <v>0</v>
      </c>
      <c r="Z108" s="9">
        <v>0</v>
      </c>
      <c r="AB108" s="9">
        <f t="shared" si="4"/>
        <v>839</v>
      </c>
      <c r="AC108" s="9">
        <f t="shared" si="5"/>
        <v>5093</v>
      </c>
      <c r="AD108" s="10">
        <f t="shared" si="6"/>
        <v>6.0703218116805724</v>
      </c>
    </row>
    <row r="109" spans="1:30" x14ac:dyDescent="0.3">
      <c r="A109" s="55"/>
      <c r="B109" s="30" t="s">
        <v>111</v>
      </c>
      <c r="C109" s="9">
        <v>42</v>
      </c>
      <c r="D109" s="9">
        <v>13</v>
      </c>
      <c r="E109" s="9">
        <v>21</v>
      </c>
      <c r="F109" s="9">
        <v>17</v>
      </c>
      <c r="G109" s="9">
        <v>34</v>
      </c>
      <c r="H109" s="9">
        <v>23</v>
      </c>
      <c r="I109" s="9">
        <v>19</v>
      </c>
      <c r="J109" s="9">
        <v>11</v>
      </c>
      <c r="K109" s="9">
        <v>19</v>
      </c>
      <c r="L109" s="9">
        <v>8</v>
      </c>
      <c r="M109" s="9">
        <v>14</v>
      </c>
      <c r="N109" s="9">
        <v>7</v>
      </c>
      <c r="O109" s="9">
        <v>19</v>
      </c>
      <c r="P109" s="9">
        <v>0</v>
      </c>
      <c r="Q109" s="9">
        <v>0</v>
      </c>
      <c r="R109" s="9">
        <v>1</v>
      </c>
      <c r="S109" s="9">
        <v>6</v>
      </c>
      <c r="T109" s="9">
        <v>4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B109" s="9">
        <f t="shared" si="4"/>
        <v>258</v>
      </c>
      <c r="AC109" s="9">
        <f t="shared" si="5"/>
        <v>1396</v>
      </c>
      <c r="AD109" s="10">
        <f t="shared" si="6"/>
        <v>5.4108527131782944</v>
      </c>
    </row>
    <row r="110" spans="1:30" x14ac:dyDescent="0.3">
      <c r="A110" s="55"/>
      <c r="B110" s="30" t="s">
        <v>112</v>
      </c>
      <c r="C110" s="9">
        <v>47</v>
      </c>
      <c r="D110" s="9">
        <v>29</v>
      </c>
      <c r="E110" s="9">
        <v>44</v>
      </c>
      <c r="F110" s="9">
        <v>66</v>
      </c>
      <c r="G110" s="9">
        <v>82</v>
      </c>
      <c r="H110" s="9">
        <v>101</v>
      </c>
      <c r="I110" s="9">
        <v>61</v>
      </c>
      <c r="J110" s="9">
        <v>46</v>
      </c>
      <c r="K110" s="9">
        <v>66</v>
      </c>
      <c r="L110" s="9">
        <v>56</v>
      </c>
      <c r="M110" s="9">
        <v>44</v>
      </c>
      <c r="N110" s="9">
        <v>51</v>
      </c>
      <c r="O110" s="9">
        <v>231</v>
      </c>
      <c r="P110" s="9">
        <v>9</v>
      </c>
      <c r="Q110" s="9">
        <v>8</v>
      </c>
      <c r="R110" s="9">
        <v>36</v>
      </c>
      <c r="S110" s="9">
        <v>37</v>
      </c>
      <c r="T110" s="9">
        <v>36</v>
      </c>
      <c r="U110" s="9">
        <v>0</v>
      </c>
      <c r="V110" s="9">
        <v>1</v>
      </c>
      <c r="W110" s="9">
        <v>1</v>
      </c>
      <c r="X110" s="9">
        <v>0</v>
      </c>
      <c r="Y110" s="9">
        <v>0</v>
      </c>
      <c r="Z110" s="9">
        <v>0</v>
      </c>
      <c r="AB110" s="9">
        <f t="shared" si="4"/>
        <v>1052</v>
      </c>
      <c r="AC110" s="9">
        <f t="shared" si="5"/>
        <v>8653</v>
      </c>
      <c r="AD110" s="10">
        <f t="shared" si="6"/>
        <v>8.2252851711026622</v>
      </c>
    </row>
    <row r="111" spans="1:30" x14ac:dyDescent="0.3">
      <c r="A111" s="55"/>
      <c r="B111" s="30" t="s">
        <v>113</v>
      </c>
      <c r="C111" s="9">
        <v>22</v>
      </c>
      <c r="D111" s="9">
        <v>10</v>
      </c>
      <c r="E111" s="9">
        <v>10</v>
      </c>
      <c r="F111" s="9">
        <v>12</v>
      </c>
      <c r="G111" s="9">
        <v>17</v>
      </c>
      <c r="H111" s="9">
        <v>21</v>
      </c>
      <c r="I111" s="9">
        <v>18</v>
      </c>
      <c r="J111" s="9">
        <v>11</v>
      </c>
      <c r="K111" s="9">
        <v>20</v>
      </c>
      <c r="L111" s="9">
        <v>27</v>
      </c>
      <c r="M111" s="9">
        <v>18</v>
      </c>
      <c r="N111" s="9">
        <v>12</v>
      </c>
      <c r="O111" s="9">
        <v>82</v>
      </c>
      <c r="P111" s="9">
        <v>3</v>
      </c>
      <c r="Q111" s="9">
        <v>6</v>
      </c>
      <c r="R111" s="9">
        <v>17</v>
      </c>
      <c r="S111" s="9">
        <v>11</v>
      </c>
      <c r="T111" s="9">
        <v>11</v>
      </c>
      <c r="U111" s="9">
        <v>0</v>
      </c>
      <c r="V111" s="9">
        <v>0</v>
      </c>
      <c r="W111" s="9">
        <v>1</v>
      </c>
      <c r="X111" s="9">
        <v>0</v>
      </c>
      <c r="Y111" s="9">
        <v>0</v>
      </c>
      <c r="Z111" s="9">
        <v>0</v>
      </c>
      <c r="AB111" s="9">
        <f t="shared" si="4"/>
        <v>329</v>
      </c>
      <c r="AC111" s="9">
        <f t="shared" si="5"/>
        <v>2884</v>
      </c>
      <c r="AD111" s="10">
        <f t="shared" si="6"/>
        <v>8.7659574468085104</v>
      </c>
    </row>
    <row r="112" spans="1:30" x14ac:dyDescent="0.3">
      <c r="A112" s="55"/>
      <c r="B112" s="30" t="s">
        <v>114</v>
      </c>
      <c r="C112" s="9">
        <v>37</v>
      </c>
      <c r="D112" s="9">
        <v>10</v>
      </c>
      <c r="E112" s="9">
        <v>20</v>
      </c>
      <c r="F112" s="9">
        <v>19</v>
      </c>
      <c r="G112" s="9">
        <v>20</v>
      </c>
      <c r="H112" s="9">
        <v>33</v>
      </c>
      <c r="I112" s="9">
        <v>31</v>
      </c>
      <c r="J112" s="9">
        <v>20</v>
      </c>
      <c r="K112" s="9">
        <v>42</v>
      </c>
      <c r="L112" s="9">
        <v>35</v>
      </c>
      <c r="M112" s="9">
        <v>55</v>
      </c>
      <c r="N112" s="9">
        <v>36</v>
      </c>
      <c r="O112" s="9">
        <v>184</v>
      </c>
      <c r="P112" s="9">
        <v>0</v>
      </c>
      <c r="Q112" s="9">
        <v>3</v>
      </c>
      <c r="R112" s="9">
        <v>10</v>
      </c>
      <c r="S112" s="9">
        <v>15</v>
      </c>
      <c r="T112" s="9">
        <v>7</v>
      </c>
      <c r="U112" s="9">
        <v>1</v>
      </c>
      <c r="V112" s="9">
        <v>0</v>
      </c>
      <c r="W112" s="9">
        <v>2</v>
      </c>
      <c r="X112" s="9">
        <v>0</v>
      </c>
      <c r="Y112" s="9">
        <v>0</v>
      </c>
      <c r="Z112" s="9">
        <v>0</v>
      </c>
      <c r="AB112" s="9">
        <f t="shared" si="4"/>
        <v>580</v>
      </c>
      <c r="AC112" s="9">
        <f t="shared" si="5"/>
        <v>5092</v>
      </c>
      <c r="AD112" s="10">
        <f t="shared" si="6"/>
        <v>8.7793103448275858</v>
      </c>
    </row>
    <row r="113" spans="1:30" x14ac:dyDescent="0.3">
      <c r="A113" s="55"/>
      <c r="B113" s="30" t="s">
        <v>115</v>
      </c>
      <c r="C113" s="9">
        <v>11</v>
      </c>
      <c r="D113" s="9">
        <v>4</v>
      </c>
      <c r="E113" s="9">
        <v>7</v>
      </c>
      <c r="F113" s="9">
        <v>18</v>
      </c>
      <c r="G113" s="9">
        <v>20</v>
      </c>
      <c r="H113" s="9">
        <v>23</v>
      </c>
      <c r="I113" s="9">
        <v>31</v>
      </c>
      <c r="J113" s="9">
        <v>28</v>
      </c>
      <c r="K113" s="9">
        <v>34</v>
      </c>
      <c r="L113" s="9">
        <v>47</v>
      </c>
      <c r="M113" s="9">
        <v>56</v>
      </c>
      <c r="N113" s="9">
        <v>52</v>
      </c>
      <c r="O113" s="9">
        <v>214</v>
      </c>
      <c r="P113" s="9">
        <v>0</v>
      </c>
      <c r="Q113" s="9">
        <v>3</v>
      </c>
      <c r="R113" s="9">
        <v>12</v>
      </c>
      <c r="S113" s="9">
        <v>10</v>
      </c>
      <c r="T113" s="9">
        <v>5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1</v>
      </c>
      <c r="AB113" s="9">
        <f t="shared" si="4"/>
        <v>576</v>
      </c>
      <c r="AC113" s="9">
        <f t="shared" si="5"/>
        <v>5534</v>
      </c>
      <c r="AD113" s="10">
        <f t="shared" si="6"/>
        <v>9.6076388888888893</v>
      </c>
    </row>
    <row r="114" spans="1:30" x14ac:dyDescent="0.3">
      <c r="A114" s="55"/>
      <c r="B114" s="30" t="s">
        <v>116</v>
      </c>
      <c r="C114" s="9">
        <v>23</v>
      </c>
      <c r="D114" s="9">
        <v>11</v>
      </c>
      <c r="E114" s="9">
        <v>15</v>
      </c>
      <c r="F114" s="9">
        <v>19</v>
      </c>
      <c r="G114" s="9">
        <v>21</v>
      </c>
      <c r="H114" s="9">
        <v>25</v>
      </c>
      <c r="I114" s="9">
        <v>29</v>
      </c>
      <c r="J114" s="9">
        <v>24</v>
      </c>
      <c r="K114" s="9">
        <v>23</v>
      </c>
      <c r="L114" s="9">
        <v>43</v>
      </c>
      <c r="M114" s="9">
        <v>51</v>
      </c>
      <c r="N114" s="9">
        <v>33</v>
      </c>
      <c r="O114" s="9">
        <v>72</v>
      </c>
      <c r="P114" s="9">
        <v>1</v>
      </c>
      <c r="Q114" s="9">
        <v>8</v>
      </c>
      <c r="R114" s="9">
        <v>14</v>
      </c>
      <c r="S114" s="9">
        <v>20</v>
      </c>
      <c r="T114" s="9">
        <v>20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B114" s="9">
        <f t="shared" si="4"/>
        <v>452</v>
      </c>
      <c r="AC114" s="9">
        <f t="shared" si="5"/>
        <v>3952</v>
      </c>
      <c r="AD114" s="10">
        <f t="shared" si="6"/>
        <v>8.7433628318584073</v>
      </c>
    </row>
    <row r="115" spans="1:30" x14ac:dyDescent="0.3">
      <c r="A115" s="55"/>
      <c r="B115" s="30" t="s">
        <v>117</v>
      </c>
      <c r="C115" s="9">
        <v>8</v>
      </c>
      <c r="D115" s="9">
        <v>4</v>
      </c>
      <c r="E115" s="9">
        <v>4</v>
      </c>
      <c r="F115" s="9">
        <v>13</v>
      </c>
      <c r="G115" s="9">
        <v>5</v>
      </c>
      <c r="H115" s="9">
        <v>21</v>
      </c>
      <c r="I115" s="9">
        <v>11</v>
      </c>
      <c r="J115" s="9">
        <v>4</v>
      </c>
      <c r="K115" s="9">
        <v>14</v>
      </c>
      <c r="L115" s="9">
        <v>3</v>
      </c>
      <c r="M115" s="9">
        <v>5</v>
      </c>
      <c r="N115" s="9">
        <v>7</v>
      </c>
      <c r="O115" s="9">
        <v>28</v>
      </c>
      <c r="P115" s="9">
        <v>1</v>
      </c>
      <c r="Q115" s="9">
        <v>4</v>
      </c>
      <c r="R115" s="9">
        <v>2</v>
      </c>
      <c r="S115" s="9">
        <v>3</v>
      </c>
      <c r="T115" s="9">
        <v>3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B115" s="9">
        <f t="shared" si="4"/>
        <v>140</v>
      </c>
      <c r="AC115" s="9">
        <f t="shared" si="5"/>
        <v>1070</v>
      </c>
      <c r="AD115" s="10">
        <f t="shared" si="6"/>
        <v>7.6428571428571432</v>
      </c>
    </row>
    <row r="116" spans="1:30" x14ac:dyDescent="0.3">
      <c r="A116" s="55"/>
      <c r="B116" s="30" t="s">
        <v>118</v>
      </c>
      <c r="C116" s="9">
        <v>16</v>
      </c>
      <c r="D116" s="9">
        <v>8</v>
      </c>
      <c r="E116" s="9">
        <v>9</v>
      </c>
      <c r="F116" s="9">
        <v>9</v>
      </c>
      <c r="G116" s="9">
        <v>15</v>
      </c>
      <c r="H116" s="9">
        <v>25</v>
      </c>
      <c r="I116" s="9">
        <v>15</v>
      </c>
      <c r="J116" s="9">
        <v>11</v>
      </c>
      <c r="K116" s="9">
        <v>15</v>
      </c>
      <c r="L116" s="9">
        <v>14</v>
      </c>
      <c r="M116" s="9">
        <v>13</v>
      </c>
      <c r="N116" s="9">
        <v>17</v>
      </c>
      <c r="O116" s="9">
        <v>62</v>
      </c>
      <c r="P116" s="9">
        <v>0</v>
      </c>
      <c r="Q116" s="9">
        <v>2</v>
      </c>
      <c r="R116" s="9">
        <v>17</v>
      </c>
      <c r="S116" s="9">
        <v>13</v>
      </c>
      <c r="T116" s="9">
        <v>3</v>
      </c>
      <c r="U116" s="9">
        <v>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B116" s="9">
        <f t="shared" si="4"/>
        <v>265</v>
      </c>
      <c r="AC116" s="9">
        <f t="shared" si="5"/>
        <v>2272</v>
      </c>
      <c r="AD116" s="10">
        <f t="shared" si="6"/>
        <v>8.5735849056603772</v>
      </c>
    </row>
    <row r="117" spans="1:30" x14ac:dyDescent="0.3">
      <c r="A117" s="55"/>
      <c r="B117" s="30" t="s">
        <v>119</v>
      </c>
      <c r="C117" s="9">
        <v>14</v>
      </c>
      <c r="D117" s="9">
        <v>4</v>
      </c>
      <c r="E117" s="9">
        <v>6</v>
      </c>
      <c r="F117" s="9">
        <v>5</v>
      </c>
      <c r="G117" s="9">
        <v>10</v>
      </c>
      <c r="H117" s="9">
        <v>23</v>
      </c>
      <c r="I117" s="9">
        <v>9</v>
      </c>
      <c r="J117" s="9">
        <v>9</v>
      </c>
      <c r="K117" s="9">
        <v>29</v>
      </c>
      <c r="L117" s="9">
        <v>13</v>
      </c>
      <c r="M117" s="9">
        <v>20</v>
      </c>
      <c r="N117" s="9">
        <v>9</v>
      </c>
      <c r="O117" s="9">
        <v>66</v>
      </c>
      <c r="P117" s="9">
        <v>1</v>
      </c>
      <c r="Q117" s="9">
        <v>2</v>
      </c>
      <c r="R117" s="9">
        <v>2</v>
      </c>
      <c r="S117" s="9">
        <v>11</v>
      </c>
      <c r="T117" s="9">
        <v>3</v>
      </c>
      <c r="U117" s="9">
        <v>0</v>
      </c>
      <c r="V117" s="9">
        <v>0</v>
      </c>
      <c r="W117" s="9">
        <v>1</v>
      </c>
      <c r="X117" s="9">
        <v>0</v>
      </c>
      <c r="Y117" s="9">
        <v>0</v>
      </c>
      <c r="Z117" s="9">
        <v>0</v>
      </c>
      <c r="AB117" s="9">
        <f t="shared" si="4"/>
        <v>237</v>
      </c>
      <c r="AC117" s="9">
        <f t="shared" si="5"/>
        <v>2061</v>
      </c>
      <c r="AD117" s="10">
        <f t="shared" si="6"/>
        <v>8.6962025316455698</v>
      </c>
    </row>
    <row r="118" spans="1:30" x14ac:dyDescent="0.3">
      <c r="A118" s="55"/>
      <c r="B118" s="30" t="s">
        <v>120</v>
      </c>
      <c r="C118" s="9">
        <v>130</v>
      </c>
      <c r="D118" s="9">
        <v>104</v>
      </c>
      <c r="E118" s="9">
        <v>137</v>
      </c>
      <c r="F118" s="9">
        <v>203</v>
      </c>
      <c r="G118" s="9">
        <v>208</v>
      </c>
      <c r="H118" s="9">
        <v>370</v>
      </c>
      <c r="I118" s="9">
        <v>246</v>
      </c>
      <c r="J118" s="9">
        <v>220</v>
      </c>
      <c r="K118" s="9">
        <v>288</v>
      </c>
      <c r="L118" s="9">
        <v>230</v>
      </c>
      <c r="M118" s="9">
        <v>267</v>
      </c>
      <c r="N118" s="9">
        <v>213</v>
      </c>
      <c r="O118" s="9">
        <v>752</v>
      </c>
      <c r="P118" s="9">
        <v>38</v>
      </c>
      <c r="Q118" s="9">
        <v>44</v>
      </c>
      <c r="R118" s="9">
        <v>107</v>
      </c>
      <c r="S118" s="9">
        <v>176</v>
      </c>
      <c r="T118" s="9">
        <v>129</v>
      </c>
      <c r="U118" s="9">
        <v>5</v>
      </c>
      <c r="V118" s="9">
        <v>4</v>
      </c>
      <c r="W118" s="9">
        <v>1</v>
      </c>
      <c r="X118" s="9">
        <v>0</v>
      </c>
      <c r="Y118" s="9">
        <v>0</v>
      </c>
      <c r="Z118" s="9">
        <v>1</v>
      </c>
      <c r="AB118" s="9">
        <f t="shared" si="4"/>
        <v>3873</v>
      </c>
      <c r="AC118" s="9">
        <f t="shared" si="5"/>
        <v>33029</v>
      </c>
      <c r="AD118" s="10">
        <f t="shared" si="6"/>
        <v>8.5280144590756528</v>
      </c>
    </row>
    <row r="119" spans="1:30" x14ac:dyDescent="0.3">
      <c r="A119" s="55"/>
      <c r="B119" s="30" t="s">
        <v>121</v>
      </c>
      <c r="C119" s="9">
        <v>36</v>
      </c>
      <c r="D119" s="9">
        <v>20</v>
      </c>
      <c r="E119" s="9">
        <v>29</v>
      </c>
      <c r="F119" s="9">
        <v>32</v>
      </c>
      <c r="G119" s="9">
        <v>45</v>
      </c>
      <c r="H119" s="9">
        <v>82</v>
      </c>
      <c r="I119" s="9">
        <v>45</v>
      </c>
      <c r="J119" s="9">
        <v>39</v>
      </c>
      <c r="K119" s="9">
        <v>71</v>
      </c>
      <c r="L119" s="9">
        <v>42</v>
      </c>
      <c r="M119" s="9">
        <v>58</v>
      </c>
      <c r="N119" s="9">
        <v>50</v>
      </c>
      <c r="O119" s="9">
        <v>209</v>
      </c>
      <c r="P119" s="9">
        <v>8</v>
      </c>
      <c r="Q119" s="9">
        <v>4</v>
      </c>
      <c r="R119" s="9">
        <v>24</v>
      </c>
      <c r="S119" s="9">
        <v>28</v>
      </c>
      <c r="T119" s="9">
        <v>24</v>
      </c>
      <c r="U119" s="9">
        <v>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B119" s="9">
        <f t="shared" si="4"/>
        <v>847</v>
      </c>
      <c r="AC119" s="9">
        <f t="shared" si="5"/>
        <v>7285</v>
      </c>
      <c r="AD119" s="10">
        <f t="shared" si="6"/>
        <v>8.6009445100354185</v>
      </c>
    </row>
    <row r="120" spans="1:30" x14ac:dyDescent="0.3">
      <c r="A120" s="55"/>
      <c r="B120" s="30" t="s">
        <v>122</v>
      </c>
      <c r="C120" s="9">
        <v>1607</v>
      </c>
      <c r="D120" s="9">
        <v>1049</v>
      </c>
      <c r="E120" s="9">
        <v>1442</v>
      </c>
      <c r="F120" s="9">
        <v>1880</v>
      </c>
      <c r="G120" s="9">
        <v>1679</v>
      </c>
      <c r="H120" s="9">
        <v>2808</v>
      </c>
      <c r="I120" s="9">
        <v>1744</v>
      </c>
      <c r="J120" s="9">
        <v>1384</v>
      </c>
      <c r="K120" s="9">
        <v>1936</v>
      </c>
      <c r="L120" s="9">
        <v>2190</v>
      </c>
      <c r="M120" s="9">
        <v>2475</v>
      </c>
      <c r="N120" s="9">
        <v>2357</v>
      </c>
      <c r="O120" s="9">
        <v>10421</v>
      </c>
      <c r="P120" s="9">
        <v>1090</v>
      </c>
      <c r="Q120" s="9">
        <v>1884</v>
      </c>
      <c r="R120" s="9">
        <v>4432</v>
      </c>
      <c r="S120" s="9">
        <v>7686</v>
      </c>
      <c r="T120" s="9">
        <v>9939</v>
      </c>
      <c r="U120" s="9">
        <v>564</v>
      </c>
      <c r="V120" s="9">
        <v>820</v>
      </c>
      <c r="W120" s="9">
        <v>108</v>
      </c>
      <c r="X120" s="9">
        <v>60</v>
      </c>
      <c r="Y120" s="9">
        <v>26</v>
      </c>
      <c r="Z120" s="9">
        <v>22</v>
      </c>
      <c r="AB120" s="9">
        <f t="shared" si="4"/>
        <v>59603</v>
      </c>
      <c r="AC120" s="9">
        <f t="shared" si="5"/>
        <v>690603</v>
      </c>
      <c r="AD120" s="10">
        <f t="shared" si="6"/>
        <v>11.586715433786891</v>
      </c>
    </row>
    <row r="121" spans="1:30" x14ac:dyDescent="0.3">
      <c r="A121" s="55"/>
      <c r="B121" s="30" t="s">
        <v>123</v>
      </c>
      <c r="C121" s="9">
        <v>101</v>
      </c>
      <c r="D121" s="9">
        <v>55</v>
      </c>
      <c r="E121" s="9">
        <v>83</v>
      </c>
      <c r="F121" s="9">
        <v>138</v>
      </c>
      <c r="G121" s="9">
        <v>137</v>
      </c>
      <c r="H121" s="9">
        <v>144</v>
      </c>
      <c r="I121" s="9">
        <v>74</v>
      </c>
      <c r="J121" s="9">
        <v>63</v>
      </c>
      <c r="K121" s="9">
        <v>69</v>
      </c>
      <c r="L121" s="9">
        <v>38</v>
      </c>
      <c r="M121" s="9">
        <v>30</v>
      </c>
      <c r="N121" s="9">
        <v>26</v>
      </c>
      <c r="O121" s="9">
        <v>128</v>
      </c>
      <c r="P121" s="9">
        <v>10</v>
      </c>
      <c r="Q121" s="9">
        <v>19</v>
      </c>
      <c r="R121" s="9">
        <v>67</v>
      </c>
      <c r="S121" s="9">
        <v>50</v>
      </c>
      <c r="T121" s="9">
        <v>60</v>
      </c>
      <c r="U121" s="9">
        <v>2</v>
      </c>
      <c r="V121" s="9">
        <v>4</v>
      </c>
      <c r="W121" s="9">
        <v>0</v>
      </c>
      <c r="X121" s="9">
        <v>0</v>
      </c>
      <c r="Y121" s="9">
        <v>0</v>
      </c>
      <c r="Z121" s="9">
        <v>0</v>
      </c>
      <c r="AB121" s="9">
        <f t="shared" si="4"/>
        <v>1298</v>
      </c>
      <c r="AC121" s="9">
        <f t="shared" si="5"/>
        <v>9137</v>
      </c>
      <c r="AD121" s="10">
        <f t="shared" si="6"/>
        <v>7.0392912172573192</v>
      </c>
    </row>
    <row r="122" spans="1:30" x14ac:dyDescent="0.3">
      <c r="A122" s="55"/>
      <c r="B122" s="30" t="s">
        <v>124</v>
      </c>
      <c r="C122" s="9">
        <v>22</v>
      </c>
      <c r="D122" s="9">
        <v>16</v>
      </c>
      <c r="E122" s="9">
        <v>7</v>
      </c>
      <c r="F122" s="9">
        <v>24</v>
      </c>
      <c r="G122" s="9">
        <v>16</v>
      </c>
      <c r="H122" s="9">
        <v>42</v>
      </c>
      <c r="I122" s="9">
        <v>24</v>
      </c>
      <c r="J122" s="9">
        <v>34</v>
      </c>
      <c r="K122" s="9">
        <v>43</v>
      </c>
      <c r="L122" s="9">
        <v>27</v>
      </c>
      <c r="M122" s="9">
        <v>24</v>
      </c>
      <c r="N122" s="9">
        <v>23</v>
      </c>
      <c r="O122" s="9">
        <v>119</v>
      </c>
      <c r="P122" s="9">
        <v>3</v>
      </c>
      <c r="Q122" s="9">
        <v>10</v>
      </c>
      <c r="R122" s="9">
        <v>31</v>
      </c>
      <c r="S122" s="9">
        <v>52</v>
      </c>
      <c r="T122" s="9">
        <v>46</v>
      </c>
      <c r="U122" s="9">
        <v>1</v>
      </c>
      <c r="V122" s="9">
        <v>1</v>
      </c>
      <c r="W122" s="9">
        <v>1</v>
      </c>
      <c r="X122" s="9">
        <v>0</v>
      </c>
      <c r="Y122" s="9">
        <v>0</v>
      </c>
      <c r="Z122" s="9">
        <v>0</v>
      </c>
      <c r="AB122" s="9">
        <f t="shared" si="4"/>
        <v>566</v>
      </c>
      <c r="AC122" s="9">
        <f t="shared" si="5"/>
        <v>5581</v>
      </c>
      <c r="AD122" s="10">
        <f t="shared" si="6"/>
        <v>9.860424028268552</v>
      </c>
    </row>
    <row r="123" spans="1:30" x14ac:dyDescent="0.3">
      <c r="A123" s="55"/>
      <c r="B123" s="30" t="s">
        <v>125</v>
      </c>
      <c r="C123" s="9">
        <v>34</v>
      </c>
      <c r="D123" s="9">
        <v>17</v>
      </c>
      <c r="E123" s="9">
        <v>34</v>
      </c>
      <c r="F123" s="9">
        <v>31</v>
      </c>
      <c r="G123" s="9">
        <v>29</v>
      </c>
      <c r="H123" s="9">
        <v>43</v>
      </c>
      <c r="I123" s="9">
        <v>18</v>
      </c>
      <c r="J123" s="9">
        <v>21</v>
      </c>
      <c r="K123" s="9">
        <v>24</v>
      </c>
      <c r="L123" s="9">
        <v>9</v>
      </c>
      <c r="M123" s="9">
        <v>18</v>
      </c>
      <c r="N123" s="9">
        <v>14</v>
      </c>
      <c r="O123" s="9">
        <v>38</v>
      </c>
      <c r="P123" s="9">
        <v>0</v>
      </c>
      <c r="Q123" s="9">
        <v>2</v>
      </c>
      <c r="R123" s="9">
        <v>13</v>
      </c>
      <c r="S123" s="9">
        <v>25</v>
      </c>
      <c r="T123" s="9">
        <v>10</v>
      </c>
      <c r="U123" s="9">
        <v>0</v>
      </c>
      <c r="V123" s="9">
        <v>0</v>
      </c>
      <c r="W123" s="9">
        <v>1</v>
      </c>
      <c r="X123" s="9">
        <v>0</v>
      </c>
      <c r="Y123" s="9">
        <v>0</v>
      </c>
      <c r="Z123" s="9">
        <v>0</v>
      </c>
      <c r="AB123" s="9">
        <f t="shared" si="4"/>
        <v>381</v>
      </c>
      <c r="AC123" s="9">
        <f t="shared" si="5"/>
        <v>2640</v>
      </c>
      <c r="AD123" s="10">
        <f t="shared" si="6"/>
        <v>6.9291338582677167</v>
      </c>
    </row>
    <row r="124" spans="1:30" x14ac:dyDescent="0.3">
      <c r="A124" s="55"/>
      <c r="B124" s="30" t="s">
        <v>126</v>
      </c>
      <c r="C124" s="9">
        <v>219</v>
      </c>
      <c r="D124" s="9">
        <v>71</v>
      </c>
      <c r="E124" s="9">
        <v>126</v>
      </c>
      <c r="F124" s="9">
        <v>149</v>
      </c>
      <c r="G124" s="9">
        <v>167</v>
      </c>
      <c r="H124" s="9">
        <v>136</v>
      </c>
      <c r="I124" s="9">
        <v>63</v>
      </c>
      <c r="J124" s="9">
        <v>39</v>
      </c>
      <c r="K124" s="9">
        <v>49</v>
      </c>
      <c r="L124" s="9">
        <v>33</v>
      </c>
      <c r="M124" s="9">
        <v>31</v>
      </c>
      <c r="N124" s="9">
        <v>16</v>
      </c>
      <c r="O124" s="9">
        <v>112</v>
      </c>
      <c r="P124" s="9">
        <v>14</v>
      </c>
      <c r="Q124" s="9">
        <v>21</v>
      </c>
      <c r="R124" s="9">
        <v>57</v>
      </c>
      <c r="S124" s="9">
        <v>63</v>
      </c>
      <c r="T124" s="9">
        <v>18</v>
      </c>
      <c r="U124" s="9">
        <v>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B124" s="9">
        <f t="shared" si="4"/>
        <v>1385</v>
      </c>
      <c r="AC124" s="9">
        <f t="shared" si="5"/>
        <v>7951</v>
      </c>
      <c r="AD124" s="10">
        <f t="shared" si="6"/>
        <v>5.7407942238267147</v>
      </c>
    </row>
    <row r="125" spans="1:30" x14ac:dyDescent="0.3">
      <c r="A125" s="55"/>
      <c r="B125" s="30" t="s">
        <v>127</v>
      </c>
      <c r="C125" s="9">
        <v>105</v>
      </c>
      <c r="D125" s="9">
        <v>63</v>
      </c>
      <c r="E125" s="9">
        <v>101</v>
      </c>
      <c r="F125" s="9">
        <v>95</v>
      </c>
      <c r="G125" s="9">
        <v>114</v>
      </c>
      <c r="H125" s="9">
        <v>88</v>
      </c>
      <c r="I125" s="9">
        <v>50</v>
      </c>
      <c r="J125" s="9">
        <v>25</v>
      </c>
      <c r="K125" s="9">
        <v>26</v>
      </c>
      <c r="L125" s="9">
        <v>13</v>
      </c>
      <c r="M125" s="9">
        <v>12</v>
      </c>
      <c r="N125" s="9">
        <v>5</v>
      </c>
      <c r="O125" s="9">
        <v>13</v>
      </c>
      <c r="P125" s="9">
        <v>0</v>
      </c>
      <c r="Q125" s="9">
        <v>0</v>
      </c>
      <c r="R125" s="9">
        <v>6</v>
      </c>
      <c r="S125" s="9">
        <v>13</v>
      </c>
      <c r="T125" s="9">
        <v>5</v>
      </c>
      <c r="U125" s="9">
        <v>0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B125" s="9">
        <f t="shared" si="4"/>
        <v>735</v>
      </c>
      <c r="AC125" s="9">
        <f t="shared" si="5"/>
        <v>2980</v>
      </c>
      <c r="AD125" s="10">
        <f t="shared" si="6"/>
        <v>4.0544217687074831</v>
      </c>
    </row>
    <row r="126" spans="1:30" x14ac:dyDescent="0.3">
      <c r="A126" s="55"/>
      <c r="B126" s="30" t="s">
        <v>128</v>
      </c>
      <c r="C126" s="9">
        <v>107</v>
      </c>
      <c r="D126" s="9">
        <v>69</v>
      </c>
      <c r="E126" s="9">
        <v>154</v>
      </c>
      <c r="F126" s="9">
        <v>211</v>
      </c>
      <c r="G126" s="9">
        <v>183</v>
      </c>
      <c r="H126" s="9">
        <v>186</v>
      </c>
      <c r="I126" s="9">
        <v>57</v>
      </c>
      <c r="J126" s="9">
        <v>25</v>
      </c>
      <c r="K126" s="9">
        <v>37</v>
      </c>
      <c r="L126" s="9">
        <v>13</v>
      </c>
      <c r="M126" s="9">
        <v>11</v>
      </c>
      <c r="N126" s="9">
        <v>13</v>
      </c>
      <c r="O126" s="9">
        <v>36</v>
      </c>
      <c r="P126" s="9">
        <v>5</v>
      </c>
      <c r="Q126" s="9">
        <v>2</v>
      </c>
      <c r="R126" s="9">
        <v>26</v>
      </c>
      <c r="S126" s="9">
        <v>25</v>
      </c>
      <c r="T126" s="9">
        <v>6</v>
      </c>
      <c r="U126" s="9">
        <v>0</v>
      </c>
      <c r="V126" s="9">
        <v>0</v>
      </c>
      <c r="W126" s="9">
        <v>1</v>
      </c>
      <c r="X126" s="9">
        <v>0</v>
      </c>
      <c r="Y126" s="9">
        <v>0</v>
      </c>
      <c r="Z126" s="9">
        <v>0</v>
      </c>
      <c r="AB126" s="9">
        <f t="shared" si="4"/>
        <v>1167</v>
      </c>
      <c r="AC126" s="9">
        <f t="shared" si="5"/>
        <v>5292</v>
      </c>
      <c r="AD126" s="10">
        <f t="shared" si="6"/>
        <v>4.5347043701799485</v>
      </c>
    </row>
    <row r="127" spans="1:30" x14ac:dyDescent="0.3">
      <c r="A127" s="55"/>
      <c r="B127" s="30" t="s">
        <v>129</v>
      </c>
      <c r="C127" s="9">
        <v>34</v>
      </c>
      <c r="D127" s="9">
        <v>29</v>
      </c>
      <c r="E127" s="9">
        <v>28</v>
      </c>
      <c r="F127" s="9">
        <v>47</v>
      </c>
      <c r="G127" s="9">
        <v>36</v>
      </c>
      <c r="H127" s="9">
        <v>54</v>
      </c>
      <c r="I127" s="9">
        <v>31</v>
      </c>
      <c r="J127" s="9">
        <v>21</v>
      </c>
      <c r="K127" s="9">
        <v>17</v>
      </c>
      <c r="L127" s="9">
        <v>16</v>
      </c>
      <c r="M127" s="9">
        <v>11</v>
      </c>
      <c r="N127" s="9">
        <v>12</v>
      </c>
      <c r="O127" s="9">
        <v>54</v>
      </c>
      <c r="P127" s="9">
        <v>7</v>
      </c>
      <c r="Q127" s="9">
        <v>8</v>
      </c>
      <c r="R127" s="9">
        <v>39</v>
      </c>
      <c r="S127" s="9">
        <v>35</v>
      </c>
      <c r="T127" s="9">
        <v>32</v>
      </c>
      <c r="U127" s="9">
        <v>1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B127" s="9">
        <f t="shared" si="4"/>
        <v>512</v>
      </c>
      <c r="AC127" s="9">
        <f t="shared" si="5"/>
        <v>4053</v>
      </c>
      <c r="AD127" s="10">
        <f t="shared" si="6"/>
        <v>7.916015625</v>
      </c>
    </row>
    <row r="128" spans="1:30" x14ac:dyDescent="0.3">
      <c r="A128" s="55"/>
      <c r="B128" s="30" t="s">
        <v>130</v>
      </c>
      <c r="C128" s="9">
        <v>34</v>
      </c>
      <c r="D128" s="9">
        <v>15</v>
      </c>
      <c r="E128" s="9">
        <v>29</v>
      </c>
      <c r="F128" s="9">
        <v>45</v>
      </c>
      <c r="G128" s="9">
        <v>42</v>
      </c>
      <c r="H128" s="9">
        <v>43</v>
      </c>
      <c r="I128" s="9">
        <v>20</v>
      </c>
      <c r="J128" s="9">
        <v>13</v>
      </c>
      <c r="K128" s="9">
        <v>15</v>
      </c>
      <c r="L128" s="9">
        <v>6</v>
      </c>
      <c r="M128" s="9">
        <v>5</v>
      </c>
      <c r="N128" s="9">
        <v>5</v>
      </c>
      <c r="O128" s="9">
        <v>20</v>
      </c>
      <c r="P128" s="9">
        <v>4</v>
      </c>
      <c r="Q128" s="9">
        <v>2</v>
      </c>
      <c r="R128" s="9">
        <v>5</v>
      </c>
      <c r="S128" s="9">
        <v>6</v>
      </c>
      <c r="T128" s="9">
        <v>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B128" s="9">
        <f t="shared" si="4"/>
        <v>318</v>
      </c>
      <c r="AC128" s="9">
        <f t="shared" si="5"/>
        <v>1725</v>
      </c>
      <c r="AD128" s="10">
        <f t="shared" si="6"/>
        <v>5.4245283018867925</v>
      </c>
    </row>
    <row r="129" spans="1:30" x14ac:dyDescent="0.3">
      <c r="A129" s="55"/>
      <c r="B129" s="30" t="s">
        <v>131</v>
      </c>
      <c r="C129" s="9">
        <v>90</v>
      </c>
      <c r="D129" s="9">
        <v>64</v>
      </c>
      <c r="E129" s="9">
        <v>94</v>
      </c>
      <c r="F129" s="9">
        <v>119</v>
      </c>
      <c r="G129" s="9">
        <v>126</v>
      </c>
      <c r="H129" s="9">
        <v>163</v>
      </c>
      <c r="I129" s="9">
        <v>93</v>
      </c>
      <c r="J129" s="9">
        <v>61</v>
      </c>
      <c r="K129" s="9">
        <v>77</v>
      </c>
      <c r="L129" s="9">
        <v>41</v>
      </c>
      <c r="M129" s="9">
        <v>57</v>
      </c>
      <c r="N129" s="9">
        <v>52</v>
      </c>
      <c r="O129" s="9">
        <v>183</v>
      </c>
      <c r="P129" s="9">
        <v>13</v>
      </c>
      <c r="Q129" s="9">
        <v>17</v>
      </c>
      <c r="R129" s="9">
        <v>34</v>
      </c>
      <c r="S129" s="9">
        <v>77</v>
      </c>
      <c r="T129" s="9">
        <v>74</v>
      </c>
      <c r="U129" s="9">
        <v>4</v>
      </c>
      <c r="V129" s="9">
        <v>7</v>
      </c>
      <c r="W129" s="9">
        <v>2</v>
      </c>
      <c r="X129" s="9">
        <v>5</v>
      </c>
      <c r="Y129" s="9">
        <v>0</v>
      </c>
      <c r="Z129" s="9">
        <v>2</v>
      </c>
      <c r="AB129" s="9">
        <f t="shared" si="4"/>
        <v>1455</v>
      </c>
      <c r="AC129" s="9">
        <f t="shared" si="5"/>
        <v>11039</v>
      </c>
      <c r="AD129" s="10">
        <f t="shared" si="6"/>
        <v>7.5869415807560134</v>
      </c>
    </row>
    <row r="130" spans="1:30" x14ac:dyDescent="0.3">
      <c r="A130" s="55"/>
      <c r="B130" s="30" t="s">
        <v>132</v>
      </c>
      <c r="C130" s="9">
        <v>34</v>
      </c>
      <c r="D130" s="9">
        <v>15</v>
      </c>
      <c r="E130" s="9">
        <v>21</v>
      </c>
      <c r="F130" s="9">
        <v>19</v>
      </c>
      <c r="G130" s="9">
        <v>22</v>
      </c>
      <c r="H130" s="9">
        <v>23</v>
      </c>
      <c r="I130" s="9">
        <v>28</v>
      </c>
      <c r="J130" s="9">
        <v>13</v>
      </c>
      <c r="K130" s="9">
        <v>18</v>
      </c>
      <c r="L130" s="9">
        <v>9</v>
      </c>
      <c r="M130" s="9">
        <v>4</v>
      </c>
      <c r="N130" s="9">
        <v>8</v>
      </c>
      <c r="O130" s="9">
        <v>24</v>
      </c>
      <c r="P130" s="9">
        <v>2</v>
      </c>
      <c r="Q130" s="9">
        <v>0</v>
      </c>
      <c r="R130" s="9">
        <v>5</v>
      </c>
      <c r="S130" s="9">
        <v>10</v>
      </c>
      <c r="T130" s="9">
        <v>8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B130" s="9">
        <f t="shared" si="4"/>
        <v>263</v>
      </c>
      <c r="AC130" s="9">
        <f t="shared" si="5"/>
        <v>1614</v>
      </c>
      <c r="AD130" s="10">
        <f t="shared" si="6"/>
        <v>6.1368821292775664</v>
      </c>
    </row>
    <row r="131" spans="1:30" x14ac:dyDescent="0.3">
      <c r="A131" s="55"/>
      <c r="B131" s="30" t="s">
        <v>133</v>
      </c>
      <c r="C131" s="9">
        <v>37</v>
      </c>
      <c r="D131" s="9">
        <v>18</v>
      </c>
      <c r="E131" s="9">
        <v>32</v>
      </c>
      <c r="F131" s="9">
        <v>39</v>
      </c>
      <c r="G131" s="9">
        <v>42</v>
      </c>
      <c r="H131" s="9">
        <v>48</v>
      </c>
      <c r="I131" s="9">
        <v>16</v>
      </c>
      <c r="J131" s="9">
        <v>10</v>
      </c>
      <c r="K131" s="9">
        <v>14</v>
      </c>
      <c r="L131" s="9">
        <v>15</v>
      </c>
      <c r="M131" s="9">
        <v>13</v>
      </c>
      <c r="N131" s="9">
        <v>10</v>
      </c>
      <c r="O131" s="9">
        <v>73</v>
      </c>
      <c r="P131" s="9">
        <v>13</v>
      </c>
      <c r="Q131" s="9">
        <v>16</v>
      </c>
      <c r="R131" s="9">
        <v>68</v>
      </c>
      <c r="S131" s="9">
        <v>63</v>
      </c>
      <c r="T131" s="9">
        <v>31</v>
      </c>
      <c r="U131" s="9">
        <v>0</v>
      </c>
      <c r="V131" s="9">
        <v>4</v>
      </c>
      <c r="W131" s="9">
        <v>0</v>
      </c>
      <c r="X131" s="9">
        <v>0</v>
      </c>
      <c r="Y131" s="9">
        <v>0</v>
      </c>
      <c r="Z131" s="9">
        <v>1</v>
      </c>
      <c r="AB131" s="9">
        <f t="shared" si="4"/>
        <v>563</v>
      </c>
      <c r="AC131" s="9">
        <f t="shared" si="5"/>
        <v>5183</v>
      </c>
      <c r="AD131" s="10">
        <f t="shared" si="6"/>
        <v>9.2060390763765536</v>
      </c>
    </row>
    <row r="132" spans="1:30" x14ac:dyDescent="0.3">
      <c r="A132" s="55"/>
      <c r="B132" s="30" t="s">
        <v>134</v>
      </c>
      <c r="C132" s="9">
        <v>76</v>
      </c>
      <c r="D132" s="9">
        <v>31</v>
      </c>
      <c r="E132" s="9">
        <v>55</v>
      </c>
      <c r="F132" s="9">
        <v>54</v>
      </c>
      <c r="G132" s="9">
        <v>47</v>
      </c>
      <c r="H132" s="9">
        <v>61</v>
      </c>
      <c r="I132" s="9">
        <v>30</v>
      </c>
      <c r="J132" s="9">
        <v>10</v>
      </c>
      <c r="K132" s="9">
        <v>13</v>
      </c>
      <c r="L132" s="9">
        <v>8</v>
      </c>
      <c r="M132" s="9">
        <v>10</v>
      </c>
      <c r="N132" s="9">
        <v>10</v>
      </c>
      <c r="O132" s="9">
        <v>41</v>
      </c>
      <c r="P132" s="9">
        <v>4</v>
      </c>
      <c r="Q132" s="9">
        <v>2</v>
      </c>
      <c r="R132" s="9">
        <v>15</v>
      </c>
      <c r="S132" s="9">
        <v>11</v>
      </c>
      <c r="T132" s="9">
        <v>6</v>
      </c>
      <c r="U132" s="9">
        <v>2</v>
      </c>
      <c r="V132" s="9">
        <v>2</v>
      </c>
      <c r="W132" s="9">
        <v>0</v>
      </c>
      <c r="X132" s="9">
        <v>0</v>
      </c>
      <c r="Y132" s="9">
        <v>0</v>
      </c>
      <c r="Z132" s="9">
        <v>0</v>
      </c>
      <c r="AB132" s="9">
        <f t="shared" ref="AB132:AB195" si="7">SUM(C132:Z132)</f>
        <v>488</v>
      </c>
      <c r="AC132" s="9">
        <f t="shared" ref="AC132:AC195" si="8">C$2*C132+D$2*D132+E$2*E132+F$2*F132+G$2*G132+H$2*H132+I$2*I132+J$2*J132+K$2*K132+L$2*L132+M$2*M132+N$2*N132+O$2*O132+P$2*P132+Q$2*Q132+R$2*R132+S$2*S132+T$2*T132+U$2*U132+V$2*V132+W$2*W132+X$2*X132+Y$2*Y132+Z$2*Z132</f>
        <v>2581</v>
      </c>
      <c r="AD132" s="10">
        <f t="shared" si="6"/>
        <v>5.2889344262295079</v>
      </c>
    </row>
    <row r="133" spans="1:30" x14ac:dyDescent="0.3">
      <c r="A133" s="55"/>
      <c r="B133" s="30" t="s">
        <v>135</v>
      </c>
      <c r="C133" s="9">
        <v>225</v>
      </c>
      <c r="D133" s="9">
        <v>56</v>
      </c>
      <c r="E133" s="9">
        <v>85</v>
      </c>
      <c r="F133" s="9">
        <v>83</v>
      </c>
      <c r="G133" s="9">
        <v>47</v>
      </c>
      <c r="H133" s="9">
        <v>37</v>
      </c>
      <c r="I133" s="9">
        <v>22</v>
      </c>
      <c r="J133" s="9">
        <v>8</v>
      </c>
      <c r="K133" s="9">
        <v>13</v>
      </c>
      <c r="L133" s="9">
        <v>2</v>
      </c>
      <c r="M133" s="9">
        <v>4</v>
      </c>
      <c r="N133" s="9">
        <v>3</v>
      </c>
      <c r="O133" s="9">
        <v>12</v>
      </c>
      <c r="P133" s="9">
        <v>2</v>
      </c>
      <c r="Q133" s="9">
        <v>5</v>
      </c>
      <c r="R133" s="9">
        <v>6</v>
      </c>
      <c r="S133" s="9">
        <v>16</v>
      </c>
      <c r="T133" s="9">
        <v>4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0</v>
      </c>
      <c r="AB133" s="9">
        <f t="shared" si="7"/>
        <v>631</v>
      </c>
      <c r="AC133" s="9">
        <f t="shared" si="8"/>
        <v>1904</v>
      </c>
      <c r="AD133" s="10">
        <f t="shared" ref="AD133:AD196" si="9">AC133/AB133</f>
        <v>3.0174326465927099</v>
      </c>
    </row>
    <row r="134" spans="1:30" x14ac:dyDescent="0.3">
      <c r="A134" s="55"/>
      <c r="B134" s="30" t="s">
        <v>136</v>
      </c>
      <c r="C134" s="9">
        <v>84</v>
      </c>
      <c r="D134" s="9">
        <v>42</v>
      </c>
      <c r="E134" s="9">
        <v>91</v>
      </c>
      <c r="F134" s="9">
        <v>67</v>
      </c>
      <c r="G134" s="9">
        <v>68</v>
      </c>
      <c r="H134" s="9">
        <v>56</v>
      </c>
      <c r="I134" s="9">
        <v>16</v>
      </c>
      <c r="J134" s="9">
        <v>13</v>
      </c>
      <c r="K134" s="9">
        <v>15</v>
      </c>
      <c r="L134" s="9">
        <v>8</v>
      </c>
      <c r="M134" s="9">
        <v>6</v>
      </c>
      <c r="N134" s="9">
        <v>3</v>
      </c>
      <c r="O134" s="9">
        <v>16</v>
      </c>
      <c r="P134" s="9">
        <v>0</v>
      </c>
      <c r="Q134" s="9">
        <v>2</v>
      </c>
      <c r="R134" s="9">
        <v>8</v>
      </c>
      <c r="S134" s="9">
        <v>7</v>
      </c>
      <c r="T134" s="9">
        <v>5</v>
      </c>
      <c r="U134" s="9">
        <v>0</v>
      </c>
      <c r="V134" s="9">
        <v>1</v>
      </c>
      <c r="W134" s="9">
        <v>0</v>
      </c>
      <c r="X134" s="9">
        <v>0</v>
      </c>
      <c r="Y134" s="9">
        <v>0</v>
      </c>
      <c r="Z134" s="9">
        <v>0</v>
      </c>
      <c r="AB134" s="9">
        <f t="shared" si="7"/>
        <v>508</v>
      </c>
      <c r="AC134" s="9">
        <f t="shared" si="8"/>
        <v>2005</v>
      </c>
      <c r="AD134" s="10">
        <f t="shared" si="9"/>
        <v>3.9468503937007875</v>
      </c>
    </row>
    <row r="135" spans="1:30" x14ac:dyDescent="0.3">
      <c r="A135" s="55"/>
      <c r="B135" s="30" t="s">
        <v>137</v>
      </c>
      <c r="C135" s="9">
        <v>86</v>
      </c>
      <c r="D135" s="9">
        <v>65</v>
      </c>
      <c r="E135" s="9">
        <v>94</v>
      </c>
      <c r="F135" s="9">
        <v>117</v>
      </c>
      <c r="G135" s="9">
        <v>89</v>
      </c>
      <c r="H135" s="9">
        <v>134</v>
      </c>
      <c r="I135" s="9">
        <v>44</v>
      </c>
      <c r="J135" s="9">
        <v>37</v>
      </c>
      <c r="K135" s="9">
        <v>55</v>
      </c>
      <c r="L135" s="9">
        <v>56</v>
      </c>
      <c r="M135" s="9">
        <v>50</v>
      </c>
      <c r="N135" s="9">
        <v>50</v>
      </c>
      <c r="O135" s="9">
        <v>219</v>
      </c>
      <c r="P135" s="9">
        <v>10</v>
      </c>
      <c r="Q135" s="9">
        <v>19</v>
      </c>
      <c r="R135" s="9">
        <v>66</v>
      </c>
      <c r="S135" s="9">
        <v>75</v>
      </c>
      <c r="T135" s="9">
        <v>54</v>
      </c>
      <c r="U135" s="9">
        <v>2</v>
      </c>
      <c r="V135" s="9">
        <v>4</v>
      </c>
      <c r="W135" s="9">
        <v>0</v>
      </c>
      <c r="X135" s="9">
        <v>0</v>
      </c>
      <c r="Y135" s="9">
        <v>0</v>
      </c>
      <c r="Z135" s="9">
        <v>0</v>
      </c>
      <c r="AB135" s="9">
        <f t="shared" si="7"/>
        <v>1326</v>
      </c>
      <c r="AC135" s="9">
        <f t="shared" si="8"/>
        <v>10391</v>
      </c>
      <c r="AD135" s="10">
        <f t="shared" si="9"/>
        <v>7.8363499245852184</v>
      </c>
    </row>
    <row r="136" spans="1:30" x14ac:dyDescent="0.3">
      <c r="A136" s="55"/>
      <c r="B136" s="30" t="s">
        <v>138</v>
      </c>
      <c r="C136" s="9">
        <v>30</v>
      </c>
      <c r="D136" s="9">
        <v>14</v>
      </c>
      <c r="E136" s="9">
        <v>23</v>
      </c>
      <c r="F136" s="9">
        <v>30</v>
      </c>
      <c r="G136" s="9">
        <v>23</v>
      </c>
      <c r="H136" s="9">
        <v>41</v>
      </c>
      <c r="I136" s="9">
        <v>20</v>
      </c>
      <c r="J136" s="9">
        <v>18</v>
      </c>
      <c r="K136" s="9">
        <v>27</v>
      </c>
      <c r="L136" s="9">
        <v>15</v>
      </c>
      <c r="M136" s="9">
        <v>13</v>
      </c>
      <c r="N136" s="9">
        <v>21</v>
      </c>
      <c r="O136" s="9">
        <v>72</v>
      </c>
      <c r="P136" s="9">
        <v>3</v>
      </c>
      <c r="Q136" s="9">
        <v>3</v>
      </c>
      <c r="R136" s="9">
        <v>12</v>
      </c>
      <c r="S136" s="9">
        <v>11</v>
      </c>
      <c r="T136" s="9">
        <v>12</v>
      </c>
      <c r="U136" s="9">
        <v>0</v>
      </c>
      <c r="V136" s="9">
        <v>2</v>
      </c>
      <c r="W136" s="9">
        <v>0</v>
      </c>
      <c r="X136" s="9">
        <v>0</v>
      </c>
      <c r="Y136" s="9">
        <v>0</v>
      </c>
      <c r="Z136" s="9">
        <v>0</v>
      </c>
      <c r="AB136" s="9">
        <f t="shared" si="7"/>
        <v>390</v>
      </c>
      <c r="AC136" s="9">
        <f t="shared" si="8"/>
        <v>2948</v>
      </c>
      <c r="AD136" s="10">
        <f t="shared" si="9"/>
        <v>7.5589743589743588</v>
      </c>
    </row>
    <row r="137" spans="1:30" x14ac:dyDescent="0.3">
      <c r="A137" s="55"/>
      <c r="B137" s="30" t="s">
        <v>139</v>
      </c>
      <c r="C137" s="9">
        <v>30</v>
      </c>
      <c r="D137" s="9">
        <v>15</v>
      </c>
      <c r="E137" s="9">
        <v>20</v>
      </c>
      <c r="F137" s="9">
        <v>21</v>
      </c>
      <c r="G137" s="9">
        <v>21</v>
      </c>
      <c r="H137" s="9">
        <v>29</v>
      </c>
      <c r="I137" s="9">
        <v>14</v>
      </c>
      <c r="J137" s="9">
        <v>7</v>
      </c>
      <c r="K137" s="9">
        <v>18</v>
      </c>
      <c r="L137" s="9">
        <v>7</v>
      </c>
      <c r="M137" s="9">
        <v>6</v>
      </c>
      <c r="N137" s="9">
        <v>11</v>
      </c>
      <c r="O137" s="9">
        <v>19</v>
      </c>
      <c r="P137" s="9">
        <v>0</v>
      </c>
      <c r="Q137" s="9">
        <v>1</v>
      </c>
      <c r="R137" s="9">
        <v>5</v>
      </c>
      <c r="S137" s="9">
        <v>8</v>
      </c>
      <c r="T137" s="9">
        <v>4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B137" s="9">
        <f t="shared" si="7"/>
        <v>236</v>
      </c>
      <c r="AC137" s="9">
        <f t="shared" si="8"/>
        <v>1381</v>
      </c>
      <c r="AD137" s="10">
        <f t="shared" si="9"/>
        <v>5.851694915254237</v>
      </c>
    </row>
    <row r="138" spans="1:30" x14ac:dyDescent="0.3">
      <c r="A138" s="55"/>
      <c r="B138" s="30" t="s">
        <v>140</v>
      </c>
      <c r="C138" s="9">
        <v>76</v>
      </c>
      <c r="D138" s="9">
        <v>26</v>
      </c>
      <c r="E138" s="9">
        <v>51</v>
      </c>
      <c r="F138" s="9">
        <v>62</v>
      </c>
      <c r="G138" s="9">
        <v>62</v>
      </c>
      <c r="H138" s="9">
        <v>125</v>
      </c>
      <c r="I138" s="9">
        <v>68</v>
      </c>
      <c r="J138" s="9">
        <v>61</v>
      </c>
      <c r="K138" s="9">
        <v>61</v>
      </c>
      <c r="L138" s="9">
        <v>41</v>
      </c>
      <c r="M138" s="9">
        <v>64</v>
      </c>
      <c r="N138" s="9">
        <v>53</v>
      </c>
      <c r="O138" s="9">
        <v>272</v>
      </c>
      <c r="P138" s="9">
        <v>34</v>
      </c>
      <c r="Q138" s="9">
        <v>53</v>
      </c>
      <c r="R138" s="9">
        <v>137</v>
      </c>
      <c r="S138" s="9">
        <v>187</v>
      </c>
      <c r="T138" s="9">
        <v>154</v>
      </c>
      <c r="U138" s="9">
        <v>3</v>
      </c>
      <c r="V138" s="9">
        <v>9</v>
      </c>
      <c r="W138" s="9">
        <v>4</v>
      </c>
      <c r="X138" s="9">
        <v>0</v>
      </c>
      <c r="Y138" s="9">
        <v>1</v>
      </c>
      <c r="Z138" s="9">
        <v>0</v>
      </c>
      <c r="AB138" s="9">
        <f t="shared" si="7"/>
        <v>1604</v>
      </c>
      <c r="AC138" s="9">
        <f t="shared" si="8"/>
        <v>16542</v>
      </c>
      <c r="AD138" s="10">
        <f t="shared" si="9"/>
        <v>10.312967581047381</v>
      </c>
    </row>
    <row r="139" spans="1:30" x14ac:dyDescent="0.3">
      <c r="A139" s="55"/>
      <c r="B139" s="30" t="s">
        <v>141</v>
      </c>
      <c r="C139" s="9">
        <v>66</v>
      </c>
      <c r="D139" s="9">
        <v>18</v>
      </c>
      <c r="E139" s="9">
        <v>23</v>
      </c>
      <c r="F139" s="9">
        <v>38</v>
      </c>
      <c r="G139" s="9">
        <v>42</v>
      </c>
      <c r="H139" s="9">
        <v>58</v>
      </c>
      <c r="I139" s="9">
        <v>28</v>
      </c>
      <c r="J139" s="9">
        <v>24</v>
      </c>
      <c r="K139" s="9">
        <v>32</v>
      </c>
      <c r="L139" s="9">
        <v>22</v>
      </c>
      <c r="M139" s="9">
        <v>20</v>
      </c>
      <c r="N139" s="9">
        <v>25</v>
      </c>
      <c r="O139" s="9">
        <v>92</v>
      </c>
      <c r="P139" s="9">
        <v>3</v>
      </c>
      <c r="Q139" s="9">
        <v>7</v>
      </c>
      <c r="R139" s="9">
        <v>16</v>
      </c>
      <c r="S139" s="9">
        <v>30</v>
      </c>
      <c r="T139" s="9">
        <v>21</v>
      </c>
      <c r="U139" s="9">
        <v>1</v>
      </c>
      <c r="V139" s="9">
        <v>3</v>
      </c>
      <c r="W139" s="9">
        <v>2</v>
      </c>
      <c r="X139" s="9">
        <v>1</v>
      </c>
      <c r="Y139" s="9">
        <v>1</v>
      </c>
      <c r="Z139" s="9">
        <v>0</v>
      </c>
      <c r="AB139" s="9">
        <f t="shared" si="7"/>
        <v>573</v>
      </c>
      <c r="AC139" s="9">
        <f t="shared" si="8"/>
        <v>4377</v>
      </c>
      <c r="AD139" s="10">
        <f t="shared" si="9"/>
        <v>7.6387434554973819</v>
      </c>
    </row>
    <row r="140" spans="1:30" x14ac:dyDescent="0.3">
      <c r="A140" s="55"/>
      <c r="B140" s="30" t="s">
        <v>142</v>
      </c>
      <c r="C140" s="9">
        <v>21</v>
      </c>
      <c r="D140" s="9">
        <v>8</v>
      </c>
      <c r="E140" s="9">
        <v>22</v>
      </c>
      <c r="F140" s="9">
        <v>22</v>
      </c>
      <c r="G140" s="9">
        <v>19</v>
      </c>
      <c r="H140" s="9">
        <v>47</v>
      </c>
      <c r="I140" s="9">
        <v>23</v>
      </c>
      <c r="J140" s="9">
        <v>13</v>
      </c>
      <c r="K140" s="9">
        <v>16</v>
      </c>
      <c r="L140" s="9">
        <v>14</v>
      </c>
      <c r="M140" s="9">
        <v>9</v>
      </c>
      <c r="N140" s="9">
        <v>14</v>
      </c>
      <c r="O140" s="9">
        <v>62</v>
      </c>
      <c r="P140" s="9">
        <v>2</v>
      </c>
      <c r="Q140" s="9">
        <v>6</v>
      </c>
      <c r="R140" s="9">
        <v>25</v>
      </c>
      <c r="S140" s="9">
        <v>32</v>
      </c>
      <c r="T140" s="9">
        <v>20</v>
      </c>
      <c r="U140" s="9">
        <v>0</v>
      </c>
      <c r="V140" s="9">
        <v>2</v>
      </c>
      <c r="W140" s="9">
        <v>0</v>
      </c>
      <c r="X140" s="9">
        <v>0</v>
      </c>
      <c r="Y140" s="9">
        <v>0</v>
      </c>
      <c r="Z140" s="9">
        <v>0</v>
      </c>
      <c r="AB140" s="9">
        <f t="shared" si="7"/>
        <v>377</v>
      </c>
      <c r="AC140" s="9">
        <f t="shared" si="8"/>
        <v>3275</v>
      </c>
      <c r="AD140" s="10">
        <f t="shared" si="9"/>
        <v>8.6870026525198938</v>
      </c>
    </row>
    <row r="141" spans="1:30" x14ac:dyDescent="0.3">
      <c r="A141" s="55"/>
      <c r="B141" s="30" t="s">
        <v>143</v>
      </c>
      <c r="C141" s="9">
        <v>271</v>
      </c>
      <c r="D141" s="9">
        <v>241</v>
      </c>
      <c r="E141" s="9">
        <v>403</v>
      </c>
      <c r="F141" s="9">
        <v>595</v>
      </c>
      <c r="G141" s="9">
        <v>482</v>
      </c>
      <c r="H141" s="9">
        <v>692</v>
      </c>
      <c r="I141" s="9">
        <v>440</v>
      </c>
      <c r="J141" s="9">
        <v>325</v>
      </c>
      <c r="K141" s="9">
        <v>434</v>
      </c>
      <c r="L141" s="9">
        <v>485</v>
      </c>
      <c r="M141" s="9">
        <v>547</v>
      </c>
      <c r="N141" s="9">
        <v>531</v>
      </c>
      <c r="O141" s="9">
        <v>2163</v>
      </c>
      <c r="P141" s="9">
        <v>256</v>
      </c>
      <c r="Q141" s="9">
        <v>439</v>
      </c>
      <c r="R141" s="9">
        <v>1026</v>
      </c>
      <c r="S141" s="9">
        <v>1399</v>
      </c>
      <c r="T141" s="9">
        <v>1424</v>
      </c>
      <c r="U141" s="9">
        <v>52</v>
      </c>
      <c r="V141" s="9">
        <v>57</v>
      </c>
      <c r="W141" s="9">
        <v>12</v>
      </c>
      <c r="X141" s="9">
        <v>6</v>
      </c>
      <c r="Y141" s="9">
        <v>2</v>
      </c>
      <c r="Z141" s="9">
        <v>6</v>
      </c>
      <c r="AB141" s="9">
        <f t="shared" si="7"/>
        <v>12288</v>
      </c>
      <c r="AC141" s="9">
        <f t="shared" si="8"/>
        <v>132262</v>
      </c>
      <c r="AD141" s="10">
        <f t="shared" si="9"/>
        <v>10.763509114583334</v>
      </c>
    </row>
    <row r="142" spans="1:30" x14ac:dyDescent="0.3">
      <c r="A142" s="55"/>
      <c r="B142" s="30" t="s">
        <v>144</v>
      </c>
      <c r="C142" s="9">
        <v>277</v>
      </c>
      <c r="D142" s="9">
        <v>120</v>
      </c>
      <c r="E142" s="9">
        <v>264</v>
      </c>
      <c r="F142" s="9">
        <v>262</v>
      </c>
      <c r="G142" s="9">
        <v>234</v>
      </c>
      <c r="H142" s="9">
        <v>300</v>
      </c>
      <c r="I142" s="9">
        <v>163</v>
      </c>
      <c r="J142" s="9">
        <v>126</v>
      </c>
      <c r="K142" s="9">
        <v>167</v>
      </c>
      <c r="L142" s="9">
        <v>121</v>
      </c>
      <c r="M142" s="9">
        <v>128</v>
      </c>
      <c r="N142" s="9">
        <v>141</v>
      </c>
      <c r="O142" s="9">
        <v>426</v>
      </c>
      <c r="P142" s="9">
        <v>32</v>
      </c>
      <c r="Q142" s="9">
        <v>48</v>
      </c>
      <c r="R142" s="9">
        <v>142</v>
      </c>
      <c r="S142" s="9">
        <v>156</v>
      </c>
      <c r="T142" s="9">
        <v>144</v>
      </c>
      <c r="U142" s="9">
        <v>8</v>
      </c>
      <c r="V142" s="9">
        <v>12</v>
      </c>
      <c r="W142" s="9">
        <v>2</v>
      </c>
      <c r="X142" s="9">
        <v>2</v>
      </c>
      <c r="Y142" s="9">
        <v>0</v>
      </c>
      <c r="Z142" s="9">
        <v>1</v>
      </c>
      <c r="AB142" s="9">
        <f t="shared" si="7"/>
        <v>3276</v>
      </c>
      <c r="AC142" s="9">
        <f t="shared" si="8"/>
        <v>24737</v>
      </c>
      <c r="AD142" s="10">
        <f t="shared" si="9"/>
        <v>7.5509768009768008</v>
      </c>
    </row>
    <row r="143" spans="1:30" x14ac:dyDescent="0.3">
      <c r="A143" s="55"/>
      <c r="B143" s="30" t="s">
        <v>145</v>
      </c>
      <c r="C143" s="9">
        <v>141</v>
      </c>
      <c r="D143" s="9">
        <v>120</v>
      </c>
      <c r="E143" s="9">
        <v>158</v>
      </c>
      <c r="F143" s="9">
        <v>218</v>
      </c>
      <c r="G143" s="9">
        <v>177</v>
      </c>
      <c r="H143" s="9">
        <v>238</v>
      </c>
      <c r="I143" s="9">
        <v>162</v>
      </c>
      <c r="J143" s="9">
        <v>107</v>
      </c>
      <c r="K143" s="9">
        <v>175</v>
      </c>
      <c r="L143" s="9">
        <v>203</v>
      </c>
      <c r="M143" s="9">
        <v>210</v>
      </c>
      <c r="N143" s="9">
        <v>217</v>
      </c>
      <c r="O143" s="9">
        <v>846</v>
      </c>
      <c r="P143" s="9">
        <v>92</v>
      </c>
      <c r="Q143" s="9">
        <v>159</v>
      </c>
      <c r="R143" s="9">
        <v>342</v>
      </c>
      <c r="S143" s="9">
        <v>509</v>
      </c>
      <c r="T143" s="9">
        <v>607</v>
      </c>
      <c r="U143" s="9">
        <v>27</v>
      </c>
      <c r="V143" s="9">
        <v>28</v>
      </c>
      <c r="W143" s="9">
        <v>9</v>
      </c>
      <c r="X143" s="9">
        <v>3</v>
      </c>
      <c r="Y143" s="9">
        <v>1</v>
      </c>
      <c r="Z143" s="9">
        <v>1</v>
      </c>
      <c r="AB143" s="9">
        <f t="shared" si="7"/>
        <v>4750</v>
      </c>
      <c r="AC143" s="9">
        <f t="shared" si="8"/>
        <v>50896</v>
      </c>
      <c r="AD143" s="10">
        <f t="shared" si="9"/>
        <v>10.714947368421052</v>
      </c>
    </row>
    <row r="144" spans="1:30" x14ac:dyDescent="0.3">
      <c r="A144" s="55"/>
      <c r="B144" s="30" t="s">
        <v>146</v>
      </c>
      <c r="C144" s="9">
        <v>186</v>
      </c>
      <c r="D144" s="9">
        <v>136</v>
      </c>
      <c r="E144" s="9">
        <v>195</v>
      </c>
      <c r="F144" s="9">
        <v>289</v>
      </c>
      <c r="G144" s="9">
        <v>243</v>
      </c>
      <c r="H144" s="9">
        <v>395</v>
      </c>
      <c r="I144" s="9">
        <v>201</v>
      </c>
      <c r="J144" s="9">
        <v>151</v>
      </c>
      <c r="K144" s="9">
        <v>157</v>
      </c>
      <c r="L144" s="9">
        <v>170</v>
      </c>
      <c r="M144" s="9">
        <v>183</v>
      </c>
      <c r="N144" s="9">
        <v>164</v>
      </c>
      <c r="O144" s="9">
        <v>696</v>
      </c>
      <c r="P144" s="9">
        <v>74</v>
      </c>
      <c r="Q144" s="9">
        <v>113</v>
      </c>
      <c r="R144" s="9">
        <v>307</v>
      </c>
      <c r="S144" s="9">
        <v>391</v>
      </c>
      <c r="T144" s="9">
        <v>370</v>
      </c>
      <c r="U144" s="9">
        <v>9</v>
      </c>
      <c r="V144" s="9">
        <v>14</v>
      </c>
      <c r="W144" s="9">
        <v>4</v>
      </c>
      <c r="X144" s="9">
        <v>3</v>
      </c>
      <c r="Y144" s="9">
        <v>1</v>
      </c>
      <c r="Z144" s="9">
        <v>3</v>
      </c>
      <c r="AB144" s="9">
        <f t="shared" si="7"/>
        <v>4455</v>
      </c>
      <c r="AC144" s="9">
        <f t="shared" si="8"/>
        <v>41732</v>
      </c>
      <c r="AD144" s="10">
        <f t="shared" si="9"/>
        <v>9.3674523007856347</v>
      </c>
    </row>
    <row r="145" spans="1:30" x14ac:dyDescent="0.3">
      <c r="A145" s="55"/>
      <c r="B145" s="30" t="s">
        <v>147</v>
      </c>
      <c r="C145" s="9">
        <v>84</v>
      </c>
      <c r="D145" s="9">
        <v>57</v>
      </c>
      <c r="E145" s="9">
        <v>73</v>
      </c>
      <c r="F145" s="9">
        <v>131</v>
      </c>
      <c r="G145" s="9">
        <v>110</v>
      </c>
      <c r="H145" s="9">
        <v>204</v>
      </c>
      <c r="I145" s="9">
        <v>146</v>
      </c>
      <c r="J145" s="9">
        <v>127</v>
      </c>
      <c r="K145" s="9">
        <v>139</v>
      </c>
      <c r="L145" s="9">
        <v>193</v>
      </c>
      <c r="M145" s="9">
        <v>231</v>
      </c>
      <c r="N145" s="9">
        <v>205</v>
      </c>
      <c r="O145" s="9">
        <v>898</v>
      </c>
      <c r="P145" s="9">
        <v>108</v>
      </c>
      <c r="Q145" s="9">
        <v>167</v>
      </c>
      <c r="R145" s="9">
        <v>407</v>
      </c>
      <c r="S145" s="9">
        <v>687</v>
      </c>
      <c r="T145" s="9">
        <v>833</v>
      </c>
      <c r="U145" s="9">
        <v>30</v>
      </c>
      <c r="V145" s="9">
        <v>50</v>
      </c>
      <c r="W145" s="9">
        <v>7</v>
      </c>
      <c r="X145" s="9">
        <v>3</v>
      </c>
      <c r="Y145" s="9">
        <v>4</v>
      </c>
      <c r="Z145" s="9">
        <v>2</v>
      </c>
      <c r="AB145" s="9">
        <f t="shared" si="7"/>
        <v>4896</v>
      </c>
      <c r="AC145" s="9">
        <f t="shared" si="8"/>
        <v>58838</v>
      </c>
      <c r="AD145" s="10">
        <f t="shared" si="9"/>
        <v>12.017565359477125</v>
      </c>
    </row>
    <row r="146" spans="1:30" x14ac:dyDescent="0.3">
      <c r="A146" s="55"/>
      <c r="B146" s="30" t="s">
        <v>148</v>
      </c>
      <c r="C146" s="9">
        <v>514</v>
      </c>
      <c r="D146" s="9">
        <v>364</v>
      </c>
      <c r="E146" s="9">
        <v>557</v>
      </c>
      <c r="F146" s="9">
        <v>755</v>
      </c>
      <c r="G146" s="9">
        <v>671</v>
      </c>
      <c r="H146" s="9">
        <v>1024</v>
      </c>
      <c r="I146" s="9">
        <v>563</v>
      </c>
      <c r="J146" s="9">
        <v>407</v>
      </c>
      <c r="K146" s="9">
        <v>578</v>
      </c>
      <c r="L146" s="9">
        <v>538</v>
      </c>
      <c r="M146" s="9">
        <v>662</v>
      </c>
      <c r="N146" s="9">
        <v>625</v>
      </c>
      <c r="O146" s="9">
        <v>2517</v>
      </c>
      <c r="P146" s="9">
        <v>274</v>
      </c>
      <c r="Q146" s="9">
        <v>395</v>
      </c>
      <c r="R146" s="9">
        <v>1020</v>
      </c>
      <c r="S146" s="9">
        <v>1540</v>
      </c>
      <c r="T146" s="9">
        <v>1895</v>
      </c>
      <c r="U146" s="9">
        <v>86</v>
      </c>
      <c r="V146" s="9">
        <v>137</v>
      </c>
      <c r="W146" s="9">
        <v>32</v>
      </c>
      <c r="X146" s="9">
        <v>11</v>
      </c>
      <c r="Y146" s="9">
        <v>4</v>
      </c>
      <c r="Z146" s="9">
        <v>11</v>
      </c>
      <c r="AB146" s="9">
        <f t="shared" si="7"/>
        <v>15180</v>
      </c>
      <c r="AC146" s="9">
        <f t="shared" si="8"/>
        <v>157549</v>
      </c>
      <c r="AD146" s="10">
        <f t="shared" si="9"/>
        <v>10.378722002635046</v>
      </c>
    </row>
    <row r="147" spans="1:30" x14ac:dyDescent="0.3">
      <c r="A147" s="55"/>
      <c r="B147" s="30" t="s">
        <v>149</v>
      </c>
      <c r="C147" s="9">
        <v>113</v>
      </c>
      <c r="D147" s="9">
        <v>74</v>
      </c>
      <c r="E147" s="9">
        <v>131</v>
      </c>
      <c r="F147" s="9">
        <v>175</v>
      </c>
      <c r="G147" s="9">
        <v>163</v>
      </c>
      <c r="H147" s="9">
        <v>233</v>
      </c>
      <c r="I147" s="9">
        <v>77</v>
      </c>
      <c r="J147" s="9">
        <v>49</v>
      </c>
      <c r="K147" s="9">
        <v>66</v>
      </c>
      <c r="L147" s="9">
        <v>27</v>
      </c>
      <c r="M147" s="9">
        <v>40</v>
      </c>
      <c r="N147" s="9">
        <v>26</v>
      </c>
      <c r="O147" s="9">
        <v>121</v>
      </c>
      <c r="P147" s="9">
        <v>9</v>
      </c>
      <c r="Q147" s="9">
        <v>5</v>
      </c>
      <c r="R147" s="9">
        <v>22</v>
      </c>
      <c r="S147" s="9">
        <v>34</v>
      </c>
      <c r="T147" s="9">
        <v>22</v>
      </c>
      <c r="U147" s="9">
        <v>0</v>
      </c>
      <c r="V147" s="9">
        <v>2</v>
      </c>
      <c r="W147" s="9">
        <v>2</v>
      </c>
      <c r="X147" s="9">
        <v>1</v>
      </c>
      <c r="Y147" s="9">
        <v>0</v>
      </c>
      <c r="Z147" s="9">
        <v>0</v>
      </c>
      <c r="AB147" s="9">
        <f t="shared" si="7"/>
        <v>1392</v>
      </c>
      <c r="AC147" s="9">
        <f t="shared" si="8"/>
        <v>7926</v>
      </c>
      <c r="AD147" s="10">
        <f t="shared" si="9"/>
        <v>5.693965517241379</v>
      </c>
    </row>
    <row r="148" spans="1:30" x14ac:dyDescent="0.3">
      <c r="A148" s="55"/>
      <c r="B148" s="30" t="s">
        <v>150</v>
      </c>
      <c r="C148" s="9">
        <v>514</v>
      </c>
      <c r="D148" s="9">
        <v>318</v>
      </c>
      <c r="E148" s="9">
        <v>486</v>
      </c>
      <c r="F148" s="9">
        <v>561</v>
      </c>
      <c r="G148" s="9">
        <v>531</v>
      </c>
      <c r="H148" s="9">
        <v>696</v>
      </c>
      <c r="I148" s="9">
        <v>342</v>
      </c>
      <c r="J148" s="9">
        <v>215</v>
      </c>
      <c r="K148" s="9">
        <v>246</v>
      </c>
      <c r="L148" s="9">
        <v>169</v>
      </c>
      <c r="M148" s="9">
        <v>157</v>
      </c>
      <c r="N148" s="9">
        <v>163</v>
      </c>
      <c r="O148" s="9">
        <v>453</v>
      </c>
      <c r="P148" s="9">
        <v>33</v>
      </c>
      <c r="Q148" s="9">
        <v>31</v>
      </c>
      <c r="R148" s="9">
        <v>153</v>
      </c>
      <c r="S148" s="9">
        <v>158</v>
      </c>
      <c r="T148" s="9">
        <v>83</v>
      </c>
      <c r="U148" s="9">
        <v>4</v>
      </c>
      <c r="V148" s="9">
        <v>2</v>
      </c>
      <c r="W148" s="9">
        <v>3</v>
      </c>
      <c r="X148" s="9">
        <v>2</v>
      </c>
      <c r="Y148" s="9">
        <v>0</v>
      </c>
      <c r="Z148" s="9">
        <v>2</v>
      </c>
      <c r="AB148" s="9">
        <f t="shared" si="7"/>
        <v>5322</v>
      </c>
      <c r="AC148" s="9">
        <f t="shared" si="8"/>
        <v>31777</v>
      </c>
      <c r="AD148" s="10">
        <f t="shared" si="9"/>
        <v>5.970875610672679</v>
      </c>
    </row>
    <row r="149" spans="1:30" x14ac:dyDescent="0.3">
      <c r="A149" s="55"/>
      <c r="B149" s="30" t="s">
        <v>151</v>
      </c>
      <c r="C149" s="9">
        <v>366</v>
      </c>
      <c r="D149" s="9">
        <v>100</v>
      </c>
      <c r="E149" s="9">
        <v>178</v>
      </c>
      <c r="F149" s="9">
        <v>165</v>
      </c>
      <c r="G149" s="9">
        <v>143</v>
      </c>
      <c r="H149" s="9">
        <v>187</v>
      </c>
      <c r="I149" s="9">
        <v>80</v>
      </c>
      <c r="J149" s="9">
        <v>43</v>
      </c>
      <c r="K149" s="9">
        <v>37</v>
      </c>
      <c r="L149" s="9">
        <v>20</v>
      </c>
      <c r="M149" s="9">
        <v>23</v>
      </c>
      <c r="N149" s="9">
        <v>25</v>
      </c>
      <c r="O149" s="9">
        <v>69</v>
      </c>
      <c r="P149" s="9">
        <v>0</v>
      </c>
      <c r="Q149" s="9">
        <v>6</v>
      </c>
      <c r="R149" s="9">
        <v>18</v>
      </c>
      <c r="S149" s="9">
        <v>30</v>
      </c>
      <c r="T149" s="9">
        <v>9</v>
      </c>
      <c r="U149" s="9">
        <v>0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B149" s="9">
        <f t="shared" si="7"/>
        <v>1500</v>
      </c>
      <c r="AC149" s="9">
        <f t="shared" si="8"/>
        <v>6054</v>
      </c>
      <c r="AD149" s="10">
        <f t="shared" si="9"/>
        <v>4.0359999999999996</v>
      </c>
    </row>
    <row r="150" spans="1:30" x14ac:dyDescent="0.3">
      <c r="A150" s="55"/>
      <c r="B150" s="30" t="s">
        <v>152</v>
      </c>
      <c r="C150" s="9">
        <v>106</v>
      </c>
      <c r="D150" s="9">
        <v>70</v>
      </c>
      <c r="E150" s="9">
        <v>112</v>
      </c>
      <c r="F150" s="9">
        <v>142</v>
      </c>
      <c r="G150" s="9">
        <v>117</v>
      </c>
      <c r="H150" s="9">
        <v>99</v>
      </c>
      <c r="I150" s="9">
        <v>41</v>
      </c>
      <c r="J150" s="9">
        <v>27</v>
      </c>
      <c r="K150" s="9">
        <v>19</v>
      </c>
      <c r="L150" s="9">
        <v>17</v>
      </c>
      <c r="M150" s="9">
        <v>22</v>
      </c>
      <c r="N150" s="9">
        <v>14</v>
      </c>
      <c r="O150" s="9">
        <v>39</v>
      </c>
      <c r="P150" s="9">
        <v>2</v>
      </c>
      <c r="Q150" s="9">
        <v>4</v>
      </c>
      <c r="R150" s="9">
        <v>25</v>
      </c>
      <c r="S150" s="9">
        <v>28</v>
      </c>
      <c r="T150" s="9">
        <v>12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B150" s="9">
        <f t="shared" si="7"/>
        <v>896</v>
      </c>
      <c r="AC150" s="9">
        <f t="shared" si="8"/>
        <v>4374</v>
      </c>
      <c r="AD150" s="10">
        <f t="shared" si="9"/>
        <v>4.8816964285714288</v>
      </c>
    </row>
    <row r="151" spans="1:30" x14ac:dyDescent="0.3">
      <c r="A151" s="55"/>
      <c r="B151" s="30" t="s">
        <v>153</v>
      </c>
      <c r="C151" s="9">
        <v>42</v>
      </c>
      <c r="D151" s="9">
        <v>30</v>
      </c>
      <c r="E151" s="9">
        <v>82</v>
      </c>
      <c r="F151" s="9">
        <v>96</v>
      </c>
      <c r="G151" s="9">
        <v>79</v>
      </c>
      <c r="H151" s="9">
        <v>100</v>
      </c>
      <c r="I151" s="9">
        <v>36</v>
      </c>
      <c r="J151" s="9">
        <v>32</v>
      </c>
      <c r="K151" s="9">
        <v>37</v>
      </c>
      <c r="L151" s="9">
        <v>4</v>
      </c>
      <c r="M151" s="9">
        <v>3</v>
      </c>
      <c r="N151" s="9">
        <v>10</v>
      </c>
      <c r="O151" s="9">
        <v>21</v>
      </c>
      <c r="P151" s="9">
        <v>3</v>
      </c>
      <c r="Q151" s="9">
        <v>1</v>
      </c>
      <c r="R151" s="9">
        <v>14</v>
      </c>
      <c r="S151" s="9">
        <v>14</v>
      </c>
      <c r="T151" s="9">
        <v>3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B151" s="9">
        <f t="shared" si="7"/>
        <v>607</v>
      </c>
      <c r="AC151" s="9">
        <f t="shared" si="8"/>
        <v>3000</v>
      </c>
      <c r="AD151" s="10">
        <f t="shared" si="9"/>
        <v>4.9423393739703458</v>
      </c>
    </row>
    <row r="152" spans="1:30" x14ac:dyDescent="0.3">
      <c r="A152" s="55"/>
      <c r="B152" s="30" t="s">
        <v>154</v>
      </c>
      <c r="C152" s="9">
        <v>50</v>
      </c>
      <c r="D152" s="9">
        <v>31</v>
      </c>
      <c r="E152" s="9">
        <v>59</v>
      </c>
      <c r="F152" s="9">
        <v>85</v>
      </c>
      <c r="G152" s="9">
        <v>68</v>
      </c>
      <c r="H152" s="9">
        <v>108</v>
      </c>
      <c r="I152" s="9">
        <v>43</v>
      </c>
      <c r="J152" s="9">
        <v>32</v>
      </c>
      <c r="K152" s="9">
        <v>36</v>
      </c>
      <c r="L152" s="9">
        <v>14</v>
      </c>
      <c r="M152" s="9">
        <v>7</v>
      </c>
      <c r="N152" s="9">
        <v>11</v>
      </c>
      <c r="O152" s="9">
        <v>31</v>
      </c>
      <c r="P152" s="9">
        <v>1</v>
      </c>
      <c r="Q152" s="9">
        <v>5</v>
      </c>
      <c r="R152" s="9">
        <v>16</v>
      </c>
      <c r="S152" s="9">
        <v>17</v>
      </c>
      <c r="T152" s="9">
        <v>13</v>
      </c>
      <c r="U152" s="9">
        <v>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B152" s="9">
        <f t="shared" si="7"/>
        <v>628</v>
      </c>
      <c r="AC152" s="9">
        <f t="shared" si="8"/>
        <v>3509</v>
      </c>
      <c r="AD152" s="10">
        <f t="shared" si="9"/>
        <v>5.5875796178343951</v>
      </c>
    </row>
    <row r="153" spans="1:30" x14ac:dyDescent="0.3">
      <c r="A153" s="55"/>
      <c r="B153" s="30" t="s">
        <v>155</v>
      </c>
      <c r="C153" s="9">
        <v>86</v>
      </c>
      <c r="D153" s="9">
        <v>61</v>
      </c>
      <c r="E153" s="9">
        <v>119</v>
      </c>
      <c r="F153" s="9">
        <v>128</v>
      </c>
      <c r="G153" s="9">
        <v>124</v>
      </c>
      <c r="H153" s="9">
        <v>170</v>
      </c>
      <c r="I153" s="9">
        <v>115</v>
      </c>
      <c r="J153" s="9">
        <v>64</v>
      </c>
      <c r="K153" s="9">
        <v>84</v>
      </c>
      <c r="L153" s="9">
        <v>76</v>
      </c>
      <c r="M153" s="9">
        <v>78</v>
      </c>
      <c r="N153" s="9">
        <v>46</v>
      </c>
      <c r="O153" s="9">
        <v>221</v>
      </c>
      <c r="P153" s="9">
        <v>20</v>
      </c>
      <c r="Q153" s="9">
        <v>24</v>
      </c>
      <c r="R153" s="9">
        <v>70</v>
      </c>
      <c r="S153" s="9">
        <v>85</v>
      </c>
      <c r="T153" s="9">
        <v>58</v>
      </c>
      <c r="U153" s="9">
        <v>6</v>
      </c>
      <c r="V153" s="9">
        <v>2</v>
      </c>
      <c r="W153" s="9">
        <v>4</v>
      </c>
      <c r="X153" s="9">
        <v>1</v>
      </c>
      <c r="Y153" s="9">
        <v>0</v>
      </c>
      <c r="Z153" s="9">
        <v>0</v>
      </c>
      <c r="AB153" s="9">
        <f t="shared" si="7"/>
        <v>1642</v>
      </c>
      <c r="AC153" s="9">
        <f t="shared" si="8"/>
        <v>12700</v>
      </c>
      <c r="AD153" s="10">
        <f t="shared" si="9"/>
        <v>7.7344701583434832</v>
      </c>
    </row>
    <row r="154" spans="1:30" x14ac:dyDescent="0.3">
      <c r="A154" s="55"/>
      <c r="B154" s="30" t="s">
        <v>156</v>
      </c>
      <c r="C154" s="9">
        <v>331</v>
      </c>
      <c r="D154" s="9">
        <v>193</v>
      </c>
      <c r="E154" s="9">
        <v>273</v>
      </c>
      <c r="F154" s="9">
        <v>361</v>
      </c>
      <c r="G154" s="9">
        <v>333</v>
      </c>
      <c r="H154" s="9">
        <v>403</v>
      </c>
      <c r="I154" s="9">
        <v>209</v>
      </c>
      <c r="J154" s="9">
        <v>160</v>
      </c>
      <c r="K154" s="9">
        <v>168</v>
      </c>
      <c r="L154" s="9">
        <v>123</v>
      </c>
      <c r="M154" s="9">
        <v>154</v>
      </c>
      <c r="N154" s="9">
        <v>128</v>
      </c>
      <c r="O154" s="9">
        <v>379</v>
      </c>
      <c r="P154" s="9">
        <v>23</v>
      </c>
      <c r="Q154" s="9">
        <v>33</v>
      </c>
      <c r="R154" s="9">
        <v>126</v>
      </c>
      <c r="S154" s="9">
        <v>152</v>
      </c>
      <c r="T154" s="9">
        <v>100</v>
      </c>
      <c r="U154" s="9">
        <v>1</v>
      </c>
      <c r="V154" s="9">
        <v>2</v>
      </c>
      <c r="W154" s="9">
        <v>2</v>
      </c>
      <c r="X154" s="9">
        <v>2</v>
      </c>
      <c r="Y154" s="9">
        <v>1</v>
      </c>
      <c r="Z154" s="9">
        <v>0</v>
      </c>
      <c r="AB154" s="9">
        <f t="shared" si="7"/>
        <v>3657</v>
      </c>
      <c r="AC154" s="9">
        <f t="shared" si="8"/>
        <v>24433</v>
      </c>
      <c r="AD154" s="10">
        <f t="shared" si="9"/>
        <v>6.6811594202898554</v>
      </c>
    </row>
    <row r="155" spans="1:30" x14ac:dyDescent="0.3">
      <c r="A155" s="55"/>
      <c r="B155" s="30" t="s">
        <v>157</v>
      </c>
      <c r="C155" s="9">
        <v>226</v>
      </c>
      <c r="D155" s="9">
        <v>123</v>
      </c>
      <c r="E155" s="9">
        <v>195</v>
      </c>
      <c r="F155" s="9">
        <v>244</v>
      </c>
      <c r="G155" s="9">
        <v>232</v>
      </c>
      <c r="H155" s="9">
        <v>322</v>
      </c>
      <c r="I155" s="9">
        <v>169</v>
      </c>
      <c r="J155" s="9">
        <v>126</v>
      </c>
      <c r="K155" s="9">
        <v>136</v>
      </c>
      <c r="L155" s="9">
        <v>73</v>
      </c>
      <c r="M155" s="9">
        <v>106</v>
      </c>
      <c r="N155" s="9">
        <v>91</v>
      </c>
      <c r="O155" s="9">
        <v>259</v>
      </c>
      <c r="P155" s="9">
        <v>10</v>
      </c>
      <c r="Q155" s="9">
        <v>18</v>
      </c>
      <c r="R155" s="9">
        <v>64</v>
      </c>
      <c r="S155" s="9">
        <v>101</v>
      </c>
      <c r="T155" s="9">
        <v>49</v>
      </c>
      <c r="U155" s="9">
        <v>4</v>
      </c>
      <c r="V155" s="9">
        <v>1</v>
      </c>
      <c r="W155" s="9">
        <v>1</v>
      </c>
      <c r="X155" s="9">
        <v>2</v>
      </c>
      <c r="Y155" s="9">
        <v>0</v>
      </c>
      <c r="Z155" s="9">
        <v>0</v>
      </c>
      <c r="AB155" s="9">
        <f t="shared" si="7"/>
        <v>2552</v>
      </c>
      <c r="AC155" s="9">
        <f t="shared" si="8"/>
        <v>16537</v>
      </c>
      <c r="AD155" s="10">
        <f t="shared" si="9"/>
        <v>6.4800156739811916</v>
      </c>
    </row>
    <row r="156" spans="1:30" x14ac:dyDescent="0.3">
      <c r="A156" s="55"/>
      <c r="B156" s="30" t="s">
        <v>158</v>
      </c>
      <c r="C156" s="9">
        <v>186</v>
      </c>
      <c r="D156" s="9">
        <v>60</v>
      </c>
      <c r="E156" s="9">
        <v>94</v>
      </c>
      <c r="F156" s="9">
        <v>139</v>
      </c>
      <c r="G156" s="9">
        <v>100</v>
      </c>
      <c r="H156" s="9">
        <v>126</v>
      </c>
      <c r="I156" s="9">
        <v>56</v>
      </c>
      <c r="J156" s="9">
        <v>51</v>
      </c>
      <c r="K156" s="9">
        <v>51</v>
      </c>
      <c r="L156" s="9">
        <v>29</v>
      </c>
      <c r="M156" s="9">
        <v>38</v>
      </c>
      <c r="N156" s="9">
        <v>22</v>
      </c>
      <c r="O156" s="9">
        <v>100</v>
      </c>
      <c r="P156" s="9">
        <v>10</v>
      </c>
      <c r="Q156" s="9">
        <v>13</v>
      </c>
      <c r="R156" s="9">
        <v>57</v>
      </c>
      <c r="S156" s="9">
        <v>53</v>
      </c>
      <c r="T156" s="9">
        <v>34</v>
      </c>
      <c r="U156" s="9">
        <v>0</v>
      </c>
      <c r="V156" s="9">
        <v>1</v>
      </c>
      <c r="W156" s="9">
        <v>0</v>
      </c>
      <c r="X156" s="9">
        <v>0</v>
      </c>
      <c r="Y156" s="9">
        <v>0</v>
      </c>
      <c r="Z156" s="9">
        <v>0</v>
      </c>
      <c r="AB156" s="9">
        <f t="shared" si="7"/>
        <v>1220</v>
      </c>
      <c r="AC156" s="9">
        <f t="shared" si="8"/>
        <v>7491</v>
      </c>
      <c r="AD156" s="10">
        <f t="shared" si="9"/>
        <v>6.1401639344262291</v>
      </c>
    </row>
    <row r="157" spans="1:30" x14ac:dyDescent="0.3">
      <c r="A157" s="55"/>
      <c r="B157" s="30" t="s">
        <v>159</v>
      </c>
      <c r="C157" s="9">
        <v>62</v>
      </c>
      <c r="D157" s="9">
        <v>23</v>
      </c>
      <c r="E157" s="9">
        <v>37</v>
      </c>
      <c r="F157" s="9">
        <v>42</v>
      </c>
      <c r="G157" s="9">
        <v>33</v>
      </c>
      <c r="H157" s="9">
        <v>31</v>
      </c>
      <c r="I157" s="9">
        <v>19</v>
      </c>
      <c r="J157" s="9">
        <v>5</v>
      </c>
      <c r="K157" s="9">
        <v>11</v>
      </c>
      <c r="L157" s="9">
        <v>1</v>
      </c>
      <c r="M157" s="9">
        <v>4</v>
      </c>
      <c r="N157" s="9">
        <v>5</v>
      </c>
      <c r="O157" s="9">
        <v>15</v>
      </c>
      <c r="P157" s="9">
        <v>2</v>
      </c>
      <c r="Q157" s="9">
        <v>1</v>
      </c>
      <c r="R157" s="9">
        <v>7</v>
      </c>
      <c r="S157" s="9">
        <v>13</v>
      </c>
      <c r="T157" s="9">
        <v>4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B157" s="9">
        <f t="shared" si="7"/>
        <v>315</v>
      </c>
      <c r="AC157" s="9">
        <f t="shared" si="8"/>
        <v>1452</v>
      </c>
      <c r="AD157" s="10">
        <f t="shared" si="9"/>
        <v>4.6095238095238091</v>
      </c>
    </row>
    <row r="158" spans="1:30" x14ac:dyDescent="0.3">
      <c r="A158" s="55"/>
      <c r="B158" s="30" t="s">
        <v>160</v>
      </c>
      <c r="C158" s="9">
        <v>36</v>
      </c>
      <c r="D158" s="9">
        <v>12</v>
      </c>
      <c r="E158" s="9">
        <v>30</v>
      </c>
      <c r="F158" s="9">
        <v>29</v>
      </c>
      <c r="G158" s="9">
        <v>28</v>
      </c>
      <c r="H158" s="9">
        <v>15</v>
      </c>
      <c r="I158" s="9">
        <v>14</v>
      </c>
      <c r="J158" s="9">
        <v>7</v>
      </c>
      <c r="K158" s="9">
        <v>7</v>
      </c>
      <c r="L158" s="9">
        <v>5</v>
      </c>
      <c r="M158" s="9">
        <v>1</v>
      </c>
      <c r="N158" s="9">
        <v>0</v>
      </c>
      <c r="O158" s="9">
        <v>5</v>
      </c>
      <c r="P158" s="9">
        <v>3</v>
      </c>
      <c r="Q158" s="9">
        <v>1</v>
      </c>
      <c r="R158" s="9">
        <v>6</v>
      </c>
      <c r="S158" s="9">
        <v>2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B158" s="9">
        <f t="shared" si="7"/>
        <v>201</v>
      </c>
      <c r="AC158" s="9">
        <f t="shared" si="8"/>
        <v>825</v>
      </c>
      <c r="AD158" s="10">
        <f t="shared" si="9"/>
        <v>4.1044776119402986</v>
      </c>
    </row>
    <row r="159" spans="1:30" x14ac:dyDescent="0.3">
      <c r="A159" s="55"/>
      <c r="B159" s="30" t="s">
        <v>161</v>
      </c>
      <c r="C159" s="9">
        <v>158</v>
      </c>
      <c r="D159" s="9">
        <v>39</v>
      </c>
      <c r="E159" s="9">
        <v>44</v>
      </c>
      <c r="F159" s="9">
        <v>45</v>
      </c>
      <c r="G159" s="9">
        <v>60</v>
      </c>
      <c r="H159" s="9">
        <v>47</v>
      </c>
      <c r="I159" s="9">
        <v>29</v>
      </c>
      <c r="J159" s="9">
        <v>13</v>
      </c>
      <c r="K159" s="9">
        <v>11</v>
      </c>
      <c r="L159" s="9">
        <v>4</v>
      </c>
      <c r="M159" s="9">
        <v>6</v>
      </c>
      <c r="N159" s="9">
        <v>1</v>
      </c>
      <c r="O159" s="9">
        <v>12</v>
      </c>
      <c r="P159" s="9">
        <v>0</v>
      </c>
      <c r="Q159" s="9">
        <v>2</v>
      </c>
      <c r="R159" s="9">
        <v>1</v>
      </c>
      <c r="S159" s="9">
        <v>7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B159" s="9">
        <f t="shared" si="7"/>
        <v>479</v>
      </c>
      <c r="AC159" s="9">
        <f t="shared" si="8"/>
        <v>1496</v>
      </c>
      <c r="AD159" s="10">
        <f t="shared" si="9"/>
        <v>3.1231732776617953</v>
      </c>
    </row>
    <row r="160" spans="1:30" x14ac:dyDescent="0.3">
      <c r="A160" s="55"/>
      <c r="B160" s="30" t="s">
        <v>162</v>
      </c>
      <c r="C160" s="9">
        <v>73</v>
      </c>
      <c r="D160" s="9">
        <v>56</v>
      </c>
      <c r="E160" s="9">
        <v>85</v>
      </c>
      <c r="F160" s="9">
        <v>119</v>
      </c>
      <c r="G160" s="9">
        <v>100</v>
      </c>
      <c r="H160" s="9">
        <v>187</v>
      </c>
      <c r="I160" s="9">
        <v>61</v>
      </c>
      <c r="J160" s="9">
        <v>69</v>
      </c>
      <c r="K160" s="9">
        <v>78</v>
      </c>
      <c r="L160" s="9">
        <v>67</v>
      </c>
      <c r="M160" s="9">
        <v>76</v>
      </c>
      <c r="N160" s="9">
        <v>80</v>
      </c>
      <c r="O160" s="9">
        <v>328</v>
      </c>
      <c r="P160" s="9">
        <v>52</v>
      </c>
      <c r="Q160" s="9">
        <v>85</v>
      </c>
      <c r="R160" s="9">
        <v>191</v>
      </c>
      <c r="S160" s="9">
        <v>235</v>
      </c>
      <c r="T160" s="9">
        <v>217</v>
      </c>
      <c r="U160" s="9">
        <v>1</v>
      </c>
      <c r="V160" s="9">
        <v>3</v>
      </c>
      <c r="W160" s="9">
        <v>2</v>
      </c>
      <c r="X160" s="9">
        <v>0</v>
      </c>
      <c r="Y160" s="9">
        <v>1</v>
      </c>
      <c r="Z160" s="9">
        <v>0</v>
      </c>
      <c r="AB160" s="9">
        <f t="shared" si="7"/>
        <v>2166</v>
      </c>
      <c r="AC160" s="9">
        <f t="shared" si="8"/>
        <v>21887</v>
      </c>
      <c r="AD160" s="10">
        <f t="shared" si="9"/>
        <v>10.104801477377654</v>
      </c>
    </row>
    <row r="161" spans="1:30" x14ac:dyDescent="0.3">
      <c r="A161" s="55"/>
      <c r="B161" s="30" t="s">
        <v>163</v>
      </c>
      <c r="C161" s="9">
        <v>53</v>
      </c>
      <c r="D161" s="9">
        <v>25</v>
      </c>
      <c r="E161" s="9">
        <v>33</v>
      </c>
      <c r="F161" s="9">
        <v>60</v>
      </c>
      <c r="G161" s="9">
        <v>49</v>
      </c>
      <c r="H161" s="9">
        <v>63</v>
      </c>
      <c r="I161" s="9">
        <v>30</v>
      </c>
      <c r="J161" s="9">
        <v>24</v>
      </c>
      <c r="K161" s="9">
        <v>26</v>
      </c>
      <c r="L161" s="9">
        <v>18</v>
      </c>
      <c r="M161" s="9">
        <v>22</v>
      </c>
      <c r="N161" s="9">
        <v>16</v>
      </c>
      <c r="O161" s="9">
        <v>70</v>
      </c>
      <c r="P161" s="9">
        <v>8</v>
      </c>
      <c r="Q161" s="9">
        <v>8</v>
      </c>
      <c r="R161" s="9">
        <v>48</v>
      </c>
      <c r="S161" s="9">
        <v>34</v>
      </c>
      <c r="T161" s="9">
        <v>26</v>
      </c>
      <c r="U161" s="9">
        <v>2</v>
      </c>
      <c r="V161" s="9">
        <v>3</v>
      </c>
      <c r="W161" s="9">
        <v>0</v>
      </c>
      <c r="X161" s="9">
        <v>0</v>
      </c>
      <c r="Y161" s="9">
        <v>0</v>
      </c>
      <c r="Z161" s="9">
        <v>0</v>
      </c>
      <c r="AB161" s="9">
        <f t="shared" si="7"/>
        <v>618</v>
      </c>
      <c r="AC161" s="9">
        <f t="shared" si="8"/>
        <v>4751</v>
      </c>
      <c r="AD161" s="10">
        <f t="shared" si="9"/>
        <v>7.6877022653721685</v>
      </c>
    </row>
    <row r="162" spans="1:30" x14ac:dyDescent="0.3">
      <c r="A162" s="55"/>
      <c r="B162" s="30" t="s">
        <v>164</v>
      </c>
      <c r="C162" s="9">
        <v>55</v>
      </c>
      <c r="D162" s="9">
        <v>30</v>
      </c>
      <c r="E162" s="9">
        <v>41</v>
      </c>
      <c r="F162" s="9">
        <v>64</v>
      </c>
      <c r="G162" s="9">
        <v>51</v>
      </c>
      <c r="H162" s="9">
        <v>89</v>
      </c>
      <c r="I162" s="9">
        <v>57</v>
      </c>
      <c r="J162" s="9">
        <v>27</v>
      </c>
      <c r="K162" s="9">
        <v>44</v>
      </c>
      <c r="L162" s="9">
        <v>31</v>
      </c>
      <c r="M162" s="9">
        <v>39</v>
      </c>
      <c r="N162" s="9">
        <v>31</v>
      </c>
      <c r="O162" s="9">
        <v>126</v>
      </c>
      <c r="P162" s="9">
        <v>28</v>
      </c>
      <c r="Q162" s="9">
        <v>27</v>
      </c>
      <c r="R162" s="9">
        <v>88</v>
      </c>
      <c r="S162" s="9">
        <v>110</v>
      </c>
      <c r="T162" s="9">
        <v>59</v>
      </c>
      <c r="U162" s="9">
        <v>6</v>
      </c>
      <c r="V162" s="9">
        <v>3</v>
      </c>
      <c r="W162" s="9">
        <v>3</v>
      </c>
      <c r="X162" s="9">
        <v>0</v>
      </c>
      <c r="Y162" s="9">
        <v>1</v>
      </c>
      <c r="Z162" s="9">
        <v>1</v>
      </c>
      <c r="AB162" s="9">
        <f t="shared" si="7"/>
        <v>1011</v>
      </c>
      <c r="AC162" s="9">
        <f t="shared" si="8"/>
        <v>9453</v>
      </c>
      <c r="AD162" s="10">
        <f t="shared" si="9"/>
        <v>9.3501483679525226</v>
      </c>
    </row>
    <row r="163" spans="1:30" x14ac:dyDescent="0.3">
      <c r="A163" s="55"/>
      <c r="B163" s="30" t="s">
        <v>165</v>
      </c>
      <c r="C163" s="9">
        <v>2</v>
      </c>
      <c r="D163" s="9">
        <v>3</v>
      </c>
      <c r="E163" s="9">
        <v>2</v>
      </c>
      <c r="F163" s="9">
        <v>2</v>
      </c>
      <c r="G163" s="9">
        <v>5</v>
      </c>
      <c r="H163" s="9">
        <v>4</v>
      </c>
      <c r="I163" s="9">
        <v>3</v>
      </c>
      <c r="J163" s="9">
        <v>2</v>
      </c>
      <c r="K163" s="9">
        <v>7</v>
      </c>
      <c r="L163" s="9">
        <v>8</v>
      </c>
      <c r="M163" s="9">
        <v>2</v>
      </c>
      <c r="N163" s="9">
        <v>2</v>
      </c>
      <c r="O163" s="9">
        <v>19</v>
      </c>
      <c r="P163" s="9">
        <v>4</v>
      </c>
      <c r="Q163" s="9">
        <v>1</v>
      </c>
      <c r="R163" s="9">
        <v>6</v>
      </c>
      <c r="S163" s="9">
        <v>12</v>
      </c>
      <c r="T163" s="9">
        <v>11</v>
      </c>
      <c r="U163" s="9">
        <v>0</v>
      </c>
      <c r="V163" s="9">
        <v>1</v>
      </c>
      <c r="W163" s="9">
        <v>1</v>
      </c>
      <c r="X163" s="9">
        <v>0</v>
      </c>
      <c r="Y163" s="9">
        <v>0</v>
      </c>
      <c r="Z163" s="9">
        <v>0</v>
      </c>
      <c r="AB163" s="9">
        <f t="shared" si="7"/>
        <v>97</v>
      </c>
      <c r="AC163" s="9">
        <f t="shared" si="8"/>
        <v>1057</v>
      </c>
      <c r="AD163" s="10">
        <f t="shared" si="9"/>
        <v>10.896907216494846</v>
      </c>
    </row>
    <row r="164" spans="1:30" x14ac:dyDescent="0.3">
      <c r="A164" s="55"/>
      <c r="B164" s="30" t="s">
        <v>166</v>
      </c>
      <c r="C164" s="9">
        <v>18</v>
      </c>
      <c r="D164" s="9">
        <v>4</v>
      </c>
      <c r="E164" s="9">
        <v>8</v>
      </c>
      <c r="F164" s="9">
        <v>15</v>
      </c>
      <c r="G164" s="9">
        <v>9</v>
      </c>
      <c r="H164" s="9">
        <v>13</v>
      </c>
      <c r="I164" s="9">
        <v>13</v>
      </c>
      <c r="J164" s="9">
        <v>14</v>
      </c>
      <c r="K164" s="9">
        <v>15</v>
      </c>
      <c r="L164" s="9">
        <v>3</v>
      </c>
      <c r="M164" s="9">
        <v>15</v>
      </c>
      <c r="N164" s="9">
        <v>10</v>
      </c>
      <c r="O164" s="9">
        <v>48</v>
      </c>
      <c r="P164" s="9">
        <v>4</v>
      </c>
      <c r="Q164" s="9">
        <v>12</v>
      </c>
      <c r="R164" s="9">
        <v>20</v>
      </c>
      <c r="S164" s="9">
        <v>17</v>
      </c>
      <c r="T164" s="9">
        <v>7</v>
      </c>
      <c r="U164" s="9">
        <v>0</v>
      </c>
      <c r="V164" s="9">
        <v>1</v>
      </c>
      <c r="W164" s="9">
        <v>0</v>
      </c>
      <c r="X164" s="9">
        <v>0</v>
      </c>
      <c r="Y164" s="9">
        <v>0</v>
      </c>
      <c r="Z164" s="9">
        <v>0</v>
      </c>
      <c r="AB164" s="9">
        <f t="shared" si="7"/>
        <v>246</v>
      </c>
      <c r="AC164" s="9">
        <f t="shared" si="8"/>
        <v>2255</v>
      </c>
      <c r="AD164" s="10">
        <f t="shared" si="9"/>
        <v>9.1666666666666661</v>
      </c>
    </row>
    <row r="165" spans="1:30" x14ac:dyDescent="0.3">
      <c r="A165" s="55"/>
      <c r="B165" s="30" t="s">
        <v>167</v>
      </c>
      <c r="C165" s="9">
        <v>67</v>
      </c>
      <c r="D165" s="9">
        <v>25</v>
      </c>
      <c r="E165" s="9">
        <v>42</v>
      </c>
      <c r="F165" s="9">
        <v>61</v>
      </c>
      <c r="G165" s="9">
        <v>45</v>
      </c>
      <c r="H165" s="9">
        <v>38</v>
      </c>
      <c r="I165" s="9">
        <v>20</v>
      </c>
      <c r="J165" s="9">
        <v>4</v>
      </c>
      <c r="K165" s="9">
        <v>13</v>
      </c>
      <c r="L165" s="9">
        <v>4</v>
      </c>
      <c r="M165" s="9">
        <v>5</v>
      </c>
      <c r="N165" s="9">
        <v>3</v>
      </c>
      <c r="O165" s="9">
        <v>16</v>
      </c>
      <c r="P165" s="9">
        <v>0</v>
      </c>
      <c r="Q165" s="9">
        <v>1</v>
      </c>
      <c r="R165" s="9">
        <v>2</v>
      </c>
      <c r="S165" s="9">
        <v>16</v>
      </c>
      <c r="T165" s="9">
        <v>9</v>
      </c>
      <c r="U165" s="9">
        <v>0</v>
      </c>
      <c r="V165" s="9">
        <v>0</v>
      </c>
      <c r="W165" s="9">
        <v>0</v>
      </c>
      <c r="X165" s="9">
        <v>0</v>
      </c>
      <c r="Y165" s="9">
        <v>1</v>
      </c>
      <c r="Z165" s="9">
        <v>0</v>
      </c>
      <c r="AB165" s="9">
        <f t="shared" si="7"/>
        <v>372</v>
      </c>
      <c r="AC165" s="9">
        <f t="shared" si="8"/>
        <v>1700</v>
      </c>
      <c r="AD165" s="10">
        <f t="shared" si="9"/>
        <v>4.56989247311828</v>
      </c>
    </row>
    <row r="166" spans="1:30" x14ac:dyDescent="0.3">
      <c r="A166" s="55"/>
      <c r="B166" s="30" t="s">
        <v>168</v>
      </c>
      <c r="C166" s="9">
        <v>115</v>
      </c>
      <c r="D166" s="9">
        <v>90</v>
      </c>
      <c r="E166" s="9">
        <v>132</v>
      </c>
      <c r="F166" s="9">
        <v>166</v>
      </c>
      <c r="G166" s="9">
        <v>222</v>
      </c>
      <c r="H166" s="9">
        <v>243</v>
      </c>
      <c r="I166" s="9">
        <v>73</v>
      </c>
      <c r="J166" s="9">
        <v>40</v>
      </c>
      <c r="K166" s="9">
        <v>50</v>
      </c>
      <c r="L166" s="9">
        <v>28</v>
      </c>
      <c r="M166" s="9">
        <v>23</v>
      </c>
      <c r="N166" s="9">
        <v>24</v>
      </c>
      <c r="O166" s="9">
        <v>93</v>
      </c>
      <c r="P166" s="9">
        <v>3</v>
      </c>
      <c r="Q166" s="9">
        <v>7</v>
      </c>
      <c r="R166" s="9">
        <v>15</v>
      </c>
      <c r="S166" s="9">
        <v>33</v>
      </c>
      <c r="T166" s="9">
        <v>20</v>
      </c>
      <c r="U166" s="9">
        <v>0</v>
      </c>
      <c r="V166" s="9">
        <v>1</v>
      </c>
      <c r="W166" s="9">
        <v>0</v>
      </c>
      <c r="X166" s="9">
        <v>2</v>
      </c>
      <c r="Y166" s="9">
        <v>0</v>
      </c>
      <c r="Z166" s="9">
        <v>0</v>
      </c>
      <c r="AB166" s="9">
        <f t="shared" si="7"/>
        <v>1380</v>
      </c>
      <c r="AC166" s="9">
        <f t="shared" si="8"/>
        <v>7226</v>
      </c>
      <c r="AD166" s="10">
        <f t="shared" si="9"/>
        <v>5.2362318840579709</v>
      </c>
    </row>
    <row r="167" spans="1:30" x14ac:dyDescent="0.3">
      <c r="A167" s="55"/>
      <c r="B167" s="30" t="s">
        <v>169</v>
      </c>
      <c r="C167" s="9">
        <v>127</v>
      </c>
      <c r="D167" s="9">
        <v>76</v>
      </c>
      <c r="E167" s="9">
        <v>140</v>
      </c>
      <c r="F167" s="9">
        <v>163</v>
      </c>
      <c r="G167" s="9">
        <v>161</v>
      </c>
      <c r="H167" s="9">
        <v>189</v>
      </c>
      <c r="I167" s="9">
        <v>90</v>
      </c>
      <c r="J167" s="9">
        <v>68</v>
      </c>
      <c r="K167" s="9">
        <v>102</v>
      </c>
      <c r="L167" s="9">
        <v>48</v>
      </c>
      <c r="M167" s="9">
        <v>68</v>
      </c>
      <c r="N167" s="9">
        <v>39</v>
      </c>
      <c r="O167" s="9">
        <v>186</v>
      </c>
      <c r="P167" s="9">
        <v>7</v>
      </c>
      <c r="Q167" s="9">
        <v>24</v>
      </c>
      <c r="R167" s="9">
        <v>46</v>
      </c>
      <c r="S167" s="9">
        <v>49</v>
      </c>
      <c r="T167" s="9">
        <v>48</v>
      </c>
      <c r="U167" s="9">
        <v>2</v>
      </c>
      <c r="V167" s="9">
        <v>0</v>
      </c>
      <c r="W167" s="9">
        <v>4</v>
      </c>
      <c r="X167" s="9">
        <v>1</v>
      </c>
      <c r="Y167" s="9">
        <v>0</v>
      </c>
      <c r="Z167" s="9">
        <v>0</v>
      </c>
      <c r="AB167" s="9">
        <f t="shared" si="7"/>
        <v>1638</v>
      </c>
      <c r="AC167" s="9">
        <f t="shared" si="8"/>
        <v>10893</v>
      </c>
      <c r="AD167" s="10">
        <f t="shared" si="9"/>
        <v>6.6501831501831505</v>
      </c>
    </row>
    <row r="168" spans="1:30" x14ac:dyDescent="0.3">
      <c r="A168" s="55"/>
      <c r="B168" s="30" t="s">
        <v>170</v>
      </c>
      <c r="C168" s="9">
        <v>510</v>
      </c>
      <c r="D168" s="9">
        <v>340</v>
      </c>
      <c r="E168" s="9">
        <v>500</v>
      </c>
      <c r="F168" s="9">
        <v>674</v>
      </c>
      <c r="G168" s="9">
        <v>553</v>
      </c>
      <c r="H168" s="9">
        <v>942</v>
      </c>
      <c r="I168" s="9">
        <v>638</v>
      </c>
      <c r="J168" s="9">
        <v>472</v>
      </c>
      <c r="K168" s="9">
        <v>691</v>
      </c>
      <c r="L168" s="9">
        <v>940</v>
      </c>
      <c r="M168" s="9">
        <v>1150</v>
      </c>
      <c r="N168" s="9">
        <v>1058</v>
      </c>
      <c r="O168" s="9">
        <v>5111</v>
      </c>
      <c r="P168" s="9">
        <v>620</v>
      </c>
      <c r="Q168" s="9">
        <v>1004</v>
      </c>
      <c r="R168" s="9">
        <v>2472</v>
      </c>
      <c r="S168" s="9">
        <v>3356</v>
      </c>
      <c r="T168" s="9">
        <v>4359</v>
      </c>
      <c r="U168" s="9">
        <v>159</v>
      </c>
      <c r="V168" s="9">
        <v>181</v>
      </c>
      <c r="W168" s="9">
        <v>47</v>
      </c>
      <c r="X168" s="9">
        <v>32</v>
      </c>
      <c r="Y168" s="9">
        <v>17</v>
      </c>
      <c r="Z168" s="9">
        <v>19</v>
      </c>
      <c r="AB168" s="9">
        <f t="shared" si="7"/>
        <v>25845</v>
      </c>
      <c r="AC168" s="9">
        <f t="shared" si="8"/>
        <v>311593</v>
      </c>
      <c r="AD168" s="10">
        <f t="shared" si="9"/>
        <v>12.056219771716</v>
      </c>
    </row>
    <row r="169" spans="1:30" x14ac:dyDescent="0.3">
      <c r="A169" s="55"/>
      <c r="B169" s="30" t="s">
        <v>171</v>
      </c>
      <c r="C169" s="9">
        <v>40</v>
      </c>
      <c r="D169" s="9">
        <v>35</v>
      </c>
      <c r="E169" s="9">
        <v>56</v>
      </c>
      <c r="F169" s="9">
        <v>90</v>
      </c>
      <c r="G169" s="9">
        <v>96</v>
      </c>
      <c r="H169" s="9">
        <v>172</v>
      </c>
      <c r="I169" s="9">
        <v>79</v>
      </c>
      <c r="J169" s="9">
        <v>55</v>
      </c>
      <c r="K169" s="9">
        <v>93</v>
      </c>
      <c r="L169" s="9">
        <v>92</v>
      </c>
      <c r="M169" s="9">
        <v>99</v>
      </c>
      <c r="N169" s="9">
        <v>84</v>
      </c>
      <c r="O169" s="9">
        <v>370</v>
      </c>
      <c r="P169" s="9">
        <v>22</v>
      </c>
      <c r="Q169" s="9">
        <v>24</v>
      </c>
      <c r="R169" s="9">
        <v>124</v>
      </c>
      <c r="S169" s="9">
        <v>130</v>
      </c>
      <c r="T169" s="9">
        <v>57</v>
      </c>
      <c r="U169" s="9">
        <v>2</v>
      </c>
      <c r="V169" s="9">
        <v>1</v>
      </c>
      <c r="W169" s="9">
        <v>2</v>
      </c>
      <c r="X169" s="9">
        <v>0</v>
      </c>
      <c r="Y169" s="9">
        <v>0</v>
      </c>
      <c r="Z169" s="9">
        <v>0</v>
      </c>
      <c r="AB169" s="9">
        <f t="shared" si="7"/>
        <v>1723</v>
      </c>
      <c r="AC169" s="9">
        <f t="shared" si="8"/>
        <v>16072</v>
      </c>
      <c r="AD169" s="10">
        <f t="shared" si="9"/>
        <v>9.3279164248403941</v>
      </c>
    </row>
    <row r="170" spans="1:30" x14ac:dyDescent="0.3">
      <c r="A170" s="55"/>
      <c r="B170" s="30" t="s">
        <v>172</v>
      </c>
      <c r="C170" s="9">
        <v>20</v>
      </c>
      <c r="D170" s="9">
        <v>32</v>
      </c>
      <c r="E170" s="9">
        <v>34</v>
      </c>
      <c r="F170" s="9">
        <v>30</v>
      </c>
      <c r="G170" s="9">
        <v>50</v>
      </c>
      <c r="H170" s="9">
        <v>71</v>
      </c>
      <c r="I170" s="9">
        <v>50</v>
      </c>
      <c r="J170" s="9">
        <v>46</v>
      </c>
      <c r="K170" s="9">
        <v>56</v>
      </c>
      <c r="L170" s="9">
        <v>34</v>
      </c>
      <c r="M170" s="9">
        <v>38</v>
      </c>
      <c r="N170" s="9">
        <v>43</v>
      </c>
      <c r="O170" s="9">
        <v>145</v>
      </c>
      <c r="P170" s="9">
        <v>3</v>
      </c>
      <c r="Q170" s="9">
        <v>5</v>
      </c>
      <c r="R170" s="9">
        <v>21</v>
      </c>
      <c r="S170" s="9">
        <v>31</v>
      </c>
      <c r="T170" s="9">
        <v>17</v>
      </c>
      <c r="U170" s="9">
        <v>0</v>
      </c>
      <c r="V170" s="9">
        <v>0</v>
      </c>
      <c r="W170" s="9">
        <v>1</v>
      </c>
      <c r="X170" s="9">
        <v>1</v>
      </c>
      <c r="Y170" s="9">
        <v>0</v>
      </c>
      <c r="Z170" s="9">
        <v>0</v>
      </c>
      <c r="AB170" s="9">
        <f t="shared" si="7"/>
        <v>728</v>
      </c>
      <c r="AC170" s="9">
        <f t="shared" si="8"/>
        <v>5964</v>
      </c>
      <c r="AD170" s="10">
        <f t="shared" si="9"/>
        <v>8.1923076923076916</v>
      </c>
    </row>
    <row r="171" spans="1:30" x14ac:dyDescent="0.3">
      <c r="A171" s="55"/>
      <c r="B171" s="30" t="s">
        <v>173</v>
      </c>
      <c r="C171" s="9">
        <v>43</v>
      </c>
      <c r="D171" s="9">
        <v>46</v>
      </c>
      <c r="E171" s="9">
        <v>46</v>
      </c>
      <c r="F171" s="9">
        <v>94</v>
      </c>
      <c r="G171" s="9">
        <v>107</v>
      </c>
      <c r="H171" s="9">
        <v>169</v>
      </c>
      <c r="I171" s="9">
        <v>54</v>
      </c>
      <c r="J171" s="9">
        <v>36</v>
      </c>
      <c r="K171" s="9">
        <v>39</v>
      </c>
      <c r="L171" s="9">
        <v>40</v>
      </c>
      <c r="M171" s="9">
        <v>29</v>
      </c>
      <c r="N171" s="9">
        <v>36</v>
      </c>
      <c r="O171" s="9">
        <v>100</v>
      </c>
      <c r="P171" s="9">
        <v>3</v>
      </c>
      <c r="Q171" s="9">
        <v>7</v>
      </c>
      <c r="R171" s="9">
        <v>19</v>
      </c>
      <c r="S171" s="9">
        <v>26</v>
      </c>
      <c r="T171" s="9">
        <v>15</v>
      </c>
      <c r="U171" s="9">
        <v>0</v>
      </c>
      <c r="V171" s="9">
        <v>1</v>
      </c>
      <c r="W171" s="9">
        <v>0</v>
      </c>
      <c r="X171" s="9">
        <v>0</v>
      </c>
      <c r="Y171" s="9">
        <v>0</v>
      </c>
      <c r="Z171" s="9">
        <v>0</v>
      </c>
      <c r="AB171" s="9">
        <f t="shared" si="7"/>
        <v>910</v>
      </c>
      <c r="AC171" s="9">
        <f t="shared" si="8"/>
        <v>5939</v>
      </c>
      <c r="AD171" s="10">
        <f t="shared" si="9"/>
        <v>6.5263736263736263</v>
      </c>
    </row>
    <row r="172" spans="1:30" x14ac:dyDescent="0.3">
      <c r="A172" s="55"/>
      <c r="B172" s="30" t="s">
        <v>174</v>
      </c>
      <c r="C172" s="9">
        <v>166</v>
      </c>
      <c r="D172" s="9">
        <v>103</v>
      </c>
      <c r="E172" s="9">
        <v>145</v>
      </c>
      <c r="F172" s="9">
        <v>169</v>
      </c>
      <c r="G172" s="9">
        <v>166</v>
      </c>
      <c r="H172" s="9">
        <v>240</v>
      </c>
      <c r="I172" s="9">
        <v>112</v>
      </c>
      <c r="J172" s="9">
        <v>52</v>
      </c>
      <c r="K172" s="9">
        <v>63</v>
      </c>
      <c r="L172" s="9">
        <v>65</v>
      </c>
      <c r="M172" s="9">
        <v>87</v>
      </c>
      <c r="N172" s="9">
        <v>81</v>
      </c>
      <c r="O172" s="9">
        <v>323</v>
      </c>
      <c r="P172" s="9">
        <v>16</v>
      </c>
      <c r="Q172" s="9">
        <v>26</v>
      </c>
      <c r="R172" s="9">
        <v>71</v>
      </c>
      <c r="S172" s="9">
        <v>112</v>
      </c>
      <c r="T172" s="9">
        <v>83</v>
      </c>
      <c r="U172" s="9">
        <v>7</v>
      </c>
      <c r="V172" s="9">
        <v>9</v>
      </c>
      <c r="W172" s="9">
        <v>3</v>
      </c>
      <c r="X172" s="9">
        <v>0</v>
      </c>
      <c r="Y172" s="9">
        <v>1</v>
      </c>
      <c r="Z172" s="9">
        <v>1</v>
      </c>
      <c r="AB172" s="9">
        <f t="shared" si="7"/>
        <v>2101</v>
      </c>
      <c r="AC172" s="9">
        <f t="shared" si="8"/>
        <v>15768</v>
      </c>
      <c r="AD172" s="10">
        <f t="shared" si="9"/>
        <v>7.5049976201808661</v>
      </c>
    </row>
    <row r="173" spans="1:30" x14ac:dyDescent="0.3">
      <c r="A173" s="55"/>
      <c r="B173" s="30" t="s">
        <v>175</v>
      </c>
      <c r="C173" s="9">
        <v>6</v>
      </c>
      <c r="D173" s="9">
        <v>7</v>
      </c>
      <c r="E173" s="9">
        <v>6</v>
      </c>
      <c r="F173" s="9">
        <v>12</v>
      </c>
      <c r="G173" s="9">
        <v>14</v>
      </c>
      <c r="H173" s="9">
        <v>25</v>
      </c>
      <c r="I173" s="9">
        <v>13</v>
      </c>
      <c r="J173" s="9">
        <v>10</v>
      </c>
      <c r="K173" s="9">
        <v>15</v>
      </c>
      <c r="L173" s="9">
        <v>20</v>
      </c>
      <c r="M173" s="9">
        <v>19</v>
      </c>
      <c r="N173" s="9">
        <v>10</v>
      </c>
      <c r="O173" s="9">
        <v>62</v>
      </c>
      <c r="P173" s="9">
        <v>1</v>
      </c>
      <c r="Q173" s="9">
        <v>5</v>
      </c>
      <c r="R173" s="9">
        <v>16</v>
      </c>
      <c r="S173" s="9">
        <v>17</v>
      </c>
      <c r="T173" s="9">
        <v>15</v>
      </c>
      <c r="U173" s="9">
        <v>1</v>
      </c>
      <c r="V173" s="9">
        <v>1</v>
      </c>
      <c r="W173" s="9">
        <v>0</v>
      </c>
      <c r="X173" s="9">
        <v>1</v>
      </c>
      <c r="Y173" s="9">
        <v>0</v>
      </c>
      <c r="Z173" s="9">
        <v>0</v>
      </c>
      <c r="AB173" s="9">
        <f t="shared" si="7"/>
        <v>276</v>
      </c>
      <c r="AC173" s="9">
        <f t="shared" si="8"/>
        <v>2636</v>
      </c>
      <c r="AD173" s="10">
        <f t="shared" si="9"/>
        <v>9.5507246376811601</v>
      </c>
    </row>
    <row r="174" spans="1:30" x14ac:dyDescent="0.3">
      <c r="A174" s="55"/>
      <c r="B174" s="30" t="s">
        <v>176</v>
      </c>
      <c r="C174" s="9">
        <v>13</v>
      </c>
      <c r="D174" s="9">
        <v>7</v>
      </c>
      <c r="E174" s="9">
        <v>11</v>
      </c>
      <c r="F174" s="9">
        <v>19</v>
      </c>
      <c r="G174" s="9">
        <v>23</v>
      </c>
      <c r="H174" s="9">
        <v>39</v>
      </c>
      <c r="I174" s="9">
        <v>28</v>
      </c>
      <c r="J174" s="9">
        <v>14</v>
      </c>
      <c r="K174" s="9">
        <v>59</v>
      </c>
      <c r="L174" s="9">
        <v>30</v>
      </c>
      <c r="M174" s="9">
        <v>36</v>
      </c>
      <c r="N174" s="9">
        <v>20</v>
      </c>
      <c r="O174" s="9">
        <v>164</v>
      </c>
      <c r="P174" s="9">
        <v>9</v>
      </c>
      <c r="Q174" s="9">
        <v>15</v>
      </c>
      <c r="R174" s="9">
        <v>27</v>
      </c>
      <c r="S174" s="9">
        <v>29</v>
      </c>
      <c r="T174" s="9">
        <v>20</v>
      </c>
      <c r="U174" s="9">
        <v>0</v>
      </c>
      <c r="V174" s="9">
        <v>2</v>
      </c>
      <c r="W174" s="9">
        <v>2</v>
      </c>
      <c r="X174" s="9">
        <v>0</v>
      </c>
      <c r="Y174" s="9">
        <v>0</v>
      </c>
      <c r="Z174" s="9">
        <v>0</v>
      </c>
      <c r="AB174" s="9">
        <f t="shared" si="7"/>
        <v>567</v>
      </c>
      <c r="AC174" s="9">
        <f t="shared" si="8"/>
        <v>5543</v>
      </c>
      <c r="AD174" s="10">
        <f t="shared" si="9"/>
        <v>9.7760141093474431</v>
      </c>
    </row>
    <row r="175" spans="1:30" x14ac:dyDescent="0.3">
      <c r="A175" s="55"/>
      <c r="B175" s="30" t="s">
        <v>177</v>
      </c>
      <c r="C175" s="9">
        <v>2</v>
      </c>
      <c r="D175" s="9">
        <v>2</v>
      </c>
      <c r="E175" s="9">
        <v>3</v>
      </c>
      <c r="F175" s="9">
        <v>4</v>
      </c>
      <c r="G175" s="9">
        <v>3</v>
      </c>
      <c r="H175" s="9">
        <v>9</v>
      </c>
      <c r="I175" s="9">
        <v>9</v>
      </c>
      <c r="J175" s="9">
        <v>3</v>
      </c>
      <c r="K175" s="9">
        <v>6</v>
      </c>
      <c r="L175" s="9">
        <v>7</v>
      </c>
      <c r="M175" s="9">
        <v>6</v>
      </c>
      <c r="N175" s="9">
        <v>7</v>
      </c>
      <c r="O175" s="9">
        <v>44</v>
      </c>
      <c r="P175" s="9">
        <v>0</v>
      </c>
      <c r="Q175" s="9">
        <v>2</v>
      </c>
      <c r="R175" s="9">
        <v>13</v>
      </c>
      <c r="S175" s="9">
        <v>10</v>
      </c>
      <c r="T175" s="9">
        <v>9</v>
      </c>
      <c r="U175" s="9">
        <v>1</v>
      </c>
      <c r="V175" s="9">
        <v>0</v>
      </c>
      <c r="W175" s="9">
        <v>1</v>
      </c>
      <c r="X175" s="9">
        <v>0</v>
      </c>
      <c r="Y175" s="9">
        <v>0</v>
      </c>
      <c r="Z175" s="9">
        <v>0</v>
      </c>
      <c r="AB175" s="9">
        <f t="shared" si="7"/>
        <v>141</v>
      </c>
      <c r="AC175" s="9">
        <f t="shared" si="8"/>
        <v>1502</v>
      </c>
      <c r="AD175" s="10">
        <f t="shared" si="9"/>
        <v>10.652482269503546</v>
      </c>
    </row>
    <row r="176" spans="1:30" x14ac:dyDescent="0.3">
      <c r="A176" s="55"/>
      <c r="B176" s="30" t="s">
        <v>178</v>
      </c>
      <c r="C176" s="9">
        <v>22</v>
      </c>
      <c r="D176" s="9">
        <v>11</v>
      </c>
      <c r="E176" s="9">
        <v>7</v>
      </c>
      <c r="F176" s="9">
        <v>16</v>
      </c>
      <c r="G176" s="9">
        <v>20</v>
      </c>
      <c r="H176" s="9">
        <v>29</v>
      </c>
      <c r="I176" s="9">
        <v>14</v>
      </c>
      <c r="J176" s="9">
        <v>4</v>
      </c>
      <c r="K176" s="9">
        <v>10</v>
      </c>
      <c r="L176" s="9">
        <v>12</v>
      </c>
      <c r="M176" s="9">
        <v>19</v>
      </c>
      <c r="N176" s="9">
        <v>15</v>
      </c>
      <c r="O176" s="9">
        <v>73</v>
      </c>
      <c r="P176" s="9">
        <v>2</v>
      </c>
      <c r="Q176" s="9">
        <v>2</v>
      </c>
      <c r="R176" s="9">
        <v>12</v>
      </c>
      <c r="S176" s="9">
        <v>16</v>
      </c>
      <c r="T176" s="9">
        <v>12</v>
      </c>
      <c r="U176" s="9">
        <v>0</v>
      </c>
      <c r="V176" s="9">
        <v>1</v>
      </c>
      <c r="W176" s="9">
        <v>0</v>
      </c>
      <c r="X176" s="9">
        <v>0</v>
      </c>
      <c r="Y176" s="9">
        <v>0</v>
      </c>
      <c r="Z176" s="9">
        <v>0</v>
      </c>
      <c r="AB176" s="9">
        <f t="shared" si="7"/>
        <v>297</v>
      </c>
      <c r="AC176" s="9">
        <f t="shared" si="8"/>
        <v>2542</v>
      </c>
      <c r="AD176" s="10">
        <f t="shared" si="9"/>
        <v>8.5589225589225588</v>
      </c>
    </row>
    <row r="177" spans="1:30" x14ac:dyDescent="0.3">
      <c r="A177" s="55"/>
      <c r="B177" s="30" t="s">
        <v>179</v>
      </c>
      <c r="C177" s="9">
        <v>9</v>
      </c>
      <c r="D177" s="9">
        <v>6</v>
      </c>
      <c r="E177" s="9">
        <v>5</v>
      </c>
      <c r="F177" s="9">
        <v>9</v>
      </c>
      <c r="G177" s="9">
        <v>21</v>
      </c>
      <c r="H177" s="9">
        <v>34</v>
      </c>
      <c r="I177" s="9">
        <v>20</v>
      </c>
      <c r="J177" s="9">
        <v>24</v>
      </c>
      <c r="K177" s="9">
        <v>28</v>
      </c>
      <c r="L177" s="9">
        <v>16</v>
      </c>
      <c r="M177" s="9">
        <v>23</v>
      </c>
      <c r="N177" s="9">
        <v>17</v>
      </c>
      <c r="O177" s="9">
        <v>92</v>
      </c>
      <c r="P177" s="9">
        <v>2</v>
      </c>
      <c r="Q177" s="9">
        <v>5</v>
      </c>
      <c r="R177" s="9">
        <v>21</v>
      </c>
      <c r="S177" s="9">
        <v>26</v>
      </c>
      <c r="T177" s="9">
        <v>12</v>
      </c>
      <c r="U177" s="9">
        <v>0</v>
      </c>
      <c r="V177" s="9">
        <v>2</v>
      </c>
      <c r="W177" s="9">
        <v>0</v>
      </c>
      <c r="X177" s="9">
        <v>1</v>
      </c>
      <c r="Y177" s="9">
        <v>0</v>
      </c>
      <c r="Z177" s="9">
        <v>0</v>
      </c>
      <c r="AB177" s="9">
        <f t="shared" si="7"/>
        <v>373</v>
      </c>
      <c r="AC177" s="9">
        <f t="shared" si="8"/>
        <v>3564</v>
      </c>
      <c r="AD177" s="10">
        <f t="shared" si="9"/>
        <v>9.5549597855227884</v>
      </c>
    </row>
    <row r="178" spans="1:30" x14ac:dyDescent="0.3">
      <c r="A178" s="55"/>
      <c r="B178" s="30" t="s">
        <v>180</v>
      </c>
      <c r="C178" s="9">
        <v>0</v>
      </c>
      <c r="D178" s="9">
        <v>0</v>
      </c>
      <c r="E178" s="9">
        <v>1</v>
      </c>
      <c r="F178" s="9">
        <v>0</v>
      </c>
      <c r="G178" s="9">
        <v>1</v>
      </c>
      <c r="H178" s="9">
        <v>1</v>
      </c>
      <c r="I178" s="9">
        <v>1</v>
      </c>
      <c r="J178" s="9">
        <v>1</v>
      </c>
      <c r="K178" s="9">
        <v>4</v>
      </c>
      <c r="L178" s="9">
        <v>4</v>
      </c>
      <c r="M178" s="9">
        <v>3</v>
      </c>
      <c r="N178" s="9">
        <v>3</v>
      </c>
      <c r="O178" s="9">
        <v>15</v>
      </c>
      <c r="P178" s="9">
        <v>2</v>
      </c>
      <c r="Q178" s="9">
        <v>3</v>
      </c>
      <c r="R178" s="9">
        <v>13</v>
      </c>
      <c r="S178" s="9">
        <v>9</v>
      </c>
      <c r="T178" s="9">
        <v>9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1</v>
      </c>
      <c r="AB178" s="9">
        <f t="shared" si="7"/>
        <v>71</v>
      </c>
      <c r="AC178" s="9">
        <f t="shared" si="8"/>
        <v>918</v>
      </c>
      <c r="AD178" s="10">
        <f t="shared" si="9"/>
        <v>12.929577464788732</v>
      </c>
    </row>
    <row r="179" spans="1:30" x14ac:dyDescent="0.3">
      <c r="A179" s="55"/>
      <c r="B179" s="30" t="s">
        <v>181</v>
      </c>
      <c r="C179" s="9">
        <v>3</v>
      </c>
      <c r="D179" s="9">
        <v>3</v>
      </c>
      <c r="E179" s="9">
        <v>6</v>
      </c>
      <c r="F179" s="9">
        <v>8</v>
      </c>
      <c r="G179" s="9">
        <v>3</v>
      </c>
      <c r="H179" s="9">
        <v>18</v>
      </c>
      <c r="I179" s="9">
        <v>9</v>
      </c>
      <c r="J179" s="9">
        <v>17</v>
      </c>
      <c r="K179" s="9">
        <v>14</v>
      </c>
      <c r="L179" s="9">
        <v>29</v>
      </c>
      <c r="M179" s="9">
        <v>30</v>
      </c>
      <c r="N179" s="9">
        <v>28</v>
      </c>
      <c r="O179" s="9">
        <v>165</v>
      </c>
      <c r="P179" s="9">
        <v>1</v>
      </c>
      <c r="Q179" s="9">
        <v>1</v>
      </c>
      <c r="R179" s="9">
        <v>23</v>
      </c>
      <c r="S179" s="9">
        <v>27</v>
      </c>
      <c r="T179" s="9">
        <v>38</v>
      </c>
      <c r="U179" s="9">
        <v>1</v>
      </c>
      <c r="V179" s="9">
        <v>2</v>
      </c>
      <c r="W179" s="9">
        <v>1</v>
      </c>
      <c r="X179" s="9">
        <v>1</v>
      </c>
      <c r="Y179" s="9">
        <v>0</v>
      </c>
      <c r="Z179" s="9">
        <v>0</v>
      </c>
      <c r="AB179" s="9">
        <f t="shared" si="7"/>
        <v>428</v>
      </c>
      <c r="AC179" s="9">
        <f t="shared" si="8"/>
        <v>4822</v>
      </c>
      <c r="AD179" s="10">
        <f t="shared" si="9"/>
        <v>11.266355140186915</v>
      </c>
    </row>
    <row r="180" spans="1:30" x14ac:dyDescent="0.3">
      <c r="A180" s="55"/>
      <c r="B180" s="30" t="s">
        <v>182</v>
      </c>
      <c r="C180" s="9">
        <v>1</v>
      </c>
      <c r="D180" s="9">
        <v>1</v>
      </c>
      <c r="E180" s="9">
        <v>2</v>
      </c>
      <c r="F180" s="9">
        <v>3</v>
      </c>
      <c r="G180" s="9">
        <v>1</v>
      </c>
      <c r="H180" s="9">
        <v>16</v>
      </c>
      <c r="I180" s="9">
        <v>11</v>
      </c>
      <c r="J180" s="9">
        <v>8</v>
      </c>
      <c r="K180" s="9">
        <v>10</v>
      </c>
      <c r="L180" s="9">
        <v>13</v>
      </c>
      <c r="M180" s="9">
        <v>14</v>
      </c>
      <c r="N180" s="9">
        <v>15</v>
      </c>
      <c r="O180" s="9">
        <v>63</v>
      </c>
      <c r="P180" s="9">
        <v>4</v>
      </c>
      <c r="Q180" s="9">
        <v>1</v>
      </c>
      <c r="R180" s="9">
        <v>6</v>
      </c>
      <c r="S180" s="9">
        <v>8</v>
      </c>
      <c r="T180" s="9">
        <v>17</v>
      </c>
      <c r="U180" s="9">
        <v>1</v>
      </c>
      <c r="V180" s="9">
        <v>0</v>
      </c>
      <c r="W180" s="9">
        <v>0</v>
      </c>
      <c r="X180" s="9">
        <v>0</v>
      </c>
      <c r="Y180" s="9">
        <v>0</v>
      </c>
      <c r="Z180" s="9">
        <v>1</v>
      </c>
      <c r="AB180" s="9">
        <f t="shared" si="7"/>
        <v>196</v>
      </c>
      <c r="AC180" s="9">
        <f t="shared" si="8"/>
        <v>2092</v>
      </c>
      <c r="AD180" s="10">
        <f t="shared" si="9"/>
        <v>10.673469387755102</v>
      </c>
    </row>
    <row r="181" spans="1:30" x14ac:dyDescent="0.3">
      <c r="A181" s="55"/>
      <c r="B181" s="30" t="s">
        <v>183</v>
      </c>
      <c r="C181" s="9">
        <v>1</v>
      </c>
      <c r="D181" s="9">
        <v>0</v>
      </c>
      <c r="E181" s="9">
        <v>1</v>
      </c>
      <c r="F181" s="9">
        <v>2</v>
      </c>
      <c r="G181" s="9">
        <v>3</v>
      </c>
      <c r="H181" s="9">
        <v>10</v>
      </c>
      <c r="I181" s="9">
        <v>3</v>
      </c>
      <c r="J181" s="9">
        <v>1</v>
      </c>
      <c r="K181" s="9">
        <v>5</v>
      </c>
      <c r="L181" s="9">
        <v>3</v>
      </c>
      <c r="M181" s="9">
        <v>3</v>
      </c>
      <c r="N181" s="9">
        <v>7</v>
      </c>
      <c r="O181" s="9">
        <v>17</v>
      </c>
      <c r="P181" s="9">
        <v>0</v>
      </c>
      <c r="Q181" s="9">
        <v>0</v>
      </c>
      <c r="R181" s="9">
        <v>1</v>
      </c>
      <c r="S181" s="9">
        <v>0</v>
      </c>
      <c r="T181" s="9">
        <v>2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B181" s="9">
        <f t="shared" si="7"/>
        <v>59</v>
      </c>
      <c r="AC181" s="9">
        <f t="shared" si="8"/>
        <v>522</v>
      </c>
      <c r="AD181" s="10">
        <f t="shared" si="9"/>
        <v>8.8474576271186436</v>
      </c>
    </row>
    <row r="182" spans="1:30" x14ac:dyDescent="0.3">
      <c r="A182" s="55"/>
      <c r="B182" s="30" t="s">
        <v>184</v>
      </c>
      <c r="C182" s="9">
        <v>2</v>
      </c>
      <c r="D182" s="9">
        <v>5</v>
      </c>
      <c r="E182" s="9">
        <v>4</v>
      </c>
      <c r="F182" s="9">
        <v>4</v>
      </c>
      <c r="G182" s="9">
        <v>4</v>
      </c>
      <c r="H182" s="9">
        <v>14</v>
      </c>
      <c r="I182" s="9">
        <v>5</v>
      </c>
      <c r="J182" s="9">
        <v>12</v>
      </c>
      <c r="K182" s="9">
        <v>11</v>
      </c>
      <c r="L182" s="9">
        <v>16</v>
      </c>
      <c r="M182" s="9">
        <v>22</v>
      </c>
      <c r="N182" s="9">
        <v>21</v>
      </c>
      <c r="O182" s="9">
        <v>98</v>
      </c>
      <c r="P182" s="9">
        <v>2</v>
      </c>
      <c r="Q182" s="9">
        <v>0</v>
      </c>
      <c r="R182" s="9">
        <v>8</v>
      </c>
      <c r="S182" s="9">
        <v>13</v>
      </c>
      <c r="T182" s="9">
        <v>14</v>
      </c>
      <c r="U182" s="9">
        <v>0</v>
      </c>
      <c r="V182" s="9">
        <v>1</v>
      </c>
      <c r="W182" s="9">
        <v>0</v>
      </c>
      <c r="X182" s="9">
        <v>1</v>
      </c>
      <c r="Y182" s="9">
        <v>0</v>
      </c>
      <c r="Z182" s="9">
        <v>1</v>
      </c>
      <c r="AB182" s="9">
        <f t="shared" si="7"/>
        <v>258</v>
      </c>
      <c r="AC182" s="9">
        <f t="shared" si="8"/>
        <v>2739</v>
      </c>
      <c r="AD182" s="10">
        <f t="shared" si="9"/>
        <v>10.616279069767442</v>
      </c>
    </row>
    <row r="183" spans="1:30" x14ac:dyDescent="0.3">
      <c r="A183" s="55"/>
      <c r="B183" s="30" t="s">
        <v>185</v>
      </c>
      <c r="C183" s="9">
        <v>32</v>
      </c>
      <c r="D183" s="9">
        <v>14</v>
      </c>
      <c r="E183" s="9">
        <v>13</v>
      </c>
      <c r="F183" s="9">
        <v>25</v>
      </c>
      <c r="G183" s="9">
        <v>15</v>
      </c>
      <c r="H183" s="9">
        <v>26</v>
      </c>
      <c r="I183" s="9">
        <v>27</v>
      </c>
      <c r="J183" s="9">
        <v>18</v>
      </c>
      <c r="K183" s="9">
        <v>21</v>
      </c>
      <c r="L183" s="9">
        <v>27</v>
      </c>
      <c r="M183" s="9">
        <v>28</v>
      </c>
      <c r="N183" s="9">
        <v>31</v>
      </c>
      <c r="O183" s="9">
        <v>150</v>
      </c>
      <c r="P183" s="9">
        <v>14</v>
      </c>
      <c r="Q183" s="9">
        <v>12</v>
      </c>
      <c r="R183" s="9">
        <v>38</v>
      </c>
      <c r="S183" s="9">
        <v>42</v>
      </c>
      <c r="T183" s="9">
        <v>29</v>
      </c>
      <c r="U183" s="9">
        <v>3</v>
      </c>
      <c r="V183" s="9">
        <v>1</v>
      </c>
      <c r="W183" s="9">
        <v>2</v>
      </c>
      <c r="X183" s="9">
        <v>1</v>
      </c>
      <c r="Y183" s="9">
        <v>1</v>
      </c>
      <c r="Z183" s="9">
        <v>2</v>
      </c>
      <c r="AB183" s="9">
        <f t="shared" si="7"/>
        <v>572</v>
      </c>
      <c r="AC183" s="9">
        <f t="shared" si="8"/>
        <v>5712</v>
      </c>
      <c r="AD183" s="10">
        <f t="shared" si="9"/>
        <v>9.9860139860139867</v>
      </c>
    </row>
    <row r="184" spans="1:30" x14ac:dyDescent="0.3">
      <c r="A184" s="55"/>
      <c r="B184" s="30" t="s">
        <v>186</v>
      </c>
      <c r="C184" s="9">
        <v>20</v>
      </c>
      <c r="D184" s="9">
        <v>9</v>
      </c>
      <c r="E184" s="9">
        <v>14</v>
      </c>
      <c r="F184" s="9">
        <v>14</v>
      </c>
      <c r="G184" s="9">
        <v>12</v>
      </c>
      <c r="H184" s="9">
        <v>21</v>
      </c>
      <c r="I184" s="9">
        <v>13</v>
      </c>
      <c r="J184" s="9">
        <v>12</v>
      </c>
      <c r="K184" s="9">
        <v>22</v>
      </c>
      <c r="L184" s="9">
        <v>15</v>
      </c>
      <c r="M184" s="9">
        <v>31</v>
      </c>
      <c r="N184" s="9">
        <v>26</v>
      </c>
      <c r="O184" s="9">
        <v>104</v>
      </c>
      <c r="P184" s="9">
        <v>6</v>
      </c>
      <c r="Q184" s="9">
        <v>15</v>
      </c>
      <c r="R184" s="9">
        <v>28</v>
      </c>
      <c r="S184" s="9">
        <v>41</v>
      </c>
      <c r="T184" s="9">
        <v>35</v>
      </c>
      <c r="U184" s="9">
        <v>0</v>
      </c>
      <c r="V184" s="9">
        <v>3</v>
      </c>
      <c r="W184" s="9">
        <v>1</v>
      </c>
      <c r="X184" s="9">
        <v>0</v>
      </c>
      <c r="Y184" s="9">
        <v>0</v>
      </c>
      <c r="Z184" s="9">
        <v>0</v>
      </c>
      <c r="AB184" s="9">
        <f t="shared" si="7"/>
        <v>442</v>
      </c>
      <c r="AC184" s="9">
        <f t="shared" si="8"/>
        <v>4585</v>
      </c>
      <c r="AD184" s="10">
        <f t="shared" si="9"/>
        <v>10.373303167420815</v>
      </c>
    </row>
    <row r="185" spans="1:30" x14ac:dyDescent="0.3">
      <c r="A185" s="55"/>
      <c r="B185" s="30" t="s">
        <v>187</v>
      </c>
      <c r="C185" s="9">
        <v>8</v>
      </c>
      <c r="D185" s="9">
        <v>5</v>
      </c>
      <c r="E185" s="9">
        <v>3</v>
      </c>
      <c r="F185" s="9">
        <v>12</v>
      </c>
      <c r="G185" s="9">
        <v>11</v>
      </c>
      <c r="H185" s="9">
        <v>14</v>
      </c>
      <c r="I185" s="9">
        <v>3</v>
      </c>
      <c r="J185" s="9">
        <v>5</v>
      </c>
      <c r="K185" s="9">
        <v>7</v>
      </c>
      <c r="L185" s="9">
        <v>11</v>
      </c>
      <c r="M185" s="9">
        <v>15</v>
      </c>
      <c r="N185" s="9">
        <v>10</v>
      </c>
      <c r="O185" s="9">
        <v>58</v>
      </c>
      <c r="P185" s="9">
        <v>3</v>
      </c>
      <c r="Q185" s="9">
        <v>13</v>
      </c>
      <c r="R185" s="9">
        <v>21</v>
      </c>
      <c r="S185" s="9">
        <v>25</v>
      </c>
      <c r="T185" s="9">
        <v>24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B185" s="9">
        <f t="shared" si="7"/>
        <v>248</v>
      </c>
      <c r="AC185" s="9">
        <f t="shared" si="8"/>
        <v>2669</v>
      </c>
      <c r="AD185" s="10">
        <f t="shared" si="9"/>
        <v>10.762096774193548</v>
      </c>
    </row>
    <row r="186" spans="1:30" x14ac:dyDescent="0.3">
      <c r="A186" s="55"/>
      <c r="B186" s="30" t="s">
        <v>188</v>
      </c>
      <c r="C186" s="9">
        <v>54</v>
      </c>
      <c r="D186" s="9">
        <v>42</v>
      </c>
      <c r="E186" s="9">
        <v>54</v>
      </c>
      <c r="F186" s="9">
        <v>95</v>
      </c>
      <c r="G186" s="9">
        <v>75</v>
      </c>
      <c r="H186" s="9">
        <v>104</v>
      </c>
      <c r="I186" s="9">
        <v>71</v>
      </c>
      <c r="J186" s="9">
        <v>44</v>
      </c>
      <c r="K186" s="9">
        <v>61</v>
      </c>
      <c r="L186" s="9">
        <v>115</v>
      </c>
      <c r="M186" s="9">
        <v>159</v>
      </c>
      <c r="N186" s="9">
        <v>125</v>
      </c>
      <c r="O186" s="9">
        <v>511</v>
      </c>
      <c r="P186" s="9">
        <v>35</v>
      </c>
      <c r="Q186" s="9">
        <v>75</v>
      </c>
      <c r="R186" s="9">
        <v>129</v>
      </c>
      <c r="S186" s="9">
        <v>146</v>
      </c>
      <c r="T186" s="9">
        <v>164</v>
      </c>
      <c r="U186" s="9">
        <v>4</v>
      </c>
      <c r="V186" s="9">
        <v>9</v>
      </c>
      <c r="W186" s="9">
        <v>1</v>
      </c>
      <c r="X186" s="9">
        <v>1</v>
      </c>
      <c r="Y186" s="9">
        <v>0</v>
      </c>
      <c r="Z186" s="9">
        <v>1</v>
      </c>
      <c r="AB186" s="9">
        <f t="shared" si="7"/>
        <v>2075</v>
      </c>
      <c r="AC186" s="9">
        <f t="shared" si="8"/>
        <v>21480</v>
      </c>
      <c r="AD186" s="10">
        <f t="shared" si="9"/>
        <v>10.351807228915662</v>
      </c>
    </row>
    <row r="187" spans="1:30" x14ac:dyDescent="0.3">
      <c r="A187" s="55"/>
      <c r="B187" s="30" t="s">
        <v>189</v>
      </c>
      <c r="C187" s="9">
        <v>11</v>
      </c>
      <c r="D187" s="9">
        <v>6</v>
      </c>
      <c r="E187" s="9">
        <v>8</v>
      </c>
      <c r="F187" s="9">
        <v>11</v>
      </c>
      <c r="G187" s="9">
        <v>12</v>
      </c>
      <c r="H187" s="9">
        <v>19</v>
      </c>
      <c r="I187" s="9">
        <v>7</v>
      </c>
      <c r="J187" s="9">
        <v>8</v>
      </c>
      <c r="K187" s="9">
        <v>9</v>
      </c>
      <c r="L187" s="9">
        <v>15</v>
      </c>
      <c r="M187" s="9">
        <v>17</v>
      </c>
      <c r="N187" s="9">
        <v>20</v>
      </c>
      <c r="O187" s="9">
        <v>91</v>
      </c>
      <c r="P187" s="9">
        <v>7</v>
      </c>
      <c r="Q187" s="9">
        <v>10</v>
      </c>
      <c r="R187" s="9">
        <v>32</v>
      </c>
      <c r="S187" s="9">
        <v>41</v>
      </c>
      <c r="T187" s="9">
        <v>34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1</v>
      </c>
      <c r="AB187" s="9">
        <f t="shared" si="7"/>
        <v>359</v>
      </c>
      <c r="AC187" s="9">
        <f t="shared" si="8"/>
        <v>3953</v>
      </c>
      <c r="AD187" s="10">
        <f t="shared" si="9"/>
        <v>11.011142061281337</v>
      </c>
    </row>
    <row r="188" spans="1:30" x14ac:dyDescent="0.3">
      <c r="A188" s="55"/>
      <c r="B188" s="30" t="s">
        <v>190</v>
      </c>
      <c r="C188" s="9">
        <v>20</v>
      </c>
      <c r="D188" s="9">
        <v>21</v>
      </c>
      <c r="E188" s="9">
        <v>22</v>
      </c>
      <c r="F188" s="9">
        <v>38</v>
      </c>
      <c r="G188" s="9">
        <v>31</v>
      </c>
      <c r="H188" s="9">
        <v>69</v>
      </c>
      <c r="I188" s="9">
        <v>42</v>
      </c>
      <c r="J188" s="9">
        <v>29</v>
      </c>
      <c r="K188" s="9">
        <v>45</v>
      </c>
      <c r="L188" s="9">
        <v>52</v>
      </c>
      <c r="M188" s="9">
        <v>45</v>
      </c>
      <c r="N188" s="9">
        <v>43</v>
      </c>
      <c r="O188" s="9">
        <v>185</v>
      </c>
      <c r="P188" s="9">
        <v>4</v>
      </c>
      <c r="Q188" s="9">
        <v>14</v>
      </c>
      <c r="R188" s="9">
        <v>63</v>
      </c>
      <c r="S188" s="9">
        <v>59</v>
      </c>
      <c r="T188" s="9">
        <v>39</v>
      </c>
      <c r="U188" s="9">
        <v>1</v>
      </c>
      <c r="V188" s="9">
        <v>2</v>
      </c>
      <c r="W188" s="9">
        <v>0</v>
      </c>
      <c r="X188" s="9">
        <v>0</v>
      </c>
      <c r="Y188" s="9">
        <v>0</v>
      </c>
      <c r="Z188" s="9">
        <v>0</v>
      </c>
      <c r="AB188" s="9">
        <f t="shared" si="7"/>
        <v>824</v>
      </c>
      <c r="AC188" s="9">
        <f t="shared" si="8"/>
        <v>7930</v>
      </c>
      <c r="AD188" s="10">
        <f t="shared" si="9"/>
        <v>9.6237864077669908</v>
      </c>
    </row>
    <row r="189" spans="1:30" x14ac:dyDescent="0.3">
      <c r="A189" s="55"/>
      <c r="B189" s="30" t="s">
        <v>191</v>
      </c>
      <c r="C189" s="9">
        <v>14</v>
      </c>
      <c r="D189" s="9">
        <v>4</v>
      </c>
      <c r="E189" s="9">
        <v>8</v>
      </c>
      <c r="F189" s="9">
        <v>10</v>
      </c>
      <c r="G189" s="9">
        <v>19</v>
      </c>
      <c r="H189" s="9">
        <v>19</v>
      </c>
      <c r="I189" s="9">
        <v>12</v>
      </c>
      <c r="J189" s="9">
        <v>6</v>
      </c>
      <c r="K189" s="9">
        <v>10</v>
      </c>
      <c r="L189" s="9">
        <v>9</v>
      </c>
      <c r="M189" s="9">
        <v>10</v>
      </c>
      <c r="N189" s="9">
        <v>8</v>
      </c>
      <c r="O189" s="9">
        <v>36</v>
      </c>
      <c r="P189" s="9">
        <v>3</v>
      </c>
      <c r="Q189" s="9">
        <v>5</v>
      </c>
      <c r="R189" s="9">
        <v>15</v>
      </c>
      <c r="S189" s="9">
        <v>8</v>
      </c>
      <c r="T189" s="9">
        <v>5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B189" s="9">
        <f t="shared" si="7"/>
        <v>201</v>
      </c>
      <c r="AC189" s="9">
        <f t="shared" si="8"/>
        <v>1663</v>
      </c>
      <c r="AD189" s="10">
        <f t="shared" si="9"/>
        <v>8.2736318407960194</v>
      </c>
    </row>
    <row r="190" spans="1:30" x14ac:dyDescent="0.3">
      <c r="A190" s="55"/>
      <c r="B190" s="30" t="s">
        <v>192</v>
      </c>
      <c r="C190" s="9">
        <v>18</v>
      </c>
      <c r="D190" s="9">
        <v>14</v>
      </c>
      <c r="E190" s="9">
        <v>10</v>
      </c>
      <c r="F190" s="9">
        <v>14</v>
      </c>
      <c r="G190" s="9">
        <v>12</v>
      </c>
      <c r="H190" s="9">
        <v>34</v>
      </c>
      <c r="I190" s="9">
        <v>30</v>
      </c>
      <c r="J190" s="9">
        <v>28</v>
      </c>
      <c r="K190" s="9">
        <v>30</v>
      </c>
      <c r="L190" s="9">
        <v>41</v>
      </c>
      <c r="M190" s="9">
        <v>54</v>
      </c>
      <c r="N190" s="9">
        <v>61</v>
      </c>
      <c r="O190" s="9">
        <v>226</v>
      </c>
      <c r="P190" s="9">
        <v>4</v>
      </c>
      <c r="Q190" s="9">
        <v>8</v>
      </c>
      <c r="R190" s="9">
        <v>22</v>
      </c>
      <c r="S190" s="9">
        <v>51</v>
      </c>
      <c r="T190" s="9">
        <v>46</v>
      </c>
      <c r="U190" s="9">
        <v>0</v>
      </c>
      <c r="V190" s="9">
        <v>3</v>
      </c>
      <c r="W190" s="9">
        <v>3</v>
      </c>
      <c r="X190" s="9">
        <v>4</v>
      </c>
      <c r="Y190" s="9">
        <v>0</v>
      </c>
      <c r="Z190" s="9">
        <v>0</v>
      </c>
      <c r="AB190" s="9">
        <f t="shared" si="7"/>
        <v>713</v>
      </c>
      <c r="AC190" s="9">
        <f t="shared" si="8"/>
        <v>7495</v>
      </c>
      <c r="AD190" s="10">
        <f t="shared" si="9"/>
        <v>10.511921458625526</v>
      </c>
    </row>
    <row r="191" spans="1:30" x14ac:dyDescent="0.3">
      <c r="A191" s="55"/>
      <c r="B191" s="30" t="s">
        <v>193</v>
      </c>
      <c r="C191" s="9">
        <v>0</v>
      </c>
      <c r="D191" s="9">
        <v>0</v>
      </c>
      <c r="E191" s="9">
        <v>0</v>
      </c>
      <c r="F191" s="9">
        <v>1</v>
      </c>
      <c r="G191" s="9">
        <v>1</v>
      </c>
      <c r="H191" s="9">
        <v>5</v>
      </c>
      <c r="I191" s="9">
        <v>4</v>
      </c>
      <c r="J191" s="9">
        <v>3</v>
      </c>
      <c r="K191" s="9">
        <v>7</v>
      </c>
      <c r="L191" s="9">
        <v>3</v>
      </c>
      <c r="M191" s="9">
        <v>3</v>
      </c>
      <c r="N191" s="9">
        <v>0</v>
      </c>
      <c r="O191" s="9">
        <v>25</v>
      </c>
      <c r="P191" s="9">
        <v>2</v>
      </c>
      <c r="Q191" s="9">
        <v>1</v>
      </c>
      <c r="R191" s="9">
        <v>3</v>
      </c>
      <c r="S191" s="9">
        <v>8</v>
      </c>
      <c r="T191" s="9">
        <v>2</v>
      </c>
      <c r="U191" s="9">
        <v>0</v>
      </c>
      <c r="V191" s="9">
        <v>0</v>
      </c>
      <c r="W191" s="9">
        <v>1</v>
      </c>
      <c r="X191" s="9">
        <v>0</v>
      </c>
      <c r="Y191" s="9">
        <v>0</v>
      </c>
      <c r="Z191" s="9">
        <v>0</v>
      </c>
      <c r="AB191" s="9">
        <f t="shared" si="7"/>
        <v>69</v>
      </c>
      <c r="AC191" s="9">
        <f t="shared" si="8"/>
        <v>757</v>
      </c>
      <c r="AD191" s="10">
        <f t="shared" si="9"/>
        <v>10.971014492753623</v>
      </c>
    </row>
    <row r="192" spans="1:30" x14ac:dyDescent="0.3">
      <c r="A192" s="55"/>
      <c r="B192" s="30" t="s">
        <v>194</v>
      </c>
      <c r="C192" s="9">
        <v>5</v>
      </c>
      <c r="D192" s="9">
        <v>3</v>
      </c>
      <c r="E192" s="9">
        <v>9</v>
      </c>
      <c r="F192" s="9">
        <v>10</v>
      </c>
      <c r="G192" s="9">
        <v>9</v>
      </c>
      <c r="H192" s="9">
        <v>22</v>
      </c>
      <c r="I192" s="9">
        <v>9</v>
      </c>
      <c r="J192" s="9">
        <v>15</v>
      </c>
      <c r="K192" s="9">
        <v>17</v>
      </c>
      <c r="L192" s="9">
        <v>5</v>
      </c>
      <c r="M192" s="9">
        <v>7</v>
      </c>
      <c r="N192" s="9">
        <v>3</v>
      </c>
      <c r="O192" s="9">
        <v>21</v>
      </c>
      <c r="P192" s="9">
        <v>3</v>
      </c>
      <c r="Q192" s="9">
        <v>0</v>
      </c>
      <c r="R192" s="9">
        <v>3</v>
      </c>
      <c r="S192" s="9">
        <v>3</v>
      </c>
      <c r="T192" s="9">
        <v>2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B192" s="9">
        <f t="shared" si="7"/>
        <v>146</v>
      </c>
      <c r="AC192" s="9">
        <f t="shared" si="8"/>
        <v>1058</v>
      </c>
      <c r="AD192" s="10">
        <f t="shared" si="9"/>
        <v>7.2465753424657535</v>
      </c>
    </row>
    <row r="193" spans="1:30" x14ac:dyDescent="0.3">
      <c r="A193" s="55"/>
      <c r="B193" s="30" t="s">
        <v>195</v>
      </c>
      <c r="C193" s="9">
        <v>30</v>
      </c>
      <c r="D193" s="9">
        <v>11</v>
      </c>
      <c r="E193" s="9">
        <v>36</v>
      </c>
      <c r="F193" s="9">
        <v>33</v>
      </c>
      <c r="G193" s="9">
        <v>37</v>
      </c>
      <c r="H193" s="9">
        <v>56</v>
      </c>
      <c r="I193" s="9">
        <v>32</v>
      </c>
      <c r="J193" s="9">
        <v>39</v>
      </c>
      <c r="K193" s="9">
        <v>46</v>
      </c>
      <c r="L193" s="9">
        <v>35</v>
      </c>
      <c r="M193" s="9">
        <v>43</v>
      </c>
      <c r="N193" s="9">
        <v>40</v>
      </c>
      <c r="O193" s="9">
        <v>166</v>
      </c>
      <c r="P193" s="9">
        <v>8</v>
      </c>
      <c r="Q193" s="9">
        <v>15</v>
      </c>
      <c r="R193" s="9">
        <v>24</v>
      </c>
      <c r="S193" s="9">
        <v>51</v>
      </c>
      <c r="T193" s="9">
        <v>33</v>
      </c>
      <c r="U193" s="9">
        <v>2</v>
      </c>
      <c r="V193" s="9">
        <v>6</v>
      </c>
      <c r="W193" s="9">
        <v>1</v>
      </c>
      <c r="X193" s="9">
        <v>0</v>
      </c>
      <c r="Y193" s="9">
        <v>0</v>
      </c>
      <c r="Z193" s="9">
        <v>0</v>
      </c>
      <c r="AB193" s="9">
        <f t="shared" si="7"/>
        <v>744</v>
      </c>
      <c r="AC193" s="9">
        <f t="shared" si="8"/>
        <v>6841</v>
      </c>
      <c r="AD193" s="10">
        <f t="shared" si="9"/>
        <v>9.19489247311828</v>
      </c>
    </row>
    <row r="194" spans="1:30" x14ac:dyDescent="0.3">
      <c r="A194" s="55"/>
      <c r="B194" s="30" t="s">
        <v>196</v>
      </c>
      <c r="C194" s="9">
        <v>14</v>
      </c>
      <c r="D194" s="9">
        <v>10</v>
      </c>
      <c r="E194" s="9">
        <v>9</v>
      </c>
      <c r="F194" s="9">
        <v>15</v>
      </c>
      <c r="G194" s="9">
        <v>21</v>
      </c>
      <c r="H194" s="9">
        <v>24</v>
      </c>
      <c r="I194" s="9">
        <v>23</v>
      </c>
      <c r="J194" s="9">
        <v>12</v>
      </c>
      <c r="K194" s="9">
        <v>16</v>
      </c>
      <c r="L194" s="9">
        <v>20</v>
      </c>
      <c r="M194" s="9">
        <v>24</v>
      </c>
      <c r="N194" s="9">
        <v>19</v>
      </c>
      <c r="O194" s="9">
        <v>78</v>
      </c>
      <c r="P194" s="9">
        <v>9</v>
      </c>
      <c r="Q194" s="9">
        <v>6</v>
      </c>
      <c r="R194" s="9">
        <v>22</v>
      </c>
      <c r="S194" s="9">
        <v>26</v>
      </c>
      <c r="T194" s="9">
        <v>19</v>
      </c>
      <c r="U194" s="9">
        <v>0</v>
      </c>
      <c r="V194" s="9">
        <v>1</v>
      </c>
      <c r="W194" s="9">
        <v>1</v>
      </c>
      <c r="X194" s="9">
        <v>0</v>
      </c>
      <c r="Y194" s="9">
        <v>0</v>
      </c>
      <c r="Z194" s="9">
        <v>0</v>
      </c>
      <c r="AB194" s="9">
        <f t="shared" si="7"/>
        <v>369</v>
      </c>
      <c r="AC194" s="9">
        <f t="shared" si="8"/>
        <v>3501</v>
      </c>
      <c r="AD194" s="10">
        <f t="shared" si="9"/>
        <v>9.4878048780487809</v>
      </c>
    </row>
    <row r="195" spans="1:30" x14ac:dyDescent="0.3">
      <c r="A195" s="55"/>
      <c r="B195" s="30" t="s">
        <v>197</v>
      </c>
      <c r="C195" s="9">
        <v>16</v>
      </c>
      <c r="D195" s="9">
        <v>7</v>
      </c>
      <c r="E195" s="9">
        <v>11</v>
      </c>
      <c r="F195" s="9">
        <v>12</v>
      </c>
      <c r="G195" s="9">
        <v>17</v>
      </c>
      <c r="H195" s="9">
        <v>23</v>
      </c>
      <c r="I195" s="9">
        <v>14</v>
      </c>
      <c r="J195" s="9">
        <v>15</v>
      </c>
      <c r="K195" s="9">
        <v>22</v>
      </c>
      <c r="L195" s="9">
        <v>23</v>
      </c>
      <c r="M195" s="9">
        <v>17</v>
      </c>
      <c r="N195" s="9">
        <v>18</v>
      </c>
      <c r="O195" s="9">
        <v>98</v>
      </c>
      <c r="P195" s="9">
        <v>8</v>
      </c>
      <c r="Q195" s="9">
        <v>3</v>
      </c>
      <c r="R195" s="9">
        <v>20</v>
      </c>
      <c r="S195" s="9">
        <v>45</v>
      </c>
      <c r="T195" s="9">
        <v>24</v>
      </c>
      <c r="U195" s="9">
        <v>1</v>
      </c>
      <c r="V195" s="9">
        <v>1</v>
      </c>
      <c r="W195" s="9">
        <v>1</v>
      </c>
      <c r="X195" s="9">
        <v>1</v>
      </c>
      <c r="Y195" s="9">
        <v>0</v>
      </c>
      <c r="Z195" s="9">
        <v>0</v>
      </c>
      <c r="AB195" s="9">
        <f t="shared" si="7"/>
        <v>397</v>
      </c>
      <c r="AC195" s="9">
        <f t="shared" si="8"/>
        <v>4016</v>
      </c>
      <c r="AD195" s="10">
        <f t="shared" si="9"/>
        <v>10.115869017632242</v>
      </c>
    </row>
    <row r="196" spans="1:30" x14ac:dyDescent="0.3">
      <c r="A196" s="55"/>
      <c r="B196" s="30" t="s">
        <v>198</v>
      </c>
      <c r="C196" s="9">
        <v>6</v>
      </c>
      <c r="D196" s="9">
        <v>2</v>
      </c>
      <c r="E196" s="9">
        <v>0</v>
      </c>
      <c r="F196" s="9">
        <v>5</v>
      </c>
      <c r="G196" s="9">
        <v>4</v>
      </c>
      <c r="H196" s="9">
        <v>6</v>
      </c>
      <c r="I196" s="9">
        <v>5</v>
      </c>
      <c r="J196" s="9">
        <v>8</v>
      </c>
      <c r="K196" s="9">
        <v>11</v>
      </c>
      <c r="L196" s="9">
        <v>10</v>
      </c>
      <c r="M196" s="9">
        <v>6</v>
      </c>
      <c r="N196" s="9">
        <v>4</v>
      </c>
      <c r="O196" s="9">
        <v>37</v>
      </c>
      <c r="P196" s="9">
        <v>1</v>
      </c>
      <c r="Q196" s="9">
        <v>2</v>
      </c>
      <c r="R196" s="9">
        <v>9</v>
      </c>
      <c r="S196" s="9">
        <v>0</v>
      </c>
      <c r="T196" s="9">
        <v>6</v>
      </c>
      <c r="U196" s="9">
        <v>0</v>
      </c>
      <c r="V196" s="9">
        <v>4</v>
      </c>
      <c r="W196" s="9">
        <v>0</v>
      </c>
      <c r="X196" s="9">
        <v>0</v>
      </c>
      <c r="Y196" s="9">
        <v>0</v>
      </c>
      <c r="Z196" s="9">
        <v>0</v>
      </c>
      <c r="AB196" s="9">
        <f t="shared" ref="AB196:AB259" si="10">SUM(C196:Z196)</f>
        <v>126</v>
      </c>
      <c r="AC196" s="9">
        <f t="shared" ref="AC196:AC259" si="11">C$2*C196+D$2*D196+E$2*E196+F$2*F196+G$2*G196+H$2*H196+I$2*I196+J$2*J196+K$2*K196+L$2*L196+M$2*M196+N$2*N196+O$2*O196+P$2*P196+Q$2*Q196+R$2*R196+S$2*S196+T$2*T196+U$2*U196+V$2*V196+W$2*W196+X$2*X196+Y$2*Y196+Z$2*Z196</f>
        <v>1229</v>
      </c>
      <c r="AD196" s="10">
        <f t="shared" si="9"/>
        <v>9.7539682539682548</v>
      </c>
    </row>
    <row r="197" spans="1:30" x14ac:dyDescent="0.3">
      <c r="A197" s="55"/>
      <c r="B197" s="30" t="s">
        <v>199</v>
      </c>
      <c r="C197" s="9">
        <v>9</v>
      </c>
      <c r="D197" s="9">
        <v>7</v>
      </c>
      <c r="E197" s="9">
        <v>9</v>
      </c>
      <c r="F197" s="9">
        <v>9</v>
      </c>
      <c r="G197" s="9">
        <v>9</v>
      </c>
      <c r="H197" s="9">
        <v>29</v>
      </c>
      <c r="I197" s="9">
        <v>14</v>
      </c>
      <c r="J197" s="9">
        <v>9</v>
      </c>
      <c r="K197" s="9">
        <v>23</v>
      </c>
      <c r="L197" s="9">
        <v>23</v>
      </c>
      <c r="M197" s="9">
        <v>19</v>
      </c>
      <c r="N197" s="9">
        <v>18</v>
      </c>
      <c r="O197" s="9">
        <v>90</v>
      </c>
      <c r="P197" s="9">
        <v>3</v>
      </c>
      <c r="Q197" s="9">
        <v>4</v>
      </c>
      <c r="R197" s="9">
        <v>15</v>
      </c>
      <c r="S197" s="9">
        <v>18</v>
      </c>
      <c r="T197" s="9">
        <v>14</v>
      </c>
      <c r="U197" s="9">
        <v>0</v>
      </c>
      <c r="V197" s="9">
        <v>3</v>
      </c>
      <c r="W197" s="9">
        <v>0</v>
      </c>
      <c r="X197" s="9">
        <v>0</v>
      </c>
      <c r="Y197" s="9">
        <v>0</v>
      </c>
      <c r="Z197" s="9">
        <v>0</v>
      </c>
      <c r="AB197" s="9">
        <f t="shared" si="10"/>
        <v>325</v>
      </c>
      <c r="AC197" s="9">
        <f t="shared" si="11"/>
        <v>3142</v>
      </c>
      <c r="AD197" s="10">
        <f t="shared" ref="AD197:AD260" si="12">AC197/AB197</f>
        <v>9.6676923076923078</v>
      </c>
    </row>
    <row r="198" spans="1:30" x14ac:dyDescent="0.3">
      <c r="A198" s="55"/>
      <c r="B198" s="30" t="s">
        <v>200</v>
      </c>
      <c r="C198" s="9">
        <v>41</v>
      </c>
      <c r="D198" s="9">
        <v>22</v>
      </c>
      <c r="E198" s="9">
        <v>38</v>
      </c>
      <c r="F198" s="9">
        <v>49</v>
      </c>
      <c r="G198" s="9">
        <v>55</v>
      </c>
      <c r="H198" s="9">
        <v>58</v>
      </c>
      <c r="I198" s="9">
        <v>32</v>
      </c>
      <c r="J198" s="9">
        <v>30</v>
      </c>
      <c r="K198" s="9">
        <v>37</v>
      </c>
      <c r="L198" s="9">
        <v>30</v>
      </c>
      <c r="M198" s="9">
        <v>42</v>
      </c>
      <c r="N198" s="9">
        <v>40</v>
      </c>
      <c r="O198" s="9">
        <v>238</v>
      </c>
      <c r="P198" s="9">
        <v>10</v>
      </c>
      <c r="Q198" s="9">
        <v>19</v>
      </c>
      <c r="R198" s="9">
        <v>53</v>
      </c>
      <c r="S198" s="9">
        <v>93</v>
      </c>
      <c r="T198" s="9">
        <v>73</v>
      </c>
      <c r="U198" s="9">
        <v>3</v>
      </c>
      <c r="V198" s="9">
        <v>2</v>
      </c>
      <c r="W198" s="9">
        <v>4</v>
      </c>
      <c r="X198" s="9">
        <v>2</v>
      </c>
      <c r="Y198" s="9">
        <v>0</v>
      </c>
      <c r="Z198" s="9">
        <v>2</v>
      </c>
      <c r="AB198" s="9">
        <f t="shared" si="10"/>
        <v>973</v>
      </c>
      <c r="AC198" s="9">
        <f t="shared" si="11"/>
        <v>9619</v>
      </c>
      <c r="AD198" s="10">
        <f t="shared" si="12"/>
        <v>9.8859198355601237</v>
      </c>
    </row>
    <row r="199" spans="1:30" x14ac:dyDescent="0.3">
      <c r="A199" s="55"/>
      <c r="B199" s="30" t="s">
        <v>201</v>
      </c>
      <c r="C199" s="9">
        <v>1</v>
      </c>
      <c r="D199" s="9">
        <v>0</v>
      </c>
      <c r="E199" s="9">
        <v>0</v>
      </c>
      <c r="F199" s="9">
        <v>2</v>
      </c>
      <c r="G199" s="9">
        <v>0</v>
      </c>
      <c r="H199" s="9">
        <v>1</v>
      </c>
      <c r="I199" s="9">
        <v>1</v>
      </c>
      <c r="J199" s="9">
        <v>3</v>
      </c>
      <c r="K199" s="9">
        <v>7</v>
      </c>
      <c r="L199" s="9">
        <v>2</v>
      </c>
      <c r="M199" s="9">
        <v>4</v>
      </c>
      <c r="N199" s="9">
        <v>4</v>
      </c>
      <c r="O199" s="9">
        <v>22</v>
      </c>
      <c r="P199" s="9">
        <v>0</v>
      </c>
      <c r="Q199" s="9">
        <v>0</v>
      </c>
      <c r="R199" s="9">
        <v>2</v>
      </c>
      <c r="S199" s="9">
        <v>4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B199" s="9">
        <f t="shared" si="10"/>
        <v>53</v>
      </c>
      <c r="AC199" s="9">
        <f t="shared" si="11"/>
        <v>554</v>
      </c>
      <c r="AD199" s="10">
        <f t="shared" si="12"/>
        <v>10.452830188679245</v>
      </c>
    </row>
    <row r="200" spans="1:30" x14ac:dyDescent="0.3">
      <c r="A200" s="55"/>
      <c r="B200" s="30" t="s">
        <v>202</v>
      </c>
      <c r="C200" s="9">
        <v>0</v>
      </c>
      <c r="D200" s="9">
        <v>1</v>
      </c>
      <c r="E200" s="9">
        <v>1</v>
      </c>
      <c r="F200" s="9">
        <v>3</v>
      </c>
      <c r="G200" s="9">
        <v>0</v>
      </c>
      <c r="H200" s="9">
        <v>5</v>
      </c>
      <c r="I200" s="9">
        <v>2</v>
      </c>
      <c r="J200" s="9">
        <v>0</v>
      </c>
      <c r="K200" s="9">
        <v>5</v>
      </c>
      <c r="L200" s="9">
        <v>5</v>
      </c>
      <c r="M200" s="9">
        <v>2</v>
      </c>
      <c r="N200" s="9">
        <v>2</v>
      </c>
      <c r="O200" s="9">
        <v>30</v>
      </c>
      <c r="P200" s="9">
        <v>1</v>
      </c>
      <c r="Q200" s="9">
        <v>0</v>
      </c>
      <c r="R200" s="9">
        <v>6</v>
      </c>
      <c r="S200" s="9">
        <v>6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B200" s="9">
        <f t="shared" si="10"/>
        <v>69</v>
      </c>
      <c r="AC200" s="9">
        <f t="shared" si="11"/>
        <v>735</v>
      </c>
      <c r="AD200" s="10">
        <f t="shared" si="12"/>
        <v>10.652173913043478</v>
      </c>
    </row>
    <row r="201" spans="1:30" x14ac:dyDescent="0.3">
      <c r="A201" s="55"/>
      <c r="B201" s="30" t="s">
        <v>203</v>
      </c>
      <c r="C201" s="9">
        <v>1</v>
      </c>
      <c r="D201" s="9">
        <v>0</v>
      </c>
      <c r="E201" s="9">
        <v>3</v>
      </c>
      <c r="F201" s="9">
        <v>2</v>
      </c>
      <c r="G201" s="9">
        <v>5</v>
      </c>
      <c r="H201" s="9">
        <v>1</v>
      </c>
      <c r="I201" s="9">
        <v>4</v>
      </c>
      <c r="J201" s="9">
        <v>3</v>
      </c>
      <c r="K201" s="9">
        <v>8</v>
      </c>
      <c r="L201" s="9">
        <v>4</v>
      </c>
      <c r="M201" s="9">
        <v>5</v>
      </c>
      <c r="N201" s="9">
        <v>2</v>
      </c>
      <c r="O201" s="9">
        <v>25</v>
      </c>
      <c r="P201" s="9">
        <v>1</v>
      </c>
      <c r="Q201" s="9">
        <v>2</v>
      </c>
      <c r="R201" s="9">
        <v>5</v>
      </c>
      <c r="S201" s="9">
        <v>2</v>
      </c>
      <c r="T201" s="9">
        <v>3</v>
      </c>
      <c r="U201" s="9">
        <v>0</v>
      </c>
      <c r="V201" s="9">
        <v>0</v>
      </c>
      <c r="W201" s="9">
        <v>1</v>
      </c>
      <c r="X201" s="9">
        <v>0</v>
      </c>
      <c r="Y201" s="9">
        <v>0</v>
      </c>
      <c r="Z201" s="9">
        <v>0</v>
      </c>
      <c r="AB201" s="9">
        <f t="shared" si="10"/>
        <v>77</v>
      </c>
      <c r="AC201" s="9">
        <f t="shared" si="11"/>
        <v>773</v>
      </c>
      <c r="AD201" s="10">
        <f t="shared" si="12"/>
        <v>10.038961038961039</v>
      </c>
    </row>
    <row r="202" spans="1:30" x14ac:dyDescent="0.3">
      <c r="A202" s="55"/>
      <c r="B202" s="30" t="s">
        <v>204</v>
      </c>
      <c r="C202" s="9">
        <v>10</v>
      </c>
      <c r="D202" s="9">
        <v>4</v>
      </c>
      <c r="E202" s="9">
        <v>8</v>
      </c>
      <c r="F202" s="9">
        <v>12</v>
      </c>
      <c r="G202" s="9">
        <v>5</v>
      </c>
      <c r="H202" s="9">
        <v>15</v>
      </c>
      <c r="I202" s="9">
        <v>21</v>
      </c>
      <c r="J202" s="9">
        <v>6</v>
      </c>
      <c r="K202" s="9">
        <v>18</v>
      </c>
      <c r="L202" s="9">
        <v>15</v>
      </c>
      <c r="M202" s="9">
        <v>26</v>
      </c>
      <c r="N202" s="9">
        <v>21</v>
      </c>
      <c r="O202" s="9">
        <v>98</v>
      </c>
      <c r="P202" s="9">
        <v>1</v>
      </c>
      <c r="Q202" s="9">
        <v>3</v>
      </c>
      <c r="R202" s="9">
        <v>13</v>
      </c>
      <c r="S202" s="9">
        <v>17</v>
      </c>
      <c r="T202" s="9">
        <v>15</v>
      </c>
      <c r="U202" s="9">
        <v>1</v>
      </c>
      <c r="V202" s="9">
        <v>0</v>
      </c>
      <c r="W202" s="9">
        <v>1</v>
      </c>
      <c r="X202" s="9">
        <v>0</v>
      </c>
      <c r="Y202" s="9">
        <v>0</v>
      </c>
      <c r="Z202" s="9">
        <v>1</v>
      </c>
      <c r="AB202" s="9">
        <f t="shared" si="10"/>
        <v>311</v>
      </c>
      <c r="AC202" s="9">
        <f t="shared" si="11"/>
        <v>3103</v>
      </c>
      <c r="AD202" s="10">
        <f t="shared" si="12"/>
        <v>9.9774919614147901</v>
      </c>
    </row>
    <row r="203" spans="1:30" x14ac:dyDescent="0.3">
      <c r="A203" s="55"/>
      <c r="B203" s="30" t="s">
        <v>205</v>
      </c>
      <c r="C203" s="9">
        <v>642</v>
      </c>
      <c r="D203" s="9">
        <v>296</v>
      </c>
      <c r="E203" s="9">
        <v>441</v>
      </c>
      <c r="F203" s="9">
        <v>678</v>
      </c>
      <c r="G203" s="9">
        <v>595</v>
      </c>
      <c r="H203" s="9">
        <v>811</v>
      </c>
      <c r="I203" s="9">
        <v>473</v>
      </c>
      <c r="J203" s="9">
        <v>434</v>
      </c>
      <c r="K203" s="9">
        <v>672</v>
      </c>
      <c r="L203" s="9">
        <v>534</v>
      </c>
      <c r="M203" s="9">
        <v>650</v>
      </c>
      <c r="N203" s="9">
        <v>592</v>
      </c>
      <c r="O203" s="9">
        <v>3062</v>
      </c>
      <c r="P203" s="9">
        <v>449</v>
      </c>
      <c r="Q203" s="9">
        <v>760</v>
      </c>
      <c r="R203" s="9">
        <v>1609</v>
      </c>
      <c r="S203" s="9">
        <v>2173</v>
      </c>
      <c r="T203" s="9">
        <v>2605</v>
      </c>
      <c r="U203" s="9">
        <v>95</v>
      </c>
      <c r="V203" s="9">
        <v>182</v>
      </c>
      <c r="W203" s="9">
        <v>13</v>
      </c>
      <c r="X203" s="9">
        <v>19</v>
      </c>
      <c r="Y203" s="9">
        <v>5</v>
      </c>
      <c r="Z203" s="9">
        <v>9</v>
      </c>
      <c r="AB203" s="9">
        <f t="shared" si="10"/>
        <v>17799</v>
      </c>
      <c r="AC203" s="9">
        <f t="shared" si="11"/>
        <v>201270</v>
      </c>
      <c r="AD203" s="10">
        <f t="shared" si="12"/>
        <v>11.307938648238665</v>
      </c>
    </row>
    <row r="204" spans="1:30" x14ac:dyDescent="0.3">
      <c r="A204" s="55"/>
      <c r="B204" s="30" t="s">
        <v>206</v>
      </c>
      <c r="C204" s="9">
        <v>486</v>
      </c>
      <c r="D204" s="9">
        <v>103</v>
      </c>
      <c r="E204" s="9">
        <v>125</v>
      </c>
      <c r="F204" s="9">
        <v>236</v>
      </c>
      <c r="G204" s="9">
        <v>96</v>
      </c>
      <c r="H204" s="9">
        <v>106</v>
      </c>
      <c r="I204" s="9">
        <v>67</v>
      </c>
      <c r="J204" s="9">
        <v>35</v>
      </c>
      <c r="K204" s="9">
        <v>49</v>
      </c>
      <c r="L204" s="9">
        <v>20</v>
      </c>
      <c r="M204" s="9">
        <v>24</v>
      </c>
      <c r="N204" s="9">
        <v>23</v>
      </c>
      <c r="O204" s="9">
        <v>59</v>
      </c>
      <c r="P204" s="9">
        <v>2</v>
      </c>
      <c r="Q204" s="9">
        <v>3</v>
      </c>
      <c r="R204" s="9">
        <v>16</v>
      </c>
      <c r="S204" s="9">
        <v>25</v>
      </c>
      <c r="T204" s="9">
        <v>28</v>
      </c>
      <c r="U204" s="9">
        <v>0</v>
      </c>
      <c r="V204" s="9">
        <v>1</v>
      </c>
      <c r="W204" s="9">
        <v>0</v>
      </c>
      <c r="X204" s="9">
        <v>0</v>
      </c>
      <c r="Y204" s="9">
        <v>0</v>
      </c>
      <c r="Z204" s="9">
        <v>0</v>
      </c>
      <c r="AB204" s="9">
        <f t="shared" si="10"/>
        <v>1504</v>
      </c>
      <c r="AC204" s="9">
        <f t="shared" si="11"/>
        <v>5598</v>
      </c>
      <c r="AD204" s="10">
        <f t="shared" si="12"/>
        <v>3.7220744680851063</v>
      </c>
    </row>
    <row r="205" spans="1:30" x14ac:dyDescent="0.3">
      <c r="A205" s="55"/>
      <c r="B205" s="30" t="s">
        <v>207</v>
      </c>
      <c r="C205" s="9">
        <v>32</v>
      </c>
      <c r="D205" s="9">
        <v>13</v>
      </c>
      <c r="E205" s="9">
        <v>15</v>
      </c>
      <c r="F205" s="9">
        <v>23</v>
      </c>
      <c r="G205" s="9">
        <v>28</v>
      </c>
      <c r="H205" s="9">
        <v>47</v>
      </c>
      <c r="I205" s="9">
        <v>35</v>
      </c>
      <c r="J205" s="9">
        <v>24</v>
      </c>
      <c r="K205" s="9">
        <v>41</v>
      </c>
      <c r="L205" s="9">
        <v>23</v>
      </c>
      <c r="M205" s="9">
        <v>23</v>
      </c>
      <c r="N205" s="9">
        <v>25</v>
      </c>
      <c r="O205" s="9">
        <v>130</v>
      </c>
      <c r="P205" s="9">
        <v>9</v>
      </c>
      <c r="Q205" s="9">
        <v>9</v>
      </c>
      <c r="R205" s="9">
        <v>18</v>
      </c>
      <c r="S205" s="9">
        <v>29</v>
      </c>
      <c r="T205" s="9">
        <v>20</v>
      </c>
      <c r="U205" s="9">
        <v>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B205" s="9">
        <f t="shared" si="10"/>
        <v>545</v>
      </c>
      <c r="AC205" s="9">
        <f t="shared" si="11"/>
        <v>4772</v>
      </c>
      <c r="AD205" s="10">
        <f t="shared" si="12"/>
        <v>8.7559633027522938</v>
      </c>
    </row>
    <row r="206" spans="1:30" x14ac:dyDescent="0.3">
      <c r="A206" s="55"/>
      <c r="B206" s="30" t="s">
        <v>208</v>
      </c>
      <c r="C206" s="9">
        <v>9</v>
      </c>
      <c r="D206" s="9">
        <v>4</v>
      </c>
      <c r="E206" s="9">
        <v>6</v>
      </c>
      <c r="F206" s="9">
        <v>9</v>
      </c>
      <c r="G206" s="9">
        <v>7</v>
      </c>
      <c r="H206" s="9">
        <v>24</v>
      </c>
      <c r="I206" s="9">
        <v>13</v>
      </c>
      <c r="J206" s="9">
        <v>21</v>
      </c>
      <c r="K206" s="9">
        <v>29</v>
      </c>
      <c r="L206" s="9">
        <v>2</v>
      </c>
      <c r="M206" s="9">
        <v>12</v>
      </c>
      <c r="N206" s="9">
        <v>0</v>
      </c>
      <c r="O206" s="9">
        <v>26</v>
      </c>
      <c r="P206" s="9">
        <v>1</v>
      </c>
      <c r="Q206" s="9">
        <v>2</v>
      </c>
      <c r="R206" s="9">
        <v>3</v>
      </c>
      <c r="S206" s="9">
        <v>5</v>
      </c>
      <c r="T206" s="9">
        <v>2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B206" s="9">
        <f t="shared" si="10"/>
        <v>175</v>
      </c>
      <c r="AC206" s="9">
        <f t="shared" si="11"/>
        <v>1298</v>
      </c>
      <c r="AD206" s="10">
        <f t="shared" si="12"/>
        <v>7.4171428571428573</v>
      </c>
    </row>
    <row r="207" spans="1:30" x14ac:dyDescent="0.3">
      <c r="A207" s="55"/>
      <c r="B207" s="30" t="s">
        <v>209</v>
      </c>
      <c r="C207" s="9">
        <v>114</v>
      </c>
      <c r="D207" s="9">
        <v>67</v>
      </c>
      <c r="E207" s="9">
        <v>94</v>
      </c>
      <c r="F207" s="9">
        <v>121</v>
      </c>
      <c r="G207" s="9">
        <v>102</v>
      </c>
      <c r="H207" s="9">
        <v>155</v>
      </c>
      <c r="I207" s="9">
        <v>52</v>
      </c>
      <c r="J207" s="9">
        <v>53</v>
      </c>
      <c r="K207" s="9">
        <v>56</v>
      </c>
      <c r="L207" s="9">
        <v>35</v>
      </c>
      <c r="M207" s="9">
        <v>35</v>
      </c>
      <c r="N207" s="9">
        <v>40</v>
      </c>
      <c r="O207" s="9">
        <v>185</v>
      </c>
      <c r="P207" s="9">
        <v>29</v>
      </c>
      <c r="Q207" s="9">
        <v>25</v>
      </c>
      <c r="R207" s="9">
        <v>122</v>
      </c>
      <c r="S207" s="9">
        <v>96</v>
      </c>
      <c r="T207" s="9">
        <v>95</v>
      </c>
      <c r="U207" s="9">
        <v>2</v>
      </c>
      <c r="V207" s="9">
        <v>5</v>
      </c>
      <c r="W207" s="9">
        <v>2</v>
      </c>
      <c r="X207" s="9">
        <v>1</v>
      </c>
      <c r="Y207" s="9">
        <v>0</v>
      </c>
      <c r="Z207" s="9">
        <v>0</v>
      </c>
      <c r="AB207" s="9">
        <f t="shared" si="10"/>
        <v>1486</v>
      </c>
      <c r="AC207" s="9">
        <f t="shared" si="11"/>
        <v>12157</v>
      </c>
      <c r="AD207" s="10">
        <f t="shared" si="12"/>
        <v>8.1810228802153429</v>
      </c>
    </row>
    <row r="208" spans="1:30" x14ac:dyDescent="0.3">
      <c r="A208" s="55"/>
      <c r="B208" s="30" t="s">
        <v>210</v>
      </c>
      <c r="C208" s="9">
        <v>76</v>
      </c>
      <c r="D208" s="9">
        <v>46</v>
      </c>
      <c r="E208" s="9">
        <v>88</v>
      </c>
      <c r="F208" s="9">
        <v>90</v>
      </c>
      <c r="G208" s="9">
        <v>103</v>
      </c>
      <c r="H208" s="9">
        <v>110</v>
      </c>
      <c r="I208" s="9">
        <v>41</v>
      </c>
      <c r="J208" s="9">
        <v>19</v>
      </c>
      <c r="K208" s="9">
        <v>38</v>
      </c>
      <c r="L208" s="9">
        <v>18</v>
      </c>
      <c r="M208" s="9">
        <v>12</v>
      </c>
      <c r="N208" s="9">
        <v>13</v>
      </c>
      <c r="O208" s="9">
        <v>73</v>
      </c>
      <c r="P208" s="9">
        <v>9</v>
      </c>
      <c r="Q208" s="9">
        <v>11</v>
      </c>
      <c r="R208" s="9">
        <v>72</v>
      </c>
      <c r="S208" s="9">
        <v>59</v>
      </c>
      <c r="T208" s="9">
        <v>24</v>
      </c>
      <c r="U208" s="9">
        <v>1</v>
      </c>
      <c r="V208" s="9">
        <v>3</v>
      </c>
      <c r="W208" s="9">
        <v>1</v>
      </c>
      <c r="X208" s="9">
        <v>0</v>
      </c>
      <c r="Y208" s="9">
        <v>0</v>
      </c>
      <c r="Z208" s="9">
        <v>0</v>
      </c>
      <c r="AB208" s="9">
        <f t="shared" si="10"/>
        <v>907</v>
      </c>
      <c r="AC208" s="9">
        <f t="shared" si="11"/>
        <v>6236</v>
      </c>
      <c r="AD208" s="10">
        <f t="shared" si="12"/>
        <v>6.8754134509371552</v>
      </c>
    </row>
    <row r="209" spans="1:30" x14ac:dyDescent="0.3">
      <c r="A209" s="55"/>
      <c r="B209" s="30" t="s">
        <v>211</v>
      </c>
      <c r="C209" s="9">
        <v>152</v>
      </c>
      <c r="D209" s="9">
        <v>89</v>
      </c>
      <c r="E209" s="9">
        <v>137</v>
      </c>
      <c r="F209" s="9">
        <v>150</v>
      </c>
      <c r="G209" s="9">
        <v>119</v>
      </c>
      <c r="H209" s="9">
        <v>181</v>
      </c>
      <c r="I209" s="9">
        <v>101</v>
      </c>
      <c r="J209" s="9">
        <v>81</v>
      </c>
      <c r="K209" s="9">
        <v>101</v>
      </c>
      <c r="L209" s="9">
        <v>80</v>
      </c>
      <c r="M209" s="9">
        <v>112</v>
      </c>
      <c r="N209" s="9">
        <v>94</v>
      </c>
      <c r="O209" s="9">
        <v>422</v>
      </c>
      <c r="P209" s="9">
        <v>83</v>
      </c>
      <c r="Q209" s="9">
        <v>140</v>
      </c>
      <c r="R209" s="9">
        <v>295</v>
      </c>
      <c r="S209" s="9">
        <v>332</v>
      </c>
      <c r="T209" s="9">
        <v>506</v>
      </c>
      <c r="U209" s="9">
        <v>21</v>
      </c>
      <c r="V209" s="9">
        <v>26</v>
      </c>
      <c r="W209" s="9">
        <v>1</v>
      </c>
      <c r="X209" s="9">
        <v>2</v>
      </c>
      <c r="Y209" s="9">
        <v>1</v>
      </c>
      <c r="Z209" s="9">
        <v>2</v>
      </c>
      <c r="AB209" s="9">
        <f t="shared" si="10"/>
        <v>3228</v>
      </c>
      <c r="AC209" s="9">
        <f t="shared" si="11"/>
        <v>34493</v>
      </c>
      <c r="AD209" s="10">
        <f t="shared" si="12"/>
        <v>10.685563816604709</v>
      </c>
    </row>
    <row r="210" spans="1:30" x14ac:dyDescent="0.3">
      <c r="A210" s="55"/>
      <c r="B210" s="30" t="s">
        <v>212</v>
      </c>
      <c r="C210" s="9">
        <v>82</v>
      </c>
      <c r="D210" s="9">
        <v>35</v>
      </c>
      <c r="E210" s="9">
        <v>62</v>
      </c>
      <c r="F210" s="9">
        <v>56</v>
      </c>
      <c r="G210" s="9">
        <v>35</v>
      </c>
      <c r="H210" s="9">
        <v>73</v>
      </c>
      <c r="I210" s="9">
        <v>20</v>
      </c>
      <c r="J210" s="9">
        <v>14</v>
      </c>
      <c r="K210" s="9">
        <v>27</v>
      </c>
      <c r="L210" s="9">
        <v>7</v>
      </c>
      <c r="M210" s="9">
        <v>7</v>
      </c>
      <c r="N210" s="9">
        <v>9</v>
      </c>
      <c r="O210" s="9">
        <v>45</v>
      </c>
      <c r="P210" s="9">
        <v>3</v>
      </c>
      <c r="Q210" s="9">
        <v>7</v>
      </c>
      <c r="R210" s="9">
        <v>16</v>
      </c>
      <c r="S210" s="9">
        <v>8</v>
      </c>
      <c r="T210" s="9">
        <v>14</v>
      </c>
      <c r="U210" s="9">
        <v>0</v>
      </c>
      <c r="V210" s="9">
        <v>2</v>
      </c>
      <c r="W210" s="9">
        <v>1</v>
      </c>
      <c r="X210" s="9">
        <v>0</v>
      </c>
      <c r="Y210" s="9">
        <v>0</v>
      </c>
      <c r="Z210" s="9">
        <v>0</v>
      </c>
      <c r="AB210" s="9">
        <f t="shared" si="10"/>
        <v>523</v>
      </c>
      <c r="AC210" s="9">
        <f t="shared" si="11"/>
        <v>2839</v>
      </c>
      <c r="AD210" s="10">
        <f t="shared" si="12"/>
        <v>5.4282982791586996</v>
      </c>
    </row>
    <row r="211" spans="1:30" x14ac:dyDescent="0.3">
      <c r="A211" s="55"/>
      <c r="B211" s="30" t="s">
        <v>213</v>
      </c>
      <c r="C211" s="9">
        <v>204</v>
      </c>
      <c r="D211" s="9">
        <v>90</v>
      </c>
      <c r="E211" s="9">
        <v>124</v>
      </c>
      <c r="F211" s="9">
        <v>240</v>
      </c>
      <c r="G211" s="9">
        <v>187</v>
      </c>
      <c r="H211" s="9">
        <v>307</v>
      </c>
      <c r="I211" s="9">
        <v>142</v>
      </c>
      <c r="J211" s="9">
        <v>90</v>
      </c>
      <c r="K211" s="9">
        <v>124</v>
      </c>
      <c r="L211" s="9">
        <v>49</v>
      </c>
      <c r="M211" s="9">
        <v>49</v>
      </c>
      <c r="N211" s="9">
        <v>38</v>
      </c>
      <c r="O211" s="9">
        <v>162</v>
      </c>
      <c r="P211" s="9">
        <v>6</v>
      </c>
      <c r="Q211" s="9">
        <v>11</v>
      </c>
      <c r="R211" s="9">
        <v>34</v>
      </c>
      <c r="S211" s="9">
        <v>46</v>
      </c>
      <c r="T211" s="9">
        <v>28</v>
      </c>
      <c r="U211" s="9">
        <v>4</v>
      </c>
      <c r="V211" s="9">
        <v>4</v>
      </c>
      <c r="W211" s="9">
        <v>1</v>
      </c>
      <c r="X211" s="9">
        <v>0</v>
      </c>
      <c r="Y211" s="9">
        <v>0</v>
      </c>
      <c r="Z211" s="9">
        <v>0</v>
      </c>
      <c r="AB211" s="9">
        <f t="shared" si="10"/>
        <v>1940</v>
      </c>
      <c r="AC211" s="9">
        <f t="shared" si="11"/>
        <v>11230</v>
      </c>
      <c r="AD211" s="10">
        <f t="shared" si="12"/>
        <v>5.7886597938144329</v>
      </c>
    </row>
    <row r="212" spans="1:30" x14ac:dyDescent="0.3">
      <c r="A212" s="55"/>
      <c r="B212" s="30" t="s">
        <v>214</v>
      </c>
      <c r="C212" s="9">
        <v>61</v>
      </c>
      <c r="D212" s="9">
        <v>17</v>
      </c>
      <c r="E212" s="9">
        <v>24</v>
      </c>
      <c r="F212" s="9">
        <v>45</v>
      </c>
      <c r="G212" s="9">
        <v>40</v>
      </c>
      <c r="H212" s="9">
        <v>60</v>
      </c>
      <c r="I212" s="9">
        <v>31</v>
      </c>
      <c r="J212" s="9">
        <v>20</v>
      </c>
      <c r="K212" s="9">
        <v>52</v>
      </c>
      <c r="L212" s="9">
        <v>13</v>
      </c>
      <c r="M212" s="9">
        <v>14</v>
      </c>
      <c r="N212" s="9">
        <v>19</v>
      </c>
      <c r="O212" s="9">
        <v>59</v>
      </c>
      <c r="P212" s="9">
        <v>2</v>
      </c>
      <c r="Q212" s="9">
        <v>5</v>
      </c>
      <c r="R212" s="9">
        <v>9</v>
      </c>
      <c r="S212" s="9">
        <v>18</v>
      </c>
      <c r="T212" s="9">
        <v>13</v>
      </c>
      <c r="U212" s="9">
        <v>0</v>
      </c>
      <c r="V212" s="9">
        <v>1</v>
      </c>
      <c r="W212" s="9">
        <v>1</v>
      </c>
      <c r="X212" s="9">
        <v>0</v>
      </c>
      <c r="Y212" s="9">
        <v>0</v>
      </c>
      <c r="Z212" s="9">
        <v>0</v>
      </c>
      <c r="AB212" s="9">
        <f t="shared" si="10"/>
        <v>504</v>
      </c>
      <c r="AC212" s="9">
        <f t="shared" si="11"/>
        <v>3355</v>
      </c>
      <c r="AD212" s="10">
        <f t="shared" si="12"/>
        <v>6.6567460317460316</v>
      </c>
    </row>
    <row r="213" spans="1:30" x14ac:dyDescent="0.3">
      <c r="A213" s="55"/>
      <c r="B213" s="30" t="s">
        <v>215</v>
      </c>
      <c r="C213" s="9">
        <v>182</v>
      </c>
      <c r="D213" s="9">
        <v>31</v>
      </c>
      <c r="E213" s="9">
        <v>55</v>
      </c>
      <c r="F213" s="9">
        <v>63</v>
      </c>
      <c r="G213" s="9">
        <v>59</v>
      </c>
      <c r="H213" s="9">
        <v>57</v>
      </c>
      <c r="I213" s="9">
        <v>32</v>
      </c>
      <c r="J213" s="9">
        <v>26</v>
      </c>
      <c r="K213" s="9">
        <v>31</v>
      </c>
      <c r="L213" s="9">
        <v>11</v>
      </c>
      <c r="M213" s="9">
        <v>7</v>
      </c>
      <c r="N213" s="9">
        <v>15</v>
      </c>
      <c r="O213" s="9">
        <v>42</v>
      </c>
      <c r="P213" s="9">
        <v>0</v>
      </c>
      <c r="Q213" s="9">
        <v>0</v>
      </c>
      <c r="R213" s="9">
        <v>8</v>
      </c>
      <c r="S213" s="9">
        <v>11</v>
      </c>
      <c r="T213" s="9">
        <v>8</v>
      </c>
      <c r="U213" s="9">
        <v>1</v>
      </c>
      <c r="V213" s="9">
        <v>1</v>
      </c>
      <c r="W213" s="9">
        <v>0</v>
      </c>
      <c r="X213" s="9">
        <v>0</v>
      </c>
      <c r="Y213" s="9">
        <v>0</v>
      </c>
      <c r="Z213" s="9">
        <v>0</v>
      </c>
      <c r="AB213" s="9">
        <f t="shared" si="10"/>
        <v>640</v>
      </c>
      <c r="AC213" s="9">
        <f t="shared" si="11"/>
        <v>2780</v>
      </c>
      <c r="AD213" s="10">
        <f t="shared" si="12"/>
        <v>4.34375</v>
      </c>
    </row>
    <row r="214" spans="1:30" x14ac:dyDescent="0.3">
      <c r="A214" s="55"/>
      <c r="B214" s="30" t="s">
        <v>216</v>
      </c>
      <c r="C214" s="9">
        <v>237</v>
      </c>
      <c r="D214" s="9">
        <v>53</v>
      </c>
      <c r="E214" s="9">
        <v>74</v>
      </c>
      <c r="F214" s="9">
        <v>79</v>
      </c>
      <c r="G214" s="9">
        <v>63</v>
      </c>
      <c r="H214" s="9">
        <v>48</v>
      </c>
      <c r="I214" s="9">
        <v>33</v>
      </c>
      <c r="J214" s="9">
        <v>31</v>
      </c>
      <c r="K214" s="9">
        <v>29</v>
      </c>
      <c r="L214" s="9">
        <v>23</v>
      </c>
      <c r="M214" s="9">
        <v>30</v>
      </c>
      <c r="N214" s="9">
        <v>24</v>
      </c>
      <c r="O214" s="9">
        <v>60</v>
      </c>
      <c r="P214" s="9">
        <v>6</v>
      </c>
      <c r="Q214" s="9">
        <v>15</v>
      </c>
      <c r="R214" s="9">
        <v>35</v>
      </c>
      <c r="S214" s="9">
        <v>22</v>
      </c>
      <c r="T214" s="9">
        <v>31</v>
      </c>
      <c r="U214" s="9">
        <v>2</v>
      </c>
      <c r="V214" s="9">
        <v>4</v>
      </c>
      <c r="W214" s="9">
        <v>0</v>
      </c>
      <c r="X214" s="9">
        <v>0</v>
      </c>
      <c r="Y214" s="9">
        <v>1</v>
      </c>
      <c r="Z214" s="9">
        <v>0</v>
      </c>
      <c r="AB214" s="9">
        <f t="shared" si="10"/>
        <v>900</v>
      </c>
      <c r="AC214" s="9">
        <f t="shared" si="11"/>
        <v>4894</v>
      </c>
      <c r="AD214" s="10">
        <f t="shared" si="12"/>
        <v>5.4377777777777778</v>
      </c>
    </row>
    <row r="215" spans="1:30" x14ac:dyDescent="0.3">
      <c r="A215" s="55"/>
      <c r="B215" s="30" t="s">
        <v>217</v>
      </c>
      <c r="C215" s="9">
        <v>369</v>
      </c>
      <c r="D215" s="9">
        <v>60</v>
      </c>
      <c r="E215" s="9">
        <v>105</v>
      </c>
      <c r="F215" s="9">
        <v>127</v>
      </c>
      <c r="G215" s="9">
        <v>80</v>
      </c>
      <c r="H215" s="9">
        <v>94</v>
      </c>
      <c r="I215" s="9">
        <v>60</v>
      </c>
      <c r="J215" s="9">
        <v>45</v>
      </c>
      <c r="K215" s="9">
        <v>35</v>
      </c>
      <c r="L215" s="9">
        <v>14</v>
      </c>
      <c r="M215" s="9">
        <v>12</v>
      </c>
      <c r="N215" s="9">
        <v>16</v>
      </c>
      <c r="O215" s="9">
        <v>36</v>
      </c>
      <c r="P215" s="9">
        <v>8</v>
      </c>
      <c r="Q215" s="9">
        <v>7</v>
      </c>
      <c r="R215" s="9">
        <v>27</v>
      </c>
      <c r="S215" s="9">
        <v>32</v>
      </c>
      <c r="T215" s="9">
        <v>29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B215" s="9">
        <f t="shared" si="10"/>
        <v>1156</v>
      </c>
      <c r="AC215" s="9">
        <f t="shared" si="11"/>
        <v>4862</v>
      </c>
      <c r="AD215" s="10">
        <f t="shared" si="12"/>
        <v>4.2058823529411766</v>
      </c>
    </row>
    <row r="216" spans="1:30" x14ac:dyDescent="0.3">
      <c r="A216" s="55"/>
      <c r="B216" s="30" t="s">
        <v>218</v>
      </c>
      <c r="C216" s="9">
        <v>180</v>
      </c>
      <c r="D216" s="9">
        <v>69</v>
      </c>
      <c r="E216" s="9">
        <v>144</v>
      </c>
      <c r="F216" s="9">
        <v>186</v>
      </c>
      <c r="G216" s="9">
        <v>129</v>
      </c>
      <c r="H216" s="9">
        <v>182</v>
      </c>
      <c r="I216" s="9">
        <v>69</v>
      </c>
      <c r="J216" s="9">
        <v>73</v>
      </c>
      <c r="K216" s="9">
        <v>73</v>
      </c>
      <c r="L216" s="9">
        <v>22</v>
      </c>
      <c r="M216" s="9">
        <v>32</v>
      </c>
      <c r="N216" s="9">
        <v>37</v>
      </c>
      <c r="O216" s="9">
        <v>109</v>
      </c>
      <c r="P216" s="9">
        <v>9</v>
      </c>
      <c r="Q216" s="9">
        <v>7</v>
      </c>
      <c r="R216" s="9">
        <v>50</v>
      </c>
      <c r="S216" s="9">
        <v>41</v>
      </c>
      <c r="T216" s="9">
        <v>34</v>
      </c>
      <c r="U216" s="9">
        <v>2</v>
      </c>
      <c r="V216" s="9">
        <v>3</v>
      </c>
      <c r="W216" s="9">
        <v>1</v>
      </c>
      <c r="X216" s="9">
        <v>0</v>
      </c>
      <c r="Y216" s="9">
        <v>0</v>
      </c>
      <c r="Z216" s="9">
        <v>0</v>
      </c>
      <c r="AB216" s="9">
        <f t="shared" si="10"/>
        <v>1452</v>
      </c>
      <c r="AC216" s="9">
        <f t="shared" si="11"/>
        <v>8395</v>
      </c>
      <c r="AD216" s="10">
        <f t="shared" si="12"/>
        <v>5.7816804407713498</v>
      </c>
    </row>
    <row r="217" spans="1:30" x14ac:dyDescent="0.3">
      <c r="A217" s="55"/>
      <c r="B217" s="30" t="s">
        <v>219</v>
      </c>
      <c r="C217" s="9">
        <v>386</v>
      </c>
      <c r="D217" s="9">
        <v>50</v>
      </c>
      <c r="E217" s="9">
        <v>84</v>
      </c>
      <c r="F217" s="9">
        <v>81</v>
      </c>
      <c r="G217" s="9">
        <v>47</v>
      </c>
      <c r="H217" s="9">
        <v>52</v>
      </c>
      <c r="I217" s="9">
        <v>34</v>
      </c>
      <c r="J217" s="9">
        <v>14</v>
      </c>
      <c r="K217" s="9">
        <v>25</v>
      </c>
      <c r="L217" s="9">
        <v>8</v>
      </c>
      <c r="M217" s="9">
        <v>5</v>
      </c>
      <c r="N217" s="9">
        <v>12</v>
      </c>
      <c r="O217" s="9">
        <v>29</v>
      </c>
      <c r="P217" s="9">
        <v>5</v>
      </c>
      <c r="Q217" s="9">
        <v>6</v>
      </c>
      <c r="R217" s="9">
        <v>29</v>
      </c>
      <c r="S217" s="9">
        <v>23</v>
      </c>
      <c r="T217" s="9">
        <v>21</v>
      </c>
      <c r="U217" s="9">
        <v>0</v>
      </c>
      <c r="V217" s="9">
        <v>1</v>
      </c>
      <c r="W217" s="9">
        <v>1</v>
      </c>
      <c r="X217" s="9">
        <v>0</v>
      </c>
      <c r="Y217" s="9">
        <v>0</v>
      </c>
      <c r="Z217" s="9">
        <v>0</v>
      </c>
      <c r="AB217" s="9">
        <f t="shared" si="10"/>
        <v>913</v>
      </c>
      <c r="AC217" s="9">
        <f t="shared" si="11"/>
        <v>3361</v>
      </c>
      <c r="AD217" s="10">
        <f t="shared" si="12"/>
        <v>3.6812705366922236</v>
      </c>
    </row>
    <row r="218" spans="1:30" x14ac:dyDescent="0.3">
      <c r="A218" s="55"/>
      <c r="B218" s="30" t="s">
        <v>220</v>
      </c>
      <c r="C218" s="9">
        <v>354</v>
      </c>
      <c r="D218" s="9">
        <v>72</v>
      </c>
      <c r="E218" s="9">
        <v>132</v>
      </c>
      <c r="F218" s="9">
        <v>110</v>
      </c>
      <c r="G218" s="9">
        <v>68</v>
      </c>
      <c r="H218" s="9">
        <v>83</v>
      </c>
      <c r="I218" s="9">
        <v>57</v>
      </c>
      <c r="J218" s="9">
        <v>22</v>
      </c>
      <c r="K218" s="9">
        <v>31</v>
      </c>
      <c r="L218" s="9">
        <v>10</v>
      </c>
      <c r="M218" s="9">
        <v>8</v>
      </c>
      <c r="N218" s="9">
        <v>10</v>
      </c>
      <c r="O218" s="9">
        <v>32</v>
      </c>
      <c r="P218" s="9">
        <v>2</v>
      </c>
      <c r="Q218" s="9">
        <v>5</v>
      </c>
      <c r="R218" s="9">
        <v>19</v>
      </c>
      <c r="S218" s="9">
        <v>23</v>
      </c>
      <c r="T218" s="9">
        <v>13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B218" s="9">
        <f t="shared" si="10"/>
        <v>1051</v>
      </c>
      <c r="AC218" s="9">
        <f t="shared" si="11"/>
        <v>3731</v>
      </c>
      <c r="AD218" s="10">
        <f t="shared" si="12"/>
        <v>3.5499524262607043</v>
      </c>
    </row>
    <row r="219" spans="1:30" x14ac:dyDescent="0.3">
      <c r="A219" s="55"/>
      <c r="B219" s="30" t="s">
        <v>221</v>
      </c>
      <c r="C219" s="9">
        <v>315</v>
      </c>
      <c r="D219" s="9">
        <v>113</v>
      </c>
      <c r="E219" s="9">
        <v>233</v>
      </c>
      <c r="F219" s="9">
        <v>222</v>
      </c>
      <c r="G219" s="9">
        <v>148</v>
      </c>
      <c r="H219" s="9">
        <v>177</v>
      </c>
      <c r="I219" s="9">
        <v>92</v>
      </c>
      <c r="J219" s="9">
        <v>60</v>
      </c>
      <c r="K219" s="9">
        <v>65</v>
      </c>
      <c r="L219" s="9">
        <v>32</v>
      </c>
      <c r="M219" s="9">
        <v>35</v>
      </c>
      <c r="N219" s="9">
        <v>32</v>
      </c>
      <c r="O219" s="9">
        <v>90</v>
      </c>
      <c r="P219" s="9">
        <v>6</v>
      </c>
      <c r="Q219" s="9">
        <v>11</v>
      </c>
      <c r="R219" s="9">
        <v>41</v>
      </c>
      <c r="S219" s="9">
        <v>54</v>
      </c>
      <c r="T219" s="9">
        <v>32</v>
      </c>
      <c r="U219" s="9">
        <v>2</v>
      </c>
      <c r="V219" s="9">
        <v>3</v>
      </c>
      <c r="W219" s="9">
        <v>0</v>
      </c>
      <c r="X219" s="9">
        <v>1</v>
      </c>
      <c r="Y219" s="9">
        <v>0</v>
      </c>
      <c r="Z219" s="9">
        <v>0</v>
      </c>
      <c r="AB219" s="9">
        <f t="shared" si="10"/>
        <v>1764</v>
      </c>
      <c r="AC219" s="9">
        <f t="shared" si="11"/>
        <v>8653</v>
      </c>
      <c r="AD219" s="10">
        <f t="shared" si="12"/>
        <v>4.9053287981859413</v>
      </c>
    </row>
    <row r="220" spans="1:30" x14ac:dyDescent="0.3">
      <c r="A220" s="55"/>
      <c r="B220" s="30" t="s">
        <v>222</v>
      </c>
      <c r="C220" s="9">
        <v>67</v>
      </c>
      <c r="D220" s="9">
        <v>43</v>
      </c>
      <c r="E220" s="9">
        <v>50</v>
      </c>
      <c r="F220" s="9">
        <v>73</v>
      </c>
      <c r="G220" s="9">
        <v>49</v>
      </c>
      <c r="H220" s="9">
        <v>94</v>
      </c>
      <c r="I220" s="9">
        <v>41</v>
      </c>
      <c r="J220" s="9">
        <v>28</v>
      </c>
      <c r="K220" s="9">
        <v>26</v>
      </c>
      <c r="L220" s="9">
        <v>10</v>
      </c>
      <c r="M220" s="9">
        <v>9</v>
      </c>
      <c r="N220" s="9">
        <v>4</v>
      </c>
      <c r="O220" s="9">
        <v>34</v>
      </c>
      <c r="P220" s="9">
        <v>3</v>
      </c>
      <c r="Q220" s="9">
        <v>5</v>
      </c>
      <c r="R220" s="9">
        <v>35</v>
      </c>
      <c r="S220" s="9">
        <v>17</v>
      </c>
      <c r="T220" s="9">
        <v>12</v>
      </c>
      <c r="U220" s="9">
        <v>1</v>
      </c>
      <c r="V220" s="9">
        <v>0</v>
      </c>
      <c r="W220" s="9">
        <v>0</v>
      </c>
      <c r="X220" s="9">
        <v>1</v>
      </c>
      <c r="Y220" s="9">
        <v>0</v>
      </c>
      <c r="Z220" s="9">
        <v>0</v>
      </c>
      <c r="AB220" s="9">
        <f t="shared" si="10"/>
        <v>602</v>
      </c>
      <c r="AC220" s="9">
        <f t="shared" si="11"/>
        <v>3459</v>
      </c>
      <c r="AD220" s="10">
        <f t="shared" si="12"/>
        <v>5.7458471760797343</v>
      </c>
    </row>
    <row r="221" spans="1:30" x14ac:dyDescent="0.3">
      <c r="A221" s="55"/>
      <c r="B221" s="30" t="s">
        <v>223</v>
      </c>
      <c r="C221" s="9">
        <v>100</v>
      </c>
      <c r="D221" s="9">
        <v>59</v>
      </c>
      <c r="E221" s="9">
        <v>83</v>
      </c>
      <c r="F221" s="9">
        <v>141</v>
      </c>
      <c r="G221" s="9">
        <v>148</v>
      </c>
      <c r="H221" s="9">
        <v>325</v>
      </c>
      <c r="I221" s="9">
        <v>126</v>
      </c>
      <c r="J221" s="9">
        <v>109</v>
      </c>
      <c r="K221" s="9">
        <v>235</v>
      </c>
      <c r="L221" s="9">
        <v>96</v>
      </c>
      <c r="M221" s="9">
        <v>106</v>
      </c>
      <c r="N221" s="9">
        <v>91</v>
      </c>
      <c r="O221" s="9">
        <v>374</v>
      </c>
      <c r="P221" s="9">
        <v>29</v>
      </c>
      <c r="Q221" s="9">
        <v>26</v>
      </c>
      <c r="R221" s="9">
        <v>96</v>
      </c>
      <c r="S221" s="9">
        <v>130</v>
      </c>
      <c r="T221" s="9">
        <v>82</v>
      </c>
      <c r="U221" s="9">
        <v>4</v>
      </c>
      <c r="V221" s="9">
        <v>4</v>
      </c>
      <c r="W221" s="9">
        <v>1</v>
      </c>
      <c r="X221" s="9">
        <v>2</v>
      </c>
      <c r="Y221" s="9">
        <v>0</v>
      </c>
      <c r="Z221" s="9">
        <v>0</v>
      </c>
      <c r="AB221" s="9">
        <f t="shared" si="10"/>
        <v>2367</v>
      </c>
      <c r="AC221" s="9">
        <f t="shared" si="11"/>
        <v>19542</v>
      </c>
      <c r="AD221" s="10">
        <f t="shared" si="12"/>
        <v>8.2560202788339669</v>
      </c>
    </row>
    <row r="222" spans="1:30" x14ac:dyDescent="0.3">
      <c r="A222" s="55"/>
      <c r="B222" s="30" t="s">
        <v>224</v>
      </c>
      <c r="C222" s="9">
        <v>32</v>
      </c>
      <c r="D222" s="9">
        <v>24</v>
      </c>
      <c r="E222" s="9">
        <v>21</v>
      </c>
      <c r="F222" s="9">
        <v>41</v>
      </c>
      <c r="G222" s="9">
        <v>49</v>
      </c>
      <c r="H222" s="9">
        <v>97</v>
      </c>
      <c r="I222" s="9">
        <v>47</v>
      </c>
      <c r="J222" s="9">
        <v>47</v>
      </c>
      <c r="K222" s="9">
        <v>68</v>
      </c>
      <c r="L222" s="9">
        <v>14</v>
      </c>
      <c r="M222" s="9">
        <v>12</v>
      </c>
      <c r="N222" s="9">
        <v>17</v>
      </c>
      <c r="O222" s="9">
        <v>62</v>
      </c>
      <c r="P222" s="9">
        <v>1</v>
      </c>
      <c r="Q222" s="9">
        <v>4</v>
      </c>
      <c r="R222" s="9">
        <v>39</v>
      </c>
      <c r="S222" s="9">
        <v>24</v>
      </c>
      <c r="T222" s="9">
        <v>27</v>
      </c>
      <c r="U222" s="9">
        <v>1</v>
      </c>
      <c r="V222" s="9">
        <v>2</v>
      </c>
      <c r="W222" s="9">
        <v>1</v>
      </c>
      <c r="X222" s="9">
        <v>0</v>
      </c>
      <c r="Y222" s="9">
        <v>0</v>
      </c>
      <c r="Z222" s="9">
        <v>0</v>
      </c>
      <c r="AB222" s="9">
        <f t="shared" si="10"/>
        <v>630</v>
      </c>
      <c r="AC222" s="9">
        <f t="shared" si="11"/>
        <v>4775</v>
      </c>
      <c r="AD222" s="10">
        <f t="shared" si="12"/>
        <v>7.5793650793650791</v>
      </c>
    </row>
    <row r="223" spans="1:30" x14ac:dyDescent="0.3">
      <c r="A223" s="55"/>
      <c r="B223" s="30" t="s">
        <v>225</v>
      </c>
      <c r="C223" s="9">
        <v>206</v>
      </c>
      <c r="D223" s="9">
        <v>105</v>
      </c>
      <c r="E223" s="9">
        <v>179</v>
      </c>
      <c r="F223" s="9">
        <v>121</v>
      </c>
      <c r="G223" s="9">
        <v>120</v>
      </c>
      <c r="H223" s="9">
        <v>108</v>
      </c>
      <c r="I223" s="9">
        <v>47</v>
      </c>
      <c r="J223" s="9">
        <v>31</v>
      </c>
      <c r="K223" s="9">
        <v>36</v>
      </c>
      <c r="L223" s="9">
        <v>12</v>
      </c>
      <c r="M223" s="9">
        <v>12</v>
      </c>
      <c r="N223" s="9">
        <v>10</v>
      </c>
      <c r="O223" s="9">
        <v>60</v>
      </c>
      <c r="P223" s="9">
        <v>10</v>
      </c>
      <c r="Q223" s="9">
        <v>9</v>
      </c>
      <c r="R223" s="9">
        <v>49</v>
      </c>
      <c r="S223" s="9">
        <v>55</v>
      </c>
      <c r="T223" s="9">
        <v>30</v>
      </c>
      <c r="U223" s="9">
        <v>2</v>
      </c>
      <c r="V223" s="9">
        <v>1</v>
      </c>
      <c r="W223" s="9">
        <v>1</v>
      </c>
      <c r="X223" s="9">
        <v>1</v>
      </c>
      <c r="Y223" s="9">
        <v>0</v>
      </c>
      <c r="Z223" s="9">
        <v>0</v>
      </c>
      <c r="AB223" s="9">
        <f t="shared" si="10"/>
        <v>1205</v>
      </c>
      <c r="AC223" s="9">
        <f t="shared" si="11"/>
        <v>6168</v>
      </c>
      <c r="AD223" s="10">
        <f t="shared" si="12"/>
        <v>5.1186721991701241</v>
      </c>
    </row>
    <row r="224" spans="1:30" x14ac:dyDescent="0.3">
      <c r="A224" s="55"/>
      <c r="B224" s="30" t="s">
        <v>226</v>
      </c>
      <c r="C224" s="9">
        <v>41</v>
      </c>
      <c r="D224" s="9">
        <v>31</v>
      </c>
      <c r="E224" s="9">
        <v>61</v>
      </c>
      <c r="F224" s="9">
        <v>68</v>
      </c>
      <c r="G224" s="9">
        <v>44</v>
      </c>
      <c r="H224" s="9">
        <v>61</v>
      </c>
      <c r="I224" s="9">
        <v>21</v>
      </c>
      <c r="J224" s="9">
        <v>24</v>
      </c>
      <c r="K224" s="9">
        <v>21</v>
      </c>
      <c r="L224" s="9">
        <v>7</v>
      </c>
      <c r="M224" s="9">
        <v>4</v>
      </c>
      <c r="N224" s="9">
        <v>5</v>
      </c>
      <c r="O224" s="9">
        <v>30</v>
      </c>
      <c r="P224" s="9">
        <v>3</v>
      </c>
      <c r="Q224" s="9">
        <v>5</v>
      </c>
      <c r="R224" s="9">
        <v>16</v>
      </c>
      <c r="S224" s="9">
        <v>24</v>
      </c>
      <c r="T224" s="9">
        <v>11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B224" s="9">
        <f t="shared" si="10"/>
        <v>477</v>
      </c>
      <c r="AC224" s="9">
        <f t="shared" si="11"/>
        <v>2738</v>
      </c>
      <c r="AD224" s="10">
        <f t="shared" si="12"/>
        <v>5.7400419287211744</v>
      </c>
    </row>
    <row r="225" spans="1:30" x14ac:dyDescent="0.3">
      <c r="A225" s="55"/>
      <c r="B225" s="30" t="s">
        <v>227</v>
      </c>
      <c r="C225" s="9">
        <v>85</v>
      </c>
      <c r="D225" s="9">
        <v>65</v>
      </c>
      <c r="E225" s="9">
        <v>78</v>
      </c>
      <c r="F225" s="9">
        <v>136</v>
      </c>
      <c r="G225" s="9">
        <v>130</v>
      </c>
      <c r="H225" s="9">
        <v>344</v>
      </c>
      <c r="I225" s="9">
        <v>132</v>
      </c>
      <c r="J225" s="9">
        <v>104</v>
      </c>
      <c r="K225" s="9">
        <v>196</v>
      </c>
      <c r="L225" s="9">
        <v>106</v>
      </c>
      <c r="M225" s="9">
        <v>130</v>
      </c>
      <c r="N225" s="9">
        <v>120</v>
      </c>
      <c r="O225" s="9">
        <v>737</v>
      </c>
      <c r="P225" s="9">
        <v>59</v>
      </c>
      <c r="Q225" s="9">
        <v>88</v>
      </c>
      <c r="R225" s="9">
        <v>219</v>
      </c>
      <c r="S225" s="9">
        <v>238</v>
      </c>
      <c r="T225" s="9">
        <v>282</v>
      </c>
      <c r="U225" s="9">
        <v>17</v>
      </c>
      <c r="V225" s="9">
        <v>19</v>
      </c>
      <c r="W225" s="9">
        <v>2</v>
      </c>
      <c r="X225" s="9">
        <v>0</v>
      </c>
      <c r="Y225" s="9">
        <v>0</v>
      </c>
      <c r="Z225" s="9">
        <v>1</v>
      </c>
      <c r="AB225" s="9">
        <f t="shared" si="10"/>
        <v>3288</v>
      </c>
      <c r="AC225" s="9">
        <f t="shared" si="11"/>
        <v>32991</v>
      </c>
      <c r="AD225" s="10">
        <f t="shared" si="12"/>
        <v>10.033759124087592</v>
      </c>
    </row>
    <row r="226" spans="1:30" x14ac:dyDescent="0.3">
      <c r="A226" s="55"/>
      <c r="B226" s="30" t="s">
        <v>228</v>
      </c>
      <c r="C226" s="9">
        <v>16</v>
      </c>
      <c r="D226" s="9">
        <v>16</v>
      </c>
      <c r="E226" s="9">
        <v>36</v>
      </c>
      <c r="F226" s="9">
        <v>39</v>
      </c>
      <c r="G226" s="9">
        <v>21</v>
      </c>
      <c r="H226" s="9">
        <v>69</v>
      </c>
      <c r="I226" s="9">
        <v>29</v>
      </c>
      <c r="J226" s="9">
        <v>29</v>
      </c>
      <c r="K226" s="9">
        <v>40</v>
      </c>
      <c r="L226" s="9">
        <v>35</v>
      </c>
      <c r="M226" s="9">
        <v>50</v>
      </c>
      <c r="N226" s="9">
        <v>39</v>
      </c>
      <c r="O226" s="9">
        <v>232</v>
      </c>
      <c r="P226" s="9">
        <v>15</v>
      </c>
      <c r="Q226" s="9">
        <v>36</v>
      </c>
      <c r="R226" s="9">
        <v>76</v>
      </c>
      <c r="S226" s="9">
        <v>69</v>
      </c>
      <c r="T226" s="9">
        <v>57</v>
      </c>
      <c r="U226" s="9">
        <v>3</v>
      </c>
      <c r="V226" s="9">
        <v>3</v>
      </c>
      <c r="W226" s="9">
        <v>0</v>
      </c>
      <c r="X226" s="9">
        <v>2</v>
      </c>
      <c r="Y226" s="9">
        <v>0</v>
      </c>
      <c r="Z226" s="9">
        <v>0</v>
      </c>
      <c r="AB226" s="9">
        <f t="shared" si="10"/>
        <v>912</v>
      </c>
      <c r="AC226" s="9">
        <f t="shared" si="11"/>
        <v>9424</v>
      </c>
      <c r="AD226" s="10">
        <f t="shared" si="12"/>
        <v>10.333333333333334</v>
      </c>
    </row>
    <row r="227" spans="1:30" x14ac:dyDescent="0.3">
      <c r="A227" s="55"/>
      <c r="B227" s="30" t="s">
        <v>229</v>
      </c>
      <c r="C227" s="9">
        <v>8</v>
      </c>
      <c r="D227" s="9">
        <v>16</v>
      </c>
      <c r="E227" s="9">
        <v>16</v>
      </c>
      <c r="F227" s="9">
        <v>25</v>
      </c>
      <c r="G227" s="9">
        <v>20</v>
      </c>
      <c r="H227" s="9">
        <v>78</v>
      </c>
      <c r="I227" s="9">
        <v>44</v>
      </c>
      <c r="J227" s="9">
        <v>47</v>
      </c>
      <c r="K227" s="9">
        <v>92</v>
      </c>
      <c r="L227" s="9">
        <v>33</v>
      </c>
      <c r="M227" s="9">
        <v>52</v>
      </c>
      <c r="N227" s="9">
        <v>47</v>
      </c>
      <c r="O227" s="9">
        <v>209</v>
      </c>
      <c r="P227" s="9">
        <v>9</v>
      </c>
      <c r="Q227" s="9">
        <v>14</v>
      </c>
      <c r="R227" s="9">
        <v>69</v>
      </c>
      <c r="S227" s="9">
        <v>68</v>
      </c>
      <c r="T227" s="9">
        <v>72</v>
      </c>
      <c r="U227" s="9">
        <v>5</v>
      </c>
      <c r="V227" s="9">
        <v>6</v>
      </c>
      <c r="W227" s="9">
        <v>1</v>
      </c>
      <c r="X227" s="9">
        <v>0</v>
      </c>
      <c r="Y227" s="9">
        <v>2</v>
      </c>
      <c r="Z227" s="9">
        <v>0</v>
      </c>
      <c r="AB227" s="9">
        <f t="shared" si="10"/>
        <v>933</v>
      </c>
      <c r="AC227" s="9">
        <f t="shared" si="11"/>
        <v>9692</v>
      </c>
      <c r="AD227" s="10">
        <f t="shared" si="12"/>
        <v>10.387995712754556</v>
      </c>
    </row>
    <row r="228" spans="1:30" x14ac:dyDescent="0.3">
      <c r="A228" s="55"/>
      <c r="B228" s="30" t="s">
        <v>230</v>
      </c>
      <c r="C228" s="9">
        <v>1</v>
      </c>
      <c r="D228" s="9">
        <v>2</v>
      </c>
      <c r="E228" s="9">
        <v>0</v>
      </c>
      <c r="F228" s="9">
        <v>0</v>
      </c>
      <c r="G228" s="9">
        <v>0</v>
      </c>
      <c r="H228" s="9">
        <v>2</v>
      </c>
      <c r="I228" s="9">
        <v>3</v>
      </c>
      <c r="J228" s="9">
        <v>1</v>
      </c>
      <c r="K228" s="9">
        <v>2</v>
      </c>
      <c r="L228" s="9">
        <v>5</v>
      </c>
      <c r="M228" s="9">
        <v>5</v>
      </c>
      <c r="N228" s="9">
        <v>3</v>
      </c>
      <c r="O228" s="9">
        <v>30</v>
      </c>
      <c r="P228" s="9">
        <v>0</v>
      </c>
      <c r="Q228" s="9">
        <v>3</v>
      </c>
      <c r="R228" s="9">
        <v>10</v>
      </c>
      <c r="S228" s="9">
        <v>8</v>
      </c>
      <c r="T228" s="9">
        <v>2</v>
      </c>
      <c r="U228" s="9">
        <v>0</v>
      </c>
      <c r="V228" s="9">
        <v>1</v>
      </c>
      <c r="W228" s="9">
        <v>0</v>
      </c>
      <c r="X228" s="9">
        <v>0</v>
      </c>
      <c r="Y228" s="9">
        <v>0</v>
      </c>
      <c r="Z228" s="9">
        <v>0</v>
      </c>
      <c r="AB228" s="9">
        <f t="shared" si="10"/>
        <v>78</v>
      </c>
      <c r="AC228" s="9">
        <f t="shared" si="11"/>
        <v>914</v>
      </c>
      <c r="AD228" s="10">
        <f t="shared" si="12"/>
        <v>11.717948717948717</v>
      </c>
    </row>
    <row r="229" spans="1:30" x14ac:dyDescent="0.3">
      <c r="A229" s="55"/>
      <c r="B229" s="30" t="s">
        <v>231</v>
      </c>
      <c r="C229" s="9">
        <v>8</v>
      </c>
      <c r="D229" s="9">
        <v>5</v>
      </c>
      <c r="E229" s="9">
        <v>13</v>
      </c>
      <c r="F229" s="9">
        <v>11</v>
      </c>
      <c r="G229" s="9">
        <v>8</v>
      </c>
      <c r="H229" s="9">
        <v>33</v>
      </c>
      <c r="I229" s="9">
        <v>18</v>
      </c>
      <c r="J229" s="9">
        <v>17</v>
      </c>
      <c r="K229" s="9">
        <v>26</v>
      </c>
      <c r="L229" s="9">
        <v>7</v>
      </c>
      <c r="M229" s="9">
        <v>5</v>
      </c>
      <c r="N229" s="9">
        <v>7</v>
      </c>
      <c r="O229" s="9">
        <v>23</v>
      </c>
      <c r="P229" s="9">
        <v>2</v>
      </c>
      <c r="Q229" s="9">
        <v>2</v>
      </c>
      <c r="R229" s="9">
        <v>13</v>
      </c>
      <c r="S229" s="9">
        <v>18</v>
      </c>
      <c r="T229" s="9">
        <v>11</v>
      </c>
      <c r="U229" s="9">
        <v>3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B229" s="9">
        <f t="shared" si="10"/>
        <v>231</v>
      </c>
      <c r="AC229" s="9">
        <f t="shared" si="11"/>
        <v>1959</v>
      </c>
      <c r="AD229" s="10">
        <f t="shared" si="12"/>
        <v>8.4805194805194812</v>
      </c>
    </row>
    <row r="230" spans="1:30" x14ac:dyDescent="0.3">
      <c r="A230" s="55"/>
      <c r="B230" s="30" t="s">
        <v>232</v>
      </c>
      <c r="C230" s="9">
        <v>3</v>
      </c>
      <c r="D230" s="9">
        <v>2</v>
      </c>
      <c r="E230" s="9">
        <v>3</v>
      </c>
      <c r="F230" s="9">
        <v>3</v>
      </c>
      <c r="G230" s="9">
        <v>7</v>
      </c>
      <c r="H230" s="9">
        <v>10</v>
      </c>
      <c r="I230" s="9">
        <v>9</v>
      </c>
      <c r="J230" s="9">
        <v>9</v>
      </c>
      <c r="K230" s="9">
        <v>19</v>
      </c>
      <c r="L230" s="9">
        <v>3</v>
      </c>
      <c r="M230" s="9">
        <v>2</v>
      </c>
      <c r="N230" s="9">
        <v>1</v>
      </c>
      <c r="O230" s="9">
        <v>22</v>
      </c>
      <c r="P230" s="9">
        <v>0</v>
      </c>
      <c r="Q230" s="9">
        <v>0</v>
      </c>
      <c r="R230" s="9">
        <v>3</v>
      </c>
      <c r="S230" s="9">
        <v>2</v>
      </c>
      <c r="T230" s="9">
        <v>3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B230" s="9">
        <f t="shared" si="10"/>
        <v>101</v>
      </c>
      <c r="AC230" s="9">
        <f t="shared" si="11"/>
        <v>814</v>
      </c>
      <c r="AD230" s="10">
        <f t="shared" si="12"/>
        <v>8.0594059405940595</v>
      </c>
    </row>
    <row r="231" spans="1:30" x14ac:dyDescent="0.3">
      <c r="A231" s="55"/>
      <c r="B231" s="30" t="s">
        <v>233</v>
      </c>
      <c r="C231" s="9">
        <v>4</v>
      </c>
      <c r="D231" s="9">
        <v>5</v>
      </c>
      <c r="E231" s="9">
        <v>7</v>
      </c>
      <c r="F231" s="9">
        <v>12</v>
      </c>
      <c r="G231" s="9">
        <v>5</v>
      </c>
      <c r="H231" s="9">
        <v>28</v>
      </c>
      <c r="I231" s="9">
        <v>5</v>
      </c>
      <c r="J231" s="9">
        <v>17</v>
      </c>
      <c r="K231" s="9">
        <v>43</v>
      </c>
      <c r="L231" s="9">
        <v>6</v>
      </c>
      <c r="M231" s="9">
        <v>6</v>
      </c>
      <c r="N231" s="9">
        <v>6</v>
      </c>
      <c r="O231" s="9">
        <v>32</v>
      </c>
      <c r="P231" s="9">
        <v>1</v>
      </c>
      <c r="Q231" s="9">
        <v>1</v>
      </c>
      <c r="R231" s="9">
        <v>3</v>
      </c>
      <c r="S231" s="9">
        <v>7</v>
      </c>
      <c r="T231" s="9">
        <v>1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B231" s="9">
        <f t="shared" si="10"/>
        <v>189</v>
      </c>
      <c r="AC231" s="9">
        <f t="shared" si="11"/>
        <v>1473</v>
      </c>
      <c r="AD231" s="10">
        <f t="shared" si="12"/>
        <v>7.7936507936507935</v>
      </c>
    </row>
    <row r="232" spans="1:30" x14ac:dyDescent="0.3">
      <c r="A232" s="55"/>
      <c r="B232" s="30" t="s">
        <v>234</v>
      </c>
      <c r="C232" s="9">
        <v>61</v>
      </c>
      <c r="D232" s="9">
        <v>47</v>
      </c>
      <c r="E232" s="9">
        <v>66</v>
      </c>
      <c r="F232" s="9">
        <v>100</v>
      </c>
      <c r="G232" s="9">
        <v>84</v>
      </c>
      <c r="H232" s="9">
        <v>193</v>
      </c>
      <c r="I232" s="9">
        <v>95</v>
      </c>
      <c r="J232" s="9">
        <v>78</v>
      </c>
      <c r="K232" s="9">
        <v>102</v>
      </c>
      <c r="L232" s="9">
        <v>37</v>
      </c>
      <c r="M232" s="9">
        <v>37</v>
      </c>
      <c r="N232" s="9">
        <v>40</v>
      </c>
      <c r="O232" s="9">
        <v>170</v>
      </c>
      <c r="P232" s="9">
        <v>10</v>
      </c>
      <c r="Q232" s="9">
        <v>18</v>
      </c>
      <c r="R232" s="9">
        <v>45</v>
      </c>
      <c r="S232" s="9">
        <v>64</v>
      </c>
      <c r="T232" s="9">
        <v>47</v>
      </c>
      <c r="U232" s="9">
        <v>2</v>
      </c>
      <c r="V232" s="9">
        <v>0</v>
      </c>
      <c r="W232" s="9">
        <v>1</v>
      </c>
      <c r="X232" s="9">
        <v>1</v>
      </c>
      <c r="Y232" s="9">
        <v>0</v>
      </c>
      <c r="Z232" s="9">
        <v>1</v>
      </c>
      <c r="AB232" s="9">
        <f t="shared" si="10"/>
        <v>1299</v>
      </c>
      <c r="AC232" s="9">
        <f t="shared" si="11"/>
        <v>9875</v>
      </c>
      <c r="AD232" s="10">
        <f t="shared" si="12"/>
        <v>7.6020015396458813</v>
      </c>
    </row>
    <row r="233" spans="1:30" x14ac:dyDescent="0.3">
      <c r="A233" s="55"/>
      <c r="B233" s="30" t="s">
        <v>235</v>
      </c>
      <c r="C233" s="9">
        <v>50</v>
      </c>
      <c r="D233" s="9">
        <v>18</v>
      </c>
      <c r="E233" s="9">
        <v>34</v>
      </c>
      <c r="F233" s="9">
        <v>56</v>
      </c>
      <c r="G233" s="9">
        <v>56</v>
      </c>
      <c r="H233" s="9">
        <v>92</v>
      </c>
      <c r="I233" s="9">
        <v>61</v>
      </c>
      <c r="J233" s="9">
        <v>41</v>
      </c>
      <c r="K233" s="9">
        <v>83</v>
      </c>
      <c r="L233" s="9">
        <v>23</v>
      </c>
      <c r="M233" s="9">
        <v>24</v>
      </c>
      <c r="N233" s="9">
        <v>25</v>
      </c>
      <c r="O233" s="9">
        <v>113</v>
      </c>
      <c r="P233" s="9">
        <v>9</v>
      </c>
      <c r="Q233" s="9">
        <v>16</v>
      </c>
      <c r="R233" s="9">
        <v>41</v>
      </c>
      <c r="S233" s="9">
        <v>47</v>
      </c>
      <c r="T233" s="9">
        <v>38</v>
      </c>
      <c r="U233" s="9">
        <v>0</v>
      </c>
      <c r="V233" s="9">
        <v>0</v>
      </c>
      <c r="W233" s="9">
        <v>1</v>
      </c>
      <c r="X233" s="9">
        <v>0</v>
      </c>
      <c r="Y233" s="9">
        <v>0</v>
      </c>
      <c r="Z233" s="9">
        <v>0</v>
      </c>
      <c r="AB233" s="9">
        <f t="shared" si="10"/>
        <v>828</v>
      </c>
      <c r="AC233" s="9">
        <f t="shared" si="11"/>
        <v>6707</v>
      </c>
      <c r="AD233" s="10">
        <f t="shared" si="12"/>
        <v>8.10024154589372</v>
      </c>
    </row>
    <row r="234" spans="1:30" x14ac:dyDescent="0.3">
      <c r="A234" s="55"/>
      <c r="B234" s="30" t="s">
        <v>236</v>
      </c>
      <c r="C234" s="9">
        <v>135</v>
      </c>
      <c r="D234" s="9">
        <v>49</v>
      </c>
      <c r="E234" s="9">
        <v>70</v>
      </c>
      <c r="F234" s="9">
        <v>122</v>
      </c>
      <c r="G234" s="9">
        <v>87</v>
      </c>
      <c r="H234" s="9">
        <v>134</v>
      </c>
      <c r="I234" s="9">
        <v>60</v>
      </c>
      <c r="J234" s="9">
        <v>38</v>
      </c>
      <c r="K234" s="9">
        <v>44</v>
      </c>
      <c r="L234" s="9">
        <v>13</v>
      </c>
      <c r="M234" s="9">
        <v>9</v>
      </c>
      <c r="N234" s="9">
        <v>18</v>
      </c>
      <c r="O234" s="9">
        <v>51</v>
      </c>
      <c r="P234" s="9">
        <v>2</v>
      </c>
      <c r="Q234" s="9">
        <v>5</v>
      </c>
      <c r="R234" s="9">
        <v>15</v>
      </c>
      <c r="S234" s="9">
        <v>13</v>
      </c>
      <c r="T234" s="9">
        <v>12</v>
      </c>
      <c r="U234" s="9">
        <v>1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B234" s="9">
        <f t="shared" si="10"/>
        <v>878</v>
      </c>
      <c r="AC234" s="9">
        <f t="shared" si="11"/>
        <v>4319</v>
      </c>
      <c r="AD234" s="10">
        <f t="shared" si="12"/>
        <v>4.9191343963553527</v>
      </c>
    </row>
    <row r="235" spans="1:30" x14ac:dyDescent="0.3">
      <c r="A235" s="55"/>
      <c r="B235" s="30" t="s">
        <v>237</v>
      </c>
      <c r="C235" s="9">
        <v>52</v>
      </c>
      <c r="D235" s="9">
        <v>23</v>
      </c>
      <c r="E235" s="9">
        <v>34</v>
      </c>
      <c r="F235" s="9">
        <v>79</v>
      </c>
      <c r="G235" s="9">
        <v>68</v>
      </c>
      <c r="H235" s="9">
        <v>177</v>
      </c>
      <c r="I235" s="9">
        <v>113</v>
      </c>
      <c r="J235" s="9">
        <v>89</v>
      </c>
      <c r="K235" s="9">
        <v>173</v>
      </c>
      <c r="L235" s="9">
        <v>74</v>
      </c>
      <c r="M235" s="9">
        <v>108</v>
      </c>
      <c r="N235" s="9">
        <v>130</v>
      </c>
      <c r="O235" s="9">
        <v>572</v>
      </c>
      <c r="P235" s="9">
        <v>45</v>
      </c>
      <c r="Q235" s="9">
        <v>76</v>
      </c>
      <c r="R235" s="9">
        <v>262</v>
      </c>
      <c r="S235" s="9">
        <v>221</v>
      </c>
      <c r="T235" s="9">
        <v>224</v>
      </c>
      <c r="U235" s="9">
        <v>4</v>
      </c>
      <c r="V235" s="9">
        <v>17</v>
      </c>
      <c r="W235" s="9">
        <v>4</v>
      </c>
      <c r="X235" s="9">
        <v>2</v>
      </c>
      <c r="Y235" s="9">
        <v>0</v>
      </c>
      <c r="Z235" s="9">
        <v>1</v>
      </c>
      <c r="AB235" s="9">
        <f t="shared" si="10"/>
        <v>2548</v>
      </c>
      <c r="AC235" s="9">
        <f t="shared" si="11"/>
        <v>27673</v>
      </c>
      <c r="AD235" s="10">
        <f t="shared" si="12"/>
        <v>10.860675039246468</v>
      </c>
    </row>
    <row r="236" spans="1:30" x14ac:dyDescent="0.3">
      <c r="A236" s="55"/>
      <c r="B236" s="30" t="s">
        <v>238</v>
      </c>
      <c r="C236" s="9">
        <v>17</v>
      </c>
      <c r="D236" s="9">
        <v>12</v>
      </c>
      <c r="E236" s="9">
        <v>24</v>
      </c>
      <c r="F236" s="9">
        <v>24</v>
      </c>
      <c r="G236" s="9">
        <v>34</v>
      </c>
      <c r="H236" s="9">
        <v>68</v>
      </c>
      <c r="I236" s="9">
        <v>33</v>
      </c>
      <c r="J236" s="9">
        <v>24</v>
      </c>
      <c r="K236" s="9">
        <v>42</v>
      </c>
      <c r="L236" s="9">
        <v>26</v>
      </c>
      <c r="M236" s="9">
        <v>26</v>
      </c>
      <c r="N236" s="9">
        <v>33</v>
      </c>
      <c r="O236" s="9">
        <v>105</v>
      </c>
      <c r="P236" s="9">
        <v>4</v>
      </c>
      <c r="Q236" s="9">
        <v>7</v>
      </c>
      <c r="R236" s="9">
        <v>33</v>
      </c>
      <c r="S236" s="9">
        <v>18</v>
      </c>
      <c r="T236" s="9">
        <v>22</v>
      </c>
      <c r="U236" s="9">
        <v>0</v>
      </c>
      <c r="V236" s="9">
        <v>3</v>
      </c>
      <c r="W236" s="9">
        <v>1</v>
      </c>
      <c r="X236" s="9">
        <v>0</v>
      </c>
      <c r="Y236" s="9">
        <v>0</v>
      </c>
      <c r="Z236" s="9">
        <v>0</v>
      </c>
      <c r="AB236" s="9">
        <f t="shared" si="10"/>
        <v>556</v>
      </c>
      <c r="AC236" s="9">
        <f t="shared" si="11"/>
        <v>4811</v>
      </c>
      <c r="AD236" s="10">
        <f t="shared" si="12"/>
        <v>8.6528776978417259</v>
      </c>
    </row>
    <row r="237" spans="1:30" x14ac:dyDescent="0.3">
      <c r="A237" s="55"/>
      <c r="B237" s="30" t="s">
        <v>239</v>
      </c>
      <c r="C237" s="9">
        <v>22</v>
      </c>
      <c r="D237" s="9">
        <v>26</v>
      </c>
      <c r="E237" s="9">
        <v>50</v>
      </c>
      <c r="F237" s="9">
        <v>54</v>
      </c>
      <c r="G237" s="9">
        <v>61</v>
      </c>
      <c r="H237" s="9">
        <v>81</v>
      </c>
      <c r="I237" s="9">
        <v>45</v>
      </c>
      <c r="J237" s="9">
        <v>44</v>
      </c>
      <c r="K237" s="9">
        <v>62</v>
      </c>
      <c r="L237" s="9">
        <v>46</v>
      </c>
      <c r="M237" s="9">
        <v>42</v>
      </c>
      <c r="N237" s="9">
        <v>39</v>
      </c>
      <c r="O237" s="9">
        <v>196</v>
      </c>
      <c r="P237" s="9">
        <v>9</v>
      </c>
      <c r="Q237" s="9">
        <v>16</v>
      </c>
      <c r="R237" s="9">
        <v>44</v>
      </c>
      <c r="S237" s="9">
        <v>49</v>
      </c>
      <c r="T237" s="9">
        <v>38</v>
      </c>
      <c r="U237" s="9">
        <v>1</v>
      </c>
      <c r="V237" s="9">
        <v>2</v>
      </c>
      <c r="W237" s="9">
        <v>0</v>
      </c>
      <c r="X237" s="9">
        <v>0</v>
      </c>
      <c r="Y237" s="9">
        <v>0</v>
      </c>
      <c r="Z237" s="9">
        <v>0</v>
      </c>
      <c r="AB237" s="9">
        <f t="shared" si="10"/>
        <v>927</v>
      </c>
      <c r="AC237" s="9">
        <f t="shared" si="11"/>
        <v>8113</v>
      </c>
      <c r="AD237" s="10">
        <f t="shared" si="12"/>
        <v>8.7518878101402375</v>
      </c>
    </row>
    <row r="238" spans="1:30" x14ac:dyDescent="0.3">
      <c r="A238" s="55"/>
      <c r="B238" s="30" t="s">
        <v>240</v>
      </c>
      <c r="C238" s="9">
        <v>20</v>
      </c>
      <c r="D238" s="9">
        <v>7</v>
      </c>
      <c r="E238" s="9">
        <v>17</v>
      </c>
      <c r="F238" s="9">
        <v>29</v>
      </c>
      <c r="G238" s="9">
        <v>34</v>
      </c>
      <c r="H238" s="9">
        <v>48</v>
      </c>
      <c r="I238" s="9">
        <v>13</v>
      </c>
      <c r="J238" s="9">
        <v>19</v>
      </c>
      <c r="K238" s="9">
        <v>40</v>
      </c>
      <c r="L238" s="9">
        <v>20</v>
      </c>
      <c r="M238" s="9">
        <v>17</v>
      </c>
      <c r="N238" s="9">
        <v>15</v>
      </c>
      <c r="O238" s="9">
        <v>47</v>
      </c>
      <c r="P238" s="9">
        <v>0</v>
      </c>
      <c r="Q238" s="9">
        <v>1</v>
      </c>
      <c r="R238" s="9">
        <v>9</v>
      </c>
      <c r="S238" s="9">
        <v>19</v>
      </c>
      <c r="T238" s="9">
        <v>17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B238" s="9">
        <f t="shared" si="10"/>
        <v>372</v>
      </c>
      <c r="AC238" s="9">
        <f t="shared" si="11"/>
        <v>2856</v>
      </c>
      <c r="AD238" s="10">
        <f t="shared" si="12"/>
        <v>7.67741935483871</v>
      </c>
    </row>
    <row r="239" spans="1:30" x14ac:dyDescent="0.3">
      <c r="A239" s="55"/>
      <c r="B239" s="30" t="s">
        <v>241</v>
      </c>
      <c r="C239" s="9">
        <v>20</v>
      </c>
      <c r="D239" s="9">
        <v>14</v>
      </c>
      <c r="E239" s="9">
        <v>31</v>
      </c>
      <c r="F239" s="9">
        <v>30</v>
      </c>
      <c r="G239" s="9">
        <v>24</v>
      </c>
      <c r="H239" s="9">
        <v>28</v>
      </c>
      <c r="I239" s="9">
        <v>12</v>
      </c>
      <c r="J239" s="9">
        <v>10</v>
      </c>
      <c r="K239" s="9">
        <v>6</v>
      </c>
      <c r="L239" s="9">
        <v>2</v>
      </c>
      <c r="M239" s="9">
        <v>4</v>
      </c>
      <c r="N239" s="9">
        <v>2</v>
      </c>
      <c r="O239" s="9">
        <v>12</v>
      </c>
      <c r="P239" s="9">
        <v>2</v>
      </c>
      <c r="Q239" s="9">
        <v>1</v>
      </c>
      <c r="R239" s="9">
        <v>14</v>
      </c>
      <c r="S239" s="9">
        <v>13</v>
      </c>
      <c r="T239" s="9">
        <v>12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B239" s="9">
        <f t="shared" si="10"/>
        <v>237</v>
      </c>
      <c r="AC239" s="9">
        <f t="shared" si="11"/>
        <v>1478</v>
      </c>
      <c r="AD239" s="10">
        <f t="shared" si="12"/>
        <v>6.2362869198312234</v>
      </c>
    </row>
    <row r="240" spans="1:30" x14ac:dyDescent="0.3">
      <c r="A240" s="55"/>
      <c r="B240" s="30" t="s">
        <v>242</v>
      </c>
      <c r="C240" s="9">
        <v>17</v>
      </c>
      <c r="D240" s="9">
        <v>17</v>
      </c>
      <c r="E240" s="9">
        <v>29</v>
      </c>
      <c r="F240" s="9">
        <v>39</v>
      </c>
      <c r="G240" s="9">
        <v>28</v>
      </c>
      <c r="H240" s="9">
        <v>30</v>
      </c>
      <c r="I240" s="9">
        <v>31</v>
      </c>
      <c r="J240" s="9">
        <v>14</v>
      </c>
      <c r="K240" s="9">
        <v>14</v>
      </c>
      <c r="L240" s="9">
        <v>8</v>
      </c>
      <c r="M240" s="9">
        <v>7</v>
      </c>
      <c r="N240" s="9">
        <v>4</v>
      </c>
      <c r="O240" s="9">
        <v>24</v>
      </c>
      <c r="P240" s="9">
        <v>2</v>
      </c>
      <c r="Q240" s="9">
        <v>3</v>
      </c>
      <c r="R240" s="9">
        <v>16</v>
      </c>
      <c r="S240" s="9">
        <v>13</v>
      </c>
      <c r="T240" s="9">
        <v>13</v>
      </c>
      <c r="U240" s="9">
        <v>0</v>
      </c>
      <c r="V240" s="9">
        <v>2</v>
      </c>
      <c r="W240" s="9">
        <v>0</v>
      </c>
      <c r="X240" s="9">
        <v>0</v>
      </c>
      <c r="Y240" s="9">
        <v>0</v>
      </c>
      <c r="Z240" s="9">
        <v>0</v>
      </c>
      <c r="AB240" s="9">
        <f t="shared" si="10"/>
        <v>311</v>
      </c>
      <c r="AC240" s="9">
        <f t="shared" si="11"/>
        <v>2099</v>
      </c>
      <c r="AD240" s="10">
        <f t="shared" si="12"/>
        <v>6.7491961414791</v>
      </c>
    </row>
    <row r="241" spans="1:179" x14ac:dyDescent="0.3">
      <c r="A241" s="55"/>
      <c r="B241" s="30" t="s">
        <v>243</v>
      </c>
      <c r="C241" s="9">
        <v>3</v>
      </c>
      <c r="D241" s="9">
        <v>0</v>
      </c>
      <c r="E241" s="9">
        <v>6</v>
      </c>
      <c r="F241" s="9">
        <v>1</v>
      </c>
      <c r="G241" s="9">
        <v>5</v>
      </c>
      <c r="H241" s="9">
        <v>19</v>
      </c>
      <c r="I241" s="9">
        <v>13</v>
      </c>
      <c r="J241" s="9">
        <v>9</v>
      </c>
      <c r="K241" s="9">
        <v>22</v>
      </c>
      <c r="L241" s="9">
        <v>14</v>
      </c>
      <c r="M241" s="9">
        <v>10</v>
      </c>
      <c r="N241" s="9">
        <v>13</v>
      </c>
      <c r="O241" s="9">
        <v>68</v>
      </c>
      <c r="P241" s="9">
        <v>10</v>
      </c>
      <c r="Q241" s="9">
        <v>6</v>
      </c>
      <c r="R241" s="9">
        <v>49</v>
      </c>
      <c r="S241" s="9">
        <v>25</v>
      </c>
      <c r="T241" s="9">
        <v>10</v>
      </c>
      <c r="U241" s="9">
        <v>1</v>
      </c>
      <c r="V241" s="9">
        <v>1</v>
      </c>
      <c r="W241" s="9">
        <v>0</v>
      </c>
      <c r="X241" s="9">
        <v>0</v>
      </c>
      <c r="Y241" s="9">
        <v>0</v>
      </c>
      <c r="Z241" s="9">
        <v>0</v>
      </c>
      <c r="AB241" s="9">
        <f t="shared" si="10"/>
        <v>285</v>
      </c>
      <c r="AC241" s="9">
        <f t="shared" si="11"/>
        <v>3188</v>
      </c>
      <c r="AD241" s="10">
        <f t="shared" si="12"/>
        <v>11.185964912280701</v>
      </c>
    </row>
    <row r="242" spans="1:179" x14ac:dyDescent="0.3">
      <c r="A242" s="55"/>
      <c r="B242" s="30" t="s">
        <v>244</v>
      </c>
      <c r="C242" s="9">
        <v>1</v>
      </c>
      <c r="D242" s="9">
        <v>0</v>
      </c>
      <c r="E242" s="9">
        <v>1</v>
      </c>
      <c r="F242" s="9">
        <v>5</v>
      </c>
      <c r="G242" s="9">
        <v>2</v>
      </c>
      <c r="H242" s="9">
        <v>5</v>
      </c>
      <c r="I242" s="9">
        <v>5</v>
      </c>
      <c r="J242" s="9">
        <v>1</v>
      </c>
      <c r="K242" s="9">
        <v>6</v>
      </c>
      <c r="L242" s="9">
        <v>2</v>
      </c>
      <c r="M242" s="9">
        <v>8</v>
      </c>
      <c r="N242" s="9">
        <v>4</v>
      </c>
      <c r="O242" s="9">
        <v>41</v>
      </c>
      <c r="P242" s="9">
        <v>1</v>
      </c>
      <c r="Q242" s="9">
        <v>2</v>
      </c>
      <c r="R242" s="9">
        <v>12</v>
      </c>
      <c r="S242" s="9">
        <v>2</v>
      </c>
      <c r="T242" s="9">
        <v>8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B242" s="9">
        <f t="shared" si="10"/>
        <v>106</v>
      </c>
      <c r="AC242" s="9">
        <f t="shared" si="11"/>
        <v>1158</v>
      </c>
      <c r="AD242" s="10">
        <f t="shared" si="12"/>
        <v>10.924528301886792</v>
      </c>
    </row>
    <row r="243" spans="1:179" x14ac:dyDescent="0.3">
      <c r="A243" s="55"/>
      <c r="B243" s="30" t="s">
        <v>245</v>
      </c>
      <c r="C243" s="9">
        <v>130</v>
      </c>
      <c r="D243" s="9">
        <v>93</v>
      </c>
      <c r="E243" s="9">
        <v>125</v>
      </c>
      <c r="F243" s="9">
        <v>183</v>
      </c>
      <c r="G243" s="9">
        <v>188</v>
      </c>
      <c r="H243" s="9">
        <v>402</v>
      </c>
      <c r="I243" s="9">
        <v>171</v>
      </c>
      <c r="J243" s="9">
        <v>139</v>
      </c>
      <c r="K243" s="9">
        <v>236</v>
      </c>
      <c r="L243" s="9">
        <v>131</v>
      </c>
      <c r="M243" s="9">
        <v>164</v>
      </c>
      <c r="N243" s="9">
        <v>167</v>
      </c>
      <c r="O243" s="9">
        <v>750</v>
      </c>
      <c r="P243" s="9">
        <v>48</v>
      </c>
      <c r="Q243" s="9">
        <v>60</v>
      </c>
      <c r="R243" s="9">
        <v>194</v>
      </c>
      <c r="S243" s="9">
        <v>208</v>
      </c>
      <c r="T243" s="9">
        <v>262</v>
      </c>
      <c r="U243" s="9">
        <v>19</v>
      </c>
      <c r="V243" s="9">
        <v>14</v>
      </c>
      <c r="W243" s="9">
        <v>6</v>
      </c>
      <c r="X243" s="9">
        <v>3</v>
      </c>
      <c r="Y243" s="9">
        <v>1</v>
      </c>
      <c r="Z243" s="9">
        <v>2</v>
      </c>
      <c r="AB243" s="9">
        <f t="shared" si="10"/>
        <v>3696</v>
      </c>
      <c r="AC243" s="9">
        <f t="shared" si="11"/>
        <v>34212</v>
      </c>
      <c r="AD243" s="10">
        <f t="shared" si="12"/>
        <v>9.2564935064935057</v>
      </c>
    </row>
    <row r="244" spans="1:179" x14ac:dyDescent="0.3">
      <c r="A244" s="55"/>
      <c r="B244" s="30" t="s">
        <v>246</v>
      </c>
      <c r="C244" s="9">
        <v>4</v>
      </c>
      <c r="D244" s="9">
        <v>2</v>
      </c>
      <c r="E244" s="9">
        <v>4</v>
      </c>
      <c r="F244" s="9">
        <v>1</v>
      </c>
      <c r="G244" s="9">
        <v>5</v>
      </c>
      <c r="H244" s="9">
        <v>16</v>
      </c>
      <c r="I244" s="9">
        <v>8</v>
      </c>
      <c r="J244" s="9">
        <v>3</v>
      </c>
      <c r="K244" s="9">
        <v>20</v>
      </c>
      <c r="L244" s="9">
        <v>8</v>
      </c>
      <c r="M244" s="9">
        <v>4</v>
      </c>
      <c r="N244" s="9">
        <v>3</v>
      </c>
      <c r="O244" s="9">
        <v>28</v>
      </c>
      <c r="P244" s="9">
        <v>0</v>
      </c>
      <c r="Q244" s="9">
        <v>0</v>
      </c>
      <c r="R244" s="9">
        <v>10</v>
      </c>
      <c r="S244" s="9">
        <v>5</v>
      </c>
      <c r="T244" s="9">
        <v>2</v>
      </c>
      <c r="U244" s="9">
        <v>1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B244" s="9">
        <f t="shared" si="10"/>
        <v>124</v>
      </c>
      <c r="AC244" s="9">
        <f t="shared" si="11"/>
        <v>1105</v>
      </c>
      <c r="AD244" s="10">
        <f t="shared" si="12"/>
        <v>8.9112903225806459</v>
      </c>
    </row>
    <row r="245" spans="1:179" x14ac:dyDescent="0.3">
      <c r="A245" s="55"/>
      <c r="B245" s="30" t="s">
        <v>247</v>
      </c>
      <c r="C245" s="9">
        <v>331</v>
      </c>
      <c r="D245" s="9">
        <v>286</v>
      </c>
      <c r="E245" s="9">
        <v>424</v>
      </c>
      <c r="F245" s="9">
        <v>681</v>
      </c>
      <c r="G245" s="9">
        <v>608</v>
      </c>
      <c r="H245" s="9">
        <v>1214</v>
      </c>
      <c r="I245" s="9">
        <v>626</v>
      </c>
      <c r="J245" s="9">
        <v>505</v>
      </c>
      <c r="K245" s="9">
        <v>744</v>
      </c>
      <c r="L245" s="9">
        <v>702</v>
      </c>
      <c r="M245" s="9">
        <v>839</v>
      </c>
      <c r="N245" s="9">
        <v>760</v>
      </c>
      <c r="O245" s="9">
        <v>3138</v>
      </c>
      <c r="P245" s="9">
        <v>359</v>
      </c>
      <c r="Q245" s="9">
        <v>558</v>
      </c>
      <c r="R245" s="9">
        <v>1445</v>
      </c>
      <c r="S245" s="9">
        <v>2352</v>
      </c>
      <c r="T245" s="9">
        <v>3577</v>
      </c>
      <c r="U245" s="9">
        <v>165</v>
      </c>
      <c r="V245" s="9">
        <v>223</v>
      </c>
      <c r="W245" s="9">
        <v>33</v>
      </c>
      <c r="X245" s="9">
        <v>19</v>
      </c>
      <c r="Y245" s="9">
        <v>8</v>
      </c>
      <c r="Z245" s="9">
        <v>6</v>
      </c>
      <c r="AB245" s="9">
        <f t="shared" si="10"/>
        <v>19603</v>
      </c>
      <c r="AC245" s="9">
        <f t="shared" si="11"/>
        <v>226821</v>
      </c>
      <c r="AD245" s="10">
        <f t="shared" si="12"/>
        <v>11.570728970055603</v>
      </c>
    </row>
    <row r="246" spans="1:179" x14ac:dyDescent="0.3">
      <c r="A246" s="55"/>
      <c r="B246" s="30" t="s">
        <v>248</v>
      </c>
      <c r="C246" s="9">
        <v>82</v>
      </c>
      <c r="D246" s="9">
        <v>68</v>
      </c>
      <c r="E246" s="9">
        <v>78</v>
      </c>
      <c r="F246" s="9">
        <v>140</v>
      </c>
      <c r="G246" s="9">
        <v>150</v>
      </c>
      <c r="H246" s="9">
        <v>197</v>
      </c>
      <c r="I246" s="9">
        <v>72</v>
      </c>
      <c r="J246" s="9">
        <v>45</v>
      </c>
      <c r="K246" s="9">
        <v>76</v>
      </c>
      <c r="L246" s="9">
        <v>26</v>
      </c>
      <c r="M246" s="9">
        <v>33</v>
      </c>
      <c r="N246" s="9">
        <v>33</v>
      </c>
      <c r="O246" s="9">
        <v>138</v>
      </c>
      <c r="P246" s="9">
        <v>16</v>
      </c>
      <c r="Q246" s="9">
        <v>21</v>
      </c>
      <c r="R246" s="9">
        <v>51</v>
      </c>
      <c r="S246" s="9">
        <v>56</v>
      </c>
      <c r="T246" s="9">
        <v>55</v>
      </c>
      <c r="U246" s="9">
        <v>1</v>
      </c>
      <c r="V246" s="9">
        <v>0</v>
      </c>
      <c r="W246" s="9">
        <v>1</v>
      </c>
      <c r="X246" s="9">
        <v>0</v>
      </c>
      <c r="Y246" s="9">
        <v>1</v>
      </c>
      <c r="Z246" s="9">
        <v>0</v>
      </c>
      <c r="AB246" s="9">
        <f t="shared" si="10"/>
        <v>1340</v>
      </c>
      <c r="AC246" s="9">
        <f t="shared" si="11"/>
        <v>9325</v>
      </c>
      <c r="AD246" s="10">
        <f t="shared" si="12"/>
        <v>6.9589552238805972</v>
      </c>
    </row>
    <row r="247" spans="1:179" x14ac:dyDescent="0.3">
      <c r="A247" s="55"/>
      <c r="B247" s="30" t="s">
        <v>249</v>
      </c>
      <c r="C247" s="9">
        <v>76</v>
      </c>
      <c r="D247" s="9">
        <v>63</v>
      </c>
      <c r="E247" s="9">
        <v>106</v>
      </c>
      <c r="F247" s="9">
        <v>149</v>
      </c>
      <c r="G247" s="9">
        <v>161</v>
      </c>
      <c r="H247" s="9">
        <v>278</v>
      </c>
      <c r="I247" s="9">
        <v>138</v>
      </c>
      <c r="J247" s="9">
        <v>101</v>
      </c>
      <c r="K247" s="9">
        <v>115</v>
      </c>
      <c r="L247" s="9">
        <v>131</v>
      </c>
      <c r="M247" s="9">
        <v>156</v>
      </c>
      <c r="N247" s="9">
        <v>127</v>
      </c>
      <c r="O247" s="9">
        <v>579</v>
      </c>
      <c r="P247" s="9">
        <v>47</v>
      </c>
      <c r="Q247" s="9">
        <v>58</v>
      </c>
      <c r="R247" s="9">
        <v>163</v>
      </c>
      <c r="S247" s="9">
        <v>247</v>
      </c>
      <c r="T247" s="9">
        <v>316</v>
      </c>
      <c r="U247" s="9">
        <v>12</v>
      </c>
      <c r="V247" s="9">
        <v>15</v>
      </c>
      <c r="W247" s="9">
        <v>1</v>
      </c>
      <c r="X247" s="9">
        <v>2</v>
      </c>
      <c r="Y247" s="9">
        <v>1</v>
      </c>
      <c r="Z247" s="9">
        <v>1</v>
      </c>
      <c r="AB247" s="9">
        <f t="shared" si="10"/>
        <v>3043</v>
      </c>
      <c r="AC247" s="9">
        <f t="shared" si="11"/>
        <v>30095</v>
      </c>
      <c r="AD247" s="10">
        <f t="shared" si="12"/>
        <v>9.8899112717712789</v>
      </c>
    </row>
    <row r="248" spans="1:179" s="46" customFormat="1" x14ac:dyDescent="0.3">
      <c r="A248" s="55"/>
      <c r="B248" s="30" t="s">
        <v>250</v>
      </c>
      <c r="C248" s="9">
        <v>301</v>
      </c>
      <c r="D248" s="9">
        <v>203</v>
      </c>
      <c r="E248" s="9">
        <v>245</v>
      </c>
      <c r="F248" s="9">
        <v>365</v>
      </c>
      <c r="G248" s="9">
        <v>393</v>
      </c>
      <c r="H248" s="9">
        <v>664</v>
      </c>
      <c r="I248" s="9">
        <v>415</v>
      </c>
      <c r="J248" s="9">
        <v>310</v>
      </c>
      <c r="K248" s="9">
        <v>397</v>
      </c>
      <c r="L248" s="9">
        <v>350</v>
      </c>
      <c r="M248" s="9">
        <v>438</v>
      </c>
      <c r="N248" s="9">
        <v>415</v>
      </c>
      <c r="O248" s="9">
        <v>1350</v>
      </c>
      <c r="P248" s="9">
        <v>113</v>
      </c>
      <c r="Q248" s="9">
        <v>111</v>
      </c>
      <c r="R248" s="9">
        <v>353</v>
      </c>
      <c r="S248" s="9">
        <v>585</v>
      </c>
      <c r="T248" s="9">
        <v>706</v>
      </c>
      <c r="U248" s="9">
        <v>27</v>
      </c>
      <c r="V248" s="9">
        <v>41</v>
      </c>
      <c r="W248" s="9">
        <v>9</v>
      </c>
      <c r="X248" s="9">
        <v>8</v>
      </c>
      <c r="Y248" s="9">
        <v>2</v>
      </c>
      <c r="Z248" s="9">
        <v>1</v>
      </c>
      <c r="AA248" s="1"/>
      <c r="AB248" s="9">
        <f t="shared" si="10"/>
        <v>7802</v>
      </c>
      <c r="AC248" s="9">
        <f t="shared" si="11"/>
        <v>74171</v>
      </c>
      <c r="AD248" s="10">
        <f t="shared" si="12"/>
        <v>9.506664957703153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</row>
    <row r="249" spans="1:179" s="46" customFormat="1" x14ac:dyDescent="0.3">
      <c r="A249" s="55"/>
      <c r="B249" s="30" t="s">
        <v>251</v>
      </c>
      <c r="C249" s="9">
        <v>50</v>
      </c>
      <c r="D249" s="9">
        <v>28</v>
      </c>
      <c r="E249" s="9">
        <v>26</v>
      </c>
      <c r="F249" s="9">
        <v>55</v>
      </c>
      <c r="G249" s="9">
        <v>61</v>
      </c>
      <c r="H249" s="9">
        <v>98</v>
      </c>
      <c r="I249" s="9">
        <v>68</v>
      </c>
      <c r="J249" s="9">
        <v>49</v>
      </c>
      <c r="K249" s="9">
        <v>62</v>
      </c>
      <c r="L249" s="9">
        <v>57</v>
      </c>
      <c r="M249" s="9">
        <v>58</v>
      </c>
      <c r="N249" s="9">
        <v>39</v>
      </c>
      <c r="O249" s="9">
        <v>180</v>
      </c>
      <c r="P249" s="9">
        <v>20</v>
      </c>
      <c r="Q249" s="9">
        <v>17</v>
      </c>
      <c r="R249" s="9">
        <v>64</v>
      </c>
      <c r="S249" s="9">
        <v>96</v>
      </c>
      <c r="T249" s="9">
        <v>128</v>
      </c>
      <c r="U249" s="9">
        <v>6</v>
      </c>
      <c r="V249" s="9">
        <v>6</v>
      </c>
      <c r="W249" s="9">
        <v>3</v>
      </c>
      <c r="X249" s="9">
        <v>3</v>
      </c>
      <c r="Y249" s="9">
        <v>0</v>
      </c>
      <c r="Z249" s="9">
        <v>0</v>
      </c>
      <c r="AA249" s="1"/>
      <c r="AB249" s="9">
        <f t="shared" si="10"/>
        <v>1174</v>
      </c>
      <c r="AC249" s="9">
        <f t="shared" si="11"/>
        <v>11423</v>
      </c>
      <c r="AD249" s="10">
        <f t="shared" si="12"/>
        <v>9.7299829642248721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</row>
    <row r="250" spans="1:179" s="46" customFormat="1" x14ac:dyDescent="0.3">
      <c r="A250" s="55"/>
      <c r="B250" s="30" t="s">
        <v>252</v>
      </c>
      <c r="C250" s="9">
        <v>95</v>
      </c>
      <c r="D250" s="9">
        <v>83</v>
      </c>
      <c r="E250" s="9">
        <v>86</v>
      </c>
      <c r="F250" s="9">
        <v>135</v>
      </c>
      <c r="G250" s="9">
        <v>139</v>
      </c>
      <c r="H250" s="9">
        <v>227</v>
      </c>
      <c r="I250" s="9">
        <v>218</v>
      </c>
      <c r="J250" s="9">
        <v>146</v>
      </c>
      <c r="K250" s="9">
        <v>181</v>
      </c>
      <c r="L250" s="9">
        <v>190</v>
      </c>
      <c r="M250" s="9">
        <v>203</v>
      </c>
      <c r="N250" s="9">
        <v>186</v>
      </c>
      <c r="O250" s="9">
        <v>683</v>
      </c>
      <c r="P250" s="9">
        <v>26</v>
      </c>
      <c r="Q250" s="9">
        <v>61</v>
      </c>
      <c r="R250" s="9">
        <v>155</v>
      </c>
      <c r="S250" s="9">
        <v>254</v>
      </c>
      <c r="T250" s="9">
        <v>343</v>
      </c>
      <c r="U250" s="9">
        <v>15</v>
      </c>
      <c r="V250" s="9">
        <v>12</v>
      </c>
      <c r="W250" s="9">
        <v>8</v>
      </c>
      <c r="X250" s="9">
        <v>3</v>
      </c>
      <c r="Y250" s="9">
        <v>0</v>
      </c>
      <c r="Z250" s="9">
        <v>0</v>
      </c>
      <c r="AA250" s="1"/>
      <c r="AB250" s="9">
        <f t="shared" si="10"/>
        <v>3449</v>
      </c>
      <c r="AC250" s="9">
        <f t="shared" si="11"/>
        <v>34244</v>
      </c>
      <c r="AD250" s="10">
        <f t="shared" si="12"/>
        <v>9.9286749782545662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</row>
    <row r="251" spans="1:179" x14ac:dyDescent="0.3">
      <c r="A251" s="55"/>
      <c r="B251" s="30" t="s">
        <v>253</v>
      </c>
      <c r="C251" s="9">
        <v>49</v>
      </c>
      <c r="D251" s="9">
        <v>51</v>
      </c>
      <c r="E251" s="9">
        <v>82</v>
      </c>
      <c r="F251" s="9">
        <v>113</v>
      </c>
      <c r="G251" s="9">
        <v>109</v>
      </c>
      <c r="H251" s="9">
        <v>195</v>
      </c>
      <c r="I251" s="9">
        <v>71</v>
      </c>
      <c r="J251" s="9">
        <v>53</v>
      </c>
      <c r="K251" s="9">
        <v>64</v>
      </c>
      <c r="L251" s="9">
        <v>27</v>
      </c>
      <c r="M251" s="9">
        <v>37</v>
      </c>
      <c r="N251" s="9">
        <v>48</v>
      </c>
      <c r="O251" s="9">
        <v>129</v>
      </c>
      <c r="P251" s="9">
        <v>10</v>
      </c>
      <c r="Q251" s="9">
        <v>12</v>
      </c>
      <c r="R251" s="9">
        <v>35</v>
      </c>
      <c r="S251" s="9">
        <v>64</v>
      </c>
      <c r="T251" s="9">
        <v>77</v>
      </c>
      <c r="U251" s="9">
        <v>3</v>
      </c>
      <c r="V251" s="9">
        <v>1</v>
      </c>
      <c r="W251" s="9">
        <v>0</v>
      </c>
      <c r="X251" s="9">
        <v>1</v>
      </c>
      <c r="Y251" s="9">
        <v>0</v>
      </c>
      <c r="Z251" s="9">
        <v>0</v>
      </c>
      <c r="AB251" s="9">
        <f t="shared" si="10"/>
        <v>1231</v>
      </c>
      <c r="AC251" s="9">
        <f t="shared" si="11"/>
        <v>9213</v>
      </c>
      <c r="AD251" s="10">
        <f t="shared" si="12"/>
        <v>7.4841592201462221</v>
      </c>
    </row>
    <row r="252" spans="1:179" x14ac:dyDescent="0.3">
      <c r="A252" s="55"/>
      <c r="B252" s="30" t="s">
        <v>254</v>
      </c>
      <c r="C252" s="9">
        <v>20</v>
      </c>
      <c r="D252" s="9">
        <v>20</v>
      </c>
      <c r="E252" s="9">
        <v>27</v>
      </c>
      <c r="F252" s="9">
        <v>71</v>
      </c>
      <c r="G252" s="9">
        <v>43</v>
      </c>
      <c r="H252" s="9">
        <v>52</v>
      </c>
      <c r="I252" s="9">
        <v>16</v>
      </c>
      <c r="J252" s="9">
        <v>15</v>
      </c>
      <c r="K252" s="9">
        <v>20</v>
      </c>
      <c r="L252" s="9">
        <v>8</v>
      </c>
      <c r="M252" s="9">
        <v>4</v>
      </c>
      <c r="N252" s="9">
        <v>5</v>
      </c>
      <c r="O252" s="9">
        <v>26</v>
      </c>
      <c r="P252" s="9">
        <v>3</v>
      </c>
      <c r="Q252" s="9">
        <v>3</v>
      </c>
      <c r="R252" s="9">
        <v>12</v>
      </c>
      <c r="S252" s="9">
        <v>19</v>
      </c>
      <c r="T252" s="9">
        <v>18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B252" s="9">
        <f t="shared" si="10"/>
        <v>382</v>
      </c>
      <c r="AC252" s="9">
        <f t="shared" si="11"/>
        <v>2430</v>
      </c>
      <c r="AD252" s="10">
        <f t="shared" si="12"/>
        <v>6.3612565445026181</v>
      </c>
    </row>
    <row r="253" spans="1:179" x14ac:dyDescent="0.3">
      <c r="A253" s="55"/>
      <c r="B253" s="30" t="s">
        <v>255</v>
      </c>
      <c r="C253" s="9">
        <v>97</v>
      </c>
      <c r="D253" s="9">
        <v>48</v>
      </c>
      <c r="E253" s="9">
        <v>87</v>
      </c>
      <c r="F253" s="9">
        <v>122</v>
      </c>
      <c r="G253" s="9">
        <v>101</v>
      </c>
      <c r="H253" s="9">
        <v>204</v>
      </c>
      <c r="I253" s="9">
        <v>76</v>
      </c>
      <c r="J253" s="9">
        <v>64</v>
      </c>
      <c r="K253" s="9">
        <v>86</v>
      </c>
      <c r="L253" s="9">
        <v>49</v>
      </c>
      <c r="M253" s="9">
        <v>75</v>
      </c>
      <c r="N253" s="9">
        <v>51</v>
      </c>
      <c r="O253" s="9">
        <v>195</v>
      </c>
      <c r="P253" s="9">
        <v>25</v>
      </c>
      <c r="Q253" s="9">
        <v>35</v>
      </c>
      <c r="R253" s="9">
        <v>122</v>
      </c>
      <c r="S253" s="9">
        <v>132</v>
      </c>
      <c r="T253" s="9">
        <v>115</v>
      </c>
      <c r="U253" s="9">
        <v>4</v>
      </c>
      <c r="V253" s="9">
        <v>5</v>
      </c>
      <c r="W253" s="9">
        <v>4</v>
      </c>
      <c r="X253" s="9">
        <v>1</v>
      </c>
      <c r="Y253" s="9">
        <v>0</v>
      </c>
      <c r="Z253" s="9">
        <v>0</v>
      </c>
      <c r="AB253" s="9">
        <f t="shared" si="10"/>
        <v>1698</v>
      </c>
      <c r="AC253" s="9">
        <f t="shared" si="11"/>
        <v>14676</v>
      </c>
      <c r="AD253" s="10">
        <f t="shared" si="12"/>
        <v>8.6431095406360416</v>
      </c>
    </row>
    <row r="254" spans="1:179" x14ac:dyDescent="0.3">
      <c r="A254" s="55"/>
      <c r="B254" s="30" t="s">
        <v>256</v>
      </c>
      <c r="C254" s="9">
        <v>61</v>
      </c>
      <c r="D254" s="9">
        <v>32</v>
      </c>
      <c r="E254" s="9">
        <v>65</v>
      </c>
      <c r="F254" s="9">
        <v>90</v>
      </c>
      <c r="G254" s="9">
        <v>89</v>
      </c>
      <c r="H254" s="9">
        <v>140</v>
      </c>
      <c r="I254" s="9">
        <v>33</v>
      </c>
      <c r="J254" s="9">
        <v>35</v>
      </c>
      <c r="K254" s="9">
        <v>49</v>
      </c>
      <c r="L254" s="9">
        <v>23</v>
      </c>
      <c r="M254" s="9">
        <v>20</v>
      </c>
      <c r="N254" s="9">
        <v>16</v>
      </c>
      <c r="O254" s="9">
        <v>63</v>
      </c>
      <c r="P254" s="9">
        <v>9</v>
      </c>
      <c r="Q254" s="9">
        <v>8</v>
      </c>
      <c r="R254" s="9">
        <v>37</v>
      </c>
      <c r="S254" s="9">
        <v>29</v>
      </c>
      <c r="T254" s="9">
        <v>33</v>
      </c>
      <c r="U254" s="9">
        <v>0</v>
      </c>
      <c r="V254" s="9">
        <v>2</v>
      </c>
      <c r="W254" s="9">
        <v>1</v>
      </c>
      <c r="X254" s="9">
        <v>0</v>
      </c>
      <c r="Y254" s="9">
        <v>0</v>
      </c>
      <c r="Z254" s="9">
        <v>0</v>
      </c>
      <c r="AB254" s="9">
        <f t="shared" si="10"/>
        <v>835</v>
      </c>
      <c r="AC254" s="9">
        <f t="shared" si="11"/>
        <v>5529</v>
      </c>
      <c r="AD254" s="10">
        <f t="shared" si="12"/>
        <v>6.6215568862275447</v>
      </c>
    </row>
    <row r="255" spans="1:179" x14ac:dyDescent="0.3">
      <c r="A255" s="55"/>
      <c r="B255" s="30" t="s">
        <v>257</v>
      </c>
      <c r="C255" s="9">
        <v>91</v>
      </c>
      <c r="D255" s="9">
        <v>55</v>
      </c>
      <c r="E255" s="9">
        <v>83</v>
      </c>
      <c r="F255" s="9">
        <v>113</v>
      </c>
      <c r="G255" s="9">
        <v>111</v>
      </c>
      <c r="H255" s="9">
        <v>177</v>
      </c>
      <c r="I255" s="9">
        <v>95</v>
      </c>
      <c r="J255" s="9">
        <v>60</v>
      </c>
      <c r="K255" s="9">
        <v>103</v>
      </c>
      <c r="L255" s="9">
        <v>67</v>
      </c>
      <c r="M255" s="9">
        <v>43</v>
      </c>
      <c r="N255" s="9">
        <v>59</v>
      </c>
      <c r="O255" s="9">
        <v>189</v>
      </c>
      <c r="P255" s="9">
        <v>8</v>
      </c>
      <c r="Q255" s="9">
        <v>22</v>
      </c>
      <c r="R255" s="9">
        <v>64</v>
      </c>
      <c r="S255" s="9">
        <v>82</v>
      </c>
      <c r="T255" s="9">
        <v>122</v>
      </c>
      <c r="U255" s="9">
        <v>3</v>
      </c>
      <c r="V255" s="9">
        <v>7</v>
      </c>
      <c r="W255" s="9">
        <v>1</v>
      </c>
      <c r="X255" s="9">
        <v>0</v>
      </c>
      <c r="Y255" s="9">
        <v>0</v>
      </c>
      <c r="Z255" s="9">
        <v>1</v>
      </c>
      <c r="AB255" s="9">
        <f t="shared" si="10"/>
        <v>1556</v>
      </c>
      <c r="AC255" s="9">
        <f t="shared" si="11"/>
        <v>12641</v>
      </c>
      <c r="AD255" s="10">
        <f t="shared" si="12"/>
        <v>8.124035989717223</v>
      </c>
    </row>
    <row r="256" spans="1:179" x14ac:dyDescent="0.3">
      <c r="A256" s="55"/>
      <c r="B256" s="30" t="s">
        <v>258</v>
      </c>
      <c r="C256" s="9">
        <v>1743</v>
      </c>
      <c r="D256" s="9">
        <v>1578</v>
      </c>
      <c r="E256" s="9">
        <v>2148</v>
      </c>
      <c r="F256" s="9">
        <v>2901</v>
      </c>
      <c r="G256" s="9">
        <v>3070</v>
      </c>
      <c r="H256" s="9">
        <v>5562</v>
      </c>
      <c r="I256" s="9">
        <v>5340</v>
      </c>
      <c r="J256" s="9">
        <v>4120</v>
      </c>
      <c r="K256" s="9">
        <v>5413</v>
      </c>
      <c r="L256" s="9">
        <v>7840</v>
      </c>
      <c r="M256" s="9">
        <v>9023</v>
      </c>
      <c r="N256" s="9">
        <v>7709</v>
      </c>
      <c r="O256" s="9">
        <v>31872</v>
      </c>
      <c r="P256" s="9">
        <v>2648</v>
      </c>
      <c r="Q256" s="9">
        <v>3323</v>
      </c>
      <c r="R256" s="9">
        <v>8149</v>
      </c>
      <c r="S256" s="9">
        <v>14792</v>
      </c>
      <c r="T256" s="9">
        <v>17488</v>
      </c>
      <c r="U256" s="9">
        <v>1104</v>
      </c>
      <c r="V256" s="9">
        <v>1434</v>
      </c>
      <c r="W256" s="9">
        <v>153</v>
      </c>
      <c r="X256" s="9">
        <v>97</v>
      </c>
      <c r="Y256" s="9">
        <v>38</v>
      </c>
      <c r="Z256" s="9">
        <v>48</v>
      </c>
      <c r="AB256" s="9">
        <f t="shared" si="10"/>
        <v>137593</v>
      </c>
      <c r="AC256" s="9">
        <f t="shared" si="11"/>
        <v>1578208</v>
      </c>
      <c r="AD256" s="10">
        <f t="shared" si="12"/>
        <v>11.470118392650789</v>
      </c>
    </row>
    <row r="257" spans="1:30" x14ac:dyDescent="0.3">
      <c r="A257" s="55"/>
      <c r="B257" s="30" t="s">
        <v>259</v>
      </c>
      <c r="C257" s="9">
        <v>171</v>
      </c>
      <c r="D257" s="9">
        <v>119</v>
      </c>
      <c r="E257" s="9">
        <v>156</v>
      </c>
      <c r="F257" s="9">
        <v>230</v>
      </c>
      <c r="G257" s="9">
        <v>218</v>
      </c>
      <c r="H257" s="9">
        <v>410</v>
      </c>
      <c r="I257" s="9">
        <v>293</v>
      </c>
      <c r="J257" s="9">
        <v>191</v>
      </c>
      <c r="K257" s="9">
        <v>314</v>
      </c>
      <c r="L257" s="9">
        <v>305</v>
      </c>
      <c r="M257" s="9">
        <v>340</v>
      </c>
      <c r="N257" s="9">
        <v>281</v>
      </c>
      <c r="O257" s="9">
        <v>900</v>
      </c>
      <c r="P257" s="9">
        <v>48</v>
      </c>
      <c r="Q257" s="9">
        <v>51</v>
      </c>
      <c r="R257" s="9">
        <v>141</v>
      </c>
      <c r="S257" s="9">
        <v>214</v>
      </c>
      <c r="T257" s="9">
        <v>174</v>
      </c>
      <c r="U257" s="9">
        <v>10</v>
      </c>
      <c r="V257" s="9">
        <v>13</v>
      </c>
      <c r="W257" s="9">
        <v>1</v>
      </c>
      <c r="X257" s="9">
        <v>3</v>
      </c>
      <c r="Y257" s="9">
        <v>2</v>
      </c>
      <c r="Z257" s="9">
        <v>0</v>
      </c>
      <c r="AB257" s="9">
        <f t="shared" si="10"/>
        <v>4585</v>
      </c>
      <c r="AC257" s="9">
        <f t="shared" si="11"/>
        <v>40075</v>
      </c>
      <c r="AD257" s="10">
        <f t="shared" si="12"/>
        <v>8.7404580152671763</v>
      </c>
    </row>
    <row r="258" spans="1:30" x14ac:dyDescent="0.3">
      <c r="A258" s="55"/>
      <c r="B258" s="30" t="s">
        <v>260</v>
      </c>
      <c r="C258" s="9">
        <v>21</v>
      </c>
      <c r="D258" s="9">
        <v>23</v>
      </c>
      <c r="E258" s="9">
        <v>27</v>
      </c>
      <c r="F258" s="9">
        <v>35</v>
      </c>
      <c r="G258" s="9">
        <v>34</v>
      </c>
      <c r="H258" s="9">
        <v>79</v>
      </c>
      <c r="I258" s="9">
        <v>67</v>
      </c>
      <c r="J258" s="9">
        <v>45</v>
      </c>
      <c r="K258" s="9">
        <v>59</v>
      </c>
      <c r="L258" s="9">
        <v>62</v>
      </c>
      <c r="M258" s="9">
        <v>62</v>
      </c>
      <c r="N258" s="9">
        <v>56</v>
      </c>
      <c r="O258" s="9">
        <v>194</v>
      </c>
      <c r="P258" s="9">
        <v>10</v>
      </c>
      <c r="Q258" s="9">
        <v>16</v>
      </c>
      <c r="R258" s="9">
        <v>67</v>
      </c>
      <c r="S258" s="9">
        <v>68</v>
      </c>
      <c r="T258" s="9">
        <v>104</v>
      </c>
      <c r="U258" s="9">
        <v>17</v>
      </c>
      <c r="V258" s="9">
        <v>17</v>
      </c>
      <c r="W258" s="9">
        <v>0</v>
      </c>
      <c r="X258" s="9">
        <v>0</v>
      </c>
      <c r="Y258" s="9">
        <v>0</v>
      </c>
      <c r="Z258" s="9">
        <v>0</v>
      </c>
      <c r="AB258" s="9">
        <f t="shared" si="10"/>
        <v>1063</v>
      </c>
      <c r="AC258" s="9">
        <f t="shared" si="11"/>
        <v>10868</v>
      </c>
      <c r="AD258" s="10">
        <f t="shared" si="12"/>
        <v>10.223894637817498</v>
      </c>
    </row>
    <row r="259" spans="1:30" x14ac:dyDescent="0.3">
      <c r="A259" s="55"/>
      <c r="B259" s="30" t="s">
        <v>261</v>
      </c>
      <c r="C259" s="9">
        <v>187</v>
      </c>
      <c r="D259" s="9">
        <v>200</v>
      </c>
      <c r="E259" s="9">
        <v>326</v>
      </c>
      <c r="F259" s="9">
        <v>392</v>
      </c>
      <c r="G259" s="9">
        <v>397</v>
      </c>
      <c r="H259" s="9">
        <v>735</v>
      </c>
      <c r="I259" s="9">
        <v>443</v>
      </c>
      <c r="J259" s="9">
        <v>366</v>
      </c>
      <c r="K259" s="9">
        <v>502</v>
      </c>
      <c r="L259" s="9">
        <v>470</v>
      </c>
      <c r="M259" s="9">
        <v>502</v>
      </c>
      <c r="N259" s="9">
        <v>471</v>
      </c>
      <c r="O259" s="9">
        <v>1683</v>
      </c>
      <c r="P259" s="9">
        <v>123</v>
      </c>
      <c r="Q259" s="9">
        <v>124</v>
      </c>
      <c r="R259" s="9">
        <v>317</v>
      </c>
      <c r="S259" s="9">
        <v>496</v>
      </c>
      <c r="T259" s="9">
        <v>486</v>
      </c>
      <c r="U259" s="9">
        <v>26</v>
      </c>
      <c r="V259" s="9">
        <v>31</v>
      </c>
      <c r="W259" s="9">
        <v>2</v>
      </c>
      <c r="X259" s="9">
        <v>4</v>
      </c>
      <c r="Y259" s="9">
        <v>1</v>
      </c>
      <c r="Z259" s="9">
        <v>1</v>
      </c>
      <c r="AB259" s="9">
        <f t="shared" si="10"/>
        <v>8285</v>
      </c>
      <c r="AC259" s="9">
        <f t="shared" si="11"/>
        <v>76668</v>
      </c>
      <c r="AD259" s="10">
        <f t="shared" si="12"/>
        <v>9.2538322269161135</v>
      </c>
    </row>
    <row r="260" spans="1:30" x14ac:dyDescent="0.3">
      <c r="A260" s="55"/>
      <c r="B260" s="30" t="s">
        <v>262</v>
      </c>
      <c r="C260" s="9">
        <v>170</v>
      </c>
      <c r="D260" s="9">
        <v>128</v>
      </c>
      <c r="E260" s="9">
        <v>174</v>
      </c>
      <c r="F260" s="9">
        <v>256</v>
      </c>
      <c r="G260" s="9">
        <v>271</v>
      </c>
      <c r="H260" s="9">
        <v>370</v>
      </c>
      <c r="I260" s="9">
        <v>196</v>
      </c>
      <c r="J260" s="9">
        <v>160</v>
      </c>
      <c r="K260" s="9">
        <v>164</v>
      </c>
      <c r="L260" s="9">
        <v>175</v>
      </c>
      <c r="M260" s="9">
        <v>196</v>
      </c>
      <c r="N260" s="9">
        <v>168</v>
      </c>
      <c r="O260" s="9">
        <v>620</v>
      </c>
      <c r="P260" s="9">
        <v>38</v>
      </c>
      <c r="Q260" s="9">
        <v>75</v>
      </c>
      <c r="R260" s="9">
        <v>178</v>
      </c>
      <c r="S260" s="9">
        <v>249</v>
      </c>
      <c r="T260" s="9">
        <v>215</v>
      </c>
      <c r="U260" s="9">
        <v>7</v>
      </c>
      <c r="V260" s="9">
        <v>10</v>
      </c>
      <c r="W260" s="9">
        <v>2</v>
      </c>
      <c r="X260" s="9">
        <v>1</v>
      </c>
      <c r="Y260" s="9">
        <v>1</v>
      </c>
      <c r="Z260" s="9">
        <v>1</v>
      </c>
      <c r="AB260" s="9">
        <f t="shared" ref="AB260:AB323" si="13">SUM(C260:Z260)</f>
        <v>3825</v>
      </c>
      <c r="AC260" s="9">
        <f t="shared" ref="AC260:AC323" si="14">C$2*C260+D$2*D260+E$2*E260+F$2*F260+G$2*G260+H$2*H260+I$2*I260+J$2*J260+K$2*K260+L$2*L260+M$2*M260+N$2*N260+O$2*O260+P$2*P260+Q$2*Q260+R$2*R260+S$2*S260+T$2*T260+U$2*U260+V$2*V260+W$2*W260+X$2*X260+Y$2*Y260+Z$2*Z260</f>
        <v>32884</v>
      </c>
      <c r="AD260" s="10">
        <f t="shared" si="12"/>
        <v>8.5971241830065352</v>
      </c>
    </row>
    <row r="261" spans="1:30" x14ac:dyDescent="0.3">
      <c r="A261" s="55"/>
      <c r="B261" s="30" t="s">
        <v>263</v>
      </c>
      <c r="C261" s="9">
        <v>238</v>
      </c>
      <c r="D261" s="9">
        <v>236</v>
      </c>
      <c r="E261" s="9">
        <v>304</v>
      </c>
      <c r="F261" s="9">
        <v>373</v>
      </c>
      <c r="G261" s="9">
        <v>360</v>
      </c>
      <c r="H261" s="9">
        <v>704</v>
      </c>
      <c r="I261" s="9">
        <v>528</v>
      </c>
      <c r="J261" s="9">
        <v>401</v>
      </c>
      <c r="K261" s="9">
        <v>531</v>
      </c>
      <c r="L261" s="9">
        <v>623</v>
      </c>
      <c r="M261" s="9">
        <v>646</v>
      </c>
      <c r="N261" s="9">
        <v>558</v>
      </c>
      <c r="O261" s="9">
        <v>1649</v>
      </c>
      <c r="P261" s="9">
        <v>73</v>
      </c>
      <c r="Q261" s="9">
        <v>97</v>
      </c>
      <c r="R261" s="9">
        <v>297</v>
      </c>
      <c r="S261" s="9">
        <v>448</v>
      </c>
      <c r="T261" s="9">
        <v>353</v>
      </c>
      <c r="U261" s="9">
        <v>15</v>
      </c>
      <c r="V261" s="9">
        <v>20</v>
      </c>
      <c r="W261" s="9">
        <v>4</v>
      </c>
      <c r="X261" s="9">
        <v>1</v>
      </c>
      <c r="Y261" s="9">
        <v>0</v>
      </c>
      <c r="Z261" s="9">
        <v>3</v>
      </c>
      <c r="AB261" s="9">
        <f t="shared" si="13"/>
        <v>8462</v>
      </c>
      <c r="AC261" s="9">
        <f t="shared" si="14"/>
        <v>75890</v>
      </c>
      <c r="AD261" s="10">
        <f t="shared" ref="AD261:AD324" si="15">AC261/AB261</f>
        <v>8.9683290002363503</v>
      </c>
    </row>
    <row r="262" spans="1:30" x14ac:dyDescent="0.3">
      <c r="A262" s="55"/>
      <c r="B262" s="30" t="s">
        <v>264</v>
      </c>
      <c r="C262" s="9">
        <v>26</v>
      </c>
      <c r="D262" s="9">
        <v>26</v>
      </c>
      <c r="E262" s="9">
        <v>28</v>
      </c>
      <c r="F262" s="9">
        <v>29</v>
      </c>
      <c r="G262" s="9">
        <v>44</v>
      </c>
      <c r="H262" s="9">
        <v>57</v>
      </c>
      <c r="I262" s="9">
        <v>64</v>
      </c>
      <c r="J262" s="9">
        <v>59</v>
      </c>
      <c r="K262" s="9">
        <v>63</v>
      </c>
      <c r="L262" s="9">
        <v>59</v>
      </c>
      <c r="M262" s="9">
        <v>56</v>
      </c>
      <c r="N262" s="9">
        <v>55</v>
      </c>
      <c r="O262" s="9">
        <v>192</v>
      </c>
      <c r="P262" s="9">
        <v>11</v>
      </c>
      <c r="Q262" s="9">
        <v>5</v>
      </c>
      <c r="R262" s="9">
        <v>25</v>
      </c>
      <c r="S262" s="9">
        <v>49</v>
      </c>
      <c r="T262" s="9">
        <v>26</v>
      </c>
      <c r="U262" s="9">
        <v>3</v>
      </c>
      <c r="V262" s="9">
        <v>1</v>
      </c>
      <c r="W262" s="9">
        <v>0</v>
      </c>
      <c r="X262" s="9">
        <v>0</v>
      </c>
      <c r="Y262" s="9">
        <v>0</v>
      </c>
      <c r="Z262" s="9">
        <v>1</v>
      </c>
      <c r="AB262" s="9">
        <f t="shared" si="13"/>
        <v>879</v>
      </c>
      <c r="AC262" s="9">
        <f t="shared" si="14"/>
        <v>7841</v>
      </c>
      <c r="AD262" s="10">
        <f t="shared" si="15"/>
        <v>8.9203640500568824</v>
      </c>
    </row>
    <row r="263" spans="1:30" x14ac:dyDescent="0.3">
      <c r="A263" s="55"/>
      <c r="B263" s="30" t="s">
        <v>265</v>
      </c>
      <c r="C263" s="9">
        <v>111</v>
      </c>
      <c r="D263" s="9">
        <v>81</v>
      </c>
      <c r="E263" s="9">
        <v>118</v>
      </c>
      <c r="F263" s="9">
        <v>180</v>
      </c>
      <c r="G263" s="9">
        <v>177</v>
      </c>
      <c r="H263" s="9">
        <v>380</v>
      </c>
      <c r="I263" s="9">
        <v>338</v>
      </c>
      <c r="J263" s="9">
        <v>262</v>
      </c>
      <c r="K263" s="9">
        <v>348</v>
      </c>
      <c r="L263" s="9">
        <v>250</v>
      </c>
      <c r="M263" s="9">
        <v>232</v>
      </c>
      <c r="N263" s="9">
        <v>184</v>
      </c>
      <c r="O263" s="9">
        <v>681</v>
      </c>
      <c r="P263" s="9">
        <v>30</v>
      </c>
      <c r="Q263" s="9">
        <v>60</v>
      </c>
      <c r="R263" s="9">
        <v>108</v>
      </c>
      <c r="S263" s="9">
        <v>172</v>
      </c>
      <c r="T263" s="9">
        <v>134</v>
      </c>
      <c r="U263" s="9">
        <v>1</v>
      </c>
      <c r="V263" s="9">
        <v>7</v>
      </c>
      <c r="W263" s="9">
        <v>2</v>
      </c>
      <c r="X263" s="9">
        <v>1</v>
      </c>
      <c r="Y263" s="9">
        <v>0</v>
      </c>
      <c r="Z263" s="9">
        <v>2</v>
      </c>
      <c r="AB263" s="9">
        <f t="shared" si="13"/>
        <v>3859</v>
      </c>
      <c r="AC263" s="9">
        <f t="shared" si="14"/>
        <v>33015</v>
      </c>
      <c r="AD263" s="10">
        <f t="shared" si="15"/>
        <v>8.5553252137859541</v>
      </c>
    </row>
    <row r="264" spans="1:30" x14ac:dyDescent="0.3">
      <c r="A264" s="55"/>
      <c r="B264" s="30" t="s">
        <v>266</v>
      </c>
      <c r="C264" s="9">
        <v>11</v>
      </c>
      <c r="D264" s="9">
        <v>29</v>
      </c>
      <c r="E264" s="9">
        <v>25</v>
      </c>
      <c r="F264" s="9">
        <v>41</v>
      </c>
      <c r="G264" s="9">
        <v>61</v>
      </c>
      <c r="H264" s="9">
        <v>94</v>
      </c>
      <c r="I264" s="9">
        <v>58</v>
      </c>
      <c r="J264" s="9">
        <v>42</v>
      </c>
      <c r="K264" s="9">
        <v>59</v>
      </c>
      <c r="L264" s="9">
        <v>38</v>
      </c>
      <c r="M264" s="9">
        <v>39</v>
      </c>
      <c r="N264" s="9">
        <v>40</v>
      </c>
      <c r="O264" s="9">
        <v>158</v>
      </c>
      <c r="P264" s="9">
        <v>5</v>
      </c>
      <c r="Q264" s="9">
        <v>10</v>
      </c>
      <c r="R264" s="9">
        <v>18</v>
      </c>
      <c r="S264" s="9">
        <v>30</v>
      </c>
      <c r="T264" s="9">
        <v>17</v>
      </c>
      <c r="U264" s="9">
        <v>0</v>
      </c>
      <c r="V264" s="9">
        <v>0</v>
      </c>
      <c r="W264" s="9">
        <v>1</v>
      </c>
      <c r="X264" s="9">
        <v>1</v>
      </c>
      <c r="Y264" s="9">
        <v>0</v>
      </c>
      <c r="Z264" s="9">
        <v>0</v>
      </c>
      <c r="AB264" s="9">
        <f t="shared" si="13"/>
        <v>777</v>
      </c>
      <c r="AC264" s="9">
        <f t="shared" si="14"/>
        <v>6383</v>
      </c>
      <c r="AD264" s="10">
        <f t="shared" si="15"/>
        <v>8.2149292149292155</v>
      </c>
    </row>
    <row r="265" spans="1:30" x14ac:dyDescent="0.3">
      <c r="A265" s="55"/>
      <c r="B265" s="30" t="s">
        <v>267</v>
      </c>
      <c r="C265" s="9">
        <v>9</v>
      </c>
      <c r="D265" s="9">
        <v>13</v>
      </c>
      <c r="E265" s="9">
        <v>12</v>
      </c>
      <c r="F265" s="9">
        <v>20</v>
      </c>
      <c r="G265" s="9">
        <v>22</v>
      </c>
      <c r="H265" s="9">
        <v>41</v>
      </c>
      <c r="I265" s="9">
        <v>35</v>
      </c>
      <c r="J265" s="9">
        <v>27</v>
      </c>
      <c r="K265" s="9">
        <v>39</v>
      </c>
      <c r="L265" s="9">
        <v>24</v>
      </c>
      <c r="M265" s="9">
        <v>23</v>
      </c>
      <c r="N265" s="9">
        <v>23</v>
      </c>
      <c r="O265" s="9">
        <v>92</v>
      </c>
      <c r="P265" s="9">
        <v>1</v>
      </c>
      <c r="Q265" s="9">
        <v>4</v>
      </c>
      <c r="R265" s="9">
        <v>6</v>
      </c>
      <c r="S265" s="9">
        <v>13</v>
      </c>
      <c r="T265" s="9">
        <v>16</v>
      </c>
      <c r="U265" s="9">
        <v>1</v>
      </c>
      <c r="V265" s="9">
        <v>1</v>
      </c>
      <c r="W265" s="9">
        <v>0</v>
      </c>
      <c r="X265" s="9">
        <v>2</v>
      </c>
      <c r="Y265" s="9">
        <v>0</v>
      </c>
      <c r="Z265" s="9">
        <v>0</v>
      </c>
      <c r="AB265" s="9">
        <f t="shared" si="13"/>
        <v>424</v>
      </c>
      <c r="AC265" s="9">
        <f t="shared" si="14"/>
        <v>3622</v>
      </c>
      <c r="AD265" s="10">
        <f t="shared" si="15"/>
        <v>8.5424528301886795</v>
      </c>
    </row>
    <row r="266" spans="1:30" x14ac:dyDescent="0.3">
      <c r="A266" s="55"/>
      <c r="B266" s="30" t="s">
        <v>268</v>
      </c>
      <c r="C266" s="9">
        <v>24</v>
      </c>
      <c r="D266" s="9">
        <v>16</v>
      </c>
      <c r="E266" s="9">
        <v>41</v>
      </c>
      <c r="F266" s="9">
        <v>42</v>
      </c>
      <c r="G266" s="9">
        <v>53</v>
      </c>
      <c r="H266" s="9">
        <v>85</v>
      </c>
      <c r="I266" s="9">
        <v>62</v>
      </c>
      <c r="J266" s="9">
        <v>40</v>
      </c>
      <c r="K266" s="9">
        <v>59</v>
      </c>
      <c r="L266" s="9">
        <v>56</v>
      </c>
      <c r="M266" s="9">
        <v>47</v>
      </c>
      <c r="N266" s="9">
        <v>45</v>
      </c>
      <c r="O266" s="9">
        <v>161</v>
      </c>
      <c r="P266" s="9">
        <v>14</v>
      </c>
      <c r="Q266" s="9">
        <v>14</v>
      </c>
      <c r="R266" s="9">
        <v>18</v>
      </c>
      <c r="S266" s="9">
        <v>47</v>
      </c>
      <c r="T266" s="9">
        <v>24</v>
      </c>
      <c r="U266" s="9">
        <v>2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B266" s="9">
        <f t="shared" si="13"/>
        <v>850</v>
      </c>
      <c r="AC266" s="9">
        <f t="shared" si="14"/>
        <v>7230</v>
      </c>
      <c r="AD266" s="10">
        <f t="shared" si="15"/>
        <v>8.5058823529411764</v>
      </c>
    </row>
    <row r="267" spans="1:30" x14ac:dyDescent="0.3">
      <c r="A267" s="55"/>
      <c r="B267" s="30" t="s">
        <v>269</v>
      </c>
      <c r="C267" s="9">
        <v>59</v>
      </c>
      <c r="D267" s="9">
        <v>47</v>
      </c>
      <c r="E267" s="9">
        <v>49</v>
      </c>
      <c r="F267" s="9">
        <v>77</v>
      </c>
      <c r="G267" s="9">
        <v>57</v>
      </c>
      <c r="H267" s="9">
        <v>122</v>
      </c>
      <c r="I267" s="9">
        <v>96</v>
      </c>
      <c r="J267" s="9">
        <v>61</v>
      </c>
      <c r="K267" s="9">
        <v>96</v>
      </c>
      <c r="L267" s="9">
        <v>72</v>
      </c>
      <c r="M267" s="9">
        <v>80</v>
      </c>
      <c r="N267" s="9">
        <v>71</v>
      </c>
      <c r="O267" s="9">
        <v>299</v>
      </c>
      <c r="P267" s="9">
        <v>15</v>
      </c>
      <c r="Q267" s="9">
        <v>19</v>
      </c>
      <c r="R267" s="9">
        <v>58</v>
      </c>
      <c r="S267" s="9">
        <v>77</v>
      </c>
      <c r="T267" s="9">
        <v>63</v>
      </c>
      <c r="U267" s="9">
        <v>3</v>
      </c>
      <c r="V267" s="9">
        <v>4</v>
      </c>
      <c r="W267" s="9">
        <v>2</v>
      </c>
      <c r="X267" s="9">
        <v>1</v>
      </c>
      <c r="Y267" s="9">
        <v>0</v>
      </c>
      <c r="Z267" s="9">
        <v>1</v>
      </c>
      <c r="AB267" s="9">
        <f t="shared" si="13"/>
        <v>1429</v>
      </c>
      <c r="AC267" s="9">
        <f t="shared" si="14"/>
        <v>12650</v>
      </c>
      <c r="AD267" s="10">
        <f t="shared" si="15"/>
        <v>8.8523442967109869</v>
      </c>
    </row>
    <row r="268" spans="1:30" x14ac:dyDescent="0.3">
      <c r="A268" s="55"/>
      <c r="B268" s="30" t="s">
        <v>270</v>
      </c>
      <c r="C268" s="9">
        <v>196</v>
      </c>
      <c r="D268" s="9">
        <v>139</v>
      </c>
      <c r="E268" s="9">
        <v>181</v>
      </c>
      <c r="F268" s="9">
        <v>245</v>
      </c>
      <c r="G268" s="9">
        <v>257</v>
      </c>
      <c r="H268" s="9">
        <v>337</v>
      </c>
      <c r="I268" s="9">
        <v>238</v>
      </c>
      <c r="J268" s="9">
        <v>167</v>
      </c>
      <c r="K268" s="9">
        <v>207</v>
      </c>
      <c r="L268" s="9">
        <v>223</v>
      </c>
      <c r="M268" s="9">
        <v>223</v>
      </c>
      <c r="N268" s="9">
        <v>185</v>
      </c>
      <c r="O268" s="9">
        <v>687</v>
      </c>
      <c r="P268" s="9">
        <v>37</v>
      </c>
      <c r="Q268" s="9">
        <v>49</v>
      </c>
      <c r="R268" s="9">
        <v>133</v>
      </c>
      <c r="S268" s="9">
        <v>222</v>
      </c>
      <c r="T268" s="9">
        <v>177</v>
      </c>
      <c r="U268" s="9">
        <v>9</v>
      </c>
      <c r="V268" s="9">
        <v>4</v>
      </c>
      <c r="W268" s="9">
        <v>1</v>
      </c>
      <c r="X268" s="9">
        <v>3</v>
      </c>
      <c r="Y268" s="9">
        <v>0</v>
      </c>
      <c r="Z268" s="9">
        <v>0</v>
      </c>
      <c r="AB268" s="9">
        <f t="shared" si="13"/>
        <v>3920</v>
      </c>
      <c r="AC268" s="9">
        <f t="shared" si="14"/>
        <v>32762</v>
      </c>
      <c r="AD268" s="10">
        <f t="shared" si="15"/>
        <v>8.3576530612244895</v>
      </c>
    </row>
    <row r="269" spans="1:30" x14ac:dyDescent="0.3">
      <c r="A269" s="55"/>
      <c r="B269" s="30" t="s">
        <v>271</v>
      </c>
      <c r="C269" s="9">
        <v>15</v>
      </c>
      <c r="D269" s="9">
        <v>18</v>
      </c>
      <c r="E269" s="9">
        <v>34</v>
      </c>
      <c r="F269" s="9">
        <v>45</v>
      </c>
      <c r="G269" s="9">
        <v>34</v>
      </c>
      <c r="H269" s="9">
        <v>67</v>
      </c>
      <c r="I269" s="9">
        <v>48</v>
      </c>
      <c r="J269" s="9">
        <v>27</v>
      </c>
      <c r="K269" s="9">
        <v>51</v>
      </c>
      <c r="L269" s="9">
        <v>36</v>
      </c>
      <c r="M269" s="9">
        <v>37</v>
      </c>
      <c r="N269" s="9">
        <v>23</v>
      </c>
      <c r="O269" s="9">
        <v>126</v>
      </c>
      <c r="P269" s="9">
        <v>6</v>
      </c>
      <c r="Q269" s="9">
        <v>10</v>
      </c>
      <c r="R269" s="9">
        <v>24</v>
      </c>
      <c r="S269" s="9">
        <v>42</v>
      </c>
      <c r="T269" s="9">
        <v>33</v>
      </c>
      <c r="U269" s="9">
        <v>0</v>
      </c>
      <c r="V269" s="9">
        <v>0</v>
      </c>
      <c r="W269" s="9">
        <v>1</v>
      </c>
      <c r="X269" s="9">
        <v>0</v>
      </c>
      <c r="Y269" s="9">
        <v>0</v>
      </c>
      <c r="Z269" s="9">
        <v>0</v>
      </c>
      <c r="AB269" s="9">
        <f t="shared" si="13"/>
        <v>677</v>
      </c>
      <c r="AC269" s="9">
        <f t="shared" si="14"/>
        <v>5867</v>
      </c>
      <c r="AD269" s="10">
        <f t="shared" si="15"/>
        <v>8.6661742983751839</v>
      </c>
    </row>
    <row r="270" spans="1:30" x14ac:dyDescent="0.3">
      <c r="A270" s="55"/>
      <c r="B270" s="30" t="s">
        <v>272</v>
      </c>
      <c r="C270" s="9">
        <v>80</v>
      </c>
      <c r="D270" s="9">
        <v>77</v>
      </c>
      <c r="E270" s="9">
        <v>67</v>
      </c>
      <c r="F270" s="9">
        <v>74</v>
      </c>
      <c r="G270" s="9">
        <v>136</v>
      </c>
      <c r="H270" s="9">
        <v>186</v>
      </c>
      <c r="I270" s="9">
        <v>270</v>
      </c>
      <c r="J270" s="9">
        <v>113</v>
      </c>
      <c r="K270" s="9">
        <v>199</v>
      </c>
      <c r="L270" s="9">
        <v>113</v>
      </c>
      <c r="M270" s="9">
        <v>135</v>
      </c>
      <c r="N270" s="9">
        <v>122</v>
      </c>
      <c r="O270" s="9">
        <v>382</v>
      </c>
      <c r="P270" s="9">
        <v>19</v>
      </c>
      <c r="Q270" s="9">
        <v>17</v>
      </c>
      <c r="R270" s="9">
        <v>47</v>
      </c>
      <c r="S270" s="9">
        <v>95</v>
      </c>
      <c r="T270" s="9">
        <v>67</v>
      </c>
      <c r="U270" s="9">
        <v>2</v>
      </c>
      <c r="V270" s="9">
        <v>3</v>
      </c>
      <c r="W270" s="9">
        <v>2</v>
      </c>
      <c r="X270" s="9">
        <v>1</v>
      </c>
      <c r="Y270" s="9">
        <v>0</v>
      </c>
      <c r="Z270" s="9">
        <v>0</v>
      </c>
      <c r="AB270" s="9">
        <f t="shared" si="13"/>
        <v>2207</v>
      </c>
      <c r="AC270" s="9">
        <f t="shared" si="14"/>
        <v>18206</v>
      </c>
      <c r="AD270" s="10">
        <f t="shared" si="15"/>
        <v>8.2492070684186682</v>
      </c>
    </row>
    <row r="271" spans="1:30" x14ac:dyDescent="0.3">
      <c r="A271" s="55"/>
      <c r="B271" s="30" t="s">
        <v>273</v>
      </c>
      <c r="C271" s="9">
        <v>136</v>
      </c>
      <c r="D271" s="9">
        <v>95</v>
      </c>
      <c r="E271" s="9">
        <v>113</v>
      </c>
      <c r="F271" s="9">
        <v>183</v>
      </c>
      <c r="G271" s="9">
        <v>118</v>
      </c>
      <c r="H271" s="9">
        <v>213</v>
      </c>
      <c r="I271" s="9">
        <v>398</v>
      </c>
      <c r="J271" s="9">
        <v>273</v>
      </c>
      <c r="K271" s="9">
        <v>250</v>
      </c>
      <c r="L271" s="9">
        <v>128</v>
      </c>
      <c r="M271" s="9">
        <v>137</v>
      </c>
      <c r="N271" s="9">
        <v>114</v>
      </c>
      <c r="O271" s="9">
        <v>336</v>
      </c>
      <c r="P271" s="9">
        <v>16</v>
      </c>
      <c r="Q271" s="9">
        <v>14</v>
      </c>
      <c r="R271" s="9">
        <v>44</v>
      </c>
      <c r="S271" s="9">
        <v>61</v>
      </c>
      <c r="T271" s="9">
        <v>56</v>
      </c>
      <c r="U271" s="9">
        <v>3</v>
      </c>
      <c r="V271" s="9">
        <v>2</v>
      </c>
      <c r="W271" s="9">
        <v>0</v>
      </c>
      <c r="X271" s="9">
        <v>0</v>
      </c>
      <c r="Y271" s="9">
        <v>0</v>
      </c>
      <c r="Z271" s="9">
        <v>0</v>
      </c>
      <c r="AB271" s="9">
        <f t="shared" si="13"/>
        <v>2690</v>
      </c>
      <c r="AC271" s="9">
        <f t="shared" si="14"/>
        <v>19598</v>
      </c>
      <c r="AD271" s="10">
        <f t="shared" si="15"/>
        <v>7.2855018587360592</v>
      </c>
    </row>
    <row r="272" spans="1:30" x14ac:dyDescent="0.3">
      <c r="A272" s="55"/>
      <c r="B272" s="30" t="s">
        <v>274</v>
      </c>
      <c r="C272" s="9">
        <v>16</v>
      </c>
      <c r="D272" s="9">
        <v>13</v>
      </c>
      <c r="E272" s="9">
        <v>9</v>
      </c>
      <c r="F272" s="9">
        <v>20</v>
      </c>
      <c r="G272" s="9">
        <v>20</v>
      </c>
      <c r="H272" s="9">
        <v>30</v>
      </c>
      <c r="I272" s="9">
        <v>46</v>
      </c>
      <c r="J272" s="9">
        <v>56</v>
      </c>
      <c r="K272" s="9">
        <v>67</v>
      </c>
      <c r="L272" s="9">
        <v>85</v>
      </c>
      <c r="M272" s="9">
        <v>106</v>
      </c>
      <c r="N272" s="9">
        <v>64</v>
      </c>
      <c r="O272" s="9">
        <v>317</v>
      </c>
      <c r="P272" s="9">
        <v>14</v>
      </c>
      <c r="Q272" s="9">
        <v>12</v>
      </c>
      <c r="R272" s="9">
        <v>47</v>
      </c>
      <c r="S272" s="9">
        <v>69</v>
      </c>
      <c r="T272" s="9">
        <v>42</v>
      </c>
      <c r="U272" s="9">
        <v>4</v>
      </c>
      <c r="V272" s="9">
        <v>4</v>
      </c>
      <c r="W272" s="9">
        <v>1</v>
      </c>
      <c r="X272" s="9">
        <v>0</v>
      </c>
      <c r="Y272" s="9">
        <v>0</v>
      </c>
      <c r="Z272" s="9">
        <v>1</v>
      </c>
      <c r="AB272" s="9">
        <f t="shared" si="13"/>
        <v>1043</v>
      </c>
      <c r="AC272" s="9">
        <f t="shared" si="14"/>
        <v>10922</v>
      </c>
      <c r="AD272" s="10">
        <f t="shared" si="15"/>
        <v>10.471716203259827</v>
      </c>
    </row>
    <row r="273" spans="1:30" x14ac:dyDescent="0.3">
      <c r="A273" s="55"/>
      <c r="B273" s="30" t="s">
        <v>275</v>
      </c>
      <c r="C273" s="9">
        <v>41</v>
      </c>
      <c r="D273" s="9">
        <v>17</v>
      </c>
      <c r="E273" s="9">
        <v>34</v>
      </c>
      <c r="F273" s="9">
        <v>44</v>
      </c>
      <c r="G273" s="9">
        <v>40</v>
      </c>
      <c r="H273" s="9">
        <v>74</v>
      </c>
      <c r="I273" s="9">
        <v>58</v>
      </c>
      <c r="J273" s="9">
        <v>52</v>
      </c>
      <c r="K273" s="9">
        <v>62</v>
      </c>
      <c r="L273" s="9">
        <v>83</v>
      </c>
      <c r="M273" s="9">
        <v>84</v>
      </c>
      <c r="N273" s="9">
        <v>69</v>
      </c>
      <c r="O273" s="9">
        <v>275</v>
      </c>
      <c r="P273" s="9">
        <v>29</v>
      </c>
      <c r="Q273" s="9">
        <v>41</v>
      </c>
      <c r="R273" s="9">
        <v>127</v>
      </c>
      <c r="S273" s="9">
        <v>119</v>
      </c>
      <c r="T273" s="9">
        <v>56</v>
      </c>
      <c r="U273" s="9">
        <v>1</v>
      </c>
      <c r="V273" s="9">
        <v>2</v>
      </c>
      <c r="W273" s="9">
        <v>2</v>
      </c>
      <c r="X273" s="9">
        <v>0</v>
      </c>
      <c r="Y273" s="9">
        <v>1</v>
      </c>
      <c r="Z273" s="9">
        <v>1</v>
      </c>
      <c r="AB273" s="9">
        <f t="shared" si="13"/>
        <v>1312</v>
      </c>
      <c r="AC273" s="9">
        <f t="shared" si="14"/>
        <v>13454</v>
      </c>
      <c r="AD273" s="10">
        <f t="shared" si="15"/>
        <v>10.254573170731707</v>
      </c>
    </row>
    <row r="274" spans="1:30" x14ac:dyDescent="0.3">
      <c r="A274" s="55"/>
      <c r="B274" s="30" t="s">
        <v>276</v>
      </c>
      <c r="C274" s="9">
        <v>68</v>
      </c>
      <c r="D274" s="9">
        <v>43</v>
      </c>
      <c r="E274" s="9">
        <v>70</v>
      </c>
      <c r="F274" s="9">
        <v>89</v>
      </c>
      <c r="G274" s="9">
        <v>98</v>
      </c>
      <c r="H274" s="9">
        <v>111</v>
      </c>
      <c r="I274" s="9">
        <v>102</v>
      </c>
      <c r="J274" s="9">
        <v>66</v>
      </c>
      <c r="K274" s="9">
        <v>82</v>
      </c>
      <c r="L274" s="9">
        <v>68</v>
      </c>
      <c r="M274" s="9">
        <v>73</v>
      </c>
      <c r="N274" s="9">
        <v>49</v>
      </c>
      <c r="O274" s="9">
        <v>192</v>
      </c>
      <c r="P274" s="9">
        <v>8</v>
      </c>
      <c r="Q274" s="9">
        <v>8</v>
      </c>
      <c r="R274" s="9">
        <v>42</v>
      </c>
      <c r="S274" s="9">
        <v>64</v>
      </c>
      <c r="T274" s="9">
        <v>36</v>
      </c>
      <c r="U274" s="9">
        <v>0</v>
      </c>
      <c r="V274" s="9">
        <v>5</v>
      </c>
      <c r="W274" s="9">
        <v>2</v>
      </c>
      <c r="X274" s="9">
        <v>1</v>
      </c>
      <c r="Y274" s="9">
        <v>0</v>
      </c>
      <c r="Z274" s="9">
        <v>0</v>
      </c>
      <c r="AB274" s="9">
        <f t="shared" si="13"/>
        <v>1277</v>
      </c>
      <c r="AC274" s="9">
        <f t="shared" si="14"/>
        <v>9950</v>
      </c>
      <c r="AD274" s="10">
        <f t="shared" si="15"/>
        <v>7.7916992952231796</v>
      </c>
    </row>
    <row r="275" spans="1:30" x14ac:dyDescent="0.3">
      <c r="A275" s="55"/>
      <c r="B275" s="30" t="s">
        <v>277</v>
      </c>
      <c r="C275" s="9">
        <v>3</v>
      </c>
      <c r="D275" s="9">
        <v>8</v>
      </c>
      <c r="E275" s="9">
        <v>13</v>
      </c>
      <c r="F275" s="9">
        <v>11</v>
      </c>
      <c r="G275" s="9">
        <v>20</v>
      </c>
      <c r="H275" s="9">
        <v>24</v>
      </c>
      <c r="I275" s="9">
        <v>29</v>
      </c>
      <c r="J275" s="9">
        <v>17</v>
      </c>
      <c r="K275" s="9">
        <v>35</v>
      </c>
      <c r="L275" s="9">
        <v>36</v>
      </c>
      <c r="M275" s="9">
        <v>32</v>
      </c>
      <c r="N275" s="9">
        <v>32</v>
      </c>
      <c r="O275" s="9">
        <v>112</v>
      </c>
      <c r="P275" s="9">
        <v>3</v>
      </c>
      <c r="Q275" s="9">
        <v>4</v>
      </c>
      <c r="R275" s="9">
        <v>12</v>
      </c>
      <c r="S275" s="9">
        <v>19</v>
      </c>
      <c r="T275" s="9">
        <v>14</v>
      </c>
      <c r="U275" s="9">
        <v>0</v>
      </c>
      <c r="V275" s="9">
        <v>0</v>
      </c>
      <c r="W275" s="9">
        <v>1</v>
      </c>
      <c r="X275" s="9">
        <v>0</v>
      </c>
      <c r="Y275" s="9">
        <v>0</v>
      </c>
      <c r="Z275" s="9">
        <v>1</v>
      </c>
      <c r="AB275" s="9">
        <f t="shared" si="13"/>
        <v>426</v>
      </c>
      <c r="AC275" s="9">
        <f t="shared" si="14"/>
        <v>4040</v>
      </c>
      <c r="AD275" s="10">
        <f t="shared" si="15"/>
        <v>9.4835680751173701</v>
      </c>
    </row>
    <row r="276" spans="1:30" x14ac:dyDescent="0.3">
      <c r="A276" s="55"/>
      <c r="B276" s="30" t="s">
        <v>278</v>
      </c>
      <c r="C276" s="9">
        <v>15</v>
      </c>
      <c r="D276" s="9">
        <v>8</v>
      </c>
      <c r="E276" s="9">
        <v>10</v>
      </c>
      <c r="F276" s="9">
        <v>23</v>
      </c>
      <c r="G276" s="9">
        <v>24</v>
      </c>
      <c r="H276" s="9">
        <v>37</v>
      </c>
      <c r="I276" s="9">
        <v>23</v>
      </c>
      <c r="J276" s="9">
        <v>12</v>
      </c>
      <c r="K276" s="9">
        <v>35</v>
      </c>
      <c r="L276" s="9">
        <v>9</v>
      </c>
      <c r="M276" s="9">
        <v>10</v>
      </c>
      <c r="N276" s="9">
        <v>14</v>
      </c>
      <c r="O276" s="9">
        <v>54</v>
      </c>
      <c r="P276" s="9">
        <v>0</v>
      </c>
      <c r="Q276" s="9">
        <v>9</v>
      </c>
      <c r="R276" s="9">
        <v>13</v>
      </c>
      <c r="S276" s="9">
        <v>22</v>
      </c>
      <c r="T276" s="9">
        <v>14</v>
      </c>
      <c r="U276" s="9">
        <v>1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B276" s="9">
        <f t="shared" si="13"/>
        <v>333</v>
      </c>
      <c r="AC276" s="9">
        <f t="shared" si="14"/>
        <v>2792</v>
      </c>
      <c r="AD276" s="10">
        <f t="shared" si="15"/>
        <v>8.3843843843843846</v>
      </c>
    </row>
    <row r="277" spans="1:30" x14ac:dyDescent="0.3">
      <c r="A277" s="55"/>
      <c r="B277" s="30" t="s">
        <v>279</v>
      </c>
      <c r="C277" s="9">
        <v>96</v>
      </c>
      <c r="D277" s="9">
        <v>94</v>
      </c>
      <c r="E277" s="9">
        <v>134</v>
      </c>
      <c r="F277" s="9">
        <v>166</v>
      </c>
      <c r="G277" s="9">
        <v>192</v>
      </c>
      <c r="H277" s="9">
        <v>213</v>
      </c>
      <c r="I277" s="9">
        <v>154</v>
      </c>
      <c r="J277" s="9">
        <v>111</v>
      </c>
      <c r="K277" s="9">
        <v>160</v>
      </c>
      <c r="L277" s="9">
        <v>95</v>
      </c>
      <c r="M277" s="9">
        <v>103</v>
      </c>
      <c r="N277" s="9">
        <v>77</v>
      </c>
      <c r="O277" s="9">
        <v>310</v>
      </c>
      <c r="P277" s="9">
        <v>10</v>
      </c>
      <c r="Q277" s="9">
        <v>20</v>
      </c>
      <c r="R277" s="9">
        <v>84</v>
      </c>
      <c r="S277" s="9">
        <v>75</v>
      </c>
      <c r="T277" s="9">
        <v>65</v>
      </c>
      <c r="U277" s="9">
        <v>1</v>
      </c>
      <c r="V277" s="9">
        <v>4</v>
      </c>
      <c r="W277" s="9">
        <v>3</v>
      </c>
      <c r="X277" s="9">
        <v>0</v>
      </c>
      <c r="Y277" s="9">
        <v>0</v>
      </c>
      <c r="Z277" s="9">
        <v>0</v>
      </c>
      <c r="AB277" s="9">
        <f t="shared" si="13"/>
        <v>2167</v>
      </c>
      <c r="AC277" s="9">
        <f t="shared" si="14"/>
        <v>16255</v>
      </c>
      <c r="AD277" s="10">
        <f t="shared" si="15"/>
        <v>7.5011536686663591</v>
      </c>
    </row>
    <row r="278" spans="1:30" x14ac:dyDescent="0.3">
      <c r="A278" s="55"/>
      <c r="B278" s="30" t="s">
        <v>280</v>
      </c>
      <c r="C278" s="9">
        <v>61</v>
      </c>
      <c r="D278" s="9">
        <v>103</v>
      </c>
      <c r="E278" s="9">
        <v>126</v>
      </c>
      <c r="F278" s="9">
        <v>123</v>
      </c>
      <c r="G278" s="9">
        <v>345</v>
      </c>
      <c r="H278" s="9">
        <v>215</v>
      </c>
      <c r="I278" s="9">
        <v>89</v>
      </c>
      <c r="J278" s="9">
        <v>87</v>
      </c>
      <c r="K278" s="9">
        <v>91</v>
      </c>
      <c r="L278" s="9">
        <v>66</v>
      </c>
      <c r="M278" s="9">
        <v>81</v>
      </c>
      <c r="N278" s="9">
        <v>43</v>
      </c>
      <c r="O278" s="9">
        <v>221</v>
      </c>
      <c r="P278" s="9">
        <v>12</v>
      </c>
      <c r="Q278" s="9">
        <v>9</v>
      </c>
      <c r="R278" s="9">
        <v>38</v>
      </c>
      <c r="S278" s="9">
        <v>55</v>
      </c>
      <c r="T278" s="9">
        <v>50</v>
      </c>
      <c r="U278" s="9">
        <v>1</v>
      </c>
      <c r="V278" s="9">
        <v>1</v>
      </c>
      <c r="W278" s="9">
        <v>3</v>
      </c>
      <c r="X278" s="9">
        <v>0</v>
      </c>
      <c r="Y278" s="9">
        <v>1</v>
      </c>
      <c r="Z278" s="9">
        <v>0</v>
      </c>
      <c r="AB278" s="9">
        <f t="shared" si="13"/>
        <v>1821</v>
      </c>
      <c r="AC278" s="9">
        <f t="shared" si="14"/>
        <v>12280</v>
      </c>
      <c r="AD278" s="10">
        <f t="shared" si="15"/>
        <v>6.7435475013728716</v>
      </c>
    </row>
    <row r="279" spans="1:30" x14ac:dyDescent="0.3">
      <c r="A279" s="55"/>
      <c r="B279" s="30" t="s">
        <v>281</v>
      </c>
      <c r="C279" s="9">
        <v>21</v>
      </c>
      <c r="D279" s="9">
        <v>3</v>
      </c>
      <c r="E279" s="9">
        <v>7</v>
      </c>
      <c r="F279" s="9">
        <v>17</v>
      </c>
      <c r="G279" s="9">
        <v>16</v>
      </c>
      <c r="H279" s="9">
        <v>21</v>
      </c>
      <c r="I279" s="9">
        <v>20</v>
      </c>
      <c r="J279" s="9">
        <v>13</v>
      </c>
      <c r="K279" s="9">
        <v>29</v>
      </c>
      <c r="L279" s="9">
        <v>17</v>
      </c>
      <c r="M279" s="9">
        <v>20</v>
      </c>
      <c r="N279" s="9">
        <v>15</v>
      </c>
      <c r="O279" s="9">
        <v>72</v>
      </c>
      <c r="P279" s="9">
        <v>5</v>
      </c>
      <c r="Q279" s="9">
        <v>8</v>
      </c>
      <c r="R279" s="9">
        <v>16</v>
      </c>
      <c r="S279" s="9">
        <v>26</v>
      </c>
      <c r="T279" s="9">
        <v>10</v>
      </c>
      <c r="U279" s="9">
        <v>0</v>
      </c>
      <c r="V279" s="9">
        <v>2</v>
      </c>
      <c r="W279" s="9">
        <v>1</v>
      </c>
      <c r="X279" s="9">
        <v>0</v>
      </c>
      <c r="Y279" s="9">
        <v>0</v>
      </c>
      <c r="Z279" s="9">
        <v>0</v>
      </c>
      <c r="AB279" s="9">
        <f t="shared" si="13"/>
        <v>339</v>
      </c>
      <c r="AC279" s="9">
        <f t="shared" si="14"/>
        <v>3123</v>
      </c>
      <c r="AD279" s="10">
        <f t="shared" si="15"/>
        <v>9.2123893805309738</v>
      </c>
    </row>
    <row r="280" spans="1:30" x14ac:dyDescent="0.3">
      <c r="A280" s="55"/>
      <c r="B280" s="30" t="s">
        <v>282</v>
      </c>
      <c r="C280" s="9">
        <v>33</v>
      </c>
      <c r="D280" s="9">
        <v>23</v>
      </c>
      <c r="E280" s="9">
        <v>32</v>
      </c>
      <c r="F280" s="9">
        <v>41</v>
      </c>
      <c r="G280" s="9">
        <v>42</v>
      </c>
      <c r="H280" s="9">
        <v>71</v>
      </c>
      <c r="I280" s="9">
        <v>82</v>
      </c>
      <c r="J280" s="9">
        <v>63</v>
      </c>
      <c r="K280" s="9">
        <v>83</v>
      </c>
      <c r="L280" s="9">
        <v>57</v>
      </c>
      <c r="M280" s="9">
        <v>55</v>
      </c>
      <c r="N280" s="9">
        <v>47</v>
      </c>
      <c r="O280" s="9">
        <v>111</v>
      </c>
      <c r="P280" s="9">
        <v>5</v>
      </c>
      <c r="Q280" s="9">
        <v>5</v>
      </c>
      <c r="R280" s="9">
        <v>32</v>
      </c>
      <c r="S280" s="9">
        <v>27</v>
      </c>
      <c r="T280" s="9">
        <v>19</v>
      </c>
      <c r="U280" s="9">
        <v>2</v>
      </c>
      <c r="V280" s="9">
        <v>1</v>
      </c>
      <c r="W280" s="9">
        <v>3</v>
      </c>
      <c r="X280" s="9">
        <v>0</v>
      </c>
      <c r="Y280" s="9">
        <v>0</v>
      </c>
      <c r="Z280" s="9">
        <v>0</v>
      </c>
      <c r="AB280" s="9">
        <f t="shared" si="13"/>
        <v>834</v>
      </c>
      <c r="AC280" s="9">
        <f t="shared" si="14"/>
        <v>6727</v>
      </c>
      <c r="AD280" s="10">
        <f t="shared" si="15"/>
        <v>8.065947242206235</v>
      </c>
    </row>
    <row r="281" spans="1:30" x14ac:dyDescent="0.3">
      <c r="A281" s="55"/>
      <c r="B281" s="30" t="s">
        <v>283</v>
      </c>
      <c r="C281" s="9">
        <v>28</v>
      </c>
      <c r="D281" s="9">
        <v>19</v>
      </c>
      <c r="E281" s="9">
        <v>32</v>
      </c>
      <c r="F281" s="9">
        <v>48</v>
      </c>
      <c r="G281" s="9">
        <v>52</v>
      </c>
      <c r="H281" s="9">
        <v>112</v>
      </c>
      <c r="I281" s="9">
        <v>112</v>
      </c>
      <c r="J281" s="9">
        <v>83</v>
      </c>
      <c r="K281" s="9">
        <v>129</v>
      </c>
      <c r="L281" s="9">
        <v>143</v>
      </c>
      <c r="M281" s="9">
        <v>163</v>
      </c>
      <c r="N281" s="9">
        <v>147</v>
      </c>
      <c r="O281" s="9">
        <v>572</v>
      </c>
      <c r="P281" s="9">
        <v>55</v>
      </c>
      <c r="Q281" s="9">
        <v>63</v>
      </c>
      <c r="R281" s="9">
        <v>254</v>
      </c>
      <c r="S281" s="9">
        <v>315</v>
      </c>
      <c r="T281" s="9">
        <v>343</v>
      </c>
      <c r="U281" s="9">
        <v>10</v>
      </c>
      <c r="V281" s="9">
        <v>8</v>
      </c>
      <c r="W281" s="9">
        <v>4</v>
      </c>
      <c r="X281" s="9">
        <v>0</v>
      </c>
      <c r="Y281" s="9">
        <v>0</v>
      </c>
      <c r="Z281" s="9">
        <v>0</v>
      </c>
      <c r="AB281" s="9">
        <f t="shared" si="13"/>
        <v>2692</v>
      </c>
      <c r="AC281" s="9">
        <f t="shared" si="14"/>
        <v>31368</v>
      </c>
      <c r="AD281" s="10">
        <f t="shared" si="15"/>
        <v>11.652303120356612</v>
      </c>
    </row>
    <row r="282" spans="1:30" x14ac:dyDescent="0.3">
      <c r="A282" s="55"/>
      <c r="B282" s="30" t="s">
        <v>284</v>
      </c>
      <c r="C282" s="9">
        <v>17</v>
      </c>
      <c r="D282" s="9">
        <v>9</v>
      </c>
      <c r="E282" s="9">
        <v>12</v>
      </c>
      <c r="F282" s="9">
        <v>16</v>
      </c>
      <c r="G282" s="9">
        <v>21</v>
      </c>
      <c r="H282" s="9">
        <v>24</v>
      </c>
      <c r="I282" s="9">
        <v>26</v>
      </c>
      <c r="J282" s="9">
        <v>22</v>
      </c>
      <c r="K282" s="9">
        <v>22</v>
      </c>
      <c r="L282" s="9">
        <v>26</v>
      </c>
      <c r="M282" s="9">
        <v>24</v>
      </c>
      <c r="N282" s="9">
        <v>27</v>
      </c>
      <c r="O282" s="9">
        <v>81</v>
      </c>
      <c r="P282" s="9">
        <v>1</v>
      </c>
      <c r="Q282" s="9">
        <v>4</v>
      </c>
      <c r="R282" s="9">
        <v>25</v>
      </c>
      <c r="S282" s="9">
        <v>32</v>
      </c>
      <c r="T282" s="9">
        <v>14</v>
      </c>
      <c r="U282" s="9">
        <v>3</v>
      </c>
      <c r="V282" s="9">
        <v>0</v>
      </c>
      <c r="W282" s="9">
        <v>0</v>
      </c>
      <c r="X282" s="9">
        <v>1</v>
      </c>
      <c r="Y282" s="9">
        <v>0</v>
      </c>
      <c r="Z282" s="9">
        <v>1</v>
      </c>
      <c r="AB282" s="9">
        <f t="shared" si="13"/>
        <v>408</v>
      </c>
      <c r="AC282" s="9">
        <f t="shared" si="14"/>
        <v>3806</v>
      </c>
      <c r="AD282" s="10">
        <f t="shared" si="15"/>
        <v>9.3284313725490193</v>
      </c>
    </row>
    <row r="283" spans="1:30" x14ac:dyDescent="0.3">
      <c r="A283" s="55"/>
      <c r="B283" s="30" t="s">
        <v>285</v>
      </c>
      <c r="C283" s="9">
        <v>47</v>
      </c>
      <c r="D283" s="9">
        <v>31</v>
      </c>
      <c r="E283" s="9">
        <v>32</v>
      </c>
      <c r="F283" s="9">
        <v>45</v>
      </c>
      <c r="G283" s="9">
        <v>39</v>
      </c>
      <c r="H283" s="9">
        <v>76</v>
      </c>
      <c r="I283" s="9">
        <v>64</v>
      </c>
      <c r="J283" s="9">
        <v>59</v>
      </c>
      <c r="K283" s="9">
        <v>82</v>
      </c>
      <c r="L283" s="9">
        <v>63</v>
      </c>
      <c r="M283" s="9">
        <v>59</v>
      </c>
      <c r="N283" s="9">
        <v>57</v>
      </c>
      <c r="O283" s="9">
        <v>234</v>
      </c>
      <c r="P283" s="9">
        <v>24</v>
      </c>
      <c r="Q283" s="9">
        <v>21</v>
      </c>
      <c r="R283" s="9">
        <v>67</v>
      </c>
      <c r="S283" s="9">
        <v>81</v>
      </c>
      <c r="T283" s="9">
        <v>96</v>
      </c>
      <c r="U283" s="9">
        <v>5</v>
      </c>
      <c r="V283" s="9">
        <v>6</v>
      </c>
      <c r="W283" s="9">
        <v>1</v>
      </c>
      <c r="X283" s="9">
        <v>0</v>
      </c>
      <c r="Y283" s="9">
        <v>0</v>
      </c>
      <c r="Z283" s="9">
        <v>1</v>
      </c>
      <c r="AB283" s="9">
        <f t="shared" si="13"/>
        <v>1190</v>
      </c>
      <c r="AC283" s="9">
        <f t="shared" si="14"/>
        <v>11597</v>
      </c>
      <c r="AD283" s="10">
        <f t="shared" si="15"/>
        <v>9.7453781512605033</v>
      </c>
    </row>
    <row r="284" spans="1:30" x14ac:dyDescent="0.3">
      <c r="A284" s="55"/>
      <c r="B284" s="30" t="s">
        <v>286</v>
      </c>
      <c r="C284" s="9">
        <v>4</v>
      </c>
      <c r="D284" s="9">
        <v>3</v>
      </c>
      <c r="E284" s="9">
        <v>2</v>
      </c>
      <c r="F284" s="9">
        <v>5</v>
      </c>
      <c r="G284" s="9">
        <v>2</v>
      </c>
      <c r="H284" s="9">
        <v>13</v>
      </c>
      <c r="I284" s="9">
        <v>6</v>
      </c>
      <c r="J284" s="9">
        <v>4</v>
      </c>
      <c r="K284" s="9">
        <v>10</v>
      </c>
      <c r="L284" s="9">
        <v>11</v>
      </c>
      <c r="M284" s="9">
        <v>11</v>
      </c>
      <c r="N284" s="9">
        <v>11</v>
      </c>
      <c r="O284" s="9">
        <v>52</v>
      </c>
      <c r="P284" s="9">
        <v>2</v>
      </c>
      <c r="Q284" s="9">
        <v>3</v>
      </c>
      <c r="R284" s="9">
        <v>5</v>
      </c>
      <c r="S284" s="9">
        <v>8</v>
      </c>
      <c r="T284" s="9">
        <v>9</v>
      </c>
      <c r="U284" s="9">
        <v>0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B284" s="9">
        <f t="shared" si="13"/>
        <v>162</v>
      </c>
      <c r="AC284" s="9">
        <f t="shared" si="14"/>
        <v>1636</v>
      </c>
      <c r="AD284" s="10">
        <f t="shared" si="15"/>
        <v>10.098765432098766</v>
      </c>
    </row>
    <row r="285" spans="1:30" x14ac:dyDescent="0.3">
      <c r="A285" s="55"/>
      <c r="B285" s="30" t="s">
        <v>287</v>
      </c>
      <c r="C285" s="9">
        <v>8</v>
      </c>
      <c r="D285" s="9">
        <v>7</v>
      </c>
      <c r="E285" s="9">
        <v>12</v>
      </c>
      <c r="F285" s="9">
        <v>10</v>
      </c>
      <c r="G285" s="9">
        <v>16</v>
      </c>
      <c r="H285" s="9">
        <v>21</v>
      </c>
      <c r="I285" s="9">
        <v>10</v>
      </c>
      <c r="J285" s="9">
        <v>8</v>
      </c>
      <c r="K285" s="9">
        <v>13</v>
      </c>
      <c r="L285" s="9">
        <v>11</v>
      </c>
      <c r="M285" s="9">
        <v>8</v>
      </c>
      <c r="N285" s="9">
        <v>9</v>
      </c>
      <c r="O285" s="9">
        <v>34</v>
      </c>
      <c r="P285" s="9">
        <v>0</v>
      </c>
      <c r="Q285" s="9">
        <v>2</v>
      </c>
      <c r="R285" s="9">
        <v>6</v>
      </c>
      <c r="S285" s="9">
        <v>12</v>
      </c>
      <c r="T285" s="9">
        <v>4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B285" s="9">
        <f t="shared" si="13"/>
        <v>191</v>
      </c>
      <c r="AC285" s="9">
        <f t="shared" si="14"/>
        <v>1514</v>
      </c>
      <c r="AD285" s="10">
        <f t="shared" si="15"/>
        <v>7.9267015706806285</v>
      </c>
    </row>
    <row r="286" spans="1:30" x14ac:dyDescent="0.3">
      <c r="A286" s="55"/>
      <c r="B286" s="30" t="s">
        <v>288</v>
      </c>
      <c r="C286" s="9">
        <v>19</v>
      </c>
      <c r="D286" s="9">
        <v>3</v>
      </c>
      <c r="E286" s="9">
        <v>7</v>
      </c>
      <c r="F286" s="9">
        <v>10</v>
      </c>
      <c r="G286" s="9">
        <v>11</v>
      </c>
      <c r="H286" s="9">
        <v>17</v>
      </c>
      <c r="I286" s="9">
        <v>2</v>
      </c>
      <c r="J286" s="9">
        <v>5</v>
      </c>
      <c r="K286" s="9">
        <v>9</v>
      </c>
      <c r="L286" s="9">
        <v>5</v>
      </c>
      <c r="M286" s="9">
        <v>9</v>
      </c>
      <c r="N286" s="9">
        <v>8</v>
      </c>
      <c r="O286" s="9">
        <v>43</v>
      </c>
      <c r="P286" s="9">
        <v>2</v>
      </c>
      <c r="Q286" s="9">
        <v>5</v>
      </c>
      <c r="R286" s="9">
        <v>10</v>
      </c>
      <c r="S286" s="9">
        <v>11</v>
      </c>
      <c r="T286" s="9">
        <v>14</v>
      </c>
      <c r="U286" s="9">
        <v>2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B286" s="9">
        <f t="shared" si="13"/>
        <v>192</v>
      </c>
      <c r="AC286" s="9">
        <f t="shared" si="14"/>
        <v>1730</v>
      </c>
      <c r="AD286" s="10">
        <f t="shared" si="15"/>
        <v>9.0104166666666661</v>
      </c>
    </row>
    <row r="287" spans="1:30" x14ac:dyDescent="0.3">
      <c r="A287" s="55"/>
      <c r="B287" s="30" t="s">
        <v>289</v>
      </c>
      <c r="C287" s="9">
        <v>6</v>
      </c>
      <c r="D287" s="9">
        <v>5</v>
      </c>
      <c r="E287" s="9">
        <v>4</v>
      </c>
      <c r="F287" s="9">
        <v>7</v>
      </c>
      <c r="G287" s="9">
        <v>5</v>
      </c>
      <c r="H287" s="9">
        <v>10</v>
      </c>
      <c r="I287" s="9">
        <v>10</v>
      </c>
      <c r="J287" s="9">
        <v>7</v>
      </c>
      <c r="K287" s="9">
        <v>15</v>
      </c>
      <c r="L287" s="9">
        <v>4</v>
      </c>
      <c r="M287" s="9">
        <v>9</v>
      </c>
      <c r="N287" s="9">
        <v>3</v>
      </c>
      <c r="O287" s="9">
        <v>15</v>
      </c>
      <c r="P287" s="9">
        <v>5</v>
      </c>
      <c r="Q287" s="9">
        <v>3</v>
      </c>
      <c r="R287" s="9">
        <v>7</v>
      </c>
      <c r="S287" s="9">
        <v>17</v>
      </c>
      <c r="T287" s="9">
        <v>7</v>
      </c>
      <c r="U287" s="9">
        <v>2</v>
      </c>
      <c r="V287" s="9">
        <v>0</v>
      </c>
      <c r="W287" s="9">
        <v>1</v>
      </c>
      <c r="X287" s="9">
        <v>1</v>
      </c>
      <c r="Y287" s="9">
        <v>0</v>
      </c>
      <c r="Z287" s="9">
        <v>0</v>
      </c>
      <c r="AB287" s="9">
        <f t="shared" si="13"/>
        <v>143</v>
      </c>
      <c r="AC287" s="9">
        <f t="shared" si="14"/>
        <v>1352</v>
      </c>
      <c r="AD287" s="10">
        <f t="shared" si="15"/>
        <v>9.454545454545455</v>
      </c>
    </row>
    <row r="288" spans="1:30" x14ac:dyDescent="0.3">
      <c r="A288" s="55"/>
      <c r="B288" s="30" t="s">
        <v>290</v>
      </c>
      <c r="C288" s="9">
        <v>28</v>
      </c>
      <c r="D288" s="9">
        <v>18</v>
      </c>
      <c r="E288" s="9">
        <v>38</v>
      </c>
      <c r="F288" s="9">
        <v>45</v>
      </c>
      <c r="G288" s="9">
        <v>40</v>
      </c>
      <c r="H288" s="9">
        <v>64</v>
      </c>
      <c r="I288" s="9">
        <v>34</v>
      </c>
      <c r="J288" s="9">
        <v>28</v>
      </c>
      <c r="K288" s="9">
        <v>40</v>
      </c>
      <c r="L288" s="9">
        <v>39</v>
      </c>
      <c r="M288" s="9">
        <v>55</v>
      </c>
      <c r="N288" s="9">
        <v>32</v>
      </c>
      <c r="O288" s="9">
        <v>139</v>
      </c>
      <c r="P288" s="9">
        <v>9</v>
      </c>
      <c r="Q288" s="9">
        <v>9</v>
      </c>
      <c r="R288" s="9">
        <v>33</v>
      </c>
      <c r="S288" s="9">
        <v>48</v>
      </c>
      <c r="T288" s="9">
        <v>31</v>
      </c>
      <c r="U288" s="9">
        <v>1</v>
      </c>
      <c r="V288" s="9">
        <v>4</v>
      </c>
      <c r="W288" s="9">
        <v>0</v>
      </c>
      <c r="X288" s="9">
        <v>0</v>
      </c>
      <c r="Y288" s="9">
        <v>1</v>
      </c>
      <c r="Z288" s="9">
        <v>0</v>
      </c>
      <c r="AB288" s="9">
        <f t="shared" si="13"/>
        <v>736</v>
      </c>
      <c r="AC288" s="9">
        <f t="shared" si="14"/>
        <v>6499</v>
      </c>
      <c r="AD288" s="10">
        <f t="shared" si="15"/>
        <v>8.8301630434782616</v>
      </c>
    </row>
    <row r="289" spans="1:30" x14ac:dyDescent="0.3">
      <c r="A289" s="55"/>
      <c r="B289" s="30" t="s">
        <v>291</v>
      </c>
      <c r="C289" s="9">
        <v>44</v>
      </c>
      <c r="D289" s="9">
        <v>33</v>
      </c>
      <c r="E289" s="9">
        <v>48</v>
      </c>
      <c r="F289" s="9">
        <v>56</v>
      </c>
      <c r="G289" s="9">
        <v>58</v>
      </c>
      <c r="H289" s="9">
        <v>75</v>
      </c>
      <c r="I289" s="9">
        <v>40</v>
      </c>
      <c r="J289" s="9">
        <v>31</v>
      </c>
      <c r="K289" s="9">
        <v>37</v>
      </c>
      <c r="L289" s="9">
        <v>21</v>
      </c>
      <c r="M289" s="9">
        <v>22</v>
      </c>
      <c r="N289" s="9">
        <v>23</v>
      </c>
      <c r="O289" s="9">
        <v>87</v>
      </c>
      <c r="P289" s="9">
        <v>8</v>
      </c>
      <c r="Q289" s="9">
        <v>6</v>
      </c>
      <c r="R289" s="9">
        <v>25</v>
      </c>
      <c r="S289" s="9">
        <v>33</v>
      </c>
      <c r="T289" s="9">
        <v>15</v>
      </c>
      <c r="U289" s="9">
        <v>2</v>
      </c>
      <c r="V289" s="9">
        <v>0</v>
      </c>
      <c r="W289" s="9">
        <v>2</v>
      </c>
      <c r="X289" s="9">
        <v>0</v>
      </c>
      <c r="Y289" s="9">
        <v>0</v>
      </c>
      <c r="Z289" s="9">
        <v>0</v>
      </c>
      <c r="AB289" s="9">
        <f t="shared" si="13"/>
        <v>666</v>
      </c>
      <c r="AC289" s="9">
        <f t="shared" si="14"/>
        <v>4785</v>
      </c>
      <c r="AD289" s="10">
        <f t="shared" si="15"/>
        <v>7.1846846846846848</v>
      </c>
    </row>
    <row r="290" spans="1:30" x14ac:dyDescent="0.3">
      <c r="A290" s="55"/>
      <c r="B290" s="30" t="s">
        <v>292</v>
      </c>
      <c r="C290" s="9">
        <v>36</v>
      </c>
      <c r="D290" s="9">
        <v>33</v>
      </c>
      <c r="E290" s="9">
        <v>39</v>
      </c>
      <c r="F290" s="9">
        <v>62</v>
      </c>
      <c r="G290" s="9">
        <v>73</v>
      </c>
      <c r="H290" s="9">
        <v>78</v>
      </c>
      <c r="I290" s="9">
        <v>47</v>
      </c>
      <c r="J290" s="9">
        <v>21</v>
      </c>
      <c r="K290" s="9">
        <v>25</v>
      </c>
      <c r="L290" s="9">
        <v>42</v>
      </c>
      <c r="M290" s="9">
        <v>35</v>
      </c>
      <c r="N290" s="9">
        <v>38</v>
      </c>
      <c r="O290" s="9">
        <v>108</v>
      </c>
      <c r="P290" s="9">
        <v>12</v>
      </c>
      <c r="Q290" s="9">
        <v>11</v>
      </c>
      <c r="R290" s="9">
        <v>38</v>
      </c>
      <c r="S290" s="9">
        <v>45</v>
      </c>
      <c r="T290" s="9">
        <v>28</v>
      </c>
      <c r="U290" s="9">
        <v>3</v>
      </c>
      <c r="V290" s="9">
        <v>3</v>
      </c>
      <c r="W290" s="9">
        <v>0</v>
      </c>
      <c r="X290" s="9">
        <v>0</v>
      </c>
      <c r="Y290" s="9">
        <v>1</v>
      </c>
      <c r="Z290" s="9">
        <v>0</v>
      </c>
      <c r="AB290" s="9">
        <f t="shared" si="13"/>
        <v>778</v>
      </c>
      <c r="AC290" s="9">
        <f t="shared" si="14"/>
        <v>6259</v>
      </c>
      <c r="AD290" s="10">
        <f t="shared" si="15"/>
        <v>8.0449871465295626</v>
      </c>
    </row>
    <row r="291" spans="1:30" x14ac:dyDescent="0.3">
      <c r="A291" s="55"/>
      <c r="B291" s="30" t="s">
        <v>293</v>
      </c>
      <c r="C291" s="9">
        <v>11</v>
      </c>
      <c r="D291" s="9">
        <v>6</v>
      </c>
      <c r="E291" s="9">
        <v>6</v>
      </c>
      <c r="F291" s="9">
        <v>12</v>
      </c>
      <c r="G291" s="9">
        <v>14</v>
      </c>
      <c r="H291" s="9">
        <v>14</v>
      </c>
      <c r="I291" s="9">
        <v>8</v>
      </c>
      <c r="J291" s="9">
        <v>14</v>
      </c>
      <c r="K291" s="9">
        <v>18</v>
      </c>
      <c r="L291" s="9">
        <v>8</v>
      </c>
      <c r="M291" s="9">
        <v>15</v>
      </c>
      <c r="N291" s="9">
        <v>17</v>
      </c>
      <c r="O291" s="9">
        <v>80</v>
      </c>
      <c r="P291" s="9">
        <v>2</v>
      </c>
      <c r="Q291" s="9">
        <v>3</v>
      </c>
      <c r="R291" s="9">
        <v>21</v>
      </c>
      <c r="S291" s="9">
        <v>14</v>
      </c>
      <c r="T291" s="9">
        <v>14</v>
      </c>
      <c r="U291" s="9">
        <v>0</v>
      </c>
      <c r="V291" s="9">
        <v>2</v>
      </c>
      <c r="W291" s="9">
        <v>1</v>
      </c>
      <c r="X291" s="9">
        <v>1</v>
      </c>
      <c r="Y291" s="9">
        <v>0</v>
      </c>
      <c r="Z291" s="9">
        <v>0</v>
      </c>
      <c r="AB291" s="9">
        <f t="shared" si="13"/>
        <v>281</v>
      </c>
      <c r="AC291" s="9">
        <f t="shared" si="14"/>
        <v>2763</v>
      </c>
      <c r="AD291" s="10">
        <f t="shared" si="15"/>
        <v>9.832740213523131</v>
      </c>
    </row>
    <row r="292" spans="1:30" x14ac:dyDescent="0.3">
      <c r="A292" s="55"/>
      <c r="B292" s="30" t="s">
        <v>294</v>
      </c>
      <c r="C292" s="9">
        <v>244</v>
      </c>
      <c r="D292" s="9">
        <v>173</v>
      </c>
      <c r="E292" s="9">
        <v>271</v>
      </c>
      <c r="F292" s="9">
        <v>359</v>
      </c>
      <c r="G292" s="9">
        <v>348</v>
      </c>
      <c r="H292" s="9">
        <v>549</v>
      </c>
      <c r="I292" s="9">
        <v>475</v>
      </c>
      <c r="J292" s="9">
        <v>373</v>
      </c>
      <c r="K292" s="9">
        <v>485</v>
      </c>
      <c r="L292" s="9">
        <v>597</v>
      </c>
      <c r="M292" s="9">
        <v>574</v>
      </c>
      <c r="N292" s="9">
        <v>530</v>
      </c>
      <c r="O292" s="9">
        <v>1977</v>
      </c>
      <c r="P292" s="9">
        <v>118</v>
      </c>
      <c r="Q292" s="9">
        <v>199</v>
      </c>
      <c r="R292" s="9">
        <v>498</v>
      </c>
      <c r="S292" s="9">
        <v>813</v>
      </c>
      <c r="T292" s="9">
        <v>756</v>
      </c>
      <c r="U292" s="9">
        <v>43</v>
      </c>
      <c r="V292" s="9">
        <v>31</v>
      </c>
      <c r="W292" s="9">
        <v>19</v>
      </c>
      <c r="X292" s="9">
        <v>5</v>
      </c>
      <c r="Y292" s="9">
        <v>0</v>
      </c>
      <c r="Z292" s="9">
        <v>2</v>
      </c>
      <c r="AB292" s="9">
        <f t="shared" si="13"/>
        <v>9439</v>
      </c>
      <c r="AC292" s="9">
        <f t="shared" si="14"/>
        <v>95481</v>
      </c>
      <c r="AD292" s="10">
        <f t="shared" si="15"/>
        <v>10.11558427799555</v>
      </c>
    </row>
    <row r="293" spans="1:30" x14ac:dyDescent="0.3">
      <c r="A293" s="55"/>
      <c r="B293" s="30" t="s">
        <v>295</v>
      </c>
      <c r="C293" s="9">
        <v>62</v>
      </c>
      <c r="D293" s="9">
        <v>45</v>
      </c>
      <c r="E293" s="9">
        <v>44</v>
      </c>
      <c r="F293" s="9">
        <v>82</v>
      </c>
      <c r="G293" s="9">
        <v>58</v>
      </c>
      <c r="H293" s="9">
        <v>94</v>
      </c>
      <c r="I293" s="9">
        <v>86</v>
      </c>
      <c r="J293" s="9">
        <v>54</v>
      </c>
      <c r="K293" s="9">
        <v>80</v>
      </c>
      <c r="L293" s="9">
        <v>53</v>
      </c>
      <c r="M293" s="9">
        <v>68</v>
      </c>
      <c r="N293" s="9">
        <v>42</v>
      </c>
      <c r="O293" s="9">
        <v>160</v>
      </c>
      <c r="P293" s="9">
        <v>3</v>
      </c>
      <c r="Q293" s="9">
        <v>8</v>
      </c>
      <c r="R293" s="9">
        <v>25</v>
      </c>
      <c r="S293" s="9">
        <v>46</v>
      </c>
      <c r="T293" s="9">
        <v>33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B293" s="9">
        <f t="shared" si="13"/>
        <v>1043</v>
      </c>
      <c r="AC293" s="9">
        <f t="shared" si="14"/>
        <v>7977</v>
      </c>
      <c r="AD293" s="10">
        <f t="shared" si="15"/>
        <v>7.6481303930968361</v>
      </c>
    </row>
    <row r="294" spans="1:30" x14ac:dyDescent="0.3">
      <c r="A294" s="55"/>
      <c r="B294" s="30" t="s">
        <v>296</v>
      </c>
      <c r="C294" s="9">
        <v>70</v>
      </c>
      <c r="D294" s="9">
        <v>34</v>
      </c>
      <c r="E294" s="9">
        <v>61</v>
      </c>
      <c r="F294" s="9">
        <v>85</v>
      </c>
      <c r="G294" s="9">
        <v>85</v>
      </c>
      <c r="H294" s="9">
        <v>140</v>
      </c>
      <c r="I294" s="9">
        <v>152</v>
      </c>
      <c r="J294" s="9">
        <v>94</v>
      </c>
      <c r="K294" s="9">
        <v>139</v>
      </c>
      <c r="L294" s="9">
        <v>111</v>
      </c>
      <c r="M294" s="9">
        <v>126</v>
      </c>
      <c r="N294" s="9">
        <v>113</v>
      </c>
      <c r="O294" s="9">
        <v>381</v>
      </c>
      <c r="P294" s="9">
        <v>13</v>
      </c>
      <c r="Q294" s="9">
        <v>28</v>
      </c>
      <c r="R294" s="9">
        <v>58</v>
      </c>
      <c r="S294" s="9">
        <v>81</v>
      </c>
      <c r="T294" s="9">
        <v>67</v>
      </c>
      <c r="U294" s="9">
        <v>2</v>
      </c>
      <c r="V294" s="9">
        <v>9</v>
      </c>
      <c r="W294" s="9">
        <v>4</v>
      </c>
      <c r="X294" s="9">
        <v>1</v>
      </c>
      <c r="Y294" s="9">
        <v>0</v>
      </c>
      <c r="Z294" s="9">
        <v>0</v>
      </c>
      <c r="AB294" s="9">
        <f t="shared" si="13"/>
        <v>1854</v>
      </c>
      <c r="AC294" s="9">
        <f t="shared" si="14"/>
        <v>16381</v>
      </c>
      <c r="AD294" s="10">
        <f t="shared" si="15"/>
        <v>8.835490830636461</v>
      </c>
    </row>
    <row r="295" spans="1:30" x14ac:dyDescent="0.3">
      <c r="A295" s="55"/>
      <c r="B295" s="30" t="s">
        <v>297</v>
      </c>
      <c r="C295" s="9">
        <v>43</v>
      </c>
      <c r="D295" s="9">
        <v>27</v>
      </c>
      <c r="E295" s="9">
        <v>56</v>
      </c>
      <c r="F295" s="9">
        <v>64</v>
      </c>
      <c r="G295" s="9">
        <v>56</v>
      </c>
      <c r="H295" s="9">
        <v>97</v>
      </c>
      <c r="I295" s="9">
        <v>59</v>
      </c>
      <c r="J295" s="9">
        <v>58</v>
      </c>
      <c r="K295" s="9">
        <v>82</v>
      </c>
      <c r="L295" s="9">
        <v>67</v>
      </c>
      <c r="M295" s="9">
        <v>62</v>
      </c>
      <c r="N295" s="9">
        <v>67</v>
      </c>
      <c r="O295" s="9">
        <v>223</v>
      </c>
      <c r="P295" s="9">
        <v>7</v>
      </c>
      <c r="Q295" s="9">
        <v>9</v>
      </c>
      <c r="R295" s="9">
        <v>42</v>
      </c>
      <c r="S295" s="9">
        <v>56</v>
      </c>
      <c r="T295" s="9">
        <v>43</v>
      </c>
      <c r="U295" s="9">
        <v>2</v>
      </c>
      <c r="V295" s="9">
        <v>3</v>
      </c>
      <c r="W295" s="9">
        <v>3</v>
      </c>
      <c r="X295" s="9">
        <v>1</v>
      </c>
      <c r="Y295" s="9">
        <v>0</v>
      </c>
      <c r="Z295" s="9">
        <v>0</v>
      </c>
      <c r="AB295" s="9">
        <f t="shared" si="13"/>
        <v>1127</v>
      </c>
      <c r="AC295" s="9">
        <f t="shared" si="14"/>
        <v>9740</v>
      </c>
      <c r="AD295" s="10">
        <f t="shared" si="15"/>
        <v>8.6424134871339842</v>
      </c>
    </row>
    <row r="296" spans="1:30" x14ac:dyDescent="0.3">
      <c r="A296" s="55"/>
      <c r="B296" s="30" t="s">
        <v>298</v>
      </c>
      <c r="C296" s="9">
        <v>64</v>
      </c>
      <c r="D296" s="9">
        <v>38</v>
      </c>
      <c r="E296" s="9">
        <v>52</v>
      </c>
      <c r="F296" s="9">
        <v>70</v>
      </c>
      <c r="G296" s="9">
        <v>81</v>
      </c>
      <c r="H296" s="9">
        <v>78</v>
      </c>
      <c r="I296" s="9">
        <v>84</v>
      </c>
      <c r="J296" s="9">
        <v>63</v>
      </c>
      <c r="K296" s="9">
        <v>98</v>
      </c>
      <c r="L296" s="9">
        <v>77</v>
      </c>
      <c r="M296" s="9">
        <v>88</v>
      </c>
      <c r="N296" s="9">
        <v>74</v>
      </c>
      <c r="O296" s="9">
        <v>322</v>
      </c>
      <c r="P296" s="9">
        <v>14</v>
      </c>
      <c r="Q296" s="9">
        <v>17</v>
      </c>
      <c r="R296" s="9">
        <v>63</v>
      </c>
      <c r="S296" s="9">
        <v>68</v>
      </c>
      <c r="T296" s="9">
        <v>63</v>
      </c>
      <c r="U296" s="9">
        <v>4</v>
      </c>
      <c r="V296" s="9">
        <v>1</v>
      </c>
      <c r="W296" s="9">
        <v>1</v>
      </c>
      <c r="X296" s="9">
        <v>0</v>
      </c>
      <c r="Y296" s="9">
        <v>0</v>
      </c>
      <c r="Z296" s="9">
        <v>0</v>
      </c>
      <c r="AB296" s="9">
        <f t="shared" si="13"/>
        <v>1420</v>
      </c>
      <c r="AC296" s="9">
        <f t="shared" si="14"/>
        <v>12681</v>
      </c>
      <c r="AD296" s="10">
        <f t="shared" si="15"/>
        <v>8.9302816901408448</v>
      </c>
    </row>
    <row r="297" spans="1:30" x14ac:dyDescent="0.3">
      <c r="A297" s="55"/>
      <c r="B297" s="30" t="s">
        <v>299</v>
      </c>
      <c r="C297" s="9">
        <v>39</v>
      </c>
      <c r="D297" s="9">
        <v>40</v>
      </c>
      <c r="E297" s="9">
        <v>50</v>
      </c>
      <c r="F297" s="9">
        <v>82</v>
      </c>
      <c r="G297" s="9">
        <v>63</v>
      </c>
      <c r="H297" s="9">
        <v>146</v>
      </c>
      <c r="I297" s="9">
        <v>94</v>
      </c>
      <c r="J297" s="9">
        <v>77</v>
      </c>
      <c r="K297" s="9">
        <v>96</v>
      </c>
      <c r="L297" s="9">
        <v>81</v>
      </c>
      <c r="M297" s="9">
        <v>86</v>
      </c>
      <c r="N297" s="9">
        <v>58</v>
      </c>
      <c r="O297" s="9">
        <v>215</v>
      </c>
      <c r="P297" s="9">
        <v>4</v>
      </c>
      <c r="Q297" s="9">
        <v>18</v>
      </c>
      <c r="R297" s="9">
        <v>50</v>
      </c>
      <c r="S297" s="9">
        <v>55</v>
      </c>
      <c r="T297" s="9">
        <v>47</v>
      </c>
      <c r="U297" s="9">
        <v>0</v>
      </c>
      <c r="V297" s="9">
        <v>0</v>
      </c>
      <c r="W297" s="9">
        <v>1</v>
      </c>
      <c r="X297" s="9">
        <v>1</v>
      </c>
      <c r="Y297" s="9">
        <v>1</v>
      </c>
      <c r="Z297" s="9">
        <v>0</v>
      </c>
      <c r="AB297" s="9">
        <f t="shared" si="13"/>
        <v>1304</v>
      </c>
      <c r="AC297" s="9">
        <f t="shared" si="14"/>
        <v>10842</v>
      </c>
      <c r="AD297" s="10">
        <f t="shared" si="15"/>
        <v>8.3144171779141107</v>
      </c>
    </row>
    <row r="298" spans="1:30" x14ac:dyDescent="0.3">
      <c r="A298" s="55"/>
      <c r="B298" s="30" t="s">
        <v>300</v>
      </c>
      <c r="C298" s="9">
        <v>30</v>
      </c>
      <c r="D298" s="9">
        <v>30</v>
      </c>
      <c r="E298" s="9">
        <v>37</v>
      </c>
      <c r="F298" s="9">
        <v>53</v>
      </c>
      <c r="G298" s="9">
        <v>58</v>
      </c>
      <c r="H298" s="9">
        <v>90</v>
      </c>
      <c r="I298" s="9">
        <v>70</v>
      </c>
      <c r="J298" s="9">
        <v>68</v>
      </c>
      <c r="K298" s="9">
        <v>71</v>
      </c>
      <c r="L298" s="9">
        <v>52</v>
      </c>
      <c r="M298" s="9">
        <v>62</v>
      </c>
      <c r="N298" s="9">
        <v>42</v>
      </c>
      <c r="O298" s="9">
        <v>159</v>
      </c>
      <c r="P298" s="9">
        <v>16</v>
      </c>
      <c r="Q298" s="9">
        <v>17</v>
      </c>
      <c r="R298" s="9">
        <v>48</v>
      </c>
      <c r="S298" s="9">
        <v>42</v>
      </c>
      <c r="T298" s="9">
        <v>23</v>
      </c>
      <c r="U298" s="9">
        <v>2</v>
      </c>
      <c r="V298" s="9">
        <v>0</v>
      </c>
      <c r="W298" s="9">
        <v>1</v>
      </c>
      <c r="X298" s="9">
        <v>1</v>
      </c>
      <c r="Y298" s="9">
        <v>0</v>
      </c>
      <c r="Z298" s="9">
        <v>0</v>
      </c>
      <c r="AB298" s="9">
        <f t="shared" si="13"/>
        <v>972</v>
      </c>
      <c r="AC298" s="9">
        <f t="shared" si="14"/>
        <v>8173</v>
      </c>
      <c r="AD298" s="10">
        <f t="shared" si="15"/>
        <v>8.4084362139917701</v>
      </c>
    </row>
    <row r="299" spans="1:30" x14ac:dyDescent="0.3">
      <c r="A299" s="55"/>
      <c r="B299" s="30" t="s">
        <v>301</v>
      </c>
      <c r="C299" s="9">
        <v>154</v>
      </c>
      <c r="D299" s="9">
        <v>122</v>
      </c>
      <c r="E299" s="9">
        <v>191</v>
      </c>
      <c r="F299" s="9">
        <v>250</v>
      </c>
      <c r="G299" s="9">
        <v>242</v>
      </c>
      <c r="H299" s="9">
        <v>305</v>
      </c>
      <c r="I299" s="9">
        <v>267</v>
      </c>
      <c r="J299" s="9">
        <v>237</v>
      </c>
      <c r="K299" s="9">
        <v>210</v>
      </c>
      <c r="L299" s="9">
        <v>170</v>
      </c>
      <c r="M299" s="9">
        <v>152</v>
      </c>
      <c r="N299" s="9">
        <v>119</v>
      </c>
      <c r="O299" s="9">
        <v>423</v>
      </c>
      <c r="P299" s="9">
        <v>36</v>
      </c>
      <c r="Q299" s="9">
        <v>44</v>
      </c>
      <c r="R299" s="9">
        <v>153</v>
      </c>
      <c r="S299" s="9">
        <v>160</v>
      </c>
      <c r="T299" s="9">
        <v>124</v>
      </c>
      <c r="U299" s="9">
        <v>3</v>
      </c>
      <c r="V299" s="9">
        <v>2</v>
      </c>
      <c r="W299" s="9">
        <v>4</v>
      </c>
      <c r="X299" s="9">
        <v>1</v>
      </c>
      <c r="Y299" s="9">
        <v>0</v>
      </c>
      <c r="Z299" s="9">
        <v>0</v>
      </c>
      <c r="AB299" s="9">
        <f t="shared" si="13"/>
        <v>3369</v>
      </c>
      <c r="AC299" s="9">
        <f t="shared" si="14"/>
        <v>26363</v>
      </c>
      <c r="AD299" s="10">
        <f t="shared" si="15"/>
        <v>7.8251706737904421</v>
      </c>
    </row>
    <row r="300" spans="1:30" x14ac:dyDescent="0.3">
      <c r="A300" s="55"/>
      <c r="B300" s="30" t="s">
        <v>302</v>
      </c>
      <c r="C300" s="9">
        <v>5</v>
      </c>
      <c r="D300" s="9">
        <v>2</v>
      </c>
      <c r="E300" s="9">
        <v>17</v>
      </c>
      <c r="F300" s="9">
        <v>20</v>
      </c>
      <c r="G300" s="9">
        <v>27</v>
      </c>
      <c r="H300" s="9">
        <v>29</v>
      </c>
      <c r="I300" s="9">
        <v>29</v>
      </c>
      <c r="J300" s="9">
        <v>32</v>
      </c>
      <c r="K300" s="9">
        <v>32</v>
      </c>
      <c r="L300" s="9">
        <v>34</v>
      </c>
      <c r="M300" s="9">
        <v>38</v>
      </c>
      <c r="N300" s="9">
        <v>35</v>
      </c>
      <c r="O300" s="9">
        <v>91</v>
      </c>
      <c r="P300" s="9">
        <v>7</v>
      </c>
      <c r="Q300" s="9">
        <v>9</v>
      </c>
      <c r="R300" s="9">
        <v>14</v>
      </c>
      <c r="S300" s="9">
        <v>18</v>
      </c>
      <c r="T300" s="9">
        <v>16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B300" s="9">
        <f t="shared" si="13"/>
        <v>455</v>
      </c>
      <c r="AC300" s="9">
        <f t="shared" si="14"/>
        <v>4153</v>
      </c>
      <c r="AD300" s="10">
        <f t="shared" si="15"/>
        <v>9.127472527472527</v>
      </c>
    </row>
    <row r="301" spans="1:30" x14ac:dyDescent="0.3">
      <c r="A301" s="55"/>
      <c r="B301" s="30" t="s">
        <v>303</v>
      </c>
      <c r="C301" s="9">
        <v>24</v>
      </c>
      <c r="D301" s="9">
        <v>13</v>
      </c>
      <c r="E301" s="9">
        <v>21</v>
      </c>
      <c r="F301" s="9">
        <v>31</v>
      </c>
      <c r="G301" s="9">
        <v>44</v>
      </c>
      <c r="H301" s="9">
        <v>54</v>
      </c>
      <c r="I301" s="9">
        <v>45</v>
      </c>
      <c r="J301" s="9">
        <v>30</v>
      </c>
      <c r="K301" s="9">
        <v>46</v>
      </c>
      <c r="L301" s="9">
        <v>30</v>
      </c>
      <c r="M301" s="9">
        <v>45</v>
      </c>
      <c r="N301" s="9">
        <v>48</v>
      </c>
      <c r="O301" s="9">
        <v>97</v>
      </c>
      <c r="P301" s="9">
        <v>8</v>
      </c>
      <c r="Q301" s="9">
        <v>4</v>
      </c>
      <c r="R301" s="9">
        <v>22</v>
      </c>
      <c r="S301" s="9">
        <v>18</v>
      </c>
      <c r="T301" s="9">
        <v>26</v>
      </c>
      <c r="U301" s="9">
        <v>0</v>
      </c>
      <c r="V301" s="9">
        <v>1</v>
      </c>
      <c r="W301" s="9">
        <v>0</v>
      </c>
      <c r="X301" s="9">
        <v>0</v>
      </c>
      <c r="Y301" s="9">
        <v>0</v>
      </c>
      <c r="Z301" s="9">
        <v>0</v>
      </c>
      <c r="AB301" s="9">
        <f t="shared" si="13"/>
        <v>607</v>
      </c>
      <c r="AC301" s="9">
        <f t="shared" si="14"/>
        <v>5093</v>
      </c>
      <c r="AD301" s="10">
        <f t="shared" si="15"/>
        <v>8.3904448105436575</v>
      </c>
    </row>
    <row r="302" spans="1:30" x14ac:dyDescent="0.3">
      <c r="A302" s="55"/>
      <c r="B302" s="30" t="s">
        <v>304</v>
      </c>
      <c r="C302" s="9">
        <v>87</v>
      </c>
      <c r="D302" s="9">
        <v>62</v>
      </c>
      <c r="E302" s="9">
        <v>85</v>
      </c>
      <c r="F302" s="9">
        <v>125</v>
      </c>
      <c r="G302" s="9">
        <v>136</v>
      </c>
      <c r="H302" s="9">
        <v>250</v>
      </c>
      <c r="I302" s="9">
        <v>189</v>
      </c>
      <c r="J302" s="9">
        <v>120</v>
      </c>
      <c r="K302" s="9">
        <v>125</v>
      </c>
      <c r="L302" s="9">
        <v>65</v>
      </c>
      <c r="M302" s="9">
        <v>61</v>
      </c>
      <c r="N302" s="9">
        <v>49</v>
      </c>
      <c r="O302" s="9">
        <v>179</v>
      </c>
      <c r="P302" s="9">
        <v>12</v>
      </c>
      <c r="Q302" s="9">
        <v>18</v>
      </c>
      <c r="R302" s="9">
        <v>59</v>
      </c>
      <c r="S302" s="9">
        <v>60</v>
      </c>
      <c r="T302" s="9">
        <v>47</v>
      </c>
      <c r="U302" s="9">
        <v>1</v>
      </c>
      <c r="V302" s="9">
        <v>0</v>
      </c>
      <c r="W302" s="9">
        <v>0</v>
      </c>
      <c r="X302" s="9">
        <v>1</v>
      </c>
      <c r="Y302" s="9">
        <v>0</v>
      </c>
      <c r="Z302" s="9">
        <v>0</v>
      </c>
      <c r="AB302" s="9">
        <f t="shared" si="13"/>
        <v>1731</v>
      </c>
      <c r="AC302" s="9">
        <f t="shared" si="14"/>
        <v>12348</v>
      </c>
      <c r="AD302" s="10">
        <f t="shared" si="15"/>
        <v>7.1334488734835357</v>
      </c>
    </row>
    <row r="303" spans="1:30" x14ac:dyDescent="0.3">
      <c r="A303" s="55"/>
      <c r="B303" s="30" t="s">
        <v>305</v>
      </c>
      <c r="C303" s="9">
        <v>19</v>
      </c>
      <c r="D303" s="9">
        <v>19</v>
      </c>
      <c r="E303" s="9">
        <v>21</v>
      </c>
      <c r="F303" s="9">
        <v>42</v>
      </c>
      <c r="G303" s="9">
        <v>40</v>
      </c>
      <c r="H303" s="9">
        <v>107</v>
      </c>
      <c r="I303" s="9">
        <v>102</v>
      </c>
      <c r="J303" s="9">
        <v>71</v>
      </c>
      <c r="K303" s="9">
        <v>91</v>
      </c>
      <c r="L303" s="9">
        <v>70</v>
      </c>
      <c r="M303" s="9">
        <v>73</v>
      </c>
      <c r="N303" s="9">
        <v>58</v>
      </c>
      <c r="O303" s="9">
        <v>199</v>
      </c>
      <c r="P303" s="9">
        <v>7</v>
      </c>
      <c r="Q303" s="9">
        <v>6</v>
      </c>
      <c r="R303" s="9">
        <v>30</v>
      </c>
      <c r="S303" s="9">
        <v>45</v>
      </c>
      <c r="T303" s="9">
        <v>26</v>
      </c>
      <c r="U303" s="9">
        <v>1</v>
      </c>
      <c r="V303" s="9">
        <v>0</v>
      </c>
      <c r="W303" s="9">
        <v>3</v>
      </c>
      <c r="X303" s="9">
        <v>1</v>
      </c>
      <c r="Y303" s="9">
        <v>0</v>
      </c>
      <c r="Z303" s="9">
        <v>1</v>
      </c>
      <c r="AB303" s="9">
        <f t="shared" si="13"/>
        <v>1032</v>
      </c>
      <c r="AC303" s="9">
        <f t="shared" si="14"/>
        <v>9014</v>
      </c>
      <c r="AD303" s="10">
        <f t="shared" si="15"/>
        <v>8.7344961240310077</v>
      </c>
    </row>
    <row r="304" spans="1:30" x14ac:dyDescent="0.3">
      <c r="A304" s="55"/>
      <c r="B304" s="30" t="s">
        <v>306</v>
      </c>
      <c r="C304" s="9">
        <v>64</v>
      </c>
      <c r="D304" s="9">
        <v>57</v>
      </c>
      <c r="E304" s="9">
        <v>111</v>
      </c>
      <c r="F304" s="9">
        <v>126</v>
      </c>
      <c r="G304" s="9">
        <v>111</v>
      </c>
      <c r="H304" s="9">
        <v>140</v>
      </c>
      <c r="I304" s="9">
        <v>48</v>
      </c>
      <c r="J304" s="9">
        <v>42</v>
      </c>
      <c r="K304" s="9">
        <v>48</v>
      </c>
      <c r="L304" s="9">
        <v>36</v>
      </c>
      <c r="M304" s="9">
        <v>39</v>
      </c>
      <c r="N304" s="9">
        <v>27</v>
      </c>
      <c r="O304" s="9">
        <v>147</v>
      </c>
      <c r="P304" s="9">
        <v>15</v>
      </c>
      <c r="Q304" s="9">
        <v>16</v>
      </c>
      <c r="R304" s="9">
        <v>60</v>
      </c>
      <c r="S304" s="9">
        <v>62</v>
      </c>
      <c r="T304" s="9">
        <v>44</v>
      </c>
      <c r="U304" s="9">
        <v>2</v>
      </c>
      <c r="V304" s="9">
        <v>0</v>
      </c>
      <c r="W304" s="9">
        <v>0</v>
      </c>
      <c r="X304" s="9">
        <v>2</v>
      </c>
      <c r="Y304" s="9">
        <v>1</v>
      </c>
      <c r="Z304" s="9">
        <v>0</v>
      </c>
      <c r="AB304" s="9">
        <f t="shared" si="13"/>
        <v>1198</v>
      </c>
      <c r="AC304" s="9">
        <f t="shared" si="14"/>
        <v>8701</v>
      </c>
      <c r="AD304" s="10">
        <f t="shared" si="15"/>
        <v>7.2629382303839733</v>
      </c>
    </row>
    <row r="305" spans="1:30" x14ac:dyDescent="0.3">
      <c r="A305" s="55"/>
      <c r="B305" s="30" t="s">
        <v>307</v>
      </c>
      <c r="C305" s="9">
        <v>27</v>
      </c>
      <c r="D305" s="9">
        <v>18</v>
      </c>
      <c r="E305" s="9">
        <v>24</v>
      </c>
      <c r="F305" s="9">
        <v>38</v>
      </c>
      <c r="G305" s="9">
        <v>45</v>
      </c>
      <c r="H305" s="9">
        <v>65</v>
      </c>
      <c r="I305" s="9">
        <v>24</v>
      </c>
      <c r="J305" s="9">
        <v>17</v>
      </c>
      <c r="K305" s="9">
        <v>29</v>
      </c>
      <c r="L305" s="9">
        <v>15</v>
      </c>
      <c r="M305" s="9">
        <v>21</v>
      </c>
      <c r="N305" s="9">
        <v>20</v>
      </c>
      <c r="O305" s="9">
        <v>67</v>
      </c>
      <c r="P305" s="9">
        <v>4</v>
      </c>
      <c r="Q305" s="9">
        <v>4</v>
      </c>
      <c r="R305" s="9">
        <v>23</v>
      </c>
      <c r="S305" s="9">
        <v>23</v>
      </c>
      <c r="T305" s="9">
        <v>19</v>
      </c>
      <c r="U305" s="9">
        <v>3</v>
      </c>
      <c r="V305" s="9">
        <v>2</v>
      </c>
      <c r="W305" s="9">
        <v>2</v>
      </c>
      <c r="X305" s="9">
        <v>0</v>
      </c>
      <c r="Y305" s="9">
        <v>0</v>
      </c>
      <c r="Z305" s="9">
        <v>0</v>
      </c>
      <c r="AB305" s="9">
        <f t="shared" si="13"/>
        <v>490</v>
      </c>
      <c r="AC305" s="9">
        <f t="shared" si="14"/>
        <v>3825</v>
      </c>
      <c r="AD305" s="10">
        <f t="shared" si="15"/>
        <v>7.8061224489795915</v>
      </c>
    </row>
    <row r="306" spans="1:30" x14ac:dyDescent="0.3">
      <c r="A306" s="55"/>
      <c r="B306" s="30" t="s">
        <v>308</v>
      </c>
      <c r="C306" s="9">
        <v>29</v>
      </c>
      <c r="D306" s="9">
        <v>14</v>
      </c>
      <c r="E306" s="9">
        <v>23</v>
      </c>
      <c r="F306" s="9">
        <v>32</v>
      </c>
      <c r="G306" s="9">
        <v>38</v>
      </c>
      <c r="H306" s="9">
        <v>55</v>
      </c>
      <c r="I306" s="9">
        <v>81</v>
      </c>
      <c r="J306" s="9">
        <v>66</v>
      </c>
      <c r="K306" s="9">
        <v>88</v>
      </c>
      <c r="L306" s="9">
        <v>140</v>
      </c>
      <c r="M306" s="9">
        <v>166</v>
      </c>
      <c r="N306" s="9">
        <v>135</v>
      </c>
      <c r="O306" s="9">
        <v>491</v>
      </c>
      <c r="P306" s="9">
        <v>13</v>
      </c>
      <c r="Q306" s="9">
        <v>7</v>
      </c>
      <c r="R306" s="9">
        <v>75</v>
      </c>
      <c r="S306" s="9">
        <v>113</v>
      </c>
      <c r="T306" s="9">
        <v>86</v>
      </c>
      <c r="U306" s="9">
        <v>1</v>
      </c>
      <c r="V306" s="9">
        <v>3</v>
      </c>
      <c r="W306" s="9">
        <v>4</v>
      </c>
      <c r="X306" s="9">
        <v>3</v>
      </c>
      <c r="Y306" s="9">
        <v>0</v>
      </c>
      <c r="Z306" s="9">
        <v>1</v>
      </c>
      <c r="AB306" s="9">
        <f t="shared" si="13"/>
        <v>1664</v>
      </c>
      <c r="AC306" s="9">
        <f t="shared" si="14"/>
        <v>17435</v>
      </c>
      <c r="AD306" s="10">
        <f t="shared" si="15"/>
        <v>10.477764423076923</v>
      </c>
    </row>
    <row r="307" spans="1:30" x14ac:dyDescent="0.3">
      <c r="A307" s="55"/>
      <c r="B307" s="30" t="s">
        <v>309</v>
      </c>
      <c r="C307" s="9">
        <v>23</v>
      </c>
      <c r="D307" s="9">
        <v>18</v>
      </c>
      <c r="E307" s="9">
        <v>22</v>
      </c>
      <c r="F307" s="9">
        <v>37</v>
      </c>
      <c r="G307" s="9">
        <v>40</v>
      </c>
      <c r="H307" s="9">
        <v>79</v>
      </c>
      <c r="I307" s="9">
        <v>90</v>
      </c>
      <c r="J307" s="9">
        <v>71</v>
      </c>
      <c r="K307" s="9">
        <v>83</v>
      </c>
      <c r="L307" s="9">
        <v>108</v>
      </c>
      <c r="M307" s="9">
        <v>137</v>
      </c>
      <c r="N307" s="9">
        <v>121</v>
      </c>
      <c r="O307" s="9">
        <v>437</v>
      </c>
      <c r="P307" s="9">
        <v>13</v>
      </c>
      <c r="Q307" s="9">
        <v>16</v>
      </c>
      <c r="R307" s="9">
        <v>49</v>
      </c>
      <c r="S307" s="9">
        <v>57</v>
      </c>
      <c r="T307" s="9">
        <v>45</v>
      </c>
      <c r="U307" s="9">
        <v>4</v>
      </c>
      <c r="V307" s="9">
        <v>3</v>
      </c>
      <c r="W307" s="9">
        <v>3</v>
      </c>
      <c r="X307" s="9">
        <v>2</v>
      </c>
      <c r="Y307" s="9">
        <v>0</v>
      </c>
      <c r="Z307" s="9">
        <v>0</v>
      </c>
      <c r="AB307" s="9">
        <f t="shared" si="13"/>
        <v>1458</v>
      </c>
      <c r="AC307" s="9">
        <f t="shared" si="14"/>
        <v>14382</v>
      </c>
      <c r="AD307" s="10">
        <f t="shared" si="15"/>
        <v>9.8641975308641978</v>
      </c>
    </row>
    <row r="308" spans="1:30" x14ac:dyDescent="0.3">
      <c r="A308" s="55"/>
      <c r="B308" s="30" t="s">
        <v>310</v>
      </c>
      <c r="C308" s="9">
        <v>8</v>
      </c>
      <c r="D308" s="9">
        <v>5</v>
      </c>
      <c r="E308" s="9">
        <v>5</v>
      </c>
      <c r="F308" s="9">
        <v>23</v>
      </c>
      <c r="G308" s="9">
        <v>16</v>
      </c>
      <c r="H308" s="9">
        <v>32</v>
      </c>
      <c r="I308" s="9">
        <v>36</v>
      </c>
      <c r="J308" s="9">
        <v>32</v>
      </c>
      <c r="K308" s="9">
        <v>36</v>
      </c>
      <c r="L308" s="9">
        <v>26</v>
      </c>
      <c r="M308" s="9">
        <v>41</v>
      </c>
      <c r="N308" s="9">
        <v>29</v>
      </c>
      <c r="O308" s="9">
        <v>109</v>
      </c>
      <c r="P308" s="9">
        <v>0</v>
      </c>
      <c r="Q308" s="9">
        <v>4</v>
      </c>
      <c r="R308" s="9">
        <v>12</v>
      </c>
      <c r="S308" s="9">
        <v>14</v>
      </c>
      <c r="T308" s="9">
        <v>10</v>
      </c>
      <c r="U308" s="9">
        <v>1</v>
      </c>
      <c r="V308" s="9">
        <v>4</v>
      </c>
      <c r="W308" s="9">
        <v>0</v>
      </c>
      <c r="X308" s="9">
        <v>0</v>
      </c>
      <c r="Y308" s="9">
        <v>0</v>
      </c>
      <c r="Z308" s="9">
        <v>0</v>
      </c>
      <c r="AB308" s="9">
        <f t="shared" si="13"/>
        <v>443</v>
      </c>
      <c r="AC308" s="9">
        <f t="shared" si="14"/>
        <v>4031</v>
      </c>
      <c r="AD308" s="10">
        <f t="shared" si="15"/>
        <v>9.0993227990970649</v>
      </c>
    </row>
    <row r="309" spans="1:30" x14ac:dyDescent="0.3">
      <c r="A309" s="55"/>
      <c r="B309" s="30" t="s">
        <v>311</v>
      </c>
      <c r="C309" s="9">
        <v>36</v>
      </c>
      <c r="D309" s="9">
        <v>62</v>
      </c>
      <c r="E309" s="9">
        <v>66</v>
      </c>
      <c r="F309" s="9">
        <v>116</v>
      </c>
      <c r="G309" s="9">
        <v>116</v>
      </c>
      <c r="H309" s="9">
        <v>186</v>
      </c>
      <c r="I309" s="9">
        <v>157</v>
      </c>
      <c r="J309" s="9">
        <v>113</v>
      </c>
      <c r="K309" s="9">
        <v>117</v>
      </c>
      <c r="L309" s="9">
        <v>120</v>
      </c>
      <c r="M309" s="9">
        <v>122</v>
      </c>
      <c r="N309" s="9">
        <v>95</v>
      </c>
      <c r="O309" s="9">
        <v>352</v>
      </c>
      <c r="P309" s="9">
        <v>16</v>
      </c>
      <c r="Q309" s="9">
        <v>16</v>
      </c>
      <c r="R309" s="9">
        <v>54</v>
      </c>
      <c r="S309" s="9">
        <v>84</v>
      </c>
      <c r="T309" s="9">
        <v>70</v>
      </c>
      <c r="U309" s="9">
        <v>6</v>
      </c>
      <c r="V309" s="9">
        <v>7</v>
      </c>
      <c r="W309" s="9">
        <v>3</v>
      </c>
      <c r="X309" s="9">
        <v>2</v>
      </c>
      <c r="Y309" s="9">
        <v>1</v>
      </c>
      <c r="Z309" s="9">
        <v>0</v>
      </c>
      <c r="AB309" s="9">
        <f t="shared" si="13"/>
        <v>1917</v>
      </c>
      <c r="AC309" s="9">
        <f t="shared" si="14"/>
        <v>16315</v>
      </c>
      <c r="AD309" s="10">
        <f t="shared" si="15"/>
        <v>8.5106937923839325</v>
      </c>
    </row>
    <row r="310" spans="1:30" x14ac:dyDescent="0.3">
      <c r="A310" s="55"/>
      <c r="B310" s="30" t="s">
        <v>312</v>
      </c>
      <c r="C310" s="9">
        <v>6</v>
      </c>
      <c r="D310" s="9">
        <v>8</v>
      </c>
      <c r="E310" s="9">
        <v>13</v>
      </c>
      <c r="F310" s="9">
        <v>13</v>
      </c>
      <c r="G310" s="9">
        <v>28</v>
      </c>
      <c r="H310" s="9">
        <v>65</v>
      </c>
      <c r="I310" s="9">
        <v>48</v>
      </c>
      <c r="J310" s="9">
        <v>25</v>
      </c>
      <c r="K310" s="9">
        <v>37</v>
      </c>
      <c r="L310" s="9">
        <v>26</v>
      </c>
      <c r="M310" s="9">
        <v>37</v>
      </c>
      <c r="N310" s="9">
        <v>18</v>
      </c>
      <c r="O310" s="9">
        <v>106</v>
      </c>
      <c r="P310" s="9">
        <v>3</v>
      </c>
      <c r="Q310" s="9">
        <v>2</v>
      </c>
      <c r="R310" s="9">
        <v>20</v>
      </c>
      <c r="S310" s="9">
        <v>19</v>
      </c>
      <c r="T310" s="9">
        <v>7</v>
      </c>
      <c r="U310" s="9">
        <v>0</v>
      </c>
      <c r="V310" s="9">
        <v>1</v>
      </c>
      <c r="W310" s="9">
        <v>0</v>
      </c>
      <c r="X310" s="9">
        <v>1</v>
      </c>
      <c r="Y310" s="9">
        <v>0</v>
      </c>
      <c r="Z310" s="9">
        <v>0</v>
      </c>
      <c r="AB310" s="9">
        <f t="shared" si="13"/>
        <v>483</v>
      </c>
      <c r="AC310" s="9">
        <f t="shared" si="14"/>
        <v>4173</v>
      </c>
      <c r="AD310" s="10">
        <f t="shared" si="15"/>
        <v>8.6397515527950315</v>
      </c>
    </row>
    <row r="311" spans="1:30" x14ac:dyDescent="0.3">
      <c r="A311" s="55"/>
      <c r="B311" s="30" t="s">
        <v>313</v>
      </c>
      <c r="C311" s="9">
        <v>79</v>
      </c>
      <c r="D311" s="9">
        <v>29</v>
      </c>
      <c r="E311" s="9">
        <v>58</v>
      </c>
      <c r="F311" s="9">
        <v>65</v>
      </c>
      <c r="G311" s="9">
        <v>71</v>
      </c>
      <c r="H311" s="9">
        <v>104</v>
      </c>
      <c r="I311" s="9">
        <v>85</v>
      </c>
      <c r="J311" s="9">
        <v>64</v>
      </c>
      <c r="K311" s="9">
        <v>72</v>
      </c>
      <c r="L311" s="9">
        <v>45</v>
      </c>
      <c r="M311" s="9">
        <v>48</v>
      </c>
      <c r="N311" s="9">
        <v>38</v>
      </c>
      <c r="O311" s="9">
        <v>123</v>
      </c>
      <c r="P311" s="9">
        <v>5</v>
      </c>
      <c r="Q311" s="9">
        <v>5</v>
      </c>
      <c r="R311" s="9">
        <v>28</v>
      </c>
      <c r="S311" s="9">
        <v>40</v>
      </c>
      <c r="T311" s="9">
        <v>15</v>
      </c>
      <c r="U311" s="9">
        <v>1</v>
      </c>
      <c r="V311" s="9">
        <v>0</v>
      </c>
      <c r="W311" s="9">
        <v>0</v>
      </c>
      <c r="X311" s="9">
        <v>1</v>
      </c>
      <c r="Y311" s="9">
        <v>0</v>
      </c>
      <c r="Z311" s="9">
        <v>0</v>
      </c>
      <c r="AB311" s="9">
        <f t="shared" si="13"/>
        <v>976</v>
      </c>
      <c r="AC311" s="9">
        <f t="shared" si="14"/>
        <v>6946</v>
      </c>
      <c r="AD311" s="10">
        <f t="shared" si="15"/>
        <v>7.1168032786885247</v>
      </c>
    </row>
    <row r="312" spans="1:30" x14ac:dyDescent="0.3">
      <c r="A312" s="55"/>
      <c r="B312" s="30" t="s">
        <v>314</v>
      </c>
      <c r="C312" s="9">
        <v>124</v>
      </c>
      <c r="D312" s="9">
        <v>86</v>
      </c>
      <c r="E312" s="9">
        <v>98</v>
      </c>
      <c r="F312" s="9">
        <v>152</v>
      </c>
      <c r="G312" s="9">
        <v>149</v>
      </c>
      <c r="H312" s="9">
        <v>289</v>
      </c>
      <c r="I312" s="9">
        <v>378</v>
      </c>
      <c r="J312" s="9">
        <v>303</v>
      </c>
      <c r="K312" s="9">
        <v>379</v>
      </c>
      <c r="L312" s="9">
        <v>531</v>
      </c>
      <c r="M312" s="9">
        <v>564</v>
      </c>
      <c r="N312" s="9">
        <v>509</v>
      </c>
      <c r="O312" s="9">
        <v>2425</v>
      </c>
      <c r="P312" s="9">
        <v>192</v>
      </c>
      <c r="Q312" s="9">
        <v>299</v>
      </c>
      <c r="R312" s="9">
        <v>577</v>
      </c>
      <c r="S312" s="9">
        <v>954</v>
      </c>
      <c r="T312" s="9">
        <v>1169</v>
      </c>
      <c r="U312" s="9">
        <v>46</v>
      </c>
      <c r="V312" s="9">
        <v>52</v>
      </c>
      <c r="W312" s="9">
        <v>15</v>
      </c>
      <c r="X312" s="9">
        <v>5</v>
      </c>
      <c r="Y312" s="9">
        <v>5</v>
      </c>
      <c r="Z312" s="9">
        <v>2</v>
      </c>
      <c r="AB312" s="9">
        <f t="shared" si="13"/>
        <v>9303</v>
      </c>
      <c r="AC312" s="9">
        <f t="shared" si="14"/>
        <v>108169</v>
      </c>
      <c r="AD312" s="10">
        <f t="shared" si="15"/>
        <v>11.627324518972374</v>
      </c>
    </row>
    <row r="313" spans="1:30" x14ac:dyDescent="0.3">
      <c r="A313" s="55"/>
      <c r="B313" s="30" t="s">
        <v>315</v>
      </c>
      <c r="C313" s="9">
        <v>4</v>
      </c>
      <c r="D313" s="9">
        <v>11</v>
      </c>
      <c r="E313" s="9">
        <v>12</v>
      </c>
      <c r="F313" s="9">
        <v>19</v>
      </c>
      <c r="G313" s="9">
        <v>13</v>
      </c>
      <c r="H313" s="9">
        <v>33</v>
      </c>
      <c r="I313" s="9">
        <v>30</v>
      </c>
      <c r="J313" s="9">
        <v>48</v>
      </c>
      <c r="K313" s="9">
        <v>32</v>
      </c>
      <c r="L313" s="9">
        <v>13</v>
      </c>
      <c r="M313" s="9">
        <v>10</v>
      </c>
      <c r="N313" s="9">
        <v>19</v>
      </c>
      <c r="O313" s="9">
        <v>61</v>
      </c>
      <c r="P313" s="9">
        <v>1</v>
      </c>
      <c r="Q313" s="9">
        <v>3</v>
      </c>
      <c r="R313" s="9">
        <v>13</v>
      </c>
      <c r="S313" s="9">
        <v>16</v>
      </c>
      <c r="T313" s="9">
        <v>7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B313" s="9">
        <f t="shared" si="13"/>
        <v>345</v>
      </c>
      <c r="AC313" s="9">
        <f t="shared" si="14"/>
        <v>2864</v>
      </c>
      <c r="AD313" s="10">
        <f t="shared" si="15"/>
        <v>8.3014492753623195</v>
      </c>
    </row>
    <row r="314" spans="1:30" x14ac:dyDescent="0.3">
      <c r="A314" s="55"/>
      <c r="B314" s="30" t="s">
        <v>316</v>
      </c>
      <c r="C314" s="9">
        <v>164</v>
      </c>
      <c r="D314" s="9">
        <v>112</v>
      </c>
      <c r="E314" s="9">
        <v>155</v>
      </c>
      <c r="F314" s="9">
        <v>208</v>
      </c>
      <c r="G314" s="9">
        <v>205</v>
      </c>
      <c r="H314" s="9">
        <v>401</v>
      </c>
      <c r="I314" s="9">
        <v>473</v>
      </c>
      <c r="J314" s="9">
        <v>359</v>
      </c>
      <c r="K314" s="9">
        <v>474</v>
      </c>
      <c r="L314" s="9">
        <v>512</v>
      </c>
      <c r="M314" s="9">
        <v>529</v>
      </c>
      <c r="N314" s="9">
        <v>462</v>
      </c>
      <c r="O314" s="9">
        <v>1629</v>
      </c>
      <c r="P314" s="9">
        <v>101</v>
      </c>
      <c r="Q314" s="9">
        <v>146</v>
      </c>
      <c r="R314" s="9">
        <v>351</v>
      </c>
      <c r="S314" s="9">
        <v>489</v>
      </c>
      <c r="T314" s="9">
        <v>327</v>
      </c>
      <c r="U314" s="9">
        <v>11</v>
      </c>
      <c r="V314" s="9">
        <v>17</v>
      </c>
      <c r="W314" s="9">
        <v>11</v>
      </c>
      <c r="X314" s="9">
        <v>1</v>
      </c>
      <c r="Y314" s="9">
        <v>0</v>
      </c>
      <c r="Z314" s="9">
        <v>7</v>
      </c>
      <c r="AB314" s="9">
        <f t="shared" si="13"/>
        <v>7144</v>
      </c>
      <c r="AC314" s="9">
        <f t="shared" si="14"/>
        <v>70470</v>
      </c>
      <c r="AD314" s="10">
        <f t="shared" si="15"/>
        <v>9.8642217245240769</v>
      </c>
    </row>
    <row r="315" spans="1:30" x14ac:dyDescent="0.3">
      <c r="A315" s="55"/>
      <c r="B315" s="30" t="s">
        <v>317</v>
      </c>
      <c r="C315" s="9">
        <v>81</v>
      </c>
      <c r="D315" s="9">
        <v>27</v>
      </c>
      <c r="E315" s="9">
        <v>53</v>
      </c>
      <c r="F315" s="9">
        <v>78</v>
      </c>
      <c r="G315" s="9">
        <v>68</v>
      </c>
      <c r="H315" s="9">
        <v>173</v>
      </c>
      <c r="I315" s="9">
        <v>178</v>
      </c>
      <c r="J315" s="9">
        <v>125</v>
      </c>
      <c r="K315" s="9">
        <v>159</v>
      </c>
      <c r="L315" s="9">
        <v>204</v>
      </c>
      <c r="M315" s="9">
        <v>234</v>
      </c>
      <c r="N315" s="9">
        <v>213</v>
      </c>
      <c r="O315" s="9">
        <v>954</v>
      </c>
      <c r="P315" s="9">
        <v>38</v>
      </c>
      <c r="Q315" s="9">
        <v>68</v>
      </c>
      <c r="R315" s="9">
        <v>169</v>
      </c>
      <c r="S315" s="9">
        <v>198</v>
      </c>
      <c r="T315" s="9">
        <v>180</v>
      </c>
      <c r="U315" s="9">
        <v>6</v>
      </c>
      <c r="V315" s="9">
        <v>6</v>
      </c>
      <c r="W315" s="9">
        <v>2</v>
      </c>
      <c r="X315" s="9">
        <v>2</v>
      </c>
      <c r="Y315" s="9">
        <v>1</v>
      </c>
      <c r="Z315" s="9">
        <v>0</v>
      </c>
      <c r="AB315" s="9">
        <f t="shared" si="13"/>
        <v>3217</v>
      </c>
      <c r="AC315" s="9">
        <f t="shared" si="14"/>
        <v>33221</v>
      </c>
      <c r="AD315" s="10">
        <f t="shared" si="15"/>
        <v>10.326701896176562</v>
      </c>
    </row>
    <row r="316" spans="1:30" x14ac:dyDescent="0.3">
      <c r="A316" s="55"/>
      <c r="B316" s="30" t="s">
        <v>318</v>
      </c>
      <c r="C316" s="9">
        <v>25</v>
      </c>
      <c r="D316" s="9">
        <v>14</v>
      </c>
      <c r="E316" s="9">
        <v>17</v>
      </c>
      <c r="F316" s="9">
        <v>25</v>
      </c>
      <c r="G316" s="9">
        <v>36</v>
      </c>
      <c r="H316" s="9">
        <v>74</v>
      </c>
      <c r="I316" s="9">
        <v>63</v>
      </c>
      <c r="J316" s="9">
        <v>43</v>
      </c>
      <c r="K316" s="9">
        <v>76</v>
      </c>
      <c r="L316" s="9">
        <v>52</v>
      </c>
      <c r="M316" s="9">
        <v>76</v>
      </c>
      <c r="N316" s="9">
        <v>55</v>
      </c>
      <c r="O316" s="9">
        <v>259</v>
      </c>
      <c r="P316" s="9">
        <v>8</v>
      </c>
      <c r="Q316" s="9">
        <v>11</v>
      </c>
      <c r="R316" s="9">
        <v>25</v>
      </c>
      <c r="S316" s="9">
        <v>39</v>
      </c>
      <c r="T316" s="9">
        <v>52</v>
      </c>
      <c r="U316" s="9">
        <v>2</v>
      </c>
      <c r="V316" s="9">
        <v>2</v>
      </c>
      <c r="W316" s="9">
        <v>0</v>
      </c>
      <c r="X316" s="9">
        <v>0</v>
      </c>
      <c r="Y316" s="9">
        <v>0</v>
      </c>
      <c r="Z316" s="9">
        <v>1</v>
      </c>
      <c r="AB316" s="9">
        <f t="shared" si="13"/>
        <v>955</v>
      </c>
      <c r="AC316" s="9">
        <f t="shared" si="14"/>
        <v>9103</v>
      </c>
      <c r="AD316" s="10">
        <f t="shared" si="15"/>
        <v>9.5319371727748692</v>
      </c>
    </row>
    <row r="317" spans="1:30" x14ac:dyDescent="0.3">
      <c r="A317" s="55"/>
      <c r="B317" s="30" t="s">
        <v>319</v>
      </c>
      <c r="C317" s="9">
        <v>295</v>
      </c>
      <c r="D317" s="9">
        <v>67</v>
      </c>
      <c r="E317" s="9">
        <v>105</v>
      </c>
      <c r="F317" s="9">
        <v>143</v>
      </c>
      <c r="G317" s="9">
        <v>141</v>
      </c>
      <c r="H317" s="9">
        <v>180</v>
      </c>
      <c r="I317" s="9">
        <v>224</v>
      </c>
      <c r="J317" s="9">
        <v>117</v>
      </c>
      <c r="K317" s="9">
        <v>163</v>
      </c>
      <c r="L317" s="9">
        <v>124</v>
      </c>
      <c r="M317" s="9">
        <v>176</v>
      </c>
      <c r="N317" s="9">
        <v>147</v>
      </c>
      <c r="O317" s="9">
        <v>577</v>
      </c>
      <c r="P317" s="9">
        <v>17</v>
      </c>
      <c r="Q317" s="9">
        <v>26</v>
      </c>
      <c r="R317" s="9">
        <v>95</v>
      </c>
      <c r="S317" s="9">
        <v>105</v>
      </c>
      <c r="T317" s="9">
        <v>120</v>
      </c>
      <c r="U317" s="9">
        <v>3</v>
      </c>
      <c r="V317" s="9">
        <v>3</v>
      </c>
      <c r="W317" s="9">
        <v>2</v>
      </c>
      <c r="X317" s="9">
        <v>0</v>
      </c>
      <c r="Y317" s="9">
        <v>0</v>
      </c>
      <c r="Z317" s="9">
        <v>1</v>
      </c>
      <c r="AB317" s="9">
        <f t="shared" si="13"/>
        <v>2831</v>
      </c>
      <c r="AC317" s="9">
        <f t="shared" si="14"/>
        <v>22958</v>
      </c>
      <c r="AD317" s="10">
        <f t="shared" si="15"/>
        <v>8.1095019427764043</v>
      </c>
    </row>
    <row r="318" spans="1:30" x14ac:dyDescent="0.3">
      <c r="A318" s="55"/>
      <c r="B318" s="30" t="s">
        <v>320</v>
      </c>
      <c r="C318" s="9">
        <v>11</v>
      </c>
      <c r="D318" s="9">
        <v>11</v>
      </c>
      <c r="E318" s="9">
        <v>19</v>
      </c>
      <c r="F318" s="9">
        <v>21</v>
      </c>
      <c r="G318" s="9">
        <v>31</v>
      </c>
      <c r="H318" s="9">
        <v>74</v>
      </c>
      <c r="I318" s="9">
        <v>59</v>
      </c>
      <c r="J318" s="9">
        <v>37</v>
      </c>
      <c r="K318" s="9">
        <v>63</v>
      </c>
      <c r="L318" s="9">
        <v>56</v>
      </c>
      <c r="M318" s="9">
        <v>60</v>
      </c>
      <c r="N318" s="9">
        <v>45</v>
      </c>
      <c r="O318" s="9">
        <v>130</v>
      </c>
      <c r="P318" s="9">
        <v>2</v>
      </c>
      <c r="Q318" s="9">
        <v>4</v>
      </c>
      <c r="R318" s="9">
        <v>25</v>
      </c>
      <c r="S318" s="9">
        <v>28</v>
      </c>
      <c r="T318" s="9">
        <v>21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B318" s="9">
        <f t="shared" si="13"/>
        <v>697</v>
      </c>
      <c r="AC318" s="9">
        <f t="shared" si="14"/>
        <v>6144</v>
      </c>
      <c r="AD318" s="10">
        <f t="shared" si="15"/>
        <v>8.814921090387374</v>
      </c>
    </row>
    <row r="319" spans="1:30" x14ac:dyDescent="0.3">
      <c r="A319" s="55"/>
      <c r="B319" s="30" t="s">
        <v>321</v>
      </c>
      <c r="C319" s="9">
        <v>51</v>
      </c>
      <c r="D319" s="9">
        <v>21</v>
      </c>
      <c r="E319" s="9">
        <v>29</v>
      </c>
      <c r="F319" s="9">
        <v>46</v>
      </c>
      <c r="G319" s="9">
        <v>41</v>
      </c>
      <c r="H319" s="9">
        <v>82</v>
      </c>
      <c r="I319" s="9">
        <v>87</v>
      </c>
      <c r="J319" s="9">
        <v>59</v>
      </c>
      <c r="K319" s="9">
        <v>99</v>
      </c>
      <c r="L319" s="9">
        <v>100</v>
      </c>
      <c r="M319" s="9">
        <v>139</v>
      </c>
      <c r="N319" s="9">
        <v>97</v>
      </c>
      <c r="O319" s="9">
        <v>412</v>
      </c>
      <c r="P319" s="9">
        <v>14</v>
      </c>
      <c r="Q319" s="9">
        <v>25</v>
      </c>
      <c r="R319" s="9">
        <v>72</v>
      </c>
      <c r="S319" s="9">
        <v>77</v>
      </c>
      <c r="T319" s="9">
        <v>62</v>
      </c>
      <c r="U319" s="9">
        <v>4</v>
      </c>
      <c r="V319" s="9">
        <v>5</v>
      </c>
      <c r="W319" s="9">
        <v>4</v>
      </c>
      <c r="X319" s="9">
        <v>3</v>
      </c>
      <c r="Y319" s="9">
        <v>0</v>
      </c>
      <c r="Z319" s="9">
        <v>1</v>
      </c>
      <c r="AB319" s="9">
        <f t="shared" si="13"/>
        <v>1530</v>
      </c>
      <c r="AC319" s="9">
        <f t="shared" si="14"/>
        <v>15050</v>
      </c>
      <c r="AD319" s="10">
        <f t="shared" si="15"/>
        <v>9.8366013071895431</v>
      </c>
    </row>
    <row r="320" spans="1:30" x14ac:dyDescent="0.3">
      <c r="A320" s="55"/>
      <c r="B320" s="30" t="s">
        <v>322</v>
      </c>
      <c r="C320" s="9">
        <v>64</v>
      </c>
      <c r="D320" s="9">
        <v>17</v>
      </c>
      <c r="E320" s="9">
        <v>35</v>
      </c>
      <c r="F320" s="9">
        <v>43</v>
      </c>
      <c r="G320" s="9">
        <v>36</v>
      </c>
      <c r="H320" s="9">
        <v>76</v>
      </c>
      <c r="I320" s="9">
        <v>57</v>
      </c>
      <c r="J320" s="9">
        <v>46</v>
      </c>
      <c r="K320" s="9">
        <v>71</v>
      </c>
      <c r="L320" s="9">
        <v>60</v>
      </c>
      <c r="M320" s="9">
        <v>78</v>
      </c>
      <c r="N320" s="9">
        <v>74</v>
      </c>
      <c r="O320" s="9">
        <v>296</v>
      </c>
      <c r="P320" s="9">
        <v>34</v>
      </c>
      <c r="Q320" s="9">
        <v>43</v>
      </c>
      <c r="R320" s="9">
        <v>72</v>
      </c>
      <c r="S320" s="9">
        <v>61</v>
      </c>
      <c r="T320" s="9">
        <v>68</v>
      </c>
      <c r="U320" s="9">
        <v>1</v>
      </c>
      <c r="V320" s="9">
        <v>5</v>
      </c>
      <c r="W320" s="9">
        <v>0</v>
      </c>
      <c r="X320" s="9">
        <v>1</v>
      </c>
      <c r="Y320" s="9">
        <v>0</v>
      </c>
      <c r="Z320" s="9">
        <v>0</v>
      </c>
      <c r="AB320" s="9">
        <f t="shared" si="13"/>
        <v>1238</v>
      </c>
      <c r="AC320" s="9">
        <f t="shared" si="14"/>
        <v>12048</v>
      </c>
      <c r="AD320" s="10">
        <f t="shared" si="15"/>
        <v>9.7318255250403869</v>
      </c>
    </row>
    <row r="321" spans="1:30" x14ac:dyDescent="0.3">
      <c r="A321" s="55"/>
      <c r="B321" s="30" t="s">
        <v>323</v>
      </c>
      <c r="C321" s="9">
        <v>29</v>
      </c>
      <c r="D321" s="9">
        <v>9</v>
      </c>
      <c r="E321" s="9">
        <v>17</v>
      </c>
      <c r="F321" s="9">
        <v>26</v>
      </c>
      <c r="G321" s="9">
        <v>27</v>
      </c>
      <c r="H321" s="9">
        <v>41</v>
      </c>
      <c r="I321" s="9">
        <v>41</v>
      </c>
      <c r="J321" s="9">
        <v>29</v>
      </c>
      <c r="K321" s="9">
        <v>41</v>
      </c>
      <c r="L321" s="9">
        <v>29</v>
      </c>
      <c r="M321" s="9">
        <v>34</v>
      </c>
      <c r="N321" s="9">
        <v>36</v>
      </c>
      <c r="O321" s="9">
        <v>84</v>
      </c>
      <c r="P321" s="9">
        <v>2</v>
      </c>
      <c r="Q321" s="9">
        <v>3</v>
      </c>
      <c r="R321" s="9">
        <v>5</v>
      </c>
      <c r="S321" s="9">
        <v>9</v>
      </c>
      <c r="T321" s="9">
        <v>3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B321" s="9">
        <f t="shared" si="13"/>
        <v>465</v>
      </c>
      <c r="AC321" s="9">
        <f t="shared" si="14"/>
        <v>3554</v>
      </c>
      <c r="AD321" s="10">
        <f t="shared" si="15"/>
        <v>7.6430107526881716</v>
      </c>
    </row>
    <row r="322" spans="1:30" x14ac:dyDescent="0.3">
      <c r="A322" s="55"/>
      <c r="B322" s="30" t="s">
        <v>324</v>
      </c>
      <c r="C322" s="9">
        <v>65</v>
      </c>
      <c r="D322" s="9">
        <v>28</v>
      </c>
      <c r="E322" s="9">
        <v>39</v>
      </c>
      <c r="F322" s="9">
        <v>46</v>
      </c>
      <c r="G322" s="9">
        <v>52</v>
      </c>
      <c r="H322" s="9">
        <v>106</v>
      </c>
      <c r="I322" s="9">
        <v>80</v>
      </c>
      <c r="J322" s="9">
        <v>77</v>
      </c>
      <c r="K322" s="9">
        <v>90</v>
      </c>
      <c r="L322" s="9">
        <v>83</v>
      </c>
      <c r="M322" s="9">
        <v>61</v>
      </c>
      <c r="N322" s="9">
        <v>45</v>
      </c>
      <c r="O322" s="9">
        <v>236</v>
      </c>
      <c r="P322" s="9">
        <v>19</v>
      </c>
      <c r="Q322" s="9">
        <v>16</v>
      </c>
      <c r="R322" s="9">
        <v>64</v>
      </c>
      <c r="S322" s="9">
        <v>66</v>
      </c>
      <c r="T322" s="9">
        <v>78</v>
      </c>
      <c r="U322" s="9">
        <v>0</v>
      </c>
      <c r="V322" s="9">
        <v>1</v>
      </c>
      <c r="W322" s="9">
        <v>3</v>
      </c>
      <c r="X322" s="9">
        <v>0</v>
      </c>
      <c r="Y322" s="9">
        <v>0</v>
      </c>
      <c r="Z322" s="9">
        <v>0</v>
      </c>
      <c r="AB322" s="9">
        <f t="shared" si="13"/>
        <v>1255</v>
      </c>
      <c r="AC322" s="9">
        <f t="shared" si="14"/>
        <v>11297</v>
      </c>
      <c r="AD322" s="10">
        <f t="shared" si="15"/>
        <v>9.0015936254980087</v>
      </c>
    </row>
    <row r="323" spans="1:30" x14ac:dyDescent="0.3">
      <c r="A323" s="55"/>
      <c r="B323" s="30" t="s">
        <v>325</v>
      </c>
      <c r="C323" s="9">
        <v>8</v>
      </c>
      <c r="D323" s="9">
        <v>4</v>
      </c>
      <c r="E323" s="9">
        <v>12</v>
      </c>
      <c r="F323" s="9">
        <v>23</v>
      </c>
      <c r="G323" s="9">
        <v>20</v>
      </c>
      <c r="H323" s="9">
        <v>19</v>
      </c>
      <c r="I323" s="9">
        <v>19</v>
      </c>
      <c r="J323" s="9">
        <v>14</v>
      </c>
      <c r="K323" s="9">
        <v>17</v>
      </c>
      <c r="L323" s="9">
        <v>12</v>
      </c>
      <c r="M323" s="9">
        <v>16</v>
      </c>
      <c r="N323" s="9">
        <v>11</v>
      </c>
      <c r="O323" s="9">
        <v>30</v>
      </c>
      <c r="P323" s="9">
        <v>0</v>
      </c>
      <c r="Q323" s="9">
        <v>1</v>
      </c>
      <c r="R323" s="9">
        <v>8</v>
      </c>
      <c r="S323" s="9">
        <v>21</v>
      </c>
      <c r="T323" s="9">
        <v>10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B323" s="9">
        <f t="shared" si="13"/>
        <v>245</v>
      </c>
      <c r="AC323" s="9">
        <f t="shared" si="14"/>
        <v>2009</v>
      </c>
      <c r="AD323" s="10">
        <f t="shared" si="15"/>
        <v>8.1999999999999993</v>
      </c>
    </row>
    <row r="324" spans="1:30" x14ac:dyDescent="0.3">
      <c r="A324" s="55"/>
      <c r="B324" s="30" t="s">
        <v>326</v>
      </c>
      <c r="C324" s="9">
        <v>29</v>
      </c>
      <c r="D324" s="9">
        <v>24</v>
      </c>
      <c r="E324" s="9">
        <v>47</v>
      </c>
      <c r="F324" s="9">
        <v>62</v>
      </c>
      <c r="G324" s="9">
        <v>44</v>
      </c>
      <c r="H324" s="9">
        <v>94</v>
      </c>
      <c r="I324" s="9">
        <v>68</v>
      </c>
      <c r="J324" s="9">
        <v>49</v>
      </c>
      <c r="K324" s="9">
        <v>62</v>
      </c>
      <c r="L324" s="9">
        <v>51</v>
      </c>
      <c r="M324" s="9">
        <v>68</v>
      </c>
      <c r="N324" s="9">
        <v>42</v>
      </c>
      <c r="O324" s="9">
        <v>125</v>
      </c>
      <c r="P324" s="9">
        <v>4</v>
      </c>
      <c r="Q324" s="9">
        <v>3</v>
      </c>
      <c r="R324" s="9">
        <v>15</v>
      </c>
      <c r="S324" s="9">
        <v>26</v>
      </c>
      <c r="T324" s="9">
        <v>18</v>
      </c>
      <c r="U324" s="9">
        <v>1</v>
      </c>
      <c r="V324" s="9">
        <v>0</v>
      </c>
      <c r="W324" s="9">
        <v>1</v>
      </c>
      <c r="X324" s="9">
        <v>0</v>
      </c>
      <c r="Y324" s="9">
        <v>0</v>
      </c>
      <c r="Z324" s="9">
        <v>0</v>
      </c>
      <c r="AB324" s="9">
        <f t="shared" ref="AB324:AB346" si="16">SUM(C324:Z324)</f>
        <v>833</v>
      </c>
      <c r="AC324" s="9">
        <f t="shared" ref="AC324:AC346" si="17">C$2*C324+D$2*D324+E$2*E324+F$2*F324+G$2*G324+H$2*H324+I$2*I324+J$2*J324+K$2*K324+L$2*L324+M$2*M324+N$2*N324+O$2*O324+P$2*P324+Q$2*Q324+R$2*R324+S$2*S324+T$2*T324+U$2*U324+V$2*V324+W$2*W324+X$2*X324+Y$2*Y324+Z$2*Z324</f>
        <v>6377</v>
      </c>
      <c r="AD324" s="10">
        <f t="shared" si="15"/>
        <v>7.6554621848739499</v>
      </c>
    </row>
    <row r="325" spans="1:30" x14ac:dyDescent="0.3">
      <c r="A325" s="55"/>
      <c r="B325" s="30" t="s">
        <v>327</v>
      </c>
      <c r="C325" s="9">
        <v>11</v>
      </c>
      <c r="D325" s="9">
        <v>7</v>
      </c>
      <c r="E325" s="9">
        <v>10</v>
      </c>
      <c r="F325" s="9">
        <v>17</v>
      </c>
      <c r="G325" s="9">
        <v>16</v>
      </c>
      <c r="H325" s="9">
        <v>38</v>
      </c>
      <c r="I325" s="9">
        <v>29</v>
      </c>
      <c r="J325" s="9">
        <v>24</v>
      </c>
      <c r="K325" s="9">
        <v>25</v>
      </c>
      <c r="L325" s="9">
        <v>24</v>
      </c>
      <c r="M325" s="9">
        <v>31</v>
      </c>
      <c r="N325" s="9">
        <v>26</v>
      </c>
      <c r="O325" s="9">
        <v>136</v>
      </c>
      <c r="P325" s="9">
        <v>6</v>
      </c>
      <c r="Q325" s="9">
        <v>2</v>
      </c>
      <c r="R325" s="9">
        <v>16</v>
      </c>
      <c r="S325" s="9">
        <v>29</v>
      </c>
      <c r="T325" s="9">
        <v>29</v>
      </c>
      <c r="U325" s="9">
        <v>2</v>
      </c>
      <c r="V325" s="9">
        <v>0</v>
      </c>
      <c r="W325" s="9">
        <v>0</v>
      </c>
      <c r="X325" s="9">
        <v>0</v>
      </c>
      <c r="Y325" s="9">
        <v>1</v>
      </c>
      <c r="Z325" s="9">
        <v>0</v>
      </c>
      <c r="AB325" s="9">
        <f t="shared" si="16"/>
        <v>479</v>
      </c>
      <c r="AC325" s="9">
        <f t="shared" si="17"/>
        <v>4679</v>
      </c>
      <c r="AD325" s="10">
        <f t="shared" ref="AD325:AD346" si="18">AC325/AB325</f>
        <v>9.7682672233820451</v>
      </c>
    </row>
    <row r="326" spans="1:30" x14ac:dyDescent="0.3">
      <c r="A326" s="55"/>
      <c r="B326" s="30" t="s">
        <v>328</v>
      </c>
      <c r="C326" s="9">
        <v>3</v>
      </c>
      <c r="D326" s="9">
        <v>4</v>
      </c>
      <c r="E326" s="9">
        <v>12</v>
      </c>
      <c r="F326" s="9">
        <v>5</v>
      </c>
      <c r="G326" s="9">
        <v>13</v>
      </c>
      <c r="H326" s="9">
        <v>19</v>
      </c>
      <c r="I326" s="9">
        <v>26</v>
      </c>
      <c r="J326" s="9">
        <v>23</v>
      </c>
      <c r="K326" s="9">
        <v>27</v>
      </c>
      <c r="L326" s="9">
        <v>26</v>
      </c>
      <c r="M326" s="9">
        <v>16</v>
      </c>
      <c r="N326" s="9">
        <v>12</v>
      </c>
      <c r="O326" s="9">
        <v>80</v>
      </c>
      <c r="P326" s="9">
        <v>4</v>
      </c>
      <c r="Q326" s="9">
        <v>5</v>
      </c>
      <c r="R326" s="9">
        <v>8</v>
      </c>
      <c r="S326" s="9">
        <v>17</v>
      </c>
      <c r="T326" s="9">
        <v>19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B326" s="9">
        <f t="shared" si="16"/>
        <v>319</v>
      </c>
      <c r="AC326" s="9">
        <f t="shared" si="17"/>
        <v>3046</v>
      </c>
      <c r="AD326" s="10">
        <f t="shared" si="18"/>
        <v>9.5485893416927894</v>
      </c>
    </row>
    <row r="327" spans="1:30" x14ac:dyDescent="0.3">
      <c r="A327" s="55"/>
      <c r="B327" s="30" t="s">
        <v>329</v>
      </c>
      <c r="C327" s="9">
        <v>5</v>
      </c>
      <c r="D327" s="9">
        <v>0</v>
      </c>
      <c r="E327" s="9">
        <v>0</v>
      </c>
      <c r="F327" s="9">
        <v>2</v>
      </c>
      <c r="G327" s="9">
        <v>1</v>
      </c>
      <c r="H327" s="9">
        <v>2</v>
      </c>
      <c r="I327" s="9">
        <v>4</v>
      </c>
      <c r="J327" s="9">
        <v>8</v>
      </c>
      <c r="K327" s="9">
        <v>10</v>
      </c>
      <c r="L327" s="9">
        <v>5</v>
      </c>
      <c r="M327" s="9">
        <v>4</v>
      </c>
      <c r="N327" s="9">
        <v>4</v>
      </c>
      <c r="O327" s="9">
        <v>11</v>
      </c>
      <c r="P327" s="9">
        <v>0</v>
      </c>
      <c r="Q327" s="9">
        <v>0</v>
      </c>
      <c r="R327" s="9">
        <v>2</v>
      </c>
      <c r="S327" s="9">
        <v>3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B327" s="9">
        <f t="shared" si="16"/>
        <v>61</v>
      </c>
      <c r="AC327" s="9">
        <f t="shared" si="17"/>
        <v>519</v>
      </c>
      <c r="AD327" s="10">
        <f t="shared" si="18"/>
        <v>8.5081967213114762</v>
      </c>
    </row>
    <row r="328" spans="1:30" x14ac:dyDescent="0.3">
      <c r="A328" s="55"/>
      <c r="B328" s="30" t="s">
        <v>330</v>
      </c>
      <c r="C328" s="9">
        <v>23</v>
      </c>
      <c r="D328" s="9">
        <v>7</v>
      </c>
      <c r="E328" s="9">
        <v>5</v>
      </c>
      <c r="F328" s="9">
        <v>16</v>
      </c>
      <c r="G328" s="9">
        <v>24</v>
      </c>
      <c r="H328" s="9">
        <v>32</v>
      </c>
      <c r="I328" s="9">
        <v>35</v>
      </c>
      <c r="J328" s="9">
        <v>45</v>
      </c>
      <c r="K328" s="9">
        <v>60</v>
      </c>
      <c r="L328" s="9">
        <v>67</v>
      </c>
      <c r="M328" s="9">
        <v>61</v>
      </c>
      <c r="N328" s="9">
        <v>52</v>
      </c>
      <c r="O328" s="9">
        <v>237</v>
      </c>
      <c r="P328" s="9">
        <v>8</v>
      </c>
      <c r="Q328" s="9">
        <v>11</v>
      </c>
      <c r="R328" s="9">
        <v>28</v>
      </c>
      <c r="S328" s="9">
        <v>37</v>
      </c>
      <c r="T328" s="9">
        <v>29</v>
      </c>
      <c r="U328" s="9">
        <v>0</v>
      </c>
      <c r="V328" s="9">
        <v>1</v>
      </c>
      <c r="W328" s="9">
        <v>1</v>
      </c>
      <c r="X328" s="9">
        <v>0</v>
      </c>
      <c r="Y328" s="9">
        <v>0</v>
      </c>
      <c r="Z328" s="9">
        <v>0</v>
      </c>
      <c r="AB328" s="9">
        <f t="shared" si="16"/>
        <v>779</v>
      </c>
      <c r="AC328" s="9">
        <f t="shared" si="17"/>
        <v>7757</v>
      </c>
      <c r="AD328" s="10">
        <f t="shared" si="18"/>
        <v>9.9576379974326059</v>
      </c>
    </row>
    <row r="329" spans="1:30" x14ac:dyDescent="0.3">
      <c r="A329" s="55"/>
      <c r="B329" s="30" t="s">
        <v>331</v>
      </c>
      <c r="C329" s="9">
        <v>6</v>
      </c>
      <c r="D329" s="9">
        <v>3</v>
      </c>
      <c r="E329" s="9">
        <v>7</v>
      </c>
      <c r="F329" s="9">
        <v>12</v>
      </c>
      <c r="G329" s="9">
        <v>7</v>
      </c>
      <c r="H329" s="9">
        <v>22</v>
      </c>
      <c r="I329" s="9">
        <v>32</v>
      </c>
      <c r="J329" s="9">
        <v>27</v>
      </c>
      <c r="K329" s="9">
        <v>49</v>
      </c>
      <c r="L329" s="9">
        <v>26</v>
      </c>
      <c r="M329" s="9">
        <v>36</v>
      </c>
      <c r="N329" s="9">
        <v>23</v>
      </c>
      <c r="O329" s="9">
        <v>96</v>
      </c>
      <c r="P329" s="9">
        <v>2</v>
      </c>
      <c r="Q329" s="9">
        <v>5</v>
      </c>
      <c r="R329" s="9">
        <v>16</v>
      </c>
      <c r="S329" s="9">
        <v>19</v>
      </c>
      <c r="T329" s="9">
        <v>11</v>
      </c>
      <c r="U329" s="9">
        <v>0</v>
      </c>
      <c r="V329" s="9">
        <v>2</v>
      </c>
      <c r="W329" s="9">
        <v>0</v>
      </c>
      <c r="X329" s="9">
        <v>1</v>
      </c>
      <c r="Y329" s="9">
        <v>0</v>
      </c>
      <c r="Z329" s="9">
        <v>0</v>
      </c>
      <c r="AB329" s="9">
        <f t="shared" si="16"/>
        <v>402</v>
      </c>
      <c r="AC329" s="9">
        <f t="shared" si="17"/>
        <v>3849</v>
      </c>
      <c r="AD329" s="10">
        <f t="shared" si="18"/>
        <v>9.5746268656716413</v>
      </c>
    </row>
    <row r="330" spans="1:30" x14ac:dyDescent="0.3">
      <c r="A330" s="55"/>
      <c r="B330" s="30" t="s">
        <v>332</v>
      </c>
      <c r="C330" s="9">
        <v>5</v>
      </c>
      <c r="D330" s="9">
        <v>1</v>
      </c>
      <c r="E330" s="9">
        <v>7</v>
      </c>
      <c r="F330" s="9">
        <v>7</v>
      </c>
      <c r="G330" s="9">
        <v>5</v>
      </c>
      <c r="H330" s="9">
        <v>23</v>
      </c>
      <c r="I330" s="9">
        <v>14</v>
      </c>
      <c r="J330" s="9">
        <v>14</v>
      </c>
      <c r="K330" s="9">
        <v>25</v>
      </c>
      <c r="L330" s="9">
        <v>23</v>
      </c>
      <c r="M330" s="9">
        <v>20</v>
      </c>
      <c r="N330" s="9">
        <v>14</v>
      </c>
      <c r="O330" s="9">
        <v>71</v>
      </c>
      <c r="P330" s="9">
        <v>1</v>
      </c>
      <c r="Q330" s="9">
        <v>5</v>
      </c>
      <c r="R330" s="9">
        <v>8</v>
      </c>
      <c r="S330" s="9">
        <v>8</v>
      </c>
      <c r="T330" s="9">
        <v>11</v>
      </c>
      <c r="U330" s="9">
        <v>0</v>
      </c>
      <c r="V330" s="9">
        <v>0</v>
      </c>
      <c r="W330" s="9">
        <v>2</v>
      </c>
      <c r="X330" s="9">
        <v>2</v>
      </c>
      <c r="Y330" s="9">
        <v>0</v>
      </c>
      <c r="Z330" s="9">
        <v>0</v>
      </c>
      <c r="AB330" s="9">
        <f t="shared" si="16"/>
        <v>266</v>
      </c>
      <c r="AC330" s="9">
        <f t="shared" si="17"/>
        <v>2566</v>
      </c>
      <c r="AD330" s="10">
        <f t="shared" si="18"/>
        <v>9.6466165413533833</v>
      </c>
    </row>
    <row r="331" spans="1:30" x14ac:dyDescent="0.3">
      <c r="A331" s="55"/>
      <c r="B331" s="30" t="s">
        <v>333</v>
      </c>
      <c r="C331" s="9">
        <v>13</v>
      </c>
      <c r="D331" s="9">
        <v>5</v>
      </c>
      <c r="E331" s="9">
        <v>11</v>
      </c>
      <c r="F331" s="9">
        <v>18</v>
      </c>
      <c r="G331" s="9">
        <v>9</v>
      </c>
      <c r="H331" s="9">
        <v>25</v>
      </c>
      <c r="I331" s="9">
        <v>15</v>
      </c>
      <c r="J331" s="9">
        <v>13</v>
      </c>
      <c r="K331" s="9">
        <v>19</v>
      </c>
      <c r="L331" s="9">
        <v>6</v>
      </c>
      <c r="M331" s="9">
        <v>9</v>
      </c>
      <c r="N331" s="9">
        <v>10</v>
      </c>
      <c r="O331" s="9">
        <v>16</v>
      </c>
      <c r="P331" s="9">
        <v>1</v>
      </c>
      <c r="Q331" s="9">
        <v>1</v>
      </c>
      <c r="R331" s="9">
        <v>10</v>
      </c>
      <c r="S331" s="9">
        <v>9</v>
      </c>
      <c r="T331" s="9">
        <v>3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B331" s="9">
        <f t="shared" si="16"/>
        <v>193</v>
      </c>
      <c r="AC331" s="9">
        <f t="shared" si="17"/>
        <v>1393</v>
      </c>
      <c r="AD331" s="10">
        <f t="shared" si="18"/>
        <v>7.2176165803108807</v>
      </c>
    </row>
    <row r="332" spans="1:30" x14ac:dyDescent="0.3">
      <c r="A332" s="55"/>
      <c r="B332" s="30" t="s">
        <v>334</v>
      </c>
      <c r="C332" s="9">
        <v>70</v>
      </c>
      <c r="D332" s="9">
        <v>32</v>
      </c>
      <c r="E332" s="9">
        <v>58</v>
      </c>
      <c r="F332" s="9">
        <v>73</v>
      </c>
      <c r="G332" s="9">
        <v>72</v>
      </c>
      <c r="H332" s="9">
        <v>202</v>
      </c>
      <c r="I332" s="9">
        <v>207</v>
      </c>
      <c r="J332" s="9">
        <v>144</v>
      </c>
      <c r="K332" s="9">
        <v>204</v>
      </c>
      <c r="L332" s="9">
        <v>247</v>
      </c>
      <c r="M332" s="9">
        <v>279</v>
      </c>
      <c r="N332" s="9">
        <v>249</v>
      </c>
      <c r="O332" s="9">
        <v>1163</v>
      </c>
      <c r="P332" s="9">
        <v>78</v>
      </c>
      <c r="Q332" s="9">
        <v>133</v>
      </c>
      <c r="R332" s="9">
        <v>303</v>
      </c>
      <c r="S332" s="9">
        <v>407</v>
      </c>
      <c r="T332" s="9">
        <v>527</v>
      </c>
      <c r="U332" s="9">
        <v>16</v>
      </c>
      <c r="V332" s="9">
        <v>24</v>
      </c>
      <c r="W332" s="9">
        <v>12</v>
      </c>
      <c r="X332" s="9">
        <v>3</v>
      </c>
      <c r="Y332" s="9">
        <v>4</v>
      </c>
      <c r="Z332" s="9">
        <v>3</v>
      </c>
      <c r="AB332" s="9">
        <f t="shared" si="16"/>
        <v>4510</v>
      </c>
      <c r="AC332" s="9">
        <f t="shared" si="17"/>
        <v>51351</v>
      </c>
      <c r="AD332" s="10">
        <f t="shared" si="18"/>
        <v>11.386031042128604</v>
      </c>
    </row>
    <row r="333" spans="1:30" x14ac:dyDescent="0.3">
      <c r="A333" s="55"/>
      <c r="B333" s="30" t="s">
        <v>335</v>
      </c>
      <c r="C333" s="9">
        <v>23</v>
      </c>
      <c r="D333" s="9">
        <v>14</v>
      </c>
      <c r="E333" s="9">
        <v>16</v>
      </c>
      <c r="F333" s="9">
        <v>16</v>
      </c>
      <c r="G333" s="9">
        <v>18</v>
      </c>
      <c r="H333" s="9">
        <v>31</v>
      </c>
      <c r="I333" s="9">
        <v>43</v>
      </c>
      <c r="J333" s="9">
        <v>29</v>
      </c>
      <c r="K333" s="9">
        <v>47</v>
      </c>
      <c r="L333" s="9">
        <v>29</v>
      </c>
      <c r="M333" s="9">
        <v>43</v>
      </c>
      <c r="N333" s="9">
        <v>42</v>
      </c>
      <c r="O333" s="9">
        <v>196</v>
      </c>
      <c r="P333" s="9">
        <v>1</v>
      </c>
      <c r="Q333" s="9">
        <v>7</v>
      </c>
      <c r="R333" s="9">
        <v>21</v>
      </c>
      <c r="S333" s="9">
        <v>34</v>
      </c>
      <c r="T333" s="9">
        <v>28</v>
      </c>
      <c r="U333" s="9">
        <v>1</v>
      </c>
      <c r="V333" s="9">
        <v>0</v>
      </c>
      <c r="W333" s="9">
        <v>2</v>
      </c>
      <c r="X333" s="9">
        <v>2</v>
      </c>
      <c r="Y333" s="9">
        <v>0</v>
      </c>
      <c r="Z333" s="9">
        <v>0</v>
      </c>
      <c r="AB333" s="9">
        <f t="shared" si="16"/>
        <v>643</v>
      </c>
      <c r="AC333" s="9">
        <f t="shared" si="17"/>
        <v>6209</v>
      </c>
      <c r="AD333" s="10">
        <f t="shared" si="18"/>
        <v>9.6562986003110414</v>
      </c>
    </row>
    <row r="334" spans="1:30" x14ac:dyDescent="0.3">
      <c r="A334" s="55"/>
      <c r="B334" s="30" t="s">
        <v>336</v>
      </c>
      <c r="C334" s="9">
        <v>11</v>
      </c>
      <c r="D334" s="9">
        <v>4</v>
      </c>
      <c r="E334" s="9">
        <v>11</v>
      </c>
      <c r="F334" s="9">
        <v>9</v>
      </c>
      <c r="G334" s="9">
        <v>8</v>
      </c>
      <c r="H334" s="9">
        <v>15</v>
      </c>
      <c r="I334" s="9">
        <v>10</v>
      </c>
      <c r="J334" s="9">
        <v>5</v>
      </c>
      <c r="K334" s="9">
        <v>14</v>
      </c>
      <c r="L334" s="9">
        <v>6</v>
      </c>
      <c r="M334" s="9">
        <v>5</v>
      </c>
      <c r="N334" s="9">
        <v>9</v>
      </c>
      <c r="O334" s="9">
        <v>27</v>
      </c>
      <c r="P334" s="9">
        <v>2</v>
      </c>
      <c r="Q334" s="9">
        <v>5</v>
      </c>
      <c r="R334" s="9">
        <v>7</v>
      </c>
      <c r="S334" s="9">
        <v>9</v>
      </c>
      <c r="T334" s="9">
        <v>12</v>
      </c>
      <c r="U334" s="9">
        <v>0</v>
      </c>
      <c r="V334" s="9">
        <v>1</v>
      </c>
      <c r="W334" s="9">
        <v>0</v>
      </c>
      <c r="X334" s="9">
        <v>0</v>
      </c>
      <c r="Y334" s="9">
        <v>0</v>
      </c>
      <c r="Z334" s="9">
        <v>0</v>
      </c>
      <c r="AB334" s="9">
        <f t="shared" si="16"/>
        <v>170</v>
      </c>
      <c r="AC334" s="9">
        <f t="shared" si="17"/>
        <v>1462</v>
      </c>
      <c r="AD334" s="10">
        <f t="shared" si="18"/>
        <v>8.6</v>
      </c>
    </row>
    <row r="335" spans="1:30" x14ac:dyDescent="0.3">
      <c r="A335" s="55"/>
      <c r="B335" s="30" t="s">
        <v>337</v>
      </c>
      <c r="C335" s="9">
        <v>20</v>
      </c>
      <c r="D335" s="9">
        <v>8</v>
      </c>
      <c r="E335" s="9">
        <v>9</v>
      </c>
      <c r="F335" s="9">
        <v>13</v>
      </c>
      <c r="G335" s="9">
        <v>9</v>
      </c>
      <c r="H335" s="9">
        <v>27</v>
      </c>
      <c r="I335" s="9">
        <v>20</v>
      </c>
      <c r="J335" s="9">
        <v>15</v>
      </c>
      <c r="K335" s="9">
        <v>12</v>
      </c>
      <c r="L335" s="9">
        <v>9</v>
      </c>
      <c r="M335" s="9">
        <v>16</v>
      </c>
      <c r="N335" s="9">
        <v>15</v>
      </c>
      <c r="O335" s="9">
        <v>41</v>
      </c>
      <c r="P335" s="9">
        <v>3</v>
      </c>
      <c r="Q335" s="9">
        <v>5</v>
      </c>
      <c r="R335" s="9">
        <v>11</v>
      </c>
      <c r="S335" s="9">
        <v>19</v>
      </c>
      <c r="T335" s="9">
        <v>12</v>
      </c>
      <c r="U335" s="9">
        <v>0</v>
      </c>
      <c r="V335" s="9">
        <v>0</v>
      </c>
      <c r="W335" s="9">
        <v>1</v>
      </c>
      <c r="X335" s="9">
        <v>0</v>
      </c>
      <c r="Y335" s="9">
        <v>0</v>
      </c>
      <c r="Z335" s="9">
        <v>0</v>
      </c>
      <c r="AB335" s="9">
        <f t="shared" si="16"/>
        <v>265</v>
      </c>
      <c r="AC335" s="9">
        <f t="shared" si="17"/>
        <v>2257</v>
      </c>
      <c r="AD335" s="10">
        <f t="shared" si="18"/>
        <v>8.5169811320754718</v>
      </c>
    </row>
    <row r="336" spans="1:30" x14ac:dyDescent="0.3">
      <c r="A336" s="55"/>
      <c r="B336" s="30" t="s">
        <v>338</v>
      </c>
      <c r="C336" s="9">
        <v>20</v>
      </c>
      <c r="D336" s="9">
        <v>1</v>
      </c>
      <c r="E336" s="9">
        <v>13</v>
      </c>
      <c r="F336" s="9">
        <v>21</v>
      </c>
      <c r="G336" s="9">
        <v>21</v>
      </c>
      <c r="H336" s="9">
        <v>48</v>
      </c>
      <c r="I336" s="9">
        <v>34</v>
      </c>
      <c r="J336" s="9">
        <v>31</v>
      </c>
      <c r="K336" s="9">
        <v>28</v>
      </c>
      <c r="L336" s="9">
        <v>13</v>
      </c>
      <c r="M336" s="9">
        <v>25</v>
      </c>
      <c r="N336" s="9">
        <v>15</v>
      </c>
      <c r="O336" s="9">
        <v>79</v>
      </c>
      <c r="P336" s="9">
        <v>5</v>
      </c>
      <c r="Q336" s="9">
        <v>10</v>
      </c>
      <c r="R336" s="9">
        <v>31</v>
      </c>
      <c r="S336" s="9">
        <v>26</v>
      </c>
      <c r="T336" s="9">
        <v>17</v>
      </c>
      <c r="U336" s="9">
        <v>0</v>
      </c>
      <c r="V336" s="9">
        <v>1</v>
      </c>
      <c r="W336" s="9">
        <v>1</v>
      </c>
      <c r="X336" s="9">
        <v>0</v>
      </c>
      <c r="Y336" s="9">
        <v>1</v>
      </c>
      <c r="Z336" s="9">
        <v>0</v>
      </c>
      <c r="AB336" s="9">
        <f t="shared" si="16"/>
        <v>441</v>
      </c>
      <c r="AC336" s="9">
        <f t="shared" si="17"/>
        <v>3975</v>
      </c>
      <c r="AD336" s="10">
        <f t="shared" si="18"/>
        <v>9.0136054421768712</v>
      </c>
    </row>
    <row r="337" spans="1:30" x14ac:dyDescent="0.3">
      <c r="A337" s="55"/>
      <c r="B337" s="30" t="s">
        <v>339</v>
      </c>
      <c r="C337" s="9">
        <v>20</v>
      </c>
      <c r="D337" s="9">
        <v>8</v>
      </c>
      <c r="E337" s="9">
        <v>12</v>
      </c>
      <c r="F337" s="9">
        <v>13</v>
      </c>
      <c r="G337" s="9">
        <v>10</v>
      </c>
      <c r="H337" s="9">
        <v>21</v>
      </c>
      <c r="I337" s="9">
        <v>10</v>
      </c>
      <c r="J337" s="9">
        <v>16</v>
      </c>
      <c r="K337" s="9">
        <v>29</v>
      </c>
      <c r="L337" s="9">
        <v>10</v>
      </c>
      <c r="M337" s="9">
        <v>11</v>
      </c>
      <c r="N337" s="9">
        <v>15</v>
      </c>
      <c r="O337" s="9">
        <v>23</v>
      </c>
      <c r="P337" s="9">
        <v>0</v>
      </c>
      <c r="Q337" s="9">
        <v>1</v>
      </c>
      <c r="R337" s="9">
        <v>5</v>
      </c>
      <c r="S337" s="9">
        <v>5</v>
      </c>
      <c r="T337" s="9">
        <v>3</v>
      </c>
      <c r="U337" s="9">
        <v>1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B337" s="9">
        <f t="shared" si="16"/>
        <v>213</v>
      </c>
      <c r="AC337" s="9">
        <f t="shared" si="17"/>
        <v>1499</v>
      </c>
      <c r="AD337" s="10">
        <f t="shared" si="18"/>
        <v>7.037558685446009</v>
      </c>
    </row>
    <row r="338" spans="1:30" x14ac:dyDescent="0.3">
      <c r="A338" s="55"/>
      <c r="B338" s="30" t="s">
        <v>340</v>
      </c>
      <c r="C338" s="9">
        <v>31</v>
      </c>
      <c r="D338" s="9">
        <v>12</v>
      </c>
      <c r="E338" s="9">
        <v>12</v>
      </c>
      <c r="F338" s="9">
        <v>20</v>
      </c>
      <c r="G338" s="9">
        <v>13</v>
      </c>
      <c r="H338" s="9">
        <v>35</v>
      </c>
      <c r="I338" s="9">
        <v>32</v>
      </c>
      <c r="J338" s="9">
        <v>20</v>
      </c>
      <c r="K338" s="9">
        <v>28</v>
      </c>
      <c r="L338" s="9">
        <v>16</v>
      </c>
      <c r="M338" s="9">
        <v>29</v>
      </c>
      <c r="N338" s="9">
        <v>25</v>
      </c>
      <c r="O338" s="9">
        <v>79</v>
      </c>
      <c r="P338" s="9">
        <v>6</v>
      </c>
      <c r="Q338" s="9">
        <v>5</v>
      </c>
      <c r="R338" s="9">
        <v>13</v>
      </c>
      <c r="S338" s="9">
        <v>16</v>
      </c>
      <c r="T338" s="9">
        <v>7</v>
      </c>
      <c r="U338" s="9">
        <v>0</v>
      </c>
      <c r="V338" s="9">
        <v>0</v>
      </c>
      <c r="W338" s="9">
        <v>1</v>
      </c>
      <c r="X338" s="9">
        <v>1</v>
      </c>
      <c r="Y338" s="9">
        <v>0</v>
      </c>
      <c r="Z338" s="9">
        <v>0</v>
      </c>
      <c r="AB338" s="9">
        <f t="shared" si="16"/>
        <v>401</v>
      </c>
      <c r="AC338" s="9">
        <f t="shared" si="17"/>
        <v>3295</v>
      </c>
      <c r="AD338" s="10">
        <f t="shared" si="18"/>
        <v>8.2169576059850371</v>
      </c>
    </row>
    <row r="339" spans="1:30" x14ac:dyDescent="0.3">
      <c r="A339" s="55"/>
      <c r="B339" s="30" t="s">
        <v>341</v>
      </c>
      <c r="C339" s="9">
        <v>22</v>
      </c>
      <c r="D339" s="9">
        <v>6</v>
      </c>
      <c r="E339" s="9">
        <v>9</v>
      </c>
      <c r="F339" s="9">
        <v>29</v>
      </c>
      <c r="G339" s="9">
        <v>19</v>
      </c>
      <c r="H339" s="9">
        <v>40</v>
      </c>
      <c r="I339" s="9">
        <v>37</v>
      </c>
      <c r="J339" s="9">
        <v>31</v>
      </c>
      <c r="K339" s="9">
        <v>33</v>
      </c>
      <c r="L339" s="9">
        <v>29</v>
      </c>
      <c r="M339" s="9">
        <v>34</v>
      </c>
      <c r="N339" s="9">
        <v>42</v>
      </c>
      <c r="O339" s="9">
        <v>136</v>
      </c>
      <c r="P339" s="9">
        <v>1</v>
      </c>
      <c r="Q339" s="9">
        <v>9</v>
      </c>
      <c r="R339" s="9">
        <v>19</v>
      </c>
      <c r="S339" s="9">
        <v>16</v>
      </c>
      <c r="T339" s="9">
        <v>12</v>
      </c>
      <c r="U339" s="9">
        <v>2</v>
      </c>
      <c r="V339" s="9">
        <v>1</v>
      </c>
      <c r="W339" s="9">
        <v>1</v>
      </c>
      <c r="X339" s="9">
        <v>1</v>
      </c>
      <c r="Y339" s="9">
        <v>2</v>
      </c>
      <c r="Z339" s="9">
        <v>0</v>
      </c>
      <c r="AB339" s="9">
        <f t="shared" si="16"/>
        <v>531</v>
      </c>
      <c r="AC339" s="9">
        <f t="shared" si="17"/>
        <v>4809</v>
      </c>
      <c r="AD339" s="10">
        <f t="shared" si="18"/>
        <v>9.0564971751412422</v>
      </c>
    </row>
    <row r="340" spans="1:30" x14ac:dyDescent="0.3">
      <c r="A340" s="55"/>
      <c r="B340" s="30" t="s">
        <v>342</v>
      </c>
      <c r="C340" s="9">
        <v>33</v>
      </c>
      <c r="D340" s="9">
        <v>3</v>
      </c>
      <c r="E340" s="9">
        <v>7</v>
      </c>
      <c r="F340" s="9">
        <v>24</v>
      </c>
      <c r="G340" s="9">
        <v>46</v>
      </c>
      <c r="H340" s="9">
        <v>75</v>
      </c>
      <c r="I340" s="9">
        <v>43</v>
      </c>
      <c r="J340" s="9">
        <v>32</v>
      </c>
      <c r="K340" s="9">
        <v>42</v>
      </c>
      <c r="L340" s="9">
        <v>41</v>
      </c>
      <c r="M340" s="9">
        <v>44</v>
      </c>
      <c r="N340" s="9">
        <v>33</v>
      </c>
      <c r="O340" s="9">
        <v>91</v>
      </c>
      <c r="P340" s="9">
        <v>5</v>
      </c>
      <c r="Q340" s="9">
        <v>5</v>
      </c>
      <c r="R340" s="9">
        <v>21</v>
      </c>
      <c r="S340" s="9">
        <v>23</v>
      </c>
      <c r="T340" s="9">
        <v>10</v>
      </c>
      <c r="U340" s="9">
        <v>1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B340" s="9">
        <f t="shared" si="16"/>
        <v>579</v>
      </c>
      <c r="AC340" s="9">
        <f t="shared" si="17"/>
        <v>4736</v>
      </c>
      <c r="AD340" s="10">
        <f t="shared" si="18"/>
        <v>8.1796200345423138</v>
      </c>
    </row>
    <row r="341" spans="1:30" x14ac:dyDescent="0.3">
      <c r="A341" s="55"/>
      <c r="B341" s="30" t="s">
        <v>343</v>
      </c>
      <c r="C341" s="9">
        <v>42</v>
      </c>
      <c r="D341" s="9">
        <v>13</v>
      </c>
      <c r="E341" s="9">
        <v>20</v>
      </c>
      <c r="F341" s="9">
        <v>38</v>
      </c>
      <c r="G341" s="9">
        <v>34</v>
      </c>
      <c r="H341" s="9">
        <v>63</v>
      </c>
      <c r="I341" s="9">
        <v>67</v>
      </c>
      <c r="J341" s="9">
        <v>46</v>
      </c>
      <c r="K341" s="9">
        <v>46</v>
      </c>
      <c r="L341" s="9">
        <v>31</v>
      </c>
      <c r="M341" s="9">
        <v>34</v>
      </c>
      <c r="N341" s="9">
        <v>19</v>
      </c>
      <c r="O341" s="9">
        <v>108</v>
      </c>
      <c r="P341" s="9">
        <v>1</v>
      </c>
      <c r="Q341" s="9">
        <v>3</v>
      </c>
      <c r="R341" s="9">
        <v>11</v>
      </c>
      <c r="S341" s="9">
        <v>14</v>
      </c>
      <c r="T341" s="9">
        <v>7</v>
      </c>
      <c r="U341" s="9">
        <v>0</v>
      </c>
      <c r="V341" s="9">
        <v>1</v>
      </c>
      <c r="W341" s="9">
        <v>1</v>
      </c>
      <c r="X341" s="9">
        <v>0</v>
      </c>
      <c r="Y341" s="9">
        <v>0</v>
      </c>
      <c r="Z341" s="9">
        <v>0</v>
      </c>
      <c r="AB341" s="9">
        <f t="shared" si="16"/>
        <v>599</v>
      </c>
      <c r="AC341" s="9">
        <f t="shared" si="17"/>
        <v>4436</v>
      </c>
      <c r="AD341" s="10">
        <f t="shared" si="18"/>
        <v>7.4056761268781299</v>
      </c>
    </row>
    <row r="342" spans="1:30" x14ac:dyDescent="0.3">
      <c r="A342" s="55"/>
      <c r="B342" s="30" t="s">
        <v>344</v>
      </c>
      <c r="C342" s="9">
        <v>7</v>
      </c>
      <c r="D342" s="9">
        <v>6</v>
      </c>
      <c r="E342" s="9">
        <v>6</v>
      </c>
      <c r="F342" s="9">
        <v>12</v>
      </c>
      <c r="G342" s="9">
        <v>9</v>
      </c>
      <c r="H342" s="9">
        <v>14</v>
      </c>
      <c r="I342" s="9">
        <v>11</v>
      </c>
      <c r="J342" s="9">
        <v>10</v>
      </c>
      <c r="K342" s="9">
        <v>11</v>
      </c>
      <c r="L342" s="9">
        <v>11</v>
      </c>
      <c r="M342" s="9">
        <v>9</v>
      </c>
      <c r="N342" s="9">
        <v>8</v>
      </c>
      <c r="O342" s="9">
        <v>36</v>
      </c>
      <c r="P342" s="9">
        <v>2</v>
      </c>
      <c r="Q342" s="9">
        <v>2</v>
      </c>
      <c r="R342" s="9">
        <v>6</v>
      </c>
      <c r="S342" s="9">
        <v>8</v>
      </c>
      <c r="T342" s="9">
        <v>7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B342" s="9">
        <f t="shared" si="16"/>
        <v>175</v>
      </c>
      <c r="AC342" s="9">
        <f t="shared" si="17"/>
        <v>1484</v>
      </c>
      <c r="AD342" s="10">
        <f t="shared" si="18"/>
        <v>8.48</v>
      </c>
    </row>
    <row r="343" spans="1:30" x14ac:dyDescent="0.3">
      <c r="A343" s="55"/>
      <c r="B343" s="30" t="s">
        <v>345</v>
      </c>
      <c r="C343" s="9">
        <v>7</v>
      </c>
      <c r="D343" s="9">
        <v>3</v>
      </c>
      <c r="E343" s="9">
        <v>4</v>
      </c>
      <c r="F343" s="9">
        <v>5</v>
      </c>
      <c r="G343" s="9">
        <v>6</v>
      </c>
      <c r="H343" s="9">
        <v>16</v>
      </c>
      <c r="I343" s="9">
        <v>11</v>
      </c>
      <c r="J343" s="9">
        <v>4</v>
      </c>
      <c r="K343" s="9">
        <v>5</v>
      </c>
      <c r="L343" s="9">
        <v>7</v>
      </c>
      <c r="M343" s="9">
        <v>8</v>
      </c>
      <c r="N343" s="9">
        <v>4</v>
      </c>
      <c r="O343" s="9">
        <v>20</v>
      </c>
      <c r="P343" s="9">
        <v>0</v>
      </c>
      <c r="Q343" s="9">
        <v>2</v>
      </c>
      <c r="R343" s="9">
        <v>1</v>
      </c>
      <c r="S343" s="9">
        <v>2</v>
      </c>
      <c r="T343" s="9">
        <v>2</v>
      </c>
      <c r="U343" s="9">
        <v>0</v>
      </c>
      <c r="V343" s="9">
        <v>0</v>
      </c>
      <c r="W343" s="9">
        <v>0</v>
      </c>
      <c r="X343" s="9">
        <v>1</v>
      </c>
      <c r="Y343" s="9">
        <v>0</v>
      </c>
      <c r="Z343" s="9">
        <v>0</v>
      </c>
      <c r="AB343" s="9">
        <f t="shared" si="16"/>
        <v>108</v>
      </c>
      <c r="AC343" s="9">
        <f t="shared" si="17"/>
        <v>821</v>
      </c>
      <c r="AD343" s="10">
        <f t="shared" si="18"/>
        <v>7.6018518518518521</v>
      </c>
    </row>
    <row r="344" spans="1:30" x14ac:dyDescent="0.3">
      <c r="A344" s="55"/>
      <c r="B344" s="30" t="s">
        <v>346</v>
      </c>
      <c r="C344" s="9">
        <v>7</v>
      </c>
      <c r="D344" s="9">
        <v>1</v>
      </c>
      <c r="E344" s="9">
        <v>3</v>
      </c>
      <c r="F344" s="9">
        <v>5</v>
      </c>
      <c r="G344" s="9">
        <v>5</v>
      </c>
      <c r="H344" s="9">
        <v>13</v>
      </c>
      <c r="I344" s="9">
        <v>11</v>
      </c>
      <c r="J344" s="9">
        <v>5</v>
      </c>
      <c r="K344" s="9">
        <v>7</v>
      </c>
      <c r="L344" s="9">
        <v>12</v>
      </c>
      <c r="M344" s="9">
        <v>10</v>
      </c>
      <c r="N344" s="9">
        <v>9</v>
      </c>
      <c r="O344" s="9">
        <v>38</v>
      </c>
      <c r="P344" s="9">
        <v>0</v>
      </c>
      <c r="Q344" s="9">
        <v>1</v>
      </c>
      <c r="R344" s="9">
        <v>2</v>
      </c>
      <c r="S344" s="9">
        <v>3</v>
      </c>
      <c r="T344" s="9">
        <v>3</v>
      </c>
      <c r="U344" s="9">
        <v>0</v>
      </c>
      <c r="V344" s="9">
        <v>0</v>
      </c>
      <c r="W344" s="9">
        <v>1</v>
      </c>
      <c r="X344" s="9">
        <v>0</v>
      </c>
      <c r="Y344" s="9">
        <v>0</v>
      </c>
      <c r="Z344" s="9">
        <v>0</v>
      </c>
      <c r="AB344" s="9">
        <f t="shared" si="16"/>
        <v>136</v>
      </c>
      <c r="AC344" s="9">
        <f t="shared" si="17"/>
        <v>1190</v>
      </c>
      <c r="AD344" s="10">
        <f t="shared" si="18"/>
        <v>8.75</v>
      </c>
    </row>
    <row r="345" spans="1:30" x14ac:dyDescent="0.3">
      <c r="A345" s="55"/>
      <c r="B345" s="30" t="s">
        <v>347</v>
      </c>
      <c r="C345" s="9">
        <v>10</v>
      </c>
      <c r="D345" s="9">
        <v>4</v>
      </c>
      <c r="E345" s="9">
        <v>8</v>
      </c>
      <c r="F345" s="9">
        <v>15</v>
      </c>
      <c r="G345" s="9">
        <v>15</v>
      </c>
      <c r="H345" s="9">
        <v>14</v>
      </c>
      <c r="I345" s="9">
        <v>20</v>
      </c>
      <c r="J345" s="9">
        <v>12</v>
      </c>
      <c r="K345" s="9">
        <v>21</v>
      </c>
      <c r="L345" s="9">
        <v>8</v>
      </c>
      <c r="M345" s="9">
        <v>14</v>
      </c>
      <c r="N345" s="9">
        <v>12</v>
      </c>
      <c r="O345" s="9">
        <v>28</v>
      </c>
      <c r="P345" s="9">
        <v>1</v>
      </c>
      <c r="Q345" s="9">
        <v>3</v>
      </c>
      <c r="R345" s="9">
        <v>5</v>
      </c>
      <c r="S345" s="9">
        <v>4</v>
      </c>
      <c r="T345" s="9">
        <v>3</v>
      </c>
      <c r="U345" s="9">
        <v>0</v>
      </c>
      <c r="V345" s="9">
        <v>0</v>
      </c>
      <c r="W345" s="9">
        <v>1</v>
      </c>
      <c r="X345" s="9">
        <v>0</v>
      </c>
      <c r="Y345" s="9">
        <v>0</v>
      </c>
      <c r="Z345" s="9">
        <v>0</v>
      </c>
      <c r="AB345" s="9">
        <f t="shared" si="16"/>
        <v>198</v>
      </c>
      <c r="AC345" s="9">
        <f t="shared" si="17"/>
        <v>1512</v>
      </c>
      <c r="AD345" s="10">
        <f>AC345/AB345</f>
        <v>7.6363636363636367</v>
      </c>
    </row>
    <row r="346" spans="1:30" x14ac:dyDescent="0.3">
      <c r="A346" s="55"/>
      <c r="B346" s="30" t="s">
        <v>348</v>
      </c>
      <c r="C346" s="15">
        <v>9</v>
      </c>
      <c r="D346" s="14">
        <v>5</v>
      </c>
      <c r="E346" s="14">
        <v>8</v>
      </c>
      <c r="F346" s="14">
        <v>13</v>
      </c>
      <c r="G346" s="14">
        <v>6</v>
      </c>
      <c r="H346" s="14">
        <v>17</v>
      </c>
      <c r="I346" s="14">
        <v>18</v>
      </c>
      <c r="J346" s="14">
        <v>10</v>
      </c>
      <c r="K346" s="14">
        <v>5</v>
      </c>
      <c r="L346" s="14">
        <v>10</v>
      </c>
      <c r="M346" s="14">
        <v>10</v>
      </c>
      <c r="N346" s="14">
        <v>9</v>
      </c>
      <c r="O346" s="14">
        <v>17</v>
      </c>
      <c r="P346" s="14">
        <v>1</v>
      </c>
      <c r="Q346" s="14">
        <v>1</v>
      </c>
      <c r="R346" s="14">
        <v>1</v>
      </c>
      <c r="S346" s="14">
        <v>3</v>
      </c>
      <c r="T346" s="14">
        <v>2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B346" s="14">
        <f t="shared" si="16"/>
        <v>145</v>
      </c>
      <c r="AC346" s="14">
        <f t="shared" si="17"/>
        <v>1004</v>
      </c>
      <c r="AD346" s="16">
        <f t="shared" si="18"/>
        <v>6.9241379310344824</v>
      </c>
    </row>
    <row r="347" spans="1:30" x14ac:dyDescent="0.3">
      <c r="A347" s="11"/>
      <c r="C347" s="17">
        <f t="shared" ref="C347:Z347" si="19">SUM(C4:C346)</f>
        <v>30763</v>
      </c>
      <c r="D347" s="17">
        <f t="shared" si="19"/>
        <v>18352</v>
      </c>
      <c r="E347" s="17">
        <f t="shared" si="19"/>
        <v>26558</v>
      </c>
      <c r="F347" s="17">
        <f t="shared" si="19"/>
        <v>36024</v>
      </c>
      <c r="G347" s="17">
        <f t="shared" si="19"/>
        <v>34364</v>
      </c>
      <c r="H347" s="17">
        <f t="shared" si="19"/>
        <v>55376</v>
      </c>
      <c r="I347" s="17">
        <f t="shared" si="19"/>
        <v>36989</v>
      </c>
      <c r="J347" s="17">
        <f t="shared" si="19"/>
        <v>27885</v>
      </c>
      <c r="K347" s="17">
        <f t="shared" si="19"/>
        <v>37382</v>
      </c>
      <c r="L347" s="17">
        <f t="shared" si="19"/>
        <v>38109</v>
      </c>
      <c r="M347" s="17">
        <f t="shared" si="19"/>
        <v>43046</v>
      </c>
      <c r="N347" s="17">
        <f t="shared" si="19"/>
        <v>38391</v>
      </c>
      <c r="O347" s="17">
        <f t="shared" si="19"/>
        <v>162992</v>
      </c>
      <c r="P347" s="17">
        <f t="shared" si="19"/>
        <v>13501</v>
      </c>
      <c r="Q347" s="17">
        <f t="shared" si="19"/>
        <v>19892</v>
      </c>
      <c r="R347" s="17">
        <f t="shared" si="19"/>
        <v>50919</v>
      </c>
      <c r="S347" s="17">
        <f t="shared" si="19"/>
        <v>74588</v>
      </c>
      <c r="T347" s="17">
        <f t="shared" si="19"/>
        <v>87164</v>
      </c>
      <c r="U347" s="17">
        <f t="shared" si="19"/>
        <v>4409</v>
      </c>
      <c r="V347" s="17">
        <f t="shared" si="19"/>
        <v>6098</v>
      </c>
      <c r="W347" s="17">
        <f t="shared" si="19"/>
        <v>895</v>
      </c>
      <c r="X347" s="17">
        <f t="shared" si="19"/>
        <v>535</v>
      </c>
      <c r="Y347" s="17">
        <f t="shared" si="19"/>
        <v>214</v>
      </c>
      <c r="Z347" s="17">
        <f t="shared" si="19"/>
        <v>245</v>
      </c>
      <c r="AB347" s="17">
        <f>SUM(AB4:AB346)</f>
        <v>844691</v>
      </c>
      <c r="AC347" s="17">
        <f>SUM(AC4:AC346)</f>
        <v>8589391</v>
      </c>
      <c r="AD347" s="18">
        <f>AC347/AB347</f>
        <v>10.168678250389787</v>
      </c>
    </row>
    <row r="348" spans="1:30" x14ac:dyDescent="0.3">
      <c r="A348" s="11"/>
    </row>
    <row r="349" spans="1:30" x14ac:dyDescent="0.3">
      <c r="A349" s="11"/>
    </row>
    <row r="350" spans="1:30" x14ac:dyDescent="0.3">
      <c r="A350" s="11"/>
    </row>
    <row r="351" spans="1:30" x14ac:dyDescent="0.3">
      <c r="A351" s="11"/>
    </row>
    <row r="352" spans="1:30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Z1"/>
    <mergeCell ref="A4:A3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D111-C579-454C-9DEC-C3099FD6DC58}">
  <dimension ref="A1:AP681"/>
  <sheetViews>
    <sheetView workbookViewId="0">
      <selection sqref="A1:AG351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5" width="7.33203125" style="1" bestFit="1" customWidth="1"/>
    <col min="6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0.88671875" style="1" bestFit="1" customWidth="1"/>
    <col min="35" max="35" width="24.5546875" style="1" customWidth="1"/>
    <col min="36" max="36" width="20.33203125" style="1" bestFit="1" customWidth="1"/>
    <col min="37" max="16384" width="11.5546875" style="1"/>
  </cols>
  <sheetData>
    <row r="1" spans="1:36" x14ac:dyDescent="0.3">
      <c r="A1" s="49"/>
      <c r="B1" s="49"/>
      <c r="C1" s="51" t="s">
        <v>0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/>
      <c r="AA1" s="53"/>
    </row>
    <row r="2" spans="1:36" x14ac:dyDescent="0.3">
      <c r="A2" s="49"/>
      <c r="B2" s="49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6" ht="43.8" thickBot="1" x14ac:dyDescent="0.35">
      <c r="A3" s="50"/>
      <c r="B3" s="50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13" t="s">
        <v>1</v>
      </c>
      <c r="AC3" s="6" t="s">
        <v>2</v>
      </c>
      <c r="AD3" s="7" t="s">
        <v>3</v>
      </c>
      <c r="AE3" s="8" t="s">
        <v>4</v>
      </c>
      <c r="AH3" s="8" t="s">
        <v>363</v>
      </c>
      <c r="AI3" s="8" t="s">
        <v>364</v>
      </c>
      <c r="AJ3" s="8" t="s">
        <v>352</v>
      </c>
    </row>
    <row r="4" spans="1:36" x14ac:dyDescent="0.3">
      <c r="A4" s="54" t="s">
        <v>5</v>
      </c>
      <c r="B4" s="19" t="s">
        <v>6</v>
      </c>
      <c r="C4" s="9">
        <v>562</v>
      </c>
      <c r="D4" s="9">
        <v>222</v>
      </c>
      <c r="E4" s="9">
        <v>310</v>
      </c>
      <c r="F4" s="9">
        <v>592</v>
      </c>
      <c r="G4" s="9">
        <v>626</v>
      </c>
      <c r="H4" s="9">
        <v>1337</v>
      </c>
      <c r="I4" s="9">
        <v>1223</v>
      </c>
      <c r="J4" s="9">
        <v>1047</v>
      </c>
      <c r="K4" s="9">
        <v>1486</v>
      </c>
      <c r="L4" s="9">
        <v>1020</v>
      </c>
      <c r="M4" s="9">
        <v>961</v>
      </c>
      <c r="N4" s="9">
        <v>1052</v>
      </c>
      <c r="O4" s="9">
        <v>10582</v>
      </c>
      <c r="P4" s="9">
        <v>2404</v>
      </c>
      <c r="Q4" s="9">
        <v>3802</v>
      </c>
      <c r="R4" s="9">
        <v>6641</v>
      </c>
      <c r="S4" s="9">
        <v>3013</v>
      </c>
      <c r="T4" s="9">
        <v>17536</v>
      </c>
      <c r="U4" s="9">
        <v>417</v>
      </c>
      <c r="V4" s="9">
        <v>1342</v>
      </c>
      <c r="W4" s="9">
        <v>24</v>
      </c>
      <c r="X4" s="9">
        <v>10</v>
      </c>
      <c r="Y4" s="9">
        <v>6</v>
      </c>
      <c r="Z4" s="9">
        <v>49</v>
      </c>
      <c r="AA4" s="9">
        <v>685</v>
      </c>
      <c r="AC4" s="9">
        <f>SUM(C4:AA4)</f>
        <v>56949</v>
      </c>
      <c r="AD4" s="9">
        <f>C$2*C4+D$2*D4+E$2*E4+F$2*F4+G$2*G4+H$2*H4+I$2*I4+J$2*J4+K$2*K4+L$2*L4+M$2*M4+N$2*N4+O$2*O4+P$2*P4+Q$2*Q4+R$2*R4+S$2*S4+T$2*T4+U$2*U4+V$2*V4+W$2*W4+X$2*X4+Y$2*Y4+Z$2*Z4+AA$2*AA4</f>
        <v>777516</v>
      </c>
      <c r="AE4" s="10">
        <f>AD4/AC4</f>
        <v>13.652847284412369</v>
      </c>
      <c r="AH4" s="28">
        <f>+SUM(AC4:AC32)</f>
        <v>104751</v>
      </c>
      <c r="AI4" s="28">
        <f>+SUM(AD4:AD32)</f>
        <v>1278642</v>
      </c>
      <c r="AJ4" s="26">
        <f>+AI4/AH4</f>
        <v>12.206489675516224</v>
      </c>
    </row>
    <row r="5" spans="1:36" x14ac:dyDescent="0.3">
      <c r="A5" s="55"/>
      <c r="B5" s="30" t="s">
        <v>7</v>
      </c>
      <c r="C5" s="9">
        <v>23</v>
      </c>
      <c r="D5" s="9">
        <v>8</v>
      </c>
      <c r="E5" s="9">
        <v>7</v>
      </c>
      <c r="F5" s="9">
        <v>13</v>
      </c>
      <c r="G5" s="9">
        <v>16</v>
      </c>
      <c r="H5" s="9">
        <v>43</v>
      </c>
      <c r="I5" s="9">
        <v>54</v>
      </c>
      <c r="J5" s="9">
        <v>46</v>
      </c>
      <c r="K5" s="9">
        <v>84</v>
      </c>
      <c r="L5" s="9">
        <v>37</v>
      </c>
      <c r="M5" s="9">
        <v>48</v>
      </c>
      <c r="N5" s="9">
        <v>49</v>
      </c>
      <c r="O5" s="9">
        <v>382</v>
      </c>
      <c r="P5" s="9">
        <v>61</v>
      </c>
      <c r="Q5" s="9">
        <v>82</v>
      </c>
      <c r="R5" s="9">
        <v>128</v>
      </c>
      <c r="S5" s="9">
        <v>38</v>
      </c>
      <c r="T5" s="9">
        <v>278</v>
      </c>
      <c r="U5" s="9">
        <v>5</v>
      </c>
      <c r="V5" s="9">
        <v>17</v>
      </c>
      <c r="W5" s="9">
        <v>0</v>
      </c>
      <c r="X5" s="9">
        <v>0</v>
      </c>
      <c r="Y5" s="9">
        <v>0</v>
      </c>
      <c r="Z5" s="9">
        <v>2</v>
      </c>
      <c r="AA5" s="9">
        <v>17</v>
      </c>
      <c r="AC5" s="9">
        <f t="shared" ref="AC5:AC68" si="0">SUM(C5:AA5)</f>
        <v>1438</v>
      </c>
      <c r="AD5" s="9">
        <f t="shared" ref="AD5:AD68" si="1">C$2*C5+D$2*D5+E$2*E5+F$2*F5+G$2*G5+H$2*H5+I$2*I5+J$2*J5+K$2*K5+L$2*L5+M$2*M5+N$2*N5+O$2*O5+P$2*P5+Q$2*Q5+R$2*R5+S$2*S5+T$2*T5+U$2*U5+V$2*V5+W$2*W5+X$2*X5+Y$2*Y5+Z$2*Z5+AA$2*AA5</f>
        <v>17656</v>
      </c>
      <c r="AE5" s="10">
        <f t="shared" ref="AE5:AE68" si="2">AD5/AC5</f>
        <v>12.278164116828929</v>
      </c>
      <c r="AH5" s="28">
        <f>+SUM(AC33:AC119)</f>
        <v>555724</v>
      </c>
      <c r="AI5" s="28">
        <f>+SUM(AD33:AD119)</f>
        <v>7237556</v>
      </c>
      <c r="AJ5" s="26">
        <f t="shared" ref="AJ5:AJ12" si="3">+AI5/AH5</f>
        <v>13.023652028704896</v>
      </c>
    </row>
    <row r="6" spans="1:36" x14ac:dyDescent="0.3">
      <c r="A6" s="55"/>
      <c r="B6" s="30" t="s">
        <v>8</v>
      </c>
      <c r="C6" s="9">
        <v>53</v>
      </c>
      <c r="D6" s="9">
        <v>17</v>
      </c>
      <c r="E6" s="9">
        <v>46</v>
      </c>
      <c r="F6" s="9">
        <v>88</v>
      </c>
      <c r="G6" s="9">
        <v>75</v>
      </c>
      <c r="H6" s="9">
        <v>183</v>
      </c>
      <c r="I6" s="9">
        <v>184</v>
      </c>
      <c r="J6" s="9">
        <v>89</v>
      </c>
      <c r="K6" s="9">
        <v>150</v>
      </c>
      <c r="L6" s="9">
        <v>46</v>
      </c>
      <c r="M6" s="9">
        <v>54</v>
      </c>
      <c r="N6" s="9">
        <v>36</v>
      </c>
      <c r="O6" s="9">
        <v>313</v>
      </c>
      <c r="P6" s="9">
        <v>18</v>
      </c>
      <c r="Q6" s="9">
        <v>30</v>
      </c>
      <c r="R6" s="9">
        <v>34</v>
      </c>
      <c r="S6" s="9">
        <v>7</v>
      </c>
      <c r="T6" s="9">
        <v>100</v>
      </c>
      <c r="U6" s="9">
        <v>0</v>
      </c>
      <c r="V6" s="9">
        <v>5</v>
      </c>
      <c r="W6" s="9">
        <v>0</v>
      </c>
      <c r="X6" s="9">
        <v>0</v>
      </c>
      <c r="Y6" s="9">
        <v>0</v>
      </c>
      <c r="Z6" s="9">
        <v>0</v>
      </c>
      <c r="AA6" s="9">
        <v>33</v>
      </c>
      <c r="AC6" s="9">
        <f t="shared" si="0"/>
        <v>1561</v>
      </c>
      <c r="AD6" s="9">
        <f t="shared" si="1"/>
        <v>13484</v>
      </c>
      <c r="AE6" s="10">
        <f t="shared" si="2"/>
        <v>8.6380525304292117</v>
      </c>
      <c r="AH6" s="28">
        <f>+SUM(AC120:AC167)</f>
        <v>366984</v>
      </c>
      <c r="AI6" s="28">
        <f>+SUM(AD120:AD167)</f>
        <v>4531574</v>
      </c>
      <c r="AJ6" s="26">
        <f t="shared" si="3"/>
        <v>12.348151418045473</v>
      </c>
    </row>
    <row r="7" spans="1:36" x14ac:dyDescent="0.3">
      <c r="A7" s="55"/>
      <c r="B7" s="30" t="s">
        <v>9</v>
      </c>
      <c r="C7" s="9">
        <v>26</v>
      </c>
      <c r="D7" s="9">
        <v>7</v>
      </c>
      <c r="E7" s="9">
        <v>16</v>
      </c>
      <c r="F7" s="9">
        <v>41</v>
      </c>
      <c r="G7" s="9">
        <v>38</v>
      </c>
      <c r="H7" s="9">
        <v>108</v>
      </c>
      <c r="I7" s="9">
        <v>170</v>
      </c>
      <c r="J7" s="9">
        <v>32</v>
      </c>
      <c r="K7" s="9">
        <v>65</v>
      </c>
      <c r="L7" s="9">
        <v>28</v>
      </c>
      <c r="M7" s="9">
        <v>16</v>
      </c>
      <c r="N7" s="9">
        <v>14</v>
      </c>
      <c r="O7" s="9">
        <v>123</v>
      </c>
      <c r="P7" s="9">
        <v>15</v>
      </c>
      <c r="Q7" s="9">
        <v>42</v>
      </c>
      <c r="R7" s="9">
        <v>60</v>
      </c>
      <c r="S7" s="9">
        <v>2</v>
      </c>
      <c r="T7" s="9">
        <v>114</v>
      </c>
      <c r="U7" s="9">
        <v>3</v>
      </c>
      <c r="V7" s="9">
        <v>2</v>
      </c>
      <c r="W7" s="9">
        <v>0</v>
      </c>
      <c r="X7" s="9">
        <v>0</v>
      </c>
      <c r="Y7" s="9">
        <v>0</v>
      </c>
      <c r="Z7" s="9">
        <v>0</v>
      </c>
      <c r="AA7" s="9">
        <v>49</v>
      </c>
      <c r="AC7" s="9">
        <f t="shared" si="0"/>
        <v>971</v>
      </c>
      <c r="AD7" s="9">
        <f t="shared" si="1"/>
        <v>9581</v>
      </c>
      <c r="AE7" s="10">
        <f t="shared" si="2"/>
        <v>9.8671472708547885</v>
      </c>
      <c r="AH7" s="28">
        <f>+SUM(AC168:AC202)</f>
        <v>103485</v>
      </c>
      <c r="AI7" s="28">
        <f>+SUM(AD168:AD202)</f>
        <v>1354861</v>
      </c>
      <c r="AJ7" s="26">
        <f t="shared" si="3"/>
        <v>13.092341885297387</v>
      </c>
    </row>
    <row r="8" spans="1:36" x14ac:dyDescent="0.3">
      <c r="A8" s="55"/>
      <c r="B8" s="30" t="s">
        <v>10</v>
      </c>
      <c r="C8" s="9">
        <v>122</v>
      </c>
      <c r="D8" s="9">
        <v>20</v>
      </c>
      <c r="E8" s="9">
        <v>64</v>
      </c>
      <c r="F8" s="9">
        <v>81</v>
      </c>
      <c r="G8" s="9">
        <v>104</v>
      </c>
      <c r="H8" s="9">
        <v>235</v>
      </c>
      <c r="I8" s="9">
        <v>150</v>
      </c>
      <c r="J8" s="9">
        <v>119</v>
      </c>
      <c r="K8" s="9">
        <v>229</v>
      </c>
      <c r="L8" s="9">
        <v>104</v>
      </c>
      <c r="M8" s="9">
        <v>103</v>
      </c>
      <c r="N8" s="9">
        <v>91</v>
      </c>
      <c r="O8" s="9">
        <v>507</v>
      </c>
      <c r="P8" s="9">
        <v>48</v>
      </c>
      <c r="Q8" s="9">
        <v>106</v>
      </c>
      <c r="R8" s="9">
        <v>112</v>
      </c>
      <c r="S8" s="9">
        <v>30</v>
      </c>
      <c r="T8" s="9">
        <v>214</v>
      </c>
      <c r="U8" s="9">
        <v>4</v>
      </c>
      <c r="V8" s="9">
        <v>8</v>
      </c>
      <c r="W8" s="9">
        <v>0</v>
      </c>
      <c r="X8" s="9">
        <v>0</v>
      </c>
      <c r="Y8" s="9">
        <v>0</v>
      </c>
      <c r="Z8" s="9">
        <v>0</v>
      </c>
      <c r="AA8" s="9">
        <v>58</v>
      </c>
      <c r="AC8" s="9">
        <f t="shared" si="0"/>
        <v>2509</v>
      </c>
      <c r="AD8" s="9">
        <f t="shared" si="1"/>
        <v>24120</v>
      </c>
      <c r="AE8" s="10">
        <f t="shared" si="2"/>
        <v>9.6133917895575927</v>
      </c>
      <c r="AH8" s="28">
        <f>+SUM(AC203:AC244)</f>
        <v>142448</v>
      </c>
      <c r="AI8" s="28">
        <f>+SUM(AD203:AD244)</f>
        <v>1659907</v>
      </c>
      <c r="AJ8" s="26">
        <f t="shared" si="3"/>
        <v>11.652722396944849</v>
      </c>
    </row>
    <row r="9" spans="1:36" x14ac:dyDescent="0.3">
      <c r="A9" s="55"/>
      <c r="B9" s="30" t="s">
        <v>11</v>
      </c>
      <c r="C9" s="9">
        <v>24</v>
      </c>
      <c r="D9" s="9">
        <v>18</v>
      </c>
      <c r="E9" s="9">
        <v>32</v>
      </c>
      <c r="F9" s="9">
        <v>92</v>
      </c>
      <c r="G9" s="9">
        <v>117</v>
      </c>
      <c r="H9" s="9">
        <v>241</v>
      </c>
      <c r="I9" s="9">
        <v>333</v>
      </c>
      <c r="J9" s="9">
        <v>78</v>
      </c>
      <c r="K9" s="9">
        <v>170</v>
      </c>
      <c r="L9" s="9">
        <v>70</v>
      </c>
      <c r="M9" s="9">
        <v>91</v>
      </c>
      <c r="N9" s="9">
        <v>60</v>
      </c>
      <c r="O9" s="9">
        <v>577</v>
      </c>
      <c r="P9" s="9">
        <v>68</v>
      </c>
      <c r="Q9" s="9">
        <v>104</v>
      </c>
      <c r="R9" s="9">
        <v>163</v>
      </c>
      <c r="S9" s="9">
        <v>34</v>
      </c>
      <c r="T9" s="9">
        <v>307</v>
      </c>
      <c r="U9" s="9">
        <v>4</v>
      </c>
      <c r="V9" s="9">
        <v>18</v>
      </c>
      <c r="W9" s="9">
        <v>1</v>
      </c>
      <c r="X9" s="9">
        <v>0</v>
      </c>
      <c r="Y9" s="9">
        <v>0</v>
      </c>
      <c r="Z9" s="9">
        <v>5</v>
      </c>
      <c r="AA9" s="9">
        <v>46</v>
      </c>
      <c r="AC9" s="9">
        <f t="shared" si="0"/>
        <v>2653</v>
      </c>
      <c r="AD9" s="9">
        <f t="shared" si="1"/>
        <v>27260</v>
      </c>
      <c r="AE9" s="10">
        <f t="shared" si="2"/>
        <v>10.275160196004522</v>
      </c>
      <c r="AH9" s="28">
        <f>+SUM(AC245:AC255)</f>
        <v>99101</v>
      </c>
      <c r="AI9" s="28">
        <f>+SUM(AD245:AD255)</f>
        <v>1223323</v>
      </c>
      <c r="AJ9" s="26">
        <f t="shared" si="3"/>
        <v>12.344204397533829</v>
      </c>
    </row>
    <row r="10" spans="1:36" x14ac:dyDescent="0.3">
      <c r="A10" s="55"/>
      <c r="B10" s="30" t="s">
        <v>12</v>
      </c>
      <c r="C10" s="9">
        <v>124</v>
      </c>
      <c r="D10" s="9">
        <v>15</v>
      </c>
      <c r="E10" s="9">
        <v>36</v>
      </c>
      <c r="F10" s="9">
        <v>94</v>
      </c>
      <c r="G10" s="9">
        <v>118</v>
      </c>
      <c r="H10" s="9">
        <v>246</v>
      </c>
      <c r="I10" s="9">
        <v>224</v>
      </c>
      <c r="J10" s="9">
        <v>84</v>
      </c>
      <c r="K10" s="9">
        <v>154</v>
      </c>
      <c r="L10" s="9">
        <v>84</v>
      </c>
      <c r="M10" s="9">
        <v>89</v>
      </c>
      <c r="N10" s="9">
        <v>75</v>
      </c>
      <c r="O10" s="9">
        <v>477</v>
      </c>
      <c r="P10" s="9">
        <v>19</v>
      </c>
      <c r="Q10" s="9">
        <v>63</v>
      </c>
      <c r="R10" s="9">
        <v>80</v>
      </c>
      <c r="S10" s="9">
        <v>15</v>
      </c>
      <c r="T10" s="9">
        <v>120</v>
      </c>
      <c r="U10" s="9">
        <v>2</v>
      </c>
      <c r="V10" s="9">
        <v>8</v>
      </c>
      <c r="W10" s="9">
        <v>1</v>
      </c>
      <c r="X10" s="9">
        <v>1</v>
      </c>
      <c r="Y10" s="9">
        <v>0</v>
      </c>
      <c r="Z10" s="9">
        <v>1</v>
      </c>
      <c r="AA10" s="9">
        <v>57</v>
      </c>
      <c r="AC10" s="9">
        <f t="shared" si="0"/>
        <v>2187</v>
      </c>
      <c r="AD10" s="9">
        <f t="shared" si="1"/>
        <v>19659</v>
      </c>
      <c r="AE10" s="10">
        <f t="shared" si="2"/>
        <v>8.9890260631001375</v>
      </c>
      <c r="AH10" s="28">
        <f>+SUM(AC256:AC311)</f>
        <v>605252</v>
      </c>
      <c r="AI10" s="28">
        <f>+SUM(AD256:AD311)</f>
        <v>7504681</v>
      </c>
      <c r="AJ10" s="26">
        <f t="shared" si="3"/>
        <v>12.399266751700118</v>
      </c>
    </row>
    <row r="11" spans="1:36" x14ac:dyDescent="0.3">
      <c r="A11" s="55"/>
      <c r="B11" s="30" t="s">
        <v>13</v>
      </c>
      <c r="C11" s="9">
        <v>26</v>
      </c>
      <c r="D11" s="9">
        <v>17</v>
      </c>
      <c r="E11" s="9">
        <v>32</v>
      </c>
      <c r="F11" s="9">
        <v>52</v>
      </c>
      <c r="G11" s="9">
        <v>50</v>
      </c>
      <c r="H11" s="9">
        <v>121</v>
      </c>
      <c r="I11" s="9">
        <v>85</v>
      </c>
      <c r="J11" s="9">
        <v>65</v>
      </c>
      <c r="K11" s="9">
        <v>115</v>
      </c>
      <c r="L11" s="9">
        <v>62</v>
      </c>
      <c r="M11" s="9">
        <v>74</v>
      </c>
      <c r="N11" s="9">
        <v>66</v>
      </c>
      <c r="O11" s="9">
        <v>474</v>
      </c>
      <c r="P11" s="9">
        <v>35</v>
      </c>
      <c r="Q11" s="9">
        <v>81</v>
      </c>
      <c r="R11" s="9">
        <v>152</v>
      </c>
      <c r="S11" s="9">
        <v>30</v>
      </c>
      <c r="T11" s="9">
        <v>143</v>
      </c>
      <c r="U11" s="9">
        <v>4</v>
      </c>
      <c r="V11" s="9">
        <v>4</v>
      </c>
      <c r="W11" s="9">
        <v>0</v>
      </c>
      <c r="X11" s="9">
        <v>0</v>
      </c>
      <c r="Y11" s="9">
        <v>0</v>
      </c>
      <c r="Z11" s="9">
        <v>1</v>
      </c>
      <c r="AA11" s="9">
        <v>20</v>
      </c>
      <c r="AC11" s="9">
        <f t="shared" si="0"/>
        <v>1709</v>
      </c>
      <c r="AD11" s="9">
        <f t="shared" si="1"/>
        <v>18070</v>
      </c>
      <c r="AE11" s="10">
        <f t="shared" si="2"/>
        <v>10.573434757167934</v>
      </c>
      <c r="AH11" s="28">
        <f>+SUM(AC312:AC331)</f>
        <v>84255</v>
      </c>
      <c r="AI11" s="28">
        <f>+SUM(AD312:AD331)</f>
        <v>1007287</v>
      </c>
      <c r="AJ11" s="26">
        <f t="shared" si="3"/>
        <v>11.955219274820486</v>
      </c>
    </row>
    <row r="12" spans="1:36" x14ac:dyDescent="0.3">
      <c r="A12" s="55"/>
      <c r="B12" s="30" t="s">
        <v>14</v>
      </c>
      <c r="C12" s="9">
        <v>45</v>
      </c>
      <c r="D12" s="9">
        <v>10</v>
      </c>
      <c r="E12" s="9">
        <v>19</v>
      </c>
      <c r="F12" s="9">
        <v>41</v>
      </c>
      <c r="G12" s="9">
        <v>41</v>
      </c>
      <c r="H12" s="9">
        <v>97</v>
      </c>
      <c r="I12" s="9">
        <v>111</v>
      </c>
      <c r="J12" s="9">
        <v>83</v>
      </c>
      <c r="K12" s="9">
        <v>158</v>
      </c>
      <c r="L12" s="9">
        <v>56</v>
      </c>
      <c r="M12" s="9">
        <v>39</v>
      </c>
      <c r="N12" s="9">
        <v>52</v>
      </c>
      <c r="O12" s="9">
        <v>443</v>
      </c>
      <c r="P12" s="9">
        <v>22</v>
      </c>
      <c r="Q12" s="9">
        <v>31</v>
      </c>
      <c r="R12" s="9">
        <v>56</v>
      </c>
      <c r="S12" s="9">
        <v>11</v>
      </c>
      <c r="T12" s="9">
        <v>129</v>
      </c>
      <c r="U12" s="9">
        <v>1</v>
      </c>
      <c r="V12" s="9">
        <v>7</v>
      </c>
      <c r="W12" s="9">
        <v>0</v>
      </c>
      <c r="X12" s="9">
        <v>0</v>
      </c>
      <c r="Y12" s="9">
        <v>0</v>
      </c>
      <c r="Z12" s="9">
        <v>2</v>
      </c>
      <c r="AA12" s="9">
        <v>55</v>
      </c>
      <c r="AC12" s="9">
        <f t="shared" si="0"/>
        <v>1509</v>
      </c>
      <c r="AD12" s="9">
        <f t="shared" si="1"/>
        <v>15559</v>
      </c>
      <c r="AE12" s="10">
        <f t="shared" si="2"/>
        <v>10.310801855533466</v>
      </c>
      <c r="AH12" s="29">
        <f>+SUM(AC332:AC346)</f>
        <v>25276</v>
      </c>
      <c r="AI12" s="29">
        <f>+SUM(AD332:AD346)</f>
        <v>306269</v>
      </c>
      <c r="AJ12" s="27">
        <f t="shared" si="3"/>
        <v>12.116988447539168</v>
      </c>
    </row>
    <row r="13" spans="1:36" x14ac:dyDescent="0.3">
      <c r="A13" s="55"/>
      <c r="B13" s="30" t="s">
        <v>15</v>
      </c>
      <c r="C13" s="9">
        <v>17</v>
      </c>
      <c r="D13" s="9">
        <v>14</v>
      </c>
      <c r="E13" s="9">
        <v>16</v>
      </c>
      <c r="F13" s="9">
        <v>40</v>
      </c>
      <c r="G13" s="9">
        <v>46</v>
      </c>
      <c r="H13" s="9">
        <v>119</v>
      </c>
      <c r="I13" s="9">
        <v>126</v>
      </c>
      <c r="J13" s="9">
        <v>62</v>
      </c>
      <c r="K13" s="9">
        <v>116</v>
      </c>
      <c r="L13" s="9">
        <v>28</v>
      </c>
      <c r="M13" s="9">
        <v>21</v>
      </c>
      <c r="N13" s="9">
        <v>28</v>
      </c>
      <c r="O13" s="9">
        <v>190</v>
      </c>
      <c r="P13" s="9">
        <v>35</v>
      </c>
      <c r="Q13" s="9">
        <v>56</v>
      </c>
      <c r="R13" s="9">
        <v>86</v>
      </c>
      <c r="S13" s="9">
        <v>52</v>
      </c>
      <c r="T13" s="9">
        <v>251</v>
      </c>
      <c r="U13" s="9">
        <v>5</v>
      </c>
      <c r="V13" s="9">
        <v>6</v>
      </c>
      <c r="W13" s="9">
        <v>0</v>
      </c>
      <c r="X13" s="9">
        <v>0</v>
      </c>
      <c r="Y13" s="9">
        <v>1</v>
      </c>
      <c r="Z13" s="9">
        <v>1</v>
      </c>
      <c r="AA13" s="9">
        <v>14</v>
      </c>
      <c r="AC13" s="9">
        <f t="shared" si="0"/>
        <v>1330</v>
      </c>
      <c r="AD13" s="9">
        <f t="shared" si="1"/>
        <v>14326</v>
      </c>
      <c r="AE13" s="10">
        <f t="shared" si="2"/>
        <v>10.771428571428572</v>
      </c>
      <c r="AH13" s="28">
        <f>SUM(AH4:AH12)</f>
        <v>2087276</v>
      </c>
      <c r="AI13" s="28">
        <f>SUM(AI4:AI12)</f>
        <v>26104100</v>
      </c>
      <c r="AJ13" s="26">
        <f>+AI13/AH13</f>
        <v>12.506300077229843</v>
      </c>
    </row>
    <row r="14" spans="1:36" x14ac:dyDescent="0.3">
      <c r="A14" s="55"/>
      <c r="B14" s="30" t="s">
        <v>16</v>
      </c>
      <c r="C14" s="9">
        <v>27</v>
      </c>
      <c r="D14" s="9">
        <v>11</v>
      </c>
      <c r="E14" s="9">
        <v>24</v>
      </c>
      <c r="F14" s="9">
        <v>27</v>
      </c>
      <c r="G14" s="9">
        <v>52</v>
      </c>
      <c r="H14" s="9">
        <v>100</v>
      </c>
      <c r="I14" s="9">
        <v>273</v>
      </c>
      <c r="J14" s="9">
        <v>60</v>
      </c>
      <c r="K14" s="9">
        <v>88</v>
      </c>
      <c r="L14" s="9">
        <v>25</v>
      </c>
      <c r="M14" s="9">
        <v>35</v>
      </c>
      <c r="N14" s="9">
        <v>29</v>
      </c>
      <c r="O14" s="9">
        <v>306</v>
      </c>
      <c r="P14" s="9">
        <v>27</v>
      </c>
      <c r="Q14" s="9">
        <v>35</v>
      </c>
      <c r="R14" s="9">
        <v>105</v>
      </c>
      <c r="S14" s="9">
        <v>11</v>
      </c>
      <c r="T14" s="9">
        <v>144</v>
      </c>
      <c r="U14" s="9">
        <v>4</v>
      </c>
      <c r="V14" s="9">
        <v>9</v>
      </c>
      <c r="W14" s="9">
        <v>1</v>
      </c>
      <c r="X14" s="9">
        <v>0</v>
      </c>
      <c r="Y14" s="9">
        <v>0</v>
      </c>
      <c r="Z14" s="9">
        <v>2</v>
      </c>
      <c r="AA14" s="9">
        <v>19</v>
      </c>
      <c r="AC14" s="9">
        <f t="shared" si="0"/>
        <v>1414</v>
      </c>
      <c r="AD14" s="9">
        <f t="shared" si="1"/>
        <v>13981</v>
      </c>
      <c r="AE14" s="10">
        <f t="shared" si="2"/>
        <v>9.8875530410183874</v>
      </c>
      <c r="AH14" s="28">
        <f>SUM(AC248:AC250)</f>
        <v>29167</v>
      </c>
      <c r="AI14" s="28">
        <f>SUM(AD248:AD250)</f>
        <v>349660</v>
      </c>
      <c r="AJ14" s="26">
        <f>+AI14/AH14</f>
        <v>11.98820584907601</v>
      </c>
    </row>
    <row r="15" spans="1:36" x14ac:dyDescent="0.3">
      <c r="A15" s="55"/>
      <c r="B15" s="30" t="s">
        <v>17</v>
      </c>
      <c r="C15" s="9">
        <v>19</v>
      </c>
      <c r="D15" s="9">
        <v>3</v>
      </c>
      <c r="E15" s="9">
        <v>26</v>
      </c>
      <c r="F15" s="9">
        <v>44</v>
      </c>
      <c r="G15" s="9">
        <v>57</v>
      </c>
      <c r="H15" s="9">
        <v>89</v>
      </c>
      <c r="I15" s="9">
        <v>140</v>
      </c>
      <c r="J15" s="9">
        <v>43</v>
      </c>
      <c r="K15" s="9">
        <v>105</v>
      </c>
      <c r="L15" s="9">
        <v>20</v>
      </c>
      <c r="M15" s="9">
        <v>22</v>
      </c>
      <c r="N15" s="9">
        <v>14</v>
      </c>
      <c r="O15" s="9">
        <v>164</v>
      </c>
      <c r="P15" s="9">
        <v>8</v>
      </c>
      <c r="Q15" s="9">
        <v>30</v>
      </c>
      <c r="R15" s="9">
        <v>59</v>
      </c>
      <c r="S15" s="9">
        <v>9</v>
      </c>
      <c r="T15" s="9">
        <v>105</v>
      </c>
      <c r="U15" s="9">
        <v>5</v>
      </c>
      <c r="V15" s="9">
        <v>8</v>
      </c>
      <c r="W15" s="9">
        <v>0</v>
      </c>
      <c r="X15" s="9">
        <v>0</v>
      </c>
      <c r="Y15" s="9">
        <v>0</v>
      </c>
      <c r="Z15" s="9">
        <v>1</v>
      </c>
      <c r="AA15" s="9">
        <v>11</v>
      </c>
      <c r="AC15" s="9">
        <f t="shared" si="0"/>
        <v>982</v>
      </c>
      <c r="AD15" s="9">
        <f t="shared" si="1"/>
        <v>9230</v>
      </c>
      <c r="AE15" s="10">
        <f t="shared" si="2"/>
        <v>9.3991853360488804</v>
      </c>
    </row>
    <row r="16" spans="1:36" x14ac:dyDescent="0.3">
      <c r="A16" s="55"/>
      <c r="B16" s="30" t="s">
        <v>18</v>
      </c>
      <c r="C16" s="9">
        <v>8</v>
      </c>
      <c r="D16" s="9">
        <v>0</v>
      </c>
      <c r="E16" s="9">
        <v>6</v>
      </c>
      <c r="F16" s="9">
        <v>5</v>
      </c>
      <c r="G16" s="9">
        <v>8</v>
      </c>
      <c r="H16" s="9">
        <v>17</v>
      </c>
      <c r="I16" s="9">
        <v>24</v>
      </c>
      <c r="J16" s="9">
        <v>28</v>
      </c>
      <c r="K16" s="9">
        <v>46</v>
      </c>
      <c r="L16" s="9">
        <v>12</v>
      </c>
      <c r="M16" s="9">
        <v>15</v>
      </c>
      <c r="N16" s="9">
        <v>12</v>
      </c>
      <c r="O16" s="9">
        <v>128</v>
      </c>
      <c r="P16" s="9">
        <v>13</v>
      </c>
      <c r="Q16" s="9">
        <v>31</v>
      </c>
      <c r="R16" s="9">
        <v>104</v>
      </c>
      <c r="S16" s="9">
        <v>12</v>
      </c>
      <c r="T16" s="9">
        <v>152</v>
      </c>
      <c r="U16" s="9">
        <v>2</v>
      </c>
      <c r="V16" s="9">
        <v>8</v>
      </c>
      <c r="W16" s="9">
        <v>1</v>
      </c>
      <c r="X16" s="9">
        <v>0</v>
      </c>
      <c r="Y16" s="9">
        <v>0</v>
      </c>
      <c r="Z16" s="9">
        <v>0</v>
      </c>
      <c r="AA16" s="9">
        <v>11</v>
      </c>
      <c r="AC16" s="9">
        <f t="shared" si="0"/>
        <v>643</v>
      </c>
      <c r="AD16" s="9">
        <f t="shared" si="1"/>
        <v>8189</v>
      </c>
      <c r="AE16" s="10">
        <f t="shared" si="2"/>
        <v>12.73561430793157</v>
      </c>
    </row>
    <row r="17" spans="1:31" x14ac:dyDescent="0.3">
      <c r="A17" s="55"/>
      <c r="B17" s="30" t="s">
        <v>19</v>
      </c>
      <c r="C17" s="9">
        <v>7</v>
      </c>
      <c r="D17" s="9">
        <v>5</v>
      </c>
      <c r="E17" s="9">
        <v>3</v>
      </c>
      <c r="F17" s="9">
        <v>15</v>
      </c>
      <c r="G17" s="9">
        <v>23</v>
      </c>
      <c r="H17" s="9">
        <v>71</v>
      </c>
      <c r="I17" s="9">
        <v>74</v>
      </c>
      <c r="J17" s="9">
        <v>39</v>
      </c>
      <c r="K17" s="9">
        <v>88</v>
      </c>
      <c r="L17" s="9">
        <v>30</v>
      </c>
      <c r="M17" s="9">
        <v>32</v>
      </c>
      <c r="N17" s="9">
        <v>33</v>
      </c>
      <c r="O17" s="9">
        <v>352</v>
      </c>
      <c r="P17" s="9">
        <v>34</v>
      </c>
      <c r="Q17" s="9">
        <v>49</v>
      </c>
      <c r="R17" s="9">
        <v>68</v>
      </c>
      <c r="S17" s="9">
        <v>8</v>
      </c>
      <c r="T17" s="9">
        <v>161</v>
      </c>
      <c r="U17" s="9">
        <v>9</v>
      </c>
      <c r="V17" s="9">
        <v>6</v>
      </c>
      <c r="W17" s="9">
        <v>0</v>
      </c>
      <c r="X17" s="9">
        <v>1</v>
      </c>
      <c r="Y17" s="9">
        <v>0</v>
      </c>
      <c r="Z17" s="9">
        <v>0</v>
      </c>
      <c r="AA17" s="9">
        <v>5</v>
      </c>
      <c r="AC17" s="9">
        <f t="shared" si="0"/>
        <v>1113</v>
      </c>
      <c r="AD17" s="9">
        <f t="shared" si="1"/>
        <v>12531</v>
      </c>
      <c r="AE17" s="10">
        <f t="shared" si="2"/>
        <v>11.258760107816711</v>
      </c>
    </row>
    <row r="18" spans="1:31" x14ac:dyDescent="0.3">
      <c r="A18" s="55"/>
      <c r="B18" s="30" t="s">
        <v>20</v>
      </c>
      <c r="C18" s="9">
        <v>84</v>
      </c>
      <c r="D18" s="9">
        <v>29</v>
      </c>
      <c r="E18" s="9">
        <v>43</v>
      </c>
      <c r="F18" s="9">
        <v>60</v>
      </c>
      <c r="G18" s="9">
        <v>80</v>
      </c>
      <c r="H18" s="9">
        <v>248</v>
      </c>
      <c r="I18" s="9">
        <v>173</v>
      </c>
      <c r="J18" s="9">
        <v>110</v>
      </c>
      <c r="K18" s="9">
        <v>211</v>
      </c>
      <c r="L18" s="9">
        <v>119</v>
      </c>
      <c r="M18" s="9">
        <v>122</v>
      </c>
      <c r="N18" s="9">
        <v>107</v>
      </c>
      <c r="O18" s="9">
        <v>973</v>
      </c>
      <c r="P18" s="9">
        <v>115</v>
      </c>
      <c r="Q18" s="9">
        <v>204</v>
      </c>
      <c r="R18" s="9">
        <v>333</v>
      </c>
      <c r="S18" s="9">
        <v>126</v>
      </c>
      <c r="T18" s="9">
        <v>885</v>
      </c>
      <c r="U18" s="9">
        <v>19</v>
      </c>
      <c r="V18" s="9">
        <v>38</v>
      </c>
      <c r="W18" s="9">
        <v>3</v>
      </c>
      <c r="X18" s="9">
        <v>1</v>
      </c>
      <c r="Y18" s="9">
        <v>0</v>
      </c>
      <c r="Z18" s="9">
        <v>2</v>
      </c>
      <c r="AA18" s="9">
        <v>137</v>
      </c>
      <c r="AC18" s="9">
        <f t="shared" si="0"/>
        <v>4222</v>
      </c>
      <c r="AD18" s="9">
        <f t="shared" si="1"/>
        <v>51381</v>
      </c>
      <c r="AE18" s="10">
        <f t="shared" si="2"/>
        <v>12.169824727617243</v>
      </c>
    </row>
    <row r="19" spans="1:31" x14ac:dyDescent="0.3">
      <c r="A19" s="55"/>
      <c r="B19" s="30" t="s">
        <v>21</v>
      </c>
      <c r="C19" s="9">
        <v>19</v>
      </c>
      <c r="D19" s="9">
        <v>11</v>
      </c>
      <c r="E19" s="9">
        <v>9</v>
      </c>
      <c r="F19" s="9">
        <v>15</v>
      </c>
      <c r="G19" s="9">
        <v>37</v>
      </c>
      <c r="H19" s="9">
        <v>65</v>
      </c>
      <c r="I19" s="9">
        <v>59</v>
      </c>
      <c r="J19" s="9">
        <v>56</v>
      </c>
      <c r="K19" s="9">
        <v>88</v>
      </c>
      <c r="L19" s="9">
        <v>38</v>
      </c>
      <c r="M19" s="9">
        <v>40</v>
      </c>
      <c r="N19" s="9">
        <v>40</v>
      </c>
      <c r="O19" s="9">
        <v>227</v>
      </c>
      <c r="P19" s="9">
        <v>41</v>
      </c>
      <c r="Q19" s="9">
        <v>37</v>
      </c>
      <c r="R19" s="9">
        <v>66</v>
      </c>
      <c r="S19" s="9">
        <v>14</v>
      </c>
      <c r="T19" s="9">
        <v>133</v>
      </c>
      <c r="U19" s="9">
        <v>5</v>
      </c>
      <c r="V19" s="9">
        <v>4</v>
      </c>
      <c r="W19" s="9">
        <v>0</v>
      </c>
      <c r="X19" s="9">
        <v>0</v>
      </c>
      <c r="Y19" s="9">
        <v>0</v>
      </c>
      <c r="Z19" s="9">
        <v>1</v>
      </c>
      <c r="AA19" s="9">
        <v>32</v>
      </c>
      <c r="AC19" s="9">
        <f t="shared" si="0"/>
        <v>1037</v>
      </c>
      <c r="AD19" s="9">
        <f t="shared" si="1"/>
        <v>11386</v>
      </c>
      <c r="AE19" s="10">
        <f t="shared" si="2"/>
        <v>10.979749276759884</v>
      </c>
    </row>
    <row r="20" spans="1:31" x14ac:dyDescent="0.3">
      <c r="A20" s="55"/>
      <c r="B20" s="30" t="s">
        <v>22</v>
      </c>
      <c r="C20" s="9">
        <v>39</v>
      </c>
      <c r="D20" s="9">
        <v>16</v>
      </c>
      <c r="E20" s="9">
        <v>17</v>
      </c>
      <c r="F20" s="9">
        <v>35</v>
      </c>
      <c r="G20" s="9">
        <v>46</v>
      </c>
      <c r="H20" s="9">
        <v>148</v>
      </c>
      <c r="I20" s="9">
        <v>157</v>
      </c>
      <c r="J20" s="9">
        <v>77</v>
      </c>
      <c r="K20" s="9">
        <v>108</v>
      </c>
      <c r="L20" s="9">
        <v>43</v>
      </c>
      <c r="M20" s="9">
        <v>40</v>
      </c>
      <c r="N20" s="9">
        <v>37</v>
      </c>
      <c r="O20" s="9">
        <v>360</v>
      </c>
      <c r="P20" s="9">
        <v>57</v>
      </c>
      <c r="Q20" s="9">
        <v>54</v>
      </c>
      <c r="R20" s="9">
        <v>92</v>
      </c>
      <c r="S20" s="9">
        <v>25</v>
      </c>
      <c r="T20" s="9">
        <v>143</v>
      </c>
      <c r="U20" s="9">
        <v>4</v>
      </c>
      <c r="V20" s="9">
        <v>4</v>
      </c>
      <c r="W20" s="9">
        <v>1</v>
      </c>
      <c r="X20" s="9">
        <v>0</v>
      </c>
      <c r="Y20" s="9">
        <v>0</v>
      </c>
      <c r="Z20" s="9">
        <v>1</v>
      </c>
      <c r="AA20" s="9">
        <v>35</v>
      </c>
      <c r="AC20" s="9">
        <f t="shared" si="0"/>
        <v>1539</v>
      </c>
      <c r="AD20" s="9">
        <f t="shared" si="1"/>
        <v>15677</v>
      </c>
      <c r="AE20" s="10">
        <f t="shared" si="2"/>
        <v>10.186484730344379</v>
      </c>
    </row>
    <row r="21" spans="1:31" x14ac:dyDescent="0.3">
      <c r="A21" s="55"/>
      <c r="B21" s="30" t="s">
        <v>23</v>
      </c>
      <c r="C21" s="9">
        <v>28</v>
      </c>
      <c r="D21" s="9">
        <v>9</v>
      </c>
      <c r="E21" s="9">
        <v>14</v>
      </c>
      <c r="F21" s="9">
        <v>19</v>
      </c>
      <c r="G21" s="9">
        <v>22</v>
      </c>
      <c r="H21" s="9">
        <v>92</v>
      </c>
      <c r="I21" s="9">
        <v>85</v>
      </c>
      <c r="J21" s="9">
        <v>71</v>
      </c>
      <c r="K21" s="9">
        <v>93</v>
      </c>
      <c r="L21" s="9">
        <v>45</v>
      </c>
      <c r="M21" s="9">
        <v>46</v>
      </c>
      <c r="N21" s="9">
        <v>34</v>
      </c>
      <c r="O21" s="9">
        <v>350</v>
      </c>
      <c r="P21" s="9">
        <v>44</v>
      </c>
      <c r="Q21" s="9">
        <v>33</v>
      </c>
      <c r="R21" s="9">
        <v>48</v>
      </c>
      <c r="S21" s="9">
        <v>16</v>
      </c>
      <c r="T21" s="9">
        <v>105</v>
      </c>
      <c r="U21" s="9">
        <v>1</v>
      </c>
      <c r="V21" s="9">
        <v>6</v>
      </c>
      <c r="W21" s="9">
        <v>0</v>
      </c>
      <c r="X21" s="9">
        <v>0</v>
      </c>
      <c r="Y21" s="9">
        <v>0</v>
      </c>
      <c r="Z21" s="9">
        <v>1</v>
      </c>
      <c r="AA21" s="9">
        <v>26</v>
      </c>
      <c r="AC21" s="9">
        <f t="shared" si="0"/>
        <v>1188</v>
      </c>
      <c r="AD21" s="9">
        <f t="shared" si="1"/>
        <v>12406</v>
      </c>
      <c r="AE21" s="10">
        <f t="shared" si="2"/>
        <v>10.442760942760943</v>
      </c>
    </row>
    <row r="22" spans="1:31" x14ac:dyDescent="0.3">
      <c r="A22" s="55"/>
      <c r="B22" s="30" t="s">
        <v>24</v>
      </c>
      <c r="C22" s="9">
        <v>29</v>
      </c>
      <c r="D22" s="9">
        <v>16</v>
      </c>
      <c r="E22" s="9">
        <v>12</v>
      </c>
      <c r="F22" s="9">
        <v>37</v>
      </c>
      <c r="G22" s="9">
        <v>49</v>
      </c>
      <c r="H22" s="9">
        <v>339</v>
      </c>
      <c r="I22" s="9">
        <v>213</v>
      </c>
      <c r="J22" s="9">
        <v>82</v>
      </c>
      <c r="K22" s="9">
        <v>137</v>
      </c>
      <c r="L22" s="9">
        <v>56</v>
      </c>
      <c r="M22" s="9">
        <v>48</v>
      </c>
      <c r="N22" s="9">
        <v>42</v>
      </c>
      <c r="O22" s="9">
        <v>497</v>
      </c>
      <c r="P22" s="9">
        <v>61</v>
      </c>
      <c r="Q22" s="9">
        <v>92</v>
      </c>
      <c r="R22" s="9">
        <v>165</v>
      </c>
      <c r="S22" s="9">
        <v>46</v>
      </c>
      <c r="T22" s="9">
        <v>363</v>
      </c>
      <c r="U22" s="9">
        <v>6</v>
      </c>
      <c r="V22" s="9">
        <v>13</v>
      </c>
      <c r="W22" s="9">
        <v>0</v>
      </c>
      <c r="X22" s="9">
        <v>1</v>
      </c>
      <c r="Y22" s="9">
        <v>0</v>
      </c>
      <c r="Z22" s="9">
        <v>0</v>
      </c>
      <c r="AA22" s="9">
        <v>41</v>
      </c>
      <c r="AC22" s="9">
        <f t="shared" si="0"/>
        <v>2345</v>
      </c>
      <c r="AD22" s="9">
        <f t="shared" si="1"/>
        <v>25223</v>
      </c>
      <c r="AE22" s="10">
        <f t="shared" si="2"/>
        <v>10.756076759061834</v>
      </c>
    </row>
    <row r="23" spans="1:31" x14ac:dyDescent="0.3">
      <c r="A23" s="55"/>
      <c r="B23" s="30" t="s">
        <v>25</v>
      </c>
      <c r="C23" s="9">
        <v>61</v>
      </c>
      <c r="D23" s="9">
        <v>21</v>
      </c>
      <c r="E23" s="9">
        <v>34</v>
      </c>
      <c r="F23" s="9">
        <v>76</v>
      </c>
      <c r="G23" s="9">
        <v>102</v>
      </c>
      <c r="H23" s="9">
        <v>351</v>
      </c>
      <c r="I23" s="9">
        <v>325</v>
      </c>
      <c r="J23" s="9">
        <v>166</v>
      </c>
      <c r="K23" s="9">
        <v>344</v>
      </c>
      <c r="L23" s="9">
        <v>82</v>
      </c>
      <c r="M23" s="9">
        <v>81</v>
      </c>
      <c r="N23" s="9">
        <v>74</v>
      </c>
      <c r="O23" s="9">
        <v>849</v>
      </c>
      <c r="P23" s="9">
        <v>59</v>
      </c>
      <c r="Q23" s="9">
        <v>101</v>
      </c>
      <c r="R23" s="9">
        <v>182</v>
      </c>
      <c r="S23" s="9">
        <v>34</v>
      </c>
      <c r="T23" s="9">
        <v>353</v>
      </c>
      <c r="U23" s="9">
        <v>6</v>
      </c>
      <c r="V23" s="9">
        <v>13</v>
      </c>
      <c r="W23" s="9">
        <v>3</v>
      </c>
      <c r="X23" s="9">
        <v>0</v>
      </c>
      <c r="Y23" s="9">
        <v>1</v>
      </c>
      <c r="Z23" s="9">
        <v>2</v>
      </c>
      <c r="AA23" s="9">
        <v>90</v>
      </c>
      <c r="AC23" s="9">
        <f t="shared" si="0"/>
        <v>3410</v>
      </c>
      <c r="AD23" s="9">
        <f t="shared" si="1"/>
        <v>34993</v>
      </c>
      <c r="AE23" s="10">
        <f t="shared" si="2"/>
        <v>10.261876832844575</v>
      </c>
    </row>
    <row r="24" spans="1:31" x14ac:dyDescent="0.3">
      <c r="A24" s="55"/>
      <c r="B24" s="30" t="s">
        <v>26</v>
      </c>
      <c r="C24" s="9">
        <v>81</v>
      </c>
      <c r="D24" s="9">
        <v>20</v>
      </c>
      <c r="E24" s="9">
        <v>40</v>
      </c>
      <c r="F24" s="9">
        <v>100</v>
      </c>
      <c r="G24" s="9">
        <v>94</v>
      </c>
      <c r="H24" s="9">
        <v>355</v>
      </c>
      <c r="I24" s="9">
        <v>321</v>
      </c>
      <c r="J24" s="9">
        <v>99</v>
      </c>
      <c r="K24" s="9">
        <v>360</v>
      </c>
      <c r="L24" s="9">
        <v>66</v>
      </c>
      <c r="M24" s="9">
        <v>67</v>
      </c>
      <c r="N24" s="9">
        <v>72</v>
      </c>
      <c r="O24" s="9">
        <v>528</v>
      </c>
      <c r="P24" s="9">
        <v>24</v>
      </c>
      <c r="Q24" s="9">
        <v>71</v>
      </c>
      <c r="R24" s="9">
        <v>99</v>
      </c>
      <c r="S24" s="9">
        <v>48</v>
      </c>
      <c r="T24" s="9">
        <v>227</v>
      </c>
      <c r="U24" s="9">
        <v>2</v>
      </c>
      <c r="V24" s="9">
        <v>9</v>
      </c>
      <c r="W24" s="9">
        <v>1</v>
      </c>
      <c r="X24" s="9">
        <v>0</v>
      </c>
      <c r="Y24" s="9">
        <v>0</v>
      </c>
      <c r="Z24" s="9">
        <v>0</v>
      </c>
      <c r="AA24" s="9">
        <v>89</v>
      </c>
      <c r="AC24" s="9">
        <f t="shared" si="0"/>
        <v>2773</v>
      </c>
      <c r="AD24" s="9">
        <f t="shared" si="1"/>
        <v>26223</v>
      </c>
      <c r="AE24" s="10">
        <f t="shared" si="2"/>
        <v>9.4565452578434908</v>
      </c>
    </row>
    <row r="25" spans="1:31" x14ac:dyDescent="0.3">
      <c r="A25" s="55"/>
      <c r="B25" s="30" t="s">
        <v>27</v>
      </c>
      <c r="C25" s="9">
        <v>50</v>
      </c>
      <c r="D25" s="9">
        <v>23</v>
      </c>
      <c r="E25" s="9">
        <v>29</v>
      </c>
      <c r="F25" s="9">
        <v>50</v>
      </c>
      <c r="G25" s="9">
        <v>63</v>
      </c>
      <c r="H25" s="9">
        <v>326</v>
      </c>
      <c r="I25" s="9">
        <v>293</v>
      </c>
      <c r="J25" s="9">
        <v>109</v>
      </c>
      <c r="K25" s="9">
        <v>324</v>
      </c>
      <c r="L25" s="9">
        <v>56</v>
      </c>
      <c r="M25" s="9">
        <v>44</v>
      </c>
      <c r="N25" s="9">
        <v>35</v>
      </c>
      <c r="O25" s="9">
        <v>367</v>
      </c>
      <c r="P25" s="9">
        <v>20</v>
      </c>
      <c r="Q25" s="9">
        <v>41</v>
      </c>
      <c r="R25" s="9">
        <v>89</v>
      </c>
      <c r="S25" s="9">
        <v>21</v>
      </c>
      <c r="T25" s="9">
        <v>227</v>
      </c>
      <c r="U25" s="9">
        <v>2</v>
      </c>
      <c r="V25" s="9">
        <v>4</v>
      </c>
      <c r="W25" s="9">
        <v>0</v>
      </c>
      <c r="X25" s="9">
        <v>0</v>
      </c>
      <c r="Y25" s="9">
        <v>1</v>
      </c>
      <c r="Z25" s="9">
        <v>0</v>
      </c>
      <c r="AA25" s="9">
        <v>60</v>
      </c>
      <c r="AC25" s="9">
        <f t="shared" si="0"/>
        <v>2234</v>
      </c>
      <c r="AD25" s="9">
        <f t="shared" si="1"/>
        <v>20897</v>
      </c>
      <c r="AE25" s="10">
        <f t="shared" si="2"/>
        <v>9.354073410922112</v>
      </c>
    </row>
    <row r="26" spans="1:31" x14ac:dyDescent="0.3">
      <c r="A26" s="55"/>
      <c r="B26" s="30" t="s">
        <v>28</v>
      </c>
      <c r="C26" s="9">
        <v>26</v>
      </c>
      <c r="D26" s="9">
        <v>7</v>
      </c>
      <c r="E26" s="9">
        <v>20</v>
      </c>
      <c r="F26" s="9">
        <v>21</v>
      </c>
      <c r="G26" s="9">
        <v>29</v>
      </c>
      <c r="H26" s="9">
        <v>115</v>
      </c>
      <c r="I26" s="9">
        <v>112</v>
      </c>
      <c r="J26" s="9">
        <v>46</v>
      </c>
      <c r="K26" s="9">
        <v>53</v>
      </c>
      <c r="L26" s="9">
        <v>23</v>
      </c>
      <c r="M26" s="9">
        <v>16</v>
      </c>
      <c r="N26" s="9">
        <v>12</v>
      </c>
      <c r="O26" s="9">
        <v>198</v>
      </c>
      <c r="P26" s="9">
        <v>33</v>
      </c>
      <c r="Q26" s="9">
        <v>89</v>
      </c>
      <c r="R26" s="9">
        <v>102</v>
      </c>
      <c r="S26" s="9">
        <v>39</v>
      </c>
      <c r="T26" s="9">
        <v>247</v>
      </c>
      <c r="U26" s="9">
        <v>1</v>
      </c>
      <c r="V26" s="9">
        <v>8</v>
      </c>
      <c r="W26" s="9">
        <v>1</v>
      </c>
      <c r="X26" s="9">
        <v>0</v>
      </c>
      <c r="Y26" s="9">
        <v>0</v>
      </c>
      <c r="Z26" s="9">
        <v>1</v>
      </c>
      <c r="AA26" s="9">
        <v>13</v>
      </c>
      <c r="AC26" s="9">
        <f t="shared" si="0"/>
        <v>1212</v>
      </c>
      <c r="AD26" s="9">
        <f t="shared" si="1"/>
        <v>13647</v>
      </c>
      <c r="AE26" s="10">
        <f t="shared" si="2"/>
        <v>11.259900990099009</v>
      </c>
    </row>
    <row r="27" spans="1:31" x14ac:dyDescent="0.3">
      <c r="A27" s="55"/>
      <c r="B27" s="30" t="s">
        <v>29</v>
      </c>
      <c r="C27" s="9">
        <v>10</v>
      </c>
      <c r="D27" s="9">
        <v>1</v>
      </c>
      <c r="E27" s="9">
        <v>8</v>
      </c>
      <c r="F27" s="9">
        <v>11</v>
      </c>
      <c r="G27" s="9">
        <v>23</v>
      </c>
      <c r="H27" s="9">
        <v>93</v>
      </c>
      <c r="I27" s="9">
        <v>40</v>
      </c>
      <c r="J27" s="9">
        <v>36</v>
      </c>
      <c r="K27" s="9">
        <v>111</v>
      </c>
      <c r="L27" s="9">
        <v>26</v>
      </c>
      <c r="M27" s="9">
        <v>22</v>
      </c>
      <c r="N27" s="9">
        <v>20</v>
      </c>
      <c r="O27" s="9">
        <v>292</v>
      </c>
      <c r="P27" s="9">
        <v>16</v>
      </c>
      <c r="Q27" s="9">
        <v>42</v>
      </c>
      <c r="R27" s="9">
        <v>56</v>
      </c>
      <c r="S27" s="9">
        <v>26</v>
      </c>
      <c r="T27" s="9">
        <v>150</v>
      </c>
      <c r="U27" s="9">
        <v>0</v>
      </c>
      <c r="V27" s="9">
        <v>5</v>
      </c>
      <c r="W27" s="9">
        <v>0</v>
      </c>
      <c r="X27" s="9">
        <v>0</v>
      </c>
      <c r="Y27" s="9">
        <v>0</v>
      </c>
      <c r="Z27" s="9">
        <v>1</v>
      </c>
      <c r="AA27" s="9">
        <v>19</v>
      </c>
      <c r="AC27" s="9">
        <f t="shared" si="0"/>
        <v>1008</v>
      </c>
      <c r="AD27" s="9">
        <f t="shared" si="1"/>
        <v>11341</v>
      </c>
      <c r="AE27" s="10">
        <f t="shared" si="2"/>
        <v>11.250992063492063</v>
      </c>
    </row>
    <row r="28" spans="1:31" x14ac:dyDescent="0.3">
      <c r="A28" s="55"/>
      <c r="B28" s="30" t="s">
        <v>30</v>
      </c>
      <c r="C28" s="9">
        <v>37</v>
      </c>
      <c r="D28" s="9">
        <v>15</v>
      </c>
      <c r="E28" s="9">
        <v>22</v>
      </c>
      <c r="F28" s="9">
        <v>43</v>
      </c>
      <c r="G28" s="9">
        <v>72</v>
      </c>
      <c r="H28" s="9">
        <v>271</v>
      </c>
      <c r="I28" s="9">
        <v>317</v>
      </c>
      <c r="J28" s="9">
        <v>116</v>
      </c>
      <c r="K28" s="9">
        <v>246</v>
      </c>
      <c r="L28" s="9">
        <v>42</v>
      </c>
      <c r="M28" s="9">
        <v>40</v>
      </c>
      <c r="N28" s="9">
        <v>48</v>
      </c>
      <c r="O28" s="9">
        <v>326</v>
      </c>
      <c r="P28" s="9">
        <v>35</v>
      </c>
      <c r="Q28" s="9">
        <v>49</v>
      </c>
      <c r="R28" s="9">
        <v>88</v>
      </c>
      <c r="S28" s="9">
        <v>20</v>
      </c>
      <c r="T28" s="9">
        <v>240</v>
      </c>
      <c r="U28" s="9">
        <v>7</v>
      </c>
      <c r="V28" s="9">
        <v>10</v>
      </c>
      <c r="W28" s="9">
        <v>0</v>
      </c>
      <c r="X28" s="9">
        <v>0</v>
      </c>
      <c r="Y28" s="9">
        <v>0</v>
      </c>
      <c r="Z28" s="9">
        <v>1</v>
      </c>
      <c r="AA28" s="9">
        <v>46</v>
      </c>
      <c r="AC28" s="9">
        <f t="shared" si="0"/>
        <v>2091</v>
      </c>
      <c r="AD28" s="9">
        <f t="shared" si="1"/>
        <v>20035</v>
      </c>
      <c r="AE28" s="10">
        <f t="shared" si="2"/>
        <v>9.5815399330463897</v>
      </c>
    </row>
    <row r="29" spans="1:31" x14ac:dyDescent="0.3">
      <c r="A29" s="55"/>
      <c r="B29" s="30" t="s">
        <v>31</v>
      </c>
      <c r="C29" s="9">
        <v>9</v>
      </c>
      <c r="D29" s="9">
        <v>4</v>
      </c>
      <c r="E29" s="9">
        <v>8</v>
      </c>
      <c r="F29" s="9">
        <v>17</v>
      </c>
      <c r="G29" s="9">
        <v>19</v>
      </c>
      <c r="H29" s="9">
        <v>71</v>
      </c>
      <c r="I29" s="9">
        <v>71</v>
      </c>
      <c r="J29" s="9">
        <v>25</v>
      </c>
      <c r="K29" s="9">
        <v>63</v>
      </c>
      <c r="L29" s="9">
        <v>28</v>
      </c>
      <c r="M29" s="9">
        <v>24</v>
      </c>
      <c r="N29" s="9">
        <v>25</v>
      </c>
      <c r="O29" s="9">
        <v>267</v>
      </c>
      <c r="P29" s="9">
        <v>15</v>
      </c>
      <c r="Q29" s="9">
        <v>43</v>
      </c>
      <c r="R29" s="9">
        <v>89</v>
      </c>
      <c r="S29" s="9">
        <v>23</v>
      </c>
      <c r="T29" s="9">
        <v>118</v>
      </c>
      <c r="U29" s="9">
        <v>1</v>
      </c>
      <c r="V29" s="9">
        <v>5</v>
      </c>
      <c r="W29" s="9">
        <v>0</v>
      </c>
      <c r="X29" s="9">
        <v>1</v>
      </c>
      <c r="Y29" s="9">
        <v>0</v>
      </c>
      <c r="Z29" s="9">
        <v>0</v>
      </c>
      <c r="AA29" s="9">
        <v>6</v>
      </c>
      <c r="AC29" s="9">
        <f t="shared" si="0"/>
        <v>932</v>
      </c>
      <c r="AD29" s="9">
        <f t="shared" si="1"/>
        <v>10362</v>
      </c>
      <c r="AE29" s="10">
        <f t="shared" si="2"/>
        <v>11.118025751072961</v>
      </c>
    </row>
    <row r="30" spans="1:31" x14ac:dyDescent="0.3">
      <c r="A30" s="55"/>
      <c r="B30" s="30" t="s">
        <v>32</v>
      </c>
      <c r="C30" s="9">
        <v>119</v>
      </c>
      <c r="D30" s="9">
        <v>10</v>
      </c>
      <c r="E30" s="9">
        <v>10</v>
      </c>
      <c r="F30" s="9">
        <v>26</v>
      </c>
      <c r="G30" s="9">
        <v>32</v>
      </c>
      <c r="H30" s="9">
        <v>104</v>
      </c>
      <c r="I30" s="9">
        <v>63</v>
      </c>
      <c r="J30" s="9">
        <v>59</v>
      </c>
      <c r="K30" s="9">
        <v>122</v>
      </c>
      <c r="L30" s="9">
        <v>51</v>
      </c>
      <c r="M30" s="9">
        <v>70</v>
      </c>
      <c r="N30" s="9">
        <v>80</v>
      </c>
      <c r="O30" s="9">
        <v>513</v>
      </c>
      <c r="P30" s="9">
        <v>70</v>
      </c>
      <c r="Q30" s="9">
        <v>122</v>
      </c>
      <c r="R30" s="9">
        <v>179</v>
      </c>
      <c r="S30" s="9">
        <v>71</v>
      </c>
      <c r="T30" s="9">
        <v>495</v>
      </c>
      <c r="U30" s="9">
        <v>8</v>
      </c>
      <c r="V30" s="9">
        <v>14</v>
      </c>
      <c r="W30" s="9">
        <v>0</v>
      </c>
      <c r="X30" s="9">
        <v>1</v>
      </c>
      <c r="Y30" s="9">
        <v>0</v>
      </c>
      <c r="Z30" s="9">
        <v>3</v>
      </c>
      <c r="AA30" s="9">
        <v>32</v>
      </c>
      <c r="AC30" s="9">
        <f t="shared" si="0"/>
        <v>2254</v>
      </c>
      <c r="AD30" s="9">
        <f t="shared" si="1"/>
        <v>26840</v>
      </c>
      <c r="AE30" s="10">
        <f t="shared" si="2"/>
        <v>11.907719609582964</v>
      </c>
    </row>
    <row r="31" spans="1:31" x14ac:dyDescent="0.3">
      <c r="A31" s="55"/>
      <c r="B31" s="30" t="s">
        <v>33</v>
      </c>
      <c r="C31" s="9">
        <v>2</v>
      </c>
      <c r="D31" s="9">
        <v>2</v>
      </c>
      <c r="E31" s="9">
        <v>4</v>
      </c>
      <c r="F31" s="9">
        <v>6</v>
      </c>
      <c r="G31" s="9">
        <v>11</v>
      </c>
      <c r="H31" s="9">
        <v>18</v>
      </c>
      <c r="I31" s="9">
        <v>30</v>
      </c>
      <c r="J31" s="9">
        <v>25</v>
      </c>
      <c r="K31" s="9">
        <v>26</v>
      </c>
      <c r="L31" s="9">
        <v>22</v>
      </c>
      <c r="M31" s="9">
        <v>16</v>
      </c>
      <c r="N31" s="9">
        <v>16</v>
      </c>
      <c r="O31" s="9">
        <v>112</v>
      </c>
      <c r="P31" s="9">
        <v>10</v>
      </c>
      <c r="Q31" s="9">
        <v>26</v>
      </c>
      <c r="R31" s="9">
        <v>20</v>
      </c>
      <c r="S31" s="9">
        <v>3</v>
      </c>
      <c r="T31" s="9">
        <v>55</v>
      </c>
      <c r="U31" s="9">
        <v>0</v>
      </c>
      <c r="V31" s="9">
        <v>2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C31" s="9">
        <f t="shared" si="0"/>
        <v>407</v>
      </c>
      <c r="AD31" s="9">
        <f t="shared" si="1"/>
        <v>4442</v>
      </c>
      <c r="AE31" s="10">
        <f t="shared" si="2"/>
        <v>10.914004914004915</v>
      </c>
    </row>
    <row r="32" spans="1:31" x14ac:dyDescent="0.3">
      <c r="A32" s="55"/>
      <c r="B32" s="30" t="s">
        <v>34</v>
      </c>
      <c r="C32" s="9">
        <v>20</v>
      </c>
      <c r="D32" s="9">
        <v>18</v>
      </c>
      <c r="E32" s="9">
        <v>39</v>
      </c>
      <c r="F32" s="9">
        <v>24</v>
      </c>
      <c r="G32" s="9">
        <v>16</v>
      </c>
      <c r="H32" s="9">
        <v>39</v>
      </c>
      <c r="I32" s="9">
        <v>49</v>
      </c>
      <c r="J32" s="9">
        <v>50</v>
      </c>
      <c r="K32" s="9">
        <v>66</v>
      </c>
      <c r="L32" s="9">
        <v>31</v>
      </c>
      <c r="M32" s="9">
        <v>40</v>
      </c>
      <c r="N32" s="9">
        <v>25</v>
      </c>
      <c r="O32" s="9">
        <v>362</v>
      </c>
      <c r="P32" s="9">
        <v>28</v>
      </c>
      <c r="Q32" s="9">
        <v>47</v>
      </c>
      <c r="R32" s="9">
        <v>82</v>
      </c>
      <c r="S32" s="9">
        <v>13</v>
      </c>
      <c r="T32" s="9">
        <v>153</v>
      </c>
      <c r="U32" s="9">
        <v>2</v>
      </c>
      <c r="V32" s="9">
        <v>3</v>
      </c>
      <c r="W32" s="9">
        <v>0</v>
      </c>
      <c r="X32" s="9">
        <v>0</v>
      </c>
      <c r="Y32" s="9">
        <v>0</v>
      </c>
      <c r="Z32" s="9">
        <v>0</v>
      </c>
      <c r="AA32" s="9">
        <v>24</v>
      </c>
      <c r="AC32" s="9">
        <f t="shared" si="0"/>
        <v>1131</v>
      </c>
      <c r="AD32" s="9">
        <f t="shared" si="1"/>
        <v>12627</v>
      </c>
      <c r="AE32" s="10">
        <f t="shared" si="2"/>
        <v>11.164456233421751</v>
      </c>
    </row>
    <row r="33" spans="1:31" x14ac:dyDescent="0.3">
      <c r="A33" s="55"/>
      <c r="B33" s="30" t="s">
        <v>35</v>
      </c>
      <c r="C33" s="9">
        <v>472</v>
      </c>
      <c r="D33" s="9">
        <v>122</v>
      </c>
      <c r="E33" s="9">
        <v>123</v>
      </c>
      <c r="F33" s="9">
        <v>201</v>
      </c>
      <c r="G33" s="9">
        <v>235</v>
      </c>
      <c r="H33" s="9">
        <v>498</v>
      </c>
      <c r="I33" s="9">
        <v>557</v>
      </c>
      <c r="J33" s="9">
        <v>1033</v>
      </c>
      <c r="K33" s="9">
        <v>1641</v>
      </c>
      <c r="L33" s="9">
        <v>1260</v>
      </c>
      <c r="M33" s="9">
        <v>1805</v>
      </c>
      <c r="N33" s="9">
        <v>1658</v>
      </c>
      <c r="O33" s="9">
        <v>32160</v>
      </c>
      <c r="P33" s="9">
        <v>5552</v>
      </c>
      <c r="Q33" s="9">
        <v>12428</v>
      </c>
      <c r="R33" s="9">
        <v>18957</v>
      </c>
      <c r="S33" s="9">
        <v>6660</v>
      </c>
      <c r="T33" s="9">
        <v>47478</v>
      </c>
      <c r="U33" s="9">
        <v>1706</v>
      </c>
      <c r="V33" s="9">
        <v>5344</v>
      </c>
      <c r="W33" s="9">
        <v>50</v>
      </c>
      <c r="X33" s="9">
        <v>27</v>
      </c>
      <c r="Y33" s="9">
        <v>34</v>
      </c>
      <c r="Z33" s="9">
        <v>172</v>
      </c>
      <c r="AA33" s="9">
        <v>1443</v>
      </c>
      <c r="AC33" s="9">
        <f t="shared" si="0"/>
        <v>141616</v>
      </c>
      <c r="AD33" s="9">
        <f t="shared" si="1"/>
        <v>2079006</v>
      </c>
      <c r="AE33" s="10">
        <f t="shared" si="2"/>
        <v>14.68058693932889</v>
      </c>
    </row>
    <row r="34" spans="1:31" x14ac:dyDescent="0.3">
      <c r="A34" s="55"/>
      <c r="B34" s="30" t="s">
        <v>36</v>
      </c>
      <c r="C34" s="9">
        <v>35</v>
      </c>
      <c r="D34" s="9">
        <v>26</v>
      </c>
      <c r="E34" s="9">
        <v>25</v>
      </c>
      <c r="F34" s="9">
        <v>49</v>
      </c>
      <c r="G34" s="9">
        <v>62</v>
      </c>
      <c r="H34" s="9">
        <v>185</v>
      </c>
      <c r="I34" s="9">
        <v>181</v>
      </c>
      <c r="J34" s="9">
        <v>174</v>
      </c>
      <c r="K34" s="9">
        <v>285</v>
      </c>
      <c r="L34" s="9">
        <v>150</v>
      </c>
      <c r="M34" s="9">
        <v>173</v>
      </c>
      <c r="N34" s="9">
        <v>153</v>
      </c>
      <c r="O34" s="9">
        <v>1513</v>
      </c>
      <c r="P34" s="9">
        <v>53</v>
      </c>
      <c r="Q34" s="9">
        <v>93</v>
      </c>
      <c r="R34" s="9">
        <v>142</v>
      </c>
      <c r="S34" s="9">
        <v>17</v>
      </c>
      <c r="T34" s="9">
        <v>141</v>
      </c>
      <c r="U34" s="9">
        <v>3</v>
      </c>
      <c r="V34" s="9">
        <v>5</v>
      </c>
      <c r="W34" s="9">
        <v>0</v>
      </c>
      <c r="X34" s="9">
        <v>0</v>
      </c>
      <c r="Y34" s="9">
        <v>0</v>
      </c>
      <c r="Z34" s="9">
        <v>1</v>
      </c>
      <c r="AA34" s="9">
        <v>78</v>
      </c>
      <c r="AC34" s="9">
        <f t="shared" si="0"/>
        <v>3544</v>
      </c>
      <c r="AD34" s="9">
        <f t="shared" si="1"/>
        <v>37733</v>
      </c>
      <c r="AE34" s="10">
        <f t="shared" si="2"/>
        <v>10.647009029345373</v>
      </c>
    </row>
    <row r="35" spans="1:31" x14ac:dyDescent="0.3">
      <c r="A35" s="55"/>
      <c r="B35" s="30" t="s">
        <v>37</v>
      </c>
      <c r="C35" s="9">
        <v>16</v>
      </c>
      <c r="D35" s="9">
        <v>13</v>
      </c>
      <c r="E35" s="9">
        <v>10</v>
      </c>
      <c r="F35" s="9">
        <v>36</v>
      </c>
      <c r="G35" s="9">
        <v>25</v>
      </c>
      <c r="H35" s="9">
        <v>72</v>
      </c>
      <c r="I35" s="9">
        <v>65</v>
      </c>
      <c r="J35" s="9">
        <v>82</v>
      </c>
      <c r="K35" s="9">
        <v>132</v>
      </c>
      <c r="L35" s="9">
        <v>73</v>
      </c>
      <c r="M35" s="9">
        <v>113</v>
      </c>
      <c r="N35" s="9">
        <v>126</v>
      </c>
      <c r="O35" s="9">
        <v>1356</v>
      </c>
      <c r="P35" s="9">
        <v>101</v>
      </c>
      <c r="Q35" s="9">
        <v>161</v>
      </c>
      <c r="R35" s="9">
        <v>254</v>
      </c>
      <c r="S35" s="9">
        <v>61</v>
      </c>
      <c r="T35" s="9">
        <v>435</v>
      </c>
      <c r="U35" s="9">
        <v>17</v>
      </c>
      <c r="V35" s="9">
        <v>28</v>
      </c>
      <c r="W35" s="9">
        <v>1</v>
      </c>
      <c r="X35" s="9">
        <v>1</v>
      </c>
      <c r="Y35" s="9">
        <v>0</v>
      </c>
      <c r="Z35" s="9">
        <v>3</v>
      </c>
      <c r="AA35" s="9">
        <v>42</v>
      </c>
      <c r="AC35" s="9">
        <f t="shared" si="0"/>
        <v>3223</v>
      </c>
      <c r="AD35" s="9">
        <f t="shared" si="1"/>
        <v>39770</v>
      </c>
      <c r="AE35" s="10">
        <f t="shared" si="2"/>
        <v>12.339435308718585</v>
      </c>
    </row>
    <row r="36" spans="1:31" x14ac:dyDescent="0.3">
      <c r="A36" s="55"/>
      <c r="B36" s="30" t="s">
        <v>38</v>
      </c>
      <c r="C36" s="9">
        <v>58</v>
      </c>
      <c r="D36" s="9">
        <v>37</v>
      </c>
      <c r="E36" s="9">
        <v>25</v>
      </c>
      <c r="F36" s="9">
        <v>69</v>
      </c>
      <c r="G36" s="9">
        <v>63</v>
      </c>
      <c r="H36" s="9">
        <v>140</v>
      </c>
      <c r="I36" s="9">
        <v>161</v>
      </c>
      <c r="J36" s="9">
        <v>205</v>
      </c>
      <c r="K36" s="9">
        <v>287</v>
      </c>
      <c r="L36" s="9">
        <v>174</v>
      </c>
      <c r="M36" s="9">
        <v>240</v>
      </c>
      <c r="N36" s="9">
        <v>219</v>
      </c>
      <c r="O36" s="9">
        <v>3671</v>
      </c>
      <c r="P36" s="9">
        <v>306</v>
      </c>
      <c r="Q36" s="9">
        <v>491</v>
      </c>
      <c r="R36" s="9">
        <v>787</v>
      </c>
      <c r="S36" s="9">
        <v>160</v>
      </c>
      <c r="T36" s="9">
        <v>1124</v>
      </c>
      <c r="U36" s="9">
        <v>22</v>
      </c>
      <c r="V36" s="9">
        <v>54</v>
      </c>
      <c r="W36" s="9">
        <v>3</v>
      </c>
      <c r="X36" s="9">
        <v>0</v>
      </c>
      <c r="Y36" s="9">
        <v>1</v>
      </c>
      <c r="Z36" s="9">
        <v>5</v>
      </c>
      <c r="AA36" s="9">
        <v>120</v>
      </c>
      <c r="AC36" s="9">
        <f t="shared" si="0"/>
        <v>8422</v>
      </c>
      <c r="AD36" s="9">
        <f t="shared" si="1"/>
        <v>105194</v>
      </c>
      <c r="AE36" s="10">
        <f t="shared" si="2"/>
        <v>12.490382331987652</v>
      </c>
    </row>
    <row r="37" spans="1:31" x14ac:dyDescent="0.3">
      <c r="A37" s="55"/>
      <c r="B37" s="30" t="s">
        <v>39</v>
      </c>
      <c r="C37" s="9">
        <v>858</v>
      </c>
      <c r="D37" s="9">
        <v>367</v>
      </c>
      <c r="E37" s="9">
        <v>363</v>
      </c>
      <c r="F37" s="9">
        <v>750</v>
      </c>
      <c r="G37" s="9">
        <v>753</v>
      </c>
      <c r="H37" s="9">
        <v>1678</v>
      </c>
      <c r="I37" s="9">
        <v>1772</v>
      </c>
      <c r="J37" s="9">
        <v>2432</v>
      </c>
      <c r="K37" s="9">
        <v>3726</v>
      </c>
      <c r="L37" s="9">
        <v>2404</v>
      </c>
      <c r="M37" s="9">
        <v>3814</v>
      </c>
      <c r="N37" s="9">
        <v>3130</v>
      </c>
      <c r="O37" s="9">
        <v>66318</v>
      </c>
      <c r="P37" s="9">
        <v>6473</v>
      </c>
      <c r="Q37" s="9">
        <v>13988</v>
      </c>
      <c r="R37" s="9">
        <v>22191</v>
      </c>
      <c r="S37" s="9">
        <v>6005</v>
      </c>
      <c r="T37" s="9">
        <v>40058</v>
      </c>
      <c r="U37" s="9">
        <v>895</v>
      </c>
      <c r="V37" s="9">
        <v>1798</v>
      </c>
      <c r="W37" s="9">
        <v>37</v>
      </c>
      <c r="X37" s="9">
        <v>10</v>
      </c>
      <c r="Y37" s="9">
        <v>26</v>
      </c>
      <c r="Z37" s="9">
        <v>70</v>
      </c>
      <c r="AA37" s="9">
        <v>1399</v>
      </c>
      <c r="AC37" s="9">
        <f t="shared" si="0"/>
        <v>181315</v>
      </c>
      <c r="AD37" s="9">
        <f t="shared" si="1"/>
        <v>2439123</v>
      </c>
      <c r="AE37" s="10">
        <f t="shared" si="2"/>
        <v>13.45240603369826</v>
      </c>
    </row>
    <row r="38" spans="1:31" x14ac:dyDescent="0.3">
      <c r="A38" s="55"/>
      <c r="B38" s="30" t="s">
        <v>40</v>
      </c>
      <c r="C38" s="9">
        <v>55</v>
      </c>
      <c r="D38" s="9">
        <v>35</v>
      </c>
      <c r="E38" s="9">
        <v>27</v>
      </c>
      <c r="F38" s="9">
        <v>61</v>
      </c>
      <c r="G38" s="9">
        <v>40</v>
      </c>
      <c r="H38" s="9">
        <v>107</v>
      </c>
      <c r="I38" s="9">
        <v>111</v>
      </c>
      <c r="J38" s="9">
        <v>112</v>
      </c>
      <c r="K38" s="9">
        <v>220</v>
      </c>
      <c r="L38" s="9">
        <v>124</v>
      </c>
      <c r="M38" s="9">
        <v>194</v>
      </c>
      <c r="N38" s="9">
        <v>180</v>
      </c>
      <c r="O38" s="9">
        <v>3335</v>
      </c>
      <c r="P38" s="9">
        <v>178</v>
      </c>
      <c r="Q38" s="9">
        <v>403</v>
      </c>
      <c r="R38" s="9">
        <v>533</v>
      </c>
      <c r="S38" s="9">
        <v>113</v>
      </c>
      <c r="T38" s="9">
        <v>1029</v>
      </c>
      <c r="U38" s="9">
        <v>28</v>
      </c>
      <c r="V38" s="9">
        <v>53</v>
      </c>
      <c r="W38" s="9">
        <v>1</v>
      </c>
      <c r="X38" s="9">
        <v>0</v>
      </c>
      <c r="Y38" s="9">
        <v>0</v>
      </c>
      <c r="Z38" s="9">
        <v>6</v>
      </c>
      <c r="AA38" s="9">
        <v>142</v>
      </c>
      <c r="AC38" s="9">
        <f t="shared" si="0"/>
        <v>7087</v>
      </c>
      <c r="AD38" s="9">
        <f t="shared" si="1"/>
        <v>89562</v>
      </c>
      <c r="AE38" s="10">
        <f t="shared" si="2"/>
        <v>12.637505291378581</v>
      </c>
    </row>
    <row r="39" spans="1:31" x14ac:dyDescent="0.3">
      <c r="A39" s="55"/>
      <c r="B39" s="30" t="s">
        <v>41</v>
      </c>
      <c r="C39" s="9">
        <v>25</v>
      </c>
      <c r="D39" s="9">
        <v>11</v>
      </c>
      <c r="E39" s="9">
        <v>20</v>
      </c>
      <c r="F39" s="9">
        <v>29</v>
      </c>
      <c r="G39" s="9">
        <v>27</v>
      </c>
      <c r="H39" s="9">
        <v>61</v>
      </c>
      <c r="I39" s="9">
        <v>57</v>
      </c>
      <c r="J39" s="9">
        <v>71</v>
      </c>
      <c r="K39" s="9">
        <v>107</v>
      </c>
      <c r="L39" s="9">
        <v>59</v>
      </c>
      <c r="M39" s="9">
        <v>74</v>
      </c>
      <c r="N39" s="9">
        <v>85</v>
      </c>
      <c r="O39" s="9">
        <v>1230</v>
      </c>
      <c r="P39" s="9">
        <v>32</v>
      </c>
      <c r="Q39" s="9">
        <v>61</v>
      </c>
      <c r="R39" s="9">
        <v>96</v>
      </c>
      <c r="S39" s="9">
        <v>25</v>
      </c>
      <c r="T39" s="9">
        <v>169</v>
      </c>
      <c r="U39" s="9">
        <v>3</v>
      </c>
      <c r="V39" s="9">
        <v>11</v>
      </c>
      <c r="W39" s="9">
        <v>0</v>
      </c>
      <c r="X39" s="9">
        <v>0</v>
      </c>
      <c r="Y39" s="9">
        <v>0</v>
      </c>
      <c r="Z39" s="9">
        <v>0</v>
      </c>
      <c r="AA39" s="9">
        <v>61</v>
      </c>
      <c r="AC39" s="9">
        <f t="shared" si="0"/>
        <v>2314</v>
      </c>
      <c r="AD39" s="9">
        <f t="shared" si="1"/>
        <v>26922</v>
      </c>
      <c r="AE39" s="10">
        <f t="shared" si="2"/>
        <v>11.634399308556612</v>
      </c>
    </row>
    <row r="40" spans="1:31" x14ac:dyDescent="0.3">
      <c r="A40" s="55"/>
      <c r="B40" s="30" t="s">
        <v>42</v>
      </c>
      <c r="C40" s="9">
        <v>2</v>
      </c>
      <c r="D40" s="9">
        <v>3</v>
      </c>
      <c r="E40" s="9">
        <v>4</v>
      </c>
      <c r="F40" s="9">
        <v>6</v>
      </c>
      <c r="G40" s="9">
        <v>6</v>
      </c>
      <c r="H40" s="9">
        <v>12</v>
      </c>
      <c r="I40" s="9">
        <v>14</v>
      </c>
      <c r="J40" s="9">
        <v>8</v>
      </c>
      <c r="K40" s="9">
        <v>19</v>
      </c>
      <c r="L40" s="9">
        <v>13</v>
      </c>
      <c r="M40" s="9">
        <v>17</v>
      </c>
      <c r="N40" s="9">
        <v>21</v>
      </c>
      <c r="O40" s="9">
        <v>515</v>
      </c>
      <c r="P40" s="9">
        <v>38</v>
      </c>
      <c r="Q40" s="9">
        <v>101</v>
      </c>
      <c r="R40" s="9">
        <v>102</v>
      </c>
      <c r="S40" s="9">
        <v>19</v>
      </c>
      <c r="T40" s="9">
        <v>145</v>
      </c>
      <c r="U40" s="9">
        <v>2</v>
      </c>
      <c r="V40" s="9">
        <v>4</v>
      </c>
      <c r="W40" s="9">
        <v>0</v>
      </c>
      <c r="X40" s="9">
        <v>0</v>
      </c>
      <c r="Y40" s="9">
        <v>0</v>
      </c>
      <c r="Z40" s="9">
        <v>0</v>
      </c>
      <c r="AA40" s="9">
        <v>11</v>
      </c>
      <c r="AC40" s="9">
        <f t="shared" si="0"/>
        <v>1062</v>
      </c>
      <c r="AD40" s="9">
        <f t="shared" si="1"/>
        <v>13686</v>
      </c>
      <c r="AE40" s="10">
        <f t="shared" si="2"/>
        <v>12.887005649717514</v>
      </c>
    </row>
    <row r="41" spans="1:31" x14ac:dyDescent="0.3">
      <c r="A41" s="55"/>
      <c r="B41" s="30" t="s">
        <v>43</v>
      </c>
      <c r="C41" s="9">
        <v>9</v>
      </c>
      <c r="D41" s="9">
        <v>3</v>
      </c>
      <c r="E41" s="9">
        <v>1</v>
      </c>
      <c r="F41" s="9">
        <v>4</v>
      </c>
      <c r="G41" s="9">
        <v>6</v>
      </c>
      <c r="H41" s="9">
        <v>17</v>
      </c>
      <c r="I41" s="9">
        <v>19</v>
      </c>
      <c r="J41" s="9">
        <v>16</v>
      </c>
      <c r="K41" s="9">
        <v>31</v>
      </c>
      <c r="L41" s="9">
        <v>18</v>
      </c>
      <c r="M41" s="9">
        <v>40</v>
      </c>
      <c r="N41" s="9">
        <v>31</v>
      </c>
      <c r="O41" s="9">
        <v>480</v>
      </c>
      <c r="P41" s="9">
        <v>20</v>
      </c>
      <c r="Q41" s="9">
        <v>69</v>
      </c>
      <c r="R41" s="9">
        <v>96</v>
      </c>
      <c r="S41" s="9">
        <v>18</v>
      </c>
      <c r="T41" s="9">
        <v>148</v>
      </c>
      <c r="U41" s="9">
        <v>6</v>
      </c>
      <c r="V41" s="9">
        <v>2</v>
      </c>
      <c r="W41" s="9">
        <v>0</v>
      </c>
      <c r="X41" s="9">
        <v>0</v>
      </c>
      <c r="Y41" s="9">
        <v>0</v>
      </c>
      <c r="Z41" s="9">
        <v>0</v>
      </c>
      <c r="AA41" s="9">
        <v>34</v>
      </c>
      <c r="AC41" s="9">
        <f t="shared" si="0"/>
        <v>1068</v>
      </c>
      <c r="AD41" s="9">
        <f t="shared" si="1"/>
        <v>13695</v>
      </c>
      <c r="AE41" s="10">
        <f t="shared" si="2"/>
        <v>12.823033707865168</v>
      </c>
    </row>
    <row r="42" spans="1:31" x14ac:dyDescent="0.3">
      <c r="A42" s="55"/>
      <c r="B42" s="30" t="s">
        <v>44</v>
      </c>
      <c r="C42" s="9">
        <v>7</v>
      </c>
      <c r="D42" s="9">
        <v>4</v>
      </c>
      <c r="E42" s="9">
        <v>8</v>
      </c>
      <c r="F42" s="9">
        <v>2</v>
      </c>
      <c r="G42" s="9">
        <v>7</v>
      </c>
      <c r="H42" s="9">
        <v>10</v>
      </c>
      <c r="I42" s="9">
        <v>10</v>
      </c>
      <c r="J42" s="9">
        <v>17</v>
      </c>
      <c r="K42" s="9">
        <v>19</v>
      </c>
      <c r="L42" s="9">
        <v>25</v>
      </c>
      <c r="M42" s="9">
        <v>23</v>
      </c>
      <c r="N42" s="9">
        <v>18</v>
      </c>
      <c r="O42" s="9">
        <v>555</v>
      </c>
      <c r="P42" s="9">
        <v>32</v>
      </c>
      <c r="Q42" s="9">
        <v>70</v>
      </c>
      <c r="R42" s="9">
        <v>92</v>
      </c>
      <c r="S42" s="9">
        <v>11</v>
      </c>
      <c r="T42" s="9">
        <v>177</v>
      </c>
      <c r="U42" s="9">
        <v>1</v>
      </c>
      <c r="V42" s="9">
        <v>7</v>
      </c>
      <c r="W42" s="9">
        <v>0</v>
      </c>
      <c r="X42" s="9">
        <v>0</v>
      </c>
      <c r="Y42" s="9">
        <v>0</v>
      </c>
      <c r="Z42" s="9">
        <v>0</v>
      </c>
      <c r="AA42" s="9">
        <v>20</v>
      </c>
      <c r="AC42" s="9">
        <f t="shared" si="0"/>
        <v>1115</v>
      </c>
      <c r="AD42" s="9">
        <f t="shared" si="1"/>
        <v>14340</v>
      </c>
      <c r="AE42" s="10">
        <f t="shared" si="2"/>
        <v>12.860986547085203</v>
      </c>
    </row>
    <row r="43" spans="1:31" x14ac:dyDescent="0.3">
      <c r="A43" s="55"/>
      <c r="B43" s="30" t="s">
        <v>45</v>
      </c>
      <c r="C43" s="9">
        <v>4</v>
      </c>
      <c r="D43" s="9">
        <v>3</v>
      </c>
      <c r="E43" s="9">
        <v>1</v>
      </c>
      <c r="F43" s="9">
        <v>0</v>
      </c>
      <c r="G43" s="9">
        <v>3</v>
      </c>
      <c r="H43" s="9">
        <v>5</v>
      </c>
      <c r="I43" s="9">
        <v>1</v>
      </c>
      <c r="J43" s="9">
        <v>6</v>
      </c>
      <c r="K43" s="9">
        <v>14</v>
      </c>
      <c r="L43" s="9">
        <v>7</v>
      </c>
      <c r="M43" s="9">
        <v>9</v>
      </c>
      <c r="N43" s="9">
        <v>3</v>
      </c>
      <c r="O43" s="9">
        <v>204</v>
      </c>
      <c r="P43" s="9">
        <v>21</v>
      </c>
      <c r="Q43" s="9">
        <v>103</v>
      </c>
      <c r="R43" s="9">
        <v>92</v>
      </c>
      <c r="S43" s="9">
        <v>7</v>
      </c>
      <c r="T43" s="9">
        <v>162</v>
      </c>
      <c r="U43" s="9">
        <v>2</v>
      </c>
      <c r="V43" s="9">
        <v>6</v>
      </c>
      <c r="W43" s="9">
        <v>0</v>
      </c>
      <c r="X43" s="9">
        <v>0</v>
      </c>
      <c r="Y43" s="9">
        <v>0</v>
      </c>
      <c r="Z43" s="9">
        <v>0</v>
      </c>
      <c r="AA43" s="9">
        <v>15</v>
      </c>
      <c r="AC43" s="9">
        <f t="shared" si="0"/>
        <v>668</v>
      </c>
      <c r="AD43" s="9">
        <f t="shared" si="1"/>
        <v>9307</v>
      </c>
      <c r="AE43" s="10">
        <f t="shared" si="2"/>
        <v>13.932634730538922</v>
      </c>
    </row>
    <row r="44" spans="1:31" x14ac:dyDescent="0.3">
      <c r="A44" s="55"/>
      <c r="B44" s="30" t="s">
        <v>46</v>
      </c>
      <c r="C44" s="9">
        <v>20</v>
      </c>
      <c r="D44" s="9">
        <v>9</v>
      </c>
      <c r="E44" s="9">
        <v>9</v>
      </c>
      <c r="F44" s="9">
        <v>11</v>
      </c>
      <c r="G44" s="9">
        <v>20</v>
      </c>
      <c r="H44" s="9">
        <v>39</v>
      </c>
      <c r="I44" s="9">
        <v>40</v>
      </c>
      <c r="J44" s="9">
        <v>46</v>
      </c>
      <c r="K44" s="9">
        <v>85</v>
      </c>
      <c r="L44" s="9">
        <v>35</v>
      </c>
      <c r="M44" s="9">
        <v>74</v>
      </c>
      <c r="N44" s="9">
        <v>44</v>
      </c>
      <c r="O44" s="9">
        <v>864</v>
      </c>
      <c r="P44" s="9">
        <v>32</v>
      </c>
      <c r="Q44" s="9">
        <v>78</v>
      </c>
      <c r="R44" s="9">
        <v>148</v>
      </c>
      <c r="S44" s="9">
        <v>25</v>
      </c>
      <c r="T44" s="9">
        <v>153</v>
      </c>
      <c r="U44" s="9">
        <v>5</v>
      </c>
      <c r="V44" s="9">
        <v>14</v>
      </c>
      <c r="W44" s="9">
        <v>0</v>
      </c>
      <c r="X44" s="9">
        <v>0</v>
      </c>
      <c r="Y44" s="9">
        <v>0</v>
      </c>
      <c r="Z44" s="9">
        <v>1</v>
      </c>
      <c r="AA44" s="9">
        <v>41</v>
      </c>
      <c r="AC44" s="9">
        <f t="shared" si="0"/>
        <v>1793</v>
      </c>
      <c r="AD44" s="9">
        <f t="shared" si="1"/>
        <v>21576</v>
      </c>
      <c r="AE44" s="10">
        <f t="shared" si="2"/>
        <v>12.033463469046291</v>
      </c>
    </row>
    <row r="45" spans="1:31" x14ac:dyDescent="0.3">
      <c r="A45" s="55"/>
      <c r="B45" s="30" t="s">
        <v>47</v>
      </c>
      <c r="C45" s="9">
        <v>27</v>
      </c>
      <c r="D45" s="9">
        <v>6</v>
      </c>
      <c r="E45" s="9">
        <v>2</v>
      </c>
      <c r="F45" s="9">
        <v>13</v>
      </c>
      <c r="G45" s="9">
        <v>17</v>
      </c>
      <c r="H45" s="9">
        <v>33</v>
      </c>
      <c r="I45" s="9">
        <v>35</v>
      </c>
      <c r="J45" s="9">
        <v>42</v>
      </c>
      <c r="K45" s="9">
        <v>71</v>
      </c>
      <c r="L45" s="9">
        <v>39</v>
      </c>
      <c r="M45" s="9">
        <v>80</v>
      </c>
      <c r="N45" s="9">
        <v>52</v>
      </c>
      <c r="O45" s="9">
        <v>992</v>
      </c>
      <c r="P45" s="9">
        <v>41</v>
      </c>
      <c r="Q45" s="9">
        <v>112</v>
      </c>
      <c r="R45" s="9">
        <v>138</v>
      </c>
      <c r="S45" s="9">
        <v>21</v>
      </c>
      <c r="T45" s="9">
        <v>211</v>
      </c>
      <c r="U45" s="9">
        <v>3</v>
      </c>
      <c r="V45" s="9">
        <v>15</v>
      </c>
      <c r="W45" s="9">
        <v>0</v>
      </c>
      <c r="X45" s="9">
        <v>0</v>
      </c>
      <c r="Y45" s="9">
        <v>0</v>
      </c>
      <c r="Z45" s="9">
        <v>2</v>
      </c>
      <c r="AA45" s="9">
        <v>51</v>
      </c>
      <c r="AC45" s="9">
        <f t="shared" si="0"/>
        <v>2003</v>
      </c>
      <c r="AD45" s="9">
        <f t="shared" si="1"/>
        <v>24684</v>
      </c>
      <c r="AE45" s="10">
        <f t="shared" si="2"/>
        <v>12.323514727908139</v>
      </c>
    </row>
    <row r="46" spans="1:31" x14ac:dyDescent="0.3">
      <c r="A46" s="55"/>
      <c r="B46" s="30" t="s">
        <v>48</v>
      </c>
      <c r="C46" s="9">
        <v>13</v>
      </c>
      <c r="D46" s="9">
        <v>6</v>
      </c>
      <c r="E46" s="9">
        <v>5</v>
      </c>
      <c r="F46" s="9">
        <v>11</v>
      </c>
      <c r="G46" s="9">
        <v>19</v>
      </c>
      <c r="H46" s="9">
        <v>35</v>
      </c>
      <c r="I46" s="9">
        <v>24</v>
      </c>
      <c r="J46" s="9">
        <v>34</v>
      </c>
      <c r="K46" s="9">
        <v>79</v>
      </c>
      <c r="L46" s="9">
        <v>37</v>
      </c>
      <c r="M46" s="9">
        <v>70</v>
      </c>
      <c r="N46" s="9">
        <v>34</v>
      </c>
      <c r="O46" s="9">
        <v>890</v>
      </c>
      <c r="P46" s="9">
        <v>37</v>
      </c>
      <c r="Q46" s="9">
        <v>58</v>
      </c>
      <c r="R46" s="9">
        <v>90</v>
      </c>
      <c r="S46" s="9">
        <v>18</v>
      </c>
      <c r="T46" s="9">
        <v>135</v>
      </c>
      <c r="U46" s="9">
        <v>1</v>
      </c>
      <c r="V46" s="9">
        <v>8</v>
      </c>
      <c r="W46" s="9">
        <v>1</v>
      </c>
      <c r="X46" s="9">
        <v>0</v>
      </c>
      <c r="Y46" s="9">
        <v>0</v>
      </c>
      <c r="Z46" s="9">
        <v>0</v>
      </c>
      <c r="AA46" s="9">
        <v>35</v>
      </c>
      <c r="AC46" s="9">
        <f t="shared" si="0"/>
        <v>1640</v>
      </c>
      <c r="AD46" s="9">
        <f t="shared" si="1"/>
        <v>19657</v>
      </c>
      <c r="AE46" s="10">
        <f t="shared" si="2"/>
        <v>11.985975609756098</v>
      </c>
    </row>
    <row r="47" spans="1:31" x14ac:dyDescent="0.3">
      <c r="A47" s="55"/>
      <c r="B47" s="30" t="s">
        <v>49</v>
      </c>
      <c r="C47" s="9">
        <v>5</v>
      </c>
      <c r="D47" s="9">
        <v>1</v>
      </c>
      <c r="E47" s="9">
        <v>4</v>
      </c>
      <c r="F47" s="9">
        <v>9</v>
      </c>
      <c r="G47" s="9">
        <v>5</v>
      </c>
      <c r="H47" s="9">
        <v>26</v>
      </c>
      <c r="I47" s="9">
        <v>23</v>
      </c>
      <c r="J47" s="9">
        <v>18</v>
      </c>
      <c r="K47" s="9">
        <v>50</v>
      </c>
      <c r="L47" s="9">
        <v>12</v>
      </c>
      <c r="M47" s="9">
        <v>25</v>
      </c>
      <c r="N47" s="9">
        <v>13</v>
      </c>
      <c r="O47" s="9">
        <v>310</v>
      </c>
      <c r="P47" s="9">
        <v>15</v>
      </c>
      <c r="Q47" s="9">
        <v>27</v>
      </c>
      <c r="R47" s="9">
        <v>50</v>
      </c>
      <c r="S47" s="9">
        <v>5</v>
      </c>
      <c r="T47" s="9">
        <v>57</v>
      </c>
      <c r="U47" s="9">
        <v>2</v>
      </c>
      <c r="V47" s="9">
        <v>5</v>
      </c>
      <c r="W47" s="9">
        <v>0</v>
      </c>
      <c r="X47" s="9">
        <v>0</v>
      </c>
      <c r="Y47" s="9">
        <v>0</v>
      </c>
      <c r="Z47" s="9">
        <v>1</v>
      </c>
      <c r="AA47" s="9">
        <v>3</v>
      </c>
      <c r="AC47" s="9">
        <f t="shared" si="0"/>
        <v>666</v>
      </c>
      <c r="AD47" s="9">
        <f t="shared" si="1"/>
        <v>7669</v>
      </c>
      <c r="AE47" s="10">
        <f t="shared" si="2"/>
        <v>11.515015015015015</v>
      </c>
    </row>
    <row r="48" spans="1:31" x14ac:dyDescent="0.3">
      <c r="A48" s="55"/>
      <c r="B48" s="30" t="s">
        <v>50</v>
      </c>
      <c r="C48" s="9">
        <v>4</v>
      </c>
      <c r="D48" s="9">
        <v>3</v>
      </c>
      <c r="E48" s="9">
        <v>3</v>
      </c>
      <c r="F48" s="9">
        <v>4</v>
      </c>
      <c r="G48" s="9">
        <v>5</v>
      </c>
      <c r="H48" s="9">
        <v>15</v>
      </c>
      <c r="I48" s="9">
        <v>14</v>
      </c>
      <c r="J48" s="9">
        <v>7</v>
      </c>
      <c r="K48" s="9">
        <v>27</v>
      </c>
      <c r="L48" s="9">
        <v>11</v>
      </c>
      <c r="M48" s="9">
        <v>34</v>
      </c>
      <c r="N48" s="9">
        <v>15</v>
      </c>
      <c r="O48" s="9">
        <v>372</v>
      </c>
      <c r="P48" s="9">
        <v>22</v>
      </c>
      <c r="Q48" s="9">
        <v>34</v>
      </c>
      <c r="R48" s="9">
        <v>52</v>
      </c>
      <c r="S48" s="9">
        <v>8</v>
      </c>
      <c r="T48" s="9">
        <v>83</v>
      </c>
      <c r="U48" s="9">
        <v>2</v>
      </c>
      <c r="V48" s="9">
        <v>2</v>
      </c>
      <c r="W48" s="9">
        <v>0</v>
      </c>
      <c r="X48" s="9">
        <v>0</v>
      </c>
      <c r="Y48" s="9">
        <v>0</v>
      </c>
      <c r="Z48" s="9">
        <v>0</v>
      </c>
      <c r="AA48" s="9">
        <v>30</v>
      </c>
      <c r="AC48" s="9">
        <f t="shared" si="0"/>
        <v>747</v>
      </c>
      <c r="AD48" s="9">
        <f t="shared" si="1"/>
        <v>9408</v>
      </c>
      <c r="AE48" s="10">
        <f t="shared" si="2"/>
        <v>12.594377510040161</v>
      </c>
    </row>
    <row r="49" spans="1:31" x14ac:dyDescent="0.3">
      <c r="A49" s="55"/>
      <c r="B49" s="30" t="s">
        <v>51</v>
      </c>
      <c r="C49" s="9">
        <v>30</v>
      </c>
      <c r="D49" s="9">
        <v>1</v>
      </c>
      <c r="E49" s="9">
        <v>4</v>
      </c>
      <c r="F49" s="9">
        <v>7</v>
      </c>
      <c r="G49" s="9">
        <v>10</v>
      </c>
      <c r="H49" s="9">
        <v>18</v>
      </c>
      <c r="I49" s="9">
        <v>14</v>
      </c>
      <c r="J49" s="9">
        <v>14</v>
      </c>
      <c r="K49" s="9">
        <v>49</v>
      </c>
      <c r="L49" s="9">
        <v>15</v>
      </c>
      <c r="M49" s="9">
        <v>47</v>
      </c>
      <c r="N49" s="9">
        <v>41</v>
      </c>
      <c r="O49" s="9">
        <v>850</v>
      </c>
      <c r="P49" s="9">
        <v>20</v>
      </c>
      <c r="Q49" s="9">
        <v>71</v>
      </c>
      <c r="R49" s="9">
        <v>74</v>
      </c>
      <c r="S49" s="9">
        <v>10</v>
      </c>
      <c r="T49" s="9">
        <v>71</v>
      </c>
      <c r="U49" s="9">
        <v>2</v>
      </c>
      <c r="V49" s="9">
        <v>4</v>
      </c>
      <c r="W49" s="9">
        <v>0</v>
      </c>
      <c r="X49" s="9">
        <v>0</v>
      </c>
      <c r="Y49" s="9">
        <v>0</v>
      </c>
      <c r="Z49" s="9">
        <v>1</v>
      </c>
      <c r="AA49" s="9">
        <v>54</v>
      </c>
      <c r="AC49" s="9">
        <f t="shared" si="0"/>
        <v>1407</v>
      </c>
      <c r="AD49" s="9">
        <f t="shared" si="1"/>
        <v>17152</v>
      </c>
      <c r="AE49" s="10">
        <f t="shared" si="2"/>
        <v>12.19047619047619</v>
      </c>
    </row>
    <row r="50" spans="1:31" x14ac:dyDescent="0.3">
      <c r="A50" s="55"/>
      <c r="B50" s="30" t="s">
        <v>52</v>
      </c>
      <c r="C50" s="9">
        <v>3</v>
      </c>
      <c r="D50" s="9">
        <v>0</v>
      </c>
      <c r="E50" s="9">
        <v>1</v>
      </c>
      <c r="F50" s="9">
        <v>5</v>
      </c>
      <c r="G50" s="9">
        <v>5</v>
      </c>
      <c r="H50" s="9">
        <v>15</v>
      </c>
      <c r="I50" s="9">
        <v>11</v>
      </c>
      <c r="J50" s="9">
        <v>7</v>
      </c>
      <c r="K50" s="9">
        <v>13</v>
      </c>
      <c r="L50" s="9">
        <v>16</v>
      </c>
      <c r="M50" s="9">
        <v>25</v>
      </c>
      <c r="N50" s="9">
        <v>15</v>
      </c>
      <c r="O50" s="9">
        <v>319</v>
      </c>
      <c r="P50" s="9">
        <v>12</v>
      </c>
      <c r="Q50" s="9">
        <v>18</v>
      </c>
      <c r="R50" s="9">
        <v>29</v>
      </c>
      <c r="S50" s="9">
        <v>9</v>
      </c>
      <c r="T50" s="9">
        <v>51</v>
      </c>
      <c r="U50" s="9">
        <v>0</v>
      </c>
      <c r="V50" s="9">
        <v>1</v>
      </c>
      <c r="W50" s="9">
        <v>0</v>
      </c>
      <c r="X50" s="9">
        <v>0</v>
      </c>
      <c r="Y50" s="9">
        <v>0</v>
      </c>
      <c r="Z50" s="9">
        <v>0</v>
      </c>
      <c r="AA50" s="9">
        <v>13</v>
      </c>
      <c r="AC50" s="9">
        <f t="shared" si="0"/>
        <v>568</v>
      </c>
      <c r="AD50" s="9">
        <f t="shared" si="1"/>
        <v>6903</v>
      </c>
      <c r="AE50" s="10">
        <f t="shared" si="2"/>
        <v>12.153169014084508</v>
      </c>
    </row>
    <row r="51" spans="1:31" x14ac:dyDescent="0.3">
      <c r="A51" s="55"/>
      <c r="B51" s="30" t="s">
        <v>53</v>
      </c>
      <c r="C51" s="9">
        <v>11</v>
      </c>
      <c r="D51" s="9">
        <v>7</v>
      </c>
      <c r="E51" s="9">
        <v>3</v>
      </c>
      <c r="F51" s="9">
        <v>5</v>
      </c>
      <c r="G51" s="9">
        <v>7</v>
      </c>
      <c r="H51" s="9">
        <v>29</v>
      </c>
      <c r="I51" s="9">
        <v>24</v>
      </c>
      <c r="J51" s="9">
        <v>25</v>
      </c>
      <c r="K51" s="9">
        <v>48</v>
      </c>
      <c r="L51" s="9">
        <v>25</v>
      </c>
      <c r="M51" s="9">
        <v>44</v>
      </c>
      <c r="N51" s="9">
        <v>38</v>
      </c>
      <c r="O51" s="9">
        <v>491</v>
      </c>
      <c r="P51" s="9">
        <v>24</v>
      </c>
      <c r="Q51" s="9">
        <v>44</v>
      </c>
      <c r="R51" s="9">
        <v>45</v>
      </c>
      <c r="S51" s="9">
        <v>11</v>
      </c>
      <c r="T51" s="9">
        <v>59</v>
      </c>
      <c r="U51" s="9">
        <v>3</v>
      </c>
      <c r="V51" s="9">
        <v>2</v>
      </c>
      <c r="W51" s="9">
        <v>0</v>
      </c>
      <c r="X51" s="9">
        <v>0</v>
      </c>
      <c r="Y51" s="9">
        <v>0</v>
      </c>
      <c r="Z51" s="9">
        <v>0</v>
      </c>
      <c r="AA51" s="9">
        <v>28</v>
      </c>
      <c r="AC51" s="9">
        <f t="shared" si="0"/>
        <v>973</v>
      </c>
      <c r="AD51" s="9">
        <f t="shared" si="1"/>
        <v>11425</v>
      </c>
      <c r="AE51" s="10">
        <f t="shared" si="2"/>
        <v>11.742034943473792</v>
      </c>
    </row>
    <row r="52" spans="1:31" x14ac:dyDescent="0.3">
      <c r="A52" s="55"/>
      <c r="B52" s="30" t="s">
        <v>54</v>
      </c>
      <c r="C52" s="9">
        <v>24</v>
      </c>
      <c r="D52" s="9">
        <v>11</v>
      </c>
      <c r="E52" s="9">
        <v>17</v>
      </c>
      <c r="F52" s="9">
        <v>42</v>
      </c>
      <c r="G52" s="9">
        <v>43</v>
      </c>
      <c r="H52" s="9">
        <v>60</v>
      </c>
      <c r="I52" s="9">
        <v>53</v>
      </c>
      <c r="J52" s="9">
        <v>54</v>
      </c>
      <c r="K52" s="9">
        <v>75</v>
      </c>
      <c r="L52" s="9">
        <v>45</v>
      </c>
      <c r="M52" s="9">
        <v>64</v>
      </c>
      <c r="N52" s="9">
        <v>42</v>
      </c>
      <c r="O52" s="9">
        <v>857</v>
      </c>
      <c r="P52" s="9">
        <v>29</v>
      </c>
      <c r="Q52" s="9">
        <v>46</v>
      </c>
      <c r="R52" s="9">
        <v>87</v>
      </c>
      <c r="S52" s="9">
        <v>20</v>
      </c>
      <c r="T52" s="9">
        <v>179</v>
      </c>
      <c r="U52" s="9">
        <v>2</v>
      </c>
      <c r="V52" s="9">
        <v>8</v>
      </c>
      <c r="W52" s="9">
        <v>0</v>
      </c>
      <c r="X52" s="9">
        <v>0</v>
      </c>
      <c r="Y52" s="9">
        <v>1</v>
      </c>
      <c r="Z52" s="9">
        <v>0</v>
      </c>
      <c r="AA52" s="9">
        <v>28</v>
      </c>
      <c r="AC52" s="9">
        <f t="shared" si="0"/>
        <v>1787</v>
      </c>
      <c r="AD52" s="9">
        <f t="shared" si="1"/>
        <v>20301</v>
      </c>
      <c r="AE52" s="10">
        <f t="shared" si="2"/>
        <v>11.360380526021265</v>
      </c>
    </row>
    <row r="53" spans="1:31" x14ac:dyDescent="0.3">
      <c r="A53" s="55"/>
      <c r="B53" s="30" t="s">
        <v>55</v>
      </c>
      <c r="C53" s="9">
        <v>54</v>
      </c>
      <c r="D53" s="9">
        <v>19</v>
      </c>
      <c r="E53" s="9">
        <v>16</v>
      </c>
      <c r="F53" s="9">
        <v>54</v>
      </c>
      <c r="G53" s="9">
        <v>41</v>
      </c>
      <c r="H53" s="9">
        <v>98</v>
      </c>
      <c r="I53" s="9">
        <v>91</v>
      </c>
      <c r="J53" s="9">
        <v>70</v>
      </c>
      <c r="K53" s="9">
        <v>134</v>
      </c>
      <c r="L53" s="9">
        <v>66</v>
      </c>
      <c r="M53" s="9">
        <v>91</v>
      </c>
      <c r="N53" s="9">
        <v>68</v>
      </c>
      <c r="O53" s="9">
        <v>1120</v>
      </c>
      <c r="P53" s="9">
        <v>35</v>
      </c>
      <c r="Q53" s="9">
        <v>82</v>
      </c>
      <c r="R53" s="9">
        <v>86</v>
      </c>
      <c r="S53" s="9">
        <v>18</v>
      </c>
      <c r="T53" s="9">
        <v>130</v>
      </c>
      <c r="U53" s="9">
        <v>3</v>
      </c>
      <c r="V53" s="9">
        <v>9</v>
      </c>
      <c r="W53" s="9">
        <v>1</v>
      </c>
      <c r="X53" s="9">
        <v>0</v>
      </c>
      <c r="Y53" s="9">
        <v>1</v>
      </c>
      <c r="Z53" s="9">
        <v>1</v>
      </c>
      <c r="AA53" s="9">
        <v>65</v>
      </c>
      <c r="AC53" s="9">
        <f t="shared" si="0"/>
        <v>2353</v>
      </c>
      <c r="AD53" s="9">
        <f t="shared" si="1"/>
        <v>25908</v>
      </c>
      <c r="AE53" s="10">
        <f t="shared" si="2"/>
        <v>11.01062473438164</v>
      </c>
    </row>
    <row r="54" spans="1:31" x14ac:dyDescent="0.3">
      <c r="A54" s="55"/>
      <c r="B54" s="30" t="s">
        <v>56</v>
      </c>
      <c r="C54" s="9">
        <v>26</v>
      </c>
      <c r="D54" s="9">
        <v>11</v>
      </c>
      <c r="E54" s="9">
        <v>11</v>
      </c>
      <c r="F54" s="9">
        <v>28</v>
      </c>
      <c r="G54" s="9">
        <v>30</v>
      </c>
      <c r="H54" s="9">
        <v>63</v>
      </c>
      <c r="I54" s="9">
        <v>60</v>
      </c>
      <c r="J54" s="9">
        <v>83</v>
      </c>
      <c r="K54" s="9">
        <v>102</v>
      </c>
      <c r="L54" s="9">
        <v>59</v>
      </c>
      <c r="M54" s="9">
        <v>93</v>
      </c>
      <c r="N54" s="9">
        <v>75</v>
      </c>
      <c r="O54" s="9">
        <v>1004</v>
      </c>
      <c r="P54" s="9">
        <v>42</v>
      </c>
      <c r="Q54" s="9">
        <v>81</v>
      </c>
      <c r="R54" s="9">
        <v>151</v>
      </c>
      <c r="S54" s="9">
        <v>27</v>
      </c>
      <c r="T54" s="9">
        <v>187</v>
      </c>
      <c r="U54" s="9">
        <v>3</v>
      </c>
      <c r="V54" s="9">
        <v>4</v>
      </c>
      <c r="W54" s="9">
        <v>1</v>
      </c>
      <c r="X54" s="9">
        <v>0</v>
      </c>
      <c r="Y54" s="9">
        <v>0</v>
      </c>
      <c r="Z54" s="9">
        <v>1</v>
      </c>
      <c r="AA54" s="9">
        <v>55</v>
      </c>
      <c r="AC54" s="9">
        <f t="shared" si="0"/>
        <v>2197</v>
      </c>
      <c r="AD54" s="9">
        <f t="shared" si="1"/>
        <v>25692</v>
      </c>
      <c r="AE54" s="10">
        <f t="shared" si="2"/>
        <v>11.69412835685025</v>
      </c>
    </row>
    <row r="55" spans="1:31" x14ac:dyDescent="0.3">
      <c r="A55" s="55"/>
      <c r="B55" s="30" t="s">
        <v>57</v>
      </c>
      <c r="C55" s="9">
        <v>14</v>
      </c>
      <c r="D55" s="9">
        <v>10</v>
      </c>
      <c r="E55" s="9">
        <v>6</v>
      </c>
      <c r="F55" s="9">
        <v>19</v>
      </c>
      <c r="G55" s="9">
        <v>25</v>
      </c>
      <c r="H55" s="9">
        <v>25</v>
      </c>
      <c r="I55" s="9">
        <v>26</v>
      </c>
      <c r="J55" s="9">
        <v>24</v>
      </c>
      <c r="K55" s="9">
        <v>40</v>
      </c>
      <c r="L55" s="9">
        <v>23</v>
      </c>
      <c r="M55" s="9">
        <v>30</v>
      </c>
      <c r="N55" s="9">
        <v>37</v>
      </c>
      <c r="O55" s="9">
        <v>343</v>
      </c>
      <c r="P55" s="9">
        <v>7</v>
      </c>
      <c r="Q55" s="9">
        <v>21</v>
      </c>
      <c r="R55" s="9">
        <v>31</v>
      </c>
      <c r="S55" s="9">
        <v>2</v>
      </c>
      <c r="T55" s="9">
        <v>43</v>
      </c>
      <c r="U55" s="9">
        <v>0</v>
      </c>
      <c r="V55" s="9">
        <v>1</v>
      </c>
      <c r="W55" s="9">
        <v>0</v>
      </c>
      <c r="X55" s="9">
        <v>0</v>
      </c>
      <c r="Y55" s="9">
        <v>0</v>
      </c>
      <c r="Z55" s="9">
        <v>0</v>
      </c>
      <c r="AA55" s="9">
        <v>13</v>
      </c>
      <c r="AC55" s="9">
        <f t="shared" si="0"/>
        <v>740</v>
      </c>
      <c r="AD55" s="9">
        <f t="shared" si="1"/>
        <v>7922</v>
      </c>
      <c r="AE55" s="10">
        <f t="shared" si="2"/>
        <v>10.705405405405406</v>
      </c>
    </row>
    <row r="56" spans="1:31" x14ac:dyDescent="0.3">
      <c r="A56" s="55"/>
      <c r="B56" s="30" t="s">
        <v>58</v>
      </c>
      <c r="C56" s="9">
        <v>14</v>
      </c>
      <c r="D56" s="9">
        <v>4</v>
      </c>
      <c r="E56" s="9">
        <v>2</v>
      </c>
      <c r="F56" s="9">
        <v>10</v>
      </c>
      <c r="G56" s="9">
        <v>10</v>
      </c>
      <c r="H56" s="9">
        <v>6</v>
      </c>
      <c r="I56" s="9">
        <v>11</v>
      </c>
      <c r="J56" s="9">
        <v>21</v>
      </c>
      <c r="K56" s="9">
        <v>43</v>
      </c>
      <c r="L56" s="9">
        <v>14</v>
      </c>
      <c r="M56" s="9">
        <v>33</v>
      </c>
      <c r="N56" s="9">
        <v>29</v>
      </c>
      <c r="O56" s="9">
        <v>529</v>
      </c>
      <c r="P56" s="9">
        <v>33</v>
      </c>
      <c r="Q56" s="9">
        <v>57</v>
      </c>
      <c r="R56" s="9">
        <v>119</v>
      </c>
      <c r="S56" s="9">
        <v>14</v>
      </c>
      <c r="T56" s="9">
        <v>148</v>
      </c>
      <c r="U56" s="9">
        <v>2</v>
      </c>
      <c r="V56" s="9">
        <v>11</v>
      </c>
      <c r="W56" s="9">
        <v>0</v>
      </c>
      <c r="X56" s="9">
        <v>0</v>
      </c>
      <c r="Y56" s="9">
        <v>0</v>
      </c>
      <c r="Z56" s="9">
        <v>0</v>
      </c>
      <c r="AA56" s="9">
        <v>33</v>
      </c>
      <c r="AC56" s="9">
        <f t="shared" si="0"/>
        <v>1143</v>
      </c>
      <c r="AD56" s="9">
        <f t="shared" si="1"/>
        <v>14577</v>
      </c>
      <c r="AE56" s="10">
        <f t="shared" si="2"/>
        <v>12.753280839895012</v>
      </c>
    </row>
    <row r="57" spans="1:31" x14ac:dyDescent="0.3">
      <c r="A57" s="55"/>
      <c r="B57" s="30" t="s">
        <v>59</v>
      </c>
      <c r="C57" s="9">
        <v>78</v>
      </c>
      <c r="D57" s="9">
        <v>14</v>
      </c>
      <c r="E57" s="9">
        <v>19</v>
      </c>
      <c r="F57" s="9">
        <v>60</v>
      </c>
      <c r="G57" s="9">
        <v>66</v>
      </c>
      <c r="H57" s="9">
        <v>98</v>
      </c>
      <c r="I57" s="9">
        <v>93</v>
      </c>
      <c r="J57" s="9">
        <v>102</v>
      </c>
      <c r="K57" s="9">
        <v>187</v>
      </c>
      <c r="L57" s="9">
        <v>101</v>
      </c>
      <c r="M57" s="9">
        <v>122</v>
      </c>
      <c r="N57" s="9">
        <v>128</v>
      </c>
      <c r="O57" s="9">
        <v>1402</v>
      </c>
      <c r="P57" s="9">
        <v>40</v>
      </c>
      <c r="Q57" s="9">
        <v>62</v>
      </c>
      <c r="R57" s="9">
        <v>95</v>
      </c>
      <c r="S57" s="9">
        <v>20</v>
      </c>
      <c r="T57" s="9">
        <v>147</v>
      </c>
      <c r="U57" s="9">
        <v>2</v>
      </c>
      <c r="V57" s="9">
        <v>11</v>
      </c>
      <c r="W57" s="9">
        <v>0</v>
      </c>
      <c r="X57" s="9">
        <v>0</v>
      </c>
      <c r="Y57" s="9">
        <v>1</v>
      </c>
      <c r="Z57" s="9">
        <v>1</v>
      </c>
      <c r="AA57" s="9">
        <v>100</v>
      </c>
      <c r="AC57" s="9">
        <f t="shared" si="0"/>
        <v>2949</v>
      </c>
      <c r="AD57" s="9">
        <f t="shared" si="1"/>
        <v>32437</v>
      </c>
      <c r="AE57" s="10">
        <f t="shared" si="2"/>
        <v>10.999321804001356</v>
      </c>
    </row>
    <row r="58" spans="1:31" x14ac:dyDescent="0.3">
      <c r="A58" s="55"/>
      <c r="B58" s="30" t="s">
        <v>60</v>
      </c>
      <c r="C58" s="9">
        <v>46</v>
      </c>
      <c r="D58" s="9">
        <v>14</v>
      </c>
      <c r="E58" s="9">
        <v>10</v>
      </c>
      <c r="F58" s="9">
        <v>58</v>
      </c>
      <c r="G58" s="9">
        <v>50</v>
      </c>
      <c r="H58" s="9">
        <v>73</v>
      </c>
      <c r="I58" s="9">
        <v>71</v>
      </c>
      <c r="J58" s="9">
        <v>60</v>
      </c>
      <c r="K58" s="9">
        <v>74</v>
      </c>
      <c r="L58" s="9">
        <v>36</v>
      </c>
      <c r="M58" s="9">
        <v>46</v>
      </c>
      <c r="N58" s="9">
        <v>49</v>
      </c>
      <c r="O58" s="9">
        <v>676</v>
      </c>
      <c r="P58" s="9">
        <v>29</v>
      </c>
      <c r="Q58" s="9">
        <v>24</v>
      </c>
      <c r="R58" s="9">
        <v>29</v>
      </c>
      <c r="S58" s="9">
        <v>5</v>
      </c>
      <c r="T58" s="9">
        <v>51</v>
      </c>
      <c r="U58" s="9">
        <v>1</v>
      </c>
      <c r="V58" s="9">
        <v>5</v>
      </c>
      <c r="W58" s="9">
        <v>0</v>
      </c>
      <c r="X58" s="9">
        <v>0</v>
      </c>
      <c r="Y58" s="9">
        <v>0</v>
      </c>
      <c r="Z58" s="9">
        <v>0</v>
      </c>
      <c r="AA58" s="9">
        <v>37</v>
      </c>
      <c r="AC58" s="9">
        <f t="shared" si="0"/>
        <v>1444</v>
      </c>
      <c r="AD58" s="9">
        <f t="shared" si="1"/>
        <v>14742</v>
      </c>
      <c r="AE58" s="10">
        <f t="shared" si="2"/>
        <v>10.209141274238227</v>
      </c>
    </row>
    <row r="59" spans="1:31" x14ac:dyDescent="0.3">
      <c r="A59" s="55"/>
      <c r="B59" s="30" t="s">
        <v>61</v>
      </c>
      <c r="C59" s="9">
        <v>57</v>
      </c>
      <c r="D59" s="9">
        <v>7</v>
      </c>
      <c r="E59" s="9">
        <v>20</v>
      </c>
      <c r="F59" s="9">
        <v>40</v>
      </c>
      <c r="G59" s="9">
        <v>38</v>
      </c>
      <c r="H59" s="9">
        <v>55</v>
      </c>
      <c r="I59" s="9">
        <v>51</v>
      </c>
      <c r="J59" s="9">
        <v>51</v>
      </c>
      <c r="K59" s="9">
        <v>89</v>
      </c>
      <c r="L59" s="9">
        <v>32</v>
      </c>
      <c r="M59" s="9">
        <v>61</v>
      </c>
      <c r="N59" s="9">
        <v>38</v>
      </c>
      <c r="O59" s="9">
        <v>522</v>
      </c>
      <c r="P59" s="9">
        <v>17</v>
      </c>
      <c r="Q59" s="9">
        <v>27</v>
      </c>
      <c r="R59" s="9">
        <v>37</v>
      </c>
      <c r="S59" s="9">
        <v>5</v>
      </c>
      <c r="T59" s="9">
        <v>74</v>
      </c>
      <c r="U59" s="9">
        <v>1</v>
      </c>
      <c r="V59" s="9">
        <v>4</v>
      </c>
      <c r="W59" s="9">
        <v>0</v>
      </c>
      <c r="X59" s="9">
        <v>0</v>
      </c>
      <c r="Y59" s="9">
        <v>0</v>
      </c>
      <c r="Z59" s="9">
        <v>0</v>
      </c>
      <c r="AA59" s="9">
        <v>34</v>
      </c>
      <c r="AC59" s="9">
        <f t="shared" si="0"/>
        <v>1260</v>
      </c>
      <c r="AD59" s="9">
        <f t="shared" si="1"/>
        <v>12951</v>
      </c>
      <c r="AE59" s="10">
        <f t="shared" si="2"/>
        <v>10.278571428571428</v>
      </c>
    </row>
    <row r="60" spans="1:31" x14ac:dyDescent="0.3">
      <c r="A60" s="55"/>
      <c r="B60" s="30" t="s">
        <v>62</v>
      </c>
      <c r="C60" s="9">
        <v>71</v>
      </c>
      <c r="D60" s="9">
        <v>37</v>
      </c>
      <c r="E60" s="9">
        <v>23</v>
      </c>
      <c r="F60" s="9">
        <v>86</v>
      </c>
      <c r="G60" s="9">
        <v>92</v>
      </c>
      <c r="H60" s="9">
        <v>163</v>
      </c>
      <c r="I60" s="9">
        <v>194</v>
      </c>
      <c r="J60" s="9">
        <v>207</v>
      </c>
      <c r="K60" s="9">
        <v>309</v>
      </c>
      <c r="L60" s="9">
        <v>158</v>
      </c>
      <c r="M60" s="9">
        <v>238</v>
      </c>
      <c r="N60" s="9">
        <v>209</v>
      </c>
      <c r="O60" s="9">
        <v>2505</v>
      </c>
      <c r="P60" s="9">
        <v>106</v>
      </c>
      <c r="Q60" s="9">
        <v>213</v>
      </c>
      <c r="R60" s="9">
        <v>281</v>
      </c>
      <c r="S60" s="9">
        <v>60</v>
      </c>
      <c r="T60" s="9">
        <v>404</v>
      </c>
      <c r="U60" s="9">
        <v>8</v>
      </c>
      <c r="V60" s="9">
        <v>22</v>
      </c>
      <c r="W60" s="9">
        <v>2</v>
      </c>
      <c r="X60" s="9">
        <v>0</v>
      </c>
      <c r="Y60" s="9">
        <v>1</v>
      </c>
      <c r="Z60" s="9">
        <v>2</v>
      </c>
      <c r="AA60" s="9">
        <v>92</v>
      </c>
      <c r="AC60" s="9">
        <f t="shared" si="0"/>
        <v>5483</v>
      </c>
      <c r="AD60" s="9">
        <f t="shared" si="1"/>
        <v>62051</v>
      </c>
      <c r="AE60" s="10">
        <f t="shared" si="2"/>
        <v>11.316979755608244</v>
      </c>
    </row>
    <row r="61" spans="1:31" x14ac:dyDescent="0.3">
      <c r="A61" s="55"/>
      <c r="B61" s="30" t="s">
        <v>63</v>
      </c>
      <c r="C61" s="9">
        <v>27</v>
      </c>
      <c r="D61" s="9">
        <v>14</v>
      </c>
      <c r="E61" s="9">
        <v>15</v>
      </c>
      <c r="F61" s="9">
        <v>34</v>
      </c>
      <c r="G61" s="9">
        <v>40</v>
      </c>
      <c r="H61" s="9">
        <v>87</v>
      </c>
      <c r="I61" s="9">
        <v>93</v>
      </c>
      <c r="J61" s="9">
        <v>139</v>
      </c>
      <c r="K61" s="9">
        <v>234</v>
      </c>
      <c r="L61" s="9">
        <v>140</v>
      </c>
      <c r="M61" s="9">
        <v>169</v>
      </c>
      <c r="N61" s="9">
        <v>157</v>
      </c>
      <c r="O61" s="9">
        <v>1357</v>
      </c>
      <c r="P61" s="9">
        <v>82</v>
      </c>
      <c r="Q61" s="9">
        <v>173</v>
      </c>
      <c r="R61" s="9">
        <v>167</v>
      </c>
      <c r="S61" s="9">
        <v>16</v>
      </c>
      <c r="T61" s="9">
        <v>198</v>
      </c>
      <c r="U61" s="9">
        <v>5</v>
      </c>
      <c r="V61" s="9">
        <v>8</v>
      </c>
      <c r="W61" s="9">
        <v>0</v>
      </c>
      <c r="X61" s="9">
        <v>0</v>
      </c>
      <c r="Y61" s="9">
        <v>0</v>
      </c>
      <c r="Z61" s="9">
        <v>0</v>
      </c>
      <c r="AA61" s="9">
        <v>55</v>
      </c>
      <c r="AC61" s="9">
        <f t="shared" si="0"/>
        <v>3210</v>
      </c>
      <c r="AD61" s="9">
        <f t="shared" si="1"/>
        <v>36282</v>
      </c>
      <c r="AE61" s="10">
        <f t="shared" si="2"/>
        <v>11.302803738317756</v>
      </c>
    </row>
    <row r="62" spans="1:31" x14ac:dyDescent="0.3">
      <c r="A62" s="55"/>
      <c r="B62" s="30" t="s">
        <v>64</v>
      </c>
      <c r="C62" s="9">
        <v>23</v>
      </c>
      <c r="D62" s="9">
        <v>7</v>
      </c>
      <c r="E62" s="9">
        <v>10</v>
      </c>
      <c r="F62" s="9">
        <v>24</v>
      </c>
      <c r="G62" s="9">
        <v>41</v>
      </c>
      <c r="H62" s="9">
        <v>65</v>
      </c>
      <c r="I62" s="9">
        <v>49</v>
      </c>
      <c r="J62" s="9">
        <v>70</v>
      </c>
      <c r="K62" s="9">
        <v>112</v>
      </c>
      <c r="L62" s="9">
        <v>59</v>
      </c>
      <c r="M62" s="9">
        <v>96</v>
      </c>
      <c r="N62" s="9">
        <v>64</v>
      </c>
      <c r="O62" s="9">
        <v>964</v>
      </c>
      <c r="P62" s="9">
        <v>39</v>
      </c>
      <c r="Q62" s="9">
        <v>56</v>
      </c>
      <c r="R62" s="9">
        <v>72</v>
      </c>
      <c r="S62" s="9">
        <v>7</v>
      </c>
      <c r="T62" s="9">
        <v>127</v>
      </c>
      <c r="U62" s="9">
        <v>6</v>
      </c>
      <c r="V62" s="9">
        <v>2</v>
      </c>
      <c r="W62" s="9">
        <v>0</v>
      </c>
      <c r="X62" s="9">
        <v>0</v>
      </c>
      <c r="Y62" s="9">
        <v>0</v>
      </c>
      <c r="Z62" s="9">
        <v>0</v>
      </c>
      <c r="AA62" s="9">
        <v>33</v>
      </c>
      <c r="AC62" s="9">
        <f t="shared" si="0"/>
        <v>1926</v>
      </c>
      <c r="AD62" s="9">
        <f t="shared" si="1"/>
        <v>21611</v>
      </c>
      <c r="AE62" s="10">
        <f t="shared" si="2"/>
        <v>11.220664589823468</v>
      </c>
    </row>
    <row r="63" spans="1:31" x14ac:dyDescent="0.3">
      <c r="A63" s="55"/>
      <c r="B63" s="30" t="s">
        <v>65</v>
      </c>
      <c r="C63" s="9">
        <v>9</v>
      </c>
      <c r="D63" s="9">
        <v>4</v>
      </c>
      <c r="E63" s="9">
        <v>6</v>
      </c>
      <c r="F63" s="9">
        <v>14</v>
      </c>
      <c r="G63" s="9">
        <v>19</v>
      </c>
      <c r="H63" s="9">
        <v>29</v>
      </c>
      <c r="I63" s="9">
        <v>30</v>
      </c>
      <c r="J63" s="9">
        <v>51</v>
      </c>
      <c r="K63" s="9">
        <v>53</v>
      </c>
      <c r="L63" s="9">
        <v>29</v>
      </c>
      <c r="M63" s="9">
        <v>33</v>
      </c>
      <c r="N63" s="9">
        <v>32</v>
      </c>
      <c r="O63" s="9">
        <v>353</v>
      </c>
      <c r="P63" s="9">
        <v>20</v>
      </c>
      <c r="Q63" s="9">
        <v>17</v>
      </c>
      <c r="R63" s="9">
        <v>17</v>
      </c>
      <c r="S63" s="9">
        <v>4</v>
      </c>
      <c r="T63" s="9">
        <v>30</v>
      </c>
      <c r="U63" s="9">
        <v>4</v>
      </c>
      <c r="V63" s="9">
        <v>4</v>
      </c>
      <c r="W63" s="9">
        <v>0</v>
      </c>
      <c r="X63" s="9">
        <v>0</v>
      </c>
      <c r="Y63" s="9">
        <v>0</v>
      </c>
      <c r="Z63" s="9">
        <v>0</v>
      </c>
      <c r="AA63" s="9">
        <v>18</v>
      </c>
      <c r="AC63" s="9">
        <f t="shared" si="0"/>
        <v>776</v>
      </c>
      <c r="AD63" s="9">
        <f t="shared" si="1"/>
        <v>8326</v>
      </c>
      <c r="AE63" s="10">
        <f t="shared" si="2"/>
        <v>10.729381443298969</v>
      </c>
    </row>
    <row r="64" spans="1:31" x14ac:dyDescent="0.3">
      <c r="A64" s="55"/>
      <c r="B64" s="30" t="s">
        <v>66</v>
      </c>
      <c r="C64" s="9">
        <v>10</v>
      </c>
      <c r="D64" s="9">
        <v>2</v>
      </c>
      <c r="E64" s="9">
        <v>3</v>
      </c>
      <c r="F64" s="9">
        <v>5</v>
      </c>
      <c r="G64" s="9">
        <v>8</v>
      </c>
      <c r="H64" s="9">
        <v>13</v>
      </c>
      <c r="I64" s="9">
        <v>12</v>
      </c>
      <c r="J64" s="9">
        <v>11</v>
      </c>
      <c r="K64" s="9">
        <v>21</v>
      </c>
      <c r="L64" s="9">
        <v>12</v>
      </c>
      <c r="M64" s="9">
        <v>14</v>
      </c>
      <c r="N64" s="9">
        <v>12</v>
      </c>
      <c r="O64" s="9">
        <v>297</v>
      </c>
      <c r="P64" s="9">
        <v>12</v>
      </c>
      <c r="Q64" s="9">
        <v>19</v>
      </c>
      <c r="R64" s="9">
        <v>25</v>
      </c>
      <c r="S64" s="9">
        <v>6</v>
      </c>
      <c r="T64" s="9">
        <v>31</v>
      </c>
      <c r="U64" s="9">
        <v>0</v>
      </c>
      <c r="V64" s="9">
        <v>4</v>
      </c>
      <c r="W64" s="9">
        <v>0</v>
      </c>
      <c r="X64" s="9">
        <v>0</v>
      </c>
      <c r="Y64" s="9">
        <v>0</v>
      </c>
      <c r="Z64" s="9">
        <v>2</v>
      </c>
      <c r="AA64" s="9">
        <v>22</v>
      </c>
      <c r="AC64" s="9">
        <f t="shared" si="0"/>
        <v>541</v>
      </c>
      <c r="AD64" s="9">
        <f t="shared" si="1"/>
        <v>6451</v>
      </c>
      <c r="AE64" s="10">
        <f t="shared" si="2"/>
        <v>11.924214417744917</v>
      </c>
    </row>
    <row r="65" spans="1:31" x14ac:dyDescent="0.3">
      <c r="A65" s="55"/>
      <c r="B65" s="30" t="s">
        <v>67</v>
      </c>
      <c r="C65" s="9">
        <v>17</v>
      </c>
      <c r="D65" s="9">
        <v>5</v>
      </c>
      <c r="E65" s="9">
        <v>4</v>
      </c>
      <c r="F65" s="9">
        <v>10</v>
      </c>
      <c r="G65" s="9">
        <v>10</v>
      </c>
      <c r="H65" s="9">
        <v>21</v>
      </c>
      <c r="I65" s="9">
        <v>24</v>
      </c>
      <c r="J65" s="9">
        <v>54</v>
      </c>
      <c r="K65" s="9">
        <v>72</v>
      </c>
      <c r="L65" s="9">
        <v>50</v>
      </c>
      <c r="M65" s="9">
        <v>70</v>
      </c>
      <c r="N65" s="9">
        <v>54</v>
      </c>
      <c r="O65" s="9">
        <v>648</v>
      </c>
      <c r="P65" s="9">
        <v>38</v>
      </c>
      <c r="Q65" s="9">
        <v>82</v>
      </c>
      <c r="R65" s="9">
        <v>105</v>
      </c>
      <c r="S65" s="9">
        <v>11</v>
      </c>
      <c r="T65" s="9">
        <v>121</v>
      </c>
      <c r="U65" s="9">
        <v>3</v>
      </c>
      <c r="V65" s="9">
        <v>4</v>
      </c>
      <c r="W65" s="9">
        <v>0</v>
      </c>
      <c r="X65" s="9">
        <v>0</v>
      </c>
      <c r="Y65" s="9">
        <v>0</v>
      </c>
      <c r="Z65" s="9">
        <v>1</v>
      </c>
      <c r="AA65" s="9">
        <v>31</v>
      </c>
      <c r="AC65" s="9">
        <f t="shared" si="0"/>
        <v>1435</v>
      </c>
      <c r="AD65" s="9">
        <f t="shared" si="1"/>
        <v>17153</v>
      </c>
      <c r="AE65" s="10">
        <f t="shared" si="2"/>
        <v>11.953310104529617</v>
      </c>
    </row>
    <row r="66" spans="1:31" x14ac:dyDescent="0.3">
      <c r="A66" s="55"/>
      <c r="B66" s="30" t="s">
        <v>68</v>
      </c>
      <c r="C66" s="9">
        <v>41</v>
      </c>
      <c r="D66" s="9">
        <v>24</v>
      </c>
      <c r="E66" s="9">
        <v>28</v>
      </c>
      <c r="F66" s="9">
        <v>33</v>
      </c>
      <c r="G66" s="9">
        <v>51</v>
      </c>
      <c r="H66" s="9">
        <v>100</v>
      </c>
      <c r="I66" s="9">
        <v>121</v>
      </c>
      <c r="J66" s="9">
        <v>202</v>
      </c>
      <c r="K66" s="9">
        <v>282</v>
      </c>
      <c r="L66" s="9">
        <v>229</v>
      </c>
      <c r="M66" s="9">
        <v>264</v>
      </c>
      <c r="N66" s="9">
        <v>282</v>
      </c>
      <c r="O66" s="9">
        <v>2118</v>
      </c>
      <c r="P66" s="9">
        <v>163</v>
      </c>
      <c r="Q66" s="9">
        <v>212</v>
      </c>
      <c r="R66" s="9">
        <v>208</v>
      </c>
      <c r="S66" s="9">
        <v>38</v>
      </c>
      <c r="T66" s="9">
        <v>275</v>
      </c>
      <c r="U66" s="9">
        <v>2</v>
      </c>
      <c r="V66" s="9">
        <v>14</v>
      </c>
      <c r="W66" s="9">
        <v>2</v>
      </c>
      <c r="X66" s="9">
        <v>0</v>
      </c>
      <c r="Y66" s="9">
        <v>0</v>
      </c>
      <c r="Z66" s="9">
        <v>0</v>
      </c>
      <c r="AA66" s="9">
        <v>79</v>
      </c>
      <c r="AC66" s="9">
        <f t="shared" si="0"/>
        <v>4768</v>
      </c>
      <c r="AD66" s="9">
        <f t="shared" si="1"/>
        <v>54226</v>
      </c>
      <c r="AE66" s="10">
        <f t="shared" si="2"/>
        <v>11.372902684563758</v>
      </c>
    </row>
    <row r="67" spans="1:31" x14ac:dyDescent="0.3">
      <c r="A67" s="55"/>
      <c r="B67" s="30" t="s">
        <v>69</v>
      </c>
      <c r="C67" s="9">
        <v>45</v>
      </c>
      <c r="D67" s="9">
        <v>31</v>
      </c>
      <c r="E67" s="9">
        <v>21</v>
      </c>
      <c r="F67" s="9">
        <v>29</v>
      </c>
      <c r="G67" s="9">
        <v>51</v>
      </c>
      <c r="H67" s="9">
        <v>77</v>
      </c>
      <c r="I67" s="9">
        <v>83</v>
      </c>
      <c r="J67" s="9">
        <v>122</v>
      </c>
      <c r="K67" s="9">
        <v>163</v>
      </c>
      <c r="L67" s="9">
        <v>112</v>
      </c>
      <c r="M67" s="9">
        <v>124</v>
      </c>
      <c r="N67" s="9">
        <v>122</v>
      </c>
      <c r="O67" s="9">
        <v>1183</v>
      </c>
      <c r="P67" s="9">
        <v>82</v>
      </c>
      <c r="Q67" s="9">
        <v>95</v>
      </c>
      <c r="R67" s="9">
        <v>128</v>
      </c>
      <c r="S67" s="9">
        <v>21</v>
      </c>
      <c r="T67" s="9">
        <v>152</v>
      </c>
      <c r="U67" s="9">
        <v>5</v>
      </c>
      <c r="V67" s="9">
        <v>8</v>
      </c>
      <c r="W67" s="9">
        <v>2</v>
      </c>
      <c r="X67" s="9">
        <v>0</v>
      </c>
      <c r="Y67" s="9">
        <v>0</v>
      </c>
      <c r="Z67" s="9">
        <v>2</v>
      </c>
      <c r="AA67" s="9">
        <v>54</v>
      </c>
      <c r="AC67" s="9">
        <f t="shared" si="0"/>
        <v>2712</v>
      </c>
      <c r="AD67" s="9">
        <f t="shared" si="1"/>
        <v>30051</v>
      </c>
      <c r="AE67" s="10">
        <f t="shared" si="2"/>
        <v>11.080752212389381</v>
      </c>
    </row>
    <row r="68" spans="1:31" x14ac:dyDescent="0.3">
      <c r="A68" s="55"/>
      <c r="B68" s="30" t="s">
        <v>70</v>
      </c>
      <c r="C68" s="9">
        <v>42</v>
      </c>
      <c r="D68" s="9">
        <v>18</v>
      </c>
      <c r="E68" s="9">
        <v>26</v>
      </c>
      <c r="F68" s="9">
        <v>44</v>
      </c>
      <c r="G68" s="9">
        <v>37</v>
      </c>
      <c r="H68" s="9">
        <v>93</v>
      </c>
      <c r="I68" s="9">
        <v>100</v>
      </c>
      <c r="J68" s="9">
        <v>143</v>
      </c>
      <c r="K68" s="9">
        <v>264</v>
      </c>
      <c r="L68" s="9">
        <v>160</v>
      </c>
      <c r="M68" s="9">
        <v>153</v>
      </c>
      <c r="N68" s="9">
        <v>158</v>
      </c>
      <c r="O68" s="9">
        <v>940</v>
      </c>
      <c r="P68" s="9">
        <v>64</v>
      </c>
      <c r="Q68" s="9">
        <v>84</v>
      </c>
      <c r="R68" s="9">
        <v>175</v>
      </c>
      <c r="S68" s="9">
        <v>15</v>
      </c>
      <c r="T68" s="9">
        <v>206</v>
      </c>
      <c r="U68" s="9">
        <v>4</v>
      </c>
      <c r="V68" s="9">
        <v>9</v>
      </c>
      <c r="W68" s="9">
        <v>1</v>
      </c>
      <c r="X68" s="9">
        <v>0</v>
      </c>
      <c r="Y68" s="9">
        <v>0</v>
      </c>
      <c r="Z68" s="9">
        <v>0</v>
      </c>
      <c r="AA68" s="9">
        <v>89</v>
      </c>
      <c r="AC68" s="9">
        <f t="shared" si="0"/>
        <v>2825</v>
      </c>
      <c r="AD68" s="9">
        <f t="shared" si="1"/>
        <v>31290</v>
      </c>
      <c r="AE68" s="10">
        <f t="shared" si="2"/>
        <v>11.076106194690265</v>
      </c>
    </row>
    <row r="69" spans="1:31" x14ac:dyDescent="0.3">
      <c r="A69" s="55"/>
      <c r="B69" s="30" t="s">
        <v>71</v>
      </c>
      <c r="C69" s="9">
        <v>48</v>
      </c>
      <c r="D69" s="9">
        <v>11</v>
      </c>
      <c r="E69" s="9">
        <v>11</v>
      </c>
      <c r="F69" s="9">
        <v>39</v>
      </c>
      <c r="G69" s="9">
        <v>38</v>
      </c>
      <c r="H69" s="9">
        <v>99</v>
      </c>
      <c r="I69" s="9">
        <v>90</v>
      </c>
      <c r="J69" s="9">
        <v>77</v>
      </c>
      <c r="K69" s="9">
        <v>137</v>
      </c>
      <c r="L69" s="9">
        <v>60</v>
      </c>
      <c r="M69" s="9">
        <v>103</v>
      </c>
      <c r="N69" s="9">
        <v>82</v>
      </c>
      <c r="O69" s="9">
        <v>842</v>
      </c>
      <c r="P69" s="9">
        <v>42</v>
      </c>
      <c r="Q69" s="9">
        <v>60</v>
      </c>
      <c r="R69" s="9">
        <v>71</v>
      </c>
      <c r="S69" s="9">
        <v>16</v>
      </c>
      <c r="T69" s="9">
        <v>89</v>
      </c>
      <c r="U69" s="9">
        <v>2</v>
      </c>
      <c r="V69" s="9">
        <v>6</v>
      </c>
      <c r="W69" s="9">
        <v>0</v>
      </c>
      <c r="X69" s="9">
        <v>0</v>
      </c>
      <c r="Y69" s="9">
        <v>1</v>
      </c>
      <c r="Z69" s="9">
        <v>0</v>
      </c>
      <c r="AA69" s="9">
        <v>54</v>
      </c>
      <c r="AC69" s="9">
        <f t="shared" ref="AC69:AC132" si="4">SUM(C69:AA69)</f>
        <v>1978</v>
      </c>
      <c r="AD69" s="9">
        <f t="shared" ref="AD69:AD132" si="5">C$2*C69+D$2*D69+E$2*E69+F$2*F69+G$2*G69+H$2*H69+I$2*I69+J$2*J69+K$2*K69+L$2*L69+M$2*M69+N$2*N69+O$2*O69+P$2*P69+Q$2*Q69+R$2*R69+S$2*S69+T$2*T69+U$2*U69+V$2*V69+W$2*W69+X$2*X69+Y$2*Y69+Z$2*Z69+AA$2*AA69</f>
        <v>21236</v>
      </c>
      <c r="AE69" s="10">
        <f t="shared" ref="AE69:AE132" si="6">AD69/AC69</f>
        <v>10.736097067745197</v>
      </c>
    </row>
    <row r="70" spans="1:31" x14ac:dyDescent="0.3">
      <c r="A70" s="55"/>
      <c r="B70" s="30" t="s">
        <v>72</v>
      </c>
      <c r="C70" s="9">
        <v>115</v>
      </c>
      <c r="D70" s="9">
        <v>73</v>
      </c>
      <c r="E70" s="9">
        <v>70</v>
      </c>
      <c r="F70" s="9">
        <v>124</v>
      </c>
      <c r="G70" s="9">
        <v>114</v>
      </c>
      <c r="H70" s="9">
        <v>291</v>
      </c>
      <c r="I70" s="9">
        <v>385</v>
      </c>
      <c r="J70" s="9">
        <v>443</v>
      </c>
      <c r="K70" s="9">
        <v>721</v>
      </c>
      <c r="L70" s="9">
        <v>396</v>
      </c>
      <c r="M70" s="9">
        <v>619</v>
      </c>
      <c r="N70" s="9">
        <v>530</v>
      </c>
      <c r="O70" s="9">
        <v>8669</v>
      </c>
      <c r="P70" s="9">
        <v>645</v>
      </c>
      <c r="Q70" s="9">
        <v>1460</v>
      </c>
      <c r="R70" s="9">
        <v>1918</v>
      </c>
      <c r="S70" s="9">
        <v>454</v>
      </c>
      <c r="T70" s="9">
        <v>3021</v>
      </c>
      <c r="U70" s="9">
        <v>58</v>
      </c>
      <c r="V70" s="9">
        <v>123</v>
      </c>
      <c r="W70" s="9">
        <v>4</v>
      </c>
      <c r="X70" s="9">
        <v>3</v>
      </c>
      <c r="Y70" s="9">
        <v>4</v>
      </c>
      <c r="Z70" s="9">
        <v>7</v>
      </c>
      <c r="AA70" s="9">
        <v>239</v>
      </c>
      <c r="AC70" s="9">
        <f t="shared" si="4"/>
        <v>20486</v>
      </c>
      <c r="AD70" s="9">
        <f t="shared" si="5"/>
        <v>259012</v>
      </c>
      <c r="AE70" s="10">
        <f t="shared" si="6"/>
        <v>12.643366201308211</v>
      </c>
    </row>
    <row r="71" spans="1:31" x14ac:dyDescent="0.3">
      <c r="A71" s="55"/>
      <c r="B71" s="30" t="s">
        <v>73</v>
      </c>
      <c r="C71" s="9">
        <v>7</v>
      </c>
      <c r="D71" s="9">
        <v>0</v>
      </c>
      <c r="E71" s="9">
        <v>5</v>
      </c>
      <c r="F71" s="9">
        <v>10</v>
      </c>
      <c r="G71" s="9">
        <v>10</v>
      </c>
      <c r="H71" s="9">
        <v>15</v>
      </c>
      <c r="I71" s="9">
        <v>19</v>
      </c>
      <c r="J71" s="9">
        <v>16</v>
      </c>
      <c r="K71" s="9">
        <v>41</v>
      </c>
      <c r="L71" s="9">
        <v>22</v>
      </c>
      <c r="M71" s="9">
        <v>35</v>
      </c>
      <c r="N71" s="9">
        <v>32</v>
      </c>
      <c r="O71" s="9">
        <v>495</v>
      </c>
      <c r="P71" s="9">
        <v>41</v>
      </c>
      <c r="Q71" s="9">
        <v>43</v>
      </c>
      <c r="R71" s="9">
        <v>101</v>
      </c>
      <c r="S71" s="9">
        <v>13</v>
      </c>
      <c r="T71" s="9">
        <v>131</v>
      </c>
      <c r="U71" s="9">
        <v>3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A71" s="9">
        <v>16</v>
      </c>
      <c r="AC71" s="9">
        <f t="shared" si="4"/>
        <v>1056</v>
      </c>
      <c r="AD71" s="9">
        <f t="shared" si="5"/>
        <v>13091</v>
      </c>
      <c r="AE71" s="10">
        <f t="shared" si="6"/>
        <v>12.396780303030303</v>
      </c>
    </row>
    <row r="72" spans="1:31" x14ac:dyDescent="0.3">
      <c r="A72" s="55"/>
      <c r="B72" s="30" t="s">
        <v>74</v>
      </c>
      <c r="C72" s="9">
        <v>21</v>
      </c>
      <c r="D72" s="9">
        <v>8</v>
      </c>
      <c r="E72" s="9">
        <v>7</v>
      </c>
      <c r="F72" s="9">
        <v>12</v>
      </c>
      <c r="G72" s="9">
        <v>10</v>
      </c>
      <c r="H72" s="9">
        <v>39</v>
      </c>
      <c r="I72" s="9">
        <v>40</v>
      </c>
      <c r="J72" s="9">
        <v>48</v>
      </c>
      <c r="K72" s="9">
        <v>95</v>
      </c>
      <c r="L72" s="9">
        <v>44</v>
      </c>
      <c r="M72" s="9">
        <v>73</v>
      </c>
      <c r="N72" s="9">
        <v>62</v>
      </c>
      <c r="O72" s="9">
        <v>1101</v>
      </c>
      <c r="P72" s="9">
        <v>46</v>
      </c>
      <c r="Q72" s="9">
        <v>56</v>
      </c>
      <c r="R72" s="9">
        <v>95</v>
      </c>
      <c r="S72" s="9">
        <v>12</v>
      </c>
      <c r="T72" s="9">
        <v>189</v>
      </c>
      <c r="U72" s="9">
        <v>8</v>
      </c>
      <c r="V72" s="9">
        <v>6</v>
      </c>
      <c r="W72" s="9">
        <v>1</v>
      </c>
      <c r="X72" s="9">
        <v>0</v>
      </c>
      <c r="Y72" s="9">
        <v>0</v>
      </c>
      <c r="Z72" s="9">
        <v>1</v>
      </c>
      <c r="AA72" s="9">
        <v>56</v>
      </c>
      <c r="AC72" s="9">
        <f t="shared" si="4"/>
        <v>2030</v>
      </c>
      <c r="AD72" s="9">
        <f t="shared" si="5"/>
        <v>24506</v>
      </c>
      <c r="AE72" s="10">
        <f t="shared" si="6"/>
        <v>12.07192118226601</v>
      </c>
    </row>
    <row r="73" spans="1:31" x14ac:dyDescent="0.3">
      <c r="A73" s="55"/>
      <c r="B73" s="30" t="s">
        <v>75</v>
      </c>
      <c r="C73" s="9">
        <v>4</v>
      </c>
      <c r="D73" s="9">
        <v>3</v>
      </c>
      <c r="E73" s="9">
        <v>7</v>
      </c>
      <c r="F73" s="9">
        <v>3</v>
      </c>
      <c r="G73" s="9">
        <v>13</v>
      </c>
      <c r="H73" s="9">
        <v>33</v>
      </c>
      <c r="I73" s="9">
        <v>22</v>
      </c>
      <c r="J73" s="9">
        <v>39</v>
      </c>
      <c r="K73" s="9">
        <v>30</v>
      </c>
      <c r="L73" s="9">
        <v>31</v>
      </c>
      <c r="M73" s="9">
        <v>51</v>
      </c>
      <c r="N73" s="9">
        <v>56</v>
      </c>
      <c r="O73" s="9">
        <v>596</v>
      </c>
      <c r="P73" s="9">
        <v>26</v>
      </c>
      <c r="Q73" s="9">
        <v>42</v>
      </c>
      <c r="R73" s="9">
        <v>109</v>
      </c>
      <c r="S73" s="9">
        <v>19</v>
      </c>
      <c r="T73" s="9">
        <v>163</v>
      </c>
      <c r="U73" s="9">
        <v>2</v>
      </c>
      <c r="V73" s="9">
        <v>5</v>
      </c>
      <c r="W73" s="9">
        <v>0</v>
      </c>
      <c r="X73" s="9">
        <v>0</v>
      </c>
      <c r="Y73" s="9">
        <v>0</v>
      </c>
      <c r="Z73" s="9">
        <v>1</v>
      </c>
      <c r="AA73" s="9">
        <v>17</v>
      </c>
      <c r="AC73" s="9">
        <f t="shared" si="4"/>
        <v>1272</v>
      </c>
      <c r="AD73" s="9">
        <f t="shared" si="5"/>
        <v>15643</v>
      </c>
      <c r="AE73" s="10">
        <f t="shared" si="6"/>
        <v>12.297955974842766</v>
      </c>
    </row>
    <row r="74" spans="1:31" x14ac:dyDescent="0.3">
      <c r="A74" s="55"/>
      <c r="B74" s="30" t="s">
        <v>76</v>
      </c>
      <c r="C74" s="9">
        <v>8</v>
      </c>
      <c r="D74" s="9">
        <v>3</v>
      </c>
      <c r="E74" s="9">
        <v>4</v>
      </c>
      <c r="F74" s="9">
        <v>4</v>
      </c>
      <c r="G74" s="9">
        <v>9</v>
      </c>
      <c r="H74" s="9">
        <v>23</v>
      </c>
      <c r="I74" s="9">
        <v>12</v>
      </c>
      <c r="J74" s="9">
        <v>15</v>
      </c>
      <c r="K74" s="9">
        <v>35</v>
      </c>
      <c r="L74" s="9">
        <v>16</v>
      </c>
      <c r="M74" s="9">
        <v>33</v>
      </c>
      <c r="N74" s="9">
        <v>30</v>
      </c>
      <c r="O74" s="9">
        <v>561</v>
      </c>
      <c r="P74" s="9">
        <v>29</v>
      </c>
      <c r="Q74" s="9">
        <v>46</v>
      </c>
      <c r="R74" s="9">
        <v>50</v>
      </c>
      <c r="S74" s="9">
        <v>19</v>
      </c>
      <c r="T74" s="9">
        <v>98</v>
      </c>
      <c r="U74" s="9">
        <v>5</v>
      </c>
      <c r="V74" s="9">
        <v>3</v>
      </c>
      <c r="W74" s="9">
        <v>1</v>
      </c>
      <c r="X74" s="9">
        <v>0</v>
      </c>
      <c r="Y74" s="9">
        <v>0</v>
      </c>
      <c r="Z74" s="9">
        <v>0</v>
      </c>
      <c r="AA74" s="9">
        <v>30</v>
      </c>
      <c r="AC74" s="9">
        <f t="shared" si="4"/>
        <v>1034</v>
      </c>
      <c r="AD74" s="9">
        <f t="shared" si="5"/>
        <v>12795</v>
      </c>
      <c r="AE74" s="10">
        <f t="shared" si="6"/>
        <v>12.374274661508704</v>
      </c>
    </row>
    <row r="75" spans="1:31" x14ac:dyDescent="0.3">
      <c r="A75" s="55"/>
      <c r="B75" s="30" t="s">
        <v>77</v>
      </c>
      <c r="C75" s="9">
        <v>18</v>
      </c>
      <c r="D75" s="9">
        <v>4</v>
      </c>
      <c r="E75" s="9">
        <v>2</v>
      </c>
      <c r="F75" s="9">
        <v>12</v>
      </c>
      <c r="G75" s="9">
        <v>18</v>
      </c>
      <c r="H75" s="9">
        <v>36</v>
      </c>
      <c r="I75" s="9">
        <v>40</v>
      </c>
      <c r="J75" s="9">
        <v>46</v>
      </c>
      <c r="K75" s="9">
        <v>102</v>
      </c>
      <c r="L75" s="9">
        <v>35</v>
      </c>
      <c r="M75" s="9">
        <v>64</v>
      </c>
      <c r="N75" s="9">
        <v>62</v>
      </c>
      <c r="O75" s="9">
        <v>1361</v>
      </c>
      <c r="P75" s="9">
        <v>55</v>
      </c>
      <c r="Q75" s="9">
        <v>101</v>
      </c>
      <c r="R75" s="9">
        <v>134</v>
      </c>
      <c r="S75" s="9">
        <v>26</v>
      </c>
      <c r="T75" s="9">
        <v>224</v>
      </c>
      <c r="U75" s="9">
        <v>5</v>
      </c>
      <c r="V75" s="9">
        <v>5</v>
      </c>
      <c r="W75" s="9">
        <v>1</v>
      </c>
      <c r="X75" s="9">
        <v>0</v>
      </c>
      <c r="Y75" s="9">
        <v>0</v>
      </c>
      <c r="Z75" s="9">
        <v>0</v>
      </c>
      <c r="AA75" s="9">
        <v>50</v>
      </c>
      <c r="AC75" s="9">
        <f t="shared" si="4"/>
        <v>2401</v>
      </c>
      <c r="AD75" s="9">
        <f t="shared" si="5"/>
        <v>29411</v>
      </c>
      <c r="AE75" s="10">
        <f t="shared" si="6"/>
        <v>12.24947938359017</v>
      </c>
    </row>
    <row r="76" spans="1:31" x14ac:dyDescent="0.3">
      <c r="A76" s="55"/>
      <c r="B76" s="30" t="s">
        <v>78</v>
      </c>
      <c r="C76" s="9">
        <v>5</v>
      </c>
      <c r="D76" s="9">
        <v>4</v>
      </c>
      <c r="E76" s="9">
        <v>2</v>
      </c>
      <c r="F76" s="9">
        <v>7</v>
      </c>
      <c r="G76" s="9">
        <v>9</v>
      </c>
      <c r="H76" s="9">
        <v>22</v>
      </c>
      <c r="I76" s="9">
        <v>16</v>
      </c>
      <c r="J76" s="9">
        <v>27</v>
      </c>
      <c r="K76" s="9">
        <v>40</v>
      </c>
      <c r="L76" s="9">
        <v>20</v>
      </c>
      <c r="M76" s="9">
        <v>38</v>
      </c>
      <c r="N76" s="9">
        <v>18</v>
      </c>
      <c r="O76" s="9">
        <v>494</v>
      </c>
      <c r="P76" s="9">
        <v>16</v>
      </c>
      <c r="Q76" s="9">
        <v>41</v>
      </c>
      <c r="R76" s="9">
        <v>31</v>
      </c>
      <c r="S76" s="9">
        <v>9</v>
      </c>
      <c r="T76" s="9">
        <v>83</v>
      </c>
      <c r="U76" s="9">
        <v>1</v>
      </c>
      <c r="V76" s="9">
        <v>5</v>
      </c>
      <c r="W76" s="9">
        <v>0</v>
      </c>
      <c r="X76" s="9">
        <v>0</v>
      </c>
      <c r="Y76" s="9">
        <v>0</v>
      </c>
      <c r="Z76" s="9">
        <v>0</v>
      </c>
      <c r="AA76" s="9">
        <v>22</v>
      </c>
      <c r="AC76" s="9">
        <f t="shared" si="4"/>
        <v>910</v>
      </c>
      <c r="AD76" s="9">
        <f t="shared" si="5"/>
        <v>10909</v>
      </c>
      <c r="AE76" s="10">
        <f t="shared" si="6"/>
        <v>11.987912087912088</v>
      </c>
    </row>
    <row r="77" spans="1:31" x14ac:dyDescent="0.3">
      <c r="A77" s="55"/>
      <c r="B77" s="30" t="s">
        <v>79</v>
      </c>
      <c r="C77" s="9">
        <v>23</v>
      </c>
      <c r="D77" s="9">
        <v>8</v>
      </c>
      <c r="E77" s="9">
        <v>8</v>
      </c>
      <c r="F77" s="9">
        <v>16</v>
      </c>
      <c r="G77" s="9">
        <v>15</v>
      </c>
      <c r="H77" s="9">
        <v>36</v>
      </c>
      <c r="I77" s="9">
        <v>39</v>
      </c>
      <c r="J77" s="9">
        <v>48</v>
      </c>
      <c r="K77" s="9">
        <v>74</v>
      </c>
      <c r="L77" s="9">
        <v>51</v>
      </c>
      <c r="M77" s="9">
        <v>84</v>
      </c>
      <c r="N77" s="9">
        <v>70</v>
      </c>
      <c r="O77" s="9">
        <v>913</v>
      </c>
      <c r="P77" s="9">
        <v>36</v>
      </c>
      <c r="Q77" s="9">
        <v>50</v>
      </c>
      <c r="R77" s="9">
        <v>62</v>
      </c>
      <c r="S77" s="9">
        <v>10</v>
      </c>
      <c r="T77" s="9">
        <v>111</v>
      </c>
      <c r="U77" s="9">
        <v>1</v>
      </c>
      <c r="V77" s="9">
        <v>2</v>
      </c>
      <c r="W77" s="9">
        <v>0</v>
      </c>
      <c r="X77" s="9">
        <v>0</v>
      </c>
      <c r="Y77" s="9">
        <v>0</v>
      </c>
      <c r="Z77" s="9">
        <v>0</v>
      </c>
      <c r="AA77" s="9">
        <v>32</v>
      </c>
      <c r="AC77" s="9">
        <f t="shared" si="4"/>
        <v>1689</v>
      </c>
      <c r="AD77" s="9">
        <f t="shared" si="5"/>
        <v>19468</v>
      </c>
      <c r="AE77" s="10">
        <f t="shared" si="6"/>
        <v>11.526346950858496</v>
      </c>
    </row>
    <row r="78" spans="1:31" x14ac:dyDescent="0.3">
      <c r="A78" s="55"/>
      <c r="B78" s="30" t="s">
        <v>80</v>
      </c>
      <c r="C78" s="9">
        <v>15</v>
      </c>
      <c r="D78" s="9">
        <v>7</v>
      </c>
      <c r="E78" s="9">
        <v>18</v>
      </c>
      <c r="F78" s="9">
        <v>40</v>
      </c>
      <c r="G78" s="9">
        <v>39</v>
      </c>
      <c r="H78" s="9">
        <v>80</v>
      </c>
      <c r="I78" s="9">
        <v>67</v>
      </c>
      <c r="J78" s="9">
        <v>86</v>
      </c>
      <c r="K78" s="9">
        <v>118</v>
      </c>
      <c r="L78" s="9">
        <v>80</v>
      </c>
      <c r="M78" s="9">
        <v>122</v>
      </c>
      <c r="N78" s="9">
        <v>114</v>
      </c>
      <c r="O78" s="9">
        <v>1420</v>
      </c>
      <c r="P78" s="9">
        <v>33</v>
      </c>
      <c r="Q78" s="9">
        <v>76</v>
      </c>
      <c r="R78" s="9">
        <v>95</v>
      </c>
      <c r="S78" s="9">
        <v>17</v>
      </c>
      <c r="T78" s="9">
        <v>155</v>
      </c>
      <c r="U78" s="9">
        <v>2</v>
      </c>
      <c r="V78" s="9">
        <v>11</v>
      </c>
      <c r="W78" s="9">
        <v>1</v>
      </c>
      <c r="X78" s="9">
        <v>0</v>
      </c>
      <c r="Y78" s="9">
        <v>0</v>
      </c>
      <c r="Z78" s="9">
        <v>0</v>
      </c>
      <c r="AA78" s="9">
        <v>52</v>
      </c>
      <c r="AC78" s="9">
        <f t="shared" si="4"/>
        <v>2648</v>
      </c>
      <c r="AD78" s="9">
        <f t="shared" si="5"/>
        <v>30239</v>
      </c>
      <c r="AE78" s="10">
        <f t="shared" si="6"/>
        <v>11.419561933534743</v>
      </c>
    </row>
    <row r="79" spans="1:31" x14ac:dyDescent="0.3">
      <c r="A79" s="55"/>
      <c r="B79" s="30" t="s">
        <v>81</v>
      </c>
      <c r="C79" s="9">
        <v>44</v>
      </c>
      <c r="D79" s="9">
        <v>20</v>
      </c>
      <c r="E79" s="9">
        <v>20</v>
      </c>
      <c r="F79" s="9">
        <v>39</v>
      </c>
      <c r="G79" s="9">
        <v>34</v>
      </c>
      <c r="H79" s="9">
        <v>57</v>
      </c>
      <c r="I79" s="9">
        <v>57</v>
      </c>
      <c r="J79" s="9">
        <v>70</v>
      </c>
      <c r="K79" s="9">
        <v>131</v>
      </c>
      <c r="L79" s="9">
        <v>62</v>
      </c>
      <c r="M79" s="9">
        <v>79</v>
      </c>
      <c r="N79" s="9">
        <v>72</v>
      </c>
      <c r="O79" s="9">
        <v>1012</v>
      </c>
      <c r="P79" s="9">
        <v>39</v>
      </c>
      <c r="Q79" s="9">
        <v>51</v>
      </c>
      <c r="R79" s="9">
        <v>56</v>
      </c>
      <c r="S79" s="9">
        <v>9</v>
      </c>
      <c r="T79" s="9">
        <v>103</v>
      </c>
      <c r="U79" s="9">
        <v>8</v>
      </c>
      <c r="V79" s="9">
        <v>6</v>
      </c>
      <c r="W79" s="9">
        <v>1</v>
      </c>
      <c r="X79" s="9">
        <v>0</v>
      </c>
      <c r="Y79" s="9">
        <v>0</v>
      </c>
      <c r="Z79" s="9">
        <v>0</v>
      </c>
      <c r="AA79" s="9">
        <v>38</v>
      </c>
      <c r="AC79" s="9">
        <f t="shared" si="4"/>
        <v>2008</v>
      </c>
      <c r="AD79" s="9">
        <f t="shared" si="5"/>
        <v>21908</v>
      </c>
      <c r="AE79" s="10">
        <f t="shared" si="6"/>
        <v>10.910358565737052</v>
      </c>
    </row>
    <row r="80" spans="1:31" x14ac:dyDescent="0.3">
      <c r="A80" s="55"/>
      <c r="B80" s="30" t="s">
        <v>82</v>
      </c>
      <c r="C80" s="9">
        <v>18</v>
      </c>
      <c r="D80" s="9">
        <v>0</v>
      </c>
      <c r="E80" s="9">
        <v>7</v>
      </c>
      <c r="F80" s="9">
        <v>14</v>
      </c>
      <c r="G80" s="9">
        <v>9</v>
      </c>
      <c r="H80" s="9">
        <v>32</v>
      </c>
      <c r="I80" s="9">
        <v>24</v>
      </c>
      <c r="J80" s="9">
        <v>32</v>
      </c>
      <c r="K80" s="9">
        <v>78</v>
      </c>
      <c r="L80" s="9">
        <v>34</v>
      </c>
      <c r="M80" s="9">
        <v>49</v>
      </c>
      <c r="N80" s="9">
        <v>41</v>
      </c>
      <c r="O80" s="9">
        <v>551</v>
      </c>
      <c r="P80" s="9">
        <v>12</v>
      </c>
      <c r="Q80" s="9">
        <v>24</v>
      </c>
      <c r="R80" s="9">
        <v>26</v>
      </c>
      <c r="S80" s="9">
        <v>11</v>
      </c>
      <c r="T80" s="9">
        <v>71</v>
      </c>
      <c r="U80" s="9">
        <v>0</v>
      </c>
      <c r="V80" s="9">
        <v>4</v>
      </c>
      <c r="W80" s="9">
        <v>0</v>
      </c>
      <c r="X80" s="9">
        <v>0</v>
      </c>
      <c r="Y80" s="9">
        <v>0</v>
      </c>
      <c r="Z80" s="9">
        <v>1</v>
      </c>
      <c r="AA80" s="9">
        <v>11</v>
      </c>
      <c r="AC80" s="9">
        <f t="shared" si="4"/>
        <v>1049</v>
      </c>
      <c r="AD80" s="9">
        <f t="shared" si="5"/>
        <v>11731</v>
      </c>
      <c r="AE80" s="10">
        <f t="shared" si="6"/>
        <v>11.183031458531936</v>
      </c>
    </row>
    <row r="81" spans="1:31" x14ac:dyDescent="0.3">
      <c r="A81" s="55"/>
      <c r="B81" s="30" t="s">
        <v>83</v>
      </c>
      <c r="C81" s="9">
        <v>28</v>
      </c>
      <c r="D81" s="9">
        <v>8</v>
      </c>
      <c r="E81" s="9">
        <v>15</v>
      </c>
      <c r="F81" s="9">
        <v>19</v>
      </c>
      <c r="G81" s="9">
        <v>34</v>
      </c>
      <c r="H81" s="9">
        <v>79</v>
      </c>
      <c r="I81" s="9">
        <v>69</v>
      </c>
      <c r="J81" s="9">
        <v>84</v>
      </c>
      <c r="K81" s="9">
        <v>142</v>
      </c>
      <c r="L81" s="9">
        <v>103</v>
      </c>
      <c r="M81" s="9">
        <v>120</v>
      </c>
      <c r="N81" s="9">
        <v>123</v>
      </c>
      <c r="O81" s="9">
        <v>1198</v>
      </c>
      <c r="P81" s="9">
        <v>44</v>
      </c>
      <c r="Q81" s="9">
        <v>52</v>
      </c>
      <c r="R81" s="9">
        <v>79</v>
      </c>
      <c r="S81" s="9">
        <v>14</v>
      </c>
      <c r="T81" s="9">
        <v>133</v>
      </c>
      <c r="U81" s="9">
        <v>5</v>
      </c>
      <c r="V81" s="9">
        <v>11</v>
      </c>
      <c r="W81" s="9">
        <v>0</v>
      </c>
      <c r="X81" s="9">
        <v>0</v>
      </c>
      <c r="Y81" s="9">
        <v>0</v>
      </c>
      <c r="Z81" s="9">
        <v>0</v>
      </c>
      <c r="AA81" s="9">
        <v>36</v>
      </c>
      <c r="AC81" s="9">
        <f t="shared" si="4"/>
        <v>2396</v>
      </c>
      <c r="AD81" s="9">
        <f t="shared" si="5"/>
        <v>26753</v>
      </c>
      <c r="AE81" s="10">
        <f t="shared" si="6"/>
        <v>11.165692821368948</v>
      </c>
    </row>
    <row r="82" spans="1:31" x14ac:dyDescent="0.3">
      <c r="A82" s="55"/>
      <c r="B82" s="30" t="s">
        <v>84</v>
      </c>
      <c r="C82" s="9">
        <v>26</v>
      </c>
      <c r="D82" s="9">
        <v>21</v>
      </c>
      <c r="E82" s="9">
        <v>20</v>
      </c>
      <c r="F82" s="9">
        <v>52</v>
      </c>
      <c r="G82" s="9">
        <v>69</v>
      </c>
      <c r="H82" s="9">
        <v>138</v>
      </c>
      <c r="I82" s="9">
        <v>154</v>
      </c>
      <c r="J82" s="9">
        <v>174</v>
      </c>
      <c r="K82" s="9">
        <v>281</v>
      </c>
      <c r="L82" s="9">
        <v>162</v>
      </c>
      <c r="M82" s="9">
        <v>172</v>
      </c>
      <c r="N82" s="9">
        <v>133</v>
      </c>
      <c r="O82" s="9">
        <v>1260</v>
      </c>
      <c r="P82" s="9">
        <v>47</v>
      </c>
      <c r="Q82" s="9">
        <v>60</v>
      </c>
      <c r="R82" s="9">
        <v>69</v>
      </c>
      <c r="S82" s="9">
        <v>20</v>
      </c>
      <c r="T82" s="9">
        <v>126</v>
      </c>
      <c r="U82" s="9">
        <v>2</v>
      </c>
      <c r="V82" s="9">
        <v>6</v>
      </c>
      <c r="W82" s="9">
        <v>0</v>
      </c>
      <c r="X82" s="9">
        <v>0</v>
      </c>
      <c r="Y82" s="9">
        <v>0</v>
      </c>
      <c r="Z82" s="9">
        <v>1</v>
      </c>
      <c r="AA82" s="9">
        <v>45</v>
      </c>
      <c r="AC82" s="9">
        <f t="shared" si="4"/>
        <v>3038</v>
      </c>
      <c r="AD82" s="9">
        <f t="shared" si="5"/>
        <v>31535</v>
      </c>
      <c r="AE82" s="10">
        <f t="shared" si="6"/>
        <v>10.380184331797235</v>
      </c>
    </row>
    <row r="83" spans="1:31" x14ac:dyDescent="0.3">
      <c r="A83" s="55"/>
      <c r="B83" s="30" t="s">
        <v>85</v>
      </c>
      <c r="C83" s="9">
        <v>27</v>
      </c>
      <c r="D83" s="9">
        <v>21</v>
      </c>
      <c r="E83" s="9">
        <v>21</v>
      </c>
      <c r="F83" s="9">
        <v>25</v>
      </c>
      <c r="G83" s="9">
        <v>28</v>
      </c>
      <c r="H83" s="9">
        <v>73</v>
      </c>
      <c r="I83" s="9">
        <v>61</v>
      </c>
      <c r="J83" s="9">
        <v>86</v>
      </c>
      <c r="K83" s="9">
        <v>160</v>
      </c>
      <c r="L83" s="9">
        <v>77</v>
      </c>
      <c r="M83" s="9">
        <v>92</v>
      </c>
      <c r="N83" s="9">
        <v>89</v>
      </c>
      <c r="O83" s="9">
        <v>882</v>
      </c>
      <c r="P83" s="9">
        <v>49</v>
      </c>
      <c r="Q83" s="9">
        <v>83</v>
      </c>
      <c r="R83" s="9">
        <v>106</v>
      </c>
      <c r="S83" s="9">
        <v>26</v>
      </c>
      <c r="T83" s="9">
        <v>139</v>
      </c>
      <c r="U83" s="9">
        <v>8</v>
      </c>
      <c r="V83" s="9">
        <v>10</v>
      </c>
      <c r="W83" s="9">
        <v>0</v>
      </c>
      <c r="X83" s="9">
        <v>1</v>
      </c>
      <c r="Y83" s="9">
        <v>0</v>
      </c>
      <c r="Z83" s="9">
        <v>2</v>
      </c>
      <c r="AA83" s="9">
        <v>50</v>
      </c>
      <c r="AC83" s="9">
        <f t="shared" si="4"/>
        <v>2116</v>
      </c>
      <c r="AD83" s="9">
        <f t="shared" si="5"/>
        <v>23808</v>
      </c>
      <c r="AE83" s="10">
        <f t="shared" si="6"/>
        <v>11.251417769376182</v>
      </c>
    </row>
    <row r="84" spans="1:31" x14ac:dyDescent="0.3">
      <c r="A84" s="55"/>
      <c r="B84" s="30" t="s">
        <v>86</v>
      </c>
      <c r="C84" s="9">
        <v>36</v>
      </c>
      <c r="D84" s="9">
        <v>17</v>
      </c>
      <c r="E84" s="9">
        <v>22</v>
      </c>
      <c r="F84" s="9">
        <v>49</v>
      </c>
      <c r="G84" s="9">
        <v>78</v>
      </c>
      <c r="H84" s="9">
        <v>140</v>
      </c>
      <c r="I84" s="9">
        <v>125</v>
      </c>
      <c r="J84" s="9">
        <v>178</v>
      </c>
      <c r="K84" s="9">
        <v>232</v>
      </c>
      <c r="L84" s="9">
        <v>144</v>
      </c>
      <c r="M84" s="9">
        <v>155</v>
      </c>
      <c r="N84" s="9">
        <v>137</v>
      </c>
      <c r="O84" s="9">
        <v>1148</v>
      </c>
      <c r="P84" s="9">
        <v>40</v>
      </c>
      <c r="Q84" s="9">
        <v>70</v>
      </c>
      <c r="R84" s="9">
        <v>102</v>
      </c>
      <c r="S84" s="9">
        <v>18</v>
      </c>
      <c r="T84" s="9">
        <v>147</v>
      </c>
      <c r="U84" s="9">
        <v>7</v>
      </c>
      <c r="V84" s="9">
        <v>13</v>
      </c>
      <c r="W84" s="9">
        <v>0</v>
      </c>
      <c r="X84" s="9">
        <v>0</v>
      </c>
      <c r="Y84" s="9">
        <v>0</v>
      </c>
      <c r="Z84" s="9">
        <v>2</v>
      </c>
      <c r="AA84" s="9">
        <v>38</v>
      </c>
      <c r="AC84" s="9">
        <f t="shared" si="4"/>
        <v>2898</v>
      </c>
      <c r="AD84" s="9">
        <f t="shared" si="5"/>
        <v>30349</v>
      </c>
      <c r="AE84" s="10">
        <f t="shared" si="6"/>
        <v>10.472394755003451</v>
      </c>
    </row>
    <row r="85" spans="1:31" x14ac:dyDescent="0.3">
      <c r="A85" s="55"/>
      <c r="B85" s="30" t="s">
        <v>87</v>
      </c>
      <c r="C85" s="9">
        <v>37</v>
      </c>
      <c r="D85" s="9">
        <v>24</v>
      </c>
      <c r="E85" s="9">
        <v>23</v>
      </c>
      <c r="F85" s="9">
        <v>60</v>
      </c>
      <c r="G85" s="9">
        <v>87</v>
      </c>
      <c r="H85" s="9">
        <v>158</v>
      </c>
      <c r="I85" s="9">
        <v>176</v>
      </c>
      <c r="J85" s="9">
        <v>125</v>
      </c>
      <c r="K85" s="9">
        <v>283</v>
      </c>
      <c r="L85" s="9">
        <v>143</v>
      </c>
      <c r="M85" s="9">
        <v>170</v>
      </c>
      <c r="N85" s="9">
        <v>131</v>
      </c>
      <c r="O85" s="9">
        <v>1516</v>
      </c>
      <c r="P85" s="9">
        <v>103</v>
      </c>
      <c r="Q85" s="9">
        <v>177</v>
      </c>
      <c r="R85" s="9">
        <v>239</v>
      </c>
      <c r="S85" s="9">
        <v>26</v>
      </c>
      <c r="T85" s="9">
        <v>254</v>
      </c>
      <c r="U85" s="9">
        <v>2</v>
      </c>
      <c r="V85" s="9">
        <v>10</v>
      </c>
      <c r="W85" s="9">
        <v>1</v>
      </c>
      <c r="X85" s="9">
        <v>0</v>
      </c>
      <c r="Y85" s="9">
        <v>0</v>
      </c>
      <c r="Z85" s="9">
        <v>2</v>
      </c>
      <c r="AA85" s="9">
        <v>85</v>
      </c>
      <c r="AC85" s="9">
        <f t="shared" si="4"/>
        <v>3832</v>
      </c>
      <c r="AD85" s="9">
        <f t="shared" si="5"/>
        <v>42671</v>
      </c>
      <c r="AE85" s="10">
        <f t="shared" si="6"/>
        <v>11.13543841336117</v>
      </c>
    </row>
    <row r="86" spans="1:31" x14ac:dyDescent="0.3">
      <c r="A86" s="55"/>
      <c r="B86" s="30" t="s">
        <v>88</v>
      </c>
      <c r="C86" s="9">
        <v>16</v>
      </c>
      <c r="D86" s="9">
        <v>4</v>
      </c>
      <c r="E86" s="9">
        <v>11</v>
      </c>
      <c r="F86" s="9">
        <v>22</v>
      </c>
      <c r="G86" s="9">
        <v>26</v>
      </c>
      <c r="H86" s="9">
        <v>70</v>
      </c>
      <c r="I86" s="9">
        <v>59</v>
      </c>
      <c r="J86" s="9">
        <v>62</v>
      </c>
      <c r="K86" s="9">
        <v>133</v>
      </c>
      <c r="L86" s="9">
        <v>47</v>
      </c>
      <c r="M86" s="9">
        <v>74</v>
      </c>
      <c r="N86" s="9">
        <v>66</v>
      </c>
      <c r="O86" s="9">
        <v>718</v>
      </c>
      <c r="P86" s="9">
        <v>19</v>
      </c>
      <c r="Q86" s="9">
        <v>37</v>
      </c>
      <c r="R86" s="9">
        <v>36</v>
      </c>
      <c r="S86" s="9">
        <v>6</v>
      </c>
      <c r="T86" s="9">
        <v>82</v>
      </c>
      <c r="U86" s="9">
        <v>4</v>
      </c>
      <c r="V86" s="9">
        <v>5</v>
      </c>
      <c r="W86" s="9">
        <v>0</v>
      </c>
      <c r="X86" s="9">
        <v>0</v>
      </c>
      <c r="Y86" s="9">
        <v>0</v>
      </c>
      <c r="Z86" s="9">
        <v>1</v>
      </c>
      <c r="AA86" s="9">
        <v>35</v>
      </c>
      <c r="AC86" s="9">
        <f t="shared" si="4"/>
        <v>1533</v>
      </c>
      <c r="AD86" s="9">
        <f t="shared" si="5"/>
        <v>16728</v>
      </c>
      <c r="AE86" s="10">
        <f t="shared" si="6"/>
        <v>10.911937377690803</v>
      </c>
    </row>
    <row r="87" spans="1:31" x14ac:dyDescent="0.3">
      <c r="A87" s="55"/>
      <c r="B87" s="30" t="s">
        <v>89</v>
      </c>
      <c r="C87" s="9">
        <v>35</v>
      </c>
      <c r="D87" s="9">
        <v>13</v>
      </c>
      <c r="E87" s="9">
        <v>6</v>
      </c>
      <c r="F87" s="9">
        <v>17</v>
      </c>
      <c r="G87" s="9">
        <v>30</v>
      </c>
      <c r="H87" s="9">
        <v>55</v>
      </c>
      <c r="I87" s="9">
        <v>36</v>
      </c>
      <c r="J87" s="9">
        <v>58</v>
      </c>
      <c r="K87" s="9">
        <v>87</v>
      </c>
      <c r="L87" s="9">
        <v>76</v>
      </c>
      <c r="M87" s="9">
        <v>92</v>
      </c>
      <c r="N87" s="9">
        <v>94</v>
      </c>
      <c r="O87" s="9">
        <v>685</v>
      </c>
      <c r="P87" s="9">
        <v>36</v>
      </c>
      <c r="Q87" s="9">
        <v>50</v>
      </c>
      <c r="R87" s="9">
        <v>40</v>
      </c>
      <c r="S87" s="9">
        <v>5</v>
      </c>
      <c r="T87" s="9">
        <v>90</v>
      </c>
      <c r="U87" s="9">
        <v>5</v>
      </c>
      <c r="V87" s="9">
        <v>6</v>
      </c>
      <c r="W87" s="9">
        <v>0</v>
      </c>
      <c r="X87" s="9">
        <v>0</v>
      </c>
      <c r="Y87" s="9">
        <v>0</v>
      </c>
      <c r="Z87" s="9">
        <v>0</v>
      </c>
      <c r="AA87" s="9">
        <v>42</v>
      </c>
      <c r="AC87" s="9">
        <f t="shared" si="4"/>
        <v>1558</v>
      </c>
      <c r="AD87" s="9">
        <f t="shared" si="5"/>
        <v>17237</v>
      </c>
      <c r="AE87" s="10">
        <f t="shared" si="6"/>
        <v>11.063543003851091</v>
      </c>
    </row>
    <row r="88" spans="1:31" x14ac:dyDescent="0.3">
      <c r="A88" s="55"/>
      <c r="B88" s="30" t="s">
        <v>90</v>
      </c>
      <c r="C88" s="9">
        <v>28</v>
      </c>
      <c r="D88" s="9">
        <v>24</v>
      </c>
      <c r="E88" s="9">
        <v>14</v>
      </c>
      <c r="F88" s="9">
        <v>47</v>
      </c>
      <c r="G88" s="9">
        <v>40</v>
      </c>
      <c r="H88" s="9">
        <v>89</v>
      </c>
      <c r="I88" s="9">
        <v>89</v>
      </c>
      <c r="J88" s="9">
        <v>114</v>
      </c>
      <c r="K88" s="9">
        <v>199</v>
      </c>
      <c r="L88" s="9">
        <v>97</v>
      </c>
      <c r="M88" s="9">
        <v>118</v>
      </c>
      <c r="N88" s="9">
        <v>138</v>
      </c>
      <c r="O88" s="9">
        <v>1350</v>
      </c>
      <c r="P88" s="9">
        <v>83</v>
      </c>
      <c r="Q88" s="9">
        <v>148</v>
      </c>
      <c r="R88" s="9">
        <v>197</v>
      </c>
      <c r="S88" s="9">
        <v>35</v>
      </c>
      <c r="T88" s="9">
        <v>303</v>
      </c>
      <c r="U88" s="9">
        <v>4</v>
      </c>
      <c r="V88" s="9">
        <v>14</v>
      </c>
      <c r="W88" s="9">
        <v>0</v>
      </c>
      <c r="X88" s="9">
        <v>0</v>
      </c>
      <c r="Y88" s="9">
        <v>0</v>
      </c>
      <c r="Z88" s="9">
        <v>1</v>
      </c>
      <c r="AA88" s="9">
        <v>35</v>
      </c>
      <c r="AC88" s="9">
        <f t="shared" si="4"/>
        <v>3167</v>
      </c>
      <c r="AD88" s="9">
        <f t="shared" si="5"/>
        <v>36511</v>
      </c>
      <c r="AE88" s="10">
        <f t="shared" si="6"/>
        <v>11.528575939374802</v>
      </c>
    </row>
    <row r="89" spans="1:31" x14ac:dyDescent="0.3">
      <c r="A89" s="55"/>
      <c r="B89" s="30" t="s">
        <v>91</v>
      </c>
      <c r="C89" s="9">
        <v>33</v>
      </c>
      <c r="D89" s="9">
        <v>32</v>
      </c>
      <c r="E89" s="9">
        <v>32</v>
      </c>
      <c r="F89" s="9">
        <v>60</v>
      </c>
      <c r="G89" s="9">
        <v>78</v>
      </c>
      <c r="H89" s="9">
        <v>161</v>
      </c>
      <c r="I89" s="9">
        <v>136</v>
      </c>
      <c r="J89" s="9">
        <v>202</v>
      </c>
      <c r="K89" s="9">
        <v>277</v>
      </c>
      <c r="L89" s="9">
        <v>153</v>
      </c>
      <c r="M89" s="9">
        <v>218</v>
      </c>
      <c r="N89" s="9">
        <v>159</v>
      </c>
      <c r="O89" s="9">
        <v>2259</v>
      </c>
      <c r="P89" s="9">
        <v>113</v>
      </c>
      <c r="Q89" s="9">
        <v>206</v>
      </c>
      <c r="R89" s="9">
        <v>203</v>
      </c>
      <c r="S89" s="9">
        <v>44</v>
      </c>
      <c r="T89" s="9">
        <v>265</v>
      </c>
      <c r="U89" s="9">
        <v>5</v>
      </c>
      <c r="V89" s="9">
        <v>6</v>
      </c>
      <c r="W89" s="9">
        <v>0</v>
      </c>
      <c r="X89" s="9">
        <v>0</v>
      </c>
      <c r="Y89" s="9">
        <v>0</v>
      </c>
      <c r="Z89" s="9">
        <v>1</v>
      </c>
      <c r="AA89" s="9">
        <v>76</v>
      </c>
      <c r="AC89" s="9">
        <f t="shared" si="4"/>
        <v>4719</v>
      </c>
      <c r="AD89" s="9">
        <f t="shared" si="5"/>
        <v>52911</v>
      </c>
      <c r="AE89" s="10">
        <f t="shared" si="6"/>
        <v>11.212333121424031</v>
      </c>
    </row>
    <row r="90" spans="1:31" x14ac:dyDescent="0.3">
      <c r="A90" s="55"/>
      <c r="B90" s="30" t="s">
        <v>92</v>
      </c>
      <c r="C90" s="9">
        <v>16</v>
      </c>
      <c r="D90" s="9">
        <v>4</v>
      </c>
      <c r="E90" s="9">
        <v>5</v>
      </c>
      <c r="F90" s="9">
        <v>21</v>
      </c>
      <c r="G90" s="9">
        <v>20</v>
      </c>
      <c r="H90" s="9">
        <v>33</v>
      </c>
      <c r="I90" s="9">
        <v>33</v>
      </c>
      <c r="J90" s="9">
        <v>39</v>
      </c>
      <c r="K90" s="9">
        <v>60</v>
      </c>
      <c r="L90" s="9">
        <v>25</v>
      </c>
      <c r="M90" s="9">
        <v>50</v>
      </c>
      <c r="N90" s="9">
        <v>39</v>
      </c>
      <c r="O90" s="9">
        <v>619</v>
      </c>
      <c r="P90" s="9">
        <v>32</v>
      </c>
      <c r="Q90" s="9">
        <v>78</v>
      </c>
      <c r="R90" s="9">
        <v>92</v>
      </c>
      <c r="S90" s="9">
        <v>11</v>
      </c>
      <c r="T90" s="9">
        <v>133</v>
      </c>
      <c r="U90" s="9">
        <v>3</v>
      </c>
      <c r="V90" s="9">
        <v>8</v>
      </c>
      <c r="W90" s="9">
        <v>0</v>
      </c>
      <c r="X90" s="9">
        <v>0</v>
      </c>
      <c r="Y90" s="9">
        <v>0</v>
      </c>
      <c r="Z90" s="9">
        <v>0</v>
      </c>
      <c r="AA90" s="9">
        <v>21</v>
      </c>
      <c r="AC90" s="9">
        <f t="shared" si="4"/>
        <v>1342</v>
      </c>
      <c r="AD90" s="9">
        <f t="shared" si="5"/>
        <v>15890</v>
      </c>
      <c r="AE90" s="10">
        <f t="shared" si="6"/>
        <v>11.84053651266766</v>
      </c>
    </row>
    <row r="91" spans="1:31" x14ac:dyDescent="0.3">
      <c r="A91" s="55"/>
      <c r="B91" s="30" t="s">
        <v>93</v>
      </c>
      <c r="C91" s="9">
        <v>66</v>
      </c>
      <c r="D91" s="9">
        <v>36</v>
      </c>
      <c r="E91" s="9">
        <v>37</v>
      </c>
      <c r="F91" s="9">
        <v>59</v>
      </c>
      <c r="G91" s="9">
        <v>74</v>
      </c>
      <c r="H91" s="9">
        <v>146</v>
      </c>
      <c r="I91" s="9">
        <v>140</v>
      </c>
      <c r="J91" s="9">
        <v>198</v>
      </c>
      <c r="K91" s="9">
        <v>245</v>
      </c>
      <c r="L91" s="9">
        <v>146</v>
      </c>
      <c r="M91" s="9">
        <v>200</v>
      </c>
      <c r="N91" s="9">
        <v>174</v>
      </c>
      <c r="O91" s="9">
        <v>1905</v>
      </c>
      <c r="P91" s="9">
        <v>132</v>
      </c>
      <c r="Q91" s="9">
        <v>202</v>
      </c>
      <c r="R91" s="9">
        <v>410</v>
      </c>
      <c r="S91" s="9">
        <v>42</v>
      </c>
      <c r="T91" s="9">
        <v>573</v>
      </c>
      <c r="U91" s="9">
        <v>10</v>
      </c>
      <c r="V91" s="9">
        <v>13</v>
      </c>
      <c r="W91" s="9">
        <v>0</v>
      </c>
      <c r="X91" s="9">
        <v>0</v>
      </c>
      <c r="Y91" s="9">
        <v>0</v>
      </c>
      <c r="Z91" s="9">
        <v>3</v>
      </c>
      <c r="AA91" s="9">
        <v>67</v>
      </c>
      <c r="AC91" s="9">
        <f t="shared" si="4"/>
        <v>4878</v>
      </c>
      <c r="AD91" s="9">
        <f t="shared" si="5"/>
        <v>56798</v>
      </c>
      <c r="AE91" s="10">
        <f t="shared" si="6"/>
        <v>11.64370643706437</v>
      </c>
    </row>
    <row r="92" spans="1:31" x14ac:dyDescent="0.3">
      <c r="A92" s="55"/>
      <c r="B92" s="30" t="s">
        <v>94</v>
      </c>
      <c r="C92" s="9">
        <v>181</v>
      </c>
      <c r="D92" s="9">
        <v>74</v>
      </c>
      <c r="E92" s="9">
        <v>119</v>
      </c>
      <c r="F92" s="9">
        <v>219</v>
      </c>
      <c r="G92" s="9">
        <v>223</v>
      </c>
      <c r="H92" s="9">
        <v>519</v>
      </c>
      <c r="I92" s="9">
        <v>490</v>
      </c>
      <c r="J92" s="9">
        <v>505</v>
      </c>
      <c r="K92" s="9">
        <v>680</v>
      </c>
      <c r="L92" s="9">
        <v>417</v>
      </c>
      <c r="M92" s="9">
        <v>419</v>
      </c>
      <c r="N92" s="9">
        <v>431</v>
      </c>
      <c r="O92" s="9">
        <v>3605</v>
      </c>
      <c r="P92" s="9">
        <v>136</v>
      </c>
      <c r="Q92" s="9">
        <v>187</v>
      </c>
      <c r="R92" s="9">
        <v>273</v>
      </c>
      <c r="S92" s="9">
        <v>46</v>
      </c>
      <c r="T92" s="9">
        <v>336</v>
      </c>
      <c r="U92" s="9">
        <v>13</v>
      </c>
      <c r="V92" s="9">
        <v>23</v>
      </c>
      <c r="W92" s="9">
        <v>1</v>
      </c>
      <c r="X92" s="9">
        <v>0</v>
      </c>
      <c r="Y92" s="9">
        <v>0</v>
      </c>
      <c r="Z92" s="9">
        <v>4</v>
      </c>
      <c r="AA92" s="9">
        <v>147</v>
      </c>
      <c r="AC92" s="9">
        <f t="shared" si="4"/>
        <v>9048</v>
      </c>
      <c r="AD92" s="9">
        <f t="shared" si="5"/>
        <v>91555</v>
      </c>
      <c r="AE92" s="10">
        <f t="shared" si="6"/>
        <v>10.118810786914235</v>
      </c>
    </row>
    <row r="93" spans="1:31" x14ac:dyDescent="0.3">
      <c r="A93" s="55"/>
      <c r="B93" s="30" t="s">
        <v>95</v>
      </c>
      <c r="C93" s="9">
        <v>100</v>
      </c>
      <c r="D93" s="9">
        <v>44</v>
      </c>
      <c r="E93" s="9">
        <v>60</v>
      </c>
      <c r="F93" s="9">
        <v>107</v>
      </c>
      <c r="G93" s="9">
        <v>115</v>
      </c>
      <c r="H93" s="9">
        <v>283</v>
      </c>
      <c r="I93" s="9">
        <v>213</v>
      </c>
      <c r="J93" s="9">
        <v>224</v>
      </c>
      <c r="K93" s="9">
        <v>350</v>
      </c>
      <c r="L93" s="9">
        <v>202</v>
      </c>
      <c r="M93" s="9">
        <v>330</v>
      </c>
      <c r="N93" s="9">
        <v>274</v>
      </c>
      <c r="O93" s="9">
        <v>4362</v>
      </c>
      <c r="P93" s="9">
        <v>155</v>
      </c>
      <c r="Q93" s="9">
        <v>291</v>
      </c>
      <c r="R93" s="9">
        <v>397</v>
      </c>
      <c r="S93" s="9">
        <v>105</v>
      </c>
      <c r="T93" s="9">
        <v>657</v>
      </c>
      <c r="U93" s="9">
        <v>16</v>
      </c>
      <c r="V93" s="9">
        <v>29</v>
      </c>
      <c r="W93" s="9">
        <v>1</v>
      </c>
      <c r="X93" s="9">
        <v>0</v>
      </c>
      <c r="Y93" s="9">
        <v>1</v>
      </c>
      <c r="Z93" s="9">
        <v>7</v>
      </c>
      <c r="AA93" s="9">
        <v>205</v>
      </c>
      <c r="AC93" s="9">
        <f t="shared" si="4"/>
        <v>8528</v>
      </c>
      <c r="AD93" s="9">
        <f t="shared" si="5"/>
        <v>99337</v>
      </c>
      <c r="AE93" s="10">
        <f t="shared" si="6"/>
        <v>11.648334896810507</v>
      </c>
    </row>
    <row r="94" spans="1:31" x14ac:dyDescent="0.3">
      <c r="A94" s="55"/>
      <c r="B94" s="30" t="s">
        <v>96</v>
      </c>
      <c r="C94" s="9">
        <v>68</v>
      </c>
      <c r="D94" s="9">
        <v>24</v>
      </c>
      <c r="E94" s="9">
        <v>28</v>
      </c>
      <c r="F94" s="9">
        <v>75</v>
      </c>
      <c r="G94" s="9">
        <v>74</v>
      </c>
      <c r="H94" s="9">
        <v>158</v>
      </c>
      <c r="I94" s="9">
        <v>171</v>
      </c>
      <c r="J94" s="9">
        <v>198</v>
      </c>
      <c r="K94" s="9">
        <v>288</v>
      </c>
      <c r="L94" s="9">
        <v>158</v>
      </c>
      <c r="M94" s="9">
        <v>249</v>
      </c>
      <c r="N94" s="9">
        <v>191</v>
      </c>
      <c r="O94" s="9">
        <v>3265</v>
      </c>
      <c r="P94" s="9">
        <v>140</v>
      </c>
      <c r="Q94" s="9">
        <v>274</v>
      </c>
      <c r="R94" s="9">
        <v>380</v>
      </c>
      <c r="S94" s="9">
        <v>71</v>
      </c>
      <c r="T94" s="9">
        <v>587</v>
      </c>
      <c r="U94" s="9">
        <v>7</v>
      </c>
      <c r="V94" s="9">
        <v>10</v>
      </c>
      <c r="W94" s="9">
        <v>0</v>
      </c>
      <c r="X94" s="9">
        <v>0</v>
      </c>
      <c r="Y94" s="9">
        <v>0</v>
      </c>
      <c r="Z94" s="9">
        <v>1</v>
      </c>
      <c r="AA94" s="9">
        <v>116</v>
      </c>
      <c r="AC94" s="9">
        <f t="shared" si="4"/>
        <v>6533</v>
      </c>
      <c r="AD94" s="9">
        <f t="shared" si="5"/>
        <v>76894</v>
      </c>
      <c r="AE94" s="10">
        <f t="shared" si="6"/>
        <v>11.77009031073014</v>
      </c>
    </row>
    <row r="95" spans="1:31" x14ac:dyDescent="0.3">
      <c r="A95" s="55"/>
      <c r="B95" s="30" t="s">
        <v>97</v>
      </c>
      <c r="C95" s="9">
        <v>35</v>
      </c>
      <c r="D95" s="9">
        <v>11</v>
      </c>
      <c r="E95" s="9">
        <v>18</v>
      </c>
      <c r="F95" s="9">
        <v>20</v>
      </c>
      <c r="G95" s="9">
        <v>24</v>
      </c>
      <c r="H95" s="9">
        <v>69</v>
      </c>
      <c r="I95" s="9">
        <v>48</v>
      </c>
      <c r="J95" s="9">
        <v>78</v>
      </c>
      <c r="K95" s="9">
        <v>100</v>
      </c>
      <c r="L95" s="9">
        <v>62</v>
      </c>
      <c r="M95" s="9">
        <v>119</v>
      </c>
      <c r="N95" s="9">
        <v>70</v>
      </c>
      <c r="O95" s="9">
        <v>1484</v>
      </c>
      <c r="P95" s="9">
        <v>79</v>
      </c>
      <c r="Q95" s="9">
        <v>181</v>
      </c>
      <c r="R95" s="9">
        <v>223</v>
      </c>
      <c r="S95" s="9">
        <v>36</v>
      </c>
      <c r="T95" s="9">
        <v>371</v>
      </c>
      <c r="U95" s="9">
        <v>8</v>
      </c>
      <c r="V95" s="9">
        <v>15</v>
      </c>
      <c r="W95" s="9">
        <v>2</v>
      </c>
      <c r="X95" s="9">
        <v>0</v>
      </c>
      <c r="Y95" s="9">
        <v>1</v>
      </c>
      <c r="Z95" s="9">
        <v>1</v>
      </c>
      <c r="AA95" s="9">
        <v>68</v>
      </c>
      <c r="AC95" s="9">
        <f t="shared" si="4"/>
        <v>3123</v>
      </c>
      <c r="AD95" s="9">
        <f t="shared" si="5"/>
        <v>38443</v>
      </c>
      <c r="AE95" s="10">
        <f t="shared" si="6"/>
        <v>12.309638168427794</v>
      </c>
    </row>
    <row r="96" spans="1:31" x14ac:dyDescent="0.3">
      <c r="A96" s="55"/>
      <c r="B96" s="30" t="s">
        <v>98</v>
      </c>
      <c r="C96" s="9">
        <v>11</v>
      </c>
      <c r="D96" s="9">
        <v>1</v>
      </c>
      <c r="E96" s="9">
        <v>4</v>
      </c>
      <c r="F96" s="9">
        <v>13</v>
      </c>
      <c r="G96" s="9">
        <v>19</v>
      </c>
      <c r="H96" s="9">
        <v>37</v>
      </c>
      <c r="I96" s="9">
        <v>25</v>
      </c>
      <c r="J96" s="9">
        <v>42</v>
      </c>
      <c r="K96" s="9">
        <v>52</v>
      </c>
      <c r="L96" s="9">
        <v>36</v>
      </c>
      <c r="M96" s="9">
        <v>61</v>
      </c>
      <c r="N96" s="9">
        <v>42</v>
      </c>
      <c r="O96" s="9">
        <v>625</v>
      </c>
      <c r="P96" s="9">
        <v>22</v>
      </c>
      <c r="Q96" s="9">
        <v>38</v>
      </c>
      <c r="R96" s="9">
        <v>41</v>
      </c>
      <c r="S96" s="9">
        <v>11</v>
      </c>
      <c r="T96" s="9">
        <v>86</v>
      </c>
      <c r="U96" s="9">
        <v>1</v>
      </c>
      <c r="V96" s="9">
        <v>3</v>
      </c>
      <c r="W96" s="9">
        <v>0</v>
      </c>
      <c r="X96" s="9">
        <v>0</v>
      </c>
      <c r="Y96" s="9">
        <v>0</v>
      </c>
      <c r="Z96" s="9">
        <v>1</v>
      </c>
      <c r="AA96" s="9">
        <v>41</v>
      </c>
      <c r="AC96" s="9">
        <f t="shared" si="4"/>
        <v>1212</v>
      </c>
      <c r="AD96" s="9">
        <f t="shared" si="5"/>
        <v>14218</v>
      </c>
      <c r="AE96" s="10">
        <f t="shared" si="6"/>
        <v>11.731023102310232</v>
      </c>
    </row>
    <row r="97" spans="1:31" x14ac:dyDescent="0.3">
      <c r="A97" s="55"/>
      <c r="B97" s="30" t="s">
        <v>99</v>
      </c>
      <c r="C97" s="9">
        <v>56</v>
      </c>
      <c r="D97" s="9">
        <v>22</v>
      </c>
      <c r="E97" s="9">
        <v>21</v>
      </c>
      <c r="F97" s="9">
        <v>56</v>
      </c>
      <c r="G97" s="9">
        <v>60</v>
      </c>
      <c r="H97" s="9">
        <v>179</v>
      </c>
      <c r="I97" s="9">
        <v>125</v>
      </c>
      <c r="J97" s="9">
        <v>154</v>
      </c>
      <c r="K97" s="9">
        <v>249</v>
      </c>
      <c r="L97" s="9">
        <v>175</v>
      </c>
      <c r="M97" s="9">
        <v>221</v>
      </c>
      <c r="N97" s="9">
        <v>197</v>
      </c>
      <c r="O97" s="9">
        <v>2610</v>
      </c>
      <c r="P97" s="9">
        <v>109</v>
      </c>
      <c r="Q97" s="9">
        <v>212</v>
      </c>
      <c r="R97" s="9">
        <v>296</v>
      </c>
      <c r="S97" s="9">
        <v>70</v>
      </c>
      <c r="T97" s="9">
        <v>509</v>
      </c>
      <c r="U97" s="9">
        <v>11</v>
      </c>
      <c r="V97" s="9">
        <v>27</v>
      </c>
      <c r="W97" s="9">
        <v>1</v>
      </c>
      <c r="X97" s="9">
        <v>0</v>
      </c>
      <c r="Y97" s="9">
        <v>0</v>
      </c>
      <c r="Z97" s="9">
        <v>3</v>
      </c>
      <c r="AA97" s="9">
        <v>147</v>
      </c>
      <c r="AC97" s="9">
        <f t="shared" si="4"/>
        <v>5510</v>
      </c>
      <c r="AD97" s="9">
        <f t="shared" si="5"/>
        <v>65385</v>
      </c>
      <c r="AE97" s="10">
        <f t="shared" si="6"/>
        <v>11.866606170598912</v>
      </c>
    </row>
    <row r="98" spans="1:31" x14ac:dyDescent="0.3">
      <c r="A98" s="55"/>
      <c r="B98" s="30" t="s">
        <v>100</v>
      </c>
      <c r="C98" s="9">
        <v>11</v>
      </c>
      <c r="D98" s="9">
        <v>8</v>
      </c>
      <c r="E98" s="9">
        <v>4</v>
      </c>
      <c r="F98" s="9">
        <v>17</v>
      </c>
      <c r="G98" s="9">
        <v>8</v>
      </c>
      <c r="H98" s="9">
        <v>35</v>
      </c>
      <c r="I98" s="9">
        <v>22</v>
      </c>
      <c r="J98" s="9">
        <v>32</v>
      </c>
      <c r="K98" s="9">
        <v>55</v>
      </c>
      <c r="L98" s="9">
        <v>27</v>
      </c>
      <c r="M98" s="9">
        <v>55</v>
      </c>
      <c r="N98" s="9">
        <v>39</v>
      </c>
      <c r="O98" s="9">
        <v>437</v>
      </c>
      <c r="P98" s="9">
        <v>18</v>
      </c>
      <c r="Q98" s="9">
        <v>41</v>
      </c>
      <c r="R98" s="9">
        <v>65</v>
      </c>
      <c r="S98" s="9">
        <v>16</v>
      </c>
      <c r="T98" s="9">
        <v>79</v>
      </c>
      <c r="U98" s="9">
        <v>3</v>
      </c>
      <c r="V98" s="9">
        <v>4</v>
      </c>
      <c r="W98" s="9">
        <v>0</v>
      </c>
      <c r="X98" s="9">
        <v>0</v>
      </c>
      <c r="Y98" s="9">
        <v>0</v>
      </c>
      <c r="Z98" s="9">
        <v>0</v>
      </c>
      <c r="AA98" s="9">
        <v>47</v>
      </c>
      <c r="AC98" s="9">
        <f t="shared" si="4"/>
        <v>1023</v>
      </c>
      <c r="AD98" s="9">
        <f t="shared" si="5"/>
        <v>12176</v>
      </c>
      <c r="AE98" s="10">
        <f t="shared" si="6"/>
        <v>11.902248289345064</v>
      </c>
    </row>
    <row r="99" spans="1:31" x14ac:dyDescent="0.3">
      <c r="A99" s="55"/>
      <c r="B99" s="30" t="s">
        <v>101</v>
      </c>
      <c r="C99" s="9">
        <v>16</v>
      </c>
      <c r="D99" s="9">
        <v>3</v>
      </c>
      <c r="E99" s="9">
        <v>9</v>
      </c>
      <c r="F99" s="9">
        <v>14</v>
      </c>
      <c r="G99" s="9">
        <v>23</v>
      </c>
      <c r="H99" s="9">
        <v>60</v>
      </c>
      <c r="I99" s="9">
        <v>37</v>
      </c>
      <c r="J99" s="9">
        <v>56</v>
      </c>
      <c r="K99" s="9">
        <v>89</v>
      </c>
      <c r="L99" s="9">
        <v>56</v>
      </c>
      <c r="M99" s="9">
        <v>76</v>
      </c>
      <c r="N99" s="9">
        <v>72</v>
      </c>
      <c r="O99" s="9">
        <v>891</v>
      </c>
      <c r="P99" s="9">
        <v>38</v>
      </c>
      <c r="Q99" s="9">
        <v>45</v>
      </c>
      <c r="R99" s="9">
        <v>92</v>
      </c>
      <c r="S99" s="9">
        <v>18</v>
      </c>
      <c r="T99" s="9">
        <v>127</v>
      </c>
      <c r="U99" s="9">
        <v>2</v>
      </c>
      <c r="V99" s="9">
        <v>2</v>
      </c>
      <c r="W99" s="9">
        <v>1</v>
      </c>
      <c r="X99" s="9">
        <v>0</v>
      </c>
      <c r="Y99" s="9">
        <v>0</v>
      </c>
      <c r="Z99" s="9">
        <v>0</v>
      </c>
      <c r="AA99" s="9">
        <v>43</v>
      </c>
      <c r="AC99" s="9">
        <f t="shared" si="4"/>
        <v>1770</v>
      </c>
      <c r="AD99" s="9">
        <f t="shared" si="5"/>
        <v>20606</v>
      </c>
      <c r="AE99" s="10">
        <f t="shared" si="6"/>
        <v>11.64180790960452</v>
      </c>
    </row>
    <row r="100" spans="1:31" x14ac:dyDescent="0.3">
      <c r="A100" s="55"/>
      <c r="B100" s="30" t="s">
        <v>102</v>
      </c>
      <c r="C100" s="9">
        <v>30</v>
      </c>
      <c r="D100" s="9">
        <v>9</v>
      </c>
      <c r="E100" s="9">
        <v>11</v>
      </c>
      <c r="F100" s="9">
        <v>31</v>
      </c>
      <c r="G100" s="9">
        <v>28</v>
      </c>
      <c r="H100" s="9">
        <v>52</v>
      </c>
      <c r="I100" s="9">
        <v>60</v>
      </c>
      <c r="J100" s="9">
        <v>77</v>
      </c>
      <c r="K100" s="9">
        <v>121</v>
      </c>
      <c r="L100" s="9">
        <v>64</v>
      </c>
      <c r="M100" s="9">
        <v>133</v>
      </c>
      <c r="N100" s="9">
        <v>101</v>
      </c>
      <c r="O100" s="9">
        <v>1206</v>
      </c>
      <c r="P100" s="9">
        <v>37</v>
      </c>
      <c r="Q100" s="9">
        <v>67</v>
      </c>
      <c r="R100" s="9">
        <v>77</v>
      </c>
      <c r="S100" s="9">
        <v>15</v>
      </c>
      <c r="T100" s="9">
        <v>123</v>
      </c>
      <c r="U100" s="9">
        <v>6</v>
      </c>
      <c r="V100" s="9">
        <v>10</v>
      </c>
      <c r="W100" s="9">
        <v>0</v>
      </c>
      <c r="X100" s="9">
        <v>0</v>
      </c>
      <c r="Y100" s="9">
        <v>0</v>
      </c>
      <c r="Z100" s="9">
        <v>0</v>
      </c>
      <c r="AA100" s="9">
        <v>62</v>
      </c>
      <c r="AC100" s="9">
        <f t="shared" si="4"/>
        <v>2320</v>
      </c>
      <c r="AD100" s="9">
        <f t="shared" si="5"/>
        <v>26543</v>
      </c>
      <c r="AE100" s="10">
        <f t="shared" si="6"/>
        <v>11.44094827586207</v>
      </c>
    </row>
    <row r="101" spans="1:31" x14ac:dyDescent="0.3">
      <c r="A101" s="55"/>
      <c r="B101" s="30" t="s">
        <v>103</v>
      </c>
      <c r="C101" s="9">
        <v>42</v>
      </c>
      <c r="D101" s="9">
        <v>13</v>
      </c>
      <c r="E101" s="9">
        <v>19</v>
      </c>
      <c r="F101" s="9">
        <v>32</v>
      </c>
      <c r="G101" s="9">
        <v>34</v>
      </c>
      <c r="H101" s="9">
        <v>107</v>
      </c>
      <c r="I101" s="9">
        <v>110</v>
      </c>
      <c r="J101" s="9">
        <v>113</v>
      </c>
      <c r="K101" s="9">
        <v>178</v>
      </c>
      <c r="L101" s="9">
        <v>103</v>
      </c>
      <c r="M101" s="9">
        <v>172</v>
      </c>
      <c r="N101" s="9">
        <v>146</v>
      </c>
      <c r="O101" s="9">
        <v>1944</v>
      </c>
      <c r="P101" s="9">
        <v>107</v>
      </c>
      <c r="Q101" s="9">
        <v>201</v>
      </c>
      <c r="R101" s="9">
        <v>278</v>
      </c>
      <c r="S101" s="9">
        <v>38</v>
      </c>
      <c r="T101" s="9">
        <v>439</v>
      </c>
      <c r="U101" s="9">
        <v>11</v>
      </c>
      <c r="V101" s="9">
        <v>19</v>
      </c>
      <c r="W101" s="9">
        <v>0</v>
      </c>
      <c r="X101" s="9">
        <v>1</v>
      </c>
      <c r="Y101" s="9">
        <v>0</v>
      </c>
      <c r="Z101" s="9">
        <v>2</v>
      </c>
      <c r="AA101" s="9">
        <v>64</v>
      </c>
      <c r="AC101" s="9">
        <f t="shared" si="4"/>
        <v>4173</v>
      </c>
      <c r="AD101" s="9">
        <f t="shared" si="5"/>
        <v>49882</v>
      </c>
      <c r="AE101" s="10">
        <f t="shared" si="6"/>
        <v>11.953510663791038</v>
      </c>
    </row>
    <row r="102" spans="1:31" x14ac:dyDescent="0.3">
      <c r="A102" s="55"/>
      <c r="B102" s="30" t="s">
        <v>104</v>
      </c>
      <c r="C102" s="9">
        <v>13</v>
      </c>
      <c r="D102" s="9">
        <v>2</v>
      </c>
      <c r="E102" s="9">
        <v>8</v>
      </c>
      <c r="F102" s="9">
        <v>9</v>
      </c>
      <c r="G102" s="9">
        <v>12</v>
      </c>
      <c r="H102" s="9">
        <v>41</v>
      </c>
      <c r="I102" s="9">
        <v>46</v>
      </c>
      <c r="J102" s="9">
        <v>38</v>
      </c>
      <c r="K102" s="9">
        <v>96</v>
      </c>
      <c r="L102" s="9">
        <v>57</v>
      </c>
      <c r="M102" s="9">
        <v>84</v>
      </c>
      <c r="N102" s="9">
        <v>57</v>
      </c>
      <c r="O102" s="9">
        <v>1297</v>
      </c>
      <c r="P102" s="9">
        <v>38</v>
      </c>
      <c r="Q102" s="9">
        <v>55</v>
      </c>
      <c r="R102" s="9">
        <v>109</v>
      </c>
      <c r="S102" s="9">
        <v>22</v>
      </c>
      <c r="T102" s="9">
        <v>131</v>
      </c>
      <c r="U102" s="9">
        <v>3</v>
      </c>
      <c r="V102" s="9">
        <v>7</v>
      </c>
      <c r="W102" s="9">
        <v>1</v>
      </c>
      <c r="X102" s="9">
        <v>0</v>
      </c>
      <c r="Y102" s="9">
        <v>0</v>
      </c>
      <c r="Z102" s="9">
        <v>0</v>
      </c>
      <c r="AA102" s="9">
        <v>74</v>
      </c>
      <c r="AC102" s="9">
        <f t="shared" si="4"/>
        <v>2200</v>
      </c>
      <c r="AD102" s="9">
        <f t="shared" si="5"/>
        <v>26613</v>
      </c>
      <c r="AE102" s="10">
        <f t="shared" si="6"/>
        <v>12.096818181818183</v>
      </c>
    </row>
    <row r="103" spans="1:31" x14ac:dyDescent="0.3">
      <c r="A103" s="55"/>
      <c r="B103" s="30" t="s">
        <v>105</v>
      </c>
      <c r="C103" s="9">
        <v>4</v>
      </c>
      <c r="D103" s="9">
        <v>6</v>
      </c>
      <c r="E103" s="9">
        <v>2</v>
      </c>
      <c r="F103" s="9">
        <v>4</v>
      </c>
      <c r="G103" s="9">
        <v>7</v>
      </c>
      <c r="H103" s="9">
        <v>11</v>
      </c>
      <c r="I103" s="9">
        <v>14</v>
      </c>
      <c r="J103" s="9">
        <v>24</v>
      </c>
      <c r="K103" s="9">
        <v>45</v>
      </c>
      <c r="L103" s="9">
        <v>23</v>
      </c>
      <c r="M103" s="9">
        <v>35</v>
      </c>
      <c r="N103" s="9">
        <v>26</v>
      </c>
      <c r="O103" s="9">
        <v>447</v>
      </c>
      <c r="P103" s="9">
        <v>26</v>
      </c>
      <c r="Q103" s="9">
        <v>50</v>
      </c>
      <c r="R103" s="9">
        <v>60</v>
      </c>
      <c r="S103" s="9">
        <v>14</v>
      </c>
      <c r="T103" s="9">
        <v>139</v>
      </c>
      <c r="U103" s="9">
        <v>3</v>
      </c>
      <c r="V103" s="9">
        <v>8</v>
      </c>
      <c r="W103" s="9">
        <v>0</v>
      </c>
      <c r="X103" s="9">
        <v>0</v>
      </c>
      <c r="Y103" s="9">
        <v>0</v>
      </c>
      <c r="Z103" s="9">
        <v>0</v>
      </c>
      <c r="AA103" s="9">
        <v>34</v>
      </c>
      <c r="AC103" s="9">
        <f t="shared" si="4"/>
        <v>982</v>
      </c>
      <c r="AD103" s="9">
        <f t="shared" si="5"/>
        <v>12471</v>
      </c>
      <c r="AE103" s="10">
        <f t="shared" si="6"/>
        <v>12.69959266802444</v>
      </c>
    </row>
    <row r="104" spans="1:31" x14ac:dyDescent="0.3">
      <c r="A104" s="55"/>
      <c r="B104" s="30" t="s">
        <v>106</v>
      </c>
      <c r="C104" s="9">
        <v>66</v>
      </c>
      <c r="D104" s="9">
        <v>20</v>
      </c>
      <c r="E104" s="9">
        <v>18</v>
      </c>
      <c r="F104" s="9">
        <v>64</v>
      </c>
      <c r="G104" s="9">
        <v>55</v>
      </c>
      <c r="H104" s="9">
        <v>115</v>
      </c>
      <c r="I104" s="9">
        <v>130</v>
      </c>
      <c r="J104" s="9">
        <v>153</v>
      </c>
      <c r="K104" s="9">
        <v>208</v>
      </c>
      <c r="L104" s="9">
        <v>132</v>
      </c>
      <c r="M104" s="9">
        <v>179</v>
      </c>
      <c r="N104" s="9">
        <v>149</v>
      </c>
      <c r="O104" s="9">
        <v>2146</v>
      </c>
      <c r="P104" s="9">
        <v>177</v>
      </c>
      <c r="Q104" s="9">
        <v>255</v>
      </c>
      <c r="R104" s="9">
        <v>341</v>
      </c>
      <c r="S104" s="9">
        <v>78</v>
      </c>
      <c r="T104" s="9">
        <v>584</v>
      </c>
      <c r="U104" s="9">
        <v>24</v>
      </c>
      <c r="V104" s="9">
        <v>32</v>
      </c>
      <c r="W104" s="9">
        <v>0</v>
      </c>
      <c r="X104" s="9">
        <v>1</v>
      </c>
      <c r="Y104" s="9">
        <v>1</v>
      </c>
      <c r="Z104" s="9">
        <v>2</v>
      </c>
      <c r="AA104" s="9">
        <v>94</v>
      </c>
      <c r="AC104" s="9">
        <f t="shared" si="4"/>
        <v>5024</v>
      </c>
      <c r="AD104" s="9">
        <f t="shared" si="5"/>
        <v>60474</v>
      </c>
      <c r="AE104" s="10">
        <f t="shared" si="6"/>
        <v>12.03702229299363</v>
      </c>
    </row>
    <row r="105" spans="1:31" x14ac:dyDescent="0.3">
      <c r="A105" s="55"/>
      <c r="B105" s="30" t="s">
        <v>107</v>
      </c>
      <c r="C105" s="9">
        <v>47</v>
      </c>
      <c r="D105" s="9">
        <v>19</v>
      </c>
      <c r="E105" s="9">
        <v>46</v>
      </c>
      <c r="F105" s="9">
        <v>68</v>
      </c>
      <c r="G105" s="9">
        <v>70</v>
      </c>
      <c r="H105" s="9">
        <v>118</v>
      </c>
      <c r="I105" s="9">
        <v>132</v>
      </c>
      <c r="J105" s="9">
        <v>171</v>
      </c>
      <c r="K105" s="9">
        <v>193</v>
      </c>
      <c r="L105" s="9">
        <v>149</v>
      </c>
      <c r="M105" s="9">
        <v>191</v>
      </c>
      <c r="N105" s="9">
        <v>191</v>
      </c>
      <c r="O105" s="9">
        <v>2146</v>
      </c>
      <c r="P105" s="9">
        <v>121</v>
      </c>
      <c r="Q105" s="9">
        <v>154</v>
      </c>
      <c r="R105" s="9">
        <v>170</v>
      </c>
      <c r="S105" s="9">
        <v>41</v>
      </c>
      <c r="T105" s="9">
        <v>273</v>
      </c>
      <c r="U105" s="9">
        <v>6</v>
      </c>
      <c r="V105" s="9">
        <v>9</v>
      </c>
      <c r="W105" s="9">
        <v>1</v>
      </c>
      <c r="X105" s="9">
        <v>0</v>
      </c>
      <c r="Y105" s="9">
        <v>0</v>
      </c>
      <c r="Z105" s="9">
        <v>1</v>
      </c>
      <c r="AA105" s="9">
        <v>86</v>
      </c>
      <c r="AC105" s="9">
        <f t="shared" si="4"/>
        <v>4403</v>
      </c>
      <c r="AD105" s="9">
        <f t="shared" si="5"/>
        <v>49784</v>
      </c>
      <c r="AE105" s="10">
        <f t="shared" si="6"/>
        <v>11.306836248012718</v>
      </c>
    </row>
    <row r="106" spans="1:31" x14ac:dyDescent="0.3">
      <c r="A106" s="55"/>
      <c r="B106" s="30" t="s">
        <v>108</v>
      </c>
      <c r="C106" s="9">
        <v>27</v>
      </c>
      <c r="D106" s="9">
        <v>20</v>
      </c>
      <c r="E106" s="9">
        <v>17</v>
      </c>
      <c r="F106" s="9">
        <v>38</v>
      </c>
      <c r="G106" s="9">
        <v>36</v>
      </c>
      <c r="H106" s="9">
        <v>78</v>
      </c>
      <c r="I106" s="9">
        <v>93</v>
      </c>
      <c r="J106" s="9">
        <v>182</v>
      </c>
      <c r="K106" s="9">
        <v>146</v>
      </c>
      <c r="L106" s="9">
        <v>107</v>
      </c>
      <c r="M106" s="9">
        <v>111</v>
      </c>
      <c r="N106" s="9">
        <v>107</v>
      </c>
      <c r="O106" s="9">
        <v>753</v>
      </c>
      <c r="P106" s="9">
        <v>49</v>
      </c>
      <c r="Q106" s="9">
        <v>82</v>
      </c>
      <c r="R106" s="9">
        <v>102</v>
      </c>
      <c r="S106" s="9">
        <v>7</v>
      </c>
      <c r="T106" s="9">
        <v>185</v>
      </c>
      <c r="U106" s="9">
        <v>7</v>
      </c>
      <c r="V106" s="9">
        <v>7</v>
      </c>
      <c r="W106" s="9">
        <v>0</v>
      </c>
      <c r="X106" s="9">
        <v>0</v>
      </c>
      <c r="Y106" s="9">
        <v>0</v>
      </c>
      <c r="Z106" s="9">
        <v>1</v>
      </c>
      <c r="AA106" s="9">
        <v>73</v>
      </c>
      <c r="AC106" s="9">
        <f t="shared" si="4"/>
        <v>2228</v>
      </c>
      <c r="AD106" s="9">
        <f t="shared" si="5"/>
        <v>24594</v>
      </c>
      <c r="AE106" s="10">
        <f t="shared" si="6"/>
        <v>11.038599640933572</v>
      </c>
    </row>
    <row r="107" spans="1:31" x14ac:dyDescent="0.3">
      <c r="A107" s="55"/>
      <c r="B107" s="30" t="s">
        <v>109</v>
      </c>
      <c r="C107" s="9">
        <v>28</v>
      </c>
      <c r="D107" s="9">
        <v>10</v>
      </c>
      <c r="E107" s="9">
        <v>13</v>
      </c>
      <c r="F107" s="9">
        <v>17</v>
      </c>
      <c r="G107" s="9">
        <v>25</v>
      </c>
      <c r="H107" s="9">
        <v>36</v>
      </c>
      <c r="I107" s="9">
        <v>54</v>
      </c>
      <c r="J107" s="9">
        <v>59</v>
      </c>
      <c r="K107" s="9">
        <v>78</v>
      </c>
      <c r="L107" s="9">
        <v>47</v>
      </c>
      <c r="M107" s="9">
        <v>65</v>
      </c>
      <c r="N107" s="9">
        <v>57</v>
      </c>
      <c r="O107" s="9">
        <v>673</v>
      </c>
      <c r="P107" s="9">
        <v>39</v>
      </c>
      <c r="Q107" s="9">
        <v>88</v>
      </c>
      <c r="R107" s="9">
        <v>104</v>
      </c>
      <c r="S107" s="9">
        <v>26</v>
      </c>
      <c r="T107" s="9">
        <v>222</v>
      </c>
      <c r="U107" s="9">
        <v>2</v>
      </c>
      <c r="V107" s="9">
        <v>14</v>
      </c>
      <c r="W107" s="9">
        <v>0</v>
      </c>
      <c r="X107" s="9">
        <v>0</v>
      </c>
      <c r="Y107" s="9">
        <v>0</v>
      </c>
      <c r="Z107" s="9">
        <v>0</v>
      </c>
      <c r="AA107" s="9">
        <v>39</v>
      </c>
      <c r="AC107" s="9">
        <f t="shared" si="4"/>
        <v>1696</v>
      </c>
      <c r="AD107" s="9">
        <f t="shared" si="5"/>
        <v>20231</v>
      </c>
      <c r="AE107" s="10">
        <f t="shared" si="6"/>
        <v>11.928655660377359</v>
      </c>
    </row>
    <row r="108" spans="1:31" x14ac:dyDescent="0.3">
      <c r="A108" s="55"/>
      <c r="B108" s="30" t="s">
        <v>110</v>
      </c>
      <c r="C108" s="9">
        <v>84</v>
      </c>
      <c r="D108" s="9">
        <v>22</v>
      </c>
      <c r="E108" s="9">
        <v>18</v>
      </c>
      <c r="F108" s="9">
        <v>52</v>
      </c>
      <c r="G108" s="9">
        <v>67</v>
      </c>
      <c r="H108" s="9">
        <v>107</v>
      </c>
      <c r="I108" s="9">
        <v>114</v>
      </c>
      <c r="J108" s="9">
        <v>101</v>
      </c>
      <c r="K108" s="9">
        <v>169</v>
      </c>
      <c r="L108" s="9">
        <v>82</v>
      </c>
      <c r="M108" s="9">
        <v>108</v>
      </c>
      <c r="N108" s="9">
        <v>89</v>
      </c>
      <c r="O108" s="9">
        <v>1271</v>
      </c>
      <c r="P108" s="9">
        <v>44</v>
      </c>
      <c r="Q108" s="9">
        <v>67</v>
      </c>
      <c r="R108" s="9">
        <v>98</v>
      </c>
      <c r="S108" s="9">
        <v>5</v>
      </c>
      <c r="T108" s="9">
        <v>145</v>
      </c>
      <c r="U108" s="9">
        <v>0</v>
      </c>
      <c r="V108" s="9">
        <v>11</v>
      </c>
      <c r="W108" s="9">
        <v>0</v>
      </c>
      <c r="X108" s="9">
        <v>0</v>
      </c>
      <c r="Y108" s="9">
        <v>0</v>
      </c>
      <c r="Z108" s="9">
        <v>0</v>
      </c>
      <c r="AA108" s="9">
        <v>50</v>
      </c>
      <c r="AC108" s="9">
        <f t="shared" si="4"/>
        <v>2704</v>
      </c>
      <c r="AD108" s="9">
        <f t="shared" si="5"/>
        <v>28743</v>
      </c>
      <c r="AE108" s="10">
        <f t="shared" si="6"/>
        <v>10.629807692307692</v>
      </c>
    </row>
    <row r="109" spans="1:31" x14ac:dyDescent="0.3">
      <c r="A109" s="55"/>
      <c r="B109" s="30" t="s">
        <v>111</v>
      </c>
      <c r="C109" s="9">
        <v>47</v>
      </c>
      <c r="D109" s="9">
        <v>3</v>
      </c>
      <c r="E109" s="9">
        <v>25</v>
      </c>
      <c r="F109" s="9">
        <v>50</v>
      </c>
      <c r="G109" s="9">
        <v>42</v>
      </c>
      <c r="H109" s="9">
        <v>77</v>
      </c>
      <c r="I109" s="9">
        <v>69</v>
      </c>
      <c r="J109" s="9">
        <v>30</v>
      </c>
      <c r="K109" s="9">
        <v>69</v>
      </c>
      <c r="L109" s="9">
        <v>25</v>
      </c>
      <c r="M109" s="9">
        <v>54</v>
      </c>
      <c r="N109" s="9">
        <v>45</v>
      </c>
      <c r="O109" s="9">
        <v>502</v>
      </c>
      <c r="P109" s="9">
        <v>9</v>
      </c>
      <c r="Q109" s="9">
        <v>22</v>
      </c>
      <c r="R109" s="9">
        <v>20</v>
      </c>
      <c r="S109" s="9">
        <v>5</v>
      </c>
      <c r="T109" s="9">
        <v>45</v>
      </c>
      <c r="U109" s="9">
        <v>2</v>
      </c>
      <c r="V109" s="9">
        <v>2</v>
      </c>
      <c r="W109" s="9">
        <v>0</v>
      </c>
      <c r="X109" s="9">
        <v>0</v>
      </c>
      <c r="Y109" s="9">
        <v>0</v>
      </c>
      <c r="Z109" s="9">
        <v>0</v>
      </c>
      <c r="AA109" s="9">
        <v>38</v>
      </c>
      <c r="AC109" s="9">
        <f t="shared" si="4"/>
        <v>1181</v>
      </c>
      <c r="AD109" s="9">
        <f t="shared" si="5"/>
        <v>11772</v>
      </c>
      <c r="AE109" s="10">
        <f t="shared" si="6"/>
        <v>9.9678238780694333</v>
      </c>
    </row>
    <row r="110" spans="1:31" x14ac:dyDescent="0.3">
      <c r="A110" s="55"/>
      <c r="B110" s="30" t="s">
        <v>112</v>
      </c>
      <c r="C110" s="9">
        <v>15</v>
      </c>
      <c r="D110" s="9">
        <v>12</v>
      </c>
      <c r="E110" s="9">
        <v>9</v>
      </c>
      <c r="F110" s="9">
        <v>23</v>
      </c>
      <c r="G110" s="9">
        <v>24</v>
      </c>
      <c r="H110" s="9">
        <v>75</v>
      </c>
      <c r="I110" s="9">
        <v>82</v>
      </c>
      <c r="J110" s="9">
        <v>53</v>
      </c>
      <c r="K110" s="9">
        <v>93</v>
      </c>
      <c r="L110" s="9">
        <v>61</v>
      </c>
      <c r="M110" s="9">
        <v>68</v>
      </c>
      <c r="N110" s="9">
        <v>79</v>
      </c>
      <c r="O110" s="9">
        <v>1264</v>
      </c>
      <c r="P110" s="9">
        <v>68</v>
      </c>
      <c r="Q110" s="9">
        <v>121</v>
      </c>
      <c r="R110" s="9">
        <v>158</v>
      </c>
      <c r="S110" s="9">
        <v>28</v>
      </c>
      <c r="T110" s="9">
        <v>228</v>
      </c>
      <c r="U110" s="9">
        <v>4</v>
      </c>
      <c r="V110" s="9">
        <v>13</v>
      </c>
      <c r="W110" s="9">
        <v>0</v>
      </c>
      <c r="X110" s="9">
        <v>0</v>
      </c>
      <c r="Y110" s="9">
        <v>0</v>
      </c>
      <c r="Z110" s="9">
        <v>1</v>
      </c>
      <c r="AA110" s="9">
        <v>70</v>
      </c>
      <c r="AC110" s="9">
        <f t="shared" si="4"/>
        <v>2549</v>
      </c>
      <c r="AD110" s="9">
        <f t="shared" si="5"/>
        <v>30737</v>
      </c>
      <c r="AE110" s="10">
        <f t="shared" si="6"/>
        <v>12.058454295802276</v>
      </c>
    </row>
    <row r="111" spans="1:31" x14ac:dyDescent="0.3">
      <c r="A111" s="55"/>
      <c r="B111" s="30" t="s">
        <v>113</v>
      </c>
      <c r="C111" s="9">
        <v>22</v>
      </c>
      <c r="D111" s="9">
        <v>4</v>
      </c>
      <c r="E111" s="9">
        <v>9</v>
      </c>
      <c r="F111" s="9">
        <v>12</v>
      </c>
      <c r="G111" s="9">
        <v>8</v>
      </c>
      <c r="H111" s="9">
        <v>21</v>
      </c>
      <c r="I111" s="9">
        <v>15</v>
      </c>
      <c r="J111" s="9">
        <v>25</v>
      </c>
      <c r="K111" s="9">
        <v>64</v>
      </c>
      <c r="L111" s="9">
        <v>20</v>
      </c>
      <c r="M111" s="9">
        <v>31</v>
      </c>
      <c r="N111" s="9">
        <v>29</v>
      </c>
      <c r="O111" s="9">
        <v>570</v>
      </c>
      <c r="P111" s="9">
        <v>40</v>
      </c>
      <c r="Q111" s="9">
        <v>51</v>
      </c>
      <c r="R111" s="9">
        <v>109</v>
      </c>
      <c r="S111" s="9">
        <v>12</v>
      </c>
      <c r="T111" s="9">
        <v>128</v>
      </c>
      <c r="U111" s="9">
        <v>5</v>
      </c>
      <c r="V111" s="9">
        <v>6</v>
      </c>
      <c r="W111" s="9">
        <v>0</v>
      </c>
      <c r="X111" s="9">
        <v>1</v>
      </c>
      <c r="Y111" s="9">
        <v>0</v>
      </c>
      <c r="Z111" s="9">
        <v>0</v>
      </c>
      <c r="AA111" s="9">
        <v>34</v>
      </c>
      <c r="AC111" s="9">
        <f t="shared" si="4"/>
        <v>1216</v>
      </c>
      <c r="AD111" s="9">
        <f t="shared" si="5"/>
        <v>14899</v>
      </c>
      <c r="AE111" s="10">
        <f t="shared" si="6"/>
        <v>12.252467105263158</v>
      </c>
    </row>
    <row r="112" spans="1:31" x14ac:dyDescent="0.3">
      <c r="A112" s="55"/>
      <c r="B112" s="30" t="s">
        <v>114</v>
      </c>
      <c r="C112" s="9">
        <v>10</v>
      </c>
      <c r="D112" s="9">
        <v>0</v>
      </c>
      <c r="E112" s="9">
        <v>5</v>
      </c>
      <c r="F112" s="9">
        <v>14</v>
      </c>
      <c r="G112" s="9">
        <v>17</v>
      </c>
      <c r="H112" s="9">
        <v>50</v>
      </c>
      <c r="I112" s="9">
        <v>29</v>
      </c>
      <c r="J112" s="9">
        <v>27</v>
      </c>
      <c r="K112" s="9">
        <v>61</v>
      </c>
      <c r="L112" s="9">
        <v>30</v>
      </c>
      <c r="M112" s="9">
        <v>109</v>
      </c>
      <c r="N112" s="9">
        <v>48</v>
      </c>
      <c r="O112" s="9">
        <v>779</v>
      </c>
      <c r="P112" s="9">
        <v>39</v>
      </c>
      <c r="Q112" s="9">
        <v>88</v>
      </c>
      <c r="R112" s="9">
        <v>73</v>
      </c>
      <c r="S112" s="9">
        <v>22</v>
      </c>
      <c r="T112" s="9">
        <v>101</v>
      </c>
      <c r="U112" s="9">
        <v>3</v>
      </c>
      <c r="V112" s="9">
        <v>7</v>
      </c>
      <c r="W112" s="9">
        <v>0</v>
      </c>
      <c r="X112" s="9">
        <v>0</v>
      </c>
      <c r="Y112" s="9">
        <v>0</v>
      </c>
      <c r="Z112" s="9">
        <v>1</v>
      </c>
      <c r="AA112" s="9">
        <v>21</v>
      </c>
      <c r="AC112" s="9">
        <f t="shared" si="4"/>
        <v>1534</v>
      </c>
      <c r="AD112" s="9">
        <f t="shared" si="5"/>
        <v>18074</v>
      </c>
      <c r="AE112" s="10">
        <f t="shared" si="6"/>
        <v>11.782268578878748</v>
      </c>
    </row>
    <row r="113" spans="1:31" x14ac:dyDescent="0.3">
      <c r="A113" s="55"/>
      <c r="B113" s="30" t="s">
        <v>115</v>
      </c>
      <c r="C113" s="9">
        <v>16</v>
      </c>
      <c r="D113" s="9">
        <v>6</v>
      </c>
      <c r="E113" s="9">
        <v>3</v>
      </c>
      <c r="F113" s="9">
        <v>5</v>
      </c>
      <c r="G113" s="9">
        <v>10</v>
      </c>
      <c r="H113" s="9">
        <v>25</v>
      </c>
      <c r="I113" s="9">
        <v>12</v>
      </c>
      <c r="J113" s="9">
        <v>35</v>
      </c>
      <c r="K113" s="9">
        <v>58</v>
      </c>
      <c r="L113" s="9">
        <v>41</v>
      </c>
      <c r="M113" s="9">
        <v>52</v>
      </c>
      <c r="N113" s="9">
        <v>56</v>
      </c>
      <c r="O113" s="9">
        <v>847</v>
      </c>
      <c r="P113" s="9">
        <v>26</v>
      </c>
      <c r="Q113" s="9">
        <v>34</v>
      </c>
      <c r="R113" s="9">
        <v>45</v>
      </c>
      <c r="S113" s="9">
        <v>12</v>
      </c>
      <c r="T113" s="9">
        <v>76</v>
      </c>
      <c r="U113" s="9">
        <v>4</v>
      </c>
      <c r="V113" s="9">
        <v>2</v>
      </c>
      <c r="W113" s="9">
        <v>0</v>
      </c>
      <c r="X113" s="9">
        <v>0</v>
      </c>
      <c r="Y113" s="9">
        <v>1</v>
      </c>
      <c r="Z113" s="9">
        <v>1</v>
      </c>
      <c r="AA113" s="9">
        <v>40</v>
      </c>
      <c r="AC113" s="9">
        <f t="shared" si="4"/>
        <v>1407</v>
      </c>
      <c r="AD113" s="9">
        <f t="shared" si="5"/>
        <v>16730</v>
      </c>
      <c r="AE113" s="10">
        <f t="shared" si="6"/>
        <v>11.890547263681592</v>
      </c>
    </row>
    <row r="114" spans="1:31" x14ac:dyDescent="0.3">
      <c r="A114" s="55"/>
      <c r="B114" s="30" t="s">
        <v>116</v>
      </c>
      <c r="C114" s="9">
        <v>8</v>
      </c>
      <c r="D114" s="9">
        <v>1</v>
      </c>
      <c r="E114" s="9">
        <v>1</v>
      </c>
      <c r="F114" s="9">
        <v>7</v>
      </c>
      <c r="G114" s="9">
        <v>8</v>
      </c>
      <c r="H114" s="9">
        <v>19</v>
      </c>
      <c r="I114" s="9">
        <v>18</v>
      </c>
      <c r="J114" s="9">
        <v>24</v>
      </c>
      <c r="K114" s="9">
        <v>24</v>
      </c>
      <c r="L114" s="9">
        <v>22</v>
      </c>
      <c r="M114" s="9">
        <v>31</v>
      </c>
      <c r="N114" s="9">
        <v>34</v>
      </c>
      <c r="O114" s="9">
        <v>535</v>
      </c>
      <c r="P114" s="9">
        <v>24</v>
      </c>
      <c r="Q114" s="9">
        <v>48</v>
      </c>
      <c r="R114" s="9">
        <v>54</v>
      </c>
      <c r="S114" s="9">
        <v>10</v>
      </c>
      <c r="T114" s="9">
        <v>59</v>
      </c>
      <c r="U114" s="9">
        <v>2</v>
      </c>
      <c r="V114" s="9">
        <v>3</v>
      </c>
      <c r="W114" s="9">
        <v>1</v>
      </c>
      <c r="X114" s="9">
        <v>0</v>
      </c>
      <c r="Y114" s="9">
        <v>0</v>
      </c>
      <c r="Z114" s="9">
        <v>0</v>
      </c>
      <c r="AA114" s="9">
        <v>21</v>
      </c>
      <c r="AC114" s="9">
        <f t="shared" si="4"/>
        <v>954</v>
      </c>
      <c r="AD114" s="9">
        <f t="shared" si="5"/>
        <v>11495</v>
      </c>
      <c r="AE114" s="10">
        <f t="shared" si="6"/>
        <v>12.049266247379455</v>
      </c>
    </row>
    <row r="115" spans="1:31" x14ac:dyDescent="0.3">
      <c r="A115" s="55"/>
      <c r="B115" s="30" t="s">
        <v>117</v>
      </c>
      <c r="C115" s="9">
        <v>1</v>
      </c>
      <c r="D115" s="9">
        <v>4</v>
      </c>
      <c r="E115" s="9">
        <v>3</v>
      </c>
      <c r="F115" s="9">
        <v>3</v>
      </c>
      <c r="G115" s="9">
        <v>4</v>
      </c>
      <c r="H115" s="9">
        <v>10</v>
      </c>
      <c r="I115" s="9">
        <v>10</v>
      </c>
      <c r="J115" s="9">
        <v>5</v>
      </c>
      <c r="K115" s="9">
        <v>15</v>
      </c>
      <c r="L115" s="9">
        <v>7</v>
      </c>
      <c r="M115" s="9">
        <v>10</v>
      </c>
      <c r="N115" s="9">
        <v>10</v>
      </c>
      <c r="O115" s="9">
        <v>137</v>
      </c>
      <c r="P115" s="9">
        <v>11</v>
      </c>
      <c r="Q115" s="9">
        <v>5</v>
      </c>
      <c r="R115" s="9">
        <v>17</v>
      </c>
      <c r="S115" s="9">
        <v>3</v>
      </c>
      <c r="T115" s="9">
        <v>23</v>
      </c>
      <c r="U115" s="9">
        <v>1</v>
      </c>
      <c r="V115" s="9">
        <v>2</v>
      </c>
      <c r="W115" s="9">
        <v>0</v>
      </c>
      <c r="X115" s="9">
        <v>0</v>
      </c>
      <c r="Y115" s="9">
        <v>0</v>
      </c>
      <c r="Z115" s="9">
        <v>1</v>
      </c>
      <c r="AA115" s="9">
        <v>2</v>
      </c>
      <c r="AC115" s="9">
        <f t="shared" si="4"/>
        <v>284</v>
      </c>
      <c r="AD115" s="9">
        <f t="shared" si="5"/>
        <v>3251</v>
      </c>
      <c r="AE115" s="10">
        <f t="shared" si="6"/>
        <v>11.44718309859155</v>
      </c>
    </row>
    <row r="116" spans="1:31" x14ac:dyDescent="0.3">
      <c r="A116" s="55"/>
      <c r="B116" s="30" t="s">
        <v>118</v>
      </c>
      <c r="C116" s="9">
        <v>9</v>
      </c>
      <c r="D116" s="9">
        <v>2</v>
      </c>
      <c r="E116" s="9">
        <v>1</v>
      </c>
      <c r="F116" s="9">
        <v>6</v>
      </c>
      <c r="G116" s="9">
        <v>5</v>
      </c>
      <c r="H116" s="9">
        <v>28</v>
      </c>
      <c r="I116" s="9">
        <v>18</v>
      </c>
      <c r="J116" s="9">
        <v>30</v>
      </c>
      <c r="K116" s="9">
        <v>41</v>
      </c>
      <c r="L116" s="9">
        <v>18</v>
      </c>
      <c r="M116" s="9">
        <v>40</v>
      </c>
      <c r="N116" s="9">
        <v>33</v>
      </c>
      <c r="O116" s="9">
        <v>572</v>
      </c>
      <c r="P116" s="9">
        <v>30</v>
      </c>
      <c r="Q116" s="9">
        <v>43</v>
      </c>
      <c r="R116" s="9">
        <v>57</v>
      </c>
      <c r="S116" s="9">
        <v>12</v>
      </c>
      <c r="T116" s="9">
        <v>82</v>
      </c>
      <c r="U116" s="9">
        <v>2</v>
      </c>
      <c r="V116" s="9">
        <v>2</v>
      </c>
      <c r="W116" s="9">
        <v>0</v>
      </c>
      <c r="X116" s="9">
        <v>0</v>
      </c>
      <c r="Y116" s="9">
        <v>0</v>
      </c>
      <c r="Z116" s="9">
        <v>2</v>
      </c>
      <c r="AA116" s="9">
        <v>24</v>
      </c>
      <c r="AC116" s="9">
        <f t="shared" si="4"/>
        <v>1057</v>
      </c>
      <c r="AD116" s="9">
        <f t="shared" si="5"/>
        <v>12746</v>
      </c>
      <c r="AE116" s="10">
        <f t="shared" si="6"/>
        <v>12.058656575212867</v>
      </c>
    </row>
    <row r="117" spans="1:31" x14ac:dyDescent="0.3">
      <c r="A117" s="55"/>
      <c r="B117" s="30" t="s">
        <v>119</v>
      </c>
      <c r="C117" s="9">
        <v>19</v>
      </c>
      <c r="D117" s="9">
        <v>4</v>
      </c>
      <c r="E117" s="9">
        <v>1</v>
      </c>
      <c r="F117" s="9">
        <v>8</v>
      </c>
      <c r="G117" s="9">
        <v>10</v>
      </c>
      <c r="H117" s="9">
        <v>31</v>
      </c>
      <c r="I117" s="9">
        <v>31</v>
      </c>
      <c r="J117" s="9">
        <v>14</v>
      </c>
      <c r="K117" s="9">
        <v>53</v>
      </c>
      <c r="L117" s="9">
        <v>17</v>
      </c>
      <c r="M117" s="9">
        <v>49</v>
      </c>
      <c r="N117" s="9">
        <v>46</v>
      </c>
      <c r="O117" s="9">
        <v>523</v>
      </c>
      <c r="P117" s="9">
        <v>35</v>
      </c>
      <c r="Q117" s="9">
        <v>58</v>
      </c>
      <c r="R117" s="9">
        <v>64</v>
      </c>
      <c r="S117" s="9">
        <v>13</v>
      </c>
      <c r="T117" s="9">
        <v>69</v>
      </c>
      <c r="U117" s="9">
        <v>0</v>
      </c>
      <c r="V117" s="9">
        <v>2</v>
      </c>
      <c r="W117" s="9">
        <v>0</v>
      </c>
      <c r="X117" s="9">
        <v>0</v>
      </c>
      <c r="Y117" s="9">
        <v>1</v>
      </c>
      <c r="Z117" s="9">
        <v>0</v>
      </c>
      <c r="AA117" s="9">
        <v>26</v>
      </c>
      <c r="AC117" s="9">
        <f t="shared" si="4"/>
        <v>1074</v>
      </c>
      <c r="AD117" s="9">
        <f t="shared" si="5"/>
        <v>12650</v>
      </c>
      <c r="AE117" s="10">
        <f t="shared" si="6"/>
        <v>11.778398510242086</v>
      </c>
    </row>
    <row r="118" spans="1:31" x14ac:dyDescent="0.3">
      <c r="A118" s="55"/>
      <c r="B118" s="30" t="s">
        <v>120</v>
      </c>
      <c r="C118" s="9">
        <v>111</v>
      </c>
      <c r="D118" s="9">
        <v>41</v>
      </c>
      <c r="E118" s="9">
        <v>55</v>
      </c>
      <c r="F118" s="9">
        <v>111</v>
      </c>
      <c r="G118" s="9">
        <v>118</v>
      </c>
      <c r="H118" s="9">
        <v>278</v>
      </c>
      <c r="I118" s="9">
        <v>281</v>
      </c>
      <c r="J118" s="9">
        <v>349</v>
      </c>
      <c r="K118" s="9">
        <v>551</v>
      </c>
      <c r="L118" s="9">
        <v>334</v>
      </c>
      <c r="M118" s="9">
        <v>395</v>
      </c>
      <c r="N118" s="9">
        <v>387</v>
      </c>
      <c r="O118" s="9">
        <v>4781</v>
      </c>
      <c r="P118" s="9">
        <v>263</v>
      </c>
      <c r="Q118" s="9">
        <v>501</v>
      </c>
      <c r="R118" s="9">
        <v>1047</v>
      </c>
      <c r="S118" s="9">
        <v>143</v>
      </c>
      <c r="T118" s="9">
        <v>1236</v>
      </c>
      <c r="U118" s="9">
        <v>22</v>
      </c>
      <c r="V118" s="9">
        <v>52</v>
      </c>
      <c r="W118" s="9">
        <v>0</v>
      </c>
      <c r="X118" s="9">
        <v>1</v>
      </c>
      <c r="Y118" s="9">
        <v>0</v>
      </c>
      <c r="Z118" s="9">
        <v>3</v>
      </c>
      <c r="AA118" s="9">
        <v>210</v>
      </c>
      <c r="AC118" s="9">
        <f t="shared" si="4"/>
        <v>11270</v>
      </c>
      <c r="AD118" s="9">
        <f t="shared" si="5"/>
        <v>135420</v>
      </c>
      <c r="AE118" s="10">
        <f t="shared" si="6"/>
        <v>12.015971606033718</v>
      </c>
    </row>
    <row r="119" spans="1:31" x14ac:dyDescent="0.3">
      <c r="A119" s="55"/>
      <c r="B119" s="30" t="s">
        <v>121</v>
      </c>
      <c r="C119" s="9">
        <v>37</v>
      </c>
      <c r="D119" s="9">
        <v>4</v>
      </c>
      <c r="E119" s="9">
        <v>10</v>
      </c>
      <c r="F119" s="9">
        <v>27</v>
      </c>
      <c r="G119" s="9">
        <v>28</v>
      </c>
      <c r="H119" s="9">
        <v>48</v>
      </c>
      <c r="I119" s="9">
        <v>58</v>
      </c>
      <c r="J119" s="9">
        <v>72</v>
      </c>
      <c r="K119" s="9">
        <v>92</v>
      </c>
      <c r="L119" s="9">
        <v>54</v>
      </c>
      <c r="M119" s="9">
        <v>74</v>
      </c>
      <c r="N119" s="9">
        <v>75</v>
      </c>
      <c r="O119" s="9">
        <v>843</v>
      </c>
      <c r="P119" s="9">
        <v>42</v>
      </c>
      <c r="Q119" s="9">
        <v>78</v>
      </c>
      <c r="R119" s="9">
        <v>101</v>
      </c>
      <c r="S119" s="9">
        <v>21</v>
      </c>
      <c r="T119" s="9">
        <v>213</v>
      </c>
      <c r="U119" s="9">
        <v>0</v>
      </c>
      <c r="V119" s="9">
        <v>7</v>
      </c>
      <c r="W119" s="9">
        <v>0</v>
      </c>
      <c r="X119" s="9">
        <v>0</v>
      </c>
      <c r="Y119" s="9">
        <v>0</v>
      </c>
      <c r="Z119" s="9">
        <v>1</v>
      </c>
      <c r="AA119" s="9">
        <v>18</v>
      </c>
      <c r="AC119" s="9">
        <f t="shared" si="4"/>
        <v>1903</v>
      </c>
      <c r="AD119" s="9">
        <f t="shared" si="5"/>
        <v>21910</v>
      </c>
      <c r="AE119" s="10">
        <f t="shared" si="6"/>
        <v>11.513399894902784</v>
      </c>
    </row>
    <row r="120" spans="1:31" x14ac:dyDescent="0.3">
      <c r="A120" s="55"/>
      <c r="B120" s="30" t="s">
        <v>122</v>
      </c>
      <c r="C120" s="9">
        <v>827</v>
      </c>
      <c r="D120" s="9">
        <v>389</v>
      </c>
      <c r="E120" s="9">
        <v>607</v>
      </c>
      <c r="F120" s="9">
        <v>1160</v>
      </c>
      <c r="G120" s="9">
        <v>1082</v>
      </c>
      <c r="H120" s="9">
        <v>2082</v>
      </c>
      <c r="I120" s="9">
        <v>1944</v>
      </c>
      <c r="J120" s="9">
        <v>2336</v>
      </c>
      <c r="K120" s="9">
        <v>3521</v>
      </c>
      <c r="L120" s="9">
        <v>2220</v>
      </c>
      <c r="M120" s="9">
        <v>2453</v>
      </c>
      <c r="N120" s="9">
        <v>2556</v>
      </c>
      <c r="O120" s="9">
        <v>31743</v>
      </c>
      <c r="P120" s="9">
        <v>4344</v>
      </c>
      <c r="Q120" s="9">
        <v>8558</v>
      </c>
      <c r="R120" s="9">
        <v>14985</v>
      </c>
      <c r="S120" s="9">
        <v>5200</v>
      </c>
      <c r="T120" s="9">
        <v>35218</v>
      </c>
      <c r="U120" s="9">
        <v>892</v>
      </c>
      <c r="V120" s="9">
        <v>2928</v>
      </c>
      <c r="W120" s="9">
        <v>42</v>
      </c>
      <c r="X120" s="9">
        <v>18</v>
      </c>
      <c r="Y120" s="9">
        <v>20</v>
      </c>
      <c r="Z120" s="9">
        <v>136</v>
      </c>
      <c r="AA120" s="9">
        <v>1222</v>
      </c>
      <c r="AC120" s="9">
        <f t="shared" si="4"/>
        <v>126483</v>
      </c>
      <c r="AD120" s="9">
        <f t="shared" si="5"/>
        <v>1718314</v>
      </c>
      <c r="AE120" s="10">
        <f t="shared" si="6"/>
        <v>13.585335578694369</v>
      </c>
    </row>
    <row r="121" spans="1:31" x14ac:dyDescent="0.3">
      <c r="A121" s="55"/>
      <c r="B121" s="30" t="s">
        <v>123</v>
      </c>
      <c r="C121" s="9">
        <v>59</v>
      </c>
      <c r="D121" s="9">
        <v>18</v>
      </c>
      <c r="E121" s="9">
        <v>37</v>
      </c>
      <c r="F121" s="9">
        <v>76</v>
      </c>
      <c r="G121" s="9">
        <v>110</v>
      </c>
      <c r="H121" s="9">
        <v>202</v>
      </c>
      <c r="I121" s="9">
        <v>192</v>
      </c>
      <c r="J121" s="9">
        <v>117</v>
      </c>
      <c r="K121" s="9">
        <v>255</v>
      </c>
      <c r="L121" s="9">
        <v>100</v>
      </c>
      <c r="M121" s="9">
        <v>96</v>
      </c>
      <c r="N121" s="9">
        <v>89</v>
      </c>
      <c r="O121" s="9">
        <v>817</v>
      </c>
      <c r="P121" s="9">
        <v>63</v>
      </c>
      <c r="Q121" s="9">
        <v>159</v>
      </c>
      <c r="R121" s="9">
        <v>325</v>
      </c>
      <c r="S121" s="9">
        <v>53</v>
      </c>
      <c r="T121" s="9">
        <v>412</v>
      </c>
      <c r="U121" s="9">
        <v>6</v>
      </c>
      <c r="V121" s="9">
        <v>22</v>
      </c>
      <c r="W121" s="9">
        <v>2</v>
      </c>
      <c r="X121" s="9">
        <v>0</v>
      </c>
      <c r="Y121" s="9">
        <v>0</v>
      </c>
      <c r="Z121" s="9">
        <v>0</v>
      </c>
      <c r="AA121" s="9">
        <v>71</v>
      </c>
      <c r="AC121" s="9">
        <f t="shared" si="4"/>
        <v>3281</v>
      </c>
      <c r="AD121" s="9">
        <f t="shared" si="5"/>
        <v>36466</v>
      </c>
      <c r="AE121" s="10">
        <f t="shared" si="6"/>
        <v>11.114294422432184</v>
      </c>
    </row>
    <row r="122" spans="1:31" x14ac:dyDescent="0.3">
      <c r="A122" s="55"/>
      <c r="B122" s="30" t="s">
        <v>124</v>
      </c>
      <c r="C122" s="9">
        <v>13</v>
      </c>
      <c r="D122" s="9">
        <v>3</v>
      </c>
      <c r="E122" s="9">
        <v>8</v>
      </c>
      <c r="F122" s="9">
        <v>16</v>
      </c>
      <c r="G122" s="9">
        <v>13</v>
      </c>
      <c r="H122" s="9">
        <v>53</v>
      </c>
      <c r="I122" s="9">
        <v>25</v>
      </c>
      <c r="J122" s="9">
        <v>30</v>
      </c>
      <c r="K122" s="9">
        <v>91</v>
      </c>
      <c r="L122" s="9">
        <v>19</v>
      </c>
      <c r="M122" s="9">
        <v>42</v>
      </c>
      <c r="N122" s="9">
        <v>45</v>
      </c>
      <c r="O122" s="9">
        <v>462</v>
      </c>
      <c r="P122" s="9">
        <v>21</v>
      </c>
      <c r="Q122" s="9">
        <v>65</v>
      </c>
      <c r="R122" s="9">
        <v>95</v>
      </c>
      <c r="S122" s="9">
        <v>29</v>
      </c>
      <c r="T122" s="9">
        <v>136</v>
      </c>
      <c r="U122" s="9">
        <v>3</v>
      </c>
      <c r="V122" s="9">
        <v>11</v>
      </c>
      <c r="W122" s="9">
        <v>0</v>
      </c>
      <c r="X122" s="9">
        <v>0</v>
      </c>
      <c r="Y122" s="9">
        <v>0</v>
      </c>
      <c r="Z122" s="9">
        <v>0</v>
      </c>
      <c r="AA122" s="9">
        <v>20</v>
      </c>
      <c r="AC122" s="9">
        <f t="shared" si="4"/>
        <v>1200</v>
      </c>
      <c r="AD122" s="9">
        <f t="shared" si="5"/>
        <v>14229</v>
      </c>
      <c r="AE122" s="10">
        <f t="shared" si="6"/>
        <v>11.8575</v>
      </c>
    </row>
    <row r="123" spans="1:31" x14ac:dyDescent="0.3">
      <c r="A123" s="55"/>
      <c r="B123" s="30" t="s">
        <v>125</v>
      </c>
      <c r="C123" s="9">
        <v>25</v>
      </c>
      <c r="D123" s="9">
        <v>14</v>
      </c>
      <c r="E123" s="9">
        <v>20</v>
      </c>
      <c r="F123" s="9">
        <v>15</v>
      </c>
      <c r="G123" s="9">
        <v>36</v>
      </c>
      <c r="H123" s="9">
        <v>70</v>
      </c>
      <c r="I123" s="9">
        <v>105</v>
      </c>
      <c r="J123" s="9">
        <v>59</v>
      </c>
      <c r="K123" s="9">
        <v>92</v>
      </c>
      <c r="L123" s="9">
        <v>48</v>
      </c>
      <c r="M123" s="9">
        <v>37</v>
      </c>
      <c r="N123" s="9">
        <v>29</v>
      </c>
      <c r="O123" s="9">
        <v>351</v>
      </c>
      <c r="P123" s="9">
        <v>29</v>
      </c>
      <c r="Q123" s="9">
        <v>49</v>
      </c>
      <c r="R123" s="9">
        <v>60</v>
      </c>
      <c r="S123" s="9">
        <v>12</v>
      </c>
      <c r="T123" s="9">
        <v>154</v>
      </c>
      <c r="U123" s="9">
        <v>2</v>
      </c>
      <c r="V123" s="9">
        <v>3</v>
      </c>
      <c r="W123" s="9">
        <v>0</v>
      </c>
      <c r="X123" s="9">
        <v>0</v>
      </c>
      <c r="Y123" s="9">
        <v>0</v>
      </c>
      <c r="Z123" s="9">
        <v>1</v>
      </c>
      <c r="AA123" s="9">
        <v>13</v>
      </c>
      <c r="AC123" s="9">
        <f t="shared" si="4"/>
        <v>1224</v>
      </c>
      <c r="AD123" s="9">
        <f t="shared" si="5"/>
        <v>12906</v>
      </c>
      <c r="AE123" s="10">
        <f t="shared" si="6"/>
        <v>10.544117647058824</v>
      </c>
    </row>
    <row r="124" spans="1:31" x14ac:dyDescent="0.3">
      <c r="A124" s="55"/>
      <c r="B124" s="30" t="s">
        <v>126</v>
      </c>
      <c r="C124" s="9">
        <v>63</v>
      </c>
      <c r="D124" s="9">
        <v>35</v>
      </c>
      <c r="E124" s="9">
        <v>58</v>
      </c>
      <c r="F124" s="9">
        <v>106</v>
      </c>
      <c r="G124" s="9">
        <v>129</v>
      </c>
      <c r="H124" s="9">
        <v>237</v>
      </c>
      <c r="I124" s="9">
        <v>209</v>
      </c>
      <c r="J124" s="9">
        <v>144</v>
      </c>
      <c r="K124" s="9">
        <v>265</v>
      </c>
      <c r="L124" s="9">
        <v>144</v>
      </c>
      <c r="M124" s="9">
        <v>156</v>
      </c>
      <c r="N124" s="9">
        <v>130</v>
      </c>
      <c r="O124" s="9">
        <v>815</v>
      </c>
      <c r="P124" s="9">
        <v>64</v>
      </c>
      <c r="Q124" s="9">
        <v>85</v>
      </c>
      <c r="R124" s="9">
        <v>134</v>
      </c>
      <c r="S124" s="9">
        <v>16</v>
      </c>
      <c r="T124" s="9">
        <v>128</v>
      </c>
      <c r="U124" s="9">
        <v>8</v>
      </c>
      <c r="V124" s="9">
        <v>5</v>
      </c>
      <c r="W124" s="9">
        <v>0</v>
      </c>
      <c r="X124" s="9">
        <v>0</v>
      </c>
      <c r="Y124" s="9">
        <v>0</v>
      </c>
      <c r="Z124" s="9">
        <v>1</v>
      </c>
      <c r="AA124" s="9">
        <v>31</v>
      </c>
      <c r="AC124" s="9">
        <f t="shared" si="4"/>
        <v>2963</v>
      </c>
      <c r="AD124" s="9">
        <f t="shared" si="5"/>
        <v>28088</v>
      </c>
      <c r="AE124" s="10">
        <f t="shared" si="6"/>
        <v>9.4795815052311845</v>
      </c>
    </row>
    <row r="125" spans="1:31" x14ac:dyDescent="0.3">
      <c r="A125" s="55"/>
      <c r="B125" s="30" t="s">
        <v>127</v>
      </c>
      <c r="C125" s="9">
        <v>61</v>
      </c>
      <c r="D125" s="9">
        <v>17</v>
      </c>
      <c r="E125" s="9">
        <v>36</v>
      </c>
      <c r="F125" s="9">
        <v>99</v>
      </c>
      <c r="G125" s="9">
        <v>136</v>
      </c>
      <c r="H125" s="9">
        <v>212</v>
      </c>
      <c r="I125" s="9">
        <v>195</v>
      </c>
      <c r="J125" s="9">
        <v>138</v>
      </c>
      <c r="K125" s="9">
        <v>161</v>
      </c>
      <c r="L125" s="9">
        <v>93</v>
      </c>
      <c r="M125" s="9">
        <v>79</v>
      </c>
      <c r="N125" s="9">
        <v>83</v>
      </c>
      <c r="O125" s="9">
        <v>480</v>
      </c>
      <c r="P125" s="9">
        <v>44</v>
      </c>
      <c r="Q125" s="9">
        <v>32</v>
      </c>
      <c r="R125" s="9">
        <v>57</v>
      </c>
      <c r="S125" s="9">
        <v>7</v>
      </c>
      <c r="T125" s="9">
        <v>62</v>
      </c>
      <c r="U125" s="9">
        <v>5</v>
      </c>
      <c r="V125" s="9">
        <v>4</v>
      </c>
      <c r="W125" s="9">
        <v>0</v>
      </c>
      <c r="X125" s="9">
        <v>0</v>
      </c>
      <c r="Y125" s="9">
        <v>0</v>
      </c>
      <c r="Z125" s="9">
        <v>0</v>
      </c>
      <c r="AA125" s="9">
        <v>25</v>
      </c>
      <c r="AC125" s="9">
        <f t="shared" si="4"/>
        <v>2026</v>
      </c>
      <c r="AD125" s="9">
        <f t="shared" si="5"/>
        <v>17521</v>
      </c>
      <c r="AE125" s="10">
        <f t="shared" si="6"/>
        <v>8.6480750246791711</v>
      </c>
    </row>
    <row r="126" spans="1:31" x14ac:dyDescent="0.3">
      <c r="A126" s="55"/>
      <c r="B126" s="30" t="s">
        <v>128</v>
      </c>
      <c r="C126" s="9">
        <v>46</v>
      </c>
      <c r="D126" s="9">
        <v>39</v>
      </c>
      <c r="E126" s="9">
        <v>76</v>
      </c>
      <c r="F126" s="9">
        <v>152</v>
      </c>
      <c r="G126" s="9">
        <v>179</v>
      </c>
      <c r="H126" s="9">
        <v>302</v>
      </c>
      <c r="I126" s="9">
        <v>303</v>
      </c>
      <c r="J126" s="9">
        <v>156</v>
      </c>
      <c r="K126" s="9">
        <v>408</v>
      </c>
      <c r="L126" s="9">
        <v>139</v>
      </c>
      <c r="M126" s="9">
        <v>127</v>
      </c>
      <c r="N126" s="9">
        <v>108</v>
      </c>
      <c r="O126" s="9">
        <v>697</v>
      </c>
      <c r="P126" s="9">
        <v>34</v>
      </c>
      <c r="Q126" s="9">
        <v>49</v>
      </c>
      <c r="R126" s="9">
        <v>82</v>
      </c>
      <c r="S126" s="9">
        <v>6</v>
      </c>
      <c r="T126" s="9">
        <v>71</v>
      </c>
      <c r="U126" s="9">
        <v>7</v>
      </c>
      <c r="V126" s="9">
        <v>1</v>
      </c>
      <c r="W126" s="9">
        <v>1</v>
      </c>
      <c r="X126" s="9">
        <v>0</v>
      </c>
      <c r="Y126" s="9">
        <v>0</v>
      </c>
      <c r="Z126" s="9">
        <v>1</v>
      </c>
      <c r="AA126" s="9">
        <v>77</v>
      </c>
      <c r="AC126" s="9">
        <f t="shared" si="4"/>
        <v>3061</v>
      </c>
      <c r="AD126" s="9">
        <f t="shared" si="5"/>
        <v>26817</v>
      </c>
      <c r="AE126" s="10">
        <f t="shared" si="6"/>
        <v>8.7608624632473049</v>
      </c>
    </row>
    <row r="127" spans="1:31" x14ac:dyDescent="0.3">
      <c r="A127" s="55"/>
      <c r="B127" s="30" t="s">
        <v>129</v>
      </c>
      <c r="C127" s="9">
        <v>35</v>
      </c>
      <c r="D127" s="9">
        <v>19</v>
      </c>
      <c r="E127" s="9">
        <v>21</v>
      </c>
      <c r="F127" s="9">
        <v>45</v>
      </c>
      <c r="G127" s="9">
        <v>46</v>
      </c>
      <c r="H127" s="9">
        <v>94</v>
      </c>
      <c r="I127" s="9">
        <v>79</v>
      </c>
      <c r="J127" s="9">
        <v>48</v>
      </c>
      <c r="K127" s="9">
        <v>90</v>
      </c>
      <c r="L127" s="9">
        <v>49</v>
      </c>
      <c r="M127" s="9">
        <v>34</v>
      </c>
      <c r="N127" s="9">
        <v>43</v>
      </c>
      <c r="O127" s="9">
        <v>441</v>
      </c>
      <c r="P127" s="9">
        <v>36</v>
      </c>
      <c r="Q127" s="9">
        <v>98</v>
      </c>
      <c r="R127" s="9">
        <v>189</v>
      </c>
      <c r="S127" s="9">
        <v>42</v>
      </c>
      <c r="T127" s="9">
        <v>279</v>
      </c>
      <c r="U127" s="9">
        <v>7</v>
      </c>
      <c r="V127" s="9">
        <v>9</v>
      </c>
      <c r="W127" s="9">
        <v>0</v>
      </c>
      <c r="X127" s="9">
        <v>0</v>
      </c>
      <c r="Y127" s="9">
        <v>0</v>
      </c>
      <c r="Z127" s="9">
        <v>0</v>
      </c>
      <c r="AA127" s="9">
        <v>26</v>
      </c>
      <c r="AC127" s="9">
        <f t="shared" si="4"/>
        <v>1730</v>
      </c>
      <c r="AD127" s="9">
        <f t="shared" si="5"/>
        <v>19937</v>
      </c>
      <c r="AE127" s="10">
        <f t="shared" si="6"/>
        <v>11.524277456647399</v>
      </c>
    </row>
    <row r="128" spans="1:31" x14ac:dyDescent="0.3">
      <c r="A128" s="55"/>
      <c r="B128" s="30" t="s">
        <v>130</v>
      </c>
      <c r="C128" s="9">
        <v>18</v>
      </c>
      <c r="D128" s="9">
        <v>13</v>
      </c>
      <c r="E128" s="9">
        <v>15</v>
      </c>
      <c r="F128" s="9">
        <v>33</v>
      </c>
      <c r="G128" s="9">
        <v>34</v>
      </c>
      <c r="H128" s="9">
        <v>60</v>
      </c>
      <c r="I128" s="9">
        <v>83</v>
      </c>
      <c r="J128" s="9">
        <v>54</v>
      </c>
      <c r="K128" s="9">
        <v>81</v>
      </c>
      <c r="L128" s="9">
        <v>20</v>
      </c>
      <c r="M128" s="9">
        <v>30</v>
      </c>
      <c r="N128" s="9">
        <v>37</v>
      </c>
      <c r="O128" s="9">
        <v>300</v>
      </c>
      <c r="P128" s="9">
        <v>20</v>
      </c>
      <c r="Q128" s="9">
        <v>43</v>
      </c>
      <c r="R128" s="9">
        <v>46</v>
      </c>
      <c r="S128" s="9">
        <v>8</v>
      </c>
      <c r="T128" s="9">
        <v>65</v>
      </c>
      <c r="U128" s="9">
        <v>1</v>
      </c>
      <c r="V128" s="9">
        <v>3</v>
      </c>
      <c r="W128" s="9">
        <v>0</v>
      </c>
      <c r="X128" s="9">
        <v>0</v>
      </c>
      <c r="Y128" s="9">
        <v>0</v>
      </c>
      <c r="Z128" s="9">
        <v>0</v>
      </c>
      <c r="AA128" s="9">
        <v>18</v>
      </c>
      <c r="AC128" s="9">
        <f t="shared" si="4"/>
        <v>982</v>
      </c>
      <c r="AD128" s="9">
        <f t="shared" si="5"/>
        <v>9881</v>
      </c>
      <c r="AE128" s="10">
        <f t="shared" si="6"/>
        <v>10.062118126272912</v>
      </c>
    </row>
    <row r="129" spans="1:31" x14ac:dyDescent="0.3">
      <c r="A129" s="55"/>
      <c r="B129" s="30" t="s">
        <v>131</v>
      </c>
      <c r="C129" s="9">
        <v>84</v>
      </c>
      <c r="D129" s="9">
        <v>60</v>
      </c>
      <c r="E129" s="9">
        <v>101</v>
      </c>
      <c r="F129" s="9">
        <v>165</v>
      </c>
      <c r="G129" s="9">
        <v>197</v>
      </c>
      <c r="H129" s="9">
        <v>349</v>
      </c>
      <c r="I129" s="9">
        <v>263</v>
      </c>
      <c r="J129" s="9">
        <v>228</v>
      </c>
      <c r="K129" s="9">
        <v>338</v>
      </c>
      <c r="L129" s="9">
        <v>196</v>
      </c>
      <c r="M129" s="9">
        <v>172</v>
      </c>
      <c r="N129" s="9">
        <v>166</v>
      </c>
      <c r="O129" s="9">
        <v>1665</v>
      </c>
      <c r="P129" s="9">
        <v>118</v>
      </c>
      <c r="Q129" s="9">
        <v>279</v>
      </c>
      <c r="R129" s="9">
        <v>370</v>
      </c>
      <c r="S129" s="9">
        <v>89</v>
      </c>
      <c r="T129" s="9">
        <v>513</v>
      </c>
      <c r="U129" s="9">
        <v>15</v>
      </c>
      <c r="V129" s="9">
        <v>23</v>
      </c>
      <c r="W129" s="9">
        <v>0</v>
      </c>
      <c r="X129" s="9">
        <v>0</v>
      </c>
      <c r="Y129" s="9">
        <v>1</v>
      </c>
      <c r="Z129" s="9">
        <v>3</v>
      </c>
      <c r="AA129" s="9">
        <v>76</v>
      </c>
      <c r="AC129" s="9">
        <f t="shared" si="4"/>
        <v>5471</v>
      </c>
      <c r="AD129" s="9">
        <f t="shared" si="5"/>
        <v>58215</v>
      </c>
      <c r="AE129" s="10">
        <f t="shared" si="6"/>
        <v>10.640650703710474</v>
      </c>
    </row>
    <row r="130" spans="1:31" x14ac:dyDescent="0.3">
      <c r="A130" s="55"/>
      <c r="B130" s="30" t="s">
        <v>132</v>
      </c>
      <c r="C130" s="9">
        <v>16</v>
      </c>
      <c r="D130" s="9">
        <v>6</v>
      </c>
      <c r="E130" s="9">
        <v>6</v>
      </c>
      <c r="F130" s="9">
        <v>18</v>
      </c>
      <c r="G130" s="9">
        <v>28</v>
      </c>
      <c r="H130" s="9">
        <v>41</v>
      </c>
      <c r="I130" s="9">
        <v>41</v>
      </c>
      <c r="J130" s="9">
        <v>33</v>
      </c>
      <c r="K130" s="9">
        <v>39</v>
      </c>
      <c r="L130" s="9">
        <v>34</v>
      </c>
      <c r="M130" s="9">
        <v>30</v>
      </c>
      <c r="N130" s="9">
        <v>38</v>
      </c>
      <c r="O130" s="9">
        <v>278</v>
      </c>
      <c r="P130" s="9">
        <v>9</v>
      </c>
      <c r="Q130" s="9">
        <v>20</v>
      </c>
      <c r="R130" s="9">
        <v>34</v>
      </c>
      <c r="S130" s="9">
        <v>10</v>
      </c>
      <c r="T130" s="9">
        <v>45</v>
      </c>
      <c r="U130" s="9">
        <v>1</v>
      </c>
      <c r="V130" s="9">
        <v>3</v>
      </c>
      <c r="W130" s="9">
        <v>0</v>
      </c>
      <c r="X130" s="9">
        <v>0</v>
      </c>
      <c r="Y130" s="9">
        <v>0</v>
      </c>
      <c r="Z130" s="9">
        <v>1</v>
      </c>
      <c r="AA130" s="9">
        <v>11</v>
      </c>
      <c r="AC130" s="9">
        <f t="shared" si="4"/>
        <v>742</v>
      </c>
      <c r="AD130" s="9">
        <f t="shared" si="5"/>
        <v>7732</v>
      </c>
      <c r="AE130" s="10">
        <f t="shared" si="6"/>
        <v>10.420485175202156</v>
      </c>
    </row>
    <row r="131" spans="1:31" x14ac:dyDescent="0.3">
      <c r="A131" s="55"/>
      <c r="B131" s="30" t="s">
        <v>133</v>
      </c>
      <c r="C131" s="9">
        <v>18</v>
      </c>
      <c r="D131" s="9">
        <v>13</v>
      </c>
      <c r="E131" s="9">
        <v>15</v>
      </c>
      <c r="F131" s="9">
        <v>39</v>
      </c>
      <c r="G131" s="9">
        <v>42</v>
      </c>
      <c r="H131" s="9">
        <v>43</v>
      </c>
      <c r="I131" s="9">
        <v>34</v>
      </c>
      <c r="J131" s="9">
        <v>39</v>
      </c>
      <c r="K131" s="9">
        <v>66</v>
      </c>
      <c r="L131" s="9">
        <v>41</v>
      </c>
      <c r="M131" s="9">
        <v>50</v>
      </c>
      <c r="N131" s="9">
        <v>50</v>
      </c>
      <c r="O131" s="9">
        <v>488</v>
      </c>
      <c r="P131" s="9">
        <v>60</v>
      </c>
      <c r="Q131" s="9">
        <v>139</v>
      </c>
      <c r="R131" s="9">
        <v>207</v>
      </c>
      <c r="S131" s="9">
        <v>39</v>
      </c>
      <c r="T131" s="9">
        <v>380</v>
      </c>
      <c r="U131" s="9">
        <v>5</v>
      </c>
      <c r="V131" s="9">
        <v>6</v>
      </c>
      <c r="W131" s="9">
        <v>0</v>
      </c>
      <c r="X131" s="9">
        <v>1</v>
      </c>
      <c r="Y131" s="9">
        <v>0</v>
      </c>
      <c r="Z131" s="9">
        <v>0</v>
      </c>
      <c r="AA131" s="9">
        <v>21</v>
      </c>
      <c r="AC131" s="9">
        <f t="shared" si="4"/>
        <v>1796</v>
      </c>
      <c r="AD131" s="9">
        <f t="shared" si="5"/>
        <v>22467</v>
      </c>
      <c r="AE131" s="10">
        <f t="shared" si="6"/>
        <v>12.509465478841872</v>
      </c>
    </row>
    <row r="132" spans="1:31" x14ac:dyDescent="0.3">
      <c r="A132" s="55"/>
      <c r="B132" s="30" t="s">
        <v>134</v>
      </c>
      <c r="C132" s="9">
        <v>27</v>
      </c>
      <c r="D132" s="9">
        <v>5</v>
      </c>
      <c r="E132" s="9">
        <v>17</v>
      </c>
      <c r="F132" s="9">
        <v>21</v>
      </c>
      <c r="G132" s="9">
        <v>25</v>
      </c>
      <c r="H132" s="9">
        <v>41</v>
      </c>
      <c r="I132" s="9">
        <v>36</v>
      </c>
      <c r="J132" s="9">
        <v>34</v>
      </c>
      <c r="K132" s="9">
        <v>61</v>
      </c>
      <c r="L132" s="9">
        <v>25</v>
      </c>
      <c r="M132" s="9">
        <v>36</v>
      </c>
      <c r="N132" s="9">
        <v>28</v>
      </c>
      <c r="O132" s="9">
        <v>370</v>
      </c>
      <c r="P132" s="9">
        <v>20</v>
      </c>
      <c r="Q132" s="9">
        <v>44</v>
      </c>
      <c r="R132" s="9">
        <v>53</v>
      </c>
      <c r="S132" s="9">
        <v>12</v>
      </c>
      <c r="T132" s="9">
        <v>108</v>
      </c>
      <c r="U132" s="9">
        <v>3</v>
      </c>
      <c r="V132" s="9">
        <v>7</v>
      </c>
      <c r="W132" s="9">
        <v>2</v>
      </c>
      <c r="X132" s="9">
        <v>0</v>
      </c>
      <c r="Y132" s="9">
        <v>0</v>
      </c>
      <c r="Z132" s="9">
        <v>1</v>
      </c>
      <c r="AA132" s="9">
        <v>15</v>
      </c>
      <c r="AC132" s="9">
        <f t="shared" si="4"/>
        <v>991</v>
      </c>
      <c r="AD132" s="9">
        <f t="shared" si="5"/>
        <v>10991</v>
      </c>
      <c r="AE132" s="10">
        <f t="shared" si="6"/>
        <v>11.090817356205852</v>
      </c>
    </row>
    <row r="133" spans="1:31" x14ac:dyDescent="0.3">
      <c r="A133" s="55"/>
      <c r="B133" s="30" t="s">
        <v>135</v>
      </c>
      <c r="C133" s="9">
        <v>70</v>
      </c>
      <c r="D133" s="9">
        <v>18</v>
      </c>
      <c r="E133" s="9">
        <v>52</v>
      </c>
      <c r="F133" s="9">
        <v>90</v>
      </c>
      <c r="G133" s="9">
        <v>81</v>
      </c>
      <c r="H133" s="9">
        <v>123</v>
      </c>
      <c r="I133" s="9">
        <v>121</v>
      </c>
      <c r="J133" s="9">
        <v>67</v>
      </c>
      <c r="K133" s="9">
        <v>97</v>
      </c>
      <c r="L133" s="9">
        <v>42</v>
      </c>
      <c r="M133" s="9">
        <v>46</v>
      </c>
      <c r="N133" s="9">
        <v>39</v>
      </c>
      <c r="O133" s="9">
        <v>359</v>
      </c>
      <c r="P133" s="9">
        <v>17</v>
      </c>
      <c r="Q133" s="9">
        <v>30</v>
      </c>
      <c r="R133" s="9">
        <v>26</v>
      </c>
      <c r="S133" s="9">
        <v>9</v>
      </c>
      <c r="T133" s="9">
        <v>38</v>
      </c>
      <c r="U133" s="9">
        <v>2</v>
      </c>
      <c r="V133" s="9">
        <v>3</v>
      </c>
      <c r="W133" s="9">
        <v>0</v>
      </c>
      <c r="X133" s="9">
        <v>0</v>
      </c>
      <c r="Y133" s="9">
        <v>0</v>
      </c>
      <c r="Z133" s="9">
        <v>1</v>
      </c>
      <c r="AA133" s="9">
        <v>49</v>
      </c>
      <c r="AC133" s="9">
        <f t="shared" ref="AC133:AC196" si="7">SUM(C133:AA133)</f>
        <v>1380</v>
      </c>
      <c r="AD133" s="9">
        <f t="shared" ref="AD133:AD196" si="8">C$2*C133+D$2*D133+E$2*E133+F$2*F133+G$2*G133+H$2*H133+I$2*I133+J$2*J133+K$2*K133+L$2*L133+M$2*M133+N$2*N133+O$2*O133+P$2*P133+Q$2*Q133+R$2*R133+S$2*S133+T$2*T133+U$2*U133+V$2*V133+W$2*W133+X$2*X133+Y$2*Y133+Z$2*Z133+AA$2*AA133</f>
        <v>11990</v>
      </c>
      <c r="AE133" s="10">
        <f t="shared" ref="AE133:AE196" si="9">AD133/AC133</f>
        <v>8.6884057971014492</v>
      </c>
    </row>
    <row r="134" spans="1:31" x14ac:dyDescent="0.3">
      <c r="A134" s="55"/>
      <c r="B134" s="30" t="s">
        <v>136</v>
      </c>
      <c r="C134" s="9">
        <v>51</v>
      </c>
      <c r="D134" s="9">
        <v>19</v>
      </c>
      <c r="E134" s="9">
        <v>26</v>
      </c>
      <c r="F134" s="9">
        <v>58</v>
      </c>
      <c r="G134" s="9">
        <v>92</v>
      </c>
      <c r="H134" s="9">
        <v>144</v>
      </c>
      <c r="I134" s="9">
        <v>102</v>
      </c>
      <c r="J134" s="9">
        <v>94</v>
      </c>
      <c r="K134" s="9">
        <v>118</v>
      </c>
      <c r="L134" s="9">
        <v>54</v>
      </c>
      <c r="M134" s="9">
        <v>48</v>
      </c>
      <c r="N134" s="9">
        <v>30</v>
      </c>
      <c r="O134" s="9">
        <v>388</v>
      </c>
      <c r="P134" s="9">
        <v>10</v>
      </c>
      <c r="Q134" s="9">
        <v>40</v>
      </c>
      <c r="R134" s="9">
        <v>50</v>
      </c>
      <c r="S134" s="9">
        <v>7</v>
      </c>
      <c r="T134" s="9">
        <v>60</v>
      </c>
      <c r="U134" s="9">
        <v>0</v>
      </c>
      <c r="V134" s="9">
        <v>5</v>
      </c>
      <c r="W134" s="9">
        <v>0</v>
      </c>
      <c r="X134" s="9">
        <v>0</v>
      </c>
      <c r="Y134" s="9">
        <v>0</v>
      </c>
      <c r="Z134" s="9">
        <v>2</v>
      </c>
      <c r="AA134" s="9">
        <v>42</v>
      </c>
      <c r="AC134" s="9">
        <f t="shared" si="7"/>
        <v>1440</v>
      </c>
      <c r="AD134" s="9">
        <f t="shared" si="8"/>
        <v>13220</v>
      </c>
      <c r="AE134" s="10">
        <f t="shared" si="9"/>
        <v>9.1805555555555554</v>
      </c>
    </row>
    <row r="135" spans="1:31" x14ac:dyDescent="0.3">
      <c r="A135" s="55"/>
      <c r="B135" s="30" t="s">
        <v>137</v>
      </c>
      <c r="C135" s="9">
        <v>41</v>
      </c>
      <c r="D135" s="9">
        <v>34</v>
      </c>
      <c r="E135" s="9">
        <v>43</v>
      </c>
      <c r="F135" s="9">
        <v>72</v>
      </c>
      <c r="G135" s="9">
        <v>80</v>
      </c>
      <c r="H135" s="9">
        <v>166</v>
      </c>
      <c r="I135" s="9">
        <v>147</v>
      </c>
      <c r="J135" s="9">
        <v>97</v>
      </c>
      <c r="K135" s="9">
        <v>175</v>
      </c>
      <c r="L135" s="9">
        <v>81</v>
      </c>
      <c r="M135" s="9">
        <v>90</v>
      </c>
      <c r="N135" s="9">
        <v>95</v>
      </c>
      <c r="O135" s="9">
        <v>961</v>
      </c>
      <c r="P135" s="9">
        <v>65</v>
      </c>
      <c r="Q135" s="9">
        <v>147</v>
      </c>
      <c r="R135" s="9">
        <v>290</v>
      </c>
      <c r="S135" s="9">
        <v>50</v>
      </c>
      <c r="T135" s="9">
        <v>360</v>
      </c>
      <c r="U135" s="9">
        <v>7</v>
      </c>
      <c r="V135" s="9">
        <v>20</v>
      </c>
      <c r="W135" s="9">
        <v>1</v>
      </c>
      <c r="X135" s="9">
        <v>0</v>
      </c>
      <c r="Y135" s="9">
        <v>1</v>
      </c>
      <c r="Z135" s="9">
        <v>1</v>
      </c>
      <c r="AA135" s="9">
        <v>35</v>
      </c>
      <c r="AC135" s="9">
        <f t="shared" si="7"/>
        <v>3059</v>
      </c>
      <c r="AD135" s="9">
        <f t="shared" si="8"/>
        <v>34237</v>
      </c>
      <c r="AE135" s="10">
        <f t="shared" si="9"/>
        <v>11.192219679633867</v>
      </c>
    </row>
    <row r="136" spans="1:31" x14ac:dyDescent="0.3">
      <c r="A136" s="55"/>
      <c r="B136" s="30" t="s">
        <v>138</v>
      </c>
      <c r="C136" s="9">
        <v>13</v>
      </c>
      <c r="D136" s="9">
        <v>13</v>
      </c>
      <c r="E136" s="9">
        <v>10</v>
      </c>
      <c r="F136" s="9">
        <v>18</v>
      </c>
      <c r="G136" s="9">
        <v>21</v>
      </c>
      <c r="H136" s="9">
        <v>38</v>
      </c>
      <c r="I136" s="9">
        <v>37</v>
      </c>
      <c r="J136" s="9">
        <v>39</v>
      </c>
      <c r="K136" s="9">
        <v>75</v>
      </c>
      <c r="L136" s="9">
        <v>41</v>
      </c>
      <c r="M136" s="9">
        <v>31</v>
      </c>
      <c r="N136" s="9">
        <v>49</v>
      </c>
      <c r="O136" s="9">
        <v>529</v>
      </c>
      <c r="P136" s="9">
        <v>19</v>
      </c>
      <c r="Q136" s="9">
        <v>50</v>
      </c>
      <c r="R136" s="9">
        <v>103</v>
      </c>
      <c r="S136" s="9">
        <v>20</v>
      </c>
      <c r="T136" s="9">
        <v>160</v>
      </c>
      <c r="U136" s="9">
        <v>3</v>
      </c>
      <c r="V136" s="9">
        <v>12</v>
      </c>
      <c r="W136" s="9">
        <v>0</v>
      </c>
      <c r="X136" s="9">
        <v>0</v>
      </c>
      <c r="Y136" s="9">
        <v>0</v>
      </c>
      <c r="Z136" s="9">
        <v>1</v>
      </c>
      <c r="AA136" s="9">
        <v>15</v>
      </c>
      <c r="AC136" s="9">
        <f t="shared" si="7"/>
        <v>1297</v>
      </c>
      <c r="AD136" s="9">
        <f t="shared" si="8"/>
        <v>15219</v>
      </c>
      <c r="AE136" s="10">
        <f t="shared" si="9"/>
        <v>11.734001542020046</v>
      </c>
    </row>
    <row r="137" spans="1:31" x14ac:dyDescent="0.3">
      <c r="A137" s="55"/>
      <c r="B137" s="30" t="s">
        <v>139</v>
      </c>
      <c r="C137" s="9">
        <v>13</v>
      </c>
      <c r="D137" s="9">
        <v>7</v>
      </c>
      <c r="E137" s="9">
        <v>10</v>
      </c>
      <c r="F137" s="9">
        <v>19</v>
      </c>
      <c r="G137" s="9">
        <v>29</v>
      </c>
      <c r="H137" s="9">
        <v>52</v>
      </c>
      <c r="I137" s="9">
        <v>39</v>
      </c>
      <c r="J137" s="9">
        <v>43</v>
      </c>
      <c r="K137" s="9">
        <v>60</v>
      </c>
      <c r="L137" s="9">
        <v>31</v>
      </c>
      <c r="M137" s="9">
        <v>30</v>
      </c>
      <c r="N137" s="9">
        <v>24</v>
      </c>
      <c r="O137" s="9">
        <v>201</v>
      </c>
      <c r="P137" s="9">
        <v>8</v>
      </c>
      <c r="Q137" s="9">
        <v>17</v>
      </c>
      <c r="R137" s="9">
        <v>19</v>
      </c>
      <c r="S137" s="9">
        <v>1</v>
      </c>
      <c r="T137" s="9">
        <v>35</v>
      </c>
      <c r="U137" s="9">
        <v>2</v>
      </c>
      <c r="V137" s="9">
        <v>1</v>
      </c>
      <c r="W137" s="9">
        <v>0</v>
      </c>
      <c r="X137" s="9">
        <v>0</v>
      </c>
      <c r="Y137" s="9">
        <v>0</v>
      </c>
      <c r="Z137" s="9">
        <v>0</v>
      </c>
      <c r="AA137" s="9">
        <v>11</v>
      </c>
      <c r="AC137" s="9">
        <f t="shared" si="7"/>
        <v>652</v>
      </c>
      <c r="AD137" s="9">
        <f t="shared" si="8"/>
        <v>6287</v>
      </c>
      <c r="AE137" s="10">
        <f t="shared" si="9"/>
        <v>9.6426380368098155</v>
      </c>
    </row>
    <row r="138" spans="1:31" x14ac:dyDescent="0.3">
      <c r="A138" s="55"/>
      <c r="B138" s="30" t="s">
        <v>140</v>
      </c>
      <c r="C138" s="9">
        <v>37</v>
      </c>
      <c r="D138" s="9">
        <v>18</v>
      </c>
      <c r="E138" s="9">
        <v>21</v>
      </c>
      <c r="F138" s="9">
        <v>39</v>
      </c>
      <c r="G138" s="9">
        <v>60</v>
      </c>
      <c r="H138" s="9">
        <v>92</v>
      </c>
      <c r="I138" s="9">
        <v>86</v>
      </c>
      <c r="J138" s="9">
        <v>67</v>
      </c>
      <c r="K138" s="9">
        <v>135</v>
      </c>
      <c r="L138" s="9">
        <v>54</v>
      </c>
      <c r="M138" s="9">
        <v>69</v>
      </c>
      <c r="N138" s="9">
        <v>68</v>
      </c>
      <c r="O138" s="9">
        <v>919</v>
      </c>
      <c r="P138" s="9">
        <v>110</v>
      </c>
      <c r="Q138" s="9">
        <v>234</v>
      </c>
      <c r="R138" s="9">
        <v>406</v>
      </c>
      <c r="S138" s="9">
        <v>103</v>
      </c>
      <c r="T138" s="9">
        <v>753</v>
      </c>
      <c r="U138" s="9">
        <v>17</v>
      </c>
      <c r="V138" s="9">
        <v>36</v>
      </c>
      <c r="W138" s="9">
        <v>0</v>
      </c>
      <c r="X138" s="9">
        <v>0</v>
      </c>
      <c r="Y138" s="9">
        <v>0</v>
      </c>
      <c r="Z138" s="9">
        <v>0</v>
      </c>
      <c r="AA138" s="9">
        <v>113</v>
      </c>
      <c r="AC138" s="9">
        <f t="shared" si="7"/>
        <v>3437</v>
      </c>
      <c r="AD138" s="9">
        <f t="shared" si="8"/>
        <v>44841</v>
      </c>
      <c r="AE138" s="10">
        <f t="shared" si="9"/>
        <v>13.046552225778296</v>
      </c>
    </row>
    <row r="139" spans="1:31" x14ac:dyDescent="0.3">
      <c r="A139" s="55"/>
      <c r="B139" s="30" t="s">
        <v>141</v>
      </c>
      <c r="C139" s="9">
        <v>24</v>
      </c>
      <c r="D139" s="9">
        <v>13</v>
      </c>
      <c r="E139" s="9">
        <v>13</v>
      </c>
      <c r="F139" s="9">
        <v>19</v>
      </c>
      <c r="G139" s="9">
        <v>32</v>
      </c>
      <c r="H139" s="9">
        <v>47</v>
      </c>
      <c r="I139" s="9">
        <v>22</v>
      </c>
      <c r="J139" s="9">
        <v>46</v>
      </c>
      <c r="K139" s="9">
        <v>89</v>
      </c>
      <c r="L139" s="9">
        <v>26</v>
      </c>
      <c r="M139" s="9">
        <v>50</v>
      </c>
      <c r="N139" s="9">
        <v>31</v>
      </c>
      <c r="O139" s="9">
        <v>322</v>
      </c>
      <c r="P139" s="9">
        <v>29</v>
      </c>
      <c r="Q139" s="9">
        <v>71</v>
      </c>
      <c r="R139" s="9">
        <v>105</v>
      </c>
      <c r="S139" s="9">
        <v>21</v>
      </c>
      <c r="T139" s="9">
        <v>153</v>
      </c>
      <c r="U139" s="9">
        <v>0</v>
      </c>
      <c r="V139" s="9">
        <v>4</v>
      </c>
      <c r="W139" s="9">
        <v>0</v>
      </c>
      <c r="X139" s="9">
        <v>1</v>
      </c>
      <c r="Y139" s="9">
        <v>0</v>
      </c>
      <c r="Z139" s="9">
        <v>4</v>
      </c>
      <c r="AA139" s="9">
        <v>25</v>
      </c>
      <c r="AC139" s="9">
        <f t="shared" si="7"/>
        <v>1147</v>
      </c>
      <c r="AD139" s="9">
        <f t="shared" si="8"/>
        <v>13236</v>
      </c>
      <c r="AE139" s="10">
        <f t="shared" si="9"/>
        <v>11.539668700959023</v>
      </c>
    </row>
    <row r="140" spans="1:31" x14ac:dyDescent="0.3">
      <c r="A140" s="55"/>
      <c r="B140" s="30" t="s">
        <v>142</v>
      </c>
      <c r="C140" s="9">
        <v>23</v>
      </c>
      <c r="D140" s="9">
        <v>12</v>
      </c>
      <c r="E140" s="9">
        <v>17</v>
      </c>
      <c r="F140" s="9">
        <v>35</v>
      </c>
      <c r="G140" s="9">
        <v>28</v>
      </c>
      <c r="H140" s="9">
        <v>49</v>
      </c>
      <c r="I140" s="9">
        <v>50</v>
      </c>
      <c r="J140" s="9">
        <v>34</v>
      </c>
      <c r="K140" s="9">
        <v>46</v>
      </c>
      <c r="L140" s="9">
        <v>45</v>
      </c>
      <c r="M140" s="9">
        <v>29</v>
      </c>
      <c r="N140" s="9">
        <v>41</v>
      </c>
      <c r="O140" s="9">
        <v>437</v>
      </c>
      <c r="P140" s="9">
        <v>55</v>
      </c>
      <c r="Q140" s="9">
        <v>110</v>
      </c>
      <c r="R140" s="9">
        <v>212</v>
      </c>
      <c r="S140" s="9">
        <v>39</v>
      </c>
      <c r="T140" s="9">
        <v>257</v>
      </c>
      <c r="U140" s="9">
        <v>4</v>
      </c>
      <c r="V140" s="9">
        <v>11</v>
      </c>
      <c r="W140" s="9">
        <v>0</v>
      </c>
      <c r="X140" s="9">
        <v>0</v>
      </c>
      <c r="Y140" s="9">
        <v>0</v>
      </c>
      <c r="Z140" s="9">
        <v>0</v>
      </c>
      <c r="AA140" s="9">
        <v>11</v>
      </c>
      <c r="AC140" s="9">
        <f t="shared" si="7"/>
        <v>1545</v>
      </c>
      <c r="AD140" s="9">
        <f t="shared" si="8"/>
        <v>18777</v>
      </c>
      <c r="AE140" s="10">
        <f t="shared" si="9"/>
        <v>12.153398058252428</v>
      </c>
    </row>
    <row r="141" spans="1:31" x14ac:dyDescent="0.3">
      <c r="A141" s="55"/>
      <c r="B141" s="30" t="s">
        <v>143</v>
      </c>
      <c r="C141" s="9">
        <v>180</v>
      </c>
      <c r="D141" s="9">
        <v>112</v>
      </c>
      <c r="E141" s="9">
        <v>183</v>
      </c>
      <c r="F141" s="9">
        <v>365</v>
      </c>
      <c r="G141" s="9">
        <v>360</v>
      </c>
      <c r="H141" s="9">
        <v>664</v>
      </c>
      <c r="I141" s="9">
        <v>627</v>
      </c>
      <c r="J141" s="9">
        <v>719</v>
      </c>
      <c r="K141" s="9">
        <v>1103</v>
      </c>
      <c r="L141" s="9">
        <v>663</v>
      </c>
      <c r="M141" s="9">
        <v>736</v>
      </c>
      <c r="N141" s="9">
        <v>817</v>
      </c>
      <c r="O141" s="9">
        <v>8017</v>
      </c>
      <c r="P141" s="9">
        <v>1104</v>
      </c>
      <c r="Q141" s="9">
        <v>2220</v>
      </c>
      <c r="R141" s="9">
        <v>4421</v>
      </c>
      <c r="S141" s="9">
        <v>901</v>
      </c>
      <c r="T141" s="9">
        <v>6649</v>
      </c>
      <c r="U141" s="9">
        <v>153</v>
      </c>
      <c r="V141" s="9">
        <v>337</v>
      </c>
      <c r="W141" s="9">
        <v>8</v>
      </c>
      <c r="X141" s="9">
        <v>4</v>
      </c>
      <c r="Y141" s="9">
        <v>0</v>
      </c>
      <c r="Z141" s="9">
        <v>22</v>
      </c>
      <c r="AA141" s="9">
        <v>285</v>
      </c>
      <c r="AC141" s="9">
        <f t="shared" si="7"/>
        <v>30650</v>
      </c>
      <c r="AD141" s="9">
        <f t="shared" si="8"/>
        <v>398413</v>
      </c>
      <c r="AE141" s="10">
        <f t="shared" si="9"/>
        <v>12.998792822185971</v>
      </c>
    </row>
    <row r="142" spans="1:31" x14ac:dyDescent="0.3">
      <c r="A142" s="55"/>
      <c r="B142" s="30" t="s">
        <v>144</v>
      </c>
      <c r="C142" s="9">
        <v>147</v>
      </c>
      <c r="D142" s="9">
        <v>84</v>
      </c>
      <c r="E142" s="9">
        <v>159</v>
      </c>
      <c r="F142" s="9">
        <v>294</v>
      </c>
      <c r="G142" s="9">
        <v>257</v>
      </c>
      <c r="H142" s="9">
        <v>424</v>
      </c>
      <c r="I142" s="9">
        <v>419</v>
      </c>
      <c r="J142" s="9">
        <v>380</v>
      </c>
      <c r="K142" s="9">
        <v>542</v>
      </c>
      <c r="L142" s="9">
        <v>328</v>
      </c>
      <c r="M142" s="9">
        <v>318</v>
      </c>
      <c r="N142" s="9">
        <v>305</v>
      </c>
      <c r="O142" s="9">
        <v>2917</v>
      </c>
      <c r="P142" s="9">
        <v>255</v>
      </c>
      <c r="Q142" s="9">
        <v>591</v>
      </c>
      <c r="R142" s="9">
        <v>1076</v>
      </c>
      <c r="S142" s="9">
        <v>172</v>
      </c>
      <c r="T142" s="9">
        <v>1099</v>
      </c>
      <c r="U142" s="9">
        <v>19</v>
      </c>
      <c r="V142" s="9">
        <v>42</v>
      </c>
      <c r="W142" s="9">
        <v>1</v>
      </c>
      <c r="X142" s="9">
        <v>1</v>
      </c>
      <c r="Y142" s="9">
        <v>1</v>
      </c>
      <c r="Z142" s="9">
        <v>3</v>
      </c>
      <c r="AA142" s="9">
        <v>95</v>
      </c>
      <c r="AC142" s="9">
        <f t="shared" si="7"/>
        <v>9929</v>
      </c>
      <c r="AD142" s="9">
        <f t="shared" si="8"/>
        <v>111149</v>
      </c>
      <c r="AE142" s="10">
        <f t="shared" si="9"/>
        <v>11.194380098700776</v>
      </c>
    </row>
    <row r="143" spans="1:31" x14ac:dyDescent="0.3">
      <c r="A143" s="55"/>
      <c r="B143" s="30" t="s">
        <v>145</v>
      </c>
      <c r="C143" s="9">
        <v>82</v>
      </c>
      <c r="D143" s="9">
        <v>33</v>
      </c>
      <c r="E143" s="9">
        <v>77</v>
      </c>
      <c r="F143" s="9">
        <v>94</v>
      </c>
      <c r="G143" s="9">
        <v>136</v>
      </c>
      <c r="H143" s="9">
        <v>219</v>
      </c>
      <c r="I143" s="9">
        <v>204</v>
      </c>
      <c r="J143" s="9">
        <v>227</v>
      </c>
      <c r="K143" s="9">
        <v>331</v>
      </c>
      <c r="L143" s="9">
        <v>213</v>
      </c>
      <c r="M143" s="9">
        <v>220</v>
      </c>
      <c r="N143" s="9">
        <v>236</v>
      </c>
      <c r="O143" s="9">
        <v>2849</v>
      </c>
      <c r="P143" s="9">
        <v>424</v>
      </c>
      <c r="Q143" s="9">
        <v>885</v>
      </c>
      <c r="R143" s="9">
        <v>1367</v>
      </c>
      <c r="S143" s="9">
        <v>386</v>
      </c>
      <c r="T143" s="9">
        <v>2954</v>
      </c>
      <c r="U143" s="9">
        <v>58</v>
      </c>
      <c r="V143" s="9">
        <v>212</v>
      </c>
      <c r="W143" s="9">
        <v>3</v>
      </c>
      <c r="X143" s="9">
        <v>2</v>
      </c>
      <c r="Y143" s="9">
        <v>1</v>
      </c>
      <c r="Z143" s="9">
        <v>13</v>
      </c>
      <c r="AA143" s="9">
        <v>103</v>
      </c>
      <c r="AC143" s="9">
        <f t="shared" si="7"/>
        <v>11329</v>
      </c>
      <c r="AD143" s="9">
        <f t="shared" si="8"/>
        <v>151238</v>
      </c>
      <c r="AE143" s="10">
        <f t="shared" si="9"/>
        <v>13.349633683467209</v>
      </c>
    </row>
    <row r="144" spans="1:31" x14ac:dyDescent="0.3">
      <c r="A144" s="55"/>
      <c r="B144" s="30" t="s">
        <v>146</v>
      </c>
      <c r="C144" s="9">
        <v>70</v>
      </c>
      <c r="D144" s="9">
        <v>58</v>
      </c>
      <c r="E144" s="9">
        <v>75</v>
      </c>
      <c r="F144" s="9">
        <v>177</v>
      </c>
      <c r="G144" s="9">
        <v>167</v>
      </c>
      <c r="H144" s="9">
        <v>323</v>
      </c>
      <c r="I144" s="9">
        <v>280</v>
      </c>
      <c r="J144" s="9">
        <v>328</v>
      </c>
      <c r="K144" s="9">
        <v>461</v>
      </c>
      <c r="L144" s="9">
        <v>283</v>
      </c>
      <c r="M144" s="9">
        <v>294</v>
      </c>
      <c r="N144" s="9">
        <v>306</v>
      </c>
      <c r="O144" s="9">
        <v>2890</v>
      </c>
      <c r="P144" s="9">
        <v>305</v>
      </c>
      <c r="Q144" s="9">
        <v>727</v>
      </c>
      <c r="R144" s="9">
        <v>1206</v>
      </c>
      <c r="S144" s="9">
        <v>294</v>
      </c>
      <c r="T144" s="9">
        <v>1942</v>
      </c>
      <c r="U144" s="9">
        <v>41</v>
      </c>
      <c r="V144" s="9">
        <v>98</v>
      </c>
      <c r="W144" s="9">
        <v>3</v>
      </c>
      <c r="X144" s="9">
        <v>0</v>
      </c>
      <c r="Y144" s="9">
        <v>0</v>
      </c>
      <c r="Z144" s="9">
        <v>4</v>
      </c>
      <c r="AA144" s="9">
        <v>80</v>
      </c>
      <c r="AC144" s="9">
        <f t="shared" si="7"/>
        <v>10412</v>
      </c>
      <c r="AD144" s="9">
        <f t="shared" si="8"/>
        <v>128842</v>
      </c>
      <c r="AE144" s="10">
        <f t="shared" si="9"/>
        <v>12.374375720322705</v>
      </c>
    </row>
    <row r="145" spans="1:31" x14ac:dyDescent="0.3">
      <c r="A145" s="55"/>
      <c r="B145" s="30" t="s">
        <v>147</v>
      </c>
      <c r="C145" s="9">
        <v>97</v>
      </c>
      <c r="D145" s="9">
        <v>30</v>
      </c>
      <c r="E145" s="9">
        <v>26</v>
      </c>
      <c r="F145" s="9">
        <v>68</v>
      </c>
      <c r="G145" s="9">
        <v>68</v>
      </c>
      <c r="H145" s="9">
        <v>132</v>
      </c>
      <c r="I145" s="9">
        <v>140</v>
      </c>
      <c r="J145" s="9">
        <v>207</v>
      </c>
      <c r="K145" s="9">
        <v>264</v>
      </c>
      <c r="L145" s="9">
        <v>197</v>
      </c>
      <c r="M145" s="9">
        <v>242</v>
      </c>
      <c r="N145" s="9">
        <v>223</v>
      </c>
      <c r="O145" s="9">
        <v>3072</v>
      </c>
      <c r="P145" s="9">
        <v>441</v>
      </c>
      <c r="Q145" s="9">
        <v>921</v>
      </c>
      <c r="R145" s="9">
        <v>1704</v>
      </c>
      <c r="S145" s="9">
        <v>541</v>
      </c>
      <c r="T145" s="9">
        <v>3590</v>
      </c>
      <c r="U145" s="9">
        <v>96</v>
      </c>
      <c r="V145" s="9">
        <v>211</v>
      </c>
      <c r="W145" s="9">
        <v>3</v>
      </c>
      <c r="X145" s="9">
        <v>1</v>
      </c>
      <c r="Y145" s="9">
        <v>1</v>
      </c>
      <c r="Z145" s="9">
        <v>10</v>
      </c>
      <c r="AA145" s="9">
        <v>101</v>
      </c>
      <c r="AC145" s="9">
        <f t="shared" si="7"/>
        <v>12386</v>
      </c>
      <c r="AD145" s="9">
        <f t="shared" si="8"/>
        <v>171496</v>
      </c>
      <c r="AE145" s="10">
        <f t="shared" si="9"/>
        <v>13.845955110608752</v>
      </c>
    </row>
    <row r="146" spans="1:31" x14ac:dyDescent="0.3">
      <c r="A146" s="55"/>
      <c r="B146" s="30" t="s">
        <v>148</v>
      </c>
      <c r="C146" s="9">
        <v>341</v>
      </c>
      <c r="D146" s="9">
        <v>166</v>
      </c>
      <c r="E146" s="9">
        <v>252</v>
      </c>
      <c r="F146" s="9">
        <v>506</v>
      </c>
      <c r="G146" s="9">
        <v>501</v>
      </c>
      <c r="H146" s="9">
        <v>987</v>
      </c>
      <c r="I146" s="9">
        <v>836</v>
      </c>
      <c r="J146" s="9">
        <v>986</v>
      </c>
      <c r="K146" s="9">
        <v>1499</v>
      </c>
      <c r="L146" s="9">
        <v>927</v>
      </c>
      <c r="M146" s="9">
        <v>922</v>
      </c>
      <c r="N146" s="9">
        <v>948</v>
      </c>
      <c r="O146" s="9">
        <v>11081</v>
      </c>
      <c r="P146" s="9">
        <v>1275</v>
      </c>
      <c r="Q146" s="9">
        <v>2809</v>
      </c>
      <c r="R146" s="9">
        <v>5255</v>
      </c>
      <c r="S146" s="9">
        <v>1501</v>
      </c>
      <c r="T146" s="9">
        <v>9612</v>
      </c>
      <c r="U146" s="9">
        <v>231</v>
      </c>
      <c r="V146" s="9">
        <v>509</v>
      </c>
      <c r="W146" s="9">
        <v>15</v>
      </c>
      <c r="X146" s="9">
        <v>6</v>
      </c>
      <c r="Y146" s="9">
        <v>4</v>
      </c>
      <c r="Z146" s="9">
        <v>36</v>
      </c>
      <c r="AA146" s="9">
        <v>347</v>
      </c>
      <c r="AC146" s="9">
        <f t="shared" si="7"/>
        <v>41552</v>
      </c>
      <c r="AD146" s="9">
        <f t="shared" si="8"/>
        <v>539645</v>
      </c>
      <c r="AE146" s="10">
        <f t="shared" si="9"/>
        <v>12.987220831728918</v>
      </c>
    </row>
    <row r="147" spans="1:31" x14ac:dyDescent="0.3">
      <c r="A147" s="55"/>
      <c r="B147" s="30" t="s">
        <v>149</v>
      </c>
      <c r="C147" s="9">
        <v>74</v>
      </c>
      <c r="D147" s="9">
        <v>36</v>
      </c>
      <c r="E147" s="9">
        <v>46</v>
      </c>
      <c r="F147" s="9">
        <v>134</v>
      </c>
      <c r="G147" s="9">
        <v>148</v>
      </c>
      <c r="H147" s="9">
        <v>273</v>
      </c>
      <c r="I147" s="9">
        <v>235</v>
      </c>
      <c r="J147" s="9">
        <v>205</v>
      </c>
      <c r="K147" s="9">
        <v>268</v>
      </c>
      <c r="L147" s="9">
        <v>159</v>
      </c>
      <c r="M147" s="9">
        <v>149</v>
      </c>
      <c r="N147" s="9">
        <v>125</v>
      </c>
      <c r="O147" s="9">
        <v>1024</v>
      </c>
      <c r="P147" s="9">
        <v>77</v>
      </c>
      <c r="Q147" s="9">
        <v>123</v>
      </c>
      <c r="R147" s="9">
        <v>200</v>
      </c>
      <c r="S147" s="9">
        <v>32</v>
      </c>
      <c r="T147" s="9">
        <v>236</v>
      </c>
      <c r="U147" s="9">
        <v>5</v>
      </c>
      <c r="V147" s="9">
        <v>16</v>
      </c>
      <c r="W147" s="9">
        <v>2</v>
      </c>
      <c r="X147" s="9">
        <v>0</v>
      </c>
      <c r="Y147" s="9">
        <v>0</v>
      </c>
      <c r="Z147" s="9">
        <v>1</v>
      </c>
      <c r="AA147" s="9">
        <v>53</v>
      </c>
      <c r="AC147" s="9">
        <f t="shared" si="7"/>
        <v>3621</v>
      </c>
      <c r="AD147" s="9">
        <f t="shared" si="8"/>
        <v>36036</v>
      </c>
      <c r="AE147" s="10">
        <f t="shared" si="9"/>
        <v>9.9519469759734882</v>
      </c>
    </row>
    <row r="148" spans="1:31" x14ac:dyDescent="0.3">
      <c r="A148" s="55"/>
      <c r="B148" s="30" t="s">
        <v>150</v>
      </c>
      <c r="C148" s="9">
        <v>315</v>
      </c>
      <c r="D148" s="9">
        <v>197</v>
      </c>
      <c r="E148" s="9">
        <v>353</v>
      </c>
      <c r="F148" s="9">
        <v>620</v>
      </c>
      <c r="G148" s="9">
        <v>635</v>
      </c>
      <c r="H148" s="9">
        <v>1133</v>
      </c>
      <c r="I148" s="9">
        <v>1092</v>
      </c>
      <c r="J148" s="9">
        <v>1067</v>
      </c>
      <c r="K148" s="9">
        <v>1336</v>
      </c>
      <c r="L148" s="9">
        <v>714</v>
      </c>
      <c r="M148" s="9">
        <v>703</v>
      </c>
      <c r="N148" s="9">
        <v>623</v>
      </c>
      <c r="O148" s="9">
        <v>5938</v>
      </c>
      <c r="P148" s="9">
        <v>381</v>
      </c>
      <c r="Q148" s="9">
        <v>657</v>
      </c>
      <c r="R148" s="9">
        <v>1134</v>
      </c>
      <c r="S148" s="9">
        <v>114</v>
      </c>
      <c r="T148" s="9">
        <v>1140</v>
      </c>
      <c r="U148" s="9">
        <v>30</v>
      </c>
      <c r="V148" s="9">
        <v>58</v>
      </c>
      <c r="W148" s="9">
        <v>0</v>
      </c>
      <c r="X148" s="9">
        <v>2</v>
      </c>
      <c r="Y148" s="9">
        <v>0</v>
      </c>
      <c r="Z148" s="9">
        <v>5</v>
      </c>
      <c r="AA148" s="9">
        <v>298</v>
      </c>
      <c r="AC148" s="9">
        <f t="shared" si="7"/>
        <v>18545</v>
      </c>
      <c r="AD148" s="9">
        <f t="shared" si="8"/>
        <v>188558</v>
      </c>
      <c r="AE148" s="10">
        <f t="shared" si="9"/>
        <v>10.167592342949582</v>
      </c>
    </row>
    <row r="149" spans="1:31" x14ac:dyDescent="0.3">
      <c r="A149" s="55"/>
      <c r="B149" s="30" t="s">
        <v>151</v>
      </c>
      <c r="C149" s="9">
        <v>135</v>
      </c>
      <c r="D149" s="9">
        <v>47</v>
      </c>
      <c r="E149" s="9">
        <v>82</v>
      </c>
      <c r="F149" s="9">
        <v>205</v>
      </c>
      <c r="G149" s="9">
        <v>187</v>
      </c>
      <c r="H149" s="9">
        <v>268</v>
      </c>
      <c r="I149" s="9">
        <v>299</v>
      </c>
      <c r="J149" s="9">
        <v>168</v>
      </c>
      <c r="K149" s="9">
        <v>248</v>
      </c>
      <c r="L149" s="9">
        <v>123</v>
      </c>
      <c r="M149" s="9">
        <v>104</v>
      </c>
      <c r="N149" s="9">
        <v>110</v>
      </c>
      <c r="O149" s="9">
        <v>1089</v>
      </c>
      <c r="P149" s="9">
        <v>58</v>
      </c>
      <c r="Q149" s="9">
        <v>87</v>
      </c>
      <c r="R149" s="9">
        <v>115</v>
      </c>
      <c r="S149" s="9">
        <v>6</v>
      </c>
      <c r="T149" s="9">
        <v>110</v>
      </c>
      <c r="U149" s="9">
        <v>4</v>
      </c>
      <c r="V149" s="9">
        <v>9</v>
      </c>
      <c r="W149" s="9">
        <v>0</v>
      </c>
      <c r="X149" s="9">
        <v>0</v>
      </c>
      <c r="Y149" s="9">
        <v>0</v>
      </c>
      <c r="Z149" s="9">
        <v>1</v>
      </c>
      <c r="AA149" s="9">
        <v>69</v>
      </c>
      <c r="AC149" s="9">
        <f t="shared" si="7"/>
        <v>3524</v>
      </c>
      <c r="AD149" s="9">
        <f t="shared" si="8"/>
        <v>31878</v>
      </c>
      <c r="AE149" s="10">
        <f t="shared" si="9"/>
        <v>9.0459704880817249</v>
      </c>
    </row>
    <row r="150" spans="1:31" x14ac:dyDescent="0.3">
      <c r="A150" s="55"/>
      <c r="B150" s="30" t="s">
        <v>152</v>
      </c>
      <c r="C150" s="9">
        <v>53</v>
      </c>
      <c r="D150" s="9">
        <v>30</v>
      </c>
      <c r="E150" s="9">
        <v>52</v>
      </c>
      <c r="F150" s="9">
        <v>111</v>
      </c>
      <c r="G150" s="9">
        <v>135</v>
      </c>
      <c r="H150" s="9">
        <v>294</v>
      </c>
      <c r="I150" s="9">
        <v>298</v>
      </c>
      <c r="J150" s="9">
        <v>151</v>
      </c>
      <c r="K150" s="9">
        <v>201</v>
      </c>
      <c r="L150" s="9">
        <v>76</v>
      </c>
      <c r="M150" s="9">
        <v>88</v>
      </c>
      <c r="N150" s="9">
        <v>64</v>
      </c>
      <c r="O150" s="9">
        <v>495</v>
      </c>
      <c r="P150" s="9">
        <v>38</v>
      </c>
      <c r="Q150" s="9">
        <v>35</v>
      </c>
      <c r="R150" s="9">
        <v>67</v>
      </c>
      <c r="S150" s="9">
        <v>10</v>
      </c>
      <c r="T150" s="9">
        <v>127</v>
      </c>
      <c r="U150" s="9">
        <v>5</v>
      </c>
      <c r="V150" s="9">
        <v>11</v>
      </c>
      <c r="W150" s="9">
        <v>1</v>
      </c>
      <c r="X150" s="9">
        <v>0</v>
      </c>
      <c r="Y150" s="9">
        <v>0</v>
      </c>
      <c r="Z150" s="9">
        <v>1</v>
      </c>
      <c r="AA150" s="9">
        <v>54</v>
      </c>
      <c r="AC150" s="9">
        <f t="shared" si="7"/>
        <v>2397</v>
      </c>
      <c r="AD150" s="9">
        <f t="shared" si="8"/>
        <v>21084</v>
      </c>
      <c r="AE150" s="10">
        <f t="shared" si="9"/>
        <v>8.7959949937421769</v>
      </c>
    </row>
    <row r="151" spans="1:31" x14ac:dyDescent="0.3">
      <c r="A151" s="55"/>
      <c r="B151" s="30" t="s">
        <v>153</v>
      </c>
      <c r="C151" s="9">
        <v>40</v>
      </c>
      <c r="D151" s="9">
        <v>21</v>
      </c>
      <c r="E151" s="9">
        <v>32</v>
      </c>
      <c r="F151" s="9">
        <v>60</v>
      </c>
      <c r="G151" s="9">
        <v>79</v>
      </c>
      <c r="H151" s="9">
        <v>210</v>
      </c>
      <c r="I151" s="9">
        <v>215</v>
      </c>
      <c r="J151" s="9">
        <v>124</v>
      </c>
      <c r="K151" s="9">
        <v>217</v>
      </c>
      <c r="L151" s="9">
        <v>71</v>
      </c>
      <c r="M151" s="9">
        <v>72</v>
      </c>
      <c r="N151" s="9">
        <v>44</v>
      </c>
      <c r="O151" s="9">
        <v>493</v>
      </c>
      <c r="P151" s="9">
        <v>24</v>
      </c>
      <c r="Q151" s="9">
        <v>36</v>
      </c>
      <c r="R151" s="9">
        <v>54</v>
      </c>
      <c r="S151" s="9">
        <v>13</v>
      </c>
      <c r="T151" s="9">
        <v>85</v>
      </c>
      <c r="U151" s="9">
        <v>2</v>
      </c>
      <c r="V151" s="9">
        <v>4</v>
      </c>
      <c r="W151" s="9">
        <v>0</v>
      </c>
      <c r="X151" s="9">
        <v>0</v>
      </c>
      <c r="Y151" s="9">
        <v>1</v>
      </c>
      <c r="Z151" s="9">
        <v>1</v>
      </c>
      <c r="AA151" s="9">
        <v>35</v>
      </c>
      <c r="AC151" s="9">
        <f t="shared" si="7"/>
        <v>1933</v>
      </c>
      <c r="AD151" s="9">
        <f t="shared" si="8"/>
        <v>17560</v>
      </c>
      <c r="AE151" s="10">
        <f t="shared" si="9"/>
        <v>9.0843248836006207</v>
      </c>
    </row>
    <row r="152" spans="1:31" x14ac:dyDescent="0.3">
      <c r="A152" s="55"/>
      <c r="B152" s="30" t="s">
        <v>154</v>
      </c>
      <c r="C152" s="9">
        <v>19</v>
      </c>
      <c r="D152" s="9">
        <v>10</v>
      </c>
      <c r="E152" s="9">
        <v>27</v>
      </c>
      <c r="F152" s="9">
        <v>47</v>
      </c>
      <c r="G152" s="9">
        <v>54</v>
      </c>
      <c r="H152" s="9">
        <v>130</v>
      </c>
      <c r="I152" s="9">
        <v>138</v>
      </c>
      <c r="J152" s="9">
        <v>122</v>
      </c>
      <c r="K152" s="9">
        <v>165</v>
      </c>
      <c r="L152" s="9">
        <v>83</v>
      </c>
      <c r="M152" s="9">
        <v>38</v>
      </c>
      <c r="N152" s="9">
        <v>53</v>
      </c>
      <c r="O152" s="9">
        <v>524</v>
      </c>
      <c r="P152" s="9">
        <v>29</v>
      </c>
      <c r="Q152" s="9">
        <v>39</v>
      </c>
      <c r="R152" s="9">
        <v>60</v>
      </c>
      <c r="S152" s="9">
        <v>8</v>
      </c>
      <c r="T152" s="9">
        <v>102</v>
      </c>
      <c r="U152" s="9">
        <v>3</v>
      </c>
      <c r="V152" s="9">
        <v>6</v>
      </c>
      <c r="W152" s="9">
        <v>0</v>
      </c>
      <c r="X152" s="9">
        <v>0</v>
      </c>
      <c r="Y152" s="9">
        <v>1</v>
      </c>
      <c r="Z152" s="9">
        <v>0</v>
      </c>
      <c r="AA152" s="9">
        <v>46</v>
      </c>
      <c r="AC152" s="9">
        <f t="shared" si="7"/>
        <v>1704</v>
      </c>
      <c r="AD152" s="9">
        <f t="shared" si="8"/>
        <v>17050</v>
      </c>
      <c r="AE152" s="10">
        <f t="shared" si="9"/>
        <v>10.005868544600938</v>
      </c>
    </row>
    <row r="153" spans="1:31" x14ac:dyDescent="0.3">
      <c r="A153" s="55"/>
      <c r="B153" s="30" t="s">
        <v>155</v>
      </c>
      <c r="C153" s="9">
        <v>60</v>
      </c>
      <c r="D153" s="9">
        <v>46</v>
      </c>
      <c r="E153" s="9">
        <v>80</v>
      </c>
      <c r="F153" s="9">
        <v>126</v>
      </c>
      <c r="G153" s="9">
        <v>151</v>
      </c>
      <c r="H153" s="9">
        <v>260</v>
      </c>
      <c r="I153" s="9">
        <v>284</v>
      </c>
      <c r="J153" s="9">
        <v>284</v>
      </c>
      <c r="K153" s="9">
        <v>379</v>
      </c>
      <c r="L153" s="9">
        <v>192</v>
      </c>
      <c r="M153" s="9">
        <v>212</v>
      </c>
      <c r="N153" s="9">
        <v>179</v>
      </c>
      <c r="O153" s="9">
        <v>1474</v>
      </c>
      <c r="P153" s="9">
        <v>146</v>
      </c>
      <c r="Q153" s="9">
        <v>228</v>
      </c>
      <c r="R153" s="9">
        <v>523</v>
      </c>
      <c r="S153" s="9">
        <v>56</v>
      </c>
      <c r="T153" s="9">
        <v>570</v>
      </c>
      <c r="U153" s="9">
        <v>8</v>
      </c>
      <c r="V153" s="9">
        <v>20</v>
      </c>
      <c r="W153" s="9">
        <v>1</v>
      </c>
      <c r="X153" s="9">
        <v>0</v>
      </c>
      <c r="Y153" s="9">
        <v>0</v>
      </c>
      <c r="Z153" s="9">
        <v>1</v>
      </c>
      <c r="AA153" s="9">
        <v>83</v>
      </c>
      <c r="AC153" s="9">
        <f t="shared" si="7"/>
        <v>5363</v>
      </c>
      <c r="AD153" s="9">
        <f t="shared" si="8"/>
        <v>58797</v>
      </c>
      <c r="AE153" s="10">
        <f t="shared" si="9"/>
        <v>10.963453291068431</v>
      </c>
    </row>
    <row r="154" spans="1:31" x14ac:dyDescent="0.3">
      <c r="A154" s="55"/>
      <c r="B154" s="30" t="s">
        <v>156</v>
      </c>
      <c r="C154" s="9">
        <v>174</v>
      </c>
      <c r="D154" s="9">
        <v>131</v>
      </c>
      <c r="E154" s="9">
        <v>206</v>
      </c>
      <c r="F154" s="9">
        <v>395</v>
      </c>
      <c r="G154" s="9">
        <v>376</v>
      </c>
      <c r="H154" s="9">
        <v>715</v>
      </c>
      <c r="I154" s="9">
        <v>713</v>
      </c>
      <c r="J154" s="9">
        <v>734</v>
      </c>
      <c r="K154" s="9">
        <v>817</v>
      </c>
      <c r="L154" s="9">
        <v>470</v>
      </c>
      <c r="M154" s="9">
        <v>413</v>
      </c>
      <c r="N154" s="9">
        <v>419</v>
      </c>
      <c r="O154" s="9">
        <v>4123</v>
      </c>
      <c r="P154" s="9">
        <v>355</v>
      </c>
      <c r="Q154" s="9">
        <v>462</v>
      </c>
      <c r="R154" s="9">
        <v>795</v>
      </c>
      <c r="S154" s="9">
        <v>153</v>
      </c>
      <c r="T154" s="9">
        <v>1380</v>
      </c>
      <c r="U154" s="9">
        <v>23</v>
      </c>
      <c r="V154" s="9">
        <v>35</v>
      </c>
      <c r="W154" s="9">
        <v>5</v>
      </c>
      <c r="X154" s="9">
        <v>1</v>
      </c>
      <c r="Y154" s="9">
        <v>1</v>
      </c>
      <c r="Z154" s="9">
        <v>0</v>
      </c>
      <c r="AA154" s="9">
        <v>127</v>
      </c>
      <c r="AC154" s="9">
        <f t="shared" si="7"/>
        <v>13023</v>
      </c>
      <c r="AD154" s="9">
        <f t="shared" si="8"/>
        <v>138390</v>
      </c>
      <c r="AE154" s="10">
        <f t="shared" si="9"/>
        <v>10.626583736466252</v>
      </c>
    </row>
    <row r="155" spans="1:31" x14ac:dyDescent="0.3">
      <c r="A155" s="55"/>
      <c r="B155" s="30" t="s">
        <v>157</v>
      </c>
      <c r="C155" s="9">
        <v>148</v>
      </c>
      <c r="D155" s="9">
        <v>98</v>
      </c>
      <c r="E155" s="9">
        <v>143</v>
      </c>
      <c r="F155" s="9">
        <v>304</v>
      </c>
      <c r="G155" s="9">
        <v>261</v>
      </c>
      <c r="H155" s="9">
        <v>546</v>
      </c>
      <c r="I155" s="9">
        <v>559</v>
      </c>
      <c r="J155" s="9">
        <v>438</v>
      </c>
      <c r="K155" s="9">
        <v>659</v>
      </c>
      <c r="L155" s="9">
        <v>328</v>
      </c>
      <c r="M155" s="9">
        <v>306</v>
      </c>
      <c r="N155" s="9">
        <v>291</v>
      </c>
      <c r="O155" s="9">
        <v>3042</v>
      </c>
      <c r="P155" s="9">
        <v>219</v>
      </c>
      <c r="Q155" s="9">
        <v>299</v>
      </c>
      <c r="R155" s="9">
        <v>545</v>
      </c>
      <c r="S155" s="9">
        <v>103</v>
      </c>
      <c r="T155" s="9">
        <v>1051</v>
      </c>
      <c r="U155" s="9">
        <v>20</v>
      </c>
      <c r="V155" s="9">
        <v>31</v>
      </c>
      <c r="W155" s="9">
        <v>0</v>
      </c>
      <c r="X155" s="9">
        <v>0</v>
      </c>
      <c r="Y155" s="9">
        <v>0</v>
      </c>
      <c r="Z155" s="9">
        <v>5</v>
      </c>
      <c r="AA155" s="9">
        <v>90</v>
      </c>
      <c r="AC155" s="9">
        <f t="shared" si="7"/>
        <v>9486</v>
      </c>
      <c r="AD155" s="9">
        <f t="shared" si="8"/>
        <v>100426</v>
      </c>
      <c r="AE155" s="10">
        <f t="shared" si="9"/>
        <v>10.586759434956779</v>
      </c>
    </row>
    <row r="156" spans="1:31" x14ac:dyDescent="0.3">
      <c r="A156" s="55"/>
      <c r="B156" s="30" t="s">
        <v>158</v>
      </c>
      <c r="C156" s="9">
        <v>70</v>
      </c>
      <c r="D156" s="9">
        <v>45</v>
      </c>
      <c r="E156" s="9">
        <v>85</v>
      </c>
      <c r="F156" s="9">
        <v>142</v>
      </c>
      <c r="G156" s="9">
        <v>152</v>
      </c>
      <c r="H156" s="9">
        <v>244</v>
      </c>
      <c r="I156" s="9">
        <v>217</v>
      </c>
      <c r="J156" s="9">
        <v>121</v>
      </c>
      <c r="K156" s="9">
        <v>213</v>
      </c>
      <c r="L156" s="9">
        <v>118</v>
      </c>
      <c r="M156" s="9">
        <v>96</v>
      </c>
      <c r="N156" s="9">
        <v>101</v>
      </c>
      <c r="O156" s="9">
        <v>689</v>
      </c>
      <c r="P156" s="9">
        <v>43</v>
      </c>
      <c r="Q156" s="9">
        <v>138</v>
      </c>
      <c r="R156" s="9">
        <v>168</v>
      </c>
      <c r="S156" s="9">
        <v>21</v>
      </c>
      <c r="T156" s="9">
        <v>261</v>
      </c>
      <c r="U156" s="9">
        <v>1</v>
      </c>
      <c r="V156" s="9">
        <v>10</v>
      </c>
      <c r="W156" s="9">
        <v>0</v>
      </c>
      <c r="X156" s="9">
        <v>0</v>
      </c>
      <c r="Y156" s="9">
        <v>0</v>
      </c>
      <c r="Z156" s="9">
        <v>0</v>
      </c>
      <c r="AA156" s="9">
        <v>52</v>
      </c>
      <c r="AC156" s="9">
        <f t="shared" si="7"/>
        <v>2987</v>
      </c>
      <c r="AD156" s="9">
        <f t="shared" si="8"/>
        <v>28963</v>
      </c>
      <c r="AE156" s="10">
        <f t="shared" si="9"/>
        <v>9.6963508536993643</v>
      </c>
    </row>
    <row r="157" spans="1:31" x14ac:dyDescent="0.3">
      <c r="A157" s="55"/>
      <c r="B157" s="30" t="s">
        <v>159</v>
      </c>
      <c r="C157" s="9">
        <v>28</v>
      </c>
      <c r="D157" s="9">
        <v>8</v>
      </c>
      <c r="E157" s="9">
        <v>19</v>
      </c>
      <c r="F157" s="9">
        <v>46</v>
      </c>
      <c r="G157" s="9">
        <v>27</v>
      </c>
      <c r="H157" s="9">
        <v>63</v>
      </c>
      <c r="I157" s="9">
        <v>47</v>
      </c>
      <c r="J157" s="9">
        <v>39</v>
      </c>
      <c r="K157" s="9">
        <v>55</v>
      </c>
      <c r="L157" s="9">
        <v>17</v>
      </c>
      <c r="M157" s="9">
        <v>15</v>
      </c>
      <c r="N157" s="9">
        <v>17</v>
      </c>
      <c r="O157" s="9">
        <v>201</v>
      </c>
      <c r="P157" s="9">
        <v>13</v>
      </c>
      <c r="Q157" s="9">
        <v>27</v>
      </c>
      <c r="R157" s="9">
        <v>26</v>
      </c>
      <c r="S157" s="9">
        <v>2</v>
      </c>
      <c r="T157" s="9">
        <v>27</v>
      </c>
      <c r="U157" s="9">
        <v>1</v>
      </c>
      <c r="V157" s="9">
        <v>2</v>
      </c>
      <c r="W157" s="9">
        <v>0</v>
      </c>
      <c r="X157" s="9">
        <v>1</v>
      </c>
      <c r="Y157" s="9">
        <v>1</v>
      </c>
      <c r="Z157" s="9">
        <v>0</v>
      </c>
      <c r="AA157" s="9">
        <v>9</v>
      </c>
      <c r="AC157" s="9">
        <f t="shared" si="7"/>
        <v>691</v>
      </c>
      <c r="AD157" s="9">
        <f t="shared" si="8"/>
        <v>6247</v>
      </c>
      <c r="AE157" s="10">
        <f t="shared" si="9"/>
        <v>9.0405209840810414</v>
      </c>
    </row>
    <row r="158" spans="1:31" x14ac:dyDescent="0.3">
      <c r="A158" s="55"/>
      <c r="B158" s="30" t="s">
        <v>160</v>
      </c>
      <c r="C158" s="9">
        <v>11</v>
      </c>
      <c r="D158" s="9">
        <v>6</v>
      </c>
      <c r="E158" s="9">
        <v>16</v>
      </c>
      <c r="F158" s="9">
        <v>33</v>
      </c>
      <c r="G158" s="9">
        <v>47</v>
      </c>
      <c r="H158" s="9">
        <v>46</v>
      </c>
      <c r="I158" s="9">
        <v>60</v>
      </c>
      <c r="J158" s="9">
        <v>20</v>
      </c>
      <c r="K158" s="9">
        <v>30</v>
      </c>
      <c r="L158" s="9">
        <v>20</v>
      </c>
      <c r="M158" s="9">
        <v>27</v>
      </c>
      <c r="N158" s="9">
        <v>19</v>
      </c>
      <c r="O158" s="9">
        <v>135</v>
      </c>
      <c r="P158" s="9">
        <v>7</v>
      </c>
      <c r="Q158" s="9">
        <v>11</v>
      </c>
      <c r="R158" s="9">
        <v>23</v>
      </c>
      <c r="S158" s="9">
        <v>4</v>
      </c>
      <c r="T158" s="9">
        <v>23</v>
      </c>
      <c r="U158" s="9">
        <v>1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9</v>
      </c>
      <c r="AC158" s="9">
        <f t="shared" si="7"/>
        <v>549</v>
      </c>
      <c r="AD158" s="9">
        <f t="shared" si="8"/>
        <v>4872</v>
      </c>
      <c r="AE158" s="10">
        <f t="shared" si="9"/>
        <v>8.8743169398907096</v>
      </c>
    </row>
    <row r="159" spans="1:31" x14ac:dyDescent="0.3">
      <c r="A159" s="55"/>
      <c r="B159" s="30" t="s">
        <v>161</v>
      </c>
      <c r="C159" s="9">
        <v>124</v>
      </c>
      <c r="D159" s="9">
        <v>16</v>
      </c>
      <c r="E159" s="9">
        <v>48</v>
      </c>
      <c r="F159" s="9">
        <v>78</v>
      </c>
      <c r="G159" s="9">
        <v>96</v>
      </c>
      <c r="H159" s="9">
        <v>151</v>
      </c>
      <c r="I159" s="9">
        <v>124</v>
      </c>
      <c r="J159" s="9">
        <v>43</v>
      </c>
      <c r="K159" s="9">
        <v>84</v>
      </c>
      <c r="L159" s="9">
        <v>18</v>
      </c>
      <c r="M159" s="9">
        <v>19</v>
      </c>
      <c r="N159" s="9">
        <v>11</v>
      </c>
      <c r="O159" s="9">
        <v>135</v>
      </c>
      <c r="P159" s="9">
        <v>7</v>
      </c>
      <c r="Q159" s="9">
        <v>18</v>
      </c>
      <c r="R159" s="9">
        <v>24</v>
      </c>
      <c r="S159" s="9">
        <v>1</v>
      </c>
      <c r="T159" s="9">
        <v>28</v>
      </c>
      <c r="U159" s="9">
        <v>0</v>
      </c>
      <c r="V159" s="9">
        <v>3</v>
      </c>
      <c r="W159" s="9">
        <v>1</v>
      </c>
      <c r="X159" s="9">
        <v>0</v>
      </c>
      <c r="Y159" s="9">
        <v>0</v>
      </c>
      <c r="Z159" s="9">
        <v>0</v>
      </c>
      <c r="AA159" s="9">
        <v>19</v>
      </c>
      <c r="AC159" s="9">
        <f t="shared" si="7"/>
        <v>1048</v>
      </c>
      <c r="AD159" s="9">
        <f t="shared" si="8"/>
        <v>7023</v>
      </c>
      <c r="AE159" s="10">
        <f t="shared" si="9"/>
        <v>6.7013358778625953</v>
      </c>
    </row>
    <row r="160" spans="1:31" x14ac:dyDescent="0.3">
      <c r="A160" s="55"/>
      <c r="B160" s="30" t="s">
        <v>162</v>
      </c>
      <c r="C160" s="9">
        <v>54</v>
      </c>
      <c r="D160" s="9">
        <v>28</v>
      </c>
      <c r="E160" s="9">
        <v>57</v>
      </c>
      <c r="F160" s="9">
        <v>116</v>
      </c>
      <c r="G160" s="9">
        <v>79</v>
      </c>
      <c r="H160" s="9">
        <v>211</v>
      </c>
      <c r="I160" s="9">
        <v>178</v>
      </c>
      <c r="J160" s="9">
        <v>129</v>
      </c>
      <c r="K160" s="9">
        <v>248</v>
      </c>
      <c r="L160" s="9">
        <v>116</v>
      </c>
      <c r="M160" s="9">
        <v>126</v>
      </c>
      <c r="N160" s="9">
        <v>141</v>
      </c>
      <c r="O160" s="9">
        <v>1440</v>
      </c>
      <c r="P160" s="9">
        <v>194</v>
      </c>
      <c r="Q160" s="9">
        <v>530</v>
      </c>
      <c r="R160" s="9">
        <v>694</v>
      </c>
      <c r="S160" s="9">
        <v>175</v>
      </c>
      <c r="T160" s="9">
        <v>1532</v>
      </c>
      <c r="U160" s="9">
        <v>22</v>
      </c>
      <c r="V160" s="9">
        <v>67</v>
      </c>
      <c r="W160" s="9">
        <v>0</v>
      </c>
      <c r="X160" s="9">
        <v>0</v>
      </c>
      <c r="Y160" s="9">
        <v>1</v>
      </c>
      <c r="Z160" s="9">
        <v>7</v>
      </c>
      <c r="AA160" s="9">
        <v>48</v>
      </c>
      <c r="AC160" s="9">
        <f t="shared" si="7"/>
        <v>6193</v>
      </c>
      <c r="AD160" s="9">
        <f t="shared" si="8"/>
        <v>79151</v>
      </c>
      <c r="AE160" s="10">
        <f t="shared" si="9"/>
        <v>12.780720167931536</v>
      </c>
    </row>
    <row r="161" spans="1:31" x14ac:dyDescent="0.3">
      <c r="A161" s="55"/>
      <c r="B161" s="30" t="s">
        <v>163</v>
      </c>
      <c r="C161" s="9">
        <v>25</v>
      </c>
      <c r="D161" s="9">
        <v>10</v>
      </c>
      <c r="E161" s="9">
        <v>20</v>
      </c>
      <c r="F161" s="9">
        <v>31</v>
      </c>
      <c r="G161" s="9">
        <v>23</v>
      </c>
      <c r="H161" s="9">
        <v>60</v>
      </c>
      <c r="I161" s="9">
        <v>55</v>
      </c>
      <c r="J161" s="9">
        <v>28</v>
      </c>
      <c r="K161" s="9">
        <v>68</v>
      </c>
      <c r="L161" s="9">
        <v>41</v>
      </c>
      <c r="M161" s="9">
        <v>52</v>
      </c>
      <c r="N161" s="9">
        <v>49</v>
      </c>
      <c r="O161" s="9">
        <v>435</v>
      </c>
      <c r="P161" s="9">
        <v>33</v>
      </c>
      <c r="Q161" s="9">
        <v>88</v>
      </c>
      <c r="R161" s="9">
        <v>142</v>
      </c>
      <c r="S161" s="9">
        <v>11</v>
      </c>
      <c r="T161" s="9">
        <v>227</v>
      </c>
      <c r="U161" s="9">
        <v>3</v>
      </c>
      <c r="V161" s="9">
        <v>13</v>
      </c>
      <c r="W161" s="9">
        <v>0</v>
      </c>
      <c r="X161" s="9">
        <v>0</v>
      </c>
      <c r="Y161" s="9">
        <v>0</v>
      </c>
      <c r="Z161" s="9">
        <v>0</v>
      </c>
      <c r="AA161" s="9">
        <v>38</v>
      </c>
      <c r="AC161" s="9">
        <f t="shared" si="7"/>
        <v>1452</v>
      </c>
      <c r="AD161" s="9">
        <f t="shared" si="8"/>
        <v>17292</v>
      </c>
      <c r="AE161" s="10">
        <f t="shared" si="9"/>
        <v>11.909090909090908</v>
      </c>
    </row>
    <row r="162" spans="1:31" x14ac:dyDescent="0.3">
      <c r="A162" s="55"/>
      <c r="B162" s="30" t="s">
        <v>164</v>
      </c>
      <c r="C162" s="9">
        <v>20</v>
      </c>
      <c r="D162" s="9">
        <v>11</v>
      </c>
      <c r="E162" s="9">
        <v>17</v>
      </c>
      <c r="F162" s="9">
        <v>35</v>
      </c>
      <c r="G162" s="9">
        <v>31</v>
      </c>
      <c r="H162" s="9">
        <v>71</v>
      </c>
      <c r="I162" s="9">
        <v>52</v>
      </c>
      <c r="J162" s="9">
        <v>60</v>
      </c>
      <c r="K162" s="9">
        <v>91</v>
      </c>
      <c r="L162" s="9">
        <v>32</v>
      </c>
      <c r="M162" s="9">
        <v>34</v>
      </c>
      <c r="N162" s="9">
        <v>33</v>
      </c>
      <c r="O162" s="9">
        <v>555</v>
      </c>
      <c r="P162" s="9">
        <v>58</v>
      </c>
      <c r="Q162" s="9">
        <v>175</v>
      </c>
      <c r="R162" s="9">
        <v>241</v>
      </c>
      <c r="S162" s="9">
        <v>49</v>
      </c>
      <c r="T162" s="9">
        <v>566</v>
      </c>
      <c r="U162" s="9">
        <v>11</v>
      </c>
      <c r="V162" s="9">
        <v>15</v>
      </c>
      <c r="W162" s="9">
        <v>0</v>
      </c>
      <c r="X162" s="9">
        <v>0</v>
      </c>
      <c r="Y162" s="9">
        <v>3</v>
      </c>
      <c r="Z162" s="9">
        <v>1</v>
      </c>
      <c r="AA162" s="9">
        <v>17</v>
      </c>
      <c r="AC162" s="9">
        <f t="shared" si="7"/>
        <v>2178</v>
      </c>
      <c r="AD162" s="9">
        <f t="shared" si="8"/>
        <v>27945</v>
      </c>
      <c r="AE162" s="10">
        <f t="shared" si="9"/>
        <v>12.830578512396695</v>
      </c>
    </row>
    <row r="163" spans="1:31" x14ac:dyDescent="0.3">
      <c r="A163" s="55"/>
      <c r="B163" s="30" t="s">
        <v>165</v>
      </c>
      <c r="C163" s="9">
        <v>6</v>
      </c>
      <c r="D163" s="9">
        <v>1</v>
      </c>
      <c r="E163" s="9">
        <v>0</v>
      </c>
      <c r="F163" s="9">
        <v>0</v>
      </c>
      <c r="G163" s="9">
        <v>2</v>
      </c>
      <c r="H163" s="9">
        <v>5</v>
      </c>
      <c r="I163" s="9">
        <v>4</v>
      </c>
      <c r="J163" s="9">
        <v>1</v>
      </c>
      <c r="K163" s="9">
        <v>7</v>
      </c>
      <c r="L163" s="9">
        <v>5</v>
      </c>
      <c r="M163" s="9">
        <v>7</v>
      </c>
      <c r="N163" s="9">
        <v>5</v>
      </c>
      <c r="O163" s="9">
        <v>77</v>
      </c>
      <c r="P163" s="9">
        <v>7</v>
      </c>
      <c r="Q163" s="9">
        <v>19</v>
      </c>
      <c r="R163" s="9">
        <v>21</v>
      </c>
      <c r="S163" s="9">
        <v>5</v>
      </c>
      <c r="T163" s="9">
        <v>37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4</v>
      </c>
      <c r="AC163" s="9">
        <f t="shared" si="7"/>
        <v>213</v>
      </c>
      <c r="AD163" s="9">
        <f t="shared" si="8"/>
        <v>2692</v>
      </c>
      <c r="AE163" s="10">
        <f t="shared" si="9"/>
        <v>12.63849765258216</v>
      </c>
    </row>
    <row r="164" spans="1:31" x14ac:dyDescent="0.3">
      <c r="A164" s="55"/>
      <c r="B164" s="30" t="s">
        <v>166</v>
      </c>
      <c r="C164" s="9">
        <v>8</v>
      </c>
      <c r="D164" s="9">
        <v>2</v>
      </c>
      <c r="E164" s="9">
        <v>5</v>
      </c>
      <c r="F164" s="9">
        <v>7</v>
      </c>
      <c r="G164" s="9">
        <v>9</v>
      </c>
      <c r="H164" s="9">
        <v>20</v>
      </c>
      <c r="I164" s="9">
        <v>18</v>
      </c>
      <c r="J164" s="9">
        <v>14</v>
      </c>
      <c r="K164" s="9">
        <v>34</v>
      </c>
      <c r="L164" s="9">
        <v>15</v>
      </c>
      <c r="M164" s="9">
        <v>9</v>
      </c>
      <c r="N164" s="9">
        <v>15</v>
      </c>
      <c r="O164" s="9">
        <v>252</v>
      </c>
      <c r="P164" s="9">
        <v>13</v>
      </c>
      <c r="Q164" s="9">
        <v>78</v>
      </c>
      <c r="R164" s="9">
        <v>47</v>
      </c>
      <c r="S164" s="9">
        <v>19</v>
      </c>
      <c r="T164" s="9">
        <v>127</v>
      </c>
      <c r="U164" s="9">
        <v>0</v>
      </c>
      <c r="V164" s="9">
        <v>3</v>
      </c>
      <c r="W164" s="9">
        <v>1</v>
      </c>
      <c r="X164" s="9">
        <v>0</v>
      </c>
      <c r="Y164" s="9">
        <v>1</v>
      </c>
      <c r="Z164" s="9">
        <v>1</v>
      </c>
      <c r="AA164" s="9">
        <v>16</v>
      </c>
      <c r="AC164" s="9">
        <f t="shared" si="7"/>
        <v>714</v>
      </c>
      <c r="AD164" s="9">
        <f t="shared" si="8"/>
        <v>8996</v>
      </c>
      <c r="AE164" s="10">
        <f t="shared" si="9"/>
        <v>12.599439775910364</v>
      </c>
    </row>
    <row r="165" spans="1:31" x14ac:dyDescent="0.3">
      <c r="A165" s="55"/>
      <c r="B165" s="30" t="s">
        <v>167</v>
      </c>
      <c r="C165" s="9">
        <v>43</v>
      </c>
      <c r="D165" s="9">
        <v>17</v>
      </c>
      <c r="E165" s="9">
        <v>36</v>
      </c>
      <c r="F165" s="9">
        <v>72</v>
      </c>
      <c r="G165" s="9">
        <v>65</v>
      </c>
      <c r="H165" s="9">
        <v>89</v>
      </c>
      <c r="I165" s="9">
        <v>84</v>
      </c>
      <c r="J165" s="9">
        <v>81</v>
      </c>
      <c r="K165" s="9">
        <v>94</v>
      </c>
      <c r="L165" s="9">
        <v>49</v>
      </c>
      <c r="M165" s="9">
        <v>39</v>
      </c>
      <c r="N165" s="9">
        <v>40</v>
      </c>
      <c r="O165" s="9">
        <v>322</v>
      </c>
      <c r="P165" s="9">
        <v>21</v>
      </c>
      <c r="Q165" s="9">
        <v>35</v>
      </c>
      <c r="R165" s="9">
        <v>33</v>
      </c>
      <c r="S165" s="9">
        <v>10</v>
      </c>
      <c r="T165" s="9">
        <v>43</v>
      </c>
      <c r="U165" s="9">
        <v>0</v>
      </c>
      <c r="V165" s="9">
        <v>2</v>
      </c>
      <c r="W165" s="9">
        <v>0</v>
      </c>
      <c r="X165" s="9">
        <v>1</v>
      </c>
      <c r="Y165" s="9">
        <v>0</v>
      </c>
      <c r="Z165" s="9">
        <v>1</v>
      </c>
      <c r="AA165" s="9">
        <v>46</v>
      </c>
      <c r="AC165" s="9">
        <f t="shared" si="7"/>
        <v>1223</v>
      </c>
      <c r="AD165" s="9">
        <f t="shared" si="8"/>
        <v>11303</v>
      </c>
      <c r="AE165" s="10">
        <f t="shared" si="9"/>
        <v>9.2420278004905967</v>
      </c>
    </row>
    <row r="166" spans="1:31" x14ac:dyDescent="0.3">
      <c r="A166" s="55"/>
      <c r="B166" s="30" t="s">
        <v>168</v>
      </c>
      <c r="C166" s="9">
        <v>42</v>
      </c>
      <c r="D166" s="9">
        <v>29</v>
      </c>
      <c r="E166" s="9">
        <v>39</v>
      </c>
      <c r="F166" s="9">
        <v>93</v>
      </c>
      <c r="G166" s="9">
        <v>98</v>
      </c>
      <c r="H166" s="9">
        <v>202</v>
      </c>
      <c r="I166" s="9">
        <v>168</v>
      </c>
      <c r="J166" s="9">
        <v>144</v>
      </c>
      <c r="K166" s="9">
        <v>183</v>
      </c>
      <c r="L166" s="9">
        <v>86</v>
      </c>
      <c r="M166" s="9">
        <v>78</v>
      </c>
      <c r="N166" s="9">
        <v>81</v>
      </c>
      <c r="O166" s="9">
        <v>810</v>
      </c>
      <c r="P166" s="9">
        <v>40</v>
      </c>
      <c r="Q166" s="9">
        <v>103</v>
      </c>
      <c r="R166" s="9">
        <v>111</v>
      </c>
      <c r="S166" s="9">
        <v>18</v>
      </c>
      <c r="T166" s="9">
        <v>213</v>
      </c>
      <c r="U166" s="9">
        <v>1</v>
      </c>
      <c r="V166" s="9">
        <v>11</v>
      </c>
      <c r="W166" s="9">
        <v>1</v>
      </c>
      <c r="X166" s="9">
        <v>0</v>
      </c>
      <c r="Y166" s="9">
        <v>1</v>
      </c>
      <c r="Z166" s="9">
        <v>1</v>
      </c>
      <c r="AA166" s="9">
        <v>48</v>
      </c>
      <c r="AC166" s="9">
        <f t="shared" si="7"/>
        <v>2601</v>
      </c>
      <c r="AD166" s="9">
        <f t="shared" si="8"/>
        <v>26413</v>
      </c>
      <c r="AE166" s="10">
        <f t="shared" si="9"/>
        <v>10.154940407535562</v>
      </c>
    </row>
    <row r="167" spans="1:31" x14ac:dyDescent="0.3">
      <c r="A167" s="55"/>
      <c r="B167" s="30" t="s">
        <v>169</v>
      </c>
      <c r="C167" s="9">
        <v>80</v>
      </c>
      <c r="D167" s="9">
        <v>50</v>
      </c>
      <c r="E167" s="9">
        <v>75</v>
      </c>
      <c r="F167" s="9">
        <v>149</v>
      </c>
      <c r="G167" s="9">
        <v>170</v>
      </c>
      <c r="H167" s="9">
        <v>247</v>
      </c>
      <c r="I167" s="9">
        <v>252</v>
      </c>
      <c r="J167" s="9">
        <v>238</v>
      </c>
      <c r="K167" s="9">
        <v>321</v>
      </c>
      <c r="L167" s="9">
        <v>175</v>
      </c>
      <c r="M167" s="9">
        <v>166</v>
      </c>
      <c r="N167" s="9">
        <v>158</v>
      </c>
      <c r="O167" s="9">
        <v>1775</v>
      </c>
      <c r="P167" s="9">
        <v>132</v>
      </c>
      <c r="Q167" s="9">
        <v>249</v>
      </c>
      <c r="R167" s="9">
        <v>432</v>
      </c>
      <c r="S167" s="9">
        <v>46</v>
      </c>
      <c r="T167" s="9">
        <v>553</v>
      </c>
      <c r="U167" s="9">
        <v>7</v>
      </c>
      <c r="V167" s="9">
        <v>30</v>
      </c>
      <c r="W167" s="9">
        <v>2</v>
      </c>
      <c r="X167" s="9">
        <v>0</v>
      </c>
      <c r="Y167" s="9">
        <v>0</v>
      </c>
      <c r="Z167" s="9">
        <v>0</v>
      </c>
      <c r="AA167" s="9">
        <v>67</v>
      </c>
      <c r="AC167" s="9">
        <f t="shared" si="7"/>
        <v>5374</v>
      </c>
      <c r="AD167" s="9">
        <f t="shared" si="8"/>
        <v>58744</v>
      </c>
      <c r="AE167" s="10">
        <f t="shared" si="9"/>
        <v>10.931149981391886</v>
      </c>
    </row>
    <row r="168" spans="1:31" x14ac:dyDescent="0.3">
      <c r="A168" s="55"/>
      <c r="B168" s="30" t="s">
        <v>170</v>
      </c>
      <c r="C168" s="9">
        <v>340</v>
      </c>
      <c r="D168" s="9">
        <v>170</v>
      </c>
      <c r="E168" s="9">
        <v>244</v>
      </c>
      <c r="F168" s="9">
        <v>423</v>
      </c>
      <c r="G168" s="9">
        <v>418</v>
      </c>
      <c r="H168" s="9">
        <v>820</v>
      </c>
      <c r="I168" s="9">
        <v>778</v>
      </c>
      <c r="J168" s="9">
        <v>828</v>
      </c>
      <c r="K168" s="9">
        <v>1282</v>
      </c>
      <c r="L168" s="9">
        <v>872</v>
      </c>
      <c r="M168" s="9">
        <v>990</v>
      </c>
      <c r="N168" s="9">
        <v>1028</v>
      </c>
      <c r="O168" s="9">
        <v>15083</v>
      </c>
      <c r="P168" s="9">
        <v>2121</v>
      </c>
      <c r="Q168" s="9">
        <v>4851</v>
      </c>
      <c r="R168" s="9">
        <v>7574</v>
      </c>
      <c r="S168" s="9">
        <v>2331</v>
      </c>
      <c r="T168" s="9">
        <v>16030</v>
      </c>
      <c r="U168" s="9">
        <v>354</v>
      </c>
      <c r="V168" s="9">
        <v>918</v>
      </c>
      <c r="W168" s="9">
        <v>11</v>
      </c>
      <c r="X168" s="9">
        <v>9</v>
      </c>
      <c r="Y168" s="9">
        <v>10</v>
      </c>
      <c r="Z168" s="9">
        <v>44</v>
      </c>
      <c r="AA168" s="9">
        <v>512</v>
      </c>
      <c r="AC168" s="9">
        <f t="shared" si="7"/>
        <v>58041</v>
      </c>
      <c r="AD168" s="9">
        <f t="shared" si="8"/>
        <v>795117</v>
      </c>
      <c r="AE168" s="10">
        <f t="shared" si="9"/>
        <v>13.699229854757844</v>
      </c>
    </row>
    <row r="169" spans="1:31" x14ac:dyDescent="0.3">
      <c r="A169" s="55"/>
      <c r="B169" s="30" t="s">
        <v>171</v>
      </c>
      <c r="C169" s="9">
        <v>18</v>
      </c>
      <c r="D169" s="9">
        <v>9</v>
      </c>
      <c r="E169" s="9">
        <v>11</v>
      </c>
      <c r="F169" s="9">
        <v>25</v>
      </c>
      <c r="G169" s="9">
        <v>46</v>
      </c>
      <c r="H169" s="9">
        <v>97</v>
      </c>
      <c r="I169" s="9">
        <v>87</v>
      </c>
      <c r="J169" s="9">
        <v>87</v>
      </c>
      <c r="K169" s="9">
        <v>138</v>
      </c>
      <c r="L169" s="9">
        <v>76</v>
      </c>
      <c r="M169" s="9">
        <v>99</v>
      </c>
      <c r="N169" s="9">
        <v>86</v>
      </c>
      <c r="O169" s="9">
        <v>1370</v>
      </c>
      <c r="P169" s="9">
        <v>131</v>
      </c>
      <c r="Q169" s="9">
        <v>295</v>
      </c>
      <c r="R169" s="9">
        <v>393</v>
      </c>
      <c r="S169" s="9">
        <v>81</v>
      </c>
      <c r="T169" s="9">
        <v>584</v>
      </c>
      <c r="U169" s="9">
        <v>15</v>
      </c>
      <c r="V169" s="9">
        <v>31</v>
      </c>
      <c r="W169" s="9">
        <v>0</v>
      </c>
      <c r="X169" s="9">
        <v>0</v>
      </c>
      <c r="Y169" s="9">
        <v>0</v>
      </c>
      <c r="Z169" s="9">
        <v>2</v>
      </c>
      <c r="AA169" s="9">
        <v>35</v>
      </c>
      <c r="AC169" s="9">
        <f t="shared" si="7"/>
        <v>3716</v>
      </c>
      <c r="AD169" s="9">
        <f t="shared" si="8"/>
        <v>46767</v>
      </c>
      <c r="AE169" s="10">
        <f t="shared" si="9"/>
        <v>12.585306781485468</v>
      </c>
    </row>
    <row r="170" spans="1:31" x14ac:dyDescent="0.3">
      <c r="A170" s="55"/>
      <c r="B170" s="30" t="s">
        <v>172</v>
      </c>
      <c r="C170" s="9">
        <v>23</v>
      </c>
      <c r="D170" s="9">
        <v>10</v>
      </c>
      <c r="E170" s="9">
        <v>14</v>
      </c>
      <c r="F170" s="9">
        <v>17</v>
      </c>
      <c r="G170" s="9">
        <v>19</v>
      </c>
      <c r="H170" s="9">
        <v>57</v>
      </c>
      <c r="I170" s="9">
        <v>36</v>
      </c>
      <c r="J170" s="9">
        <v>44</v>
      </c>
      <c r="K170" s="9">
        <v>107</v>
      </c>
      <c r="L170" s="9">
        <v>49</v>
      </c>
      <c r="M170" s="9">
        <v>64</v>
      </c>
      <c r="N170" s="9">
        <v>52</v>
      </c>
      <c r="O170" s="9">
        <v>737</v>
      </c>
      <c r="P170" s="9">
        <v>41</v>
      </c>
      <c r="Q170" s="9">
        <v>87</v>
      </c>
      <c r="R170" s="9">
        <v>90</v>
      </c>
      <c r="S170" s="9">
        <v>24</v>
      </c>
      <c r="T170" s="9">
        <v>129</v>
      </c>
      <c r="U170" s="9">
        <v>2</v>
      </c>
      <c r="V170" s="9">
        <v>8</v>
      </c>
      <c r="W170" s="9">
        <v>0</v>
      </c>
      <c r="X170" s="9">
        <v>0</v>
      </c>
      <c r="Y170" s="9">
        <v>0</v>
      </c>
      <c r="Z170" s="9">
        <v>1</v>
      </c>
      <c r="AA170" s="9">
        <v>74</v>
      </c>
      <c r="AC170" s="9">
        <f t="shared" si="7"/>
        <v>1685</v>
      </c>
      <c r="AD170" s="9">
        <f t="shared" si="8"/>
        <v>19992</v>
      </c>
      <c r="AE170" s="10">
        <f t="shared" si="9"/>
        <v>11.864688427299702</v>
      </c>
    </row>
    <row r="171" spans="1:31" x14ac:dyDescent="0.3">
      <c r="A171" s="55"/>
      <c r="B171" s="30" t="s">
        <v>173</v>
      </c>
      <c r="C171" s="9">
        <v>31</v>
      </c>
      <c r="D171" s="9">
        <v>22</v>
      </c>
      <c r="E171" s="9">
        <v>13</v>
      </c>
      <c r="F171" s="9">
        <v>40</v>
      </c>
      <c r="G171" s="9">
        <v>50</v>
      </c>
      <c r="H171" s="9">
        <v>163</v>
      </c>
      <c r="I171" s="9">
        <v>114</v>
      </c>
      <c r="J171" s="9">
        <v>79</v>
      </c>
      <c r="K171" s="9">
        <v>143</v>
      </c>
      <c r="L171" s="9">
        <v>81</v>
      </c>
      <c r="M171" s="9">
        <v>92</v>
      </c>
      <c r="N171" s="9">
        <v>80</v>
      </c>
      <c r="O171" s="9">
        <v>1104</v>
      </c>
      <c r="P171" s="9">
        <v>53</v>
      </c>
      <c r="Q171" s="9">
        <v>119</v>
      </c>
      <c r="R171" s="9">
        <v>192</v>
      </c>
      <c r="S171" s="9">
        <v>37</v>
      </c>
      <c r="T171" s="9">
        <v>247</v>
      </c>
      <c r="U171" s="9">
        <v>4</v>
      </c>
      <c r="V171" s="9">
        <v>5</v>
      </c>
      <c r="W171" s="9">
        <v>0</v>
      </c>
      <c r="X171" s="9">
        <v>0</v>
      </c>
      <c r="Y171" s="9">
        <v>0</v>
      </c>
      <c r="Z171" s="9">
        <v>1</v>
      </c>
      <c r="AA171" s="9">
        <v>37</v>
      </c>
      <c r="AC171" s="9">
        <f t="shared" si="7"/>
        <v>2707</v>
      </c>
      <c r="AD171" s="9">
        <f t="shared" si="8"/>
        <v>30445</v>
      </c>
      <c r="AE171" s="10">
        <f t="shared" si="9"/>
        <v>11.246767639453269</v>
      </c>
    </row>
    <row r="172" spans="1:31" x14ac:dyDescent="0.3">
      <c r="A172" s="55"/>
      <c r="B172" s="30" t="s">
        <v>174</v>
      </c>
      <c r="C172" s="9">
        <v>79</v>
      </c>
      <c r="D172" s="9">
        <v>31</v>
      </c>
      <c r="E172" s="9">
        <v>64</v>
      </c>
      <c r="F172" s="9">
        <v>133</v>
      </c>
      <c r="G172" s="9">
        <v>157</v>
      </c>
      <c r="H172" s="9">
        <v>343</v>
      </c>
      <c r="I172" s="9">
        <v>276</v>
      </c>
      <c r="J172" s="9">
        <v>186</v>
      </c>
      <c r="K172" s="9">
        <v>275</v>
      </c>
      <c r="L172" s="9">
        <v>142</v>
      </c>
      <c r="M172" s="9">
        <v>179</v>
      </c>
      <c r="N172" s="9">
        <v>147</v>
      </c>
      <c r="O172" s="9">
        <v>2079</v>
      </c>
      <c r="P172" s="9">
        <v>143</v>
      </c>
      <c r="Q172" s="9">
        <v>266</v>
      </c>
      <c r="R172" s="9">
        <v>398</v>
      </c>
      <c r="S172" s="9">
        <v>98</v>
      </c>
      <c r="T172" s="9">
        <v>754</v>
      </c>
      <c r="U172" s="9">
        <v>21</v>
      </c>
      <c r="V172" s="9">
        <v>28</v>
      </c>
      <c r="W172" s="9">
        <v>1</v>
      </c>
      <c r="X172" s="9">
        <v>0</v>
      </c>
      <c r="Y172" s="9">
        <v>2</v>
      </c>
      <c r="Z172" s="9">
        <v>1</v>
      </c>
      <c r="AA172" s="9">
        <v>106</v>
      </c>
      <c r="AC172" s="9">
        <f t="shared" si="7"/>
        <v>5909</v>
      </c>
      <c r="AD172" s="9">
        <f t="shared" si="8"/>
        <v>67172</v>
      </c>
      <c r="AE172" s="10">
        <f t="shared" si="9"/>
        <v>11.367744119140294</v>
      </c>
    </row>
    <row r="173" spans="1:31" x14ac:dyDescent="0.3">
      <c r="A173" s="55"/>
      <c r="B173" s="30" t="s">
        <v>175</v>
      </c>
      <c r="C173" s="9">
        <v>9</v>
      </c>
      <c r="D173" s="9">
        <v>1</v>
      </c>
      <c r="E173" s="9">
        <v>8</v>
      </c>
      <c r="F173" s="9">
        <v>2</v>
      </c>
      <c r="G173" s="9">
        <v>6</v>
      </c>
      <c r="H173" s="9">
        <v>11</v>
      </c>
      <c r="I173" s="9">
        <v>19</v>
      </c>
      <c r="J173" s="9">
        <v>10</v>
      </c>
      <c r="K173" s="9">
        <v>29</v>
      </c>
      <c r="L173" s="9">
        <v>12</v>
      </c>
      <c r="M173" s="9">
        <v>19</v>
      </c>
      <c r="N173" s="9">
        <v>19</v>
      </c>
      <c r="O173" s="9">
        <v>307</v>
      </c>
      <c r="P173" s="9">
        <v>16</v>
      </c>
      <c r="Q173" s="9">
        <v>63</v>
      </c>
      <c r="R173" s="9">
        <v>75</v>
      </c>
      <c r="S173" s="9">
        <v>11</v>
      </c>
      <c r="T173" s="9">
        <v>133</v>
      </c>
      <c r="U173" s="9">
        <v>1</v>
      </c>
      <c r="V173" s="9">
        <v>9</v>
      </c>
      <c r="W173" s="9">
        <v>0</v>
      </c>
      <c r="X173" s="9">
        <v>0</v>
      </c>
      <c r="Y173" s="9">
        <v>0</v>
      </c>
      <c r="Z173" s="9">
        <v>1</v>
      </c>
      <c r="AA173" s="9">
        <v>38</v>
      </c>
      <c r="AC173" s="9">
        <f t="shared" si="7"/>
        <v>799</v>
      </c>
      <c r="AD173" s="9">
        <f t="shared" si="8"/>
        <v>10485</v>
      </c>
      <c r="AE173" s="10">
        <f t="shared" si="9"/>
        <v>13.122653316645808</v>
      </c>
    </row>
    <row r="174" spans="1:31" x14ac:dyDescent="0.3">
      <c r="A174" s="55"/>
      <c r="B174" s="30" t="s">
        <v>176</v>
      </c>
      <c r="C174" s="9">
        <v>12</v>
      </c>
      <c r="D174" s="9">
        <v>12</v>
      </c>
      <c r="E174" s="9">
        <v>6</v>
      </c>
      <c r="F174" s="9">
        <v>9</v>
      </c>
      <c r="G174" s="9">
        <v>16</v>
      </c>
      <c r="H174" s="9">
        <v>32</v>
      </c>
      <c r="I174" s="9">
        <v>31</v>
      </c>
      <c r="J174" s="9">
        <v>45</v>
      </c>
      <c r="K174" s="9">
        <v>122</v>
      </c>
      <c r="L174" s="9">
        <v>68</v>
      </c>
      <c r="M174" s="9">
        <v>101</v>
      </c>
      <c r="N174" s="9">
        <v>64</v>
      </c>
      <c r="O174" s="9">
        <v>1167</v>
      </c>
      <c r="P174" s="9">
        <v>62</v>
      </c>
      <c r="Q174" s="9">
        <v>152</v>
      </c>
      <c r="R174" s="9">
        <v>205</v>
      </c>
      <c r="S174" s="9">
        <v>55</v>
      </c>
      <c r="T174" s="9">
        <v>332</v>
      </c>
      <c r="U174" s="9">
        <v>4</v>
      </c>
      <c r="V174" s="9">
        <v>11</v>
      </c>
      <c r="W174" s="9">
        <v>0</v>
      </c>
      <c r="X174" s="9">
        <v>0</v>
      </c>
      <c r="Y174" s="9">
        <v>0</v>
      </c>
      <c r="Z174" s="9">
        <v>2</v>
      </c>
      <c r="AA174" s="9">
        <v>86</v>
      </c>
      <c r="AC174" s="9">
        <f t="shared" si="7"/>
        <v>2594</v>
      </c>
      <c r="AD174" s="9">
        <f t="shared" si="8"/>
        <v>33006</v>
      </c>
      <c r="AE174" s="10">
        <f t="shared" si="9"/>
        <v>12.723978411719353</v>
      </c>
    </row>
    <row r="175" spans="1:31" x14ac:dyDescent="0.3">
      <c r="A175" s="55"/>
      <c r="B175" s="30" t="s">
        <v>177</v>
      </c>
      <c r="C175" s="9">
        <v>3</v>
      </c>
      <c r="D175" s="9">
        <v>0</v>
      </c>
      <c r="E175" s="9">
        <v>0</v>
      </c>
      <c r="F175" s="9">
        <v>1</v>
      </c>
      <c r="G175" s="9">
        <v>2</v>
      </c>
      <c r="H175" s="9">
        <v>6</v>
      </c>
      <c r="I175" s="9">
        <v>9</v>
      </c>
      <c r="J175" s="9">
        <v>4</v>
      </c>
      <c r="K175" s="9">
        <v>12</v>
      </c>
      <c r="L175" s="9">
        <v>7</v>
      </c>
      <c r="M175" s="9">
        <v>12</v>
      </c>
      <c r="N175" s="9">
        <v>7</v>
      </c>
      <c r="O175" s="9">
        <v>193</v>
      </c>
      <c r="P175" s="9">
        <v>9</v>
      </c>
      <c r="Q175" s="9">
        <v>35</v>
      </c>
      <c r="R175" s="9">
        <v>35</v>
      </c>
      <c r="S175" s="9">
        <v>3</v>
      </c>
      <c r="T175" s="9">
        <v>71</v>
      </c>
      <c r="U175" s="9">
        <v>1</v>
      </c>
      <c r="V175" s="9">
        <v>3</v>
      </c>
      <c r="W175" s="9">
        <v>0</v>
      </c>
      <c r="X175" s="9">
        <v>0</v>
      </c>
      <c r="Y175" s="9">
        <v>0</v>
      </c>
      <c r="Z175" s="9">
        <v>0</v>
      </c>
      <c r="AA175" s="9">
        <v>16</v>
      </c>
      <c r="AC175" s="9">
        <f t="shared" si="7"/>
        <v>429</v>
      </c>
      <c r="AD175" s="9">
        <f t="shared" si="8"/>
        <v>5641</v>
      </c>
      <c r="AE175" s="10">
        <f t="shared" si="9"/>
        <v>13.149184149184149</v>
      </c>
    </row>
    <row r="176" spans="1:31" x14ac:dyDescent="0.3">
      <c r="A176" s="55"/>
      <c r="B176" s="30" t="s">
        <v>178</v>
      </c>
      <c r="C176" s="9">
        <v>6</v>
      </c>
      <c r="D176" s="9">
        <v>1</v>
      </c>
      <c r="E176" s="9">
        <v>3</v>
      </c>
      <c r="F176" s="9">
        <v>8</v>
      </c>
      <c r="G176" s="9">
        <v>7</v>
      </c>
      <c r="H176" s="9">
        <v>28</v>
      </c>
      <c r="I176" s="9">
        <v>21</v>
      </c>
      <c r="J176" s="9">
        <v>8</v>
      </c>
      <c r="K176" s="9">
        <v>42</v>
      </c>
      <c r="L176" s="9">
        <v>16</v>
      </c>
      <c r="M176" s="9">
        <v>36</v>
      </c>
      <c r="N176" s="9">
        <v>19</v>
      </c>
      <c r="O176" s="9">
        <v>566</v>
      </c>
      <c r="P176" s="9">
        <v>34</v>
      </c>
      <c r="Q176" s="9">
        <v>37</v>
      </c>
      <c r="R176" s="9">
        <v>92</v>
      </c>
      <c r="S176" s="9">
        <v>13</v>
      </c>
      <c r="T176" s="9">
        <v>164</v>
      </c>
      <c r="U176" s="9">
        <v>7</v>
      </c>
      <c r="V176" s="9">
        <v>12</v>
      </c>
      <c r="W176" s="9">
        <v>0</v>
      </c>
      <c r="X176" s="9">
        <v>0</v>
      </c>
      <c r="Y176" s="9">
        <v>0</v>
      </c>
      <c r="Z176" s="9">
        <v>0</v>
      </c>
      <c r="AA176" s="9">
        <v>32</v>
      </c>
      <c r="AC176" s="9">
        <f t="shared" si="7"/>
        <v>1152</v>
      </c>
      <c r="AD176" s="9">
        <f t="shared" si="8"/>
        <v>14680</v>
      </c>
      <c r="AE176" s="10">
        <f t="shared" si="9"/>
        <v>12.743055555555555</v>
      </c>
    </row>
    <row r="177" spans="1:31" x14ac:dyDescent="0.3">
      <c r="A177" s="55"/>
      <c r="B177" s="30" t="s">
        <v>179</v>
      </c>
      <c r="C177" s="9">
        <v>11</v>
      </c>
      <c r="D177" s="9">
        <v>0</v>
      </c>
      <c r="E177" s="9">
        <v>1</v>
      </c>
      <c r="F177" s="9">
        <v>3</v>
      </c>
      <c r="G177" s="9">
        <v>4</v>
      </c>
      <c r="H177" s="9">
        <v>12</v>
      </c>
      <c r="I177" s="9">
        <v>18</v>
      </c>
      <c r="J177" s="9">
        <v>10</v>
      </c>
      <c r="K177" s="9">
        <v>40</v>
      </c>
      <c r="L177" s="9">
        <v>14</v>
      </c>
      <c r="M177" s="9">
        <v>31</v>
      </c>
      <c r="N177" s="9">
        <v>32</v>
      </c>
      <c r="O177" s="9">
        <v>447</v>
      </c>
      <c r="P177" s="9">
        <v>22</v>
      </c>
      <c r="Q177" s="9">
        <v>46</v>
      </c>
      <c r="R177" s="9">
        <v>78</v>
      </c>
      <c r="S177" s="9">
        <v>19</v>
      </c>
      <c r="T177" s="9">
        <v>167</v>
      </c>
      <c r="U177" s="9">
        <v>0</v>
      </c>
      <c r="V177" s="9">
        <v>5</v>
      </c>
      <c r="W177" s="9">
        <v>1</v>
      </c>
      <c r="X177" s="9">
        <v>0</v>
      </c>
      <c r="Y177" s="9">
        <v>0</v>
      </c>
      <c r="Z177" s="9">
        <v>2</v>
      </c>
      <c r="AA177" s="9">
        <v>16</v>
      </c>
      <c r="AC177" s="9">
        <f t="shared" si="7"/>
        <v>979</v>
      </c>
      <c r="AD177" s="9">
        <f t="shared" si="8"/>
        <v>12525</v>
      </c>
      <c r="AE177" s="10">
        <f t="shared" si="9"/>
        <v>12.793667007150153</v>
      </c>
    </row>
    <row r="178" spans="1:31" x14ac:dyDescent="0.3">
      <c r="A178" s="55"/>
      <c r="B178" s="30" t="s">
        <v>180</v>
      </c>
      <c r="C178" s="9">
        <v>1</v>
      </c>
      <c r="D178" s="9">
        <v>2</v>
      </c>
      <c r="E178" s="9">
        <v>2</v>
      </c>
      <c r="F178" s="9">
        <v>1</v>
      </c>
      <c r="G178" s="9">
        <v>4</v>
      </c>
      <c r="H178" s="9">
        <v>13</v>
      </c>
      <c r="I178" s="9">
        <v>14</v>
      </c>
      <c r="J178" s="9">
        <v>10</v>
      </c>
      <c r="K178" s="9">
        <v>13</v>
      </c>
      <c r="L178" s="9">
        <v>11</v>
      </c>
      <c r="M178" s="9">
        <v>21</v>
      </c>
      <c r="N178" s="9">
        <v>21</v>
      </c>
      <c r="O178" s="9">
        <v>337</v>
      </c>
      <c r="P178" s="9">
        <v>14</v>
      </c>
      <c r="Q178" s="9">
        <v>36</v>
      </c>
      <c r="R178" s="9">
        <v>48</v>
      </c>
      <c r="S178" s="9">
        <v>7</v>
      </c>
      <c r="T178" s="9">
        <v>128</v>
      </c>
      <c r="U178" s="9">
        <v>1</v>
      </c>
      <c r="V178" s="9">
        <v>6</v>
      </c>
      <c r="W178" s="9">
        <v>0</v>
      </c>
      <c r="X178" s="9">
        <v>0</v>
      </c>
      <c r="Y178" s="9">
        <v>0</v>
      </c>
      <c r="Z178" s="9">
        <v>1</v>
      </c>
      <c r="AA178" s="9">
        <v>17</v>
      </c>
      <c r="AC178" s="9">
        <f t="shared" si="7"/>
        <v>708</v>
      </c>
      <c r="AD178" s="9">
        <f t="shared" si="8"/>
        <v>9189</v>
      </c>
      <c r="AE178" s="10">
        <f t="shared" si="9"/>
        <v>12.978813559322035</v>
      </c>
    </row>
    <row r="179" spans="1:31" x14ac:dyDescent="0.3">
      <c r="A179" s="55"/>
      <c r="B179" s="30" t="s">
        <v>181</v>
      </c>
      <c r="C179" s="9">
        <v>6</v>
      </c>
      <c r="D179" s="9">
        <v>1</v>
      </c>
      <c r="E179" s="9">
        <v>0</v>
      </c>
      <c r="F179" s="9">
        <v>0</v>
      </c>
      <c r="G179" s="9">
        <v>2</v>
      </c>
      <c r="H179" s="9">
        <v>9</v>
      </c>
      <c r="I179" s="9">
        <v>6</v>
      </c>
      <c r="J179" s="9">
        <v>9</v>
      </c>
      <c r="K179" s="9">
        <v>16</v>
      </c>
      <c r="L179" s="9">
        <v>9</v>
      </c>
      <c r="M179" s="9">
        <v>18</v>
      </c>
      <c r="N179" s="9">
        <v>24</v>
      </c>
      <c r="O179" s="9">
        <v>360</v>
      </c>
      <c r="P179" s="9">
        <v>33</v>
      </c>
      <c r="Q179" s="9">
        <v>42</v>
      </c>
      <c r="R179" s="9">
        <v>44</v>
      </c>
      <c r="S179" s="9">
        <v>26</v>
      </c>
      <c r="T179" s="9">
        <v>145</v>
      </c>
      <c r="U179" s="9">
        <v>1</v>
      </c>
      <c r="V179" s="9">
        <v>9</v>
      </c>
      <c r="W179" s="9">
        <v>0</v>
      </c>
      <c r="X179" s="9">
        <v>0</v>
      </c>
      <c r="Y179" s="9">
        <v>0</v>
      </c>
      <c r="Z179" s="9">
        <v>0</v>
      </c>
      <c r="AA179" s="9">
        <v>12</v>
      </c>
      <c r="AC179" s="9">
        <f t="shared" si="7"/>
        <v>772</v>
      </c>
      <c r="AD179" s="9">
        <f t="shared" si="8"/>
        <v>10161</v>
      </c>
      <c r="AE179" s="10">
        <f t="shared" si="9"/>
        <v>13.161917098445596</v>
      </c>
    </row>
    <row r="180" spans="1:31" x14ac:dyDescent="0.3">
      <c r="A180" s="55"/>
      <c r="B180" s="30" t="s">
        <v>182</v>
      </c>
      <c r="C180" s="9">
        <v>0</v>
      </c>
      <c r="D180" s="9">
        <v>3</v>
      </c>
      <c r="E180" s="9">
        <v>0</v>
      </c>
      <c r="F180" s="9">
        <v>0</v>
      </c>
      <c r="G180" s="9">
        <v>1</v>
      </c>
      <c r="H180" s="9">
        <v>7</v>
      </c>
      <c r="I180" s="9">
        <v>1</v>
      </c>
      <c r="J180" s="9">
        <v>6</v>
      </c>
      <c r="K180" s="9">
        <v>10</v>
      </c>
      <c r="L180" s="9">
        <v>3</v>
      </c>
      <c r="M180" s="9">
        <v>11</v>
      </c>
      <c r="N180" s="9">
        <v>5</v>
      </c>
      <c r="O180" s="9">
        <v>164</v>
      </c>
      <c r="P180" s="9">
        <v>4</v>
      </c>
      <c r="Q180" s="9">
        <v>12</v>
      </c>
      <c r="R180" s="9">
        <v>17</v>
      </c>
      <c r="S180" s="9">
        <v>4</v>
      </c>
      <c r="T180" s="9">
        <v>36</v>
      </c>
      <c r="U180" s="9">
        <v>0</v>
      </c>
      <c r="V180" s="9">
        <v>1</v>
      </c>
      <c r="W180" s="9">
        <v>0</v>
      </c>
      <c r="X180" s="9">
        <v>0</v>
      </c>
      <c r="Y180" s="9">
        <v>0</v>
      </c>
      <c r="Z180" s="9">
        <v>0</v>
      </c>
      <c r="AA180" s="9">
        <v>14</v>
      </c>
      <c r="AC180" s="9">
        <f t="shared" si="7"/>
        <v>299</v>
      </c>
      <c r="AD180" s="9">
        <f t="shared" si="8"/>
        <v>3836</v>
      </c>
      <c r="AE180" s="10">
        <f t="shared" si="9"/>
        <v>12.82943143812709</v>
      </c>
    </row>
    <row r="181" spans="1:31" x14ac:dyDescent="0.3">
      <c r="A181" s="55"/>
      <c r="B181" s="30" t="s">
        <v>183</v>
      </c>
      <c r="C181" s="9">
        <v>2</v>
      </c>
      <c r="D181" s="9">
        <v>0</v>
      </c>
      <c r="E181" s="9">
        <v>3</v>
      </c>
      <c r="F181" s="9">
        <v>1</v>
      </c>
      <c r="G181" s="9">
        <v>1</v>
      </c>
      <c r="H181" s="9">
        <v>5</v>
      </c>
      <c r="I181" s="9">
        <v>5</v>
      </c>
      <c r="J181" s="9">
        <v>4</v>
      </c>
      <c r="K181" s="9">
        <v>11</v>
      </c>
      <c r="L181" s="9">
        <v>6</v>
      </c>
      <c r="M181" s="9">
        <v>11</v>
      </c>
      <c r="N181" s="9">
        <v>3</v>
      </c>
      <c r="O181" s="9">
        <v>77</v>
      </c>
      <c r="P181" s="9">
        <v>2</v>
      </c>
      <c r="Q181" s="9">
        <v>11</v>
      </c>
      <c r="R181" s="9">
        <v>9</v>
      </c>
      <c r="S181" s="9">
        <v>2</v>
      </c>
      <c r="T181" s="9">
        <v>14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C181" s="9">
        <f t="shared" si="7"/>
        <v>169</v>
      </c>
      <c r="AD181" s="9">
        <f t="shared" si="8"/>
        <v>1933</v>
      </c>
      <c r="AE181" s="10">
        <f t="shared" si="9"/>
        <v>11.437869822485206</v>
      </c>
    </row>
    <row r="182" spans="1:31" x14ac:dyDescent="0.3">
      <c r="A182" s="55"/>
      <c r="B182" s="30" t="s">
        <v>184</v>
      </c>
      <c r="C182" s="9">
        <v>13</v>
      </c>
      <c r="D182" s="9">
        <v>6</v>
      </c>
      <c r="E182" s="9">
        <v>1</v>
      </c>
      <c r="F182" s="9">
        <v>5</v>
      </c>
      <c r="G182" s="9">
        <v>6</v>
      </c>
      <c r="H182" s="9">
        <v>27</v>
      </c>
      <c r="I182" s="9">
        <v>7</v>
      </c>
      <c r="J182" s="9">
        <v>21</v>
      </c>
      <c r="K182" s="9">
        <v>66</v>
      </c>
      <c r="L182" s="9">
        <v>28</v>
      </c>
      <c r="M182" s="9">
        <v>44</v>
      </c>
      <c r="N182" s="9">
        <v>39</v>
      </c>
      <c r="O182" s="9">
        <v>442</v>
      </c>
      <c r="P182" s="9">
        <v>11</v>
      </c>
      <c r="Q182" s="9">
        <v>27</v>
      </c>
      <c r="R182" s="9">
        <v>33</v>
      </c>
      <c r="S182" s="9">
        <v>5</v>
      </c>
      <c r="T182" s="9">
        <v>56</v>
      </c>
      <c r="U182" s="9">
        <v>2</v>
      </c>
      <c r="V182" s="9">
        <v>1</v>
      </c>
      <c r="W182" s="9">
        <v>0</v>
      </c>
      <c r="X182" s="9">
        <v>0</v>
      </c>
      <c r="Y182" s="9">
        <v>1</v>
      </c>
      <c r="Z182" s="9">
        <v>0</v>
      </c>
      <c r="AA182" s="9">
        <v>20</v>
      </c>
      <c r="AC182" s="9">
        <f t="shared" si="7"/>
        <v>861</v>
      </c>
      <c r="AD182" s="9">
        <f t="shared" si="8"/>
        <v>9929</v>
      </c>
      <c r="AE182" s="10">
        <f t="shared" si="9"/>
        <v>11.531939605110336</v>
      </c>
    </row>
    <row r="183" spans="1:31" x14ac:dyDescent="0.3">
      <c r="A183" s="55"/>
      <c r="B183" s="30" t="s">
        <v>185</v>
      </c>
      <c r="C183" s="9">
        <v>16</v>
      </c>
      <c r="D183" s="9">
        <v>6</v>
      </c>
      <c r="E183" s="9">
        <v>7</v>
      </c>
      <c r="F183" s="9">
        <v>10</v>
      </c>
      <c r="G183" s="9">
        <v>13</v>
      </c>
      <c r="H183" s="9">
        <v>26</v>
      </c>
      <c r="I183" s="9">
        <v>33</v>
      </c>
      <c r="J183" s="9">
        <v>24</v>
      </c>
      <c r="K183" s="9">
        <v>49</v>
      </c>
      <c r="L183" s="9">
        <v>33</v>
      </c>
      <c r="M183" s="9">
        <v>45</v>
      </c>
      <c r="N183" s="9">
        <v>43</v>
      </c>
      <c r="O183" s="9">
        <v>618</v>
      </c>
      <c r="P183" s="9">
        <v>57</v>
      </c>
      <c r="Q183" s="9">
        <v>134</v>
      </c>
      <c r="R183" s="9">
        <v>170</v>
      </c>
      <c r="S183" s="9">
        <v>38</v>
      </c>
      <c r="T183" s="9">
        <v>218</v>
      </c>
      <c r="U183" s="9">
        <v>9</v>
      </c>
      <c r="V183" s="9">
        <v>7</v>
      </c>
      <c r="W183" s="9">
        <v>0</v>
      </c>
      <c r="X183" s="9">
        <v>0</v>
      </c>
      <c r="Y183" s="9">
        <v>0</v>
      </c>
      <c r="Z183" s="9">
        <v>1</v>
      </c>
      <c r="AA183" s="9">
        <v>34</v>
      </c>
      <c r="AC183" s="9">
        <f t="shared" si="7"/>
        <v>1591</v>
      </c>
      <c r="AD183" s="9">
        <f t="shared" si="8"/>
        <v>20241</v>
      </c>
      <c r="AE183" s="10">
        <f t="shared" si="9"/>
        <v>12.722187303582652</v>
      </c>
    </row>
    <row r="184" spans="1:31" x14ac:dyDescent="0.3">
      <c r="A184" s="55"/>
      <c r="B184" s="30" t="s">
        <v>186</v>
      </c>
      <c r="C184" s="9">
        <v>7</v>
      </c>
      <c r="D184" s="9">
        <v>6</v>
      </c>
      <c r="E184" s="9">
        <v>7</v>
      </c>
      <c r="F184" s="9">
        <v>6</v>
      </c>
      <c r="G184" s="9">
        <v>2</v>
      </c>
      <c r="H184" s="9">
        <v>19</v>
      </c>
      <c r="I184" s="9">
        <v>14</v>
      </c>
      <c r="J184" s="9">
        <v>16</v>
      </c>
      <c r="K184" s="9">
        <v>15</v>
      </c>
      <c r="L184" s="9">
        <v>6</v>
      </c>
      <c r="M184" s="9">
        <v>15</v>
      </c>
      <c r="N184" s="9">
        <v>15</v>
      </c>
      <c r="O184" s="9">
        <v>235</v>
      </c>
      <c r="P184" s="9">
        <v>24</v>
      </c>
      <c r="Q184" s="9">
        <v>47</v>
      </c>
      <c r="R184" s="9">
        <v>44</v>
      </c>
      <c r="S184" s="9">
        <v>14</v>
      </c>
      <c r="T184" s="9">
        <v>77</v>
      </c>
      <c r="U184" s="9">
        <v>4</v>
      </c>
      <c r="V184" s="9">
        <v>6</v>
      </c>
      <c r="W184" s="9">
        <v>0</v>
      </c>
      <c r="X184" s="9">
        <v>0</v>
      </c>
      <c r="Y184" s="9">
        <v>0</v>
      </c>
      <c r="Z184" s="9">
        <v>1</v>
      </c>
      <c r="AA184" s="9">
        <v>15</v>
      </c>
      <c r="AC184" s="9">
        <f t="shared" si="7"/>
        <v>595</v>
      </c>
      <c r="AD184" s="9">
        <f t="shared" si="8"/>
        <v>7378</v>
      </c>
      <c r="AE184" s="10">
        <f t="shared" si="9"/>
        <v>12.4</v>
      </c>
    </row>
    <row r="185" spans="1:31" x14ac:dyDescent="0.3">
      <c r="A185" s="55"/>
      <c r="B185" s="30" t="s">
        <v>187</v>
      </c>
      <c r="C185" s="9">
        <v>3</v>
      </c>
      <c r="D185" s="9">
        <v>0</v>
      </c>
      <c r="E185" s="9">
        <v>1</v>
      </c>
      <c r="F185" s="9">
        <v>2</v>
      </c>
      <c r="G185" s="9">
        <v>3</v>
      </c>
      <c r="H185" s="9">
        <v>12</v>
      </c>
      <c r="I185" s="9">
        <v>6</v>
      </c>
      <c r="J185" s="9">
        <v>6</v>
      </c>
      <c r="K185" s="9">
        <v>14</v>
      </c>
      <c r="L185" s="9">
        <v>8</v>
      </c>
      <c r="M185" s="9">
        <v>17</v>
      </c>
      <c r="N185" s="9">
        <v>11</v>
      </c>
      <c r="O185" s="9">
        <v>225</v>
      </c>
      <c r="P185" s="9">
        <v>25</v>
      </c>
      <c r="Q185" s="9">
        <v>61</v>
      </c>
      <c r="R185" s="9">
        <v>78</v>
      </c>
      <c r="S185" s="9">
        <v>5</v>
      </c>
      <c r="T185" s="9">
        <v>95</v>
      </c>
      <c r="U185" s="9">
        <v>2</v>
      </c>
      <c r="V185" s="9">
        <v>3</v>
      </c>
      <c r="W185" s="9">
        <v>0</v>
      </c>
      <c r="X185" s="9">
        <v>0</v>
      </c>
      <c r="Y185" s="9">
        <v>0</v>
      </c>
      <c r="Z185" s="9">
        <v>0</v>
      </c>
      <c r="AA185" s="9">
        <v>11</v>
      </c>
      <c r="AC185" s="9">
        <f t="shared" si="7"/>
        <v>588</v>
      </c>
      <c r="AD185" s="9">
        <f t="shared" si="8"/>
        <v>7734</v>
      </c>
      <c r="AE185" s="10">
        <f t="shared" si="9"/>
        <v>13.153061224489797</v>
      </c>
    </row>
    <row r="186" spans="1:31" x14ac:dyDescent="0.3">
      <c r="A186" s="55"/>
      <c r="B186" s="30" t="s">
        <v>188</v>
      </c>
      <c r="C186" s="9">
        <v>22</v>
      </c>
      <c r="D186" s="9">
        <v>9</v>
      </c>
      <c r="E186" s="9">
        <v>19</v>
      </c>
      <c r="F186" s="9">
        <v>29</v>
      </c>
      <c r="G186" s="9">
        <v>33</v>
      </c>
      <c r="H186" s="9">
        <v>60</v>
      </c>
      <c r="I186" s="9">
        <v>48</v>
      </c>
      <c r="J186" s="9">
        <v>66</v>
      </c>
      <c r="K186" s="9">
        <v>113</v>
      </c>
      <c r="L186" s="9">
        <v>78</v>
      </c>
      <c r="M186" s="9">
        <v>94</v>
      </c>
      <c r="N186" s="9">
        <v>96</v>
      </c>
      <c r="O186" s="9">
        <v>1080</v>
      </c>
      <c r="P186" s="9">
        <v>141</v>
      </c>
      <c r="Q186" s="9">
        <v>256</v>
      </c>
      <c r="R186" s="9">
        <v>397</v>
      </c>
      <c r="S186" s="9">
        <v>83</v>
      </c>
      <c r="T186" s="9">
        <v>586</v>
      </c>
      <c r="U186" s="9">
        <v>13</v>
      </c>
      <c r="V186" s="9">
        <v>26</v>
      </c>
      <c r="W186" s="9">
        <v>1</v>
      </c>
      <c r="X186" s="9">
        <v>0</v>
      </c>
      <c r="Y186" s="9">
        <v>0</v>
      </c>
      <c r="Z186" s="9">
        <v>2</v>
      </c>
      <c r="AA186" s="9">
        <v>29</v>
      </c>
      <c r="AC186" s="9">
        <f t="shared" si="7"/>
        <v>3281</v>
      </c>
      <c r="AD186" s="9">
        <f t="shared" si="8"/>
        <v>42030</v>
      </c>
      <c r="AE186" s="10">
        <f t="shared" si="9"/>
        <v>12.81011886619933</v>
      </c>
    </row>
    <row r="187" spans="1:31" x14ac:dyDescent="0.3">
      <c r="A187" s="55"/>
      <c r="B187" s="30" t="s">
        <v>189</v>
      </c>
      <c r="C187" s="9">
        <v>4</v>
      </c>
      <c r="D187" s="9">
        <v>4</v>
      </c>
      <c r="E187" s="9">
        <v>4</v>
      </c>
      <c r="F187" s="9">
        <v>8</v>
      </c>
      <c r="G187" s="9">
        <v>6</v>
      </c>
      <c r="H187" s="9">
        <v>20</v>
      </c>
      <c r="I187" s="9">
        <v>20</v>
      </c>
      <c r="J187" s="9">
        <v>21</v>
      </c>
      <c r="K187" s="9">
        <v>23</v>
      </c>
      <c r="L187" s="9">
        <v>19</v>
      </c>
      <c r="M187" s="9">
        <v>26</v>
      </c>
      <c r="N187" s="9">
        <v>22</v>
      </c>
      <c r="O187" s="9">
        <v>347</v>
      </c>
      <c r="P187" s="9">
        <v>30</v>
      </c>
      <c r="Q187" s="9">
        <v>77</v>
      </c>
      <c r="R187" s="9">
        <v>95</v>
      </c>
      <c r="S187" s="9">
        <v>24</v>
      </c>
      <c r="T187" s="9">
        <v>180</v>
      </c>
      <c r="U187" s="9">
        <v>4</v>
      </c>
      <c r="V187" s="9">
        <v>6</v>
      </c>
      <c r="W187" s="9">
        <v>1</v>
      </c>
      <c r="X187" s="9">
        <v>0</v>
      </c>
      <c r="Y187" s="9">
        <v>0</v>
      </c>
      <c r="Z187" s="9">
        <v>2</v>
      </c>
      <c r="AA187" s="9">
        <v>13</v>
      </c>
      <c r="AC187" s="9">
        <f t="shared" si="7"/>
        <v>956</v>
      </c>
      <c r="AD187" s="9">
        <f t="shared" si="8"/>
        <v>12349</v>
      </c>
      <c r="AE187" s="10">
        <f t="shared" si="9"/>
        <v>12.917364016736402</v>
      </c>
    </row>
    <row r="188" spans="1:31" x14ac:dyDescent="0.3">
      <c r="A188" s="55"/>
      <c r="B188" s="30" t="s">
        <v>190</v>
      </c>
      <c r="C188" s="9">
        <v>31</v>
      </c>
      <c r="D188" s="9">
        <v>13</v>
      </c>
      <c r="E188" s="9">
        <v>7</v>
      </c>
      <c r="F188" s="9">
        <v>19</v>
      </c>
      <c r="G188" s="9">
        <v>17</v>
      </c>
      <c r="H188" s="9">
        <v>45</v>
      </c>
      <c r="I188" s="9">
        <v>31</v>
      </c>
      <c r="J188" s="9">
        <v>63</v>
      </c>
      <c r="K188" s="9">
        <v>98</v>
      </c>
      <c r="L188" s="9">
        <v>63</v>
      </c>
      <c r="M188" s="9">
        <v>69</v>
      </c>
      <c r="N188" s="9">
        <v>63</v>
      </c>
      <c r="O188" s="9">
        <v>1053</v>
      </c>
      <c r="P188" s="9">
        <v>60</v>
      </c>
      <c r="Q188" s="9">
        <v>160</v>
      </c>
      <c r="R188" s="9">
        <v>202</v>
      </c>
      <c r="S188" s="9">
        <v>38</v>
      </c>
      <c r="T188" s="9">
        <v>334</v>
      </c>
      <c r="U188" s="9">
        <v>6</v>
      </c>
      <c r="V188" s="9">
        <v>15</v>
      </c>
      <c r="W188" s="9">
        <v>0</v>
      </c>
      <c r="X188" s="9">
        <v>0</v>
      </c>
      <c r="Y188" s="9">
        <v>0</v>
      </c>
      <c r="Z188" s="9">
        <v>6</v>
      </c>
      <c r="AA188" s="9">
        <v>52</v>
      </c>
      <c r="AC188" s="9">
        <f t="shared" si="7"/>
        <v>2445</v>
      </c>
      <c r="AD188" s="9">
        <f t="shared" si="8"/>
        <v>30489</v>
      </c>
      <c r="AE188" s="10">
        <f t="shared" si="9"/>
        <v>12.469938650306748</v>
      </c>
    </row>
    <row r="189" spans="1:31" x14ac:dyDescent="0.3">
      <c r="A189" s="55"/>
      <c r="B189" s="30" t="s">
        <v>191</v>
      </c>
      <c r="C189" s="9">
        <v>4</v>
      </c>
      <c r="D189" s="9">
        <v>1</v>
      </c>
      <c r="E189" s="9">
        <v>2</v>
      </c>
      <c r="F189" s="9">
        <v>2</v>
      </c>
      <c r="G189" s="9">
        <v>4</v>
      </c>
      <c r="H189" s="9">
        <v>17</v>
      </c>
      <c r="I189" s="9">
        <v>12</v>
      </c>
      <c r="J189" s="9">
        <v>4</v>
      </c>
      <c r="K189" s="9">
        <v>13</v>
      </c>
      <c r="L189" s="9">
        <v>4</v>
      </c>
      <c r="M189" s="9">
        <v>11</v>
      </c>
      <c r="N189" s="9">
        <v>4</v>
      </c>
      <c r="O189" s="9">
        <v>194</v>
      </c>
      <c r="P189" s="9">
        <v>14</v>
      </c>
      <c r="Q189" s="9">
        <v>29</v>
      </c>
      <c r="R189" s="9">
        <v>41</v>
      </c>
      <c r="S189" s="9">
        <v>9</v>
      </c>
      <c r="T189" s="9">
        <v>54</v>
      </c>
      <c r="U189" s="9">
        <v>0</v>
      </c>
      <c r="V189" s="9">
        <v>4</v>
      </c>
      <c r="W189" s="9">
        <v>0</v>
      </c>
      <c r="X189" s="9">
        <v>0</v>
      </c>
      <c r="Y189" s="9">
        <v>0</v>
      </c>
      <c r="Z189" s="9">
        <v>0</v>
      </c>
      <c r="AA189" s="9">
        <v>5</v>
      </c>
      <c r="AC189" s="9">
        <f t="shared" si="7"/>
        <v>428</v>
      </c>
      <c r="AD189" s="9">
        <f t="shared" si="8"/>
        <v>5295</v>
      </c>
      <c r="AE189" s="10">
        <f t="shared" si="9"/>
        <v>12.371495327102803</v>
      </c>
    </row>
    <row r="190" spans="1:31" x14ac:dyDescent="0.3">
      <c r="A190" s="55"/>
      <c r="B190" s="30" t="s">
        <v>192</v>
      </c>
      <c r="C190" s="9">
        <v>30</v>
      </c>
      <c r="D190" s="9">
        <v>5</v>
      </c>
      <c r="E190" s="9">
        <v>11</v>
      </c>
      <c r="F190" s="9">
        <v>28</v>
      </c>
      <c r="G190" s="9">
        <v>29</v>
      </c>
      <c r="H190" s="9">
        <v>49</v>
      </c>
      <c r="I190" s="9">
        <v>47</v>
      </c>
      <c r="J190" s="9">
        <v>48</v>
      </c>
      <c r="K190" s="9">
        <v>116</v>
      </c>
      <c r="L190" s="9">
        <v>70</v>
      </c>
      <c r="M190" s="9">
        <v>133</v>
      </c>
      <c r="N190" s="9">
        <v>100</v>
      </c>
      <c r="O190" s="9">
        <v>1459</v>
      </c>
      <c r="P190" s="9">
        <v>77</v>
      </c>
      <c r="Q190" s="9">
        <v>184</v>
      </c>
      <c r="R190" s="9">
        <v>258</v>
      </c>
      <c r="S190" s="9">
        <v>58</v>
      </c>
      <c r="T190" s="9">
        <v>391</v>
      </c>
      <c r="U190" s="9">
        <v>10</v>
      </c>
      <c r="V190" s="9">
        <v>14</v>
      </c>
      <c r="W190" s="9">
        <v>1</v>
      </c>
      <c r="X190" s="9">
        <v>0</v>
      </c>
      <c r="Y190" s="9">
        <v>0</v>
      </c>
      <c r="Z190" s="9">
        <v>4</v>
      </c>
      <c r="AA190" s="9">
        <v>48</v>
      </c>
      <c r="AC190" s="9">
        <f t="shared" si="7"/>
        <v>3170</v>
      </c>
      <c r="AD190" s="9">
        <f t="shared" si="8"/>
        <v>39318</v>
      </c>
      <c r="AE190" s="10">
        <f t="shared" si="9"/>
        <v>12.403154574132492</v>
      </c>
    </row>
    <row r="191" spans="1:31" x14ac:dyDescent="0.3">
      <c r="A191" s="55"/>
      <c r="B191" s="30" t="s">
        <v>193</v>
      </c>
      <c r="C191" s="9">
        <v>1</v>
      </c>
      <c r="D191" s="9">
        <v>0</v>
      </c>
      <c r="E191" s="9">
        <v>1</v>
      </c>
      <c r="F191" s="9">
        <v>1</v>
      </c>
      <c r="G191" s="9">
        <v>0</v>
      </c>
      <c r="H191" s="9">
        <v>2</v>
      </c>
      <c r="I191" s="9">
        <v>3</v>
      </c>
      <c r="J191" s="9">
        <v>3</v>
      </c>
      <c r="K191" s="9">
        <v>13</v>
      </c>
      <c r="L191" s="9">
        <v>5</v>
      </c>
      <c r="M191" s="9">
        <v>18</v>
      </c>
      <c r="N191" s="9">
        <v>11</v>
      </c>
      <c r="O191" s="9">
        <v>122</v>
      </c>
      <c r="P191" s="9">
        <v>11</v>
      </c>
      <c r="Q191" s="9">
        <v>18</v>
      </c>
      <c r="R191" s="9">
        <v>16</v>
      </c>
      <c r="S191" s="9">
        <v>2</v>
      </c>
      <c r="T191" s="9">
        <v>18</v>
      </c>
      <c r="U191" s="9">
        <v>1</v>
      </c>
      <c r="V191" s="9">
        <v>2</v>
      </c>
      <c r="W191" s="9">
        <v>0</v>
      </c>
      <c r="X191" s="9">
        <v>0</v>
      </c>
      <c r="Y191" s="9">
        <v>0</v>
      </c>
      <c r="Z191" s="9">
        <v>0</v>
      </c>
      <c r="AA191" s="9">
        <v>10</v>
      </c>
      <c r="AC191" s="9">
        <f t="shared" si="7"/>
        <v>258</v>
      </c>
      <c r="AD191" s="9">
        <f t="shared" si="8"/>
        <v>3237</v>
      </c>
      <c r="AE191" s="10">
        <f t="shared" si="9"/>
        <v>12.546511627906977</v>
      </c>
    </row>
    <row r="192" spans="1:31" x14ac:dyDescent="0.3">
      <c r="A192" s="55"/>
      <c r="B192" s="30" t="s">
        <v>194</v>
      </c>
      <c r="C192" s="9">
        <v>5</v>
      </c>
      <c r="D192" s="9">
        <v>1</v>
      </c>
      <c r="E192" s="9">
        <v>2</v>
      </c>
      <c r="F192" s="9">
        <v>4</v>
      </c>
      <c r="G192" s="9">
        <v>4</v>
      </c>
      <c r="H192" s="9">
        <v>25</v>
      </c>
      <c r="I192" s="9">
        <v>22</v>
      </c>
      <c r="J192" s="9">
        <v>22</v>
      </c>
      <c r="K192" s="9">
        <v>39</v>
      </c>
      <c r="L192" s="9">
        <v>21</v>
      </c>
      <c r="M192" s="9">
        <v>20</v>
      </c>
      <c r="N192" s="9">
        <v>19</v>
      </c>
      <c r="O192" s="9">
        <v>223</v>
      </c>
      <c r="P192" s="9">
        <v>7</v>
      </c>
      <c r="Q192" s="9">
        <v>8</v>
      </c>
      <c r="R192" s="9">
        <v>13</v>
      </c>
      <c r="S192" s="9">
        <v>2</v>
      </c>
      <c r="T192" s="9">
        <v>16</v>
      </c>
      <c r="U192" s="9">
        <v>1</v>
      </c>
      <c r="V192" s="9">
        <v>1</v>
      </c>
      <c r="W192" s="9">
        <v>2</v>
      </c>
      <c r="X192" s="9">
        <v>0</v>
      </c>
      <c r="Y192" s="9">
        <v>0</v>
      </c>
      <c r="Z192" s="9">
        <v>1</v>
      </c>
      <c r="AA192" s="9">
        <v>11</v>
      </c>
      <c r="AC192" s="9">
        <f t="shared" si="7"/>
        <v>469</v>
      </c>
      <c r="AD192" s="9">
        <f t="shared" si="8"/>
        <v>5096</v>
      </c>
      <c r="AE192" s="10">
        <f t="shared" si="9"/>
        <v>10.865671641791044</v>
      </c>
    </row>
    <row r="193" spans="1:31" x14ac:dyDescent="0.3">
      <c r="A193" s="55"/>
      <c r="B193" s="30" t="s">
        <v>195</v>
      </c>
      <c r="C193" s="9">
        <v>14</v>
      </c>
      <c r="D193" s="9">
        <v>5</v>
      </c>
      <c r="E193" s="9">
        <v>10</v>
      </c>
      <c r="F193" s="9">
        <v>21</v>
      </c>
      <c r="G193" s="9">
        <v>19</v>
      </c>
      <c r="H193" s="9">
        <v>55</v>
      </c>
      <c r="I193" s="9">
        <v>31</v>
      </c>
      <c r="J193" s="9">
        <v>56</v>
      </c>
      <c r="K193" s="9">
        <v>88</v>
      </c>
      <c r="L193" s="9">
        <v>62</v>
      </c>
      <c r="M193" s="9">
        <v>71</v>
      </c>
      <c r="N193" s="9">
        <v>76</v>
      </c>
      <c r="O193" s="9">
        <v>812</v>
      </c>
      <c r="P193" s="9">
        <v>58</v>
      </c>
      <c r="Q193" s="9">
        <v>112</v>
      </c>
      <c r="R193" s="9">
        <v>137</v>
      </c>
      <c r="S193" s="9">
        <v>39</v>
      </c>
      <c r="T193" s="9">
        <v>172</v>
      </c>
      <c r="U193" s="9">
        <v>9</v>
      </c>
      <c r="V193" s="9">
        <v>8</v>
      </c>
      <c r="W193" s="9">
        <v>0</v>
      </c>
      <c r="X193" s="9">
        <v>1</v>
      </c>
      <c r="Y193" s="9">
        <v>0</v>
      </c>
      <c r="Z193" s="9">
        <v>4</v>
      </c>
      <c r="AA193" s="9">
        <v>44</v>
      </c>
      <c r="AC193" s="9">
        <f t="shared" si="7"/>
        <v>1904</v>
      </c>
      <c r="AD193" s="9">
        <f t="shared" si="8"/>
        <v>22977</v>
      </c>
      <c r="AE193" s="10">
        <f t="shared" si="9"/>
        <v>12.067752100840336</v>
      </c>
    </row>
    <row r="194" spans="1:31" x14ac:dyDescent="0.3">
      <c r="A194" s="55"/>
      <c r="B194" s="30" t="s">
        <v>196</v>
      </c>
      <c r="C194" s="9">
        <v>5</v>
      </c>
      <c r="D194" s="9">
        <v>5</v>
      </c>
      <c r="E194" s="9">
        <v>6</v>
      </c>
      <c r="F194" s="9">
        <v>9</v>
      </c>
      <c r="G194" s="9">
        <v>12</v>
      </c>
      <c r="H194" s="9">
        <v>21</v>
      </c>
      <c r="I194" s="9">
        <v>27</v>
      </c>
      <c r="J194" s="9">
        <v>21</v>
      </c>
      <c r="K194" s="9">
        <v>37</v>
      </c>
      <c r="L194" s="9">
        <v>27</v>
      </c>
      <c r="M194" s="9">
        <v>28</v>
      </c>
      <c r="N194" s="9">
        <v>20</v>
      </c>
      <c r="O194" s="9">
        <v>339</v>
      </c>
      <c r="P194" s="9">
        <v>17</v>
      </c>
      <c r="Q194" s="9">
        <v>58</v>
      </c>
      <c r="R194" s="9">
        <v>74</v>
      </c>
      <c r="S194" s="9">
        <v>14</v>
      </c>
      <c r="T194" s="9">
        <v>98</v>
      </c>
      <c r="U194" s="9">
        <v>0</v>
      </c>
      <c r="V194" s="9">
        <v>4</v>
      </c>
      <c r="W194" s="9">
        <v>1</v>
      </c>
      <c r="X194" s="9">
        <v>0</v>
      </c>
      <c r="Y194" s="9">
        <v>0</v>
      </c>
      <c r="Z194" s="9">
        <v>1</v>
      </c>
      <c r="AA194" s="9">
        <v>12</v>
      </c>
      <c r="AC194" s="9">
        <f t="shared" si="7"/>
        <v>836</v>
      </c>
      <c r="AD194" s="9">
        <f t="shared" si="8"/>
        <v>10053</v>
      </c>
      <c r="AE194" s="10">
        <f t="shared" si="9"/>
        <v>12.025119617224881</v>
      </c>
    </row>
    <row r="195" spans="1:31" x14ac:dyDescent="0.3">
      <c r="A195" s="55"/>
      <c r="B195" s="30" t="s">
        <v>197</v>
      </c>
      <c r="C195" s="9">
        <v>6</v>
      </c>
      <c r="D195" s="9">
        <v>2</v>
      </c>
      <c r="E195" s="9">
        <v>3</v>
      </c>
      <c r="F195" s="9">
        <v>1</v>
      </c>
      <c r="G195" s="9">
        <v>4</v>
      </c>
      <c r="H195" s="9">
        <v>10</v>
      </c>
      <c r="I195" s="9">
        <v>18</v>
      </c>
      <c r="J195" s="9">
        <v>18</v>
      </c>
      <c r="K195" s="9">
        <v>34</v>
      </c>
      <c r="L195" s="9">
        <v>15</v>
      </c>
      <c r="M195" s="9">
        <v>25</v>
      </c>
      <c r="N195" s="9">
        <v>17</v>
      </c>
      <c r="O195" s="9">
        <v>407</v>
      </c>
      <c r="P195" s="9">
        <v>23</v>
      </c>
      <c r="Q195" s="9">
        <v>66</v>
      </c>
      <c r="R195" s="9">
        <v>86</v>
      </c>
      <c r="S195" s="9">
        <v>31</v>
      </c>
      <c r="T195" s="9">
        <v>157</v>
      </c>
      <c r="U195" s="9">
        <v>3</v>
      </c>
      <c r="V195" s="9">
        <v>8</v>
      </c>
      <c r="W195" s="9">
        <v>1</v>
      </c>
      <c r="X195" s="9">
        <v>0</v>
      </c>
      <c r="Y195" s="9">
        <v>0</v>
      </c>
      <c r="Z195" s="9">
        <v>2</v>
      </c>
      <c r="AA195" s="9">
        <v>29</v>
      </c>
      <c r="AC195" s="9">
        <f t="shared" si="7"/>
        <v>966</v>
      </c>
      <c r="AD195" s="9">
        <f t="shared" si="8"/>
        <v>12685</v>
      </c>
      <c r="AE195" s="10">
        <f t="shared" si="9"/>
        <v>13.131469979296066</v>
      </c>
    </row>
    <row r="196" spans="1:31" x14ac:dyDescent="0.3">
      <c r="A196" s="55"/>
      <c r="B196" s="30" t="s">
        <v>198</v>
      </c>
      <c r="C196" s="9">
        <v>2</v>
      </c>
      <c r="D196" s="9">
        <v>0</v>
      </c>
      <c r="E196" s="9">
        <v>0</v>
      </c>
      <c r="F196" s="9">
        <v>5</v>
      </c>
      <c r="G196" s="9">
        <v>2</v>
      </c>
      <c r="H196" s="9">
        <v>5</v>
      </c>
      <c r="I196" s="9">
        <v>8</v>
      </c>
      <c r="J196" s="9">
        <v>6</v>
      </c>
      <c r="K196" s="9">
        <v>13</v>
      </c>
      <c r="L196" s="9">
        <v>5</v>
      </c>
      <c r="M196" s="9">
        <v>10</v>
      </c>
      <c r="N196" s="9">
        <v>19</v>
      </c>
      <c r="O196" s="9">
        <v>226</v>
      </c>
      <c r="P196" s="9">
        <v>15</v>
      </c>
      <c r="Q196" s="9">
        <v>37</v>
      </c>
      <c r="R196" s="9">
        <v>25</v>
      </c>
      <c r="S196" s="9">
        <v>9</v>
      </c>
      <c r="T196" s="9">
        <v>60</v>
      </c>
      <c r="U196" s="9">
        <v>3</v>
      </c>
      <c r="V196" s="9">
        <v>5</v>
      </c>
      <c r="W196" s="9">
        <v>0</v>
      </c>
      <c r="X196" s="9">
        <v>0</v>
      </c>
      <c r="Y196" s="9">
        <v>0</v>
      </c>
      <c r="Z196" s="9">
        <v>0</v>
      </c>
      <c r="AA196" s="9">
        <v>29</v>
      </c>
      <c r="AC196" s="9">
        <f t="shared" si="7"/>
        <v>484</v>
      </c>
      <c r="AD196" s="9">
        <f t="shared" si="8"/>
        <v>6405</v>
      </c>
      <c r="AE196" s="10">
        <f t="shared" si="9"/>
        <v>13.233471074380166</v>
      </c>
    </row>
    <row r="197" spans="1:31" x14ac:dyDescent="0.3">
      <c r="A197" s="55"/>
      <c r="B197" s="30" t="s">
        <v>199</v>
      </c>
      <c r="C197" s="9">
        <v>4</v>
      </c>
      <c r="D197" s="9">
        <v>6</v>
      </c>
      <c r="E197" s="9">
        <v>5</v>
      </c>
      <c r="F197" s="9">
        <v>4</v>
      </c>
      <c r="G197" s="9">
        <v>5</v>
      </c>
      <c r="H197" s="9">
        <v>20</v>
      </c>
      <c r="I197" s="9">
        <v>12</v>
      </c>
      <c r="J197" s="9">
        <v>19</v>
      </c>
      <c r="K197" s="9">
        <v>42</v>
      </c>
      <c r="L197" s="9">
        <v>28</v>
      </c>
      <c r="M197" s="9">
        <v>35</v>
      </c>
      <c r="N197" s="9">
        <v>26</v>
      </c>
      <c r="O197" s="9">
        <v>580</v>
      </c>
      <c r="P197" s="9">
        <v>25</v>
      </c>
      <c r="Q197" s="9">
        <v>54</v>
      </c>
      <c r="R197" s="9">
        <v>59</v>
      </c>
      <c r="S197" s="9">
        <v>5</v>
      </c>
      <c r="T197" s="9">
        <v>129</v>
      </c>
      <c r="U197" s="9">
        <v>4</v>
      </c>
      <c r="V197" s="9">
        <v>8</v>
      </c>
      <c r="W197" s="9">
        <v>0</v>
      </c>
      <c r="X197" s="9">
        <v>0</v>
      </c>
      <c r="Y197" s="9">
        <v>0</v>
      </c>
      <c r="Z197" s="9">
        <v>1</v>
      </c>
      <c r="AA197" s="9">
        <v>58</v>
      </c>
      <c r="AC197" s="9">
        <f t="shared" ref="AC197:AC260" si="10">SUM(C197:AA197)</f>
        <v>1129</v>
      </c>
      <c r="AD197" s="9">
        <f t="shared" ref="AD197:AD260" si="11">C$2*C197+D$2*D197+E$2*E197+F$2*F197+G$2*G197+H$2*H197+I$2*I197+J$2*J197+K$2*K197+L$2*L197+M$2*M197+N$2*N197+O$2*O197+P$2*P197+Q$2*Q197+R$2*R197+S$2*S197+T$2*T197+U$2*U197+V$2*V197+W$2*W197+X$2*X197+Y$2*Y197+Z$2*Z197+AA$2*AA197</f>
        <v>14415</v>
      </c>
      <c r="AE197" s="10">
        <f t="shared" ref="AE197:AE260" si="12">AD197/AC197</f>
        <v>12.767936226749336</v>
      </c>
    </row>
    <row r="198" spans="1:31" x14ac:dyDescent="0.3">
      <c r="A198" s="55"/>
      <c r="B198" s="30" t="s">
        <v>200</v>
      </c>
      <c r="C198" s="9">
        <v>20</v>
      </c>
      <c r="D198" s="9">
        <v>7</v>
      </c>
      <c r="E198" s="9">
        <v>18</v>
      </c>
      <c r="F198" s="9">
        <v>15</v>
      </c>
      <c r="G198" s="9">
        <v>26</v>
      </c>
      <c r="H198" s="9">
        <v>66</v>
      </c>
      <c r="I198" s="9">
        <v>67</v>
      </c>
      <c r="J198" s="9">
        <v>45</v>
      </c>
      <c r="K198" s="9">
        <v>84</v>
      </c>
      <c r="L198" s="9">
        <v>37</v>
      </c>
      <c r="M198" s="9">
        <v>61</v>
      </c>
      <c r="N198" s="9">
        <v>40</v>
      </c>
      <c r="O198" s="9">
        <v>825</v>
      </c>
      <c r="P198" s="9">
        <v>74</v>
      </c>
      <c r="Q198" s="9">
        <v>155</v>
      </c>
      <c r="R198" s="9">
        <v>195</v>
      </c>
      <c r="S198" s="9">
        <v>45</v>
      </c>
      <c r="T198" s="9">
        <v>258</v>
      </c>
      <c r="U198" s="9">
        <v>7</v>
      </c>
      <c r="V198" s="9">
        <v>21</v>
      </c>
      <c r="W198" s="9">
        <v>2</v>
      </c>
      <c r="X198" s="9">
        <v>0</v>
      </c>
      <c r="Y198" s="9">
        <v>1</v>
      </c>
      <c r="Z198" s="9">
        <v>4</v>
      </c>
      <c r="AA198" s="9">
        <v>46</v>
      </c>
      <c r="AC198" s="9">
        <f t="shared" si="10"/>
        <v>2119</v>
      </c>
      <c r="AD198" s="9">
        <f t="shared" si="11"/>
        <v>26140</v>
      </c>
      <c r="AE198" s="10">
        <f t="shared" si="12"/>
        <v>12.336007550731477</v>
      </c>
    </row>
    <row r="199" spans="1:31" x14ac:dyDescent="0.3">
      <c r="A199" s="55"/>
      <c r="B199" s="30" t="s">
        <v>201</v>
      </c>
      <c r="C199" s="9">
        <v>0</v>
      </c>
      <c r="D199" s="9">
        <v>1</v>
      </c>
      <c r="E199" s="9">
        <v>1</v>
      </c>
      <c r="F199" s="9">
        <v>0</v>
      </c>
      <c r="G199" s="9">
        <v>1</v>
      </c>
      <c r="H199" s="9">
        <v>7</v>
      </c>
      <c r="I199" s="9">
        <v>5</v>
      </c>
      <c r="J199" s="9">
        <v>5</v>
      </c>
      <c r="K199" s="9">
        <v>9</v>
      </c>
      <c r="L199" s="9">
        <v>6</v>
      </c>
      <c r="M199" s="9">
        <v>10</v>
      </c>
      <c r="N199" s="9">
        <v>8</v>
      </c>
      <c r="O199" s="9">
        <v>124</v>
      </c>
      <c r="P199" s="9">
        <v>5</v>
      </c>
      <c r="Q199" s="9">
        <v>12</v>
      </c>
      <c r="R199" s="9">
        <v>9</v>
      </c>
      <c r="S199" s="9">
        <v>1</v>
      </c>
      <c r="T199" s="9">
        <v>15</v>
      </c>
      <c r="U199" s="9">
        <v>0</v>
      </c>
      <c r="V199" s="9">
        <v>1</v>
      </c>
      <c r="W199" s="9">
        <v>0</v>
      </c>
      <c r="X199" s="9">
        <v>0</v>
      </c>
      <c r="Y199" s="9">
        <v>0</v>
      </c>
      <c r="Z199" s="9">
        <v>0</v>
      </c>
      <c r="AA199" s="9">
        <v>3</v>
      </c>
      <c r="AC199" s="9">
        <f t="shared" si="10"/>
        <v>223</v>
      </c>
      <c r="AD199" s="9">
        <f t="shared" si="11"/>
        <v>2639</v>
      </c>
      <c r="AE199" s="10">
        <f t="shared" si="12"/>
        <v>11.834080717488789</v>
      </c>
    </row>
    <row r="200" spans="1:31" x14ac:dyDescent="0.3">
      <c r="A200" s="55"/>
      <c r="B200" s="30" t="s">
        <v>202</v>
      </c>
      <c r="C200" s="9">
        <v>2</v>
      </c>
      <c r="D200" s="9">
        <v>2</v>
      </c>
      <c r="E200" s="9">
        <v>0</v>
      </c>
      <c r="F200" s="9">
        <v>1</v>
      </c>
      <c r="G200" s="9">
        <v>0</v>
      </c>
      <c r="H200" s="9">
        <v>5</v>
      </c>
      <c r="I200" s="9">
        <v>3</v>
      </c>
      <c r="J200" s="9">
        <v>4</v>
      </c>
      <c r="K200" s="9">
        <v>7</v>
      </c>
      <c r="L200" s="9">
        <v>6</v>
      </c>
      <c r="M200" s="9">
        <v>4</v>
      </c>
      <c r="N200" s="9">
        <v>3</v>
      </c>
      <c r="O200" s="9">
        <v>113</v>
      </c>
      <c r="P200" s="9">
        <v>6</v>
      </c>
      <c r="Q200" s="9">
        <v>8</v>
      </c>
      <c r="R200" s="9">
        <v>22</v>
      </c>
      <c r="S200" s="9">
        <v>4</v>
      </c>
      <c r="T200" s="9">
        <v>21</v>
      </c>
      <c r="U200" s="9">
        <v>0</v>
      </c>
      <c r="V200" s="9">
        <v>3</v>
      </c>
      <c r="W200" s="9">
        <v>0</v>
      </c>
      <c r="X200" s="9">
        <v>0</v>
      </c>
      <c r="Y200" s="9">
        <v>0</v>
      </c>
      <c r="Z200" s="9">
        <v>1</v>
      </c>
      <c r="AA200" s="9">
        <v>5</v>
      </c>
      <c r="AC200" s="9">
        <f t="shared" si="10"/>
        <v>220</v>
      </c>
      <c r="AD200" s="9">
        <f t="shared" si="11"/>
        <v>2756</v>
      </c>
      <c r="AE200" s="10">
        <f t="shared" si="12"/>
        <v>12.527272727272727</v>
      </c>
    </row>
    <row r="201" spans="1:31" x14ac:dyDescent="0.3">
      <c r="A201" s="55"/>
      <c r="B201" s="30" t="s">
        <v>203</v>
      </c>
      <c r="C201" s="9">
        <v>0</v>
      </c>
      <c r="D201" s="9">
        <v>1</v>
      </c>
      <c r="E201" s="9">
        <v>0</v>
      </c>
      <c r="F201" s="9">
        <v>1</v>
      </c>
      <c r="G201" s="9">
        <v>4</v>
      </c>
      <c r="H201" s="9">
        <v>1</v>
      </c>
      <c r="I201" s="9">
        <v>5</v>
      </c>
      <c r="J201" s="9">
        <v>6</v>
      </c>
      <c r="K201" s="9">
        <v>5</v>
      </c>
      <c r="L201" s="9">
        <v>0</v>
      </c>
      <c r="M201" s="9">
        <v>12</v>
      </c>
      <c r="N201" s="9">
        <v>11</v>
      </c>
      <c r="O201" s="9">
        <v>133</v>
      </c>
      <c r="P201" s="9">
        <v>7</v>
      </c>
      <c r="Q201" s="9">
        <v>5</v>
      </c>
      <c r="R201" s="9">
        <v>13</v>
      </c>
      <c r="S201" s="9">
        <v>0</v>
      </c>
      <c r="T201" s="9">
        <v>12</v>
      </c>
      <c r="U201" s="9">
        <v>0</v>
      </c>
      <c r="V201" s="9">
        <v>1</v>
      </c>
      <c r="W201" s="9">
        <v>0</v>
      </c>
      <c r="X201" s="9">
        <v>0</v>
      </c>
      <c r="Y201" s="9">
        <v>0</v>
      </c>
      <c r="Z201" s="9">
        <v>0</v>
      </c>
      <c r="AA201" s="9">
        <v>9</v>
      </c>
      <c r="AC201" s="9">
        <f t="shared" si="10"/>
        <v>226</v>
      </c>
      <c r="AD201" s="9">
        <f t="shared" si="11"/>
        <v>2769</v>
      </c>
      <c r="AE201" s="10">
        <f t="shared" si="12"/>
        <v>12.252212389380531</v>
      </c>
    </row>
    <row r="202" spans="1:31" x14ac:dyDescent="0.3">
      <c r="A202" s="55"/>
      <c r="B202" s="30" t="s">
        <v>204</v>
      </c>
      <c r="C202" s="9">
        <v>3</v>
      </c>
      <c r="D202" s="9">
        <v>1</v>
      </c>
      <c r="E202" s="9">
        <v>6</v>
      </c>
      <c r="F202" s="9">
        <v>4</v>
      </c>
      <c r="G202" s="9">
        <v>6</v>
      </c>
      <c r="H202" s="9">
        <v>9</v>
      </c>
      <c r="I202" s="9">
        <v>7</v>
      </c>
      <c r="J202" s="9">
        <v>11</v>
      </c>
      <c r="K202" s="9">
        <v>27</v>
      </c>
      <c r="L202" s="9">
        <v>17</v>
      </c>
      <c r="M202" s="9">
        <v>16</v>
      </c>
      <c r="N202" s="9">
        <v>18</v>
      </c>
      <c r="O202" s="9">
        <v>364</v>
      </c>
      <c r="P202" s="9">
        <v>39</v>
      </c>
      <c r="Q202" s="9">
        <v>44</v>
      </c>
      <c r="R202" s="9">
        <v>69</v>
      </c>
      <c r="S202" s="9">
        <v>16</v>
      </c>
      <c r="T202" s="9">
        <v>84</v>
      </c>
      <c r="U202" s="9">
        <v>2</v>
      </c>
      <c r="V202" s="9">
        <v>5</v>
      </c>
      <c r="W202" s="9">
        <v>0</v>
      </c>
      <c r="X202" s="9">
        <v>0</v>
      </c>
      <c r="Y202" s="9">
        <v>0</v>
      </c>
      <c r="Z202" s="9">
        <v>0</v>
      </c>
      <c r="AA202" s="9">
        <v>29</v>
      </c>
      <c r="AC202" s="9">
        <f t="shared" si="10"/>
        <v>777</v>
      </c>
      <c r="AD202" s="9">
        <f t="shared" si="11"/>
        <v>9977</v>
      </c>
      <c r="AE202" s="10">
        <f t="shared" si="12"/>
        <v>12.840411840411841</v>
      </c>
    </row>
    <row r="203" spans="1:31" x14ac:dyDescent="0.3">
      <c r="A203" s="55"/>
      <c r="B203" s="30" t="s">
        <v>205</v>
      </c>
      <c r="C203" s="9">
        <v>466</v>
      </c>
      <c r="D203" s="9">
        <v>217</v>
      </c>
      <c r="E203" s="9">
        <v>286</v>
      </c>
      <c r="F203" s="9">
        <v>604</v>
      </c>
      <c r="G203" s="9">
        <v>496</v>
      </c>
      <c r="H203" s="9">
        <v>971</v>
      </c>
      <c r="I203" s="9">
        <v>708</v>
      </c>
      <c r="J203" s="9">
        <v>832</v>
      </c>
      <c r="K203" s="9">
        <v>1580</v>
      </c>
      <c r="L203" s="9">
        <v>902</v>
      </c>
      <c r="M203" s="9">
        <v>854</v>
      </c>
      <c r="N203" s="9">
        <v>973</v>
      </c>
      <c r="O203" s="9">
        <v>9751</v>
      </c>
      <c r="P203" s="9">
        <v>1671</v>
      </c>
      <c r="Q203" s="9">
        <v>3449</v>
      </c>
      <c r="R203" s="9">
        <v>4846</v>
      </c>
      <c r="S203" s="9">
        <v>1937</v>
      </c>
      <c r="T203" s="9">
        <v>10263</v>
      </c>
      <c r="U203" s="9">
        <v>192</v>
      </c>
      <c r="V203" s="9">
        <v>618</v>
      </c>
      <c r="W203" s="9">
        <v>19</v>
      </c>
      <c r="X203" s="9">
        <v>7</v>
      </c>
      <c r="Y203" s="9">
        <v>2</v>
      </c>
      <c r="Z203" s="9">
        <v>26</v>
      </c>
      <c r="AA203" s="9">
        <v>359</v>
      </c>
      <c r="AC203" s="9">
        <f t="shared" si="10"/>
        <v>42029</v>
      </c>
      <c r="AD203" s="9">
        <f t="shared" si="11"/>
        <v>549670</v>
      </c>
      <c r="AE203" s="10">
        <f t="shared" si="12"/>
        <v>13.078350662637703</v>
      </c>
    </row>
    <row r="204" spans="1:31" x14ac:dyDescent="0.3">
      <c r="A204" s="55"/>
      <c r="B204" s="30" t="s">
        <v>206</v>
      </c>
      <c r="C204" s="9">
        <v>160</v>
      </c>
      <c r="D204" s="9">
        <v>79</v>
      </c>
      <c r="E204" s="9">
        <v>157</v>
      </c>
      <c r="F204" s="9">
        <v>454</v>
      </c>
      <c r="G204" s="9">
        <v>266</v>
      </c>
      <c r="H204" s="9">
        <v>486</v>
      </c>
      <c r="I204" s="9">
        <v>317</v>
      </c>
      <c r="J204" s="9">
        <v>238</v>
      </c>
      <c r="K204" s="9">
        <v>386</v>
      </c>
      <c r="L204" s="9">
        <v>175</v>
      </c>
      <c r="M204" s="9">
        <v>125</v>
      </c>
      <c r="N204" s="9">
        <v>131</v>
      </c>
      <c r="O204" s="9">
        <v>808</v>
      </c>
      <c r="P204" s="9">
        <v>60</v>
      </c>
      <c r="Q204" s="9">
        <v>74</v>
      </c>
      <c r="R204" s="9">
        <v>76</v>
      </c>
      <c r="S204" s="9">
        <v>21</v>
      </c>
      <c r="T204" s="9">
        <v>125</v>
      </c>
      <c r="U204" s="9">
        <v>4</v>
      </c>
      <c r="V204" s="9">
        <v>7</v>
      </c>
      <c r="W204" s="9">
        <v>0</v>
      </c>
      <c r="X204" s="9">
        <v>0</v>
      </c>
      <c r="Y204" s="9">
        <v>0</v>
      </c>
      <c r="Z204" s="9">
        <v>0</v>
      </c>
      <c r="AA204" s="9">
        <v>95</v>
      </c>
      <c r="AC204" s="9">
        <f t="shared" si="10"/>
        <v>4244</v>
      </c>
      <c r="AD204" s="9">
        <f t="shared" si="11"/>
        <v>33769</v>
      </c>
      <c r="AE204" s="10">
        <f t="shared" si="12"/>
        <v>7.9568803016022622</v>
      </c>
    </row>
    <row r="205" spans="1:31" x14ac:dyDescent="0.3">
      <c r="A205" s="55"/>
      <c r="B205" s="30" t="s">
        <v>207</v>
      </c>
      <c r="C205" s="9">
        <v>13</v>
      </c>
      <c r="D205" s="9">
        <v>3</v>
      </c>
      <c r="E205" s="9">
        <v>7</v>
      </c>
      <c r="F205" s="9">
        <v>27</v>
      </c>
      <c r="G205" s="9">
        <v>14</v>
      </c>
      <c r="H205" s="9">
        <v>58</v>
      </c>
      <c r="I205" s="9">
        <v>36</v>
      </c>
      <c r="J205" s="9">
        <v>54</v>
      </c>
      <c r="K205" s="9">
        <v>117</v>
      </c>
      <c r="L205" s="9">
        <v>63</v>
      </c>
      <c r="M205" s="9">
        <v>67</v>
      </c>
      <c r="N205" s="9">
        <v>54</v>
      </c>
      <c r="O205" s="9">
        <v>734</v>
      </c>
      <c r="P205" s="9">
        <v>63</v>
      </c>
      <c r="Q205" s="9">
        <v>124</v>
      </c>
      <c r="R205" s="9">
        <v>149</v>
      </c>
      <c r="S205" s="9">
        <v>44</v>
      </c>
      <c r="T205" s="9">
        <v>251</v>
      </c>
      <c r="U205" s="9">
        <v>3</v>
      </c>
      <c r="V205" s="9">
        <v>12</v>
      </c>
      <c r="W205" s="9">
        <v>0</v>
      </c>
      <c r="X205" s="9">
        <v>0</v>
      </c>
      <c r="Y205" s="9">
        <v>0</v>
      </c>
      <c r="Z205" s="9">
        <v>0</v>
      </c>
      <c r="AA205" s="9">
        <v>46</v>
      </c>
      <c r="AC205" s="9">
        <f t="shared" si="10"/>
        <v>1939</v>
      </c>
      <c r="AD205" s="9">
        <f t="shared" si="11"/>
        <v>23760</v>
      </c>
      <c r="AE205" s="10">
        <f t="shared" si="12"/>
        <v>12.253739040742651</v>
      </c>
    </row>
    <row r="206" spans="1:31" x14ac:dyDescent="0.3">
      <c r="A206" s="55"/>
      <c r="B206" s="30" t="s">
        <v>208</v>
      </c>
      <c r="C206" s="9">
        <v>2</v>
      </c>
      <c r="D206" s="9">
        <v>1</v>
      </c>
      <c r="E206" s="9">
        <v>1</v>
      </c>
      <c r="F206" s="9">
        <v>3</v>
      </c>
      <c r="G206" s="9">
        <v>8</v>
      </c>
      <c r="H206" s="9">
        <v>18</v>
      </c>
      <c r="I206" s="9">
        <v>10</v>
      </c>
      <c r="J206" s="9">
        <v>20</v>
      </c>
      <c r="K206" s="9">
        <v>33</v>
      </c>
      <c r="L206" s="9">
        <v>19</v>
      </c>
      <c r="M206" s="9">
        <v>14</v>
      </c>
      <c r="N206" s="9">
        <v>24</v>
      </c>
      <c r="O206" s="9">
        <v>231</v>
      </c>
      <c r="P206" s="9">
        <v>9</v>
      </c>
      <c r="Q206" s="9">
        <v>19</v>
      </c>
      <c r="R206" s="9">
        <v>18</v>
      </c>
      <c r="S206" s="9">
        <v>9</v>
      </c>
      <c r="T206" s="9">
        <v>30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4</v>
      </c>
      <c r="AC206" s="9">
        <f t="shared" si="10"/>
        <v>473</v>
      </c>
      <c r="AD206" s="9">
        <f t="shared" si="11"/>
        <v>5348</v>
      </c>
      <c r="AE206" s="10">
        <f t="shared" si="12"/>
        <v>11.306553911205073</v>
      </c>
    </row>
    <row r="207" spans="1:31" x14ac:dyDescent="0.3">
      <c r="A207" s="55"/>
      <c r="B207" s="30" t="s">
        <v>209</v>
      </c>
      <c r="C207" s="9">
        <v>55</v>
      </c>
      <c r="D207" s="9">
        <v>26</v>
      </c>
      <c r="E207" s="9">
        <v>37</v>
      </c>
      <c r="F207" s="9">
        <v>69</v>
      </c>
      <c r="G207" s="9">
        <v>69</v>
      </c>
      <c r="H207" s="9">
        <v>178</v>
      </c>
      <c r="I207" s="9">
        <v>125</v>
      </c>
      <c r="J207" s="9">
        <v>111</v>
      </c>
      <c r="K207" s="9">
        <v>206</v>
      </c>
      <c r="L207" s="9">
        <v>135</v>
      </c>
      <c r="M207" s="9">
        <v>130</v>
      </c>
      <c r="N207" s="9">
        <v>129</v>
      </c>
      <c r="O207" s="9">
        <v>1187</v>
      </c>
      <c r="P207" s="9">
        <v>130</v>
      </c>
      <c r="Q207" s="9">
        <v>204</v>
      </c>
      <c r="R207" s="9">
        <v>353</v>
      </c>
      <c r="S207" s="9">
        <v>76</v>
      </c>
      <c r="T207" s="9">
        <v>693</v>
      </c>
      <c r="U207" s="9">
        <v>9</v>
      </c>
      <c r="V207" s="9">
        <v>19</v>
      </c>
      <c r="W207" s="9">
        <v>1</v>
      </c>
      <c r="X207" s="9">
        <v>0</v>
      </c>
      <c r="Y207" s="9">
        <v>0</v>
      </c>
      <c r="Z207" s="9">
        <v>1</v>
      </c>
      <c r="AA207" s="9">
        <v>93</v>
      </c>
      <c r="AC207" s="9">
        <f t="shared" si="10"/>
        <v>4036</v>
      </c>
      <c r="AD207" s="9">
        <f t="shared" si="11"/>
        <v>48462</v>
      </c>
      <c r="AE207" s="10">
        <f t="shared" si="12"/>
        <v>12.007433102081269</v>
      </c>
    </row>
    <row r="208" spans="1:31" x14ac:dyDescent="0.3">
      <c r="A208" s="55"/>
      <c r="B208" s="30" t="s">
        <v>210</v>
      </c>
      <c r="C208" s="9">
        <v>47</v>
      </c>
      <c r="D208" s="9">
        <v>27</v>
      </c>
      <c r="E208" s="9">
        <v>26</v>
      </c>
      <c r="F208" s="9">
        <v>70</v>
      </c>
      <c r="G208" s="9">
        <v>69</v>
      </c>
      <c r="H208" s="9">
        <v>88</v>
      </c>
      <c r="I208" s="9">
        <v>102</v>
      </c>
      <c r="J208" s="9">
        <v>108</v>
      </c>
      <c r="K208" s="9">
        <v>152</v>
      </c>
      <c r="L208" s="9">
        <v>64</v>
      </c>
      <c r="M208" s="9">
        <v>87</v>
      </c>
      <c r="N208" s="9">
        <v>83</v>
      </c>
      <c r="O208" s="9">
        <v>838</v>
      </c>
      <c r="P208" s="9">
        <v>55</v>
      </c>
      <c r="Q208" s="9">
        <v>115</v>
      </c>
      <c r="R208" s="9">
        <v>143</v>
      </c>
      <c r="S208" s="9">
        <v>43</v>
      </c>
      <c r="T208" s="9">
        <v>292</v>
      </c>
      <c r="U208" s="9">
        <v>5</v>
      </c>
      <c r="V208" s="9">
        <v>5</v>
      </c>
      <c r="W208" s="9">
        <v>0</v>
      </c>
      <c r="X208" s="9">
        <v>0</v>
      </c>
      <c r="Y208" s="9">
        <v>0</v>
      </c>
      <c r="Z208" s="9">
        <v>1</v>
      </c>
      <c r="AA208" s="9">
        <v>74</v>
      </c>
      <c r="AC208" s="9">
        <f t="shared" si="10"/>
        <v>2494</v>
      </c>
      <c r="AD208" s="9">
        <f t="shared" si="11"/>
        <v>28110</v>
      </c>
      <c r="AE208" s="10">
        <f t="shared" si="12"/>
        <v>11.271050521251002</v>
      </c>
    </row>
    <row r="209" spans="1:31" x14ac:dyDescent="0.3">
      <c r="A209" s="55"/>
      <c r="B209" s="30" t="s">
        <v>211</v>
      </c>
      <c r="C209" s="9">
        <v>79</v>
      </c>
      <c r="D209" s="9">
        <v>28</v>
      </c>
      <c r="E209" s="9">
        <v>67</v>
      </c>
      <c r="F209" s="9">
        <v>103</v>
      </c>
      <c r="G209" s="9">
        <v>95</v>
      </c>
      <c r="H209" s="9">
        <v>206</v>
      </c>
      <c r="I209" s="9">
        <v>151</v>
      </c>
      <c r="J209" s="9">
        <v>138</v>
      </c>
      <c r="K209" s="9">
        <v>236</v>
      </c>
      <c r="L209" s="9">
        <v>163</v>
      </c>
      <c r="M209" s="9">
        <v>187</v>
      </c>
      <c r="N209" s="9">
        <v>176</v>
      </c>
      <c r="O209" s="9">
        <v>1481</v>
      </c>
      <c r="P209" s="9">
        <v>290</v>
      </c>
      <c r="Q209" s="9">
        <v>487</v>
      </c>
      <c r="R209" s="9">
        <v>738</v>
      </c>
      <c r="S209" s="9">
        <v>328</v>
      </c>
      <c r="T209" s="9">
        <v>1932</v>
      </c>
      <c r="U209" s="9">
        <v>39</v>
      </c>
      <c r="V209" s="9">
        <v>63</v>
      </c>
      <c r="W209" s="9">
        <v>3</v>
      </c>
      <c r="X209" s="9">
        <v>2</v>
      </c>
      <c r="Y209" s="9">
        <v>0</v>
      </c>
      <c r="Z209" s="9">
        <v>3</v>
      </c>
      <c r="AA209" s="9">
        <v>58</v>
      </c>
      <c r="AC209" s="9">
        <f t="shared" si="10"/>
        <v>7053</v>
      </c>
      <c r="AD209" s="9">
        <f t="shared" si="11"/>
        <v>91898</v>
      </c>
      <c r="AE209" s="10">
        <f t="shared" si="12"/>
        <v>13.029632780377144</v>
      </c>
    </row>
    <row r="210" spans="1:31" x14ac:dyDescent="0.3">
      <c r="A210" s="55"/>
      <c r="B210" s="30" t="s">
        <v>212</v>
      </c>
      <c r="C210" s="9">
        <v>42</v>
      </c>
      <c r="D210" s="9">
        <v>9</v>
      </c>
      <c r="E210" s="9">
        <v>25</v>
      </c>
      <c r="F210" s="9">
        <v>57</v>
      </c>
      <c r="G210" s="9">
        <v>42</v>
      </c>
      <c r="H210" s="9">
        <v>117</v>
      </c>
      <c r="I210" s="9">
        <v>68</v>
      </c>
      <c r="J210" s="9">
        <v>54</v>
      </c>
      <c r="K210" s="9">
        <v>78</v>
      </c>
      <c r="L210" s="9">
        <v>60</v>
      </c>
      <c r="M210" s="9">
        <v>79</v>
      </c>
      <c r="N210" s="9">
        <v>53</v>
      </c>
      <c r="O210" s="9">
        <v>395</v>
      </c>
      <c r="P210" s="9">
        <v>27</v>
      </c>
      <c r="Q210" s="9">
        <v>46</v>
      </c>
      <c r="R210" s="9">
        <v>53</v>
      </c>
      <c r="S210" s="9">
        <v>7</v>
      </c>
      <c r="T210" s="9">
        <v>113</v>
      </c>
      <c r="U210" s="9">
        <v>1</v>
      </c>
      <c r="V210" s="9">
        <v>7</v>
      </c>
      <c r="W210" s="9">
        <v>1</v>
      </c>
      <c r="X210" s="9">
        <v>0</v>
      </c>
      <c r="Y210" s="9">
        <v>1</v>
      </c>
      <c r="Z210" s="9">
        <v>1</v>
      </c>
      <c r="AA210" s="9">
        <v>15</v>
      </c>
      <c r="AC210" s="9">
        <f t="shared" si="10"/>
        <v>1351</v>
      </c>
      <c r="AD210" s="9">
        <f t="shared" si="11"/>
        <v>13445</v>
      </c>
      <c r="AE210" s="10">
        <f t="shared" si="12"/>
        <v>9.9518874907475947</v>
      </c>
    </row>
    <row r="211" spans="1:31" x14ac:dyDescent="0.3">
      <c r="A211" s="55"/>
      <c r="B211" s="30" t="s">
        <v>213</v>
      </c>
      <c r="C211" s="9">
        <v>94</v>
      </c>
      <c r="D211" s="9">
        <v>41</v>
      </c>
      <c r="E211" s="9">
        <v>51</v>
      </c>
      <c r="F211" s="9">
        <v>130</v>
      </c>
      <c r="G211" s="9">
        <v>119</v>
      </c>
      <c r="H211" s="9">
        <v>320</v>
      </c>
      <c r="I211" s="9">
        <v>276</v>
      </c>
      <c r="J211" s="9">
        <v>213</v>
      </c>
      <c r="K211" s="9">
        <v>410</v>
      </c>
      <c r="L211" s="9">
        <v>157</v>
      </c>
      <c r="M211" s="9">
        <v>151</v>
      </c>
      <c r="N211" s="9">
        <v>128</v>
      </c>
      <c r="O211" s="9">
        <v>1236</v>
      </c>
      <c r="P211" s="9">
        <v>114</v>
      </c>
      <c r="Q211" s="9">
        <v>173</v>
      </c>
      <c r="R211" s="9">
        <v>255</v>
      </c>
      <c r="S211" s="9">
        <v>68</v>
      </c>
      <c r="T211" s="9">
        <v>381</v>
      </c>
      <c r="U211" s="9">
        <v>4</v>
      </c>
      <c r="V211" s="9">
        <v>13</v>
      </c>
      <c r="W211" s="9">
        <v>2</v>
      </c>
      <c r="X211" s="9">
        <v>1</v>
      </c>
      <c r="Y211" s="9">
        <v>0</v>
      </c>
      <c r="Z211" s="9">
        <v>5</v>
      </c>
      <c r="AA211" s="9">
        <v>121</v>
      </c>
      <c r="AC211" s="9">
        <f t="shared" si="10"/>
        <v>4463</v>
      </c>
      <c r="AD211" s="9">
        <f t="shared" si="11"/>
        <v>46892</v>
      </c>
      <c r="AE211" s="10">
        <f t="shared" si="12"/>
        <v>10.506833968182837</v>
      </c>
    </row>
    <row r="212" spans="1:31" x14ac:dyDescent="0.3">
      <c r="A212" s="55"/>
      <c r="B212" s="30" t="s">
        <v>214</v>
      </c>
      <c r="C212" s="9">
        <v>19</v>
      </c>
      <c r="D212" s="9">
        <v>10</v>
      </c>
      <c r="E212" s="9">
        <v>12</v>
      </c>
      <c r="F212" s="9">
        <v>30</v>
      </c>
      <c r="G212" s="9">
        <v>37</v>
      </c>
      <c r="H212" s="9">
        <v>84</v>
      </c>
      <c r="I212" s="9">
        <v>53</v>
      </c>
      <c r="J212" s="9">
        <v>65</v>
      </c>
      <c r="K212" s="9">
        <v>108</v>
      </c>
      <c r="L212" s="9">
        <v>45</v>
      </c>
      <c r="M212" s="9">
        <v>32</v>
      </c>
      <c r="N212" s="9">
        <v>25</v>
      </c>
      <c r="O212" s="9">
        <v>465</v>
      </c>
      <c r="P212" s="9">
        <v>28</v>
      </c>
      <c r="Q212" s="9">
        <v>72</v>
      </c>
      <c r="R212" s="9">
        <v>63</v>
      </c>
      <c r="S212" s="9">
        <v>14</v>
      </c>
      <c r="T212" s="9">
        <v>106</v>
      </c>
      <c r="U212" s="9">
        <v>3</v>
      </c>
      <c r="V212" s="9">
        <v>3</v>
      </c>
      <c r="W212" s="9">
        <v>0</v>
      </c>
      <c r="X212" s="9">
        <v>0</v>
      </c>
      <c r="Y212" s="9">
        <v>0</v>
      </c>
      <c r="Z212" s="9">
        <v>0</v>
      </c>
      <c r="AA212" s="9">
        <v>19</v>
      </c>
      <c r="AC212" s="9">
        <f t="shared" si="10"/>
        <v>1293</v>
      </c>
      <c r="AD212" s="9">
        <f t="shared" si="11"/>
        <v>13819</v>
      </c>
      <c r="AE212" s="10">
        <f t="shared" si="12"/>
        <v>10.68754833720031</v>
      </c>
    </row>
    <row r="213" spans="1:31" x14ac:dyDescent="0.3">
      <c r="A213" s="55"/>
      <c r="B213" s="30" t="s">
        <v>215</v>
      </c>
      <c r="C213" s="9">
        <v>89</v>
      </c>
      <c r="D213" s="9">
        <v>27</v>
      </c>
      <c r="E213" s="9">
        <v>38</v>
      </c>
      <c r="F213" s="9">
        <v>126</v>
      </c>
      <c r="G213" s="9">
        <v>138</v>
      </c>
      <c r="H213" s="9">
        <v>226</v>
      </c>
      <c r="I213" s="9">
        <v>169</v>
      </c>
      <c r="J213" s="9">
        <v>94</v>
      </c>
      <c r="K213" s="9">
        <v>186</v>
      </c>
      <c r="L213" s="9">
        <v>72</v>
      </c>
      <c r="M213" s="9">
        <v>70</v>
      </c>
      <c r="N213" s="9">
        <v>71</v>
      </c>
      <c r="O213" s="9">
        <v>472</v>
      </c>
      <c r="P213" s="9">
        <v>41</v>
      </c>
      <c r="Q213" s="9">
        <v>44</v>
      </c>
      <c r="R213" s="9">
        <v>51</v>
      </c>
      <c r="S213" s="9">
        <v>18</v>
      </c>
      <c r="T213" s="9">
        <v>86</v>
      </c>
      <c r="U213" s="9">
        <v>1</v>
      </c>
      <c r="V213" s="9">
        <v>4</v>
      </c>
      <c r="W213" s="9">
        <v>1</v>
      </c>
      <c r="X213" s="9">
        <v>0</v>
      </c>
      <c r="Y213" s="9">
        <v>2</v>
      </c>
      <c r="Z213" s="9">
        <v>2</v>
      </c>
      <c r="AA213" s="9">
        <v>51</v>
      </c>
      <c r="AC213" s="9">
        <f t="shared" si="10"/>
        <v>2079</v>
      </c>
      <c r="AD213" s="9">
        <f t="shared" si="11"/>
        <v>18208</v>
      </c>
      <c r="AE213" s="10">
        <f t="shared" si="12"/>
        <v>8.7580567580567585</v>
      </c>
    </row>
    <row r="214" spans="1:31" x14ac:dyDescent="0.3">
      <c r="A214" s="55"/>
      <c r="B214" s="30" t="s">
        <v>216</v>
      </c>
      <c r="C214" s="9">
        <v>167</v>
      </c>
      <c r="D214" s="9">
        <v>55</v>
      </c>
      <c r="E214" s="9">
        <v>101</v>
      </c>
      <c r="F214" s="9">
        <v>158</v>
      </c>
      <c r="G214" s="9">
        <v>151</v>
      </c>
      <c r="H214" s="9">
        <v>240</v>
      </c>
      <c r="I214" s="9">
        <v>191</v>
      </c>
      <c r="J214" s="9">
        <v>99</v>
      </c>
      <c r="K214" s="9">
        <v>157</v>
      </c>
      <c r="L214" s="9">
        <v>81</v>
      </c>
      <c r="M214" s="9">
        <v>75</v>
      </c>
      <c r="N214" s="9">
        <v>61</v>
      </c>
      <c r="O214" s="9">
        <v>498</v>
      </c>
      <c r="P214" s="9">
        <v>37</v>
      </c>
      <c r="Q214" s="9">
        <v>80</v>
      </c>
      <c r="R214" s="9">
        <v>87</v>
      </c>
      <c r="S214" s="9">
        <v>13</v>
      </c>
      <c r="T214" s="9">
        <v>137</v>
      </c>
      <c r="U214" s="9">
        <v>2</v>
      </c>
      <c r="V214" s="9">
        <v>4</v>
      </c>
      <c r="W214" s="9">
        <v>0</v>
      </c>
      <c r="X214" s="9">
        <v>0</v>
      </c>
      <c r="Y214" s="9">
        <v>0</v>
      </c>
      <c r="Z214" s="9">
        <v>1</v>
      </c>
      <c r="AA214" s="9">
        <v>159</v>
      </c>
      <c r="AC214" s="9">
        <f t="shared" si="10"/>
        <v>2554</v>
      </c>
      <c r="AD214" s="9">
        <f t="shared" si="11"/>
        <v>23150</v>
      </c>
      <c r="AE214" s="10">
        <f t="shared" si="12"/>
        <v>9.0642129992169149</v>
      </c>
    </row>
    <row r="215" spans="1:31" x14ac:dyDescent="0.3">
      <c r="A215" s="55"/>
      <c r="B215" s="30" t="s">
        <v>217</v>
      </c>
      <c r="C215" s="9">
        <v>114</v>
      </c>
      <c r="D215" s="9">
        <v>38</v>
      </c>
      <c r="E215" s="9">
        <v>68</v>
      </c>
      <c r="F215" s="9">
        <v>121</v>
      </c>
      <c r="G215" s="9">
        <v>114</v>
      </c>
      <c r="H215" s="9">
        <v>188</v>
      </c>
      <c r="I215" s="9">
        <v>111</v>
      </c>
      <c r="J215" s="9">
        <v>67</v>
      </c>
      <c r="K215" s="9">
        <v>104</v>
      </c>
      <c r="L215" s="9">
        <v>66</v>
      </c>
      <c r="M215" s="9">
        <v>55</v>
      </c>
      <c r="N215" s="9">
        <v>41</v>
      </c>
      <c r="O215" s="9">
        <v>410</v>
      </c>
      <c r="P215" s="9">
        <v>29</v>
      </c>
      <c r="Q215" s="9">
        <v>51</v>
      </c>
      <c r="R215" s="9">
        <v>79</v>
      </c>
      <c r="S215" s="9">
        <v>12</v>
      </c>
      <c r="T215" s="9">
        <v>122</v>
      </c>
      <c r="U215" s="9">
        <v>6</v>
      </c>
      <c r="V215" s="9">
        <v>7</v>
      </c>
      <c r="W215" s="9">
        <v>0</v>
      </c>
      <c r="X215" s="9">
        <v>0</v>
      </c>
      <c r="Y215" s="9">
        <v>0</v>
      </c>
      <c r="Z215" s="9">
        <v>1</v>
      </c>
      <c r="AA215" s="9">
        <v>71</v>
      </c>
      <c r="AC215" s="9">
        <f t="shared" si="10"/>
        <v>1875</v>
      </c>
      <c r="AD215" s="9">
        <f t="shared" si="11"/>
        <v>16925</v>
      </c>
      <c r="AE215" s="10">
        <f t="shared" si="12"/>
        <v>9.0266666666666673</v>
      </c>
    </row>
    <row r="216" spans="1:31" x14ac:dyDescent="0.3">
      <c r="A216" s="55"/>
      <c r="B216" s="30" t="s">
        <v>218</v>
      </c>
      <c r="C216" s="9">
        <v>96</v>
      </c>
      <c r="D216" s="9">
        <v>49</v>
      </c>
      <c r="E216" s="9">
        <v>82</v>
      </c>
      <c r="F216" s="9">
        <v>191</v>
      </c>
      <c r="G216" s="9">
        <v>156</v>
      </c>
      <c r="H216" s="9">
        <v>435</v>
      </c>
      <c r="I216" s="9">
        <v>247</v>
      </c>
      <c r="J216" s="9">
        <v>192</v>
      </c>
      <c r="K216" s="9">
        <v>338</v>
      </c>
      <c r="L216" s="9">
        <v>214</v>
      </c>
      <c r="M216" s="9">
        <v>218</v>
      </c>
      <c r="N216" s="9">
        <v>172</v>
      </c>
      <c r="O216" s="9">
        <v>1415</v>
      </c>
      <c r="P216" s="9">
        <v>104</v>
      </c>
      <c r="Q216" s="9">
        <v>140</v>
      </c>
      <c r="R216" s="9">
        <v>184</v>
      </c>
      <c r="S216" s="9">
        <v>32</v>
      </c>
      <c r="T216" s="9">
        <v>385</v>
      </c>
      <c r="U216" s="9">
        <v>2</v>
      </c>
      <c r="V216" s="9">
        <v>12</v>
      </c>
      <c r="W216" s="9">
        <v>2</v>
      </c>
      <c r="X216" s="9">
        <v>1</v>
      </c>
      <c r="Y216" s="9">
        <v>0</v>
      </c>
      <c r="Z216" s="9">
        <v>5</v>
      </c>
      <c r="AA216" s="9">
        <v>94</v>
      </c>
      <c r="AC216" s="9">
        <f t="shared" si="10"/>
        <v>4766</v>
      </c>
      <c r="AD216" s="9">
        <f t="shared" si="11"/>
        <v>47918</v>
      </c>
      <c r="AE216" s="10">
        <f t="shared" si="12"/>
        <v>10.054133445237095</v>
      </c>
    </row>
    <row r="217" spans="1:31" x14ac:dyDescent="0.3">
      <c r="A217" s="55"/>
      <c r="B217" s="30" t="s">
        <v>219</v>
      </c>
      <c r="C217" s="9">
        <v>106</v>
      </c>
      <c r="D217" s="9">
        <v>65</v>
      </c>
      <c r="E217" s="9">
        <v>77</v>
      </c>
      <c r="F217" s="9">
        <v>184</v>
      </c>
      <c r="G217" s="9">
        <v>121</v>
      </c>
      <c r="H217" s="9">
        <v>240</v>
      </c>
      <c r="I217" s="9">
        <v>152</v>
      </c>
      <c r="J217" s="9">
        <v>92</v>
      </c>
      <c r="K217" s="9">
        <v>140</v>
      </c>
      <c r="L217" s="9">
        <v>38</v>
      </c>
      <c r="M217" s="9">
        <v>57</v>
      </c>
      <c r="N217" s="9">
        <v>53</v>
      </c>
      <c r="O217" s="9">
        <v>339</v>
      </c>
      <c r="P217" s="9">
        <v>27</v>
      </c>
      <c r="Q217" s="9">
        <v>36</v>
      </c>
      <c r="R217" s="9">
        <v>45</v>
      </c>
      <c r="S217" s="9">
        <v>7</v>
      </c>
      <c r="T217" s="9">
        <v>67</v>
      </c>
      <c r="U217" s="9">
        <v>5</v>
      </c>
      <c r="V217" s="9">
        <v>0</v>
      </c>
      <c r="W217" s="9">
        <v>0</v>
      </c>
      <c r="X217" s="9">
        <v>0</v>
      </c>
      <c r="Y217" s="9">
        <v>0</v>
      </c>
      <c r="Z217" s="9">
        <v>1</v>
      </c>
      <c r="AA217" s="9">
        <v>98</v>
      </c>
      <c r="AC217" s="9">
        <f t="shared" si="10"/>
        <v>1950</v>
      </c>
      <c r="AD217" s="9">
        <f t="shared" si="11"/>
        <v>15940</v>
      </c>
      <c r="AE217" s="10">
        <f t="shared" si="12"/>
        <v>8.1743589743589737</v>
      </c>
    </row>
    <row r="218" spans="1:31" x14ac:dyDescent="0.3">
      <c r="A218" s="55"/>
      <c r="B218" s="30" t="s">
        <v>220</v>
      </c>
      <c r="C218" s="9">
        <v>142</v>
      </c>
      <c r="D218" s="9">
        <v>65</v>
      </c>
      <c r="E218" s="9">
        <v>143</v>
      </c>
      <c r="F218" s="9">
        <v>218</v>
      </c>
      <c r="G218" s="9">
        <v>214</v>
      </c>
      <c r="H218" s="9">
        <v>456</v>
      </c>
      <c r="I218" s="9">
        <v>218</v>
      </c>
      <c r="J218" s="9">
        <v>143</v>
      </c>
      <c r="K218" s="9">
        <v>215</v>
      </c>
      <c r="L218" s="9">
        <v>112</v>
      </c>
      <c r="M218" s="9">
        <v>93</v>
      </c>
      <c r="N218" s="9">
        <v>71</v>
      </c>
      <c r="O218" s="9">
        <v>649</v>
      </c>
      <c r="P218" s="9">
        <v>47</v>
      </c>
      <c r="Q218" s="9">
        <v>50</v>
      </c>
      <c r="R218" s="9">
        <v>61</v>
      </c>
      <c r="S218" s="9">
        <v>11</v>
      </c>
      <c r="T218" s="9">
        <v>92</v>
      </c>
      <c r="U218" s="9">
        <v>0</v>
      </c>
      <c r="V218" s="9">
        <v>2</v>
      </c>
      <c r="W218" s="9">
        <v>2</v>
      </c>
      <c r="X218" s="9">
        <v>0</v>
      </c>
      <c r="Y218" s="9">
        <v>0</v>
      </c>
      <c r="Z218" s="9">
        <v>2</v>
      </c>
      <c r="AA218" s="9">
        <v>132</v>
      </c>
      <c r="AC218" s="9">
        <f t="shared" si="10"/>
        <v>3138</v>
      </c>
      <c r="AD218" s="9">
        <f t="shared" si="11"/>
        <v>25935</v>
      </c>
      <c r="AE218" s="10">
        <f t="shared" si="12"/>
        <v>8.2648183556405357</v>
      </c>
    </row>
    <row r="219" spans="1:31" x14ac:dyDescent="0.3">
      <c r="A219" s="55"/>
      <c r="B219" s="30" t="s">
        <v>221</v>
      </c>
      <c r="C219" s="9">
        <v>179</v>
      </c>
      <c r="D219" s="9">
        <v>75</v>
      </c>
      <c r="E219" s="9">
        <v>135</v>
      </c>
      <c r="F219" s="9">
        <v>211</v>
      </c>
      <c r="G219" s="9">
        <v>171</v>
      </c>
      <c r="H219" s="9">
        <v>437</v>
      </c>
      <c r="I219" s="9">
        <v>276</v>
      </c>
      <c r="J219" s="9">
        <v>163</v>
      </c>
      <c r="K219" s="9">
        <v>237</v>
      </c>
      <c r="L219" s="9">
        <v>114</v>
      </c>
      <c r="M219" s="9">
        <v>100</v>
      </c>
      <c r="N219" s="9">
        <v>90</v>
      </c>
      <c r="O219" s="9">
        <v>767</v>
      </c>
      <c r="P219" s="9">
        <v>46</v>
      </c>
      <c r="Q219" s="9">
        <v>76</v>
      </c>
      <c r="R219" s="9">
        <v>134</v>
      </c>
      <c r="S219" s="9">
        <v>15</v>
      </c>
      <c r="T219" s="9">
        <v>225</v>
      </c>
      <c r="U219" s="9">
        <v>1</v>
      </c>
      <c r="V219" s="9">
        <v>7</v>
      </c>
      <c r="W219" s="9">
        <v>0</v>
      </c>
      <c r="X219" s="9">
        <v>0</v>
      </c>
      <c r="Y219" s="9">
        <v>0</v>
      </c>
      <c r="Z219" s="9">
        <v>2</v>
      </c>
      <c r="AA219" s="9">
        <v>59</v>
      </c>
      <c r="AC219" s="9">
        <f t="shared" si="10"/>
        <v>3520</v>
      </c>
      <c r="AD219" s="9">
        <f t="shared" si="11"/>
        <v>30110</v>
      </c>
      <c r="AE219" s="10">
        <f t="shared" si="12"/>
        <v>8.5539772727272734</v>
      </c>
    </row>
    <row r="220" spans="1:31" x14ac:dyDescent="0.3">
      <c r="A220" s="55"/>
      <c r="B220" s="30" t="s">
        <v>222</v>
      </c>
      <c r="C220" s="9">
        <v>45</v>
      </c>
      <c r="D220" s="9">
        <v>14</v>
      </c>
      <c r="E220" s="9">
        <v>24</v>
      </c>
      <c r="F220" s="9">
        <v>58</v>
      </c>
      <c r="G220" s="9">
        <v>61</v>
      </c>
      <c r="H220" s="9">
        <v>126</v>
      </c>
      <c r="I220" s="9">
        <v>103</v>
      </c>
      <c r="J220" s="9">
        <v>72</v>
      </c>
      <c r="K220" s="9">
        <v>115</v>
      </c>
      <c r="L220" s="9">
        <v>49</v>
      </c>
      <c r="M220" s="9">
        <v>38</v>
      </c>
      <c r="N220" s="9">
        <v>36</v>
      </c>
      <c r="O220" s="9">
        <v>307</v>
      </c>
      <c r="P220" s="9">
        <v>24</v>
      </c>
      <c r="Q220" s="9">
        <v>42</v>
      </c>
      <c r="R220" s="9">
        <v>100</v>
      </c>
      <c r="S220" s="9">
        <v>9</v>
      </c>
      <c r="T220" s="9">
        <v>116</v>
      </c>
      <c r="U220" s="9">
        <v>0</v>
      </c>
      <c r="V220" s="9">
        <v>5</v>
      </c>
      <c r="W220" s="9">
        <v>0</v>
      </c>
      <c r="X220" s="9">
        <v>0</v>
      </c>
      <c r="Y220" s="9">
        <v>0</v>
      </c>
      <c r="Z220" s="9">
        <v>0</v>
      </c>
      <c r="AA220" s="9">
        <v>31</v>
      </c>
      <c r="AC220" s="9">
        <f t="shared" si="10"/>
        <v>1375</v>
      </c>
      <c r="AD220" s="9">
        <f t="shared" si="11"/>
        <v>13408</v>
      </c>
      <c r="AE220" s="10">
        <f t="shared" si="12"/>
        <v>9.7512727272727275</v>
      </c>
    </row>
    <row r="221" spans="1:31" x14ac:dyDescent="0.3">
      <c r="A221" s="55"/>
      <c r="B221" s="30" t="s">
        <v>223</v>
      </c>
      <c r="C221" s="9">
        <v>44</v>
      </c>
      <c r="D221" s="9">
        <v>29</v>
      </c>
      <c r="E221" s="9">
        <v>31</v>
      </c>
      <c r="F221" s="9">
        <v>62</v>
      </c>
      <c r="G221" s="9">
        <v>78</v>
      </c>
      <c r="H221" s="9">
        <v>353</v>
      </c>
      <c r="I221" s="9">
        <v>160</v>
      </c>
      <c r="J221" s="9">
        <v>170</v>
      </c>
      <c r="K221" s="9">
        <v>395</v>
      </c>
      <c r="L221" s="9">
        <v>145</v>
      </c>
      <c r="M221" s="9">
        <v>187</v>
      </c>
      <c r="N221" s="9">
        <v>159</v>
      </c>
      <c r="O221" s="9">
        <v>1737</v>
      </c>
      <c r="P221" s="9">
        <v>96</v>
      </c>
      <c r="Q221" s="9">
        <v>201</v>
      </c>
      <c r="R221" s="9">
        <v>356</v>
      </c>
      <c r="S221" s="9">
        <v>51</v>
      </c>
      <c r="T221" s="9">
        <v>456</v>
      </c>
      <c r="U221" s="9">
        <v>5</v>
      </c>
      <c r="V221" s="9">
        <v>15</v>
      </c>
      <c r="W221" s="9">
        <v>1</v>
      </c>
      <c r="X221" s="9">
        <v>1</v>
      </c>
      <c r="Y221" s="9">
        <v>1</v>
      </c>
      <c r="Z221" s="9">
        <v>4</v>
      </c>
      <c r="AA221" s="9">
        <v>217</v>
      </c>
      <c r="AC221" s="9">
        <f t="shared" si="10"/>
        <v>4954</v>
      </c>
      <c r="AD221" s="9">
        <f t="shared" si="11"/>
        <v>57140</v>
      </c>
      <c r="AE221" s="10">
        <f t="shared" si="12"/>
        <v>11.534113847396043</v>
      </c>
    </row>
    <row r="222" spans="1:31" x14ac:dyDescent="0.3">
      <c r="A222" s="55"/>
      <c r="B222" s="30" t="s">
        <v>224</v>
      </c>
      <c r="C222" s="9">
        <v>16</v>
      </c>
      <c r="D222" s="9">
        <v>8</v>
      </c>
      <c r="E222" s="9">
        <v>6</v>
      </c>
      <c r="F222" s="9">
        <v>12</v>
      </c>
      <c r="G222" s="9">
        <v>34</v>
      </c>
      <c r="H222" s="9">
        <v>67</v>
      </c>
      <c r="I222" s="9">
        <v>61</v>
      </c>
      <c r="J222" s="9">
        <v>60</v>
      </c>
      <c r="K222" s="9">
        <v>193</v>
      </c>
      <c r="L222" s="9">
        <v>35</v>
      </c>
      <c r="M222" s="9">
        <v>31</v>
      </c>
      <c r="N222" s="9">
        <v>30</v>
      </c>
      <c r="O222" s="9">
        <v>475</v>
      </c>
      <c r="P222" s="9">
        <v>26</v>
      </c>
      <c r="Q222" s="9">
        <v>60</v>
      </c>
      <c r="R222" s="9">
        <v>57</v>
      </c>
      <c r="S222" s="9">
        <v>8</v>
      </c>
      <c r="T222" s="9">
        <v>109</v>
      </c>
      <c r="U222" s="9">
        <v>4</v>
      </c>
      <c r="V222" s="9">
        <v>8</v>
      </c>
      <c r="W222" s="9">
        <v>1</v>
      </c>
      <c r="X222" s="9">
        <v>0</v>
      </c>
      <c r="Y222" s="9">
        <v>0</v>
      </c>
      <c r="Z222" s="9">
        <v>3</v>
      </c>
      <c r="AA222" s="9">
        <v>101</v>
      </c>
      <c r="AC222" s="9">
        <f t="shared" si="10"/>
        <v>1405</v>
      </c>
      <c r="AD222" s="9">
        <f t="shared" si="11"/>
        <v>16263</v>
      </c>
      <c r="AE222" s="10">
        <f t="shared" si="12"/>
        <v>11.57508896797153</v>
      </c>
    </row>
    <row r="223" spans="1:31" x14ac:dyDescent="0.3">
      <c r="A223" s="55"/>
      <c r="B223" s="30" t="s">
        <v>225</v>
      </c>
      <c r="C223" s="9">
        <v>58</v>
      </c>
      <c r="D223" s="9">
        <v>48</v>
      </c>
      <c r="E223" s="9">
        <v>84</v>
      </c>
      <c r="F223" s="9">
        <v>134</v>
      </c>
      <c r="G223" s="9">
        <v>141</v>
      </c>
      <c r="H223" s="9">
        <v>229</v>
      </c>
      <c r="I223" s="9">
        <v>231</v>
      </c>
      <c r="J223" s="9">
        <v>144</v>
      </c>
      <c r="K223" s="9">
        <v>157</v>
      </c>
      <c r="L223" s="9">
        <v>86</v>
      </c>
      <c r="M223" s="9">
        <v>73</v>
      </c>
      <c r="N223" s="9">
        <v>50</v>
      </c>
      <c r="O223" s="9">
        <v>508</v>
      </c>
      <c r="P223" s="9">
        <v>30</v>
      </c>
      <c r="Q223" s="9">
        <v>51</v>
      </c>
      <c r="R223" s="9">
        <v>93</v>
      </c>
      <c r="S223" s="9">
        <v>10</v>
      </c>
      <c r="T223" s="9">
        <v>131</v>
      </c>
      <c r="U223" s="9">
        <v>4</v>
      </c>
      <c r="V223" s="9">
        <v>10</v>
      </c>
      <c r="W223" s="9">
        <v>0</v>
      </c>
      <c r="X223" s="9">
        <v>0</v>
      </c>
      <c r="Y223" s="9">
        <v>0</v>
      </c>
      <c r="Z223" s="9">
        <v>0</v>
      </c>
      <c r="AA223" s="9">
        <v>79</v>
      </c>
      <c r="AC223" s="9">
        <f t="shared" si="10"/>
        <v>2351</v>
      </c>
      <c r="AD223" s="9">
        <f t="shared" si="11"/>
        <v>21171</v>
      </c>
      <c r="AE223" s="10">
        <f t="shared" si="12"/>
        <v>9.0051042109740536</v>
      </c>
    </row>
    <row r="224" spans="1:31" x14ac:dyDescent="0.3">
      <c r="A224" s="55"/>
      <c r="B224" s="30" t="s">
        <v>226</v>
      </c>
      <c r="C224" s="9">
        <v>16</v>
      </c>
      <c r="D224" s="9">
        <v>14</v>
      </c>
      <c r="E224" s="9">
        <v>20</v>
      </c>
      <c r="F224" s="9">
        <v>37</v>
      </c>
      <c r="G224" s="9">
        <v>36</v>
      </c>
      <c r="H224" s="9">
        <v>70</v>
      </c>
      <c r="I224" s="9">
        <v>102</v>
      </c>
      <c r="J224" s="9">
        <v>78</v>
      </c>
      <c r="K224" s="9">
        <v>124</v>
      </c>
      <c r="L224" s="9">
        <v>51</v>
      </c>
      <c r="M224" s="9">
        <v>45</v>
      </c>
      <c r="N224" s="9">
        <v>36</v>
      </c>
      <c r="O224" s="9">
        <v>401</v>
      </c>
      <c r="P224" s="9">
        <v>24</v>
      </c>
      <c r="Q224" s="9">
        <v>30</v>
      </c>
      <c r="R224" s="9">
        <v>58</v>
      </c>
      <c r="S224" s="9">
        <v>7</v>
      </c>
      <c r="T224" s="9">
        <v>85</v>
      </c>
      <c r="U224" s="9">
        <v>0</v>
      </c>
      <c r="V224" s="9">
        <v>3</v>
      </c>
      <c r="W224" s="9">
        <v>0</v>
      </c>
      <c r="X224" s="9">
        <v>0</v>
      </c>
      <c r="Y224" s="9">
        <v>0</v>
      </c>
      <c r="Z224" s="9">
        <v>0</v>
      </c>
      <c r="AA224" s="9">
        <v>26</v>
      </c>
      <c r="AC224" s="9">
        <f t="shared" si="10"/>
        <v>1263</v>
      </c>
      <c r="AD224" s="9">
        <f t="shared" si="11"/>
        <v>12766</v>
      </c>
      <c r="AE224" s="10">
        <f t="shared" si="12"/>
        <v>10.107680126682501</v>
      </c>
    </row>
    <row r="225" spans="1:31" x14ac:dyDescent="0.3">
      <c r="A225" s="55"/>
      <c r="B225" s="30" t="s">
        <v>227</v>
      </c>
      <c r="C225" s="9">
        <v>55</v>
      </c>
      <c r="D225" s="9">
        <v>18</v>
      </c>
      <c r="E225" s="9">
        <v>27</v>
      </c>
      <c r="F225" s="9">
        <v>53</v>
      </c>
      <c r="G225" s="9">
        <v>63</v>
      </c>
      <c r="H225" s="9">
        <v>389</v>
      </c>
      <c r="I225" s="9">
        <v>187</v>
      </c>
      <c r="J225" s="9">
        <v>188</v>
      </c>
      <c r="K225" s="9">
        <v>466</v>
      </c>
      <c r="L225" s="9">
        <v>191</v>
      </c>
      <c r="M225" s="9">
        <v>209</v>
      </c>
      <c r="N225" s="9">
        <v>172</v>
      </c>
      <c r="O225" s="9">
        <v>2407</v>
      </c>
      <c r="P225" s="9">
        <v>234</v>
      </c>
      <c r="Q225" s="9">
        <v>531</v>
      </c>
      <c r="R225" s="9">
        <v>832</v>
      </c>
      <c r="S225" s="9">
        <v>198</v>
      </c>
      <c r="T225" s="9">
        <v>1346</v>
      </c>
      <c r="U225" s="9">
        <v>26</v>
      </c>
      <c r="V225" s="9">
        <v>56</v>
      </c>
      <c r="W225" s="9">
        <v>3</v>
      </c>
      <c r="X225" s="9">
        <v>0</v>
      </c>
      <c r="Y225" s="9">
        <v>1</v>
      </c>
      <c r="Z225" s="9">
        <v>5</v>
      </c>
      <c r="AA225" s="9">
        <v>119</v>
      </c>
      <c r="AC225" s="9">
        <f t="shared" si="10"/>
        <v>7776</v>
      </c>
      <c r="AD225" s="9">
        <f t="shared" si="11"/>
        <v>96770</v>
      </c>
      <c r="AE225" s="10">
        <f t="shared" si="12"/>
        <v>12.444701646090534</v>
      </c>
    </row>
    <row r="226" spans="1:31" x14ac:dyDescent="0.3">
      <c r="A226" s="55"/>
      <c r="B226" s="30" t="s">
        <v>228</v>
      </c>
      <c r="C226" s="9">
        <v>9</v>
      </c>
      <c r="D226" s="9">
        <v>4</v>
      </c>
      <c r="E226" s="9">
        <v>8</v>
      </c>
      <c r="F226" s="9">
        <v>7</v>
      </c>
      <c r="G226" s="9">
        <v>15</v>
      </c>
      <c r="H226" s="9">
        <v>61</v>
      </c>
      <c r="I226" s="9">
        <v>46</v>
      </c>
      <c r="J226" s="9">
        <v>55</v>
      </c>
      <c r="K226" s="9">
        <v>97</v>
      </c>
      <c r="L226" s="9">
        <v>50</v>
      </c>
      <c r="M226" s="9">
        <v>65</v>
      </c>
      <c r="N226" s="9">
        <v>60</v>
      </c>
      <c r="O226" s="9">
        <v>694</v>
      </c>
      <c r="P226" s="9">
        <v>50</v>
      </c>
      <c r="Q226" s="9">
        <v>118</v>
      </c>
      <c r="R226" s="9">
        <v>180</v>
      </c>
      <c r="S226" s="9">
        <v>27</v>
      </c>
      <c r="T226" s="9">
        <v>244</v>
      </c>
      <c r="U226" s="9">
        <v>3</v>
      </c>
      <c r="V226" s="9">
        <v>12</v>
      </c>
      <c r="W226" s="9">
        <v>0</v>
      </c>
      <c r="X226" s="9">
        <v>0</v>
      </c>
      <c r="Y226" s="9">
        <v>0</v>
      </c>
      <c r="Z226" s="9">
        <v>1</v>
      </c>
      <c r="AA226" s="9">
        <v>18</v>
      </c>
      <c r="AC226" s="9">
        <f t="shared" si="10"/>
        <v>1824</v>
      </c>
      <c r="AD226" s="9">
        <f t="shared" si="11"/>
        <v>22250</v>
      </c>
      <c r="AE226" s="10">
        <f t="shared" si="12"/>
        <v>12.198464912280702</v>
      </c>
    </row>
    <row r="227" spans="1:31" x14ac:dyDescent="0.3">
      <c r="A227" s="55"/>
      <c r="B227" s="30" t="s">
        <v>229</v>
      </c>
      <c r="C227" s="9">
        <v>12</v>
      </c>
      <c r="D227" s="9">
        <v>5</v>
      </c>
      <c r="E227" s="9">
        <v>9</v>
      </c>
      <c r="F227" s="9">
        <v>10</v>
      </c>
      <c r="G227" s="9">
        <v>14</v>
      </c>
      <c r="H227" s="9">
        <v>38</v>
      </c>
      <c r="I227" s="9">
        <v>40</v>
      </c>
      <c r="J227" s="9">
        <v>53</v>
      </c>
      <c r="K227" s="9">
        <v>135</v>
      </c>
      <c r="L227" s="9">
        <v>39</v>
      </c>
      <c r="M227" s="9">
        <v>88</v>
      </c>
      <c r="N227" s="9">
        <v>51</v>
      </c>
      <c r="O227" s="9">
        <v>866</v>
      </c>
      <c r="P227" s="9">
        <v>64</v>
      </c>
      <c r="Q227" s="9">
        <v>134</v>
      </c>
      <c r="R227" s="9">
        <v>335</v>
      </c>
      <c r="S227" s="9">
        <v>27</v>
      </c>
      <c r="T227" s="9">
        <v>423</v>
      </c>
      <c r="U227" s="9">
        <v>11</v>
      </c>
      <c r="V227" s="9">
        <v>26</v>
      </c>
      <c r="W227" s="9">
        <v>1</v>
      </c>
      <c r="X227" s="9">
        <v>1</v>
      </c>
      <c r="Y227" s="9">
        <v>0</v>
      </c>
      <c r="Z227" s="9">
        <v>2</v>
      </c>
      <c r="AA227" s="9">
        <v>45</v>
      </c>
      <c r="AC227" s="9">
        <f t="shared" si="10"/>
        <v>2429</v>
      </c>
      <c r="AD227" s="9">
        <f t="shared" si="11"/>
        <v>31389</v>
      </c>
      <c r="AE227" s="10">
        <f t="shared" si="12"/>
        <v>12.922601893783449</v>
      </c>
    </row>
    <row r="228" spans="1:31" x14ac:dyDescent="0.3">
      <c r="A228" s="55"/>
      <c r="B228" s="30" t="s">
        <v>230</v>
      </c>
      <c r="C228" s="9">
        <v>1</v>
      </c>
      <c r="D228" s="9">
        <v>0</v>
      </c>
      <c r="E228" s="9">
        <v>1</v>
      </c>
      <c r="F228" s="9">
        <v>3</v>
      </c>
      <c r="G228" s="9">
        <v>1</v>
      </c>
      <c r="H228" s="9">
        <v>1</v>
      </c>
      <c r="I228" s="9">
        <v>1</v>
      </c>
      <c r="J228" s="9">
        <v>5</v>
      </c>
      <c r="K228" s="9">
        <v>23</v>
      </c>
      <c r="L228" s="9">
        <v>4</v>
      </c>
      <c r="M228" s="9">
        <v>11</v>
      </c>
      <c r="N228" s="9">
        <v>5</v>
      </c>
      <c r="O228" s="9">
        <v>103</v>
      </c>
      <c r="P228" s="9">
        <v>7</v>
      </c>
      <c r="Q228" s="9">
        <v>14</v>
      </c>
      <c r="R228" s="9">
        <v>33</v>
      </c>
      <c r="S228" s="9">
        <v>5</v>
      </c>
      <c r="T228" s="9">
        <v>42</v>
      </c>
      <c r="U228" s="9">
        <v>2</v>
      </c>
      <c r="V228" s="9">
        <v>2</v>
      </c>
      <c r="W228" s="9">
        <v>1</v>
      </c>
      <c r="X228" s="9">
        <v>0</v>
      </c>
      <c r="Y228" s="9">
        <v>0</v>
      </c>
      <c r="Z228" s="9">
        <v>1</v>
      </c>
      <c r="AA228" s="9">
        <v>12</v>
      </c>
      <c r="AC228" s="9">
        <f t="shared" si="10"/>
        <v>278</v>
      </c>
      <c r="AD228" s="9">
        <f t="shared" si="11"/>
        <v>3663</v>
      </c>
      <c r="AE228" s="10">
        <f t="shared" si="12"/>
        <v>13.176258992805755</v>
      </c>
    </row>
    <row r="229" spans="1:31" x14ac:dyDescent="0.3">
      <c r="A229" s="55"/>
      <c r="B229" s="30" t="s">
        <v>231</v>
      </c>
      <c r="C229" s="9">
        <v>8</v>
      </c>
      <c r="D229" s="9">
        <v>0</v>
      </c>
      <c r="E229" s="9">
        <v>1</v>
      </c>
      <c r="F229" s="9">
        <v>9</v>
      </c>
      <c r="G229" s="9">
        <v>7</v>
      </c>
      <c r="H229" s="9">
        <v>36</v>
      </c>
      <c r="I229" s="9">
        <v>16</v>
      </c>
      <c r="J229" s="9">
        <v>16</v>
      </c>
      <c r="K229" s="9">
        <v>89</v>
      </c>
      <c r="L229" s="9">
        <v>12</v>
      </c>
      <c r="M229" s="9">
        <v>22</v>
      </c>
      <c r="N229" s="9">
        <v>16</v>
      </c>
      <c r="O229" s="9">
        <v>226</v>
      </c>
      <c r="P229" s="9">
        <v>5</v>
      </c>
      <c r="Q229" s="9">
        <v>12</v>
      </c>
      <c r="R229" s="9">
        <v>21</v>
      </c>
      <c r="S229" s="9">
        <v>4</v>
      </c>
      <c r="T229" s="9">
        <v>48</v>
      </c>
      <c r="U229" s="9">
        <v>2</v>
      </c>
      <c r="V229" s="9">
        <v>2</v>
      </c>
      <c r="W229" s="9">
        <v>0</v>
      </c>
      <c r="X229" s="9">
        <v>0</v>
      </c>
      <c r="Y229" s="9">
        <v>0</v>
      </c>
      <c r="Z229" s="9">
        <v>0</v>
      </c>
      <c r="AA229" s="9">
        <v>39</v>
      </c>
      <c r="AC229" s="9">
        <f t="shared" si="10"/>
        <v>591</v>
      </c>
      <c r="AD229" s="9">
        <f t="shared" si="11"/>
        <v>6811</v>
      </c>
      <c r="AE229" s="10">
        <f t="shared" si="12"/>
        <v>11.524534686971235</v>
      </c>
    </row>
    <row r="230" spans="1:31" x14ac:dyDescent="0.3">
      <c r="A230" s="55"/>
      <c r="B230" s="30" t="s">
        <v>232</v>
      </c>
      <c r="C230" s="9">
        <v>0</v>
      </c>
      <c r="D230" s="9">
        <v>0</v>
      </c>
      <c r="E230" s="9">
        <v>1</v>
      </c>
      <c r="F230" s="9">
        <v>3</v>
      </c>
      <c r="G230" s="9">
        <v>1</v>
      </c>
      <c r="H230" s="9">
        <v>12</v>
      </c>
      <c r="I230" s="9">
        <v>10</v>
      </c>
      <c r="J230" s="9">
        <v>5</v>
      </c>
      <c r="K230" s="9">
        <v>24</v>
      </c>
      <c r="L230" s="9">
        <v>3</v>
      </c>
      <c r="M230" s="9">
        <v>5</v>
      </c>
      <c r="N230" s="9">
        <v>6</v>
      </c>
      <c r="O230" s="9">
        <v>77</v>
      </c>
      <c r="P230" s="9">
        <v>1</v>
      </c>
      <c r="Q230" s="9">
        <v>12</v>
      </c>
      <c r="R230" s="9">
        <v>9</v>
      </c>
      <c r="S230" s="9">
        <v>0</v>
      </c>
      <c r="T230" s="9">
        <v>19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3</v>
      </c>
      <c r="AC230" s="9">
        <f t="shared" si="10"/>
        <v>193</v>
      </c>
      <c r="AD230" s="9">
        <f t="shared" si="11"/>
        <v>2182</v>
      </c>
      <c r="AE230" s="10">
        <f t="shared" si="12"/>
        <v>11.305699481865284</v>
      </c>
    </row>
    <row r="231" spans="1:31" x14ac:dyDescent="0.3">
      <c r="A231" s="55"/>
      <c r="B231" s="30" t="s">
        <v>233</v>
      </c>
      <c r="C231" s="9">
        <v>7</v>
      </c>
      <c r="D231" s="9">
        <v>1</v>
      </c>
      <c r="E231" s="9">
        <v>4</v>
      </c>
      <c r="F231" s="9">
        <v>4</v>
      </c>
      <c r="G231" s="9">
        <v>4</v>
      </c>
      <c r="H231" s="9">
        <v>49</v>
      </c>
      <c r="I231" s="9">
        <v>9</v>
      </c>
      <c r="J231" s="9">
        <v>16</v>
      </c>
      <c r="K231" s="9">
        <v>62</v>
      </c>
      <c r="L231" s="9">
        <v>7</v>
      </c>
      <c r="M231" s="9">
        <v>7</v>
      </c>
      <c r="N231" s="9">
        <v>13</v>
      </c>
      <c r="O231" s="9">
        <v>96</v>
      </c>
      <c r="P231" s="9">
        <v>2</v>
      </c>
      <c r="Q231" s="9">
        <v>8</v>
      </c>
      <c r="R231" s="9">
        <v>7</v>
      </c>
      <c r="S231" s="9">
        <v>3</v>
      </c>
      <c r="T231" s="9">
        <v>19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11</v>
      </c>
      <c r="AC231" s="9">
        <f t="shared" si="10"/>
        <v>329</v>
      </c>
      <c r="AD231" s="9">
        <f t="shared" si="11"/>
        <v>3250</v>
      </c>
      <c r="AE231" s="10">
        <f t="shared" si="12"/>
        <v>9.8784194528875382</v>
      </c>
    </row>
    <row r="232" spans="1:31" x14ac:dyDescent="0.3">
      <c r="A232" s="55"/>
      <c r="B232" s="30" t="s">
        <v>234</v>
      </c>
      <c r="C232" s="9">
        <v>33</v>
      </c>
      <c r="D232" s="9">
        <v>15</v>
      </c>
      <c r="E232" s="9">
        <v>8</v>
      </c>
      <c r="F232" s="9">
        <v>33</v>
      </c>
      <c r="G232" s="9">
        <v>40</v>
      </c>
      <c r="H232" s="9">
        <v>87</v>
      </c>
      <c r="I232" s="9">
        <v>84</v>
      </c>
      <c r="J232" s="9">
        <v>86</v>
      </c>
      <c r="K232" s="9">
        <v>156</v>
      </c>
      <c r="L232" s="9">
        <v>49</v>
      </c>
      <c r="M232" s="9">
        <v>52</v>
      </c>
      <c r="N232" s="9">
        <v>56</v>
      </c>
      <c r="O232" s="9">
        <v>729</v>
      </c>
      <c r="P232" s="9">
        <v>69</v>
      </c>
      <c r="Q232" s="9">
        <v>109</v>
      </c>
      <c r="R232" s="9">
        <v>136</v>
      </c>
      <c r="S232" s="9">
        <v>28</v>
      </c>
      <c r="T232" s="9">
        <v>241</v>
      </c>
      <c r="U232" s="9">
        <v>7</v>
      </c>
      <c r="V232" s="9">
        <v>14</v>
      </c>
      <c r="W232" s="9">
        <v>1</v>
      </c>
      <c r="X232" s="9">
        <v>0</v>
      </c>
      <c r="Y232" s="9">
        <v>1</v>
      </c>
      <c r="Z232" s="9">
        <v>3</v>
      </c>
      <c r="AA232" s="9">
        <v>70</v>
      </c>
      <c r="AC232" s="9">
        <f t="shared" si="10"/>
        <v>2107</v>
      </c>
      <c r="AD232" s="9">
        <f t="shared" si="11"/>
        <v>24595</v>
      </c>
      <c r="AE232" s="10">
        <f t="shared" si="12"/>
        <v>11.672994779307071</v>
      </c>
    </row>
    <row r="233" spans="1:31" x14ac:dyDescent="0.3">
      <c r="A233" s="55"/>
      <c r="B233" s="30" t="s">
        <v>235</v>
      </c>
      <c r="C233" s="9">
        <v>34</v>
      </c>
      <c r="D233" s="9">
        <v>9</v>
      </c>
      <c r="E233" s="9">
        <v>17</v>
      </c>
      <c r="F233" s="9">
        <v>31</v>
      </c>
      <c r="G233" s="9">
        <v>27</v>
      </c>
      <c r="H233" s="9">
        <v>76</v>
      </c>
      <c r="I233" s="9">
        <v>76</v>
      </c>
      <c r="J233" s="9">
        <v>52</v>
      </c>
      <c r="K233" s="9">
        <v>138</v>
      </c>
      <c r="L233" s="9">
        <v>40</v>
      </c>
      <c r="M233" s="9">
        <v>65</v>
      </c>
      <c r="N233" s="9">
        <v>39</v>
      </c>
      <c r="O233" s="9">
        <v>747</v>
      </c>
      <c r="P233" s="9">
        <v>76</v>
      </c>
      <c r="Q233" s="9">
        <v>130</v>
      </c>
      <c r="R233" s="9">
        <v>188</v>
      </c>
      <c r="S233" s="9">
        <v>43</v>
      </c>
      <c r="T233" s="9">
        <v>251</v>
      </c>
      <c r="U233" s="9">
        <v>5</v>
      </c>
      <c r="V233" s="9">
        <v>7</v>
      </c>
      <c r="W233" s="9">
        <v>0</v>
      </c>
      <c r="X233" s="9">
        <v>0</v>
      </c>
      <c r="Y233" s="9">
        <v>0</v>
      </c>
      <c r="Z233" s="9">
        <v>1</v>
      </c>
      <c r="AA233" s="9">
        <v>51</v>
      </c>
      <c r="AC233" s="9">
        <f t="shared" si="10"/>
        <v>2103</v>
      </c>
      <c r="AD233" s="9">
        <f t="shared" si="11"/>
        <v>25004</v>
      </c>
      <c r="AE233" s="10">
        <f t="shared" si="12"/>
        <v>11.889681407513077</v>
      </c>
    </row>
    <row r="234" spans="1:31" x14ac:dyDescent="0.3">
      <c r="A234" s="55"/>
      <c r="B234" s="30" t="s">
        <v>236</v>
      </c>
      <c r="C234" s="9">
        <v>76</v>
      </c>
      <c r="D234" s="9">
        <v>19</v>
      </c>
      <c r="E234" s="9">
        <v>30</v>
      </c>
      <c r="F234" s="9">
        <v>107</v>
      </c>
      <c r="G234" s="9">
        <v>85</v>
      </c>
      <c r="H234" s="9">
        <v>178</v>
      </c>
      <c r="I234" s="9">
        <v>154</v>
      </c>
      <c r="J234" s="9">
        <v>89</v>
      </c>
      <c r="K234" s="9">
        <v>179</v>
      </c>
      <c r="L234" s="9">
        <v>72</v>
      </c>
      <c r="M234" s="9">
        <v>65</v>
      </c>
      <c r="N234" s="9">
        <v>46</v>
      </c>
      <c r="O234" s="9">
        <v>482</v>
      </c>
      <c r="P234" s="9">
        <v>21</v>
      </c>
      <c r="Q234" s="9">
        <v>49</v>
      </c>
      <c r="R234" s="9">
        <v>41</v>
      </c>
      <c r="S234" s="9">
        <v>11</v>
      </c>
      <c r="T234" s="9">
        <v>93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A234" s="9">
        <v>61</v>
      </c>
      <c r="AC234" s="9">
        <f t="shared" si="10"/>
        <v>1860</v>
      </c>
      <c r="AD234" s="9">
        <f t="shared" si="11"/>
        <v>17029</v>
      </c>
      <c r="AE234" s="10">
        <f t="shared" si="12"/>
        <v>9.1553763440860223</v>
      </c>
    </row>
    <row r="235" spans="1:31" x14ac:dyDescent="0.3">
      <c r="A235" s="55"/>
      <c r="B235" s="30" t="s">
        <v>237</v>
      </c>
      <c r="C235" s="9">
        <v>23</v>
      </c>
      <c r="D235" s="9">
        <v>14</v>
      </c>
      <c r="E235" s="9">
        <v>22</v>
      </c>
      <c r="F235" s="9">
        <v>45</v>
      </c>
      <c r="G235" s="9">
        <v>62</v>
      </c>
      <c r="H235" s="9">
        <v>143</v>
      </c>
      <c r="I235" s="9">
        <v>111</v>
      </c>
      <c r="J235" s="9">
        <v>122</v>
      </c>
      <c r="K235" s="9">
        <v>277</v>
      </c>
      <c r="L235" s="9">
        <v>138</v>
      </c>
      <c r="M235" s="9">
        <v>166</v>
      </c>
      <c r="N235" s="9">
        <v>136</v>
      </c>
      <c r="O235" s="9">
        <v>2278</v>
      </c>
      <c r="P235" s="9">
        <v>227</v>
      </c>
      <c r="Q235" s="9">
        <v>443</v>
      </c>
      <c r="R235" s="9">
        <v>789</v>
      </c>
      <c r="S235" s="9">
        <v>105</v>
      </c>
      <c r="T235" s="9">
        <v>1098</v>
      </c>
      <c r="U235" s="9">
        <v>31</v>
      </c>
      <c r="V235" s="9">
        <v>39</v>
      </c>
      <c r="W235" s="9">
        <v>1</v>
      </c>
      <c r="X235" s="9">
        <v>1</v>
      </c>
      <c r="Y235" s="9">
        <v>0</v>
      </c>
      <c r="Z235" s="9">
        <v>3</v>
      </c>
      <c r="AA235" s="9">
        <v>179</v>
      </c>
      <c r="AC235" s="9">
        <f t="shared" si="10"/>
        <v>6453</v>
      </c>
      <c r="AD235" s="9">
        <f t="shared" si="11"/>
        <v>83665</v>
      </c>
      <c r="AE235" s="10">
        <f t="shared" si="12"/>
        <v>12.965287463195413</v>
      </c>
    </row>
    <row r="236" spans="1:31" x14ac:dyDescent="0.3">
      <c r="A236" s="55"/>
      <c r="B236" s="30" t="s">
        <v>238</v>
      </c>
      <c r="C236" s="9">
        <v>8</v>
      </c>
      <c r="D236" s="9">
        <v>8</v>
      </c>
      <c r="E236" s="9">
        <v>6</v>
      </c>
      <c r="F236" s="9">
        <v>12</v>
      </c>
      <c r="G236" s="9">
        <v>12</v>
      </c>
      <c r="H236" s="9">
        <v>42</v>
      </c>
      <c r="I236" s="9">
        <v>24</v>
      </c>
      <c r="J236" s="9">
        <v>24</v>
      </c>
      <c r="K236" s="9">
        <v>62</v>
      </c>
      <c r="L236" s="9">
        <v>24</v>
      </c>
      <c r="M236" s="9">
        <v>22</v>
      </c>
      <c r="N236" s="9">
        <v>27</v>
      </c>
      <c r="O236" s="9">
        <v>418</v>
      </c>
      <c r="P236" s="9">
        <v>19</v>
      </c>
      <c r="Q236" s="9">
        <v>69</v>
      </c>
      <c r="R236" s="9">
        <v>77</v>
      </c>
      <c r="S236" s="9">
        <v>18</v>
      </c>
      <c r="T236" s="9">
        <v>134</v>
      </c>
      <c r="U236" s="9">
        <v>4</v>
      </c>
      <c r="V236" s="9">
        <v>9</v>
      </c>
      <c r="W236" s="9">
        <v>0</v>
      </c>
      <c r="X236" s="9">
        <v>0</v>
      </c>
      <c r="Y236" s="9">
        <v>0</v>
      </c>
      <c r="Z236" s="9">
        <v>0</v>
      </c>
      <c r="AA236" s="9">
        <v>33</v>
      </c>
      <c r="AC236" s="9">
        <f t="shared" si="10"/>
        <v>1052</v>
      </c>
      <c r="AD236" s="9">
        <f t="shared" si="11"/>
        <v>12840</v>
      </c>
      <c r="AE236" s="10">
        <f t="shared" si="12"/>
        <v>12.20532319391635</v>
      </c>
    </row>
    <row r="237" spans="1:31" x14ac:dyDescent="0.3">
      <c r="A237" s="55"/>
      <c r="B237" s="30" t="s">
        <v>239</v>
      </c>
      <c r="C237" s="9">
        <v>24</v>
      </c>
      <c r="D237" s="9">
        <v>23</v>
      </c>
      <c r="E237" s="9">
        <v>34</v>
      </c>
      <c r="F237" s="9">
        <v>40</v>
      </c>
      <c r="G237" s="9">
        <v>54</v>
      </c>
      <c r="H237" s="9">
        <v>125</v>
      </c>
      <c r="I237" s="9">
        <v>131</v>
      </c>
      <c r="J237" s="9">
        <v>120</v>
      </c>
      <c r="K237" s="9">
        <v>207</v>
      </c>
      <c r="L237" s="9">
        <v>100</v>
      </c>
      <c r="M237" s="9">
        <v>113</v>
      </c>
      <c r="N237" s="9">
        <v>110</v>
      </c>
      <c r="O237" s="9">
        <v>1083</v>
      </c>
      <c r="P237" s="9">
        <v>88</v>
      </c>
      <c r="Q237" s="9">
        <v>156</v>
      </c>
      <c r="R237" s="9">
        <v>212</v>
      </c>
      <c r="S237" s="9">
        <v>42</v>
      </c>
      <c r="T237" s="9">
        <v>329</v>
      </c>
      <c r="U237" s="9">
        <v>8</v>
      </c>
      <c r="V237" s="9">
        <v>8</v>
      </c>
      <c r="W237" s="9">
        <v>2</v>
      </c>
      <c r="X237" s="9">
        <v>0</v>
      </c>
      <c r="Y237" s="9">
        <v>0</v>
      </c>
      <c r="Z237" s="9">
        <v>3</v>
      </c>
      <c r="AA237" s="9">
        <v>31</v>
      </c>
      <c r="AC237" s="9">
        <f t="shared" si="10"/>
        <v>3043</v>
      </c>
      <c r="AD237" s="9">
        <f t="shared" si="11"/>
        <v>34492</v>
      </c>
      <c r="AE237" s="10">
        <f t="shared" si="12"/>
        <v>11.334866907656918</v>
      </c>
    </row>
    <row r="238" spans="1:31" x14ac:dyDescent="0.3">
      <c r="A238" s="55"/>
      <c r="B238" s="30" t="s">
        <v>240</v>
      </c>
      <c r="C238" s="9">
        <v>11</v>
      </c>
      <c r="D238" s="9">
        <v>3</v>
      </c>
      <c r="E238" s="9">
        <v>3</v>
      </c>
      <c r="F238" s="9">
        <v>15</v>
      </c>
      <c r="G238" s="9">
        <v>14</v>
      </c>
      <c r="H238" s="9">
        <v>26</v>
      </c>
      <c r="I238" s="9">
        <v>32</v>
      </c>
      <c r="J238" s="9">
        <v>24</v>
      </c>
      <c r="K238" s="9">
        <v>39</v>
      </c>
      <c r="L238" s="9">
        <v>23</v>
      </c>
      <c r="M238" s="9">
        <v>28</v>
      </c>
      <c r="N238" s="9">
        <v>28</v>
      </c>
      <c r="O238" s="9">
        <v>355</v>
      </c>
      <c r="P238" s="9">
        <v>18</v>
      </c>
      <c r="Q238" s="9">
        <v>39</v>
      </c>
      <c r="R238" s="9">
        <v>43</v>
      </c>
      <c r="S238" s="9">
        <v>13</v>
      </c>
      <c r="T238" s="9">
        <v>85</v>
      </c>
      <c r="U238" s="9">
        <v>1</v>
      </c>
      <c r="V238" s="9">
        <v>2</v>
      </c>
      <c r="W238" s="9">
        <v>0</v>
      </c>
      <c r="X238" s="9">
        <v>0</v>
      </c>
      <c r="Y238" s="9">
        <v>0</v>
      </c>
      <c r="Z238" s="9">
        <v>0</v>
      </c>
      <c r="AA238" s="9">
        <v>26</v>
      </c>
      <c r="AC238" s="9">
        <f t="shared" si="10"/>
        <v>828</v>
      </c>
      <c r="AD238" s="9">
        <f t="shared" si="11"/>
        <v>9725</v>
      </c>
      <c r="AE238" s="10">
        <f t="shared" si="12"/>
        <v>11.745169082125605</v>
      </c>
    </row>
    <row r="239" spans="1:31" x14ac:dyDescent="0.3">
      <c r="A239" s="55"/>
      <c r="B239" s="30" t="s">
        <v>241</v>
      </c>
      <c r="C239" s="9">
        <v>10</v>
      </c>
      <c r="D239" s="9">
        <v>6</v>
      </c>
      <c r="E239" s="9">
        <v>15</v>
      </c>
      <c r="F239" s="9">
        <v>24</v>
      </c>
      <c r="G239" s="9">
        <v>29</v>
      </c>
      <c r="H239" s="9">
        <v>54</v>
      </c>
      <c r="I239" s="9">
        <v>36</v>
      </c>
      <c r="J239" s="9">
        <v>26</v>
      </c>
      <c r="K239" s="9">
        <v>58</v>
      </c>
      <c r="L239" s="9">
        <v>14</v>
      </c>
      <c r="M239" s="9">
        <v>7</v>
      </c>
      <c r="N239" s="9">
        <v>10</v>
      </c>
      <c r="O239" s="9">
        <v>82</v>
      </c>
      <c r="P239" s="9">
        <v>5</v>
      </c>
      <c r="Q239" s="9">
        <v>10</v>
      </c>
      <c r="R239" s="9">
        <v>14</v>
      </c>
      <c r="S239" s="9">
        <v>0</v>
      </c>
      <c r="T239" s="9">
        <v>26</v>
      </c>
      <c r="U239" s="9">
        <v>1</v>
      </c>
      <c r="V239" s="9">
        <v>1</v>
      </c>
      <c r="W239" s="9">
        <v>0</v>
      </c>
      <c r="X239" s="9">
        <v>0</v>
      </c>
      <c r="Y239" s="9">
        <v>0</v>
      </c>
      <c r="Z239" s="9">
        <v>0</v>
      </c>
      <c r="AA239" s="9">
        <v>10</v>
      </c>
      <c r="AC239" s="9">
        <f t="shared" si="10"/>
        <v>438</v>
      </c>
      <c r="AD239" s="9">
        <f t="shared" si="11"/>
        <v>3780</v>
      </c>
      <c r="AE239" s="10">
        <f t="shared" si="12"/>
        <v>8.6301369863013697</v>
      </c>
    </row>
    <row r="240" spans="1:31" x14ac:dyDescent="0.3">
      <c r="A240" s="55"/>
      <c r="B240" s="30" t="s">
        <v>242</v>
      </c>
      <c r="C240" s="9">
        <v>13</v>
      </c>
      <c r="D240" s="9">
        <v>10</v>
      </c>
      <c r="E240" s="9">
        <v>10</v>
      </c>
      <c r="F240" s="9">
        <v>22</v>
      </c>
      <c r="G240" s="9">
        <v>24</v>
      </c>
      <c r="H240" s="9">
        <v>31</v>
      </c>
      <c r="I240" s="9">
        <v>25</v>
      </c>
      <c r="J240" s="9">
        <v>31</v>
      </c>
      <c r="K240" s="9">
        <v>30</v>
      </c>
      <c r="L240" s="9">
        <v>19</v>
      </c>
      <c r="M240" s="9">
        <v>18</v>
      </c>
      <c r="N240" s="9">
        <v>14</v>
      </c>
      <c r="O240" s="9">
        <v>126</v>
      </c>
      <c r="P240" s="9">
        <v>5</v>
      </c>
      <c r="Q240" s="9">
        <v>17</v>
      </c>
      <c r="R240" s="9">
        <v>21</v>
      </c>
      <c r="S240" s="9">
        <v>2</v>
      </c>
      <c r="T240" s="9">
        <v>50</v>
      </c>
      <c r="U240" s="9">
        <v>1</v>
      </c>
      <c r="V240" s="9">
        <v>2</v>
      </c>
      <c r="W240" s="9">
        <v>0</v>
      </c>
      <c r="X240" s="9">
        <v>1</v>
      </c>
      <c r="Y240" s="9">
        <v>0</v>
      </c>
      <c r="Z240" s="9">
        <v>0</v>
      </c>
      <c r="AA240" s="9">
        <v>8</v>
      </c>
      <c r="AC240" s="9">
        <f t="shared" si="10"/>
        <v>480</v>
      </c>
      <c r="AD240" s="9">
        <f t="shared" si="11"/>
        <v>4740</v>
      </c>
      <c r="AE240" s="10">
        <f t="shared" si="12"/>
        <v>9.875</v>
      </c>
    </row>
    <row r="241" spans="1:42" x14ac:dyDescent="0.3">
      <c r="A241" s="55"/>
      <c r="B241" s="30" t="s">
        <v>243</v>
      </c>
      <c r="C241" s="9">
        <v>3</v>
      </c>
      <c r="D241" s="9">
        <v>0</v>
      </c>
      <c r="E241" s="9">
        <v>0</v>
      </c>
      <c r="F241" s="9">
        <v>5</v>
      </c>
      <c r="G241" s="9">
        <v>6</v>
      </c>
      <c r="H241" s="9">
        <v>10</v>
      </c>
      <c r="I241" s="9">
        <v>8</v>
      </c>
      <c r="J241" s="9">
        <v>10</v>
      </c>
      <c r="K241" s="9">
        <v>29</v>
      </c>
      <c r="L241" s="9">
        <v>5</v>
      </c>
      <c r="M241" s="9">
        <v>15</v>
      </c>
      <c r="N241" s="9">
        <v>12</v>
      </c>
      <c r="O241" s="9">
        <v>252</v>
      </c>
      <c r="P241" s="9">
        <v>20</v>
      </c>
      <c r="Q241" s="9">
        <v>42</v>
      </c>
      <c r="R241" s="9">
        <v>81</v>
      </c>
      <c r="S241" s="9">
        <v>18</v>
      </c>
      <c r="T241" s="9">
        <v>110</v>
      </c>
      <c r="U241" s="9">
        <v>0</v>
      </c>
      <c r="V241" s="9">
        <v>4</v>
      </c>
      <c r="W241" s="9">
        <v>0</v>
      </c>
      <c r="X241" s="9">
        <v>0</v>
      </c>
      <c r="Y241" s="9">
        <v>0</v>
      </c>
      <c r="Z241" s="9">
        <v>0</v>
      </c>
      <c r="AA241" s="9">
        <v>18</v>
      </c>
      <c r="AC241" s="9">
        <f t="shared" si="10"/>
        <v>648</v>
      </c>
      <c r="AD241" s="9">
        <f t="shared" si="11"/>
        <v>8519</v>
      </c>
      <c r="AE241" s="10">
        <f t="shared" si="12"/>
        <v>13.146604938271604</v>
      </c>
    </row>
    <row r="242" spans="1:42" x14ac:dyDescent="0.3">
      <c r="A242" s="55"/>
      <c r="B242" s="30" t="s">
        <v>244</v>
      </c>
      <c r="C242" s="9">
        <v>0</v>
      </c>
      <c r="D242" s="9">
        <v>1</v>
      </c>
      <c r="E242" s="9">
        <v>0</v>
      </c>
      <c r="F242" s="9">
        <v>1</v>
      </c>
      <c r="G242" s="9">
        <v>0</v>
      </c>
      <c r="H242" s="9">
        <v>1</v>
      </c>
      <c r="I242" s="9">
        <v>1</v>
      </c>
      <c r="J242" s="9">
        <v>1</v>
      </c>
      <c r="K242" s="9">
        <v>13</v>
      </c>
      <c r="L242" s="9">
        <v>1</v>
      </c>
      <c r="M242" s="9">
        <v>8</v>
      </c>
      <c r="N242" s="9">
        <v>6</v>
      </c>
      <c r="O242" s="9">
        <v>118</v>
      </c>
      <c r="P242" s="9">
        <v>5</v>
      </c>
      <c r="Q242" s="9">
        <v>4</v>
      </c>
      <c r="R242" s="9">
        <v>19</v>
      </c>
      <c r="S242" s="9">
        <v>4</v>
      </c>
      <c r="T242" s="9">
        <v>33</v>
      </c>
      <c r="U242" s="9">
        <v>1</v>
      </c>
      <c r="V242" s="9">
        <v>1</v>
      </c>
      <c r="W242" s="9">
        <v>0</v>
      </c>
      <c r="X242" s="9">
        <v>0</v>
      </c>
      <c r="Y242" s="9">
        <v>0</v>
      </c>
      <c r="Z242" s="9">
        <v>0</v>
      </c>
      <c r="AA242" s="9">
        <v>10</v>
      </c>
      <c r="AC242" s="9">
        <f t="shared" si="10"/>
        <v>228</v>
      </c>
      <c r="AD242" s="9">
        <f t="shared" si="11"/>
        <v>3005</v>
      </c>
      <c r="AE242" s="10">
        <f t="shared" si="12"/>
        <v>13.179824561403509</v>
      </c>
    </row>
    <row r="243" spans="1:42" x14ac:dyDescent="0.3">
      <c r="A243" s="55"/>
      <c r="B243" s="30" t="s">
        <v>245</v>
      </c>
      <c r="C243" s="9">
        <v>98</v>
      </c>
      <c r="D243" s="9">
        <v>45</v>
      </c>
      <c r="E243" s="9">
        <v>47</v>
      </c>
      <c r="F243" s="9">
        <v>97</v>
      </c>
      <c r="G243" s="9">
        <v>127</v>
      </c>
      <c r="H243" s="9">
        <v>356</v>
      </c>
      <c r="I243" s="9">
        <v>251</v>
      </c>
      <c r="J243" s="9">
        <v>258</v>
      </c>
      <c r="K243" s="9">
        <v>558</v>
      </c>
      <c r="L243" s="9">
        <v>226</v>
      </c>
      <c r="M243" s="9">
        <v>267</v>
      </c>
      <c r="N243" s="9">
        <v>242</v>
      </c>
      <c r="O243" s="9">
        <v>2753</v>
      </c>
      <c r="P243" s="9">
        <v>285</v>
      </c>
      <c r="Q243" s="9">
        <v>527</v>
      </c>
      <c r="R243" s="9">
        <v>747</v>
      </c>
      <c r="S243" s="9">
        <v>195</v>
      </c>
      <c r="T243" s="9">
        <v>1363</v>
      </c>
      <c r="U243" s="9">
        <v>29</v>
      </c>
      <c r="V243" s="9">
        <v>61</v>
      </c>
      <c r="W243" s="9">
        <v>1</v>
      </c>
      <c r="X243" s="9">
        <v>0</v>
      </c>
      <c r="Y243" s="9">
        <v>1</v>
      </c>
      <c r="Z243" s="9">
        <v>11</v>
      </c>
      <c r="AA243" s="9">
        <v>237</v>
      </c>
      <c r="AC243" s="9">
        <f t="shared" si="10"/>
        <v>8782</v>
      </c>
      <c r="AD243" s="9">
        <f t="shared" si="11"/>
        <v>107139</v>
      </c>
      <c r="AE243" s="10">
        <f t="shared" si="12"/>
        <v>12.199840583010703</v>
      </c>
    </row>
    <row r="244" spans="1:42" x14ac:dyDescent="0.3">
      <c r="A244" s="55"/>
      <c r="B244" s="30" t="s">
        <v>246</v>
      </c>
      <c r="C244" s="9">
        <v>1</v>
      </c>
      <c r="D244" s="9">
        <v>0</v>
      </c>
      <c r="E244" s="9">
        <v>1</v>
      </c>
      <c r="F244" s="9">
        <v>5</v>
      </c>
      <c r="G244" s="9">
        <v>1</v>
      </c>
      <c r="H244" s="9">
        <v>14</v>
      </c>
      <c r="I244" s="9">
        <v>13</v>
      </c>
      <c r="J244" s="9">
        <v>8</v>
      </c>
      <c r="K244" s="9">
        <v>44</v>
      </c>
      <c r="L244" s="9">
        <v>10</v>
      </c>
      <c r="M244" s="9">
        <v>11</v>
      </c>
      <c r="N244" s="9">
        <v>7</v>
      </c>
      <c r="O244" s="9">
        <v>142</v>
      </c>
      <c r="P244" s="9">
        <v>11</v>
      </c>
      <c r="Q244" s="9">
        <v>26</v>
      </c>
      <c r="R244" s="9">
        <v>25</v>
      </c>
      <c r="S244" s="9">
        <v>2</v>
      </c>
      <c r="T244" s="9">
        <v>59</v>
      </c>
      <c r="U244" s="9">
        <v>1</v>
      </c>
      <c r="V244" s="9">
        <v>3</v>
      </c>
      <c r="W244" s="9">
        <v>1</v>
      </c>
      <c r="X244" s="9">
        <v>0</v>
      </c>
      <c r="Y244" s="9">
        <v>0</v>
      </c>
      <c r="Z244" s="9">
        <v>2</v>
      </c>
      <c r="AA244" s="9">
        <v>14</v>
      </c>
      <c r="AC244" s="9">
        <f t="shared" si="10"/>
        <v>401</v>
      </c>
      <c r="AD244" s="9">
        <f t="shared" si="11"/>
        <v>4952</v>
      </c>
      <c r="AE244" s="10">
        <f t="shared" si="12"/>
        <v>12.349127182044887</v>
      </c>
    </row>
    <row r="245" spans="1:42" x14ac:dyDescent="0.3">
      <c r="A245" s="55"/>
      <c r="B245" s="30" t="s">
        <v>247</v>
      </c>
      <c r="C245" s="9">
        <v>310</v>
      </c>
      <c r="D245" s="9">
        <v>129</v>
      </c>
      <c r="E245" s="9">
        <v>166</v>
      </c>
      <c r="F245" s="9">
        <v>410</v>
      </c>
      <c r="G245" s="9">
        <v>409</v>
      </c>
      <c r="H245" s="9">
        <v>1283</v>
      </c>
      <c r="I245" s="9">
        <v>1095</v>
      </c>
      <c r="J245" s="9">
        <v>1022</v>
      </c>
      <c r="K245" s="9">
        <v>1762</v>
      </c>
      <c r="L245" s="9">
        <v>909</v>
      </c>
      <c r="M245" s="9">
        <v>887</v>
      </c>
      <c r="N245" s="9">
        <v>934</v>
      </c>
      <c r="O245" s="9">
        <v>10811</v>
      </c>
      <c r="P245" s="9">
        <v>1728</v>
      </c>
      <c r="Q245" s="9">
        <v>3269</v>
      </c>
      <c r="R245" s="9">
        <v>5562</v>
      </c>
      <c r="S245" s="9">
        <v>1911</v>
      </c>
      <c r="T245" s="9">
        <v>11992</v>
      </c>
      <c r="U245" s="9">
        <v>316</v>
      </c>
      <c r="V245" s="9">
        <v>654</v>
      </c>
      <c r="W245" s="9">
        <v>19</v>
      </c>
      <c r="X245" s="9">
        <v>5</v>
      </c>
      <c r="Y245" s="9">
        <v>10</v>
      </c>
      <c r="Z245" s="9">
        <v>34</v>
      </c>
      <c r="AA245" s="9">
        <v>464</v>
      </c>
      <c r="AC245" s="9">
        <f t="shared" si="10"/>
        <v>46091</v>
      </c>
      <c r="AD245" s="9">
        <f t="shared" si="11"/>
        <v>611456</v>
      </c>
      <c r="AE245" s="10">
        <f t="shared" si="12"/>
        <v>13.266277581306547</v>
      </c>
    </row>
    <row r="246" spans="1:42" x14ac:dyDescent="0.3">
      <c r="A246" s="55"/>
      <c r="B246" s="30" t="s">
        <v>248</v>
      </c>
      <c r="C246" s="9">
        <v>29</v>
      </c>
      <c r="D246" s="9">
        <v>15</v>
      </c>
      <c r="E246" s="9">
        <v>33</v>
      </c>
      <c r="F246" s="9">
        <v>88</v>
      </c>
      <c r="G246" s="9">
        <v>133</v>
      </c>
      <c r="H246" s="9">
        <v>315</v>
      </c>
      <c r="I246" s="9">
        <v>298</v>
      </c>
      <c r="J246" s="9">
        <v>125</v>
      </c>
      <c r="K246" s="9">
        <v>339</v>
      </c>
      <c r="L246" s="9">
        <v>66</v>
      </c>
      <c r="M246" s="9">
        <v>65</v>
      </c>
      <c r="N246" s="9">
        <v>56</v>
      </c>
      <c r="O246" s="9">
        <v>626</v>
      </c>
      <c r="P246" s="9">
        <v>63</v>
      </c>
      <c r="Q246" s="9">
        <v>188</v>
      </c>
      <c r="R246" s="9">
        <v>260</v>
      </c>
      <c r="S246" s="9">
        <v>49</v>
      </c>
      <c r="T246" s="9">
        <v>352</v>
      </c>
      <c r="U246" s="9">
        <v>5</v>
      </c>
      <c r="V246" s="9">
        <v>17</v>
      </c>
      <c r="W246" s="9">
        <v>0</v>
      </c>
      <c r="X246" s="9">
        <v>1</v>
      </c>
      <c r="Y246" s="9">
        <v>0</v>
      </c>
      <c r="Z246" s="9">
        <v>2</v>
      </c>
      <c r="AA246" s="9">
        <v>22</v>
      </c>
      <c r="AC246" s="9">
        <f t="shared" si="10"/>
        <v>3147</v>
      </c>
      <c r="AD246" s="9">
        <f t="shared" si="11"/>
        <v>32326</v>
      </c>
      <c r="AE246" s="10">
        <f t="shared" si="12"/>
        <v>10.272005084207182</v>
      </c>
    </row>
    <row r="247" spans="1:42" x14ac:dyDescent="0.3">
      <c r="A247" s="55"/>
      <c r="B247" s="30" t="s">
        <v>249</v>
      </c>
      <c r="C247" s="9">
        <v>62</v>
      </c>
      <c r="D247" s="9">
        <v>38</v>
      </c>
      <c r="E247" s="9">
        <v>49</v>
      </c>
      <c r="F247" s="9">
        <v>130</v>
      </c>
      <c r="G247" s="9">
        <v>113</v>
      </c>
      <c r="H247" s="9">
        <v>280</v>
      </c>
      <c r="I247" s="9">
        <v>232</v>
      </c>
      <c r="J247" s="9">
        <v>246</v>
      </c>
      <c r="K247" s="9">
        <v>391</v>
      </c>
      <c r="L247" s="9">
        <v>196</v>
      </c>
      <c r="M247" s="9">
        <v>168</v>
      </c>
      <c r="N247" s="9">
        <v>205</v>
      </c>
      <c r="O247" s="9">
        <v>1942</v>
      </c>
      <c r="P247" s="9">
        <v>182</v>
      </c>
      <c r="Q247" s="9">
        <v>435</v>
      </c>
      <c r="R247" s="9">
        <v>567</v>
      </c>
      <c r="S247" s="9">
        <v>155</v>
      </c>
      <c r="T247" s="9">
        <v>1286</v>
      </c>
      <c r="U247" s="9">
        <v>16</v>
      </c>
      <c r="V247" s="9">
        <v>39</v>
      </c>
      <c r="W247" s="9">
        <v>0</v>
      </c>
      <c r="X247" s="9">
        <v>1</v>
      </c>
      <c r="Y247" s="9">
        <v>3</v>
      </c>
      <c r="Z247" s="9">
        <v>6</v>
      </c>
      <c r="AA247" s="9">
        <v>76</v>
      </c>
      <c r="AC247" s="9">
        <f t="shared" si="10"/>
        <v>6818</v>
      </c>
      <c r="AD247" s="9">
        <f t="shared" si="11"/>
        <v>82004</v>
      </c>
      <c r="AE247" s="10">
        <f t="shared" si="12"/>
        <v>12.027574068641831</v>
      </c>
    </row>
    <row r="248" spans="1:42" s="46" customFormat="1" x14ac:dyDescent="0.3">
      <c r="A248" s="55"/>
      <c r="B248" s="30" t="s">
        <v>250</v>
      </c>
      <c r="C248" s="9">
        <v>380</v>
      </c>
      <c r="D248" s="9">
        <v>148</v>
      </c>
      <c r="E248" s="9">
        <v>139</v>
      </c>
      <c r="F248" s="9">
        <v>280</v>
      </c>
      <c r="G248" s="9">
        <v>328</v>
      </c>
      <c r="H248" s="9">
        <v>676</v>
      </c>
      <c r="I248" s="9">
        <v>574</v>
      </c>
      <c r="J248" s="9">
        <v>564</v>
      </c>
      <c r="K248" s="9">
        <v>944</v>
      </c>
      <c r="L248" s="9">
        <v>488</v>
      </c>
      <c r="M248" s="9">
        <v>538</v>
      </c>
      <c r="N248" s="9">
        <v>514</v>
      </c>
      <c r="O248" s="9">
        <v>5027</v>
      </c>
      <c r="P248" s="9">
        <v>486</v>
      </c>
      <c r="Q248" s="9">
        <v>914</v>
      </c>
      <c r="R248" s="9">
        <v>1185</v>
      </c>
      <c r="S248" s="9">
        <v>498</v>
      </c>
      <c r="T248" s="9">
        <v>3792</v>
      </c>
      <c r="U248" s="9">
        <v>47</v>
      </c>
      <c r="V248" s="9">
        <v>114</v>
      </c>
      <c r="W248" s="9">
        <v>2</v>
      </c>
      <c r="X248" s="9">
        <v>1</v>
      </c>
      <c r="Y248" s="9">
        <v>2</v>
      </c>
      <c r="Z248" s="9">
        <v>13</v>
      </c>
      <c r="AA248" s="9">
        <v>294</v>
      </c>
      <c r="AB248" s="1"/>
      <c r="AC248" s="9">
        <f t="shared" si="10"/>
        <v>17948</v>
      </c>
      <c r="AD248" s="9">
        <f t="shared" si="11"/>
        <v>216445</v>
      </c>
      <c r="AE248" s="10">
        <f t="shared" si="12"/>
        <v>12.059560953866725</v>
      </c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s="46" customFormat="1" x14ac:dyDescent="0.3">
      <c r="A249" s="55"/>
      <c r="B249" s="30" t="s">
        <v>251</v>
      </c>
      <c r="C249" s="9">
        <v>30</v>
      </c>
      <c r="D249" s="9">
        <v>16</v>
      </c>
      <c r="E249" s="9">
        <v>24</v>
      </c>
      <c r="F249" s="9">
        <v>41</v>
      </c>
      <c r="G249" s="9">
        <v>45</v>
      </c>
      <c r="H249" s="9">
        <v>128</v>
      </c>
      <c r="I249" s="9">
        <v>116</v>
      </c>
      <c r="J249" s="9">
        <v>93</v>
      </c>
      <c r="K249" s="9">
        <v>184</v>
      </c>
      <c r="L249" s="9">
        <v>61</v>
      </c>
      <c r="M249" s="9">
        <v>78</v>
      </c>
      <c r="N249" s="9">
        <v>67</v>
      </c>
      <c r="O249" s="9">
        <v>838</v>
      </c>
      <c r="P249" s="9">
        <v>62</v>
      </c>
      <c r="Q249" s="9">
        <v>166</v>
      </c>
      <c r="R249" s="9">
        <v>201</v>
      </c>
      <c r="S249" s="9">
        <v>44</v>
      </c>
      <c r="T249" s="9">
        <v>535</v>
      </c>
      <c r="U249" s="9">
        <v>8</v>
      </c>
      <c r="V249" s="9">
        <v>13</v>
      </c>
      <c r="W249" s="9">
        <v>0</v>
      </c>
      <c r="X249" s="9">
        <v>0</v>
      </c>
      <c r="Y249" s="9">
        <v>0</v>
      </c>
      <c r="Z249" s="9">
        <v>1</v>
      </c>
      <c r="AA249" s="9">
        <v>22</v>
      </c>
      <c r="AB249" s="1"/>
      <c r="AC249" s="9">
        <f t="shared" si="10"/>
        <v>2773</v>
      </c>
      <c r="AD249" s="9">
        <f t="shared" si="11"/>
        <v>32834</v>
      </c>
      <c r="AE249" s="10">
        <f t="shared" si="12"/>
        <v>11.840605842048323</v>
      </c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s="46" customFormat="1" x14ac:dyDescent="0.3">
      <c r="A250" s="55"/>
      <c r="B250" s="30" t="s">
        <v>252</v>
      </c>
      <c r="C250" s="9">
        <v>134</v>
      </c>
      <c r="D250" s="9">
        <v>48</v>
      </c>
      <c r="E250" s="9">
        <v>50</v>
      </c>
      <c r="F250" s="9">
        <v>111</v>
      </c>
      <c r="G250" s="9">
        <v>109</v>
      </c>
      <c r="H250" s="9">
        <v>383</v>
      </c>
      <c r="I250" s="9">
        <v>241</v>
      </c>
      <c r="J250" s="9">
        <v>254</v>
      </c>
      <c r="K250" s="9">
        <v>542</v>
      </c>
      <c r="L250" s="9">
        <v>290</v>
      </c>
      <c r="M250" s="9">
        <v>262</v>
      </c>
      <c r="N250" s="9">
        <v>285</v>
      </c>
      <c r="O250" s="9">
        <v>2624</v>
      </c>
      <c r="P250" s="9">
        <v>255</v>
      </c>
      <c r="Q250" s="9">
        <v>630</v>
      </c>
      <c r="R250" s="9">
        <v>588</v>
      </c>
      <c r="S250" s="9">
        <v>140</v>
      </c>
      <c r="T250" s="9">
        <v>1232</v>
      </c>
      <c r="U250" s="9">
        <v>22</v>
      </c>
      <c r="V250" s="9">
        <v>56</v>
      </c>
      <c r="W250" s="9">
        <v>4</v>
      </c>
      <c r="X250" s="9">
        <v>2</v>
      </c>
      <c r="Y250" s="9">
        <v>0</v>
      </c>
      <c r="Z250" s="9">
        <v>1</v>
      </c>
      <c r="AA250" s="9">
        <v>183</v>
      </c>
      <c r="AB250" s="1"/>
      <c r="AC250" s="9">
        <f t="shared" si="10"/>
        <v>8446</v>
      </c>
      <c r="AD250" s="9">
        <f t="shared" si="11"/>
        <v>100381</v>
      </c>
      <c r="AE250" s="10">
        <f t="shared" si="12"/>
        <v>11.885034335780251</v>
      </c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55"/>
      <c r="B251" s="30" t="s">
        <v>253</v>
      </c>
      <c r="C251" s="9">
        <v>46</v>
      </c>
      <c r="D251" s="9">
        <v>19</v>
      </c>
      <c r="E251" s="9">
        <v>27</v>
      </c>
      <c r="F251" s="9">
        <v>135</v>
      </c>
      <c r="G251" s="9">
        <v>106</v>
      </c>
      <c r="H251" s="9">
        <v>253</v>
      </c>
      <c r="I251" s="9">
        <v>211</v>
      </c>
      <c r="J251" s="9">
        <v>138</v>
      </c>
      <c r="K251" s="9">
        <v>207</v>
      </c>
      <c r="L251" s="9">
        <v>54</v>
      </c>
      <c r="M251" s="9">
        <v>51</v>
      </c>
      <c r="N251" s="9">
        <v>60</v>
      </c>
      <c r="O251" s="9">
        <v>709</v>
      </c>
      <c r="P251" s="9">
        <v>67</v>
      </c>
      <c r="Q251" s="9">
        <v>166</v>
      </c>
      <c r="R251" s="9">
        <v>235</v>
      </c>
      <c r="S251" s="9">
        <v>55</v>
      </c>
      <c r="T251" s="9">
        <v>323</v>
      </c>
      <c r="U251" s="9">
        <v>5</v>
      </c>
      <c r="V251" s="9">
        <v>9</v>
      </c>
      <c r="W251" s="9">
        <v>0</v>
      </c>
      <c r="X251" s="9">
        <v>0</v>
      </c>
      <c r="Y251" s="9">
        <v>0</v>
      </c>
      <c r="Z251" s="9">
        <v>2</v>
      </c>
      <c r="AA251" s="9">
        <v>35</v>
      </c>
      <c r="AC251" s="9">
        <f t="shared" si="10"/>
        <v>2913</v>
      </c>
      <c r="AD251" s="9">
        <f t="shared" si="11"/>
        <v>30457</v>
      </c>
      <c r="AE251" s="10">
        <f t="shared" si="12"/>
        <v>10.455544112598696</v>
      </c>
    </row>
    <row r="252" spans="1:42" x14ac:dyDescent="0.3">
      <c r="A252" s="55"/>
      <c r="B252" s="30" t="s">
        <v>254</v>
      </c>
      <c r="C252" s="9">
        <v>13</v>
      </c>
      <c r="D252" s="9">
        <v>2</v>
      </c>
      <c r="E252" s="9">
        <v>8</v>
      </c>
      <c r="F252" s="9">
        <v>14</v>
      </c>
      <c r="G252" s="9">
        <v>32</v>
      </c>
      <c r="H252" s="9">
        <v>78</v>
      </c>
      <c r="I252" s="9">
        <v>92</v>
      </c>
      <c r="J252" s="9">
        <v>26</v>
      </c>
      <c r="K252" s="9">
        <v>133</v>
      </c>
      <c r="L252" s="9">
        <v>13</v>
      </c>
      <c r="M252" s="9">
        <v>14</v>
      </c>
      <c r="N252" s="9">
        <v>13</v>
      </c>
      <c r="O252" s="9">
        <v>152</v>
      </c>
      <c r="P252" s="9">
        <v>8</v>
      </c>
      <c r="Q252" s="9">
        <v>34</v>
      </c>
      <c r="R252" s="9">
        <v>20</v>
      </c>
      <c r="S252" s="9">
        <v>7</v>
      </c>
      <c r="T252" s="9">
        <v>66</v>
      </c>
      <c r="U252" s="9">
        <v>1</v>
      </c>
      <c r="V252" s="9">
        <v>3</v>
      </c>
      <c r="W252" s="9">
        <v>0</v>
      </c>
      <c r="X252" s="9">
        <v>0</v>
      </c>
      <c r="Y252" s="9">
        <v>0</v>
      </c>
      <c r="Z252" s="9">
        <v>0</v>
      </c>
      <c r="AA252" s="9">
        <v>18</v>
      </c>
      <c r="AC252" s="9">
        <f t="shared" si="10"/>
        <v>747</v>
      </c>
      <c r="AD252" s="9">
        <f t="shared" si="11"/>
        <v>7221</v>
      </c>
      <c r="AE252" s="10">
        <f t="shared" si="12"/>
        <v>9.6666666666666661</v>
      </c>
    </row>
    <row r="253" spans="1:42" x14ac:dyDescent="0.3">
      <c r="A253" s="55"/>
      <c r="B253" s="30" t="s">
        <v>255</v>
      </c>
      <c r="C253" s="9">
        <v>74</v>
      </c>
      <c r="D253" s="9">
        <v>29</v>
      </c>
      <c r="E253" s="9">
        <v>54</v>
      </c>
      <c r="F253" s="9">
        <v>151</v>
      </c>
      <c r="G253" s="9">
        <v>165</v>
      </c>
      <c r="H253" s="9">
        <v>350</v>
      </c>
      <c r="I253" s="9">
        <v>286</v>
      </c>
      <c r="J253" s="9">
        <v>186</v>
      </c>
      <c r="K253" s="9">
        <v>356</v>
      </c>
      <c r="L253" s="9">
        <v>123</v>
      </c>
      <c r="M253" s="9">
        <v>129</v>
      </c>
      <c r="N253" s="9">
        <v>118</v>
      </c>
      <c r="O253" s="9">
        <v>1224</v>
      </c>
      <c r="P253" s="9">
        <v>106</v>
      </c>
      <c r="Q253" s="9">
        <v>325</v>
      </c>
      <c r="R253" s="9">
        <v>536</v>
      </c>
      <c r="S253" s="9">
        <v>120</v>
      </c>
      <c r="T253" s="9">
        <v>811</v>
      </c>
      <c r="U253" s="9">
        <v>14</v>
      </c>
      <c r="V253" s="9">
        <v>31</v>
      </c>
      <c r="W253" s="9">
        <v>0</v>
      </c>
      <c r="X253" s="9">
        <v>0</v>
      </c>
      <c r="Y253" s="9">
        <v>0</v>
      </c>
      <c r="Z253" s="9">
        <v>0</v>
      </c>
      <c r="AA253" s="9">
        <v>60</v>
      </c>
      <c r="AC253" s="9">
        <f t="shared" si="10"/>
        <v>5248</v>
      </c>
      <c r="AD253" s="9">
        <f t="shared" si="11"/>
        <v>59205</v>
      </c>
      <c r="AE253" s="10">
        <f t="shared" si="12"/>
        <v>11.281440548780488</v>
      </c>
    </row>
    <row r="254" spans="1:42" x14ac:dyDescent="0.3">
      <c r="A254" s="55"/>
      <c r="B254" s="30" t="s">
        <v>256</v>
      </c>
      <c r="C254" s="9">
        <v>18</v>
      </c>
      <c r="D254" s="9">
        <v>12</v>
      </c>
      <c r="E254" s="9">
        <v>14</v>
      </c>
      <c r="F254" s="9">
        <v>49</v>
      </c>
      <c r="G254" s="9">
        <v>71</v>
      </c>
      <c r="H254" s="9">
        <v>157</v>
      </c>
      <c r="I254" s="9">
        <v>158</v>
      </c>
      <c r="J254" s="9">
        <v>73</v>
      </c>
      <c r="K254" s="9">
        <v>139</v>
      </c>
      <c r="L254" s="9">
        <v>13</v>
      </c>
      <c r="M254" s="9">
        <v>56</v>
      </c>
      <c r="N254" s="9">
        <v>25</v>
      </c>
      <c r="O254" s="9">
        <v>254</v>
      </c>
      <c r="P254" s="9">
        <v>18</v>
      </c>
      <c r="Q254" s="9">
        <v>68</v>
      </c>
      <c r="R254" s="9">
        <v>116</v>
      </c>
      <c r="S254" s="9">
        <v>16</v>
      </c>
      <c r="T254" s="9">
        <v>141</v>
      </c>
      <c r="U254" s="9">
        <v>1</v>
      </c>
      <c r="V254" s="9">
        <v>1</v>
      </c>
      <c r="W254" s="9">
        <v>0</v>
      </c>
      <c r="X254" s="9">
        <v>0</v>
      </c>
      <c r="Y254" s="9">
        <v>0</v>
      </c>
      <c r="Z254" s="9">
        <v>0</v>
      </c>
      <c r="AA254" s="9">
        <v>14</v>
      </c>
      <c r="AC254" s="9">
        <f t="shared" si="10"/>
        <v>1414</v>
      </c>
      <c r="AD254" s="9">
        <f t="shared" si="11"/>
        <v>13779</v>
      </c>
      <c r="AE254" s="10">
        <f t="shared" si="12"/>
        <v>9.744695898161245</v>
      </c>
    </row>
    <row r="255" spans="1:42" x14ac:dyDescent="0.3">
      <c r="A255" s="55"/>
      <c r="B255" s="30" t="s">
        <v>257</v>
      </c>
      <c r="C255" s="9">
        <v>46</v>
      </c>
      <c r="D255" s="9">
        <v>34</v>
      </c>
      <c r="E255" s="9">
        <v>42</v>
      </c>
      <c r="F255" s="9">
        <v>89</v>
      </c>
      <c r="G255" s="9">
        <v>131</v>
      </c>
      <c r="H255" s="9">
        <v>256</v>
      </c>
      <c r="I255" s="9">
        <v>308</v>
      </c>
      <c r="J255" s="9">
        <v>175</v>
      </c>
      <c r="K255" s="9">
        <v>293</v>
      </c>
      <c r="L255" s="9">
        <v>123</v>
      </c>
      <c r="M255" s="9">
        <v>118</v>
      </c>
      <c r="N255" s="9">
        <v>102</v>
      </c>
      <c r="O255" s="9">
        <v>847</v>
      </c>
      <c r="P255" s="9">
        <v>72</v>
      </c>
      <c r="Q255" s="9">
        <v>173</v>
      </c>
      <c r="R255" s="9">
        <v>233</v>
      </c>
      <c r="S255" s="9">
        <v>29</v>
      </c>
      <c r="T255" s="9">
        <v>399</v>
      </c>
      <c r="U255" s="9">
        <v>13</v>
      </c>
      <c r="V255" s="9">
        <v>8</v>
      </c>
      <c r="W255" s="9">
        <v>1</v>
      </c>
      <c r="X255" s="9">
        <v>0</v>
      </c>
      <c r="Y255" s="9">
        <v>1</v>
      </c>
      <c r="Z255" s="9">
        <v>4</v>
      </c>
      <c r="AA255" s="9">
        <v>59</v>
      </c>
      <c r="AC255" s="9">
        <f t="shared" si="10"/>
        <v>3556</v>
      </c>
      <c r="AD255" s="9">
        <f t="shared" si="11"/>
        <v>37215</v>
      </c>
      <c r="AE255" s="10">
        <f t="shared" si="12"/>
        <v>10.465410573678291</v>
      </c>
    </row>
    <row r="256" spans="1:42" x14ac:dyDescent="0.3">
      <c r="A256" s="55"/>
      <c r="B256" s="30" t="s">
        <v>258</v>
      </c>
      <c r="C256" s="9">
        <v>2059</v>
      </c>
      <c r="D256" s="9">
        <v>873</v>
      </c>
      <c r="E256" s="9">
        <v>895</v>
      </c>
      <c r="F256" s="9">
        <v>1702</v>
      </c>
      <c r="G256" s="9">
        <v>1978</v>
      </c>
      <c r="H256" s="9">
        <v>4370</v>
      </c>
      <c r="I256" s="9">
        <v>5098</v>
      </c>
      <c r="J256" s="9">
        <v>7721</v>
      </c>
      <c r="K256" s="9">
        <v>10996</v>
      </c>
      <c r="L256" s="9">
        <v>8501</v>
      </c>
      <c r="M256" s="9">
        <v>9340</v>
      </c>
      <c r="N256" s="9">
        <v>9087</v>
      </c>
      <c r="O256" s="9">
        <v>105689</v>
      </c>
      <c r="P256" s="9">
        <v>15012</v>
      </c>
      <c r="Q256" s="9">
        <v>23017</v>
      </c>
      <c r="R256" s="9">
        <v>23198</v>
      </c>
      <c r="S256" s="9">
        <v>9525</v>
      </c>
      <c r="T256" s="9">
        <v>72781</v>
      </c>
      <c r="U256" s="9">
        <v>2733</v>
      </c>
      <c r="V256" s="9">
        <v>7161</v>
      </c>
      <c r="W256" s="9">
        <v>122</v>
      </c>
      <c r="X256" s="9">
        <v>48</v>
      </c>
      <c r="Y256" s="9">
        <v>56</v>
      </c>
      <c r="Z256" s="9">
        <v>362</v>
      </c>
      <c r="AA256" s="9">
        <v>6232</v>
      </c>
      <c r="AC256" s="9">
        <f t="shared" si="10"/>
        <v>328556</v>
      </c>
      <c r="AD256" s="9">
        <f t="shared" si="11"/>
        <v>4351136</v>
      </c>
      <c r="AE256" s="10">
        <f t="shared" si="12"/>
        <v>13.243209681150246</v>
      </c>
    </row>
    <row r="257" spans="1:31" x14ac:dyDescent="0.3">
      <c r="A257" s="55"/>
      <c r="B257" s="30" t="s">
        <v>259</v>
      </c>
      <c r="C257" s="9">
        <v>190</v>
      </c>
      <c r="D257" s="9">
        <v>98</v>
      </c>
      <c r="E257" s="9">
        <v>109</v>
      </c>
      <c r="F257" s="9">
        <v>237</v>
      </c>
      <c r="G257" s="9">
        <v>291</v>
      </c>
      <c r="H257" s="9">
        <v>603</v>
      </c>
      <c r="I257" s="9">
        <v>733</v>
      </c>
      <c r="J257" s="9">
        <v>922</v>
      </c>
      <c r="K257" s="9">
        <v>1363</v>
      </c>
      <c r="L257" s="9">
        <v>969</v>
      </c>
      <c r="M257" s="9">
        <v>905</v>
      </c>
      <c r="N257" s="9">
        <v>860</v>
      </c>
      <c r="O257" s="9">
        <v>7504</v>
      </c>
      <c r="P257" s="9">
        <v>711</v>
      </c>
      <c r="Q257" s="9">
        <v>1105</v>
      </c>
      <c r="R257" s="9">
        <v>922</v>
      </c>
      <c r="S257" s="9">
        <v>322</v>
      </c>
      <c r="T257" s="9">
        <v>2190</v>
      </c>
      <c r="U257" s="9">
        <v>53</v>
      </c>
      <c r="V257" s="9">
        <v>118</v>
      </c>
      <c r="W257" s="9">
        <v>9</v>
      </c>
      <c r="X257" s="9">
        <v>3</v>
      </c>
      <c r="Y257" s="9">
        <v>2</v>
      </c>
      <c r="Z257" s="9">
        <v>13</v>
      </c>
      <c r="AA257" s="9">
        <v>535</v>
      </c>
      <c r="AC257" s="9">
        <f t="shared" si="10"/>
        <v>20767</v>
      </c>
      <c r="AD257" s="9">
        <f t="shared" si="11"/>
        <v>241788</v>
      </c>
      <c r="AE257" s="10">
        <f t="shared" si="12"/>
        <v>11.642894977608707</v>
      </c>
    </row>
    <row r="258" spans="1:31" x14ac:dyDescent="0.3">
      <c r="A258" s="55"/>
      <c r="B258" s="30" t="s">
        <v>260</v>
      </c>
      <c r="C258" s="9">
        <v>38</v>
      </c>
      <c r="D258" s="9">
        <v>12</v>
      </c>
      <c r="E258" s="9">
        <v>26</v>
      </c>
      <c r="F258" s="9">
        <v>38</v>
      </c>
      <c r="G258" s="9">
        <v>49</v>
      </c>
      <c r="H258" s="9">
        <v>90</v>
      </c>
      <c r="I258" s="9">
        <v>66</v>
      </c>
      <c r="J258" s="9">
        <v>121</v>
      </c>
      <c r="K258" s="9">
        <v>157</v>
      </c>
      <c r="L258" s="9">
        <v>117</v>
      </c>
      <c r="M258" s="9">
        <v>119</v>
      </c>
      <c r="N258" s="9">
        <v>128</v>
      </c>
      <c r="O258" s="9">
        <v>977</v>
      </c>
      <c r="P258" s="9">
        <v>157</v>
      </c>
      <c r="Q258" s="9">
        <v>183</v>
      </c>
      <c r="R258" s="9">
        <v>168</v>
      </c>
      <c r="S258" s="9">
        <v>86</v>
      </c>
      <c r="T258" s="9">
        <v>819</v>
      </c>
      <c r="U258" s="9">
        <v>55</v>
      </c>
      <c r="V258" s="9">
        <v>140</v>
      </c>
      <c r="W258" s="9">
        <v>2</v>
      </c>
      <c r="X258" s="9">
        <v>4</v>
      </c>
      <c r="Y258" s="9">
        <v>0</v>
      </c>
      <c r="Z258" s="9">
        <v>7</v>
      </c>
      <c r="AA258" s="9">
        <v>58</v>
      </c>
      <c r="AC258" s="9">
        <f t="shared" si="10"/>
        <v>3617</v>
      </c>
      <c r="AD258" s="9">
        <f t="shared" si="11"/>
        <v>46447</v>
      </c>
      <c r="AE258" s="10">
        <f t="shared" si="12"/>
        <v>12.84130494885264</v>
      </c>
    </row>
    <row r="259" spans="1:31" x14ac:dyDescent="0.3">
      <c r="A259" s="55"/>
      <c r="B259" s="30" t="s">
        <v>261</v>
      </c>
      <c r="C259" s="9">
        <v>222</v>
      </c>
      <c r="D259" s="9">
        <v>132</v>
      </c>
      <c r="E259" s="9">
        <v>165</v>
      </c>
      <c r="F259" s="9">
        <v>318</v>
      </c>
      <c r="G259" s="9">
        <v>404</v>
      </c>
      <c r="H259" s="9">
        <v>936</v>
      </c>
      <c r="I259" s="9">
        <v>1102</v>
      </c>
      <c r="J259" s="9">
        <v>1034</v>
      </c>
      <c r="K259" s="9">
        <v>1646</v>
      </c>
      <c r="L259" s="9">
        <v>946</v>
      </c>
      <c r="M259" s="9">
        <v>1001</v>
      </c>
      <c r="N259" s="9">
        <v>963</v>
      </c>
      <c r="O259" s="9">
        <v>10155</v>
      </c>
      <c r="P259" s="9">
        <v>1163</v>
      </c>
      <c r="Q259" s="9">
        <v>2067</v>
      </c>
      <c r="R259" s="9">
        <v>1909</v>
      </c>
      <c r="S259" s="9">
        <v>627</v>
      </c>
      <c r="T259" s="9">
        <v>4499</v>
      </c>
      <c r="U259" s="9">
        <v>122</v>
      </c>
      <c r="V259" s="9">
        <v>244</v>
      </c>
      <c r="W259" s="9">
        <v>7</v>
      </c>
      <c r="X259" s="9">
        <v>1</v>
      </c>
      <c r="Y259" s="9">
        <v>3</v>
      </c>
      <c r="Z259" s="9">
        <v>13</v>
      </c>
      <c r="AA259" s="9">
        <v>485</v>
      </c>
      <c r="AC259" s="9">
        <f t="shared" si="10"/>
        <v>30164</v>
      </c>
      <c r="AD259" s="9">
        <f t="shared" si="11"/>
        <v>363912</v>
      </c>
      <c r="AE259" s="10">
        <f t="shared" si="12"/>
        <v>12.064447685983291</v>
      </c>
    </row>
    <row r="260" spans="1:31" x14ac:dyDescent="0.3">
      <c r="A260" s="55"/>
      <c r="B260" s="30" t="s">
        <v>262</v>
      </c>
      <c r="C260" s="9">
        <v>111</v>
      </c>
      <c r="D260" s="9">
        <v>68</v>
      </c>
      <c r="E260" s="9">
        <v>80</v>
      </c>
      <c r="F260" s="9">
        <v>165</v>
      </c>
      <c r="G260" s="9">
        <v>176</v>
      </c>
      <c r="H260" s="9">
        <v>403</v>
      </c>
      <c r="I260" s="9">
        <v>421</v>
      </c>
      <c r="J260" s="9">
        <v>372</v>
      </c>
      <c r="K260" s="9">
        <v>561</v>
      </c>
      <c r="L260" s="9">
        <v>310</v>
      </c>
      <c r="M260" s="9">
        <v>335</v>
      </c>
      <c r="N260" s="9">
        <v>304</v>
      </c>
      <c r="O260" s="9">
        <v>3536</v>
      </c>
      <c r="P260" s="9">
        <v>434</v>
      </c>
      <c r="Q260" s="9">
        <v>696</v>
      </c>
      <c r="R260" s="9">
        <v>611</v>
      </c>
      <c r="S260" s="9">
        <v>179</v>
      </c>
      <c r="T260" s="9">
        <v>1420</v>
      </c>
      <c r="U260" s="9">
        <v>21</v>
      </c>
      <c r="V260" s="9">
        <v>77</v>
      </c>
      <c r="W260" s="9">
        <v>5</v>
      </c>
      <c r="X260" s="9">
        <v>0</v>
      </c>
      <c r="Y260" s="9">
        <v>0</v>
      </c>
      <c r="Z260" s="9">
        <v>11</v>
      </c>
      <c r="AA260" s="9">
        <v>152</v>
      </c>
      <c r="AC260" s="9">
        <f t="shared" si="10"/>
        <v>10448</v>
      </c>
      <c r="AD260" s="9">
        <f t="shared" si="11"/>
        <v>122373</v>
      </c>
      <c r="AE260" s="10">
        <f t="shared" si="12"/>
        <v>11.712576569678408</v>
      </c>
    </row>
    <row r="261" spans="1:31" x14ac:dyDescent="0.3">
      <c r="A261" s="55"/>
      <c r="B261" s="30" t="s">
        <v>263</v>
      </c>
      <c r="C261" s="9">
        <v>295</v>
      </c>
      <c r="D261" s="9">
        <v>156</v>
      </c>
      <c r="E261" s="9">
        <v>205</v>
      </c>
      <c r="F261" s="9">
        <v>397</v>
      </c>
      <c r="G261" s="9">
        <v>392</v>
      </c>
      <c r="H261" s="9">
        <v>923</v>
      </c>
      <c r="I261" s="9">
        <v>961</v>
      </c>
      <c r="J261" s="9">
        <v>1229</v>
      </c>
      <c r="K261" s="9">
        <v>1754</v>
      </c>
      <c r="L261" s="9">
        <v>1180</v>
      </c>
      <c r="M261" s="9">
        <v>1139</v>
      </c>
      <c r="N261" s="9">
        <v>1111</v>
      </c>
      <c r="O261" s="9">
        <v>9982</v>
      </c>
      <c r="P261" s="9">
        <v>1056</v>
      </c>
      <c r="Q261" s="9">
        <v>1673</v>
      </c>
      <c r="R261" s="9">
        <v>1543</v>
      </c>
      <c r="S261" s="9">
        <v>379</v>
      </c>
      <c r="T261" s="9">
        <v>3013</v>
      </c>
      <c r="U261" s="9">
        <v>93</v>
      </c>
      <c r="V261" s="9">
        <v>163</v>
      </c>
      <c r="W261" s="9">
        <v>5</v>
      </c>
      <c r="X261" s="9">
        <v>2</v>
      </c>
      <c r="Y261" s="9">
        <v>2</v>
      </c>
      <c r="Z261" s="9">
        <v>13</v>
      </c>
      <c r="AA261" s="9">
        <v>674</v>
      </c>
      <c r="AC261" s="9">
        <f t="shared" ref="AC261:AC324" si="13">SUM(C261:AA261)</f>
        <v>28340</v>
      </c>
      <c r="AD261" s="9">
        <f t="shared" ref="AD261:AD324" si="14">C$2*C261+D$2*D261+E$2*E261+F$2*F261+G$2*G261+H$2*H261+I$2*I261+J$2*J261+K$2*K261+L$2*L261+M$2*M261+N$2*N261+O$2*O261+P$2*P261+Q$2*Q261+R$2*R261+S$2*S261+T$2*T261+U$2*U261+V$2*V261+W$2*W261+X$2*X261+Y$2*Y261+Z$2*Z261+AA$2*AA261</f>
        <v>329368</v>
      </c>
      <c r="AE261" s="10">
        <f t="shared" ref="AE261:AE324" si="15">AD261/AC261</f>
        <v>11.622018348623854</v>
      </c>
    </row>
    <row r="262" spans="1:31" x14ac:dyDescent="0.3">
      <c r="A262" s="55"/>
      <c r="B262" s="30" t="s">
        <v>264</v>
      </c>
      <c r="C262" s="9">
        <v>27</v>
      </c>
      <c r="D262" s="9">
        <v>10</v>
      </c>
      <c r="E262" s="9">
        <v>12</v>
      </c>
      <c r="F262" s="9">
        <v>17</v>
      </c>
      <c r="G262" s="9">
        <v>25</v>
      </c>
      <c r="H262" s="9">
        <v>41</v>
      </c>
      <c r="I262" s="9">
        <v>69</v>
      </c>
      <c r="J262" s="9">
        <v>93</v>
      </c>
      <c r="K262" s="9">
        <v>146</v>
      </c>
      <c r="L262" s="9">
        <v>98</v>
      </c>
      <c r="M262" s="9">
        <v>75</v>
      </c>
      <c r="N262" s="9">
        <v>57</v>
      </c>
      <c r="O262" s="9">
        <v>690</v>
      </c>
      <c r="P262" s="9">
        <v>49</v>
      </c>
      <c r="Q262" s="9">
        <v>91</v>
      </c>
      <c r="R262" s="9">
        <v>103</v>
      </c>
      <c r="S262" s="9">
        <v>15</v>
      </c>
      <c r="T262" s="9">
        <v>206</v>
      </c>
      <c r="U262" s="9">
        <v>3</v>
      </c>
      <c r="V262" s="9">
        <v>9</v>
      </c>
      <c r="W262" s="9">
        <v>0</v>
      </c>
      <c r="X262" s="9">
        <v>0</v>
      </c>
      <c r="Y262" s="9">
        <v>0</v>
      </c>
      <c r="Z262" s="9">
        <v>0</v>
      </c>
      <c r="AA262" s="9">
        <v>32</v>
      </c>
      <c r="AC262" s="9">
        <f t="shared" si="13"/>
        <v>1868</v>
      </c>
      <c r="AD262" s="9">
        <f t="shared" si="14"/>
        <v>21353</v>
      </c>
      <c r="AE262" s="10">
        <f t="shared" si="15"/>
        <v>11.430942184154176</v>
      </c>
    </row>
    <row r="263" spans="1:31" x14ac:dyDescent="0.3">
      <c r="A263" s="55"/>
      <c r="B263" s="30" t="s">
        <v>265</v>
      </c>
      <c r="C263" s="9">
        <v>192</v>
      </c>
      <c r="D263" s="9">
        <v>108</v>
      </c>
      <c r="E263" s="9">
        <v>64</v>
      </c>
      <c r="F263" s="9">
        <v>155</v>
      </c>
      <c r="G263" s="9">
        <v>428</v>
      </c>
      <c r="H263" s="9">
        <v>882</v>
      </c>
      <c r="I263" s="9">
        <v>807</v>
      </c>
      <c r="J263" s="9">
        <v>856</v>
      </c>
      <c r="K263" s="9">
        <v>1054</v>
      </c>
      <c r="L263" s="9">
        <v>533</v>
      </c>
      <c r="M263" s="9">
        <v>439</v>
      </c>
      <c r="N263" s="9">
        <v>393</v>
      </c>
      <c r="O263" s="9">
        <v>3048</v>
      </c>
      <c r="P263" s="9">
        <v>302</v>
      </c>
      <c r="Q263" s="9">
        <v>570</v>
      </c>
      <c r="R263" s="9">
        <v>388</v>
      </c>
      <c r="S263" s="9">
        <v>101</v>
      </c>
      <c r="T263" s="9">
        <v>912</v>
      </c>
      <c r="U263" s="9">
        <v>23</v>
      </c>
      <c r="V263" s="9">
        <v>27</v>
      </c>
      <c r="W263" s="9">
        <v>3</v>
      </c>
      <c r="X263" s="9">
        <v>0</v>
      </c>
      <c r="Y263" s="9">
        <v>2</v>
      </c>
      <c r="Z263" s="9">
        <v>10</v>
      </c>
      <c r="AA263" s="9">
        <v>282</v>
      </c>
      <c r="AC263" s="9">
        <f t="shared" si="13"/>
        <v>11579</v>
      </c>
      <c r="AD263" s="9">
        <f t="shared" si="14"/>
        <v>119050</v>
      </c>
      <c r="AE263" s="10">
        <f t="shared" si="15"/>
        <v>10.281544174799205</v>
      </c>
    </row>
    <row r="264" spans="1:31" x14ac:dyDescent="0.3">
      <c r="A264" s="55"/>
      <c r="B264" s="30" t="s">
        <v>266</v>
      </c>
      <c r="C264" s="9">
        <v>22</v>
      </c>
      <c r="D264" s="9">
        <v>12</v>
      </c>
      <c r="E264" s="9">
        <v>12</v>
      </c>
      <c r="F264" s="9">
        <v>43</v>
      </c>
      <c r="G264" s="9">
        <v>42</v>
      </c>
      <c r="H264" s="9">
        <v>342</v>
      </c>
      <c r="I264" s="9">
        <v>128</v>
      </c>
      <c r="J264" s="9">
        <v>146</v>
      </c>
      <c r="K264" s="9">
        <v>218</v>
      </c>
      <c r="L264" s="9">
        <v>103</v>
      </c>
      <c r="M264" s="9">
        <v>109</v>
      </c>
      <c r="N264" s="9">
        <v>95</v>
      </c>
      <c r="O264" s="9">
        <v>827</v>
      </c>
      <c r="P264" s="9">
        <v>78</v>
      </c>
      <c r="Q264" s="9">
        <v>128</v>
      </c>
      <c r="R264" s="9">
        <v>80</v>
      </c>
      <c r="S264" s="9">
        <v>14</v>
      </c>
      <c r="T264" s="9">
        <v>194</v>
      </c>
      <c r="U264" s="9">
        <v>2</v>
      </c>
      <c r="V264" s="9">
        <v>6</v>
      </c>
      <c r="W264" s="9">
        <v>1</v>
      </c>
      <c r="X264" s="9">
        <v>0</v>
      </c>
      <c r="Y264" s="9">
        <v>0</v>
      </c>
      <c r="Z264" s="9">
        <v>0</v>
      </c>
      <c r="AA264" s="9">
        <v>113</v>
      </c>
      <c r="AC264" s="9">
        <f t="shared" si="13"/>
        <v>2715</v>
      </c>
      <c r="AD264" s="9">
        <f t="shared" si="14"/>
        <v>28973</v>
      </c>
      <c r="AE264" s="10">
        <f t="shared" si="15"/>
        <v>10.671454880294659</v>
      </c>
    </row>
    <row r="265" spans="1:31" x14ac:dyDescent="0.3">
      <c r="A265" s="55"/>
      <c r="B265" s="30" t="s">
        <v>267</v>
      </c>
      <c r="C265" s="9">
        <v>45</v>
      </c>
      <c r="D265" s="9">
        <v>18</v>
      </c>
      <c r="E265" s="9">
        <v>15</v>
      </c>
      <c r="F265" s="9">
        <v>26</v>
      </c>
      <c r="G265" s="9">
        <v>43</v>
      </c>
      <c r="H265" s="9">
        <v>85</v>
      </c>
      <c r="I265" s="9">
        <v>100</v>
      </c>
      <c r="J265" s="9">
        <v>115</v>
      </c>
      <c r="K265" s="9">
        <v>156</v>
      </c>
      <c r="L265" s="9">
        <v>79</v>
      </c>
      <c r="M265" s="9">
        <v>58</v>
      </c>
      <c r="N265" s="9">
        <v>63</v>
      </c>
      <c r="O265" s="9">
        <v>554</v>
      </c>
      <c r="P265" s="9">
        <v>28</v>
      </c>
      <c r="Q265" s="9">
        <v>74</v>
      </c>
      <c r="R265" s="9">
        <v>39</v>
      </c>
      <c r="S265" s="9">
        <v>11</v>
      </c>
      <c r="T265" s="9">
        <v>120</v>
      </c>
      <c r="U265" s="9">
        <v>1</v>
      </c>
      <c r="V265" s="9">
        <v>3</v>
      </c>
      <c r="W265" s="9">
        <v>0</v>
      </c>
      <c r="X265" s="9">
        <v>0</v>
      </c>
      <c r="Y265" s="9">
        <v>0</v>
      </c>
      <c r="Z265" s="9">
        <v>2</v>
      </c>
      <c r="AA265" s="9">
        <v>54</v>
      </c>
      <c r="AC265" s="9">
        <f t="shared" si="13"/>
        <v>1689</v>
      </c>
      <c r="AD265" s="9">
        <f t="shared" si="14"/>
        <v>17626</v>
      </c>
      <c r="AE265" s="10">
        <f t="shared" si="15"/>
        <v>10.435760805210183</v>
      </c>
    </row>
    <row r="266" spans="1:31" x14ac:dyDescent="0.3">
      <c r="A266" s="55"/>
      <c r="B266" s="30" t="s">
        <v>268</v>
      </c>
      <c r="C266" s="9">
        <v>18</v>
      </c>
      <c r="D266" s="9">
        <v>17</v>
      </c>
      <c r="E266" s="9">
        <v>17</v>
      </c>
      <c r="F266" s="9">
        <v>23</v>
      </c>
      <c r="G266" s="9">
        <v>33</v>
      </c>
      <c r="H266" s="9">
        <v>64</v>
      </c>
      <c r="I266" s="9">
        <v>79</v>
      </c>
      <c r="J266" s="9">
        <v>117</v>
      </c>
      <c r="K266" s="9">
        <v>136</v>
      </c>
      <c r="L266" s="9">
        <v>123</v>
      </c>
      <c r="M266" s="9">
        <v>116</v>
      </c>
      <c r="N266" s="9">
        <v>92</v>
      </c>
      <c r="O266" s="9">
        <v>797</v>
      </c>
      <c r="P266" s="9">
        <v>70</v>
      </c>
      <c r="Q266" s="9">
        <v>140</v>
      </c>
      <c r="R266" s="9">
        <v>122</v>
      </c>
      <c r="S266" s="9">
        <v>31</v>
      </c>
      <c r="T266" s="9">
        <v>257</v>
      </c>
      <c r="U266" s="9">
        <v>5</v>
      </c>
      <c r="V266" s="9">
        <v>14</v>
      </c>
      <c r="W266" s="9">
        <v>1</v>
      </c>
      <c r="X266" s="9">
        <v>1</v>
      </c>
      <c r="Y266" s="9">
        <v>0</v>
      </c>
      <c r="Z266" s="9">
        <v>0</v>
      </c>
      <c r="AA266" s="9">
        <v>49</v>
      </c>
      <c r="AC266" s="9">
        <f t="shared" si="13"/>
        <v>2322</v>
      </c>
      <c r="AD266" s="9">
        <f t="shared" si="14"/>
        <v>26934</v>
      </c>
      <c r="AE266" s="10">
        <f t="shared" si="15"/>
        <v>11.599483204134367</v>
      </c>
    </row>
    <row r="267" spans="1:31" x14ac:dyDescent="0.3">
      <c r="A267" s="55"/>
      <c r="B267" s="30" t="s">
        <v>269</v>
      </c>
      <c r="C267" s="9">
        <v>49</v>
      </c>
      <c r="D267" s="9">
        <v>30</v>
      </c>
      <c r="E267" s="9">
        <v>37</v>
      </c>
      <c r="F267" s="9">
        <v>57</v>
      </c>
      <c r="G267" s="9">
        <v>54</v>
      </c>
      <c r="H267" s="9">
        <v>125</v>
      </c>
      <c r="I267" s="9">
        <v>140</v>
      </c>
      <c r="J267" s="9">
        <v>144</v>
      </c>
      <c r="K267" s="9">
        <v>191</v>
      </c>
      <c r="L267" s="9">
        <v>113</v>
      </c>
      <c r="M267" s="9">
        <v>122</v>
      </c>
      <c r="N267" s="9">
        <v>134</v>
      </c>
      <c r="O267" s="9">
        <v>1150</v>
      </c>
      <c r="P267" s="9">
        <v>90</v>
      </c>
      <c r="Q267" s="9">
        <v>174</v>
      </c>
      <c r="R267" s="9">
        <v>148</v>
      </c>
      <c r="S267" s="9">
        <v>61</v>
      </c>
      <c r="T267" s="9">
        <v>483</v>
      </c>
      <c r="U267" s="9">
        <v>12</v>
      </c>
      <c r="V267" s="9">
        <v>17</v>
      </c>
      <c r="W267" s="9">
        <v>0</v>
      </c>
      <c r="X267" s="9">
        <v>1</v>
      </c>
      <c r="Y267" s="9">
        <v>1</v>
      </c>
      <c r="Z267" s="9">
        <v>3</v>
      </c>
      <c r="AA267" s="9">
        <v>54</v>
      </c>
      <c r="AC267" s="9">
        <f t="shared" si="13"/>
        <v>3390</v>
      </c>
      <c r="AD267" s="9">
        <f t="shared" si="14"/>
        <v>38963</v>
      </c>
      <c r="AE267" s="10">
        <f t="shared" si="15"/>
        <v>11.493510324483776</v>
      </c>
    </row>
    <row r="268" spans="1:31" x14ac:dyDescent="0.3">
      <c r="A268" s="55"/>
      <c r="B268" s="30" t="s">
        <v>270</v>
      </c>
      <c r="C268" s="9">
        <v>135</v>
      </c>
      <c r="D268" s="9">
        <v>90</v>
      </c>
      <c r="E268" s="9">
        <v>110</v>
      </c>
      <c r="F268" s="9">
        <v>218</v>
      </c>
      <c r="G268" s="9">
        <v>207</v>
      </c>
      <c r="H268" s="9">
        <v>473</v>
      </c>
      <c r="I268" s="9">
        <v>471</v>
      </c>
      <c r="J268" s="9">
        <v>533</v>
      </c>
      <c r="K268" s="9">
        <v>651</v>
      </c>
      <c r="L268" s="9">
        <v>385</v>
      </c>
      <c r="M268" s="9">
        <v>374</v>
      </c>
      <c r="N268" s="9">
        <v>391</v>
      </c>
      <c r="O268" s="9">
        <v>3617</v>
      </c>
      <c r="P268" s="9">
        <v>355</v>
      </c>
      <c r="Q268" s="9">
        <v>575</v>
      </c>
      <c r="R268" s="9">
        <v>784</v>
      </c>
      <c r="S268" s="9">
        <v>179</v>
      </c>
      <c r="T268" s="9">
        <v>1819</v>
      </c>
      <c r="U268" s="9">
        <v>53</v>
      </c>
      <c r="V268" s="9">
        <v>92</v>
      </c>
      <c r="W268" s="9">
        <v>0</v>
      </c>
      <c r="X268" s="9">
        <v>0</v>
      </c>
      <c r="Y268" s="9">
        <v>0</v>
      </c>
      <c r="Z268" s="9">
        <v>3</v>
      </c>
      <c r="AA268" s="9">
        <v>167</v>
      </c>
      <c r="AC268" s="9">
        <f t="shared" si="13"/>
        <v>11682</v>
      </c>
      <c r="AD268" s="9">
        <f t="shared" si="14"/>
        <v>135823</v>
      </c>
      <c r="AE268" s="10">
        <f t="shared" si="15"/>
        <v>11.626690635165211</v>
      </c>
    </row>
    <row r="269" spans="1:31" x14ac:dyDescent="0.3">
      <c r="A269" s="55"/>
      <c r="B269" s="30" t="s">
        <v>271</v>
      </c>
      <c r="C269" s="9">
        <v>17</v>
      </c>
      <c r="D269" s="9">
        <v>15</v>
      </c>
      <c r="E269" s="9">
        <v>16</v>
      </c>
      <c r="F269" s="9">
        <v>29</v>
      </c>
      <c r="G269" s="9">
        <v>33</v>
      </c>
      <c r="H269" s="9">
        <v>66</v>
      </c>
      <c r="I269" s="9">
        <v>62</v>
      </c>
      <c r="J269" s="9">
        <v>93</v>
      </c>
      <c r="K269" s="9">
        <v>121</v>
      </c>
      <c r="L269" s="9">
        <v>67</v>
      </c>
      <c r="M269" s="9">
        <v>51</v>
      </c>
      <c r="N269" s="9">
        <v>55</v>
      </c>
      <c r="O269" s="9">
        <v>616</v>
      </c>
      <c r="P269" s="9">
        <v>63</v>
      </c>
      <c r="Q269" s="9">
        <v>90</v>
      </c>
      <c r="R269" s="9">
        <v>98</v>
      </c>
      <c r="S269" s="9">
        <v>19</v>
      </c>
      <c r="T269" s="9">
        <v>263</v>
      </c>
      <c r="U269" s="9">
        <v>4</v>
      </c>
      <c r="V269" s="9">
        <v>9</v>
      </c>
      <c r="W269" s="9">
        <v>0</v>
      </c>
      <c r="X269" s="9">
        <v>0</v>
      </c>
      <c r="Y269" s="9">
        <v>0</v>
      </c>
      <c r="Z269" s="9">
        <v>2</v>
      </c>
      <c r="AA269" s="9">
        <v>23</v>
      </c>
      <c r="AC269" s="9">
        <f t="shared" si="13"/>
        <v>1812</v>
      </c>
      <c r="AD269" s="9">
        <f t="shared" si="14"/>
        <v>20862</v>
      </c>
      <c r="AE269" s="10">
        <f t="shared" si="15"/>
        <v>11.513245033112582</v>
      </c>
    </row>
    <row r="270" spans="1:31" x14ac:dyDescent="0.3">
      <c r="A270" s="55"/>
      <c r="B270" s="30" t="s">
        <v>272</v>
      </c>
      <c r="C270" s="9">
        <v>464</v>
      </c>
      <c r="D270" s="9">
        <v>33</v>
      </c>
      <c r="E270" s="9">
        <v>24</v>
      </c>
      <c r="F270" s="9">
        <v>117</v>
      </c>
      <c r="G270" s="9">
        <v>284</v>
      </c>
      <c r="H270" s="9">
        <v>741</v>
      </c>
      <c r="I270" s="9">
        <v>360</v>
      </c>
      <c r="J270" s="9">
        <v>465</v>
      </c>
      <c r="K270" s="9">
        <v>560</v>
      </c>
      <c r="L270" s="9">
        <v>228</v>
      </c>
      <c r="M270" s="9">
        <v>240</v>
      </c>
      <c r="N270" s="9">
        <v>215</v>
      </c>
      <c r="O270" s="9">
        <v>1898</v>
      </c>
      <c r="P270" s="9">
        <v>128</v>
      </c>
      <c r="Q270" s="9">
        <v>250</v>
      </c>
      <c r="R270" s="9">
        <v>265</v>
      </c>
      <c r="S270" s="9">
        <v>35</v>
      </c>
      <c r="T270" s="9">
        <v>411</v>
      </c>
      <c r="U270" s="9">
        <v>9</v>
      </c>
      <c r="V270" s="9">
        <v>16</v>
      </c>
      <c r="W270" s="9">
        <v>0</v>
      </c>
      <c r="X270" s="9">
        <v>0</v>
      </c>
      <c r="Y270" s="9">
        <v>0</v>
      </c>
      <c r="Z270" s="9">
        <v>0</v>
      </c>
      <c r="AA270" s="9">
        <v>216</v>
      </c>
      <c r="AC270" s="9">
        <f t="shared" si="13"/>
        <v>6959</v>
      </c>
      <c r="AD270" s="9">
        <f t="shared" si="14"/>
        <v>67097</v>
      </c>
      <c r="AE270" s="10">
        <f t="shared" si="15"/>
        <v>9.6417588734013506</v>
      </c>
    </row>
    <row r="271" spans="1:31" x14ac:dyDescent="0.3">
      <c r="A271" s="55"/>
      <c r="B271" s="30" t="s">
        <v>273</v>
      </c>
      <c r="C271" s="9">
        <v>299</v>
      </c>
      <c r="D271" s="9">
        <v>94</v>
      </c>
      <c r="E271" s="9">
        <v>55</v>
      </c>
      <c r="F271" s="9">
        <v>122</v>
      </c>
      <c r="G271" s="9">
        <v>383</v>
      </c>
      <c r="H271" s="9">
        <v>1416</v>
      </c>
      <c r="I271" s="9">
        <v>760</v>
      </c>
      <c r="J271" s="9">
        <v>1174</v>
      </c>
      <c r="K271" s="9">
        <v>599</v>
      </c>
      <c r="L271" s="9">
        <v>268</v>
      </c>
      <c r="M271" s="9">
        <v>298</v>
      </c>
      <c r="N271" s="9">
        <v>231</v>
      </c>
      <c r="O271" s="9">
        <v>2236</v>
      </c>
      <c r="P271" s="9">
        <v>188</v>
      </c>
      <c r="Q271" s="9">
        <v>278</v>
      </c>
      <c r="R271" s="9">
        <v>351</v>
      </c>
      <c r="S271" s="9">
        <v>62</v>
      </c>
      <c r="T271" s="9">
        <v>537</v>
      </c>
      <c r="U271" s="9">
        <v>19</v>
      </c>
      <c r="V271" s="9">
        <v>22</v>
      </c>
      <c r="W271" s="9">
        <v>1</v>
      </c>
      <c r="X271" s="9">
        <v>0</v>
      </c>
      <c r="Y271" s="9">
        <v>1</v>
      </c>
      <c r="Z271" s="9">
        <v>4</v>
      </c>
      <c r="AA271" s="9">
        <v>266</v>
      </c>
      <c r="AC271" s="9">
        <f t="shared" si="13"/>
        <v>9664</v>
      </c>
      <c r="AD271" s="9">
        <f t="shared" si="14"/>
        <v>90517</v>
      </c>
      <c r="AE271" s="10">
        <f t="shared" si="15"/>
        <v>9.3664114238410594</v>
      </c>
    </row>
    <row r="272" spans="1:31" x14ac:dyDescent="0.3">
      <c r="A272" s="55"/>
      <c r="B272" s="30" t="s">
        <v>274</v>
      </c>
      <c r="C272" s="9">
        <v>24</v>
      </c>
      <c r="D272" s="9">
        <v>12</v>
      </c>
      <c r="E272" s="9">
        <v>12</v>
      </c>
      <c r="F272" s="9">
        <v>20</v>
      </c>
      <c r="G272" s="9">
        <v>27</v>
      </c>
      <c r="H272" s="9">
        <v>113</v>
      </c>
      <c r="I272" s="9">
        <v>160</v>
      </c>
      <c r="J272" s="9">
        <v>109</v>
      </c>
      <c r="K272" s="9">
        <v>165</v>
      </c>
      <c r="L272" s="9">
        <v>131</v>
      </c>
      <c r="M272" s="9">
        <v>132</v>
      </c>
      <c r="N272" s="9">
        <v>119</v>
      </c>
      <c r="O272" s="9">
        <v>1073</v>
      </c>
      <c r="P272" s="9">
        <v>89</v>
      </c>
      <c r="Q272" s="9">
        <v>138</v>
      </c>
      <c r="R272" s="9">
        <v>160</v>
      </c>
      <c r="S272" s="9">
        <v>15</v>
      </c>
      <c r="T272" s="9">
        <v>341</v>
      </c>
      <c r="U272" s="9">
        <v>8</v>
      </c>
      <c r="V272" s="9">
        <v>13</v>
      </c>
      <c r="W272" s="9">
        <v>0</v>
      </c>
      <c r="X272" s="9">
        <v>0</v>
      </c>
      <c r="Y272" s="9">
        <v>0</v>
      </c>
      <c r="Z272" s="9">
        <v>0</v>
      </c>
      <c r="AA272" s="9">
        <v>50</v>
      </c>
      <c r="AC272" s="9">
        <f t="shared" si="13"/>
        <v>2911</v>
      </c>
      <c r="AD272" s="9">
        <f t="shared" si="14"/>
        <v>33613</v>
      </c>
      <c r="AE272" s="10">
        <f t="shared" si="15"/>
        <v>11.546891102713843</v>
      </c>
    </row>
    <row r="273" spans="1:31" x14ac:dyDescent="0.3">
      <c r="A273" s="55"/>
      <c r="B273" s="30" t="s">
        <v>275</v>
      </c>
      <c r="C273" s="9">
        <v>32</v>
      </c>
      <c r="D273" s="9">
        <v>16</v>
      </c>
      <c r="E273" s="9">
        <v>14</v>
      </c>
      <c r="F273" s="9">
        <v>31</v>
      </c>
      <c r="G273" s="9">
        <v>38</v>
      </c>
      <c r="H273" s="9">
        <v>79</v>
      </c>
      <c r="I273" s="9">
        <v>89</v>
      </c>
      <c r="J273" s="9">
        <v>118</v>
      </c>
      <c r="K273" s="9">
        <v>193</v>
      </c>
      <c r="L273" s="9">
        <v>151</v>
      </c>
      <c r="M273" s="9">
        <v>135</v>
      </c>
      <c r="N273" s="9">
        <v>128</v>
      </c>
      <c r="O273" s="9">
        <v>1116</v>
      </c>
      <c r="P273" s="9">
        <v>167</v>
      </c>
      <c r="Q273" s="9">
        <v>213</v>
      </c>
      <c r="R273" s="9">
        <v>335</v>
      </c>
      <c r="S273" s="9">
        <v>62</v>
      </c>
      <c r="T273" s="9">
        <v>670</v>
      </c>
      <c r="U273" s="9">
        <v>9</v>
      </c>
      <c r="V273" s="9">
        <v>16</v>
      </c>
      <c r="W273" s="9">
        <v>1</v>
      </c>
      <c r="X273" s="9">
        <v>1</v>
      </c>
      <c r="Y273" s="9">
        <v>1</v>
      </c>
      <c r="Z273" s="9">
        <v>2</v>
      </c>
      <c r="AA273" s="9">
        <v>76</v>
      </c>
      <c r="AC273" s="9">
        <f t="shared" si="13"/>
        <v>3693</v>
      </c>
      <c r="AD273" s="9">
        <f t="shared" si="14"/>
        <v>46056</v>
      </c>
      <c r="AE273" s="10">
        <f t="shared" si="15"/>
        <v>12.471161657189278</v>
      </c>
    </row>
    <row r="274" spans="1:31" x14ac:dyDescent="0.3">
      <c r="A274" s="55"/>
      <c r="B274" s="30" t="s">
        <v>276</v>
      </c>
      <c r="C274" s="9">
        <v>31</v>
      </c>
      <c r="D274" s="9">
        <v>26</v>
      </c>
      <c r="E274" s="9">
        <v>33</v>
      </c>
      <c r="F274" s="9">
        <v>67</v>
      </c>
      <c r="G274" s="9">
        <v>63</v>
      </c>
      <c r="H274" s="9">
        <v>125</v>
      </c>
      <c r="I274" s="9">
        <v>165</v>
      </c>
      <c r="J274" s="9">
        <v>143</v>
      </c>
      <c r="K274" s="9">
        <v>232</v>
      </c>
      <c r="L274" s="9">
        <v>134</v>
      </c>
      <c r="M274" s="9">
        <v>125</v>
      </c>
      <c r="N274" s="9">
        <v>112</v>
      </c>
      <c r="O274" s="9">
        <v>859</v>
      </c>
      <c r="P274" s="9">
        <v>96</v>
      </c>
      <c r="Q274" s="9">
        <v>154</v>
      </c>
      <c r="R274" s="9">
        <v>144</v>
      </c>
      <c r="S274" s="9">
        <v>28</v>
      </c>
      <c r="T274" s="9">
        <v>301</v>
      </c>
      <c r="U274" s="9">
        <v>11</v>
      </c>
      <c r="V274" s="9">
        <v>15</v>
      </c>
      <c r="W274" s="9">
        <v>1</v>
      </c>
      <c r="X274" s="9">
        <v>0</v>
      </c>
      <c r="Y274" s="9">
        <v>0</v>
      </c>
      <c r="Z274" s="9">
        <v>1</v>
      </c>
      <c r="AA274" s="9">
        <v>50</v>
      </c>
      <c r="AC274" s="9">
        <f t="shared" si="13"/>
        <v>2916</v>
      </c>
      <c r="AD274" s="9">
        <f t="shared" si="14"/>
        <v>31868</v>
      </c>
      <c r="AE274" s="10">
        <f t="shared" si="15"/>
        <v>10.928669410150892</v>
      </c>
    </row>
    <row r="275" spans="1:31" x14ac:dyDescent="0.3">
      <c r="A275" s="55"/>
      <c r="B275" s="30" t="s">
        <v>277</v>
      </c>
      <c r="C275" s="9">
        <v>13</v>
      </c>
      <c r="D275" s="9">
        <v>6</v>
      </c>
      <c r="E275" s="9">
        <v>3</v>
      </c>
      <c r="F275" s="9">
        <v>8</v>
      </c>
      <c r="G275" s="9">
        <v>7</v>
      </c>
      <c r="H275" s="9">
        <v>30</v>
      </c>
      <c r="I275" s="9">
        <v>40</v>
      </c>
      <c r="J275" s="9">
        <v>62</v>
      </c>
      <c r="K275" s="9">
        <v>80</v>
      </c>
      <c r="L275" s="9">
        <v>54</v>
      </c>
      <c r="M275" s="9">
        <v>72</v>
      </c>
      <c r="N275" s="9">
        <v>48</v>
      </c>
      <c r="O275" s="9">
        <v>421</v>
      </c>
      <c r="P275" s="9">
        <v>28</v>
      </c>
      <c r="Q275" s="9">
        <v>53</v>
      </c>
      <c r="R275" s="9">
        <v>33</v>
      </c>
      <c r="S275" s="9">
        <v>5</v>
      </c>
      <c r="T275" s="9">
        <v>70</v>
      </c>
      <c r="U275" s="9">
        <v>1</v>
      </c>
      <c r="V275" s="9">
        <v>4</v>
      </c>
      <c r="W275" s="9">
        <v>0</v>
      </c>
      <c r="X275" s="9">
        <v>0</v>
      </c>
      <c r="Y275" s="9">
        <v>0</v>
      </c>
      <c r="Z275" s="9">
        <v>0</v>
      </c>
      <c r="AA275" s="9">
        <v>23</v>
      </c>
      <c r="AC275" s="9">
        <f t="shared" si="13"/>
        <v>1061</v>
      </c>
      <c r="AD275" s="9">
        <f t="shared" si="14"/>
        <v>11831</v>
      </c>
      <c r="AE275" s="10">
        <f t="shared" si="15"/>
        <v>11.150801131008482</v>
      </c>
    </row>
    <row r="276" spans="1:31" x14ac:dyDescent="0.3">
      <c r="A276" s="55"/>
      <c r="B276" s="30" t="s">
        <v>278</v>
      </c>
      <c r="C276" s="9">
        <v>13</v>
      </c>
      <c r="D276" s="9">
        <v>1</v>
      </c>
      <c r="E276" s="9">
        <v>7</v>
      </c>
      <c r="F276" s="9">
        <v>13</v>
      </c>
      <c r="G276" s="9">
        <v>13</v>
      </c>
      <c r="H276" s="9">
        <v>46</v>
      </c>
      <c r="I276" s="9">
        <v>38</v>
      </c>
      <c r="J276" s="9">
        <v>55</v>
      </c>
      <c r="K276" s="9">
        <v>86</v>
      </c>
      <c r="L276" s="9">
        <v>44</v>
      </c>
      <c r="M276" s="9">
        <v>46</v>
      </c>
      <c r="N276" s="9">
        <v>41</v>
      </c>
      <c r="O276" s="9">
        <v>326</v>
      </c>
      <c r="P276" s="9">
        <v>19</v>
      </c>
      <c r="Q276" s="9">
        <v>43</v>
      </c>
      <c r="R276" s="9">
        <v>45</v>
      </c>
      <c r="S276" s="9">
        <v>11</v>
      </c>
      <c r="T276" s="9">
        <v>109</v>
      </c>
      <c r="U276" s="9">
        <v>0</v>
      </c>
      <c r="V276" s="9">
        <v>7</v>
      </c>
      <c r="W276" s="9">
        <v>0</v>
      </c>
      <c r="X276" s="9">
        <v>0</v>
      </c>
      <c r="Y276" s="9">
        <v>0</v>
      </c>
      <c r="Z276" s="9">
        <v>0</v>
      </c>
      <c r="AA276" s="9">
        <v>27</v>
      </c>
      <c r="AC276" s="9">
        <f t="shared" si="13"/>
        <v>990</v>
      </c>
      <c r="AD276" s="9">
        <f t="shared" si="14"/>
        <v>11190</v>
      </c>
      <c r="AE276" s="10">
        <f t="shared" si="15"/>
        <v>11.303030303030303</v>
      </c>
    </row>
    <row r="277" spans="1:31" x14ac:dyDescent="0.3">
      <c r="A277" s="55"/>
      <c r="B277" s="30" t="s">
        <v>279</v>
      </c>
      <c r="C277" s="9">
        <v>347</v>
      </c>
      <c r="D277" s="9">
        <v>71</v>
      </c>
      <c r="E277" s="9">
        <v>69</v>
      </c>
      <c r="F277" s="9">
        <v>120</v>
      </c>
      <c r="G277" s="9">
        <v>232</v>
      </c>
      <c r="H277" s="9">
        <v>338</v>
      </c>
      <c r="I277" s="9">
        <v>487</v>
      </c>
      <c r="J277" s="9">
        <v>358</v>
      </c>
      <c r="K277" s="9">
        <v>498</v>
      </c>
      <c r="L277" s="9">
        <v>196</v>
      </c>
      <c r="M277" s="9">
        <v>216</v>
      </c>
      <c r="N277" s="9">
        <v>196</v>
      </c>
      <c r="O277" s="9">
        <v>1557</v>
      </c>
      <c r="P277" s="9">
        <v>120</v>
      </c>
      <c r="Q277" s="9">
        <v>175</v>
      </c>
      <c r="R277" s="9">
        <v>191</v>
      </c>
      <c r="S277" s="9">
        <v>49</v>
      </c>
      <c r="T277" s="9">
        <v>388</v>
      </c>
      <c r="U277" s="9">
        <v>11</v>
      </c>
      <c r="V277" s="9">
        <v>22</v>
      </c>
      <c r="W277" s="9">
        <v>2</v>
      </c>
      <c r="X277" s="9">
        <v>0</v>
      </c>
      <c r="Y277" s="9">
        <v>1</v>
      </c>
      <c r="Z277" s="9">
        <v>2</v>
      </c>
      <c r="AA277" s="9">
        <v>310</v>
      </c>
      <c r="AC277" s="9">
        <f t="shared" si="13"/>
        <v>5956</v>
      </c>
      <c r="AD277" s="9">
        <f t="shared" si="14"/>
        <v>59782</v>
      </c>
      <c r="AE277" s="10">
        <f t="shared" si="15"/>
        <v>10.03727333781061</v>
      </c>
    </row>
    <row r="278" spans="1:31" x14ac:dyDescent="0.3">
      <c r="A278" s="55"/>
      <c r="B278" s="30" t="s">
        <v>280</v>
      </c>
      <c r="C278" s="9">
        <v>326</v>
      </c>
      <c r="D278" s="9">
        <v>64</v>
      </c>
      <c r="E278" s="9">
        <v>82</v>
      </c>
      <c r="F278" s="9">
        <v>143</v>
      </c>
      <c r="G278" s="9">
        <v>166</v>
      </c>
      <c r="H278" s="9">
        <v>428</v>
      </c>
      <c r="I278" s="9">
        <v>551</v>
      </c>
      <c r="J278" s="9">
        <v>431</v>
      </c>
      <c r="K278" s="9">
        <v>415</v>
      </c>
      <c r="L278" s="9">
        <v>184</v>
      </c>
      <c r="M278" s="9">
        <v>140</v>
      </c>
      <c r="N278" s="9">
        <v>165</v>
      </c>
      <c r="O278" s="9">
        <v>1473</v>
      </c>
      <c r="P278" s="9">
        <v>122</v>
      </c>
      <c r="Q278" s="9">
        <v>180</v>
      </c>
      <c r="R278" s="9">
        <v>210</v>
      </c>
      <c r="S278" s="9">
        <v>29</v>
      </c>
      <c r="T278" s="9">
        <v>422</v>
      </c>
      <c r="U278" s="9">
        <v>15</v>
      </c>
      <c r="V278" s="9">
        <v>25</v>
      </c>
      <c r="W278" s="9">
        <v>0</v>
      </c>
      <c r="X278" s="9">
        <v>0</v>
      </c>
      <c r="Y278" s="9">
        <v>0</v>
      </c>
      <c r="Z278" s="9">
        <v>1</v>
      </c>
      <c r="AA278" s="9">
        <v>159</v>
      </c>
      <c r="AC278" s="9">
        <f t="shared" si="13"/>
        <v>5731</v>
      </c>
      <c r="AD278" s="9">
        <f t="shared" si="14"/>
        <v>55129</v>
      </c>
      <c r="AE278" s="10">
        <f t="shared" si="15"/>
        <v>9.6194381434304663</v>
      </c>
    </row>
    <row r="279" spans="1:31" x14ac:dyDescent="0.3">
      <c r="A279" s="55"/>
      <c r="B279" s="30" t="s">
        <v>281</v>
      </c>
      <c r="C279" s="9">
        <v>7</v>
      </c>
      <c r="D279" s="9">
        <v>4</v>
      </c>
      <c r="E279" s="9">
        <v>4</v>
      </c>
      <c r="F279" s="9">
        <v>19</v>
      </c>
      <c r="G279" s="9">
        <v>12</v>
      </c>
      <c r="H279" s="9">
        <v>26</v>
      </c>
      <c r="I279" s="9">
        <v>21</v>
      </c>
      <c r="J279" s="9">
        <v>37</v>
      </c>
      <c r="K279" s="9">
        <v>53</v>
      </c>
      <c r="L279" s="9">
        <v>32</v>
      </c>
      <c r="M279" s="9">
        <v>34</v>
      </c>
      <c r="N279" s="9">
        <v>37</v>
      </c>
      <c r="O279" s="9">
        <v>307</v>
      </c>
      <c r="P279" s="9">
        <v>14</v>
      </c>
      <c r="Q279" s="9">
        <v>55</v>
      </c>
      <c r="R279" s="9">
        <v>97</v>
      </c>
      <c r="S279" s="9">
        <v>15</v>
      </c>
      <c r="T279" s="9">
        <v>136</v>
      </c>
      <c r="U279" s="9">
        <v>0</v>
      </c>
      <c r="V279" s="9">
        <v>5</v>
      </c>
      <c r="W279" s="9">
        <v>0</v>
      </c>
      <c r="X279" s="9">
        <v>0</v>
      </c>
      <c r="Y279" s="9">
        <v>0</v>
      </c>
      <c r="Z279" s="9">
        <v>0</v>
      </c>
      <c r="AA279" s="9">
        <v>38</v>
      </c>
      <c r="AC279" s="9">
        <f t="shared" si="13"/>
        <v>953</v>
      </c>
      <c r="AD279" s="9">
        <f t="shared" si="14"/>
        <v>11741</v>
      </c>
      <c r="AE279" s="10">
        <f t="shared" si="15"/>
        <v>12.320041972717734</v>
      </c>
    </row>
    <row r="280" spans="1:31" x14ac:dyDescent="0.3">
      <c r="A280" s="55"/>
      <c r="B280" s="30" t="s">
        <v>282</v>
      </c>
      <c r="C280" s="9">
        <v>25</v>
      </c>
      <c r="D280" s="9">
        <v>12</v>
      </c>
      <c r="E280" s="9">
        <v>15</v>
      </c>
      <c r="F280" s="9">
        <v>27</v>
      </c>
      <c r="G280" s="9">
        <v>22</v>
      </c>
      <c r="H280" s="9">
        <v>54</v>
      </c>
      <c r="I280" s="9">
        <v>125</v>
      </c>
      <c r="J280" s="9">
        <v>109</v>
      </c>
      <c r="K280" s="9">
        <v>181</v>
      </c>
      <c r="L280" s="9">
        <v>123</v>
      </c>
      <c r="M280" s="9">
        <v>81</v>
      </c>
      <c r="N280" s="9">
        <v>82</v>
      </c>
      <c r="O280" s="9">
        <v>851</v>
      </c>
      <c r="P280" s="9">
        <v>39</v>
      </c>
      <c r="Q280" s="9">
        <v>81</v>
      </c>
      <c r="R280" s="9">
        <v>68</v>
      </c>
      <c r="S280" s="9">
        <v>17</v>
      </c>
      <c r="T280" s="9">
        <v>153</v>
      </c>
      <c r="U280" s="9">
        <v>3</v>
      </c>
      <c r="V280" s="9">
        <v>4</v>
      </c>
      <c r="W280" s="9">
        <v>2</v>
      </c>
      <c r="X280" s="9">
        <v>0</v>
      </c>
      <c r="Y280" s="9">
        <v>0</v>
      </c>
      <c r="Z280" s="9">
        <v>0</v>
      </c>
      <c r="AA280" s="9">
        <v>101</v>
      </c>
      <c r="AC280" s="9">
        <f t="shared" si="13"/>
        <v>2175</v>
      </c>
      <c r="AD280" s="9">
        <f t="shared" si="14"/>
        <v>24601</v>
      </c>
      <c r="AE280" s="10">
        <f t="shared" si="15"/>
        <v>11.31080459770115</v>
      </c>
    </row>
    <row r="281" spans="1:31" x14ac:dyDescent="0.3">
      <c r="A281" s="55"/>
      <c r="B281" s="30" t="s">
        <v>283</v>
      </c>
      <c r="C281" s="9">
        <v>35</v>
      </c>
      <c r="D281" s="9">
        <v>23</v>
      </c>
      <c r="E281" s="9">
        <v>12</v>
      </c>
      <c r="F281" s="9">
        <v>26</v>
      </c>
      <c r="G281" s="9">
        <v>23</v>
      </c>
      <c r="H281" s="9">
        <v>64</v>
      </c>
      <c r="I281" s="9">
        <v>77</v>
      </c>
      <c r="J281" s="9">
        <v>96</v>
      </c>
      <c r="K281" s="9">
        <v>180</v>
      </c>
      <c r="L281" s="9">
        <v>125</v>
      </c>
      <c r="M281" s="9">
        <v>117</v>
      </c>
      <c r="N281" s="9">
        <v>138</v>
      </c>
      <c r="O281" s="9">
        <v>1685</v>
      </c>
      <c r="P281" s="9">
        <v>240</v>
      </c>
      <c r="Q281" s="9">
        <v>359</v>
      </c>
      <c r="R281" s="9">
        <v>437</v>
      </c>
      <c r="S281" s="9">
        <v>186</v>
      </c>
      <c r="T281" s="9">
        <v>1363</v>
      </c>
      <c r="U281" s="9">
        <v>31</v>
      </c>
      <c r="V281" s="9">
        <v>46</v>
      </c>
      <c r="W281" s="9">
        <v>0</v>
      </c>
      <c r="X281" s="9">
        <v>0</v>
      </c>
      <c r="Y281" s="9">
        <v>2</v>
      </c>
      <c r="Z281" s="9">
        <v>2</v>
      </c>
      <c r="AA281" s="9">
        <v>88</v>
      </c>
      <c r="AC281" s="9">
        <f t="shared" si="13"/>
        <v>5355</v>
      </c>
      <c r="AD281" s="9">
        <f t="shared" si="14"/>
        <v>71626</v>
      </c>
      <c r="AE281" s="10">
        <f t="shared" si="15"/>
        <v>13.375536881419235</v>
      </c>
    </row>
    <row r="282" spans="1:31" x14ac:dyDescent="0.3">
      <c r="A282" s="55"/>
      <c r="B282" s="30" t="s">
        <v>284</v>
      </c>
      <c r="C282" s="9">
        <v>135</v>
      </c>
      <c r="D282" s="9">
        <v>2</v>
      </c>
      <c r="E282" s="9">
        <v>3</v>
      </c>
      <c r="F282" s="9">
        <v>9</v>
      </c>
      <c r="G282" s="9">
        <v>9</v>
      </c>
      <c r="H282" s="9">
        <v>28</v>
      </c>
      <c r="I282" s="9">
        <v>47</v>
      </c>
      <c r="J282" s="9">
        <v>43</v>
      </c>
      <c r="K282" s="9">
        <v>35</v>
      </c>
      <c r="L282" s="9">
        <v>23</v>
      </c>
      <c r="M282" s="9">
        <v>35</v>
      </c>
      <c r="N282" s="9">
        <v>32</v>
      </c>
      <c r="O282" s="9">
        <v>273</v>
      </c>
      <c r="P282" s="9">
        <v>17</v>
      </c>
      <c r="Q282" s="9">
        <v>37</v>
      </c>
      <c r="R282" s="9">
        <v>43</v>
      </c>
      <c r="S282" s="9">
        <v>10</v>
      </c>
      <c r="T282" s="9">
        <v>104</v>
      </c>
      <c r="U282" s="9">
        <v>2</v>
      </c>
      <c r="V282" s="9">
        <v>2</v>
      </c>
      <c r="W282" s="9">
        <v>0</v>
      </c>
      <c r="X282" s="9">
        <v>0</v>
      </c>
      <c r="Y282" s="9">
        <v>0</v>
      </c>
      <c r="Z282" s="9">
        <v>0</v>
      </c>
      <c r="AA282" s="9">
        <v>32</v>
      </c>
      <c r="AC282" s="9">
        <f t="shared" si="13"/>
        <v>921</v>
      </c>
      <c r="AD282" s="9">
        <f t="shared" si="14"/>
        <v>9413</v>
      </c>
      <c r="AE282" s="10">
        <f t="shared" si="15"/>
        <v>10.220412595005429</v>
      </c>
    </row>
    <row r="283" spans="1:31" x14ac:dyDescent="0.3">
      <c r="A283" s="55"/>
      <c r="B283" s="30" t="s">
        <v>285</v>
      </c>
      <c r="C283" s="9">
        <v>29</v>
      </c>
      <c r="D283" s="9">
        <v>21</v>
      </c>
      <c r="E283" s="9">
        <v>16</v>
      </c>
      <c r="F283" s="9">
        <v>37</v>
      </c>
      <c r="G283" s="9">
        <v>29</v>
      </c>
      <c r="H283" s="9">
        <v>76</v>
      </c>
      <c r="I283" s="9">
        <v>80</v>
      </c>
      <c r="J283" s="9">
        <v>85</v>
      </c>
      <c r="K283" s="9">
        <v>176</v>
      </c>
      <c r="L283" s="9">
        <v>105</v>
      </c>
      <c r="M283" s="9">
        <v>84</v>
      </c>
      <c r="N283" s="9">
        <v>96</v>
      </c>
      <c r="O283" s="9">
        <v>800</v>
      </c>
      <c r="P283" s="9">
        <v>105</v>
      </c>
      <c r="Q283" s="9">
        <v>162</v>
      </c>
      <c r="R283" s="9">
        <v>161</v>
      </c>
      <c r="S283" s="9">
        <v>64</v>
      </c>
      <c r="T283" s="9">
        <v>537</v>
      </c>
      <c r="U283" s="9">
        <v>19</v>
      </c>
      <c r="V283" s="9">
        <v>33</v>
      </c>
      <c r="W283" s="9">
        <v>0</v>
      </c>
      <c r="X283" s="9">
        <v>0</v>
      </c>
      <c r="Y283" s="9">
        <v>0</v>
      </c>
      <c r="Z283" s="9">
        <v>1</v>
      </c>
      <c r="AA283" s="9">
        <v>44</v>
      </c>
      <c r="AC283" s="9">
        <f t="shared" si="13"/>
        <v>2760</v>
      </c>
      <c r="AD283" s="9">
        <f t="shared" si="14"/>
        <v>33833</v>
      </c>
      <c r="AE283" s="10">
        <f t="shared" si="15"/>
        <v>12.258333333333333</v>
      </c>
    </row>
    <row r="284" spans="1:31" x14ac:dyDescent="0.3">
      <c r="A284" s="55"/>
      <c r="B284" s="30" t="s">
        <v>286</v>
      </c>
      <c r="C284" s="9">
        <v>4</v>
      </c>
      <c r="D284" s="9">
        <v>0</v>
      </c>
      <c r="E284" s="9">
        <v>2</v>
      </c>
      <c r="F284" s="9">
        <v>4</v>
      </c>
      <c r="G284" s="9">
        <v>6</v>
      </c>
      <c r="H284" s="9">
        <v>9</v>
      </c>
      <c r="I284" s="9">
        <v>11</v>
      </c>
      <c r="J284" s="9">
        <v>10</v>
      </c>
      <c r="K284" s="9">
        <v>21</v>
      </c>
      <c r="L284" s="9">
        <v>13</v>
      </c>
      <c r="M284" s="9">
        <v>17</v>
      </c>
      <c r="N284" s="9">
        <v>11</v>
      </c>
      <c r="O284" s="9">
        <v>140</v>
      </c>
      <c r="P284" s="9">
        <v>15</v>
      </c>
      <c r="Q284" s="9">
        <v>30</v>
      </c>
      <c r="R284" s="9">
        <v>22</v>
      </c>
      <c r="S284" s="9">
        <v>10</v>
      </c>
      <c r="T284" s="9">
        <v>79</v>
      </c>
      <c r="U284" s="9">
        <v>2</v>
      </c>
      <c r="V284" s="9">
        <v>2</v>
      </c>
      <c r="W284" s="9">
        <v>0</v>
      </c>
      <c r="X284" s="9">
        <v>0</v>
      </c>
      <c r="Y284" s="9">
        <v>0</v>
      </c>
      <c r="Z284" s="9">
        <v>0</v>
      </c>
      <c r="AA284" s="9">
        <v>5</v>
      </c>
      <c r="AC284" s="9">
        <f t="shared" si="13"/>
        <v>413</v>
      </c>
      <c r="AD284" s="9">
        <f t="shared" si="14"/>
        <v>5119</v>
      </c>
      <c r="AE284" s="10">
        <f t="shared" si="15"/>
        <v>12.394673123486683</v>
      </c>
    </row>
    <row r="285" spans="1:31" x14ac:dyDescent="0.3">
      <c r="A285" s="55"/>
      <c r="B285" s="30" t="s">
        <v>287</v>
      </c>
      <c r="C285" s="9">
        <v>5</v>
      </c>
      <c r="D285" s="9">
        <v>5</v>
      </c>
      <c r="E285" s="9">
        <v>2</v>
      </c>
      <c r="F285" s="9">
        <v>13</v>
      </c>
      <c r="G285" s="9">
        <v>6</v>
      </c>
      <c r="H285" s="9">
        <v>23</v>
      </c>
      <c r="I285" s="9">
        <v>20</v>
      </c>
      <c r="J285" s="9">
        <v>23</v>
      </c>
      <c r="K285" s="9">
        <v>48</v>
      </c>
      <c r="L285" s="9">
        <v>31</v>
      </c>
      <c r="M285" s="9">
        <v>22</v>
      </c>
      <c r="N285" s="9">
        <v>18</v>
      </c>
      <c r="O285" s="9">
        <v>159</v>
      </c>
      <c r="P285" s="9">
        <v>18</v>
      </c>
      <c r="Q285" s="9">
        <v>12</v>
      </c>
      <c r="R285" s="9">
        <v>16</v>
      </c>
      <c r="S285" s="9">
        <v>4</v>
      </c>
      <c r="T285" s="9">
        <v>43</v>
      </c>
      <c r="U285" s="9">
        <v>0</v>
      </c>
      <c r="V285" s="9">
        <v>2</v>
      </c>
      <c r="W285" s="9">
        <v>0</v>
      </c>
      <c r="X285" s="9">
        <v>0</v>
      </c>
      <c r="Y285" s="9">
        <v>0</v>
      </c>
      <c r="Z285" s="9">
        <v>0</v>
      </c>
      <c r="AA285" s="9">
        <v>5</v>
      </c>
      <c r="AC285" s="9">
        <f t="shared" si="13"/>
        <v>475</v>
      </c>
      <c r="AD285" s="9">
        <f t="shared" si="14"/>
        <v>5052</v>
      </c>
      <c r="AE285" s="10">
        <f t="shared" si="15"/>
        <v>10.635789473684211</v>
      </c>
    </row>
    <row r="286" spans="1:31" x14ac:dyDescent="0.3">
      <c r="A286" s="55"/>
      <c r="B286" s="30" t="s">
        <v>288</v>
      </c>
      <c r="C286" s="9">
        <v>4</v>
      </c>
      <c r="D286" s="9">
        <v>5</v>
      </c>
      <c r="E286" s="9">
        <v>5</v>
      </c>
      <c r="F286" s="9">
        <v>13</v>
      </c>
      <c r="G286" s="9">
        <v>9</v>
      </c>
      <c r="H286" s="9">
        <v>7</v>
      </c>
      <c r="I286" s="9">
        <v>9</v>
      </c>
      <c r="J286" s="9">
        <v>13</v>
      </c>
      <c r="K286" s="9">
        <v>12</v>
      </c>
      <c r="L286" s="9">
        <v>7</v>
      </c>
      <c r="M286" s="9">
        <v>8</v>
      </c>
      <c r="N286" s="9">
        <v>6</v>
      </c>
      <c r="O286" s="9">
        <v>69</v>
      </c>
      <c r="P286" s="9">
        <v>9</v>
      </c>
      <c r="Q286" s="9">
        <v>20</v>
      </c>
      <c r="R286" s="9">
        <v>6</v>
      </c>
      <c r="S286" s="9">
        <v>2</v>
      </c>
      <c r="T286" s="9">
        <v>36</v>
      </c>
      <c r="U286" s="9">
        <v>2</v>
      </c>
      <c r="V286" s="9">
        <v>2</v>
      </c>
      <c r="W286" s="9">
        <v>0</v>
      </c>
      <c r="X286" s="9">
        <v>0</v>
      </c>
      <c r="Y286" s="9">
        <v>0</v>
      </c>
      <c r="Z286" s="9">
        <v>1</v>
      </c>
      <c r="AA286" s="9">
        <v>7</v>
      </c>
      <c r="AC286" s="9">
        <f t="shared" si="13"/>
        <v>252</v>
      </c>
      <c r="AD286" s="9">
        <f t="shared" si="14"/>
        <v>2799</v>
      </c>
      <c r="AE286" s="10">
        <f t="shared" si="15"/>
        <v>11.107142857142858</v>
      </c>
    </row>
    <row r="287" spans="1:31" x14ac:dyDescent="0.3">
      <c r="A287" s="55"/>
      <c r="B287" s="30" t="s">
        <v>289</v>
      </c>
      <c r="C287" s="9">
        <v>4</v>
      </c>
      <c r="D287" s="9">
        <v>0</v>
      </c>
      <c r="E287" s="9">
        <v>2</v>
      </c>
      <c r="F287" s="9">
        <v>4</v>
      </c>
      <c r="G287" s="9">
        <v>4</v>
      </c>
      <c r="H287" s="9">
        <v>11</v>
      </c>
      <c r="I287" s="9">
        <v>10</v>
      </c>
      <c r="J287" s="9">
        <v>20</v>
      </c>
      <c r="K287" s="9">
        <v>21</v>
      </c>
      <c r="L287" s="9">
        <v>9</v>
      </c>
      <c r="M287" s="9">
        <v>7</v>
      </c>
      <c r="N287" s="9">
        <v>9</v>
      </c>
      <c r="O287" s="9">
        <v>97</v>
      </c>
      <c r="P287" s="9">
        <v>14</v>
      </c>
      <c r="Q287" s="9">
        <v>23</v>
      </c>
      <c r="R287" s="9">
        <v>19</v>
      </c>
      <c r="S287" s="9">
        <v>6</v>
      </c>
      <c r="T287" s="9">
        <v>51</v>
      </c>
      <c r="U287" s="9">
        <v>1</v>
      </c>
      <c r="V287" s="9">
        <v>4</v>
      </c>
      <c r="W287" s="9">
        <v>0</v>
      </c>
      <c r="X287" s="9">
        <v>0</v>
      </c>
      <c r="Y287" s="9">
        <v>0</v>
      </c>
      <c r="Z287" s="9">
        <v>0</v>
      </c>
      <c r="AA287" s="9">
        <v>8</v>
      </c>
      <c r="AC287" s="9">
        <f t="shared" si="13"/>
        <v>324</v>
      </c>
      <c r="AD287" s="9">
        <f t="shared" si="14"/>
        <v>3907</v>
      </c>
      <c r="AE287" s="10">
        <f t="shared" si="15"/>
        <v>12.058641975308642</v>
      </c>
    </row>
    <row r="288" spans="1:31" x14ac:dyDescent="0.3">
      <c r="A288" s="55"/>
      <c r="B288" s="30" t="s">
        <v>290</v>
      </c>
      <c r="C288" s="9">
        <v>21</v>
      </c>
      <c r="D288" s="9">
        <v>15</v>
      </c>
      <c r="E288" s="9">
        <v>23</v>
      </c>
      <c r="F288" s="9">
        <v>36</v>
      </c>
      <c r="G288" s="9">
        <v>48</v>
      </c>
      <c r="H288" s="9">
        <v>66</v>
      </c>
      <c r="I288" s="9">
        <v>86</v>
      </c>
      <c r="J288" s="9">
        <v>72</v>
      </c>
      <c r="K288" s="9">
        <v>87</v>
      </c>
      <c r="L288" s="9">
        <v>71</v>
      </c>
      <c r="M288" s="9">
        <v>76</v>
      </c>
      <c r="N288" s="9">
        <v>60</v>
      </c>
      <c r="O288" s="9">
        <v>615</v>
      </c>
      <c r="P288" s="9">
        <v>69</v>
      </c>
      <c r="Q288" s="9">
        <v>113</v>
      </c>
      <c r="R288" s="9">
        <v>115</v>
      </c>
      <c r="S288" s="9">
        <v>21</v>
      </c>
      <c r="T288" s="9">
        <v>286</v>
      </c>
      <c r="U288" s="9">
        <v>7</v>
      </c>
      <c r="V288" s="9">
        <v>11</v>
      </c>
      <c r="W288" s="9">
        <v>0</v>
      </c>
      <c r="X288" s="9">
        <v>0</v>
      </c>
      <c r="Y288" s="9">
        <v>0</v>
      </c>
      <c r="Z288" s="9">
        <v>3</v>
      </c>
      <c r="AA288" s="9">
        <v>52</v>
      </c>
      <c r="AC288" s="9">
        <f t="shared" si="13"/>
        <v>1953</v>
      </c>
      <c r="AD288" s="9">
        <f t="shared" si="14"/>
        <v>22900</v>
      </c>
      <c r="AE288" s="10">
        <f t="shared" si="15"/>
        <v>11.725550435227854</v>
      </c>
    </row>
    <row r="289" spans="1:31" x14ac:dyDescent="0.3">
      <c r="A289" s="55"/>
      <c r="B289" s="30" t="s">
        <v>291</v>
      </c>
      <c r="C289" s="9">
        <v>40</v>
      </c>
      <c r="D289" s="9">
        <v>15</v>
      </c>
      <c r="E289" s="9">
        <v>21</v>
      </c>
      <c r="F289" s="9">
        <v>50</v>
      </c>
      <c r="G289" s="9">
        <v>60</v>
      </c>
      <c r="H289" s="9">
        <v>123</v>
      </c>
      <c r="I289" s="9">
        <v>112</v>
      </c>
      <c r="J289" s="9">
        <v>64</v>
      </c>
      <c r="K289" s="9">
        <v>121</v>
      </c>
      <c r="L289" s="9">
        <v>42</v>
      </c>
      <c r="M289" s="9">
        <v>56</v>
      </c>
      <c r="N289" s="9">
        <v>49</v>
      </c>
      <c r="O289" s="9">
        <v>414</v>
      </c>
      <c r="P289" s="9">
        <v>36</v>
      </c>
      <c r="Q289" s="9">
        <v>86</v>
      </c>
      <c r="R289" s="9">
        <v>69</v>
      </c>
      <c r="S289" s="9">
        <v>15</v>
      </c>
      <c r="T289" s="9">
        <v>206</v>
      </c>
      <c r="U289" s="9">
        <v>0</v>
      </c>
      <c r="V289" s="9">
        <v>5</v>
      </c>
      <c r="W289" s="9">
        <v>1</v>
      </c>
      <c r="X289" s="9">
        <v>0</v>
      </c>
      <c r="Y289" s="9">
        <v>1</v>
      </c>
      <c r="Z289" s="9">
        <v>1</v>
      </c>
      <c r="AA289" s="9">
        <v>22</v>
      </c>
      <c r="AC289" s="9">
        <f t="shared" si="13"/>
        <v>1609</v>
      </c>
      <c r="AD289" s="9">
        <f t="shared" si="14"/>
        <v>16732</v>
      </c>
      <c r="AE289" s="10">
        <f t="shared" si="15"/>
        <v>10.399005593536359</v>
      </c>
    </row>
    <row r="290" spans="1:31" x14ac:dyDescent="0.3">
      <c r="A290" s="55"/>
      <c r="B290" s="30" t="s">
        <v>292</v>
      </c>
      <c r="C290" s="9">
        <v>32</v>
      </c>
      <c r="D290" s="9">
        <v>25</v>
      </c>
      <c r="E290" s="9">
        <v>27</v>
      </c>
      <c r="F290" s="9">
        <v>59</v>
      </c>
      <c r="G290" s="9">
        <v>64</v>
      </c>
      <c r="H290" s="9">
        <v>137</v>
      </c>
      <c r="I290" s="9">
        <v>141</v>
      </c>
      <c r="J290" s="9">
        <v>97</v>
      </c>
      <c r="K290" s="9">
        <v>145</v>
      </c>
      <c r="L290" s="9">
        <v>90</v>
      </c>
      <c r="M290" s="9">
        <v>69</v>
      </c>
      <c r="N290" s="9">
        <v>76</v>
      </c>
      <c r="O290" s="9">
        <v>580</v>
      </c>
      <c r="P290" s="9">
        <v>81</v>
      </c>
      <c r="Q290" s="9">
        <v>129</v>
      </c>
      <c r="R290" s="9">
        <v>165</v>
      </c>
      <c r="S290" s="9">
        <v>23</v>
      </c>
      <c r="T290" s="9">
        <v>273</v>
      </c>
      <c r="U290" s="9">
        <v>9</v>
      </c>
      <c r="V290" s="9">
        <v>15</v>
      </c>
      <c r="W290" s="9">
        <v>0</v>
      </c>
      <c r="X290" s="9">
        <v>0</v>
      </c>
      <c r="Y290" s="9">
        <v>0</v>
      </c>
      <c r="Z290" s="9">
        <v>0</v>
      </c>
      <c r="AA290" s="9">
        <v>56</v>
      </c>
      <c r="AC290" s="9">
        <f t="shared" si="13"/>
        <v>2293</v>
      </c>
      <c r="AD290" s="9">
        <f t="shared" si="14"/>
        <v>25312</v>
      </c>
      <c r="AE290" s="10">
        <f t="shared" si="15"/>
        <v>11.038813781072831</v>
      </c>
    </row>
    <row r="291" spans="1:31" x14ac:dyDescent="0.3">
      <c r="A291" s="55"/>
      <c r="B291" s="30" t="s">
        <v>293</v>
      </c>
      <c r="C291" s="9">
        <v>10</v>
      </c>
      <c r="D291" s="9">
        <v>1</v>
      </c>
      <c r="E291" s="9">
        <v>0</v>
      </c>
      <c r="F291" s="9">
        <v>6</v>
      </c>
      <c r="G291" s="9">
        <v>7</v>
      </c>
      <c r="H291" s="9">
        <v>17</v>
      </c>
      <c r="I291" s="9">
        <v>24</v>
      </c>
      <c r="J291" s="9">
        <v>14</v>
      </c>
      <c r="K291" s="9">
        <v>33</v>
      </c>
      <c r="L291" s="9">
        <v>24</v>
      </c>
      <c r="M291" s="9">
        <v>37</v>
      </c>
      <c r="N291" s="9">
        <v>27</v>
      </c>
      <c r="O291" s="9">
        <v>244</v>
      </c>
      <c r="P291" s="9">
        <v>12</v>
      </c>
      <c r="Q291" s="9">
        <v>41</v>
      </c>
      <c r="R291" s="9">
        <v>36</v>
      </c>
      <c r="S291" s="9">
        <v>7</v>
      </c>
      <c r="T291" s="9">
        <v>94</v>
      </c>
      <c r="U291" s="9">
        <v>0</v>
      </c>
      <c r="V291" s="9">
        <v>3</v>
      </c>
      <c r="W291" s="9">
        <v>0</v>
      </c>
      <c r="X291" s="9">
        <v>0</v>
      </c>
      <c r="Y291" s="9">
        <v>0</v>
      </c>
      <c r="Z291" s="9">
        <v>0</v>
      </c>
      <c r="AA291" s="9">
        <v>3</v>
      </c>
      <c r="AC291" s="9">
        <f t="shared" si="13"/>
        <v>640</v>
      </c>
      <c r="AD291" s="9">
        <f t="shared" si="14"/>
        <v>7558</v>
      </c>
      <c r="AE291" s="10">
        <f t="shared" si="15"/>
        <v>11.809374999999999</v>
      </c>
    </row>
    <row r="292" spans="1:31" x14ac:dyDescent="0.3">
      <c r="A292" s="55"/>
      <c r="B292" s="30" t="s">
        <v>294</v>
      </c>
      <c r="C292" s="9">
        <v>238</v>
      </c>
      <c r="D292" s="9">
        <v>118</v>
      </c>
      <c r="E292" s="9">
        <v>170</v>
      </c>
      <c r="F292" s="9">
        <v>248</v>
      </c>
      <c r="G292" s="9">
        <v>262</v>
      </c>
      <c r="H292" s="9">
        <v>557</v>
      </c>
      <c r="I292" s="9">
        <v>611</v>
      </c>
      <c r="J292" s="9">
        <v>748</v>
      </c>
      <c r="K292" s="9">
        <v>1129</v>
      </c>
      <c r="L292" s="9">
        <v>898</v>
      </c>
      <c r="M292" s="9">
        <v>811</v>
      </c>
      <c r="N292" s="9">
        <v>817</v>
      </c>
      <c r="O292" s="9">
        <v>7759</v>
      </c>
      <c r="P292" s="9">
        <v>964</v>
      </c>
      <c r="Q292" s="9">
        <v>1796</v>
      </c>
      <c r="R292" s="9">
        <v>1774</v>
      </c>
      <c r="S292" s="9">
        <v>470</v>
      </c>
      <c r="T292" s="9">
        <v>4376</v>
      </c>
      <c r="U292" s="9">
        <v>116</v>
      </c>
      <c r="V292" s="9">
        <v>222</v>
      </c>
      <c r="W292" s="9">
        <v>14</v>
      </c>
      <c r="X292" s="9">
        <v>1</v>
      </c>
      <c r="Y292" s="9">
        <v>5</v>
      </c>
      <c r="Z292" s="9">
        <v>26</v>
      </c>
      <c r="AA292" s="9">
        <v>525</v>
      </c>
      <c r="AC292" s="9">
        <f t="shared" si="13"/>
        <v>24655</v>
      </c>
      <c r="AD292" s="9">
        <f t="shared" si="14"/>
        <v>307369</v>
      </c>
      <c r="AE292" s="10">
        <f t="shared" si="15"/>
        <v>12.466801865747312</v>
      </c>
    </row>
    <row r="293" spans="1:31" x14ac:dyDescent="0.3">
      <c r="A293" s="55"/>
      <c r="B293" s="30" t="s">
        <v>295</v>
      </c>
      <c r="C293" s="9">
        <v>67</v>
      </c>
      <c r="D293" s="9">
        <v>23</v>
      </c>
      <c r="E293" s="9">
        <v>45</v>
      </c>
      <c r="F293" s="9">
        <v>77</v>
      </c>
      <c r="G293" s="9">
        <v>59</v>
      </c>
      <c r="H293" s="9">
        <v>122</v>
      </c>
      <c r="I293" s="9">
        <v>158</v>
      </c>
      <c r="J293" s="9">
        <v>158</v>
      </c>
      <c r="K293" s="9">
        <v>229</v>
      </c>
      <c r="L293" s="9">
        <v>165</v>
      </c>
      <c r="M293" s="9">
        <v>121</v>
      </c>
      <c r="N293" s="9">
        <v>124</v>
      </c>
      <c r="O293" s="9">
        <v>901</v>
      </c>
      <c r="P293" s="9">
        <v>99</v>
      </c>
      <c r="Q293" s="9">
        <v>144</v>
      </c>
      <c r="R293" s="9">
        <v>127</v>
      </c>
      <c r="S293" s="9">
        <v>20</v>
      </c>
      <c r="T293" s="9">
        <v>194</v>
      </c>
      <c r="U293" s="9">
        <v>4</v>
      </c>
      <c r="V293" s="9">
        <v>7</v>
      </c>
      <c r="W293" s="9">
        <v>0</v>
      </c>
      <c r="X293" s="9">
        <v>0</v>
      </c>
      <c r="Y293" s="9">
        <v>1</v>
      </c>
      <c r="Z293" s="9">
        <v>4</v>
      </c>
      <c r="AA293" s="9">
        <v>77</v>
      </c>
      <c r="AC293" s="9">
        <f t="shared" si="13"/>
        <v>2926</v>
      </c>
      <c r="AD293" s="9">
        <f t="shared" si="14"/>
        <v>30940</v>
      </c>
      <c r="AE293" s="10">
        <f t="shared" si="15"/>
        <v>10.574162679425838</v>
      </c>
    </row>
    <row r="294" spans="1:31" x14ac:dyDescent="0.3">
      <c r="A294" s="55"/>
      <c r="B294" s="30" t="s">
        <v>296</v>
      </c>
      <c r="C294" s="9">
        <v>76</v>
      </c>
      <c r="D294" s="9">
        <v>28</v>
      </c>
      <c r="E294" s="9">
        <v>31</v>
      </c>
      <c r="F294" s="9">
        <v>70</v>
      </c>
      <c r="G294" s="9">
        <v>75</v>
      </c>
      <c r="H294" s="9">
        <v>172</v>
      </c>
      <c r="I294" s="9">
        <v>157</v>
      </c>
      <c r="J294" s="9">
        <v>141</v>
      </c>
      <c r="K294" s="9">
        <v>218</v>
      </c>
      <c r="L294" s="9">
        <v>199</v>
      </c>
      <c r="M294" s="9">
        <v>169</v>
      </c>
      <c r="N294" s="9">
        <v>166</v>
      </c>
      <c r="O294" s="9">
        <v>1311</v>
      </c>
      <c r="P294" s="9">
        <v>127</v>
      </c>
      <c r="Q294" s="9">
        <v>247</v>
      </c>
      <c r="R294" s="9">
        <v>221</v>
      </c>
      <c r="S294" s="9">
        <v>32</v>
      </c>
      <c r="T294" s="9">
        <v>398</v>
      </c>
      <c r="U294" s="9">
        <v>2</v>
      </c>
      <c r="V294" s="9">
        <v>17</v>
      </c>
      <c r="W294" s="9">
        <v>1</v>
      </c>
      <c r="X294" s="9">
        <v>0</v>
      </c>
      <c r="Y294" s="9">
        <v>0</v>
      </c>
      <c r="Z294" s="9">
        <v>0</v>
      </c>
      <c r="AA294" s="9">
        <v>70</v>
      </c>
      <c r="AC294" s="9">
        <f t="shared" si="13"/>
        <v>3928</v>
      </c>
      <c r="AD294" s="9">
        <f t="shared" si="14"/>
        <v>43933</v>
      </c>
      <c r="AE294" s="10">
        <f t="shared" si="15"/>
        <v>11.184572301425662</v>
      </c>
    </row>
    <row r="295" spans="1:31" x14ac:dyDescent="0.3">
      <c r="A295" s="55"/>
      <c r="B295" s="30" t="s">
        <v>297</v>
      </c>
      <c r="C295" s="9">
        <v>120</v>
      </c>
      <c r="D295" s="9">
        <v>23</v>
      </c>
      <c r="E295" s="9">
        <v>45</v>
      </c>
      <c r="F295" s="9">
        <v>93</v>
      </c>
      <c r="G295" s="9">
        <v>110</v>
      </c>
      <c r="H295" s="9">
        <v>183</v>
      </c>
      <c r="I295" s="9">
        <v>153</v>
      </c>
      <c r="J295" s="9">
        <v>141</v>
      </c>
      <c r="K295" s="9">
        <v>221</v>
      </c>
      <c r="L295" s="9">
        <v>123</v>
      </c>
      <c r="M295" s="9">
        <v>135</v>
      </c>
      <c r="N295" s="9">
        <v>130</v>
      </c>
      <c r="O295" s="9">
        <v>829</v>
      </c>
      <c r="P295" s="9">
        <v>60</v>
      </c>
      <c r="Q295" s="9">
        <v>160</v>
      </c>
      <c r="R295" s="9">
        <v>147</v>
      </c>
      <c r="S295" s="9">
        <v>25</v>
      </c>
      <c r="T295" s="9">
        <v>323</v>
      </c>
      <c r="U295" s="9">
        <v>5</v>
      </c>
      <c r="V295" s="9">
        <v>9</v>
      </c>
      <c r="W295" s="9">
        <v>0</v>
      </c>
      <c r="X295" s="9">
        <v>0</v>
      </c>
      <c r="Y295" s="9">
        <v>0</v>
      </c>
      <c r="Z295" s="9">
        <v>0</v>
      </c>
      <c r="AA295" s="9">
        <v>36</v>
      </c>
      <c r="AC295" s="9">
        <f t="shared" si="13"/>
        <v>3071</v>
      </c>
      <c r="AD295" s="9">
        <f t="shared" si="14"/>
        <v>31496</v>
      </c>
      <c r="AE295" s="10">
        <f t="shared" si="15"/>
        <v>10.25594268967763</v>
      </c>
    </row>
    <row r="296" spans="1:31" x14ac:dyDescent="0.3">
      <c r="A296" s="55"/>
      <c r="B296" s="30" t="s">
        <v>298</v>
      </c>
      <c r="C296" s="9">
        <v>32</v>
      </c>
      <c r="D296" s="9">
        <v>15</v>
      </c>
      <c r="E296" s="9">
        <v>20</v>
      </c>
      <c r="F296" s="9">
        <v>41</v>
      </c>
      <c r="G296" s="9">
        <v>55</v>
      </c>
      <c r="H296" s="9">
        <v>88</v>
      </c>
      <c r="I296" s="9">
        <v>106</v>
      </c>
      <c r="J296" s="9">
        <v>124</v>
      </c>
      <c r="K296" s="9">
        <v>191</v>
      </c>
      <c r="L296" s="9">
        <v>116</v>
      </c>
      <c r="M296" s="9">
        <v>87</v>
      </c>
      <c r="N296" s="9">
        <v>77</v>
      </c>
      <c r="O296" s="9">
        <v>997</v>
      </c>
      <c r="P296" s="9">
        <v>98</v>
      </c>
      <c r="Q296" s="9">
        <v>174</v>
      </c>
      <c r="R296" s="9">
        <v>281</v>
      </c>
      <c r="S296" s="9">
        <v>29</v>
      </c>
      <c r="T296" s="9">
        <v>439</v>
      </c>
      <c r="U296" s="9">
        <v>10</v>
      </c>
      <c r="V296" s="9">
        <v>10</v>
      </c>
      <c r="W296" s="9">
        <v>0</v>
      </c>
      <c r="X296" s="9">
        <v>0</v>
      </c>
      <c r="Y296" s="9">
        <v>0</v>
      </c>
      <c r="Z296" s="9">
        <v>1</v>
      </c>
      <c r="AA296" s="9">
        <v>45</v>
      </c>
      <c r="AC296" s="9">
        <f t="shared" si="13"/>
        <v>3036</v>
      </c>
      <c r="AD296" s="9">
        <f t="shared" si="14"/>
        <v>35920</v>
      </c>
      <c r="AE296" s="10">
        <f t="shared" si="15"/>
        <v>11.831357048748353</v>
      </c>
    </row>
    <row r="297" spans="1:31" x14ac:dyDescent="0.3">
      <c r="A297" s="55"/>
      <c r="B297" s="30" t="s">
        <v>299</v>
      </c>
      <c r="C297" s="9">
        <v>86</v>
      </c>
      <c r="D297" s="9">
        <v>42</v>
      </c>
      <c r="E297" s="9">
        <v>56</v>
      </c>
      <c r="F297" s="9">
        <v>104</v>
      </c>
      <c r="G297" s="9">
        <v>104</v>
      </c>
      <c r="H297" s="9">
        <v>261</v>
      </c>
      <c r="I297" s="9">
        <v>264</v>
      </c>
      <c r="J297" s="9">
        <v>356</v>
      </c>
      <c r="K297" s="9">
        <v>486</v>
      </c>
      <c r="L297" s="9">
        <v>252</v>
      </c>
      <c r="M297" s="9">
        <v>232</v>
      </c>
      <c r="N297" s="9">
        <v>223</v>
      </c>
      <c r="O297" s="9">
        <v>1873</v>
      </c>
      <c r="P297" s="9">
        <v>140</v>
      </c>
      <c r="Q297" s="9">
        <v>256</v>
      </c>
      <c r="R297" s="9">
        <v>197</v>
      </c>
      <c r="S297" s="9">
        <v>45</v>
      </c>
      <c r="T297" s="9">
        <v>490</v>
      </c>
      <c r="U297" s="9">
        <v>9</v>
      </c>
      <c r="V297" s="9">
        <v>20</v>
      </c>
      <c r="W297" s="9">
        <v>0</v>
      </c>
      <c r="X297" s="9">
        <v>0</v>
      </c>
      <c r="Y297" s="9">
        <v>0</v>
      </c>
      <c r="Z297" s="9">
        <v>2</v>
      </c>
      <c r="AA297" s="9">
        <v>158</v>
      </c>
      <c r="AC297" s="9">
        <f t="shared" si="13"/>
        <v>5656</v>
      </c>
      <c r="AD297" s="9">
        <f t="shared" si="14"/>
        <v>61457</v>
      </c>
      <c r="AE297" s="10">
        <f t="shared" si="15"/>
        <v>10.86580622347949</v>
      </c>
    </row>
    <row r="298" spans="1:31" x14ac:dyDescent="0.3">
      <c r="A298" s="55"/>
      <c r="B298" s="30" t="s">
        <v>300</v>
      </c>
      <c r="C298" s="9">
        <v>38</v>
      </c>
      <c r="D298" s="9">
        <v>21</v>
      </c>
      <c r="E298" s="9">
        <v>19</v>
      </c>
      <c r="F298" s="9">
        <v>49</v>
      </c>
      <c r="G298" s="9">
        <v>48</v>
      </c>
      <c r="H298" s="9">
        <v>79</v>
      </c>
      <c r="I298" s="9">
        <v>109</v>
      </c>
      <c r="J298" s="9">
        <v>157</v>
      </c>
      <c r="K298" s="9">
        <v>187</v>
      </c>
      <c r="L298" s="9">
        <v>113</v>
      </c>
      <c r="M298" s="9">
        <v>125</v>
      </c>
      <c r="N298" s="9">
        <v>129</v>
      </c>
      <c r="O298" s="9">
        <v>879</v>
      </c>
      <c r="P298" s="9">
        <v>70</v>
      </c>
      <c r="Q298" s="9">
        <v>115</v>
      </c>
      <c r="R298" s="9">
        <v>85</v>
      </c>
      <c r="S298" s="9">
        <v>10</v>
      </c>
      <c r="T298" s="9">
        <v>188</v>
      </c>
      <c r="U298" s="9">
        <v>3</v>
      </c>
      <c r="V298" s="9">
        <v>3</v>
      </c>
      <c r="W298" s="9">
        <v>2</v>
      </c>
      <c r="X298" s="9">
        <v>0</v>
      </c>
      <c r="Y298" s="9">
        <v>0</v>
      </c>
      <c r="Z298" s="9">
        <v>1</v>
      </c>
      <c r="AA298" s="9">
        <v>259</v>
      </c>
      <c r="AC298" s="9">
        <f t="shared" si="13"/>
        <v>2689</v>
      </c>
      <c r="AD298" s="9">
        <f t="shared" si="14"/>
        <v>31817</v>
      </c>
      <c r="AE298" s="10">
        <f t="shared" si="15"/>
        <v>11.832279657865378</v>
      </c>
    </row>
    <row r="299" spans="1:31" x14ac:dyDescent="0.3">
      <c r="A299" s="55"/>
      <c r="B299" s="30" t="s">
        <v>301</v>
      </c>
      <c r="C299" s="9">
        <v>14</v>
      </c>
      <c r="D299" s="9">
        <v>5</v>
      </c>
      <c r="E299" s="9">
        <v>11</v>
      </c>
      <c r="F299" s="9">
        <v>30</v>
      </c>
      <c r="G299" s="9">
        <v>44</v>
      </c>
      <c r="H299" s="9">
        <v>40</v>
      </c>
      <c r="I299" s="9">
        <v>63</v>
      </c>
      <c r="J299" s="9">
        <v>92</v>
      </c>
      <c r="K299" s="9">
        <v>117</v>
      </c>
      <c r="L299" s="9">
        <v>68</v>
      </c>
      <c r="M299" s="9">
        <v>70</v>
      </c>
      <c r="N299" s="9">
        <v>59</v>
      </c>
      <c r="O299" s="9">
        <v>560</v>
      </c>
      <c r="P299" s="9">
        <v>45</v>
      </c>
      <c r="Q299" s="9">
        <v>69</v>
      </c>
      <c r="R299" s="9">
        <v>63</v>
      </c>
      <c r="S299" s="9">
        <v>19</v>
      </c>
      <c r="T299" s="9">
        <v>127</v>
      </c>
      <c r="U299" s="9">
        <v>2</v>
      </c>
      <c r="V299" s="9">
        <v>6</v>
      </c>
      <c r="W299" s="9">
        <v>1</v>
      </c>
      <c r="X299" s="9">
        <v>0</v>
      </c>
      <c r="Y299" s="9">
        <v>0</v>
      </c>
      <c r="Z299" s="9">
        <v>4</v>
      </c>
      <c r="AA299" s="9">
        <v>87</v>
      </c>
      <c r="AC299" s="9">
        <f t="shared" si="13"/>
        <v>1596</v>
      </c>
      <c r="AD299" s="9">
        <f t="shared" si="14"/>
        <v>18441</v>
      </c>
      <c r="AE299" s="10">
        <f t="shared" si="15"/>
        <v>11.55451127819549</v>
      </c>
    </row>
    <row r="300" spans="1:31" x14ac:dyDescent="0.3">
      <c r="A300" s="55"/>
      <c r="B300" s="30" t="s">
        <v>302</v>
      </c>
      <c r="C300" s="9">
        <v>89</v>
      </c>
      <c r="D300" s="9">
        <v>57</v>
      </c>
      <c r="E300" s="9">
        <v>70</v>
      </c>
      <c r="F300" s="9">
        <v>152</v>
      </c>
      <c r="G300" s="9">
        <v>149</v>
      </c>
      <c r="H300" s="9">
        <v>407</v>
      </c>
      <c r="I300" s="9">
        <v>316</v>
      </c>
      <c r="J300" s="9">
        <v>439</v>
      </c>
      <c r="K300" s="9">
        <v>475</v>
      </c>
      <c r="L300" s="9">
        <v>274</v>
      </c>
      <c r="M300" s="9">
        <v>256</v>
      </c>
      <c r="N300" s="9">
        <v>243</v>
      </c>
      <c r="O300" s="9">
        <v>2523</v>
      </c>
      <c r="P300" s="9">
        <v>291</v>
      </c>
      <c r="Q300" s="9">
        <v>351</v>
      </c>
      <c r="R300" s="9">
        <v>403</v>
      </c>
      <c r="S300" s="9">
        <v>138</v>
      </c>
      <c r="T300" s="9">
        <v>1303</v>
      </c>
      <c r="U300" s="9">
        <v>32</v>
      </c>
      <c r="V300" s="9">
        <v>44</v>
      </c>
      <c r="W300" s="9">
        <v>0</v>
      </c>
      <c r="X300" s="9">
        <v>0</v>
      </c>
      <c r="Y300" s="9">
        <v>0</v>
      </c>
      <c r="Z300" s="9">
        <v>2</v>
      </c>
      <c r="AA300" s="9">
        <v>119</v>
      </c>
      <c r="AC300" s="9">
        <f t="shared" si="13"/>
        <v>8133</v>
      </c>
      <c r="AD300" s="9">
        <f t="shared" si="14"/>
        <v>93443</v>
      </c>
      <c r="AE300" s="10">
        <f t="shared" si="15"/>
        <v>11.489364318209763</v>
      </c>
    </row>
    <row r="301" spans="1:31" x14ac:dyDescent="0.3">
      <c r="A301" s="55"/>
      <c r="B301" s="30" t="s">
        <v>303</v>
      </c>
      <c r="C301" s="9">
        <v>4</v>
      </c>
      <c r="D301" s="9">
        <v>2</v>
      </c>
      <c r="E301" s="9">
        <v>7</v>
      </c>
      <c r="F301" s="9">
        <v>7</v>
      </c>
      <c r="G301" s="9">
        <v>10</v>
      </c>
      <c r="H301" s="9">
        <v>24</v>
      </c>
      <c r="I301" s="9">
        <v>37</v>
      </c>
      <c r="J301" s="9">
        <v>44</v>
      </c>
      <c r="K301" s="9">
        <v>85</v>
      </c>
      <c r="L301" s="9">
        <v>38</v>
      </c>
      <c r="M301" s="9">
        <v>52</v>
      </c>
      <c r="N301" s="9">
        <v>37</v>
      </c>
      <c r="O301" s="9">
        <v>367</v>
      </c>
      <c r="P301" s="9">
        <v>14</v>
      </c>
      <c r="Q301" s="9">
        <v>61</v>
      </c>
      <c r="R301" s="9">
        <v>43</v>
      </c>
      <c r="S301" s="9">
        <v>8</v>
      </c>
      <c r="T301" s="9">
        <v>81</v>
      </c>
      <c r="U301" s="9">
        <v>0</v>
      </c>
      <c r="V301" s="9">
        <v>6</v>
      </c>
      <c r="W301" s="9">
        <v>0</v>
      </c>
      <c r="X301" s="9">
        <v>0</v>
      </c>
      <c r="Y301" s="9">
        <v>0</v>
      </c>
      <c r="Z301" s="9">
        <v>0</v>
      </c>
      <c r="AA301" s="9">
        <v>36</v>
      </c>
      <c r="AC301" s="9">
        <f t="shared" si="13"/>
        <v>963</v>
      </c>
      <c r="AD301" s="9">
        <f t="shared" si="14"/>
        <v>11244</v>
      </c>
      <c r="AE301" s="10">
        <f t="shared" si="15"/>
        <v>11.676012461059191</v>
      </c>
    </row>
    <row r="302" spans="1:31" x14ac:dyDescent="0.3">
      <c r="A302" s="55"/>
      <c r="B302" s="30" t="s">
        <v>304</v>
      </c>
      <c r="C302" s="9">
        <v>118</v>
      </c>
      <c r="D302" s="9">
        <v>73</v>
      </c>
      <c r="E302" s="9">
        <v>49</v>
      </c>
      <c r="F302" s="9">
        <v>99</v>
      </c>
      <c r="G302" s="9">
        <v>139</v>
      </c>
      <c r="H302" s="9">
        <v>390</v>
      </c>
      <c r="I302" s="9">
        <v>292</v>
      </c>
      <c r="J302" s="9">
        <v>273</v>
      </c>
      <c r="K302" s="9">
        <v>332</v>
      </c>
      <c r="L302" s="9">
        <v>137</v>
      </c>
      <c r="M302" s="9">
        <v>127</v>
      </c>
      <c r="N302" s="9">
        <v>151</v>
      </c>
      <c r="O302" s="9">
        <v>1452</v>
      </c>
      <c r="P302" s="9">
        <v>135</v>
      </c>
      <c r="Q302" s="9">
        <v>205</v>
      </c>
      <c r="R302" s="9">
        <v>169</v>
      </c>
      <c r="S302" s="9">
        <v>56</v>
      </c>
      <c r="T302" s="9">
        <v>551</v>
      </c>
      <c r="U302" s="9">
        <v>12</v>
      </c>
      <c r="V302" s="9">
        <v>20</v>
      </c>
      <c r="W302" s="9">
        <v>0</v>
      </c>
      <c r="X302" s="9">
        <v>0</v>
      </c>
      <c r="Y302" s="9">
        <v>0</v>
      </c>
      <c r="Z302" s="9">
        <v>1</v>
      </c>
      <c r="AA302" s="9">
        <v>70</v>
      </c>
      <c r="AC302" s="9">
        <f t="shared" si="13"/>
        <v>4851</v>
      </c>
      <c r="AD302" s="9">
        <f t="shared" si="14"/>
        <v>50603</v>
      </c>
      <c r="AE302" s="10">
        <f t="shared" si="15"/>
        <v>10.431457431457432</v>
      </c>
    </row>
    <row r="303" spans="1:31" x14ac:dyDescent="0.3">
      <c r="A303" s="55"/>
      <c r="B303" s="30" t="s">
        <v>305</v>
      </c>
      <c r="C303" s="9">
        <v>37</v>
      </c>
      <c r="D303" s="9">
        <v>13</v>
      </c>
      <c r="E303" s="9">
        <v>11</v>
      </c>
      <c r="F303" s="9">
        <v>28</v>
      </c>
      <c r="G303" s="9">
        <v>41</v>
      </c>
      <c r="H303" s="9">
        <v>108</v>
      </c>
      <c r="I303" s="9">
        <v>195</v>
      </c>
      <c r="J303" s="9">
        <v>169</v>
      </c>
      <c r="K303" s="9">
        <v>313</v>
      </c>
      <c r="L303" s="9">
        <v>135</v>
      </c>
      <c r="M303" s="9">
        <v>108</v>
      </c>
      <c r="N303" s="9">
        <v>94</v>
      </c>
      <c r="O303" s="9">
        <v>824</v>
      </c>
      <c r="P303" s="9">
        <v>25</v>
      </c>
      <c r="Q303" s="9">
        <v>77</v>
      </c>
      <c r="R303" s="9">
        <v>98</v>
      </c>
      <c r="S303" s="9">
        <v>12</v>
      </c>
      <c r="T303" s="9">
        <v>220</v>
      </c>
      <c r="U303" s="9">
        <v>3</v>
      </c>
      <c r="V303" s="9">
        <v>15</v>
      </c>
      <c r="W303" s="9">
        <v>0</v>
      </c>
      <c r="X303" s="9">
        <v>1</v>
      </c>
      <c r="Y303" s="9">
        <v>0</v>
      </c>
      <c r="Z303" s="9">
        <v>5</v>
      </c>
      <c r="AA303" s="9">
        <v>64</v>
      </c>
      <c r="AC303" s="9">
        <f t="shared" si="13"/>
        <v>2596</v>
      </c>
      <c r="AD303" s="9">
        <f t="shared" si="14"/>
        <v>27713</v>
      </c>
      <c r="AE303" s="10">
        <f t="shared" si="15"/>
        <v>10.675269645608628</v>
      </c>
    </row>
    <row r="304" spans="1:31" x14ac:dyDescent="0.3">
      <c r="A304" s="55"/>
      <c r="B304" s="30" t="s">
        <v>306</v>
      </c>
      <c r="C304" s="9">
        <v>52</v>
      </c>
      <c r="D304" s="9">
        <v>18</v>
      </c>
      <c r="E304" s="9">
        <v>44</v>
      </c>
      <c r="F304" s="9">
        <v>78</v>
      </c>
      <c r="G304" s="9">
        <v>79</v>
      </c>
      <c r="H304" s="9">
        <v>207</v>
      </c>
      <c r="I304" s="9">
        <v>187</v>
      </c>
      <c r="J304" s="9">
        <v>135</v>
      </c>
      <c r="K304" s="9">
        <v>184</v>
      </c>
      <c r="L304" s="9">
        <v>85</v>
      </c>
      <c r="M304" s="9">
        <v>97</v>
      </c>
      <c r="N304" s="9">
        <v>80</v>
      </c>
      <c r="O304" s="9">
        <v>666</v>
      </c>
      <c r="P304" s="9">
        <v>73</v>
      </c>
      <c r="Q304" s="9">
        <v>191</v>
      </c>
      <c r="R304" s="9">
        <v>162</v>
      </c>
      <c r="S304" s="9">
        <v>30</v>
      </c>
      <c r="T304" s="9">
        <v>377</v>
      </c>
      <c r="U304" s="9">
        <v>5</v>
      </c>
      <c r="V304" s="9">
        <v>15</v>
      </c>
      <c r="W304" s="9">
        <v>0</v>
      </c>
      <c r="X304" s="9">
        <v>0</v>
      </c>
      <c r="Y304" s="9">
        <v>0</v>
      </c>
      <c r="Z304" s="9">
        <v>0</v>
      </c>
      <c r="AA304" s="9">
        <v>43</v>
      </c>
      <c r="AC304" s="9">
        <f t="shared" si="13"/>
        <v>2808</v>
      </c>
      <c r="AD304" s="9">
        <f t="shared" si="14"/>
        <v>30186</v>
      </c>
      <c r="AE304" s="10">
        <f t="shared" si="15"/>
        <v>10.75</v>
      </c>
    </row>
    <row r="305" spans="1:31" x14ac:dyDescent="0.3">
      <c r="A305" s="55"/>
      <c r="B305" s="30" t="s">
        <v>307</v>
      </c>
      <c r="C305" s="9">
        <v>13</v>
      </c>
      <c r="D305" s="9">
        <v>9</v>
      </c>
      <c r="E305" s="9">
        <v>15</v>
      </c>
      <c r="F305" s="9">
        <v>24</v>
      </c>
      <c r="G305" s="9">
        <v>31</v>
      </c>
      <c r="H305" s="9">
        <v>76</v>
      </c>
      <c r="I305" s="9">
        <v>68</v>
      </c>
      <c r="J305" s="9">
        <v>43</v>
      </c>
      <c r="K305" s="9">
        <v>62</v>
      </c>
      <c r="L305" s="9">
        <v>22</v>
      </c>
      <c r="M305" s="9">
        <v>22</v>
      </c>
      <c r="N305" s="9">
        <v>32</v>
      </c>
      <c r="O305" s="9">
        <v>280</v>
      </c>
      <c r="P305" s="9">
        <v>31</v>
      </c>
      <c r="Q305" s="9">
        <v>54</v>
      </c>
      <c r="R305" s="9">
        <v>40</v>
      </c>
      <c r="S305" s="9">
        <v>6</v>
      </c>
      <c r="T305" s="9">
        <v>127</v>
      </c>
      <c r="U305" s="9">
        <v>1</v>
      </c>
      <c r="V305" s="9">
        <v>3</v>
      </c>
      <c r="W305" s="9">
        <v>0</v>
      </c>
      <c r="X305" s="9">
        <v>0</v>
      </c>
      <c r="Y305" s="9">
        <v>0</v>
      </c>
      <c r="Z305" s="9">
        <v>0</v>
      </c>
      <c r="AA305" s="9">
        <v>14</v>
      </c>
      <c r="AC305" s="9">
        <f t="shared" si="13"/>
        <v>973</v>
      </c>
      <c r="AD305" s="9">
        <f t="shared" si="14"/>
        <v>10375</v>
      </c>
      <c r="AE305" s="10">
        <f t="shared" si="15"/>
        <v>10.662898252826311</v>
      </c>
    </row>
    <row r="306" spans="1:31" x14ac:dyDescent="0.3">
      <c r="A306" s="55"/>
      <c r="B306" s="30" t="s">
        <v>308</v>
      </c>
      <c r="C306" s="9">
        <v>37</v>
      </c>
      <c r="D306" s="9">
        <v>11</v>
      </c>
      <c r="E306" s="9">
        <v>15</v>
      </c>
      <c r="F306" s="9">
        <v>76</v>
      </c>
      <c r="G306" s="9">
        <v>35</v>
      </c>
      <c r="H306" s="9">
        <v>73</v>
      </c>
      <c r="I306" s="9">
        <v>49</v>
      </c>
      <c r="J306" s="9">
        <v>104</v>
      </c>
      <c r="K306" s="9">
        <v>164</v>
      </c>
      <c r="L306" s="9">
        <v>124</v>
      </c>
      <c r="M306" s="9">
        <v>147</v>
      </c>
      <c r="N306" s="9">
        <v>120</v>
      </c>
      <c r="O306" s="9">
        <v>1252</v>
      </c>
      <c r="P306" s="9">
        <v>75</v>
      </c>
      <c r="Q306" s="9">
        <v>159</v>
      </c>
      <c r="R306" s="9">
        <v>178</v>
      </c>
      <c r="S306" s="9">
        <v>22</v>
      </c>
      <c r="T306" s="9">
        <v>284</v>
      </c>
      <c r="U306" s="9">
        <v>5</v>
      </c>
      <c r="V306" s="9">
        <v>18</v>
      </c>
      <c r="W306" s="9">
        <v>1</v>
      </c>
      <c r="X306" s="9">
        <v>0</v>
      </c>
      <c r="Y306" s="9">
        <v>0</v>
      </c>
      <c r="Z306" s="9">
        <v>2</v>
      </c>
      <c r="AA306" s="9">
        <v>140</v>
      </c>
      <c r="AC306" s="9">
        <f t="shared" si="13"/>
        <v>3091</v>
      </c>
      <c r="AD306" s="9">
        <f t="shared" si="14"/>
        <v>36947</v>
      </c>
      <c r="AE306" s="10">
        <f t="shared" si="15"/>
        <v>11.953089615011324</v>
      </c>
    </row>
    <row r="307" spans="1:31" x14ac:dyDescent="0.3">
      <c r="A307" s="55"/>
      <c r="B307" s="30" t="s">
        <v>309</v>
      </c>
      <c r="C307" s="9">
        <v>38</v>
      </c>
      <c r="D307" s="9">
        <v>13</v>
      </c>
      <c r="E307" s="9">
        <v>10</v>
      </c>
      <c r="F307" s="9">
        <v>18</v>
      </c>
      <c r="G307" s="9">
        <v>34</v>
      </c>
      <c r="H307" s="9">
        <v>57</v>
      </c>
      <c r="I307" s="9">
        <v>61</v>
      </c>
      <c r="J307" s="9">
        <v>115</v>
      </c>
      <c r="K307" s="9">
        <v>135</v>
      </c>
      <c r="L307" s="9">
        <v>106</v>
      </c>
      <c r="M307" s="9">
        <v>125</v>
      </c>
      <c r="N307" s="9">
        <v>127</v>
      </c>
      <c r="O307" s="9">
        <v>1424</v>
      </c>
      <c r="P307" s="9">
        <v>112</v>
      </c>
      <c r="Q307" s="9">
        <v>172</v>
      </c>
      <c r="R307" s="9">
        <v>198</v>
      </c>
      <c r="S307" s="9">
        <v>47</v>
      </c>
      <c r="T307" s="9">
        <v>353</v>
      </c>
      <c r="U307" s="9">
        <v>10</v>
      </c>
      <c r="V307" s="9">
        <v>16</v>
      </c>
      <c r="W307" s="9">
        <v>3</v>
      </c>
      <c r="X307" s="9">
        <v>0</v>
      </c>
      <c r="Y307" s="9">
        <v>0</v>
      </c>
      <c r="Z307" s="9">
        <v>1</v>
      </c>
      <c r="AA307" s="9">
        <v>304</v>
      </c>
      <c r="AC307" s="9">
        <f t="shared" si="13"/>
        <v>3479</v>
      </c>
      <c r="AD307" s="9">
        <f t="shared" si="14"/>
        <v>44898</v>
      </c>
      <c r="AE307" s="10">
        <f t="shared" si="15"/>
        <v>12.905432595573441</v>
      </c>
    </row>
    <row r="308" spans="1:31" x14ac:dyDescent="0.3">
      <c r="A308" s="55"/>
      <c r="B308" s="30" t="s">
        <v>310</v>
      </c>
      <c r="C308" s="9">
        <v>18</v>
      </c>
      <c r="D308" s="9">
        <v>10</v>
      </c>
      <c r="E308" s="9">
        <v>5</v>
      </c>
      <c r="F308" s="9">
        <v>170</v>
      </c>
      <c r="G308" s="9">
        <v>45</v>
      </c>
      <c r="H308" s="9">
        <v>39</v>
      </c>
      <c r="I308" s="9">
        <v>84</v>
      </c>
      <c r="J308" s="9">
        <v>124</v>
      </c>
      <c r="K308" s="9">
        <v>135</v>
      </c>
      <c r="L308" s="9">
        <v>53</v>
      </c>
      <c r="M308" s="9">
        <v>70</v>
      </c>
      <c r="N308" s="9">
        <v>57</v>
      </c>
      <c r="O308" s="9">
        <v>449</v>
      </c>
      <c r="P308" s="9">
        <v>27</v>
      </c>
      <c r="Q308" s="9">
        <v>46</v>
      </c>
      <c r="R308" s="9">
        <v>28</v>
      </c>
      <c r="S308" s="9">
        <v>5</v>
      </c>
      <c r="T308" s="9">
        <v>72</v>
      </c>
      <c r="U308" s="9">
        <v>3</v>
      </c>
      <c r="V308" s="9">
        <v>2</v>
      </c>
      <c r="W308" s="9">
        <v>0</v>
      </c>
      <c r="X308" s="9">
        <v>0</v>
      </c>
      <c r="Y308" s="9">
        <v>0</v>
      </c>
      <c r="Z308" s="9">
        <v>0</v>
      </c>
      <c r="AA308" s="9">
        <v>34</v>
      </c>
      <c r="AC308" s="9">
        <f t="shared" si="13"/>
        <v>1476</v>
      </c>
      <c r="AD308" s="9">
        <f t="shared" si="14"/>
        <v>14176</v>
      </c>
      <c r="AE308" s="10">
        <f t="shared" si="15"/>
        <v>9.6043360433604335</v>
      </c>
    </row>
    <row r="309" spans="1:31" x14ac:dyDescent="0.3">
      <c r="A309" s="55"/>
      <c r="B309" s="30" t="s">
        <v>311</v>
      </c>
      <c r="C309" s="9">
        <v>85</v>
      </c>
      <c r="D309" s="9">
        <v>53</v>
      </c>
      <c r="E309" s="9">
        <v>71</v>
      </c>
      <c r="F309" s="9">
        <v>134</v>
      </c>
      <c r="G309" s="9">
        <v>171</v>
      </c>
      <c r="H309" s="9">
        <v>287</v>
      </c>
      <c r="I309" s="9">
        <v>319</v>
      </c>
      <c r="J309" s="9">
        <v>369</v>
      </c>
      <c r="K309" s="9">
        <v>497</v>
      </c>
      <c r="L309" s="9">
        <v>298</v>
      </c>
      <c r="M309" s="9">
        <v>275</v>
      </c>
      <c r="N309" s="9">
        <v>249</v>
      </c>
      <c r="O309" s="9">
        <v>2021</v>
      </c>
      <c r="P309" s="9">
        <v>185</v>
      </c>
      <c r="Q309" s="9">
        <v>232</v>
      </c>
      <c r="R309" s="9">
        <v>248</v>
      </c>
      <c r="S309" s="9">
        <v>38</v>
      </c>
      <c r="T309" s="9">
        <v>455</v>
      </c>
      <c r="U309" s="9">
        <v>13</v>
      </c>
      <c r="V309" s="9">
        <v>21</v>
      </c>
      <c r="W309" s="9">
        <v>0</v>
      </c>
      <c r="X309" s="9">
        <v>1</v>
      </c>
      <c r="Y309" s="9">
        <v>0</v>
      </c>
      <c r="Z309" s="9">
        <v>1</v>
      </c>
      <c r="AA309" s="9">
        <v>159</v>
      </c>
      <c r="AC309" s="9">
        <f t="shared" si="13"/>
        <v>6182</v>
      </c>
      <c r="AD309" s="9">
        <f t="shared" si="14"/>
        <v>65821</v>
      </c>
      <c r="AE309" s="10">
        <f t="shared" si="15"/>
        <v>10.647201552895503</v>
      </c>
    </row>
    <row r="310" spans="1:31" x14ac:dyDescent="0.3">
      <c r="A310" s="55"/>
      <c r="B310" s="30" t="s">
        <v>312</v>
      </c>
      <c r="C310" s="9">
        <v>13</v>
      </c>
      <c r="D310" s="9">
        <v>2</v>
      </c>
      <c r="E310" s="9">
        <v>7</v>
      </c>
      <c r="F310" s="9">
        <v>7</v>
      </c>
      <c r="G310" s="9">
        <v>12</v>
      </c>
      <c r="H310" s="9">
        <v>20</v>
      </c>
      <c r="I310" s="9">
        <v>39</v>
      </c>
      <c r="J310" s="9">
        <v>51</v>
      </c>
      <c r="K310" s="9">
        <v>65</v>
      </c>
      <c r="L310" s="9">
        <v>46</v>
      </c>
      <c r="M310" s="9">
        <v>54</v>
      </c>
      <c r="N310" s="9">
        <v>27</v>
      </c>
      <c r="O310" s="9">
        <v>474</v>
      </c>
      <c r="P310" s="9">
        <v>19</v>
      </c>
      <c r="Q310" s="9">
        <v>49</v>
      </c>
      <c r="R310" s="9">
        <v>32</v>
      </c>
      <c r="S310" s="9">
        <v>5</v>
      </c>
      <c r="T310" s="9">
        <v>71</v>
      </c>
      <c r="U310" s="9">
        <v>2</v>
      </c>
      <c r="V310" s="9">
        <v>2</v>
      </c>
      <c r="W310" s="9">
        <v>0</v>
      </c>
      <c r="X310" s="9">
        <v>0</v>
      </c>
      <c r="Y310" s="9">
        <v>0</v>
      </c>
      <c r="Z310" s="9">
        <v>1</v>
      </c>
      <c r="AA310" s="9">
        <v>28</v>
      </c>
      <c r="AC310" s="9">
        <f t="shared" si="13"/>
        <v>1026</v>
      </c>
      <c r="AD310" s="9">
        <f t="shared" si="14"/>
        <v>11704</v>
      </c>
      <c r="AE310" s="10">
        <f t="shared" si="15"/>
        <v>11.407407407407407</v>
      </c>
    </row>
    <row r="311" spans="1:31" x14ac:dyDescent="0.3">
      <c r="A311" s="55"/>
      <c r="B311" s="30" t="s">
        <v>313</v>
      </c>
      <c r="C311" s="9">
        <v>59</v>
      </c>
      <c r="D311" s="9">
        <v>27</v>
      </c>
      <c r="E311" s="9">
        <v>24</v>
      </c>
      <c r="F311" s="9">
        <v>60</v>
      </c>
      <c r="G311" s="9">
        <v>80</v>
      </c>
      <c r="H311" s="9">
        <v>156</v>
      </c>
      <c r="I311" s="9">
        <v>196</v>
      </c>
      <c r="J311" s="9">
        <v>174</v>
      </c>
      <c r="K311" s="9">
        <v>251</v>
      </c>
      <c r="L311" s="9">
        <v>129</v>
      </c>
      <c r="M311" s="9">
        <v>117</v>
      </c>
      <c r="N311" s="9">
        <v>82</v>
      </c>
      <c r="O311" s="9">
        <v>1057</v>
      </c>
      <c r="P311" s="9">
        <v>83</v>
      </c>
      <c r="Q311" s="9">
        <v>120</v>
      </c>
      <c r="R311" s="9">
        <v>124</v>
      </c>
      <c r="S311" s="9">
        <v>13</v>
      </c>
      <c r="T311" s="9">
        <v>338</v>
      </c>
      <c r="U311" s="9">
        <v>9</v>
      </c>
      <c r="V311" s="9">
        <v>10</v>
      </c>
      <c r="W311" s="9">
        <v>1</v>
      </c>
      <c r="X311" s="9">
        <v>0</v>
      </c>
      <c r="Y311" s="9">
        <v>0</v>
      </c>
      <c r="Z311" s="9">
        <v>1</v>
      </c>
      <c r="AA311" s="9">
        <v>53</v>
      </c>
      <c r="AC311" s="9">
        <f t="shared" si="13"/>
        <v>3164</v>
      </c>
      <c r="AD311" s="9">
        <f t="shared" si="14"/>
        <v>33914</v>
      </c>
      <c r="AE311" s="10">
        <f t="shared" si="15"/>
        <v>10.718710493046776</v>
      </c>
    </row>
    <row r="312" spans="1:31" x14ac:dyDescent="0.3">
      <c r="A312" s="55"/>
      <c r="B312" s="30" t="s">
        <v>314</v>
      </c>
      <c r="C312" s="9">
        <v>179</v>
      </c>
      <c r="D312" s="9">
        <v>73</v>
      </c>
      <c r="E312" s="9">
        <v>60</v>
      </c>
      <c r="F312" s="9">
        <v>120</v>
      </c>
      <c r="G312" s="9">
        <v>100</v>
      </c>
      <c r="H312" s="9">
        <v>318</v>
      </c>
      <c r="I312" s="9">
        <v>319</v>
      </c>
      <c r="J312" s="9">
        <v>674</v>
      </c>
      <c r="K312" s="9">
        <v>817</v>
      </c>
      <c r="L312" s="9">
        <v>670</v>
      </c>
      <c r="M312" s="9">
        <v>662</v>
      </c>
      <c r="N312" s="9">
        <v>702</v>
      </c>
      <c r="O312" s="9">
        <v>8027</v>
      </c>
      <c r="P312" s="9">
        <v>1178</v>
      </c>
      <c r="Q312" s="9">
        <v>1907</v>
      </c>
      <c r="R312" s="9">
        <v>1922</v>
      </c>
      <c r="S312" s="9">
        <v>805</v>
      </c>
      <c r="T312" s="9">
        <v>4614</v>
      </c>
      <c r="U312" s="9">
        <v>107</v>
      </c>
      <c r="V312" s="9">
        <v>216</v>
      </c>
      <c r="W312" s="9">
        <v>7</v>
      </c>
      <c r="X312" s="9">
        <v>1</v>
      </c>
      <c r="Y312" s="9">
        <v>5</v>
      </c>
      <c r="Z312" s="9">
        <v>20</v>
      </c>
      <c r="AA312" s="9">
        <v>622</v>
      </c>
      <c r="AC312" s="9">
        <f t="shared" si="13"/>
        <v>24125</v>
      </c>
      <c r="AD312" s="9">
        <f t="shared" si="14"/>
        <v>316256</v>
      </c>
      <c r="AE312" s="10">
        <f t="shared" si="15"/>
        <v>13.109056994818653</v>
      </c>
    </row>
    <row r="313" spans="1:31" x14ac:dyDescent="0.3">
      <c r="A313" s="55"/>
      <c r="B313" s="30" t="s">
        <v>315</v>
      </c>
      <c r="C313" s="9">
        <v>39</v>
      </c>
      <c r="D313" s="9">
        <v>11</v>
      </c>
      <c r="E313" s="9">
        <v>9</v>
      </c>
      <c r="F313" s="9">
        <v>14</v>
      </c>
      <c r="G313" s="9">
        <v>20</v>
      </c>
      <c r="H313" s="9">
        <v>64</v>
      </c>
      <c r="I313" s="9">
        <v>147</v>
      </c>
      <c r="J313" s="9">
        <v>172</v>
      </c>
      <c r="K313" s="9">
        <v>104</v>
      </c>
      <c r="L313" s="9">
        <v>55</v>
      </c>
      <c r="M313" s="9">
        <v>62</v>
      </c>
      <c r="N313" s="9">
        <v>33</v>
      </c>
      <c r="O313" s="9">
        <v>485</v>
      </c>
      <c r="P313" s="9">
        <v>38</v>
      </c>
      <c r="Q313" s="9">
        <v>56</v>
      </c>
      <c r="R313" s="9">
        <v>35</v>
      </c>
      <c r="S313" s="9">
        <v>5</v>
      </c>
      <c r="T313" s="9">
        <v>64</v>
      </c>
      <c r="U313" s="9">
        <v>1</v>
      </c>
      <c r="V313" s="9">
        <v>2</v>
      </c>
      <c r="W313" s="9">
        <v>1</v>
      </c>
      <c r="X313" s="9">
        <v>0</v>
      </c>
      <c r="Y313" s="9">
        <v>0</v>
      </c>
      <c r="Z313" s="9">
        <v>0</v>
      </c>
      <c r="AA313" s="9">
        <v>48</v>
      </c>
      <c r="AC313" s="9">
        <f t="shared" si="13"/>
        <v>1465</v>
      </c>
      <c r="AD313" s="9">
        <f t="shared" si="14"/>
        <v>14886</v>
      </c>
      <c r="AE313" s="10">
        <f t="shared" si="15"/>
        <v>10.161092150170649</v>
      </c>
    </row>
    <row r="314" spans="1:31" x14ac:dyDescent="0.3">
      <c r="A314" s="55"/>
      <c r="B314" s="30" t="s">
        <v>316</v>
      </c>
      <c r="C314" s="9">
        <v>194</v>
      </c>
      <c r="D314" s="9">
        <v>84</v>
      </c>
      <c r="E314" s="9">
        <v>98</v>
      </c>
      <c r="F314" s="9">
        <v>163</v>
      </c>
      <c r="G314" s="9">
        <v>188</v>
      </c>
      <c r="H314" s="9">
        <v>436</v>
      </c>
      <c r="I314" s="9">
        <v>528</v>
      </c>
      <c r="J314" s="9">
        <v>773</v>
      </c>
      <c r="K314" s="9">
        <v>1105</v>
      </c>
      <c r="L314" s="9">
        <v>758</v>
      </c>
      <c r="M314" s="9">
        <v>688</v>
      </c>
      <c r="N314" s="9">
        <v>814</v>
      </c>
      <c r="O314" s="9">
        <v>6151</v>
      </c>
      <c r="P314" s="9">
        <v>908</v>
      </c>
      <c r="Q314" s="9">
        <v>1213</v>
      </c>
      <c r="R314" s="9">
        <v>1198</v>
      </c>
      <c r="S314" s="9">
        <v>379</v>
      </c>
      <c r="T314" s="9">
        <v>2443</v>
      </c>
      <c r="U314" s="9">
        <v>54</v>
      </c>
      <c r="V314" s="9">
        <v>97</v>
      </c>
      <c r="W314" s="9">
        <v>7</v>
      </c>
      <c r="X314" s="9">
        <v>3</v>
      </c>
      <c r="Y314" s="9">
        <v>4</v>
      </c>
      <c r="Z314" s="9">
        <v>15</v>
      </c>
      <c r="AA314" s="9">
        <v>618</v>
      </c>
      <c r="AC314" s="9">
        <f t="shared" si="13"/>
        <v>18919</v>
      </c>
      <c r="AD314" s="9">
        <f t="shared" si="14"/>
        <v>230222</v>
      </c>
      <c r="AE314" s="10">
        <f t="shared" si="15"/>
        <v>12.168824990750039</v>
      </c>
    </row>
    <row r="315" spans="1:31" x14ac:dyDescent="0.3">
      <c r="A315" s="55"/>
      <c r="B315" s="30" t="s">
        <v>317</v>
      </c>
      <c r="C315" s="9">
        <v>67</v>
      </c>
      <c r="D315" s="9">
        <v>32</v>
      </c>
      <c r="E315" s="9">
        <v>27</v>
      </c>
      <c r="F315" s="9">
        <v>47</v>
      </c>
      <c r="G315" s="9">
        <v>42</v>
      </c>
      <c r="H315" s="9">
        <v>116</v>
      </c>
      <c r="I315" s="9">
        <v>130</v>
      </c>
      <c r="J315" s="9">
        <v>219</v>
      </c>
      <c r="K315" s="9">
        <v>284</v>
      </c>
      <c r="L315" s="9">
        <v>228</v>
      </c>
      <c r="M315" s="9">
        <v>226</v>
      </c>
      <c r="N315" s="9">
        <v>347</v>
      </c>
      <c r="O315" s="9">
        <v>2726</v>
      </c>
      <c r="P315" s="9">
        <v>267</v>
      </c>
      <c r="Q315" s="9">
        <v>449</v>
      </c>
      <c r="R315" s="9">
        <v>526</v>
      </c>
      <c r="S315" s="9">
        <v>104</v>
      </c>
      <c r="T315" s="9">
        <v>719</v>
      </c>
      <c r="U315" s="9">
        <v>12</v>
      </c>
      <c r="V315" s="9">
        <v>32</v>
      </c>
      <c r="W315" s="9">
        <v>1</v>
      </c>
      <c r="X315" s="9">
        <v>1</v>
      </c>
      <c r="Y315" s="9">
        <v>1</v>
      </c>
      <c r="Z315" s="9">
        <v>14</v>
      </c>
      <c r="AA315" s="9">
        <v>315</v>
      </c>
      <c r="AC315" s="9">
        <f t="shared" si="13"/>
        <v>6932</v>
      </c>
      <c r="AD315" s="9">
        <f t="shared" si="14"/>
        <v>86704</v>
      </c>
      <c r="AE315" s="10">
        <f t="shared" si="15"/>
        <v>12.507789959607617</v>
      </c>
    </row>
    <row r="316" spans="1:31" x14ac:dyDescent="0.3">
      <c r="A316" s="55"/>
      <c r="B316" s="30" t="s">
        <v>318</v>
      </c>
      <c r="C316" s="9">
        <v>21</v>
      </c>
      <c r="D316" s="9">
        <v>10</v>
      </c>
      <c r="E316" s="9">
        <v>9</v>
      </c>
      <c r="F316" s="9">
        <v>22</v>
      </c>
      <c r="G316" s="9">
        <v>32</v>
      </c>
      <c r="H316" s="9">
        <v>50</v>
      </c>
      <c r="I316" s="9">
        <v>76</v>
      </c>
      <c r="J316" s="9">
        <v>113</v>
      </c>
      <c r="K316" s="9">
        <v>154</v>
      </c>
      <c r="L316" s="9">
        <v>107</v>
      </c>
      <c r="M316" s="9">
        <v>100</v>
      </c>
      <c r="N316" s="9">
        <v>94</v>
      </c>
      <c r="O316" s="9">
        <v>593</v>
      </c>
      <c r="P316" s="9">
        <v>35</v>
      </c>
      <c r="Q316" s="9">
        <v>105</v>
      </c>
      <c r="R316" s="9">
        <v>76</v>
      </c>
      <c r="S316" s="9">
        <v>5</v>
      </c>
      <c r="T316" s="9">
        <v>142</v>
      </c>
      <c r="U316" s="9">
        <v>3</v>
      </c>
      <c r="V316" s="9">
        <v>2</v>
      </c>
      <c r="W316" s="9">
        <v>0</v>
      </c>
      <c r="X316" s="9">
        <v>0</v>
      </c>
      <c r="Y316" s="9">
        <v>0</v>
      </c>
      <c r="Z316" s="9">
        <v>0</v>
      </c>
      <c r="AA316" s="9">
        <v>42</v>
      </c>
      <c r="AC316" s="9">
        <f t="shared" si="13"/>
        <v>1791</v>
      </c>
      <c r="AD316" s="9">
        <f t="shared" si="14"/>
        <v>19723</v>
      </c>
      <c r="AE316" s="10">
        <f t="shared" si="15"/>
        <v>11.012283640424345</v>
      </c>
    </row>
    <row r="317" spans="1:31" x14ac:dyDescent="0.3">
      <c r="A317" s="55"/>
      <c r="B317" s="30" t="s">
        <v>319</v>
      </c>
      <c r="C317" s="9">
        <v>426</v>
      </c>
      <c r="D317" s="9">
        <v>109</v>
      </c>
      <c r="E317" s="9">
        <v>160</v>
      </c>
      <c r="F317" s="9">
        <v>232</v>
      </c>
      <c r="G317" s="9">
        <v>246</v>
      </c>
      <c r="H317" s="9">
        <v>306</v>
      </c>
      <c r="I317" s="9">
        <v>246</v>
      </c>
      <c r="J317" s="9">
        <v>273</v>
      </c>
      <c r="K317" s="9">
        <v>376</v>
      </c>
      <c r="L317" s="9">
        <v>247</v>
      </c>
      <c r="M317" s="9">
        <v>261</v>
      </c>
      <c r="N317" s="9">
        <v>267</v>
      </c>
      <c r="O317" s="9">
        <v>2127</v>
      </c>
      <c r="P317" s="9">
        <v>187</v>
      </c>
      <c r="Q317" s="9">
        <v>382</v>
      </c>
      <c r="R317" s="9">
        <v>365</v>
      </c>
      <c r="S317" s="9">
        <v>38</v>
      </c>
      <c r="T317" s="9">
        <v>573</v>
      </c>
      <c r="U317" s="9">
        <v>13</v>
      </c>
      <c r="V317" s="9">
        <v>24</v>
      </c>
      <c r="W317" s="9">
        <v>3</v>
      </c>
      <c r="X317" s="9">
        <v>1</v>
      </c>
      <c r="Y317" s="9">
        <v>1</v>
      </c>
      <c r="Z317" s="9">
        <v>2</v>
      </c>
      <c r="AA317" s="9">
        <v>224</v>
      </c>
      <c r="AC317" s="9">
        <f t="shared" si="13"/>
        <v>7089</v>
      </c>
      <c r="AD317" s="9">
        <f t="shared" si="14"/>
        <v>73146</v>
      </c>
      <c r="AE317" s="10">
        <f t="shared" si="15"/>
        <v>10.318239526026238</v>
      </c>
    </row>
    <row r="318" spans="1:31" x14ac:dyDescent="0.3">
      <c r="A318" s="55"/>
      <c r="B318" s="30" t="s">
        <v>320</v>
      </c>
      <c r="C318" s="9">
        <v>32</v>
      </c>
      <c r="D318" s="9">
        <v>34</v>
      </c>
      <c r="E318" s="9">
        <v>13</v>
      </c>
      <c r="F318" s="9">
        <v>24</v>
      </c>
      <c r="G318" s="9">
        <v>22</v>
      </c>
      <c r="H318" s="9">
        <v>79</v>
      </c>
      <c r="I318" s="9">
        <v>80</v>
      </c>
      <c r="J318" s="9">
        <v>122</v>
      </c>
      <c r="K318" s="9">
        <v>164</v>
      </c>
      <c r="L318" s="9">
        <v>113</v>
      </c>
      <c r="M318" s="9">
        <v>95</v>
      </c>
      <c r="N318" s="9">
        <v>65</v>
      </c>
      <c r="O318" s="9">
        <v>582</v>
      </c>
      <c r="P318" s="9">
        <v>43</v>
      </c>
      <c r="Q318" s="9">
        <v>85</v>
      </c>
      <c r="R318" s="9">
        <v>62</v>
      </c>
      <c r="S318" s="9">
        <v>10</v>
      </c>
      <c r="T318" s="9">
        <v>111</v>
      </c>
      <c r="U318" s="9">
        <v>4</v>
      </c>
      <c r="V318" s="9">
        <v>8</v>
      </c>
      <c r="W318" s="9">
        <v>0</v>
      </c>
      <c r="X318" s="9">
        <v>0</v>
      </c>
      <c r="Y318" s="9">
        <v>0</v>
      </c>
      <c r="Z318" s="9">
        <v>3</v>
      </c>
      <c r="AA318" s="9">
        <v>50</v>
      </c>
      <c r="AC318" s="9">
        <f t="shared" si="13"/>
        <v>1801</v>
      </c>
      <c r="AD318" s="9">
        <f t="shared" si="14"/>
        <v>19146</v>
      </c>
      <c r="AE318" s="10">
        <f t="shared" si="15"/>
        <v>10.630760688506385</v>
      </c>
    </row>
    <row r="319" spans="1:31" x14ac:dyDescent="0.3">
      <c r="A319" s="55"/>
      <c r="B319" s="30" t="s">
        <v>321</v>
      </c>
      <c r="C319" s="9">
        <v>54</v>
      </c>
      <c r="D319" s="9">
        <v>22</v>
      </c>
      <c r="E319" s="9">
        <v>38</v>
      </c>
      <c r="F319" s="9">
        <v>47</v>
      </c>
      <c r="G319" s="9">
        <v>47</v>
      </c>
      <c r="H319" s="9">
        <v>99</v>
      </c>
      <c r="I319" s="9">
        <v>96</v>
      </c>
      <c r="J319" s="9">
        <v>139</v>
      </c>
      <c r="K319" s="9">
        <v>189</v>
      </c>
      <c r="L319" s="9">
        <v>124</v>
      </c>
      <c r="M319" s="9">
        <v>136</v>
      </c>
      <c r="N319" s="9">
        <v>135</v>
      </c>
      <c r="O319" s="9">
        <v>1437</v>
      </c>
      <c r="P319" s="9">
        <v>111</v>
      </c>
      <c r="Q319" s="9">
        <v>186</v>
      </c>
      <c r="R319" s="9">
        <v>188</v>
      </c>
      <c r="S319" s="9">
        <v>44</v>
      </c>
      <c r="T319" s="9">
        <v>397</v>
      </c>
      <c r="U319" s="9">
        <v>3</v>
      </c>
      <c r="V319" s="9">
        <v>19</v>
      </c>
      <c r="W319" s="9">
        <v>2</v>
      </c>
      <c r="X319" s="9">
        <v>0</v>
      </c>
      <c r="Y319" s="9">
        <v>1</v>
      </c>
      <c r="Z319" s="9">
        <v>0</v>
      </c>
      <c r="AA319" s="9">
        <v>80</v>
      </c>
      <c r="AC319" s="9">
        <f t="shared" si="13"/>
        <v>3594</v>
      </c>
      <c r="AD319" s="9">
        <f t="shared" si="14"/>
        <v>41905</v>
      </c>
      <c r="AE319" s="10">
        <f t="shared" si="15"/>
        <v>11.65971062882582</v>
      </c>
    </row>
    <row r="320" spans="1:31" x14ac:dyDescent="0.3">
      <c r="A320" s="55"/>
      <c r="B320" s="30" t="s">
        <v>322</v>
      </c>
      <c r="C320" s="9">
        <v>111</v>
      </c>
      <c r="D320" s="9">
        <v>29</v>
      </c>
      <c r="E320" s="9">
        <v>32</v>
      </c>
      <c r="F320" s="9">
        <v>55</v>
      </c>
      <c r="G320" s="9">
        <v>50</v>
      </c>
      <c r="H320" s="9">
        <v>140</v>
      </c>
      <c r="I320" s="9">
        <v>101</v>
      </c>
      <c r="J320" s="9">
        <v>145</v>
      </c>
      <c r="K320" s="9">
        <v>180</v>
      </c>
      <c r="L320" s="9">
        <v>124</v>
      </c>
      <c r="M320" s="9">
        <v>111</v>
      </c>
      <c r="N320" s="9">
        <v>133</v>
      </c>
      <c r="O320" s="9">
        <v>892</v>
      </c>
      <c r="P320" s="9">
        <v>74</v>
      </c>
      <c r="Q320" s="9">
        <v>141</v>
      </c>
      <c r="R320" s="9">
        <v>242</v>
      </c>
      <c r="S320" s="9">
        <v>14</v>
      </c>
      <c r="T320" s="9">
        <v>204</v>
      </c>
      <c r="U320" s="9">
        <v>8</v>
      </c>
      <c r="V320" s="9">
        <v>8</v>
      </c>
      <c r="W320" s="9">
        <v>1</v>
      </c>
      <c r="X320" s="9">
        <v>0</v>
      </c>
      <c r="Y320" s="9">
        <v>2</v>
      </c>
      <c r="Z320" s="9">
        <v>3</v>
      </c>
      <c r="AA320" s="9">
        <v>81</v>
      </c>
      <c r="AC320" s="9">
        <f t="shared" si="13"/>
        <v>2881</v>
      </c>
      <c r="AD320" s="9">
        <f t="shared" si="14"/>
        <v>31243</v>
      </c>
      <c r="AE320" s="10">
        <f t="shared" si="15"/>
        <v>10.844498438042347</v>
      </c>
    </row>
    <row r="321" spans="1:31" x14ac:dyDescent="0.3">
      <c r="A321" s="55"/>
      <c r="B321" s="30" t="s">
        <v>323</v>
      </c>
      <c r="C321" s="9">
        <v>29</v>
      </c>
      <c r="D321" s="9">
        <v>12</v>
      </c>
      <c r="E321" s="9">
        <v>14</v>
      </c>
      <c r="F321" s="9">
        <v>21</v>
      </c>
      <c r="G321" s="9">
        <v>35</v>
      </c>
      <c r="H321" s="9">
        <v>69</v>
      </c>
      <c r="I321" s="9">
        <v>62</v>
      </c>
      <c r="J321" s="9">
        <v>68</v>
      </c>
      <c r="K321" s="9">
        <v>131</v>
      </c>
      <c r="L321" s="9">
        <v>75</v>
      </c>
      <c r="M321" s="9">
        <v>83</v>
      </c>
      <c r="N321" s="9">
        <v>109</v>
      </c>
      <c r="O321" s="9">
        <v>701</v>
      </c>
      <c r="P321" s="9">
        <v>11</v>
      </c>
      <c r="Q321" s="9">
        <v>28</v>
      </c>
      <c r="R321" s="9">
        <v>26</v>
      </c>
      <c r="S321" s="9">
        <v>5</v>
      </c>
      <c r="T321" s="9">
        <v>48</v>
      </c>
      <c r="U321" s="9">
        <v>0</v>
      </c>
      <c r="V321" s="9">
        <v>1</v>
      </c>
      <c r="W321" s="9">
        <v>0</v>
      </c>
      <c r="X321" s="9">
        <v>0</v>
      </c>
      <c r="Y321" s="9">
        <v>0</v>
      </c>
      <c r="Z321" s="9">
        <v>1</v>
      </c>
      <c r="AA321" s="9">
        <v>44</v>
      </c>
      <c r="AC321" s="9">
        <f t="shared" si="13"/>
        <v>1573</v>
      </c>
      <c r="AD321" s="9">
        <f t="shared" si="14"/>
        <v>16519</v>
      </c>
      <c r="AE321" s="10">
        <f t="shared" si="15"/>
        <v>10.501589319771139</v>
      </c>
    </row>
    <row r="322" spans="1:31" x14ac:dyDescent="0.3">
      <c r="A322" s="55"/>
      <c r="B322" s="30" t="s">
        <v>324</v>
      </c>
      <c r="C322" s="9">
        <v>65</v>
      </c>
      <c r="D322" s="9">
        <v>11</v>
      </c>
      <c r="E322" s="9">
        <v>35</v>
      </c>
      <c r="F322" s="9">
        <v>53</v>
      </c>
      <c r="G322" s="9">
        <v>61</v>
      </c>
      <c r="H322" s="9">
        <v>158</v>
      </c>
      <c r="I322" s="9">
        <v>167</v>
      </c>
      <c r="J322" s="9">
        <v>175</v>
      </c>
      <c r="K322" s="9">
        <v>253</v>
      </c>
      <c r="L322" s="9">
        <v>148</v>
      </c>
      <c r="M322" s="9">
        <v>161</v>
      </c>
      <c r="N322" s="9">
        <v>137</v>
      </c>
      <c r="O322" s="9">
        <v>1023</v>
      </c>
      <c r="P322" s="9">
        <v>89</v>
      </c>
      <c r="Q322" s="9">
        <v>167</v>
      </c>
      <c r="R322" s="9">
        <v>114</v>
      </c>
      <c r="S322" s="9">
        <v>36</v>
      </c>
      <c r="T322" s="9">
        <v>324</v>
      </c>
      <c r="U322" s="9">
        <v>5</v>
      </c>
      <c r="V322" s="9">
        <v>13</v>
      </c>
      <c r="W322" s="9">
        <v>0</v>
      </c>
      <c r="X322" s="9">
        <v>0</v>
      </c>
      <c r="Y322" s="9">
        <v>0</v>
      </c>
      <c r="Z322" s="9">
        <v>0</v>
      </c>
      <c r="AA322" s="9">
        <v>71</v>
      </c>
      <c r="AC322" s="9">
        <f t="shared" si="13"/>
        <v>3266</v>
      </c>
      <c r="AD322" s="9">
        <f t="shared" si="14"/>
        <v>35580</v>
      </c>
      <c r="AE322" s="10">
        <f t="shared" si="15"/>
        <v>10.894060012247397</v>
      </c>
    </row>
    <row r="323" spans="1:31" x14ac:dyDescent="0.3">
      <c r="A323" s="55"/>
      <c r="B323" s="30" t="s">
        <v>325</v>
      </c>
      <c r="C323" s="9">
        <v>14</v>
      </c>
      <c r="D323" s="9">
        <v>5</v>
      </c>
      <c r="E323" s="9">
        <v>11</v>
      </c>
      <c r="F323" s="9">
        <v>17</v>
      </c>
      <c r="G323" s="9">
        <v>28</v>
      </c>
      <c r="H323" s="9">
        <v>44</v>
      </c>
      <c r="I323" s="9">
        <v>46</v>
      </c>
      <c r="J323" s="9">
        <v>32</v>
      </c>
      <c r="K323" s="9">
        <v>59</v>
      </c>
      <c r="L323" s="9">
        <v>43</v>
      </c>
      <c r="M323" s="9">
        <v>39</v>
      </c>
      <c r="N323" s="9">
        <v>44</v>
      </c>
      <c r="O323" s="9">
        <v>189</v>
      </c>
      <c r="P323" s="9">
        <v>13</v>
      </c>
      <c r="Q323" s="9">
        <v>29</v>
      </c>
      <c r="R323" s="9">
        <v>21</v>
      </c>
      <c r="S323" s="9">
        <v>2</v>
      </c>
      <c r="T323" s="9">
        <v>32</v>
      </c>
      <c r="U323" s="9">
        <v>0</v>
      </c>
      <c r="V323" s="9">
        <v>5</v>
      </c>
      <c r="W323" s="9">
        <v>0</v>
      </c>
      <c r="X323" s="9">
        <v>0</v>
      </c>
      <c r="Y323" s="9">
        <v>0</v>
      </c>
      <c r="Z323" s="9">
        <v>1</v>
      </c>
      <c r="AA323" s="9">
        <v>17</v>
      </c>
      <c r="AC323" s="9">
        <f t="shared" si="13"/>
        <v>691</v>
      </c>
      <c r="AD323" s="9">
        <f t="shared" si="14"/>
        <v>6903</v>
      </c>
      <c r="AE323" s="10">
        <f t="shared" si="15"/>
        <v>9.9898697539797396</v>
      </c>
    </row>
    <row r="324" spans="1:31" x14ac:dyDescent="0.3">
      <c r="A324" s="55"/>
      <c r="B324" s="30" t="s">
        <v>326</v>
      </c>
      <c r="C324" s="9">
        <v>28</v>
      </c>
      <c r="D324" s="9">
        <v>18</v>
      </c>
      <c r="E324" s="9">
        <v>27</v>
      </c>
      <c r="F324" s="9">
        <v>68</v>
      </c>
      <c r="G324" s="9">
        <v>81</v>
      </c>
      <c r="H324" s="9">
        <v>114</v>
      </c>
      <c r="I324" s="9">
        <v>131</v>
      </c>
      <c r="J324" s="9">
        <v>186</v>
      </c>
      <c r="K324" s="9">
        <v>243</v>
      </c>
      <c r="L324" s="9">
        <v>169</v>
      </c>
      <c r="M324" s="9">
        <v>137</v>
      </c>
      <c r="N324" s="9">
        <v>131</v>
      </c>
      <c r="O324" s="9">
        <v>1112</v>
      </c>
      <c r="P324" s="9">
        <v>70</v>
      </c>
      <c r="Q324" s="9">
        <v>113</v>
      </c>
      <c r="R324" s="9">
        <v>86</v>
      </c>
      <c r="S324" s="9">
        <v>12</v>
      </c>
      <c r="T324" s="9">
        <v>197</v>
      </c>
      <c r="U324" s="9">
        <v>5</v>
      </c>
      <c r="V324" s="9">
        <v>9</v>
      </c>
      <c r="W324" s="9">
        <v>1</v>
      </c>
      <c r="X324" s="9">
        <v>0</v>
      </c>
      <c r="Y324" s="9">
        <v>0</v>
      </c>
      <c r="Z324" s="9">
        <v>1</v>
      </c>
      <c r="AA324" s="9">
        <v>134</v>
      </c>
      <c r="AC324" s="9">
        <f t="shared" si="13"/>
        <v>3073</v>
      </c>
      <c r="AD324" s="9">
        <f t="shared" si="14"/>
        <v>33721</v>
      </c>
      <c r="AE324" s="10">
        <f t="shared" si="15"/>
        <v>10.973315977871787</v>
      </c>
    </row>
    <row r="325" spans="1:31" x14ac:dyDescent="0.3">
      <c r="A325" s="55"/>
      <c r="B325" s="30" t="s">
        <v>327</v>
      </c>
      <c r="C325" s="9">
        <v>14</v>
      </c>
      <c r="D325" s="9">
        <v>9</v>
      </c>
      <c r="E325" s="9">
        <v>10</v>
      </c>
      <c r="F325" s="9">
        <v>18</v>
      </c>
      <c r="G325" s="9">
        <v>29</v>
      </c>
      <c r="H325" s="9">
        <v>45</v>
      </c>
      <c r="I325" s="9">
        <v>59</v>
      </c>
      <c r="J325" s="9">
        <v>31</v>
      </c>
      <c r="K325" s="9">
        <v>75</v>
      </c>
      <c r="L325" s="9">
        <v>34</v>
      </c>
      <c r="M325" s="9">
        <v>51</v>
      </c>
      <c r="N325" s="9">
        <v>46</v>
      </c>
      <c r="O325" s="9">
        <v>423</v>
      </c>
      <c r="P325" s="9">
        <v>21</v>
      </c>
      <c r="Q325" s="9">
        <v>66</v>
      </c>
      <c r="R325" s="9">
        <v>58</v>
      </c>
      <c r="S325" s="9">
        <v>6</v>
      </c>
      <c r="T325" s="9">
        <v>102</v>
      </c>
      <c r="U325" s="9">
        <v>1</v>
      </c>
      <c r="V325" s="9">
        <v>3</v>
      </c>
      <c r="W325" s="9">
        <v>0</v>
      </c>
      <c r="X325" s="9">
        <v>0</v>
      </c>
      <c r="Y325" s="9">
        <v>0</v>
      </c>
      <c r="Z325" s="9">
        <v>3</v>
      </c>
      <c r="AA325" s="9">
        <v>58</v>
      </c>
      <c r="AC325" s="9">
        <f t="shared" ref="AC325:AC346" si="16">SUM(C325:AA325)</f>
        <v>1162</v>
      </c>
      <c r="AD325" s="9">
        <f t="shared" ref="AD325:AD346" si="17">C$2*C325+D$2*D325+E$2*E325+F$2*F325+G$2*G325+H$2*H325+I$2*I325+J$2*J325+K$2*K325+L$2*L325+M$2*M325+N$2*N325+O$2*O325+P$2*P325+Q$2*Q325+R$2*R325+S$2*S325+T$2*T325+U$2*U325+V$2*V325+W$2*W325+X$2*X325+Y$2*Y325+Z$2*Z325+AA$2*AA325</f>
        <v>13426</v>
      </c>
      <c r="AE325" s="10">
        <f t="shared" ref="AE325:AE345" si="18">AD325/AC325</f>
        <v>11.554216867469879</v>
      </c>
    </row>
    <row r="326" spans="1:31" x14ac:dyDescent="0.3">
      <c r="A326" s="55"/>
      <c r="B326" s="30" t="s">
        <v>328</v>
      </c>
      <c r="C326" s="9">
        <v>12</v>
      </c>
      <c r="D326" s="9">
        <v>2</v>
      </c>
      <c r="E326" s="9">
        <v>1</v>
      </c>
      <c r="F326" s="9">
        <v>5</v>
      </c>
      <c r="G326" s="9">
        <v>13</v>
      </c>
      <c r="H326" s="9">
        <v>20</v>
      </c>
      <c r="I326" s="9">
        <v>31</v>
      </c>
      <c r="J326" s="9">
        <v>38</v>
      </c>
      <c r="K326" s="9">
        <v>73</v>
      </c>
      <c r="L326" s="9">
        <v>41</v>
      </c>
      <c r="M326" s="9">
        <v>47</v>
      </c>
      <c r="N326" s="9">
        <v>31</v>
      </c>
      <c r="O326" s="9">
        <v>352</v>
      </c>
      <c r="P326" s="9">
        <v>29</v>
      </c>
      <c r="Q326" s="9">
        <v>51</v>
      </c>
      <c r="R326" s="9">
        <v>41</v>
      </c>
      <c r="S326" s="9">
        <v>8</v>
      </c>
      <c r="T326" s="9">
        <v>81</v>
      </c>
      <c r="U326" s="9">
        <v>1</v>
      </c>
      <c r="V326" s="9">
        <v>3</v>
      </c>
      <c r="W326" s="9">
        <v>0</v>
      </c>
      <c r="X326" s="9">
        <v>1</v>
      </c>
      <c r="Y326" s="9">
        <v>0</v>
      </c>
      <c r="Z326" s="9">
        <v>0</v>
      </c>
      <c r="AA326" s="9">
        <v>38</v>
      </c>
      <c r="AC326" s="9">
        <f t="shared" si="16"/>
        <v>919</v>
      </c>
      <c r="AD326" s="9">
        <f t="shared" si="17"/>
        <v>10830</v>
      </c>
      <c r="AE326" s="10">
        <f t="shared" si="18"/>
        <v>11.784548422198041</v>
      </c>
    </row>
    <row r="327" spans="1:31" x14ac:dyDescent="0.3">
      <c r="A327" s="55"/>
      <c r="B327" s="30" t="s">
        <v>329</v>
      </c>
      <c r="C327" s="9">
        <v>2</v>
      </c>
      <c r="D327" s="9">
        <v>0</v>
      </c>
      <c r="E327" s="9">
        <v>2</v>
      </c>
      <c r="F327" s="9">
        <v>2</v>
      </c>
      <c r="G327" s="9">
        <v>3</v>
      </c>
      <c r="H327" s="9">
        <v>8</v>
      </c>
      <c r="I327" s="9">
        <v>4</v>
      </c>
      <c r="J327" s="9">
        <v>14</v>
      </c>
      <c r="K327" s="9">
        <v>18</v>
      </c>
      <c r="L327" s="9">
        <v>9</v>
      </c>
      <c r="M327" s="9">
        <v>9</v>
      </c>
      <c r="N327" s="9">
        <v>14</v>
      </c>
      <c r="O327" s="9">
        <v>60</v>
      </c>
      <c r="P327" s="9">
        <v>5</v>
      </c>
      <c r="Q327" s="9">
        <v>7</v>
      </c>
      <c r="R327" s="9">
        <v>4</v>
      </c>
      <c r="S327" s="9">
        <v>1</v>
      </c>
      <c r="T327" s="9">
        <v>21</v>
      </c>
      <c r="U327" s="9">
        <v>0</v>
      </c>
      <c r="V327" s="9">
        <v>1</v>
      </c>
      <c r="W327" s="9">
        <v>0</v>
      </c>
      <c r="X327" s="9">
        <v>0</v>
      </c>
      <c r="Y327" s="9">
        <v>0</v>
      </c>
      <c r="Z327" s="9">
        <v>0</v>
      </c>
      <c r="AA327" s="9">
        <v>6</v>
      </c>
      <c r="AC327" s="9">
        <f t="shared" si="16"/>
        <v>190</v>
      </c>
      <c r="AD327" s="9">
        <f t="shared" si="17"/>
        <v>2132</v>
      </c>
      <c r="AE327" s="10">
        <f t="shared" si="18"/>
        <v>11.221052631578948</v>
      </c>
    </row>
    <row r="328" spans="1:31" x14ac:dyDescent="0.3">
      <c r="A328" s="55"/>
      <c r="B328" s="30" t="s">
        <v>330</v>
      </c>
      <c r="C328" s="9">
        <v>20</v>
      </c>
      <c r="D328" s="9">
        <v>14</v>
      </c>
      <c r="E328" s="9">
        <v>11</v>
      </c>
      <c r="F328" s="9">
        <v>19</v>
      </c>
      <c r="G328" s="9">
        <v>23</v>
      </c>
      <c r="H328" s="9">
        <v>55</v>
      </c>
      <c r="I328" s="9">
        <v>42</v>
      </c>
      <c r="J328" s="9">
        <v>68</v>
      </c>
      <c r="K328" s="9">
        <v>124</v>
      </c>
      <c r="L328" s="9">
        <v>93</v>
      </c>
      <c r="M328" s="9">
        <v>103</v>
      </c>
      <c r="N328" s="9">
        <v>112</v>
      </c>
      <c r="O328" s="9">
        <v>873</v>
      </c>
      <c r="P328" s="9">
        <v>73</v>
      </c>
      <c r="Q328" s="9">
        <v>70</v>
      </c>
      <c r="R328" s="9">
        <v>74</v>
      </c>
      <c r="S328" s="9">
        <v>11</v>
      </c>
      <c r="T328" s="9">
        <v>145</v>
      </c>
      <c r="U328" s="9">
        <v>3</v>
      </c>
      <c r="V328" s="9">
        <v>6</v>
      </c>
      <c r="W328" s="9">
        <v>2</v>
      </c>
      <c r="X328" s="9">
        <v>0</v>
      </c>
      <c r="Y328" s="9">
        <v>0</v>
      </c>
      <c r="Z328" s="9">
        <v>3</v>
      </c>
      <c r="AA328" s="9">
        <v>134</v>
      </c>
      <c r="AC328" s="9">
        <f t="shared" si="16"/>
        <v>2078</v>
      </c>
      <c r="AD328" s="9">
        <f t="shared" si="17"/>
        <v>24928</v>
      </c>
      <c r="AE328" s="10">
        <f t="shared" si="18"/>
        <v>11.996150144369587</v>
      </c>
    </row>
    <row r="329" spans="1:31" x14ac:dyDescent="0.3">
      <c r="A329" s="55"/>
      <c r="B329" s="30" t="s">
        <v>331</v>
      </c>
      <c r="C329" s="9">
        <v>15</v>
      </c>
      <c r="D329" s="9">
        <v>6</v>
      </c>
      <c r="E329" s="9">
        <v>6</v>
      </c>
      <c r="F329" s="9">
        <v>15</v>
      </c>
      <c r="G329" s="9">
        <v>17</v>
      </c>
      <c r="H329" s="9">
        <v>34</v>
      </c>
      <c r="I329" s="9">
        <v>43</v>
      </c>
      <c r="J329" s="9">
        <v>58</v>
      </c>
      <c r="K329" s="9">
        <v>117</v>
      </c>
      <c r="L329" s="9">
        <v>52</v>
      </c>
      <c r="M329" s="9">
        <v>72</v>
      </c>
      <c r="N329" s="9">
        <v>65</v>
      </c>
      <c r="O329" s="9">
        <v>558</v>
      </c>
      <c r="P329" s="9">
        <v>21</v>
      </c>
      <c r="Q329" s="9">
        <v>37</v>
      </c>
      <c r="R329" s="9">
        <v>52</v>
      </c>
      <c r="S329" s="9">
        <v>10</v>
      </c>
      <c r="T329" s="9">
        <v>116</v>
      </c>
      <c r="U329" s="9">
        <v>2</v>
      </c>
      <c r="V329" s="9">
        <v>4</v>
      </c>
      <c r="W329" s="9">
        <v>0</v>
      </c>
      <c r="X329" s="9">
        <v>0</v>
      </c>
      <c r="Y329" s="9">
        <v>0</v>
      </c>
      <c r="Z329" s="9">
        <v>1</v>
      </c>
      <c r="AA329" s="9">
        <v>35</v>
      </c>
      <c r="AC329" s="9">
        <f t="shared" si="16"/>
        <v>1336</v>
      </c>
      <c r="AD329" s="9">
        <f t="shared" si="17"/>
        <v>15178</v>
      </c>
      <c r="AE329" s="10">
        <f t="shared" si="18"/>
        <v>11.360778443113773</v>
      </c>
    </row>
    <row r="330" spans="1:31" x14ac:dyDescent="0.3">
      <c r="A330" s="55"/>
      <c r="B330" s="30" t="s">
        <v>332</v>
      </c>
      <c r="C330" s="9">
        <v>19</v>
      </c>
      <c r="D330" s="9">
        <v>5</v>
      </c>
      <c r="E330" s="9">
        <v>3</v>
      </c>
      <c r="F330" s="9">
        <v>9</v>
      </c>
      <c r="G330" s="9">
        <v>7</v>
      </c>
      <c r="H330" s="9">
        <v>20</v>
      </c>
      <c r="I330" s="9">
        <v>17</v>
      </c>
      <c r="J330" s="9">
        <v>27</v>
      </c>
      <c r="K330" s="9">
        <v>45</v>
      </c>
      <c r="L330" s="9">
        <v>32</v>
      </c>
      <c r="M330" s="9">
        <v>34</v>
      </c>
      <c r="N330" s="9">
        <v>43</v>
      </c>
      <c r="O330" s="9">
        <v>418</v>
      </c>
      <c r="P330" s="9">
        <v>13</v>
      </c>
      <c r="Q330" s="9">
        <v>16</v>
      </c>
      <c r="R330" s="9">
        <v>10</v>
      </c>
      <c r="S330" s="9">
        <v>7</v>
      </c>
      <c r="T330" s="9">
        <v>45</v>
      </c>
      <c r="U330" s="9">
        <v>0</v>
      </c>
      <c r="V330" s="9">
        <v>3</v>
      </c>
      <c r="W330" s="9">
        <v>3</v>
      </c>
      <c r="X330" s="9">
        <v>0</v>
      </c>
      <c r="Y330" s="9">
        <v>0</v>
      </c>
      <c r="Z330" s="9">
        <v>0</v>
      </c>
      <c r="AA330" s="9">
        <v>38</v>
      </c>
      <c r="AC330" s="9">
        <f t="shared" si="16"/>
        <v>814</v>
      </c>
      <c r="AD330" s="9">
        <f t="shared" si="17"/>
        <v>9383</v>
      </c>
      <c r="AE330" s="10">
        <f t="shared" si="18"/>
        <v>11.527027027027026</v>
      </c>
    </row>
    <row r="331" spans="1:31" x14ac:dyDescent="0.3">
      <c r="A331" s="55"/>
      <c r="B331" s="30" t="s">
        <v>333</v>
      </c>
      <c r="C331" s="9">
        <v>45</v>
      </c>
      <c r="D331" s="9">
        <v>9</v>
      </c>
      <c r="E331" s="9">
        <v>4</v>
      </c>
      <c r="F331" s="9">
        <v>18</v>
      </c>
      <c r="G331" s="9">
        <v>16</v>
      </c>
      <c r="H331" s="9">
        <v>22</v>
      </c>
      <c r="I331" s="9">
        <v>30</v>
      </c>
      <c r="J331" s="9">
        <v>34</v>
      </c>
      <c r="K331" s="9">
        <v>39</v>
      </c>
      <c r="L331" s="9">
        <v>28</v>
      </c>
      <c r="M331" s="9">
        <v>25</v>
      </c>
      <c r="N331" s="9">
        <v>24</v>
      </c>
      <c r="O331" s="9">
        <v>161</v>
      </c>
      <c r="P331" s="9">
        <v>4</v>
      </c>
      <c r="Q331" s="9">
        <v>15</v>
      </c>
      <c r="R331" s="9">
        <v>16</v>
      </c>
      <c r="S331" s="9">
        <v>4</v>
      </c>
      <c r="T331" s="9">
        <v>37</v>
      </c>
      <c r="U331" s="9">
        <v>1</v>
      </c>
      <c r="V331" s="9">
        <v>1</v>
      </c>
      <c r="W331" s="9">
        <v>0</v>
      </c>
      <c r="X331" s="9">
        <v>0</v>
      </c>
      <c r="Y331" s="9">
        <v>0</v>
      </c>
      <c r="Z331" s="9">
        <v>1</v>
      </c>
      <c r="AA331" s="9">
        <v>22</v>
      </c>
      <c r="AC331" s="9">
        <f t="shared" si="16"/>
        <v>556</v>
      </c>
      <c r="AD331" s="9">
        <f t="shared" si="17"/>
        <v>5456</v>
      </c>
      <c r="AE331" s="10">
        <f t="shared" si="18"/>
        <v>9.8129496402877692</v>
      </c>
    </row>
    <row r="332" spans="1:31" x14ac:dyDescent="0.3">
      <c r="A332" s="55"/>
      <c r="B332" s="30" t="s">
        <v>334</v>
      </c>
      <c r="C332" s="9">
        <v>59</v>
      </c>
      <c r="D332" s="9">
        <v>47</v>
      </c>
      <c r="E332" s="9">
        <v>23</v>
      </c>
      <c r="F332" s="9">
        <v>37</v>
      </c>
      <c r="G332" s="9">
        <v>57</v>
      </c>
      <c r="H332" s="9">
        <v>154</v>
      </c>
      <c r="I332" s="9">
        <v>140</v>
      </c>
      <c r="J332" s="9">
        <v>254</v>
      </c>
      <c r="K332" s="9">
        <v>345</v>
      </c>
      <c r="L332" s="9">
        <v>252</v>
      </c>
      <c r="M332" s="9">
        <v>252</v>
      </c>
      <c r="N332" s="9">
        <v>321</v>
      </c>
      <c r="O332" s="9">
        <v>3035</v>
      </c>
      <c r="P332" s="9">
        <v>585</v>
      </c>
      <c r="Q332" s="9">
        <v>772</v>
      </c>
      <c r="R332" s="9">
        <v>967</v>
      </c>
      <c r="S332" s="9">
        <v>386</v>
      </c>
      <c r="T332" s="9">
        <v>2376</v>
      </c>
      <c r="U332" s="9">
        <v>62</v>
      </c>
      <c r="V332" s="9">
        <v>117</v>
      </c>
      <c r="W332" s="9">
        <v>3</v>
      </c>
      <c r="X332" s="9">
        <v>2</v>
      </c>
      <c r="Y332" s="9">
        <v>2</v>
      </c>
      <c r="Z332" s="9">
        <v>5</v>
      </c>
      <c r="AA332" s="9">
        <v>152</v>
      </c>
      <c r="AC332" s="9">
        <f t="shared" si="16"/>
        <v>10405</v>
      </c>
      <c r="AD332" s="9">
        <f t="shared" si="17"/>
        <v>138053</v>
      </c>
      <c r="AE332" s="10">
        <f t="shared" si="18"/>
        <v>13.267948101874099</v>
      </c>
    </row>
    <row r="333" spans="1:31" x14ac:dyDescent="0.3">
      <c r="A333" s="55"/>
      <c r="B333" s="30" t="s">
        <v>335</v>
      </c>
      <c r="C333" s="9">
        <v>49</v>
      </c>
      <c r="D333" s="9">
        <v>11</v>
      </c>
      <c r="E333" s="9">
        <v>8</v>
      </c>
      <c r="F333" s="9">
        <v>16</v>
      </c>
      <c r="G333" s="9">
        <v>20</v>
      </c>
      <c r="H333" s="9">
        <v>58</v>
      </c>
      <c r="I333" s="9">
        <v>44</v>
      </c>
      <c r="J333" s="9">
        <v>69</v>
      </c>
      <c r="K333" s="9">
        <v>101</v>
      </c>
      <c r="L333" s="9">
        <v>52</v>
      </c>
      <c r="M333" s="9">
        <v>71</v>
      </c>
      <c r="N333" s="9">
        <v>75</v>
      </c>
      <c r="O333" s="9">
        <v>620</v>
      </c>
      <c r="P333" s="9">
        <v>69</v>
      </c>
      <c r="Q333" s="9">
        <v>107</v>
      </c>
      <c r="R333" s="9">
        <v>117</v>
      </c>
      <c r="S333" s="9">
        <v>31</v>
      </c>
      <c r="T333" s="9">
        <v>161</v>
      </c>
      <c r="U333" s="9">
        <v>6</v>
      </c>
      <c r="V333" s="9">
        <v>8</v>
      </c>
      <c r="W333" s="9">
        <v>1</v>
      </c>
      <c r="X333" s="9">
        <v>1</v>
      </c>
      <c r="Y333" s="9">
        <v>1</v>
      </c>
      <c r="Z333" s="9">
        <v>0</v>
      </c>
      <c r="AA333" s="9">
        <v>109</v>
      </c>
      <c r="AC333" s="9">
        <f t="shared" si="16"/>
        <v>1805</v>
      </c>
      <c r="AD333" s="9">
        <f t="shared" si="17"/>
        <v>21765</v>
      </c>
      <c r="AE333" s="10">
        <f t="shared" si="18"/>
        <v>12.058171745152354</v>
      </c>
    </row>
    <row r="334" spans="1:31" x14ac:dyDescent="0.3">
      <c r="A334" s="55"/>
      <c r="B334" s="30" t="s">
        <v>336</v>
      </c>
      <c r="C334" s="9">
        <v>14</v>
      </c>
      <c r="D334" s="9">
        <v>3</v>
      </c>
      <c r="E334" s="9">
        <v>5</v>
      </c>
      <c r="F334" s="9">
        <v>2</v>
      </c>
      <c r="G334" s="9">
        <v>4</v>
      </c>
      <c r="H334" s="9">
        <v>20</v>
      </c>
      <c r="I334" s="9">
        <v>19</v>
      </c>
      <c r="J334" s="9">
        <v>24</v>
      </c>
      <c r="K334" s="9">
        <v>11</v>
      </c>
      <c r="L334" s="9">
        <v>19</v>
      </c>
      <c r="M334" s="9">
        <v>18</v>
      </c>
      <c r="N334" s="9">
        <v>25</v>
      </c>
      <c r="O334" s="9">
        <v>153</v>
      </c>
      <c r="P334" s="9">
        <v>17</v>
      </c>
      <c r="Q334" s="9">
        <v>21</v>
      </c>
      <c r="R334" s="9">
        <v>21</v>
      </c>
      <c r="S334" s="9">
        <v>7</v>
      </c>
      <c r="T334" s="9">
        <v>42</v>
      </c>
      <c r="U334" s="9">
        <v>1</v>
      </c>
      <c r="V334" s="9">
        <v>4</v>
      </c>
      <c r="W334" s="9">
        <v>0</v>
      </c>
      <c r="X334" s="9">
        <v>0</v>
      </c>
      <c r="Y334" s="9">
        <v>0</v>
      </c>
      <c r="Z334" s="9">
        <v>0</v>
      </c>
      <c r="AA334" s="9">
        <v>8</v>
      </c>
      <c r="AC334" s="9">
        <f t="shared" si="16"/>
        <v>438</v>
      </c>
      <c r="AD334" s="9">
        <f t="shared" si="17"/>
        <v>4909</v>
      </c>
      <c r="AE334" s="10">
        <f t="shared" si="18"/>
        <v>11.207762557077626</v>
      </c>
    </row>
    <row r="335" spans="1:31" x14ac:dyDescent="0.3">
      <c r="A335" s="55"/>
      <c r="B335" s="30" t="s">
        <v>337</v>
      </c>
      <c r="C335" s="9">
        <v>13</v>
      </c>
      <c r="D335" s="9">
        <v>7</v>
      </c>
      <c r="E335" s="9">
        <v>4</v>
      </c>
      <c r="F335" s="9">
        <v>9</v>
      </c>
      <c r="G335" s="9">
        <v>20</v>
      </c>
      <c r="H335" s="9">
        <v>33</v>
      </c>
      <c r="I335" s="9">
        <v>33</v>
      </c>
      <c r="J335" s="9">
        <v>36</v>
      </c>
      <c r="K335" s="9">
        <v>56</v>
      </c>
      <c r="L335" s="9">
        <v>29</v>
      </c>
      <c r="M335" s="9">
        <v>38</v>
      </c>
      <c r="N335" s="9">
        <v>40</v>
      </c>
      <c r="O335" s="9">
        <v>189</v>
      </c>
      <c r="P335" s="9">
        <v>19</v>
      </c>
      <c r="Q335" s="9">
        <v>21</v>
      </c>
      <c r="R335" s="9">
        <v>48</v>
      </c>
      <c r="S335" s="9">
        <v>11</v>
      </c>
      <c r="T335" s="9">
        <v>81</v>
      </c>
      <c r="U335" s="9">
        <v>3</v>
      </c>
      <c r="V335" s="9">
        <v>0</v>
      </c>
      <c r="W335" s="9">
        <v>0</v>
      </c>
      <c r="X335" s="9">
        <v>0</v>
      </c>
      <c r="Y335" s="9">
        <v>0</v>
      </c>
      <c r="Z335" s="9">
        <v>1</v>
      </c>
      <c r="AA335" s="9">
        <v>28</v>
      </c>
      <c r="AC335" s="9">
        <f t="shared" si="16"/>
        <v>719</v>
      </c>
      <c r="AD335" s="9">
        <f t="shared" si="17"/>
        <v>8097</v>
      </c>
      <c r="AE335" s="10">
        <f t="shared" si="18"/>
        <v>11.261474269819193</v>
      </c>
    </row>
    <row r="336" spans="1:31" x14ac:dyDescent="0.3">
      <c r="A336" s="55"/>
      <c r="B336" s="30" t="s">
        <v>338</v>
      </c>
      <c r="C336" s="9">
        <v>15</v>
      </c>
      <c r="D336" s="9">
        <v>6</v>
      </c>
      <c r="E336" s="9">
        <v>13</v>
      </c>
      <c r="F336" s="9">
        <v>18</v>
      </c>
      <c r="G336" s="9">
        <v>17</v>
      </c>
      <c r="H336" s="9">
        <v>25</v>
      </c>
      <c r="I336" s="9">
        <v>55</v>
      </c>
      <c r="J336" s="9">
        <v>58</v>
      </c>
      <c r="K336" s="9">
        <v>79</v>
      </c>
      <c r="L336" s="9">
        <v>60</v>
      </c>
      <c r="M336" s="9">
        <v>48</v>
      </c>
      <c r="N336" s="9">
        <v>49</v>
      </c>
      <c r="O336" s="9">
        <v>387</v>
      </c>
      <c r="P336" s="9">
        <v>54</v>
      </c>
      <c r="Q336" s="9">
        <v>52</v>
      </c>
      <c r="R336" s="9">
        <v>109</v>
      </c>
      <c r="S336" s="9">
        <v>35</v>
      </c>
      <c r="T336" s="9">
        <v>189</v>
      </c>
      <c r="U336" s="9">
        <v>4</v>
      </c>
      <c r="V336" s="9">
        <v>2</v>
      </c>
      <c r="W336" s="9">
        <v>0</v>
      </c>
      <c r="X336" s="9">
        <v>0</v>
      </c>
      <c r="Y336" s="9">
        <v>0</v>
      </c>
      <c r="Z336" s="9">
        <v>0</v>
      </c>
      <c r="AA336" s="9">
        <v>23</v>
      </c>
      <c r="AC336" s="9">
        <f t="shared" si="16"/>
        <v>1298</v>
      </c>
      <c r="AD336" s="9">
        <f t="shared" si="17"/>
        <v>15350</v>
      </c>
      <c r="AE336" s="10">
        <f t="shared" si="18"/>
        <v>11.825885978428351</v>
      </c>
    </row>
    <row r="337" spans="1:31" x14ac:dyDescent="0.3">
      <c r="A337" s="55"/>
      <c r="B337" s="30" t="s">
        <v>339</v>
      </c>
      <c r="C337" s="9">
        <v>7</v>
      </c>
      <c r="D337" s="9">
        <v>3</v>
      </c>
      <c r="E337" s="9">
        <v>6</v>
      </c>
      <c r="F337" s="9">
        <v>6</v>
      </c>
      <c r="G337" s="9">
        <v>16</v>
      </c>
      <c r="H337" s="9">
        <v>22</v>
      </c>
      <c r="I337" s="9">
        <v>27</v>
      </c>
      <c r="J337" s="9">
        <v>26</v>
      </c>
      <c r="K337" s="9">
        <v>83</v>
      </c>
      <c r="L337" s="9">
        <v>43</v>
      </c>
      <c r="M337" s="9">
        <v>55</v>
      </c>
      <c r="N337" s="9">
        <v>66</v>
      </c>
      <c r="O337" s="9">
        <v>152</v>
      </c>
      <c r="P337" s="9">
        <v>3</v>
      </c>
      <c r="Q337" s="9">
        <v>15</v>
      </c>
      <c r="R337" s="9">
        <v>12</v>
      </c>
      <c r="S337" s="9">
        <v>1</v>
      </c>
      <c r="T337" s="9">
        <v>20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40</v>
      </c>
      <c r="AC337" s="9">
        <f t="shared" si="16"/>
        <v>603</v>
      </c>
      <c r="AD337" s="9">
        <f t="shared" si="17"/>
        <v>6447</v>
      </c>
      <c r="AE337" s="10">
        <f t="shared" si="18"/>
        <v>10.691542288557214</v>
      </c>
    </row>
    <row r="338" spans="1:31" x14ac:dyDescent="0.3">
      <c r="A338" s="55"/>
      <c r="B338" s="30" t="s">
        <v>340</v>
      </c>
      <c r="C338" s="9">
        <v>22</v>
      </c>
      <c r="D338" s="9">
        <v>6</v>
      </c>
      <c r="E338" s="9">
        <v>12</v>
      </c>
      <c r="F338" s="9">
        <v>31</v>
      </c>
      <c r="G338" s="9">
        <v>24</v>
      </c>
      <c r="H338" s="9">
        <v>64</v>
      </c>
      <c r="I338" s="9">
        <v>78</v>
      </c>
      <c r="J338" s="9">
        <v>86</v>
      </c>
      <c r="K338" s="9">
        <v>133</v>
      </c>
      <c r="L338" s="9">
        <v>80</v>
      </c>
      <c r="M338" s="9">
        <v>73</v>
      </c>
      <c r="N338" s="9">
        <v>68</v>
      </c>
      <c r="O338" s="9">
        <v>525</v>
      </c>
      <c r="P338" s="9">
        <v>32</v>
      </c>
      <c r="Q338" s="9">
        <v>44</v>
      </c>
      <c r="R338" s="9">
        <v>66</v>
      </c>
      <c r="S338" s="9">
        <v>16</v>
      </c>
      <c r="T338" s="9">
        <v>109</v>
      </c>
      <c r="U338" s="9">
        <v>2</v>
      </c>
      <c r="V338" s="9">
        <v>2</v>
      </c>
      <c r="W338" s="9">
        <v>2</v>
      </c>
      <c r="X338" s="9">
        <v>0</v>
      </c>
      <c r="Y338" s="9">
        <v>1</v>
      </c>
      <c r="Z338" s="9">
        <v>2</v>
      </c>
      <c r="AA338" s="9">
        <v>29</v>
      </c>
      <c r="AC338" s="9">
        <f t="shared" si="16"/>
        <v>1507</v>
      </c>
      <c r="AD338" s="9">
        <f t="shared" si="17"/>
        <v>16180</v>
      </c>
      <c r="AE338" s="10">
        <f t="shared" si="18"/>
        <v>10.736562707365627</v>
      </c>
    </row>
    <row r="339" spans="1:31" x14ac:dyDescent="0.3">
      <c r="A339" s="55"/>
      <c r="B339" s="30" t="s">
        <v>341</v>
      </c>
      <c r="C339" s="9">
        <v>61</v>
      </c>
      <c r="D339" s="9">
        <v>5</v>
      </c>
      <c r="E339" s="9">
        <v>6</v>
      </c>
      <c r="F339" s="9">
        <v>18</v>
      </c>
      <c r="G339" s="9">
        <v>25</v>
      </c>
      <c r="H339" s="9">
        <v>49</v>
      </c>
      <c r="I339" s="9">
        <v>57</v>
      </c>
      <c r="J339" s="9">
        <v>66</v>
      </c>
      <c r="K339" s="9">
        <v>144</v>
      </c>
      <c r="L339" s="9">
        <v>91</v>
      </c>
      <c r="M339" s="9">
        <v>111</v>
      </c>
      <c r="N339" s="9">
        <v>138</v>
      </c>
      <c r="O339" s="9">
        <v>1153</v>
      </c>
      <c r="P339" s="9">
        <v>83</v>
      </c>
      <c r="Q339" s="9">
        <v>130</v>
      </c>
      <c r="R339" s="9">
        <v>138</v>
      </c>
      <c r="S339" s="9">
        <v>47</v>
      </c>
      <c r="T339" s="9">
        <v>159</v>
      </c>
      <c r="U339" s="9">
        <v>4</v>
      </c>
      <c r="V339" s="9">
        <v>3</v>
      </c>
      <c r="W339" s="9">
        <v>0</v>
      </c>
      <c r="X339" s="9">
        <v>0</v>
      </c>
      <c r="Y339" s="9">
        <v>0</v>
      </c>
      <c r="Z339" s="9">
        <v>0</v>
      </c>
      <c r="AA339" s="9">
        <v>109</v>
      </c>
      <c r="AC339" s="9">
        <f t="shared" si="16"/>
        <v>2597</v>
      </c>
      <c r="AD339" s="9">
        <f t="shared" si="17"/>
        <v>30824</v>
      </c>
      <c r="AE339" s="10">
        <f t="shared" si="18"/>
        <v>11.86907970735464</v>
      </c>
    </row>
    <row r="340" spans="1:31" x14ac:dyDescent="0.3">
      <c r="A340" s="55"/>
      <c r="B340" s="30" t="s">
        <v>342</v>
      </c>
      <c r="C340" s="9">
        <v>17</v>
      </c>
      <c r="D340" s="9">
        <v>6</v>
      </c>
      <c r="E340" s="9">
        <v>4</v>
      </c>
      <c r="F340" s="9">
        <v>16</v>
      </c>
      <c r="G340" s="9">
        <v>27</v>
      </c>
      <c r="H340" s="9">
        <v>60</v>
      </c>
      <c r="I340" s="9">
        <v>85</v>
      </c>
      <c r="J340" s="9">
        <v>91</v>
      </c>
      <c r="K340" s="9">
        <v>124</v>
      </c>
      <c r="L340" s="9">
        <v>74</v>
      </c>
      <c r="M340" s="9">
        <v>105</v>
      </c>
      <c r="N340" s="9">
        <v>115</v>
      </c>
      <c r="O340" s="9">
        <v>771</v>
      </c>
      <c r="P340" s="9">
        <v>54</v>
      </c>
      <c r="Q340" s="9">
        <v>73</v>
      </c>
      <c r="R340" s="9">
        <v>53</v>
      </c>
      <c r="S340" s="9">
        <v>21</v>
      </c>
      <c r="T340" s="9">
        <v>109</v>
      </c>
      <c r="U340" s="9">
        <v>2</v>
      </c>
      <c r="V340" s="9">
        <v>3</v>
      </c>
      <c r="W340" s="9">
        <v>0</v>
      </c>
      <c r="X340" s="9">
        <v>0</v>
      </c>
      <c r="Y340" s="9">
        <v>0</v>
      </c>
      <c r="Z340" s="9">
        <v>0</v>
      </c>
      <c r="AA340" s="9">
        <v>48</v>
      </c>
      <c r="AC340" s="9">
        <f t="shared" si="16"/>
        <v>1858</v>
      </c>
      <c r="AD340" s="9">
        <f t="shared" si="17"/>
        <v>20795</v>
      </c>
      <c r="AE340" s="10">
        <f t="shared" si="18"/>
        <v>11.192142088266953</v>
      </c>
    </row>
    <row r="341" spans="1:31" x14ac:dyDescent="0.3">
      <c r="A341" s="55"/>
      <c r="B341" s="30" t="s">
        <v>343</v>
      </c>
      <c r="C341" s="9">
        <v>22</v>
      </c>
      <c r="D341" s="9">
        <v>10</v>
      </c>
      <c r="E341" s="9">
        <v>24</v>
      </c>
      <c r="F341" s="9">
        <v>26</v>
      </c>
      <c r="G341" s="9">
        <v>36</v>
      </c>
      <c r="H341" s="9">
        <v>81</v>
      </c>
      <c r="I341" s="9">
        <v>90</v>
      </c>
      <c r="J341" s="9">
        <v>116</v>
      </c>
      <c r="K341" s="9">
        <v>162</v>
      </c>
      <c r="L341" s="9">
        <v>122</v>
      </c>
      <c r="M341" s="9">
        <v>100</v>
      </c>
      <c r="N341" s="9">
        <v>114</v>
      </c>
      <c r="O341" s="9">
        <v>559</v>
      </c>
      <c r="P341" s="9">
        <v>48</v>
      </c>
      <c r="Q341" s="9">
        <v>53</v>
      </c>
      <c r="R341" s="9">
        <v>68</v>
      </c>
      <c r="S341" s="9">
        <v>17</v>
      </c>
      <c r="T341" s="9">
        <v>138</v>
      </c>
      <c r="U341" s="9">
        <v>7</v>
      </c>
      <c r="V341" s="9">
        <v>5</v>
      </c>
      <c r="W341" s="9">
        <v>0</v>
      </c>
      <c r="X341" s="9">
        <v>0</v>
      </c>
      <c r="Y341" s="9">
        <v>0</v>
      </c>
      <c r="Z341" s="9">
        <v>1</v>
      </c>
      <c r="AA341" s="9">
        <v>60</v>
      </c>
      <c r="AC341" s="9">
        <f t="shared" si="16"/>
        <v>1859</v>
      </c>
      <c r="AD341" s="9">
        <f t="shared" si="17"/>
        <v>20081</v>
      </c>
      <c r="AE341" s="10">
        <f t="shared" si="18"/>
        <v>10.802044109736418</v>
      </c>
    </row>
    <row r="342" spans="1:31" x14ac:dyDescent="0.3">
      <c r="A342" s="55"/>
      <c r="B342" s="30" t="s">
        <v>344</v>
      </c>
      <c r="C342" s="9">
        <v>13</v>
      </c>
      <c r="D342" s="9">
        <v>5</v>
      </c>
      <c r="E342" s="9">
        <v>4</v>
      </c>
      <c r="F342" s="9">
        <v>8</v>
      </c>
      <c r="G342" s="9">
        <v>10</v>
      </c>
      <c r="H342" s="9">
        <v>27</v>
      </c>
      <c r="I342" s="9">
        <v>28</v>
      </c>
      <c r="J342" s="9">
        <v>36</v>
      </c>
      <c r="K342" s="9">
        <v>40</v>
      </c>
      <c r="L342" s="9">
        <v>24</v>
      </c>
      <c r="M342" s="9">
        <v>29</v>
      </c>
      <c r="N342" s="9">
        <v>24</v>
      </c>
      <c r="O342" s="9">
        <v>191</v>
      </c>
      <c r="P342" s="9">
        <v>14</v>
      </c>
      <c r="Q342" s="9">
        <v>29</v>
      </c>
      <c r="R342" s="9">
        <v>26</v>
      </c>
      <c r="S342" s="9">
        <v>9</v>
      </c>
      <c r="T342" s="9">
        <v>46</v>
      </c>
      <c r="U342" s="9">
        <v>1</v>
      </c>
      <c r="V342" s="9">
        <v>3</v>
      </c>
      <c r="W342" s="9">
        <v>0</v>
      </c>
      <c r="X342" s="9">
        <v>0</v>
      </c>
      <c r="Y342" s="9">
        <v>0</v>
      </c>
      <c r="Z342" s="9">
        <v>0</v>
      </c>
      <c r="AA342" s="9">
        <v>15</v>
      </c>
      <c r="AC342" s="9">
        <f t="shared" si="16"/>
        <v>582</v>
      </c>
      <c r="AD342" s="9">
        <f t="shared" si="17"/>
        <v>6353</v>
      </c>
      <c r="AE342" s="10">
        <f t="shared" si="18"/>
        <v>10.915807560137457</v>
      </c>
    </row>
    <row r="343" spans="1:31" x14ac:dyDescent="0.3">
      <c r="A343" s="55"/>
      <c r="B343" s="30" t="s">
        <v>345</v>
      </c>
      <c r="C343" s="9">
        <v>8</v>
      </c>
      <c r="D343" s="9">
        <v>5</v>
      </c>
      <c r="E343" s="9">
        <v>9</v>
      </c>
      <c r="F343" s="9">
        <v>13</v>
      </c>
      <c r="G343" s="9">
        <v>14</v>
      </c>
      <c r="H343" s="9">
        <v>21</v>
      </c>
      <c r="I343" s="9">
        <v>22</v>
      </c>
      <c r="J343" s="9">
        <v>27</v>
      </c>
      <c r="K343" s="9">
        <v>43</v>
      </c>
      <c r="L343" s="9">
        <v>28</v>
      </c>
      <c r="M343" s="9">
        <v>29</v>
      </c>
      <c r="N343" s="9">
        <v>29</v>
      </c>
      <c r="O343" s="9">
        <v>173</v>
      </c>
      <c r="P343" s="9">
        <v>9</v>
      </c>
      <c r="Q343" s="9">
        <v>15</v>
      </c>
      <c r="R343" s="9">
        <v>9</v>
      </c>
      <c r="S343" s="9">
        <v>5</v>
      </c>
      <c r="T343" s="9">
        <v>24</v>
      </c>
      <c r="U343" s="9">
        <v>0</v>
      </c>
      <c r="V343" s="9">
        <v>1</v>
      </c>
      <c r="W343" s="9">
        <v>0</v>
      </c>
      <c r="X343" s="9">
        <v>0</v>
      </c>
      <c r="Y343" s="9">
        <v>0</v>
      </c>
      <c r="Z343" s="9">
        <v>0</v>
      </c>
      <c r="AA343" s="9">
        <v>9</v>
      </c>
      <c r="AC343" s="9">
        <f t="shared" si="16"/>
        <v>493</v>
      </c>
      <c r="AD343" s="9">
        <f t="shared" si="17"/>
        <v>5010</v>
      </c>
      <c r="AE343" s="10">
        <f t="shared" si="18"/>
        <v>10.162271805273834</v>
      </c>
    </row>
    <row r="344" spans="1:31" x14ac:dyDescent="0.3">
      <c r="A344" s="55"/>
      <c r="B344" s="30" t="s">
        <v>346</v>
      </c>
      <c r="C344" s="9">
        <v>4</v>
      </c>
      <c r="D344" s="9">
        <v>1</v>
      </c>
      <c r="E344" s="9">
        <v>1</v>
      </c>
      <c r="F344" s="9">
        <v>2</v>
      </c>
      <c r="G344" s="9">
        <v>4</v>
      </c>
      <c r="H344" s="9">
        <v>10</v>
      </c>
      <c r="I344" s="9">
        <v>8</v>
      </c>
      <c r="J344" s="9">
        <v>14</v>
      </c>
      <c r="K344" s="9">
        <v>14</v>
      </c>
      <c r="L344" s="9">
        <v>8</v>
      </c>
      <c r="M344" s="9">
        <v>8</v>
      </c>
      <c r="N344" s="9">
        <v>14</v>
      </c>
      <c r="O344" s="9">
        <v>107</v>
      </c>
      <c r="P344" s="9">
        <v>6</v>
      </c>
      <c r="Q344" s="9">
        <v>15</v>
      </c>
      <c r="R344" s="9">
        <v>9</v>
      </c>
      <c r="S344" s="9">
        <v>0</v>
      </c>
      <c r="T344" s="9">
        <v>25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16</v>
      </c>
      <c r="AC344" s="9">
        <f t="shared" si="16"/>
        <v>266</v>
      </c>
      <c r="AD344" s="9">
        <f t="shared" si="17"/>
        <v>3155</v>
      </c>
      <c r="AE344" s="10">
        <f t="shared" si="18"/>
        <v>11.860902255639099</v>
      </c>
    </row>
    <row r="345" spans="1:31" x14ac:dyDescent="0.3">
      <c r="A345" s="55"/>
      <c r="B345" s="30" t="s">
        <v>347</v>
      </c>
      <c r="C345" s="9">
        <v>4</v>
      </c>
      <c r="D345" s="9">
        <v>4</v>
      </c>
      <c r="E345" s="9">
        <v>0</v>
      </c>
      <c r="F345" s="9">
        <v>5</v>
      </c>
      <c r="G345" s="9">
        <v>7</v>
      </c>
      <c r="H345" s="9">
        <v>15</v>
      </c>
      <c r="I345" s="9">
        <v>16</v>
      </c>
      <c r="J345" s="9">
        <v>30</v>
      </c>
      <c r="K345" s="9">
        <v>35</v>
      </c>
      <c r="L345" s="9">
        <v>32</v>
      </c>
      <c r="M345" s="9">
        <v>24</v>
      </c>
      <c r="N345" s="9">
        <v>25</v>
      </c>
      <c r="O345" s="9">
        <v>150</v>
      </c>
      <c r="P345" s="9">
        <v>9</v>
      </c>
      <c r="Q345" s="9">
        <v>14</v>
      </c>
      <c r="R345" s="9">
        <v>5</v>
      </c>
      <c r="S345" s="9">
        <v>3</v>
      </c>
      <c r="T345" s="9">
        <v>23</v>
      </c>
      <c r="U345" s="9">
        <v>3</v>
      </c>
      <c r="V345" s="9">
        <v>2</v>
      </c>
      <c r="W345" s="9">
        <v>0</v>
      </c>
      <c r="X345" s="9">
        <v>0</v>
      </c>
      <c r="Y345" s="9">
        <v>0</v>
      </c>
      <c r="Z345" s="9">
        <v>0</v>
      </c>
      <c r="AA345" s="9">
        <v>12</v>
      </c>
      <c r="AC345" s="9">
        <f t="shared" si="16"/>
        <v>418</v>
      </c>
      <c r="AD345" s="9">
        <f t="shared" si="17"/>
        <v>4518</v>
      </c>
      <c r="AE345" s="10">
        <f t="shared" si="18"/>
        <v>10.808612440191387</v>
      </c>
    </row>
    <row r="346" spans="1:31" x14ac:dyDescent="0.3">
      <c r="A346" s="55"/>
      <c r="B346" s="30" t="s">
        <v>348</v>
      </c>
      <c r="C346" s="15">
        <v>7</v>
      </c>
      <c r="D346" s="14">
        <v>1</v>
      </c>
      <c r="E346" s="14">
        <v>1</v>
      </c>
      <c r="F346" s="14">
        <v>6</v>
      </c>
      <c r="G346" s="14">
        <v>5</v>
      </c>
      <c r="H346" s="14">
        <v>23</v>
      </c>
      <c r="I346" s="14">
        <v>22</v>
      </c>
      <c r="J346" s="14">
        <v>20</v>
      </c>
      <c r="K346" s="14">
        <v>41</v>
      </c>
      <c r="L346" s="14">
        <v>41</v>
      </c>
      <c r="M346" s="14">
        <v>32</v>
      </c>
      <c r="N346" s="14">
        <v>32</v>
      </c>
      <c r="O346" s="14">
        <v>124</v>
      </c>
      <c r="P346" s="14">
        <v>7</v>
      </c>
      <c r="Q346" s="14">
        <v>6</v>
      </c>
      <c r="R346" s="14">
        <v>10</v>
      </c>
      <c r="S346" s="14">
        <v>0</v>
      </c>
      <c r="T346" s="14">
        <v>11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1</v>
      </c>
      <c r="AA346" s="14">
        <v>38</v>
      </c>
      <c r="AC346" s="14">
        <f t="shared" si="16"/>
        <v>428</v>
      </c>
      <c r="AD346" s="14">
        <f t="shared" si="17"/>
        <v>4732</v>
      </c>
      <c r="AE346" s="16">
        <f>AD346/AC346</f>
        <v>11.05607476635514</v>
      </c>
    </row>
    <row r="347" spans="1:31" x14ac:dyDescent="0.3">
      <c r="A347" s="11"/>
      <c r="C347" s="17">
        <f>SUM(C4:C346)</f>
        <v>22352</v>
      </c>
      <c r="D347" s="17">
        <f t="shared" ref="D347:AA347" si="19">SUM(D4:D346)</f>
        <v>9489</v>
      </c>
      <c r="E347" s="17">
        <f t="shared" si="19"/>
        <v>12561</v>
      </c>
      <c r="F347" s="17">
        <f t="shared" si="19"/>
        <v>25120</v>
      </c>
      <c r="G347" s="17">
        <f t="shared" si="19"/>
        <v>27246</v>
      </c>
      <c r="H347" s="17">
        <f t="shared" si="19"/>
        <v>59969</v>
      </c>
      <c r="I347" s="17">
        <f t="shared" si="19"/>
        <v>56648</v>
      </c>
      <c r="J347" s="17">
        <f t="shared" si="19"/>
        <v>59392</v>
      </c>
      <c r="K347" s="17">
        <f t="shared" si="19"/>
        <v>89979</v>
      </c>
      <c r="L347" s="17">
        <f t="shared" si="19"/>
        <v>52951</v>
      </c>
      <c r="M347" s="17">
        <f t="shared" si="19"/>
        <v>58821</v>
      </c>
      <c r="N347" s="17">
        <f t="shared" si="19"/>
        <v>55898</v>
      </c>
      <c r="O347" s="17">
        <f t="shared" si="19"/>
        <v>654945</v>
      </c>
      <c r="P347" s="17">
        <f t="shared" si="19"/>
        <v>70510</v>
      </c>
      <c r="Q347" s="17">
        <f t="shared" si="19"/>
        <v>130242</v>
      </c>
      <c r="R347" s="17">
        <f t="shared" si="19"/>
        <v>179914</v>
      </c>
      <c r="S347" s="17">
        <f t="shared" si="19"/>
        <v>54487</v>
      </c>
      <c r="T347" s="17">
        <f t="shared" si="19"/>
        <v>391029</v>
      </c>
      <c r="U347" s="17">
        <f t="shared" si="19"/>
        <v>10602</v>
      </c>
      <c r="V347" s="17">
        <f t="shared" si="19"/>
        <v>27200</v>
      </c>
      <c r="W347" s="17">
        <f t="shared" si="19"/>
        <v>565</v>
      </c>
      <c r="X347" s="17">
        <f t="shared" si="19"/>
        <v>210</v>
      </c>
      <c r="Y347" s="17">
        <f t="shared" si="19"/>
        <v>258</v>
      </c>
      <c r="Z347" s="17">
        <f t="shared" si="19"/>
        <v>1498</v>
      </c>
      <c r="AA347" s="17">
        <f t="shared" si="19"/>
        <v>35390</v>
      </c>
      <c r="AC347" s="17">
        <f t="shared" ref="AC347:AD347" si="20">SUM(AC4:AC346)</f>
        <v>2087276</v>
      </c>
      <c r="AD347" s="17">
        <f t="shared" si="20"/>
        <v>26104100</v>
      </c>
      <c r="AE347" s="18">
        <f>AD347/AC347</f>
        <v>12.506300077229843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49E9-BF01-43E9-9DCC-D64E669C1345}">
  <dimension ref="A1:AO681"/>
  <sheetViews>
    <sheetView workbookViewId="0">
      <selection activeCell="K13" sqref="K13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6" width="7.33203125" style="1" bestFit="1" customWidth="1"/>
    <col min="7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4.44140625" style="1" bestFit="1" customWidth="1"/>
    <col min="35" max="35" width="25.33203125" style="1" bestFit="1" customWidth="1"/>
    <col min="36" max="36" width="20.33203125" style="1" bestFit="1" customWidth="1"/>
    <col min="37" max="16384" width="11.5546875" style="1"/>
  </cols>
  <sheetData>
    <row r="1" spans="1:36" x14ac:dyDescent="0.3">
      <c r="A1" s="49"/>
      <c r="B1" s="49"/>
      <c r="C1" s="51" t="s">
        <v>0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/>
      <c r="AA1" s="53"/>
    </row>
    <row r="2" spans="1:36" x14ac:dyDescent="0.3">
      <c r="A2" s="49"/>
      <c r="B2" s="49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6" ht="43.8" thickBot="1" x14ac:dyDescent="0.35">
      <c r="A3" s="50"/>
      <c r="B3" s="50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A3" s="13" t="s">
        <v>1</v>
      </c>
      <c r="AC3" s="6" t="s">
        <v>2</v>
      </c>
      <c r="AD3" s="7" t="s">
        <v>3</v>
      </c>
      <c r="AE3" s="8" t="s">
        <v>4</v>
      </c>
      <c r="AG3" s="24" t="s">
        <v>349</v>
      </c>
      <c r="AH3" s="8" t="s">
        <v>350</v>
      </c>
      <c r="AI3" s="8" t="s">
        <v>351</v>
      </c>
      <c r="AJ3" s="8" t="s">
        <v>352</v>
      </c>
    </row>
    <row r="4" spans="1:36" x14ac:dyDescent="0.3">
      <c r="A4" s="54" t="s">
        <v>5</v>
      </c>
      <c r="B4" s="19" t="s">
        <v>6</v>
      </c>
      <c r="C4" s="9">
        <v>353</v>
      </c>
      <c r="D4" s="9">
        <v>145</v>
      </c>
      <c r="E4" s="9">
        <v>218</v>
      </c>
      <c r="F4" s="9">
        <v>407</v>
      </c>
      <c r="G4" s="9">
        <v>398</v>
      </c>
      <c r="H4" s="9">
        <v>814</v>
      </c>
      <c r="I4" s="9">
        <v>721</v>
      </c>
      <c r="J4" s="9">
        <v>483</v>
      </c>
      <c r="K4" s="9">
        <v>684</v>
      </c>
      <c r="L4" s="9">
        <v>472</v>
      </c>
      <c r="M4" s="9">
        <v>402</v>
      </c>
      <c r="N4" s="9">
        <v>441</v>
      </c>
      <c r="O4" s="9">
        <v>4547</v>
      </c>
      <c r="P4" s="9">
        <v>1236</v>
      </c>
      <c r="Q4" s="9">
        <v>1800</v>
      </c>
      <c r="R4" s="9">
        <v>3037</v>
      </c>
      <c r="S4" s="9">
        <v>1411</v>
      </c>
      <c r="T4" s="9">
        <v>10370</v>
      </c>
      <c r="U4" s="9">
        <v>224</v>
      </c>
      <c r="V4" s="9">
        <v>732</v>
      </c>
      <c r="W4" s="9">
        <v>11</v>
      </c>
      <c r="X4" s="9">
        <v>4</v>
      </c>
      <c r="Y4" s="9">
        <v>3</v>
      </c>
      <c r="Z4" s="9">
        <v>18</v>
      </c>
      <c r="AA4" s="9">
        <v>369</v>
      </c>
      <c r="AC4" s="9">
        <f>SUM(C4:AA4)</f>
        <v>29300</v>
      </c>
      <c r="AD4" s="9">
        <f>C$2*C4+D$2*D4+E$2*E4+F$2*F4+G$2*G4+H$2*H4+I$2*I4+J$2*J4+K$2*K4+L$2*L4+M$2*M4+N$2*N4+O$2*O4+P$2*P4+Q$2*Q4+R$2*R4+S$2*S4+T$2*T4+U$2*U4+V$2*V4+W$2*W4+X$2*X4+Y$2*Y4+Z$2*Z4+AA$2*AA4</f>
        <v>401595</v>
      </c>
      <c r="AE4" s="10">
        <f>AD4/AC4</f>
        <v>13.706313993174062</v>
      </c>
      <c r="AG4" s="22" t="s">
        <v>353</v>
      </c>
      <c r="AH4" s="28">
        <f>+SUM(AC4:AC32)</f>
        <v>52318</v>
      </c>
      <c r="AI4" s="28">
        <f>+SUM(AD4:AD32)</f>
        <v>643584</v>
      </c>
      <c r="AJ4" s="26">
        <f>+AI4/AH4</f>
        <v>12.301387667724301</v>
      </c>
    </row>
    <row r="5" spans="1:36" x14ac:dyDescent="0.3">
      <c r="A5" s="55"/>
      <c r="B5" s="30" t="s">
        <v>7</v>
      </c>
      <c r="C5" s="9">
        <v>15</v>
      </c>
      <c r="D5" s="9">
        <v>4</v>
      </c>
      <c r="E5" s="9">
        <v>5</v>
      </c>
      <c r="F5" s="9">
        <v>10</v>
      </c>
      <c r="G5" s="9">
        <v>12</v>
      </c>
      <c r="H5" s="9">
        <v>21</v>
      </c>
      <c r="I5" s="9">
        <v>30</v>
      </c>
      <c r="J5" s="9">
        <v>19</v>
      </c>
      <c r="K5" s="9">
        <v>42</v>
      </c>
      <c r="L5" s="9">
        <v>13</v>
      </c>
      <c r="M5" s="9">
        <v>18</v>
      </c>
      <c r="N5" s="9">
        <v>27</v>
      </c>
      <c r="O5" s="9">
        <v>177</v>
      </c>
      <c r="P5" s="9">
        <v>32</v>
      </c>
      <c r="Q5" s="9">
        <v>35</v>
      </c>
      <c r="R5" s="9">
        <v>50</v>
      </c>
      <c r="S5" s="9">
        <v>17</v>
      </c>
      <c r="T5" s="9">
        <v>169</v>
      </c>
      <c r="U5" s="9">
        <v>3</v>
      </c>
      <c r="V5" s="9">
        <v>10</v>
      </c>
      <c r="W5" s="9">
        <v>0</v>
      </c>
      <c r="X5" s="9">
        <v>0</v>
      </c>
      <c r="Y5" s="9">
        <v>0</v>
      </c>
      <c r="Z5" s="9">
        <v>2</v>
      </c>
      <c r="AA5" s="9">
        <v>6</v>
      </c>
      <c r="AC5" s="9">
        <f t="shared" ref="AC5:AC68" si="0">SUM(C5:AA5)</f>
        <v>717</v>
      </c>
      <c r="AD5" s="9">
        <f t="shared" ref="AD5:AD68" si="1">C$2*C5+D$2*D5+E$2*E5+F$2*F5+G$2*G5+H$2*H5+I$2*I5+J$2*J5+K$2*K5+L$2*L5+M$2*M5+N$2*N5+O$2*O5+P$2*P5+Q$2*Q5+R$2*R5+S$2*S5+T$2*T5+U$2*U5+V$2*V5+W$2*W5+X$2*X5+Y$2*Y5+Z$2*Z5+AA$2*AA5</f>
        <v>8799</v>
      </c>
      <c r="AE5" s="10">
        <f t="shared" ref="AE5:AE68" si="2">AD5/AC5</f>
        <v>12.271966527196653</v>
      </c>
      <c r="AG5" s="22" t="s">
        <v>354</v>
      </c>
      <c r="AH5" s="28">
        <f>+SUM(AC33:AC119)</f>
        <v>279411</v>
      </c>
      <c r="AI5" s="28">
        <f>+SUM(AD33:AD119)</f>
        <v>3637763</v>
      </c>
      <c r="AJ5" s="26">
        <f t="shared" ref="AJ5:AJ12" si="3">+AI5/AH5</f>
        <v>13.019397947825963</v>
      </c>
    </row>
    <row r="6" spans="1:36" x14ac:dyDescent="0.3">
      <c r="A6" s="55"/>
      <c r="B6" s="30" t="s">
        <v>8</v>
      </c>
      <c r="C6" s="9">
        <v>30</v>
      </c>
      <c r="D6" s="9">
        <v>11</v>
      </c>
      <c r="E6" s="9">
        <v>33</v>
      </c>
      <c r="F6" s="9">
        <v>57</v>
      </c>
      <c r="G6" s="9">
        <v>42</v>
      </c>
      <c r="H6" s="9">
        <v>91</v>
      </c>
      <c r="I6" s="9">
        <v>99</v>
      </c>
      <c r="J6" s="9">
        <v>34</v>
      </c>
      <c r="K6" s="9">
        <v>70</v>
      </c>
      <c r="L6" s="9">
        <v>12</v>
      </c>
      <c r="M6" s="9">
        <v>22</v>
      </c>
      <c r="N6" s="9">
        <v>16</v>
      </c>
      <c r="O6" s="9">
        <v>117</v>
      </c>
      <c r="P6" s="9">
        <v>4</v>
      </c>
      <c r="Q6" s="9">
        <v>18</v>
      </c>
      <c r="R6" s="9">
        <v>10</v>
      </c>
      <c r="S6" s="9">
        <v>3</v>
      </c>
      <c r="T6" s="9">
        <v>49</v>
      </c>
      <c r="U6" s="9">
        <v>0</v>
      </c>
      <c r="V6" s="9">
        <v>3</v>
      </c>
      <c r="W6" s="9">
        <v>0</v>
      </c>
      <c r="X6" s="9">
        <v>0</v>
      </c>
      <c r="Y6" s="9">
        <v>0</v>
      </c>
      <c r="Z6" s="9">
        <v>0</v>
      </c>
      <c r="AA6" s="9">
        <v>21</v>
      </c>
      <c r="AC6" s="9">
        <f t="shared" si="0"/>
        <v>742</v>
      </c>
      <c r="AD6" s="9">
        <f t="shared" si="1"/>
        <v>6067</v>
      </c>
      <c r="AE6" s="10">
        <f t="shared" si="2"/>
        <v>8.1765498652291111</v>
      </c>
      <c r="AG6" s="22" t="s">
        <v>355</v>
      </c>
      <c r="AH6" s="28">
        <f>+SUM(AC120:AC167)</f>
        <v>186555</v>
      </c>
      <c r="AI6" s="28">
        <f>+SUM(AD120:AD167)</f>
        <v>2299221</v>
      </c>
      <c r="AJ6" s="26">
        <f t="shared" si="3"/>
        <v>12.324628125753799</v>
      </c>
    </row>
    <row r="7" spans="1:36" x14ac:dyDescent="0.3">
      <c r="A7" s="55"/>
      <c r="B7" s="30" t="s">
        <v>9</v>
      </c>
      <c r="C7" s="9">
        <v>16</v>
      </c>
      <c r="D7" s="9">
        <v>4</v>
      </c>
      <c r="E7" s="9">
        <v>10</v>
      </c>
      <c r="F7" s="9">
        <v>20</v>
      </c>
      <c r="G7" s="9">
        <v>17</v>
      </c>
      <c r="H7" s="9">
        <v>67</v>
      </c>
      <c r="I7" s="9">
        <v>72</v>
      </c>
      <c r="J7" s="9">
        <v>15</v>
      </c>
      <c r="K7" s="9">
        <v>24</v>
      </c>
      <c r="L7" s="9">
        <v>13</v>
      </c>
      <c r="M7" s="9">
        <v>8</v>
      </c>
      <c r="N7" s="9">
        <v>6</v>
      </c>
      <c r="O7" s="9">
        <v>60</v>
      </c>
      <c r="P7" s="9">
        <v>7</v>
      </c>
      <c r="Q7" s="9">
        <v>22</v>
      </c>
      <c r="R7" s="9">
        <v>24</v>
      </c>
      <c r="S7" s="9">
        <v>0</v>
      </c>
      <c r="T7" s="9">
        <v>69</v>
      </c>
      <c r="U7" s="9">
        <v>1</v>
      </c>
      <c r="V7" s="9">
        <v>2</v>
      </c>
      <c r="W7" s="9">
        <v>0</v>
      </c>
      <c r="X7" s="9">
        <v>0</v>
      </c>
      <c r="Y7" s="9">
        <v>0</v>
      </c>
      <c r="Z7" s="9">
        <v>0</v>
      </c>
      <c r="AA7" s="9">
        <v>21</v>
      </c>
      <c r="AC7" s="9">
        <f t="shared" si="0"/>
        <v>478</v>
      </c>
      <c r="AD7" s="9">
        <f t="shared" si="1"/>
        <v>4691</v>
      </c>
      <c r="AE7" s="10">
        <f t="shared" si="2"/>
        <v>9.8138075313807533</v>
      </c>
      <c r="AG7" s="22" t="s">
        <v>356</v>
      </c>
      <c r="AH7" s="28">
        <f>+SUM(AC168:AC202)</f>
        <v>52318</v>
      </c>
      <c r="AI7" s="28">
        <f>+SUM(AD168:AD202)</f>
        <v>682839</v>
      </c>
      <c r="AJ7" s="26">
        <f t="shared" si="3"/>
        <v>13.051703046752552</v>
      </c>
    </row>
    <row r="8" spans="1:36" x14ac:dyDescent="0.3">
      <c r="A8" s="55"/>
      <c r="B8" s="30" t="s">
        <v>10</v>
      </c>
      <c r="C8" s="9">
        <v>68</v>
      </c>
      <c r="D8" s="9">
        <v>15</v>
      </c>
      <c r="E8" s="9">
        <v>34</v>
      </c>
      <c r="F8" s="9">
        <v>39</v>
      </c>
      <c r="G8" s="9">
        <v>60</v>
      </c>
      <c r="H8" s="9">
        <v>123</v>
      </c>
      <c r="I8" s="9">
        <v>74</v>
      </c>
      <c r="J8" s="9">
        <v>58</v>
      </c>
      <c r="K8" s="9">
        <v>113</v>
      </c>
      <c r="L8" s="9">
        <v>56</v>
      </c>
      <c r="M8" s="9">
        <v>52</v>
      </c>
      <c r="N8" s="9">
        <v>43</v>
      </c>
      <c r="O8" s="9">
        <v>236</v>
      </c>
      <c r="P8" s="9">
        <v>23</v>
      </c>
      <c r="Q8" s="9">
        <v>59</v>
      </c>
      <c r="R8" s="9">
        <v>32</v>
      </c>
      <c r="S8" s="9">
        <v>18</v>
      </c>
      <c r="T8" s="9">
        <v>137</v>
      </c>
      <c r="U8" s="9">
        <v>2</v>
      </c>
      <c r="V8" s="9">
        <v>6</v>
      </c>
      <c r="W8" s="9">
        <v>0</v>
      </c>
      <c r="X8" s="9">
        <v>0</v>
      </c>
      <c r="Y8" s="9">
        <v>0</v>
      </c>
      <c r="Z8" s="9">
        <v>0</v>
      </c>
      <c r="AA8" s="9">
        <v>34</v>
      </c>
      <c r="AC8" s="9">
        <f t="shared" si="0"/>
        <v>1282</v>
      </c>
      <c r="AD8" s="9">
        <f t="shared" si="1"/>
        <v>12326</v>
      </c>
      <c r="AE8" s="10">
        <f t="shared" si="2"/>
        <v>9.6146645865834639</v>
      </c>
      <c r="AG8" s="22" t="s">
        <v>357</v>
      </c>
      <c r="AH8" s="28">
        <f>+SUM(AC203:AC244)</f>
        <v>68506</v>
      </c>
      <c r="AI8" s="28">
        <f>+SUM(AD203:AD244)</f>
        <v>795663</v>
      </c>
      <c r="AJ8" s="26">
        <f t="shared" si="3"/>
        <v>11.614500919627478</v>
      </c>
    </row>
    <row r="9" spans="1:36" x14ac:dyDescent="0.3">
      <c r="A9" s="55"/>
      <c r="B9" s="30" t="s">
        <v>11</v>
      </c>
      <c r="C9" s="9">
        <v>16</v>
      </c>
      <c r="D9" s="9">
        <v>12</v>
      </c>
      <c r="E9" s="9">
        <v>19</v>
      </c>
      <c r="F9" s="9">
        <v>46</v>
      </c>
      <c r="G9" s="9">
        <v>75</v>
      </c>
      <c r="H9" s="9">
        <v>111</v>
      </c>
      <c r="I9" s="9">
        <v>162</v>
      </c>
      <c r="J9" s="9">
        <v>28</v>
      </c>
      <c r="K9" s="9">
        <v>74</v>
      </c>
      <c r="L9" s="9">
        <v>28</v>
      </c>
      <c r="M9" s="9">
        <v>38</v>
      </c>
      <c r="N9" s="9">
        <v>26</v>
      </c>
      <c r="O9" s="9">
        <v>233</v>
      </c>
      <c r="P9" s="9">
        <v>29</v>
      </c>
      <c r="Q9" s="9">
        <v>47</v>
      </c>
      <c r="R9" s="9">
        <v>66</v>
      </c>
      <c r="S9" s="9">
        <v>12</v>
      </c>
      <c r="T9" s="9">
        <v>174</v>
      </c>
      <c r="U9" s="9">
        <v>4</v>
      </c>
      <c r="V9" s="9">
        <v>8</v>
      </c>
      <c r="W9" s="9">
        <v>1</v>
      </c>
      <c r="X9" s="9">
        <v>0</v>
      </c>
      <c r="Y9" s="9">
        <v>0</v>
      </c>
      <c r="Z9" s="9">
        <v>2</v>
      </c>
      <c r="AA9" s="9">
        <v>24</v>
      </c>
      <c r="AC9" s="9">
        <f t="shared" si="0"/>
        <v>1235</v>
      </c>
      <c r="AD9" s="9">
        <f t="shared" si="1"/>
        <v>12558</v>
      </c>
      <c r="AE9" s="10">
        <f t="shared" si="2"/>
        <v>10.168421052631579</v>
      </c>
      <c r="AG9" s="22" t="s">
        <v>358</v>
      </c>
      <c r="AH9" s="28">
        <f>+SUM(AC245:AC255)</f>
        <v>50378</v>
      </c>
      <c r="AI9" s="28">
        <f>+SUM(AD245:AD255)</f>
        <v>636543</v>
      </c>
      <c r="AJ9" s="26">
        <f t="shared" si="3"/>
        <v>12.635336853388385</v>
      </c>
    </row>
    <row r="10" spans="1:36" x14ac:dyDescent="0.3">
      <c r="A10" s="55"/>
      <c r="B10" s="30" t="s">
        <v>12</v>
      </c>
      <c r="C10" s="9">
        <v>57</v>
      </c>
      <c r="D10" s="9">
        <v>10</v>
      </c>
      <c r="E10" s="9">
        <v>18</v>
      </c>
      <c r="F10" s="9">
        <v>49</v>
      </c>
      <c r="G10" s="9">
        <v>67</v>
      </c>
      <c r="H10" s="9">
        <v>114</v>
      </c>
      <c r="I10" s="9">
        <v>120</v>
      </c>
      <c r="J10" s="9">
        <v>40</v>
      </c>
      <c r="K10" s="9">
        <v>62</v>
      </c>
      <c r="L10" s="9">
        <v>34</v>
      </c>
      <c r="M10" s="9">
        <v>45</v>
      </c>
      <c r="N10" s="9">
        <v>42</v>
      </c>
      <c r="O10" s="9">
        <v>193</v>
      </c>
      <c r="P10" s="9">
        <v>8</v>
      </c>
      <c r="Q10" s="9">
        <v>27</v>
      </c>
      <c r="R10" s="9">
        <v>29</v>
      </c>
      <c r="S10" s="9">
        <v>8</v>
      </c>
      <c r="T10" s="9">
        <v>67</v>
      </c>
      <c r="U10" s="9">
        <v>1</v>
      </c>
      <c r="V10" s="9">
        <v>3</v>
      </c>
      <c r="W10" s="9">
        <v>1</v>
      </c>
      <c r="X10" s="9">
        <v>1</v>
      </c>
      <c r="Y10" s="9">
        <v>0</v>
      </c>
      <c r="Z10" s="9">
        <v>0</v>
      </c>
      <c r="AA10" s="9">
        <v>22</v>
      </c>
      <c r="AC10" s="9">
        <f t="shared" si="0"/>
        <v>1018</v>
      </c>
      <c r="AD10" s="9">
        <f t="shared" si="1"/>
        <v>8889</v>
      </c>
      <c r="AE10" s="10">
        <f t="shared" si="2"/>
        <v>8.7318271119842823</v>
      </c>
      <c r="AG10" s="22" t="s">
        <v>359</v>
      </c>
      <c r="AH10" s="28">
        <f>+SUM(AC256:AC311)</f>
        <v>302244</v>
      </c>
      <c r="AI10" s="28">
        <f>+SUM(AD256:AD311)</f>
        <v>3811841</v>
      </c>
      <c r="AJ10" s="26">
        <f t="shared" si="3"/>
        <v>12.611800399677081</v>
      </c>
    </row>
    <row r="11" spans="1:36" x14ac:dyDescent="0.3">
      <c r="A11" s="55"/>
      <c r="B11" s="30" t="s">
        <v>13</v>
      </c>
      <c r="C11" s="9">
        <v>16</v>
      </c>
      <c r="D11" s="9">
        <v>12</v>
      </c>
      <c r="E11" s="9">
        <v>16</v>
      </c>
      <c r="F11" s="9">
        <v>24</v>
      </c>
      <c r="G11" s="9">
        <v>31</v>
      </c>
      <c r="H11" s="9">
        <v>60</v>
      </c>
      <c r="I11" s="9">
        <v>42</v>
      </c>
      <c r="J11" s="9">
        <v>35</v>
      </c>
      <c r="K11" s="9">
        <v>50</v>
      </c>
      <c r="L11" s="9">
        <v>26</v>
      </c>
      <c r="M11" s="9">
        <v>32</v>
      </c>
      <c r="N11" s="9">
        <v>31</v>
      </c>
      <c r="O11" s="9">
        <v>222</v>
      </c>
      <c r="P11" s="9">
        <v>12</v>
      </c>
      <c r="Q11" s="9">
        <v>34</v>
      </c>
      <c r="R11" s="9">
        <v>82</v>
      </c>
      <c r="S11" s="9">
        <v>16</v>
      </c>
      <c r="T11" s="9">
        <v>86</v>
      </c>
      <c r="U11" s="9">
        <v>1</v>
      </c>
      <c r="V11" s="9">
        <v>2</v>
      </c>
      <c r="W11" s="9">
        <v>0</v>
      </c>
      <c r="X11" s="9">
        <v>0</v>
      </c>
      <c r="Y11" s="9">
        <v>0</v>
      </c>
      <c r="Z11" s="9">
        <v>1</v>
      </c>
      <c r="AA11" s="9">
        <v>13</v>
      </c>
      <c r="AC11" s="9">
        <f t="shared" si="0"/>
        <v>844</v>
      </c>
      <c r="AD11" s="9">
        <f t="shared" si="1"/>
        <v>8967</v>
      </c>
      <c r="AE11" s="10">
        <f t="shared" si="2"/>
        <v>10.624407582938389</v>
      </c>
      <c r="AG11" s="22" t="s">
        <v>360</v>
      </c>
      <c r="AH11" s="28">
        <f>+SUM(AC312:AC331)</f>
        <v>41872</v>
      </c>
      <c r="AI11" s="28">
        <f>+SUM(AD312:AD331)</f>
        <v>507488</v>
      </c>
      <c r="AJ11" s="26">
        <f t="shared" si="3"/>
        <v>12.119984715322889</v>
      </c>
    </row>
    <row r="12" spans="1:36" x14ac:dyDescent="0.3">
      <c r="A12" s="55"/>
      <c r="B12" s="30" t="s">
        <v>14</v>
      </c>
      <c r="C12" s="9">
        <v>29</v>
      </c>
      <c r="D12" s="9">
        <v>6</v>
      </c>
      <c r="E12" s="9">
        <v>9</v>
      </c>
      <c r="F12" s="9">
        <v>20</v>
      </c>
      <c r="G12" s="9">
        <v>26</v>
      </c>
      <c r="H12" s="9">
        <v>47</v>
      </c>
      <c r="I12" s="9">
        <v>55</v>
      </c>
      <c r="J12" s="9">
        <v>39</v>
      </c>
      <c r="K12" s="9">
        <v>61</v>
      </c>
      <c r="L12" s="9">
        <v>24</v>
      </c>
      <c r="M12" s="9">
        <v>16</v>
      </c>
      <c r="N12" s="9">
        <v>25</v>
      </c>
      <c r="O12" s="9">
        <v>204</v>
      </c>
      <c r="P12" s="9">
        <v>9</v>
      </c>
      <c r="Q12" s="9">
        <v>19</v>
      </c>
      <c r="R12" s="9">
        <v>26</v>
      </c>
      <c r="S12" s="9">
        <v>8</v>
      </c>
      <c r="T12" s="9">
        <v>68</v>
      </c>
      <c r="U12" s="9">
        <v>0</v>
      </c>
      <c r="V12" s="9">
        <v>5</v>
      </c>
      <c r="W12" s="9">
        <v>0</v>
      </c>
      <c r="X12" s="9">
        <v>0</v>
      </c>
      <c r="Y12" s="9">
        <v>0</v>
      </c>
      <c r="Z12" s="9">
        <v>2</v>
      </c>
      <c r="AA12" s="9">
        <v>22</v>
      </c>
      <c r="AC12" s="9">
        <f t="shared" si="0"/>
        <v>720</v>
      </c>
      <c r="AD12" s="9">
        <f t="shared" si="1"/>
        <v>7339</v>
      </c>
      <c r="AE12" s="10">
        <f t="shared" si="2"/>
        <v>10.193055555555556</v>
      </c>
      <c r="AG12" s="23" t="s">
        <v>361</v>
      </c>
      <c r="AH12" s="29">
        <f>+SUM(AC332:AC346)</f>
        <v>12078</v>
      </c>
      <c r="AI12" s="29">
        <f>+SUM(AD332:AD346)</f>
        <v>149695</v>
      </c>
      <c r="AJ12" s="27">
        <f t="shared" si="3"/>
        <v>12.394022189104156</v>
      </c>
    </row>
    <row r="13" spans="1:36" x14ac:dyDescent="0.3">
      <c r="A13" s="55"/>
      <c r="B13" s="30" t="s">
        <v>15</v>
      </c>
      <c r="C13" s="9">
        <v>8</v>
      </c>
      <c r="D13" s="9">
        <v>6</v>
      </c>
      <c r="E13" s="9">
        <v>6</v>
      </c>
      <c r="F13" s="9">
        <v>17</v>
      </c>
      <c r="G13" s="9">
        <v>22</v>
      </c>
      <c r="H13" s="9">
        <v>58</v>
      </c>
      <c r="I13" s="9">
        <v>56</v>
      </c>
      <c r="J13" s="9">
        <v>22</v>
      </c>
      <c r="K13" s="9">
        <v>37</v>
      </c>
      <c r="L13" s="9">
        <v>13</v>
      </c>
      <c r="M13" s="9">
        <v>8</v>
      </c>
      <c r="N13" s="9">
        <v>11</v>
      </c>
      <c r="O13" s="9">
        <v>92</v>
      </c>
      <c r="P13" s="9">
        <v>20</v>
      </c>
      <c r="Q13" s="9">
        <v>27</v>
      </c>
      <c r="R13" s="9">
        <v>30</v>
      </c>
      <c r="S13" s="9">
        <v>31</v>
      </c>
      <c r="T13" s="9">
        <v>146</v>
      </c>
      <c r="U13" s="9">
        <v>3</v>
      </c>
      <c r="V13" s="9">
        <v>3</v>
      </c>
      <c r="W13" s="9">
        <v>0</v>
      </c>
      <c r="X13" s="9">
        <v>0</v>
      </c>
      <c r="Y13" s="9">
        <v>0</v>
      </c>
      <c r="Z13" s="9">
        <v>0</v>
      </c>
      <c r="AA13" s="9">
        <v>9</v>
      </c>
      <c r="AC13" s="9">
        <f t="shared" si="0"/>
        <v>625</v>
      </c>
      <c r="AD13" s="9">
        <f t="shared" si="1"/>
        <v>7048</v>
      </c>
      <c r="AE13" s="10">
        <f t="shared" si="2"/>
        <v>11.2768</v>
      </c>
      <c r="AG13" s="22" t="s">
        <v>362</v>
      </c>
      <c r="AH13" s="28">
        <f>SUM(AH4:AH12)</f>
        <v>1045680</v>
      </c>
      <c r="AI13" s="28">
        <f>SUM(AI4:AI12)</f>
        <v>13164637</v>
      </c>
      <c r="AJ13" s="26">
        <f>+AI13/AH13</f>
        <v>12.58954651518629</v>
      </c>
    </row>
    <row r="14" spans="1:36" x14ac:dyDescent="0.3">
      <c r="A14" s="55"/>
      <c r="B14" s="30" t="s">
        <v>16</v>
      </c>
      <c r="C14" s="9">
        <v>15</v>
      </c>
      <c r="D14" s="9">
        <v>7</v>
      </c>
      <c r="E14" s="9">
        <v>10</v>
      </c>
      <c r="F14" s="9">
        <v>18</v>
      </c>
      <c r="G14" s="9">
        <v>26</v>
      </c>
      <c r="H14" s="9">
        <v>54</v>
      </c>
      <c r="I14" s="9">
        <v>134</v>
      </c>
      <c r="J14" s="9">
        <v>27</v>
      </c>
      <c r="K14" s="9">
        <v>35</v>
      </c>
      <c r="L14" s="9">
        <v>9</v>
      </c>
      <c r="M14" s="9">
        <v>17</v>
      </c>
      <c r="N14" s="9">
        <v>10</v>
      </c>
      <c r="O14" s="9">
        <v>128</v>
      </c>
      <c r="P14" s="9">
        <v>8</v>
      </c>
      <c r="Q14" s="9">
        <v>17</v>
      </c>
      <c r="R14" s="9">
        <v>45</v>
      </c>
      <c r="S14" s="9">
        <v>4</v>
      </c>
      <c r="T14" s="9">
        <v>97</v>
      </c>
      <c r="U14" s="9">
        <v>3</v>
      </c>
      <c r="V14" s="9">
        <v>6</v>
      </c>
      <c r="W14" s="9">
        <v>0</v>
      </c>
      <c r="X14" s="9">
        <v>0</v>
      </c>
      <c r="Y14" s="9">
        <v>0</v>
      </c>
      <c r="Z14" s="9">
        <v>1</v>
      </c>
      <c r="AA14" s="9">
        <v>10</v>
      </c>
      <c r="AC14" s="9">
        <f t="shared" si="0"/>
        <v>681</v>
      </c>
      <c r="AD14" s="9">
        <f t="shared" si="1"/>
        <v>6786</v>
      </c>
      <c r="AE14" s="10">
        <f t="shared" si="2"/>
        <v>9.964757709251101</v>
      </c>
      <c r="AG14" s="22" t="s">
        <v>709</v>
      </c>
      <c r="AH14" s="28">
        <f>SUM(AC248:AC250)</f>
        <v>14720</v>
      </c>
      <c r="AI14" s="28">
        <f>SUM(AD248:AD250)</f>
        <v>180023</v>
      </c>
      <c r="AJ14" s="26">
        <f>+AI14/AH14</f>
        <v>12.229823369565217</v>
      </c>
    </row>
    <row r="15" spans="1:36" x14ac:dyDescent="0.3">
      <c r="A15" s="55"/>
      <c r="B15" s="30" t="s">
        <v>17</v>
      </c>
      <c r="C15" s="9">
        <v>14</v>
      </c>
      <c r="D15" s="9">
        <v>1</v>
      </c>
      <c r="E15" s="9">
        <v>14</v>
      </c>
      <c r="F15" s="9">
        <v>22</v>
      </c>
      <c r="G15" s="9">
        <v>28</v>
      </c>
      <c r="H15" s="9">
        <v>51</v>
      </c>
      <c r="I15" s="9">
        <v>72</v>
      </c>
      <c r="J15" s="9">
        <v>18</v>
      </c>
      <c r="K15" s="9">
        <v>43</v>
      </c>
      <c r="L15" s="9">
        <v>11</v>
      </c>
      <c r="M15" s="9">
        <v>8</v>
      </c>
      <c r="N15" s="9">
        <v>6</v>
      </c>
      <c r="O15" s="9">
        <v>71</v>
      </c>
      <c r="P15" s="9">
        <v>3</v>
      </c>
      <c r="Q15" s="9">
        <v>14</v>
      </c>
      <c r="R15" s="9">
        <v>25</v>
      </c>
      <c r="S15" s="9">
        <v>2</v>
      </c>
      <c r="T15" s="9">
        <v>63</v>
      </c>
      <c r="U15" s="9">
        <v>3</v>
      </c>
      <c r="V15" s="9">
        <v>5</v>
      </c>
      <c r="W15" s="9">
        <v>0</v>
      </c>
      <c r="X15" s="9">
        <v>0</v>
      </c>
      <c r="Y15" s="9">
        <v>0</v>
      </c>
      <c r="Z15" s="9">
        <v>1</v>
      </c>
      <c r="AA15" s="9">
        <v>5</v>
      </c>
      <c r="AC15" s="9">
        <f t="shared" si="0"/>
        <v>480</v>
      </c>
      <c r="AD15" s="9">
        <f t="shared" si="1"/>
        <v>4466</v>
      </c>
      <c r="AE15" s="10">
        <f t="shared" si="2"/>
        <v>9.3041666666666671</v>
      </c>
    </row>
    <row r="16" spans="1:36" x14ac:dyDescent="0.3">
      <c r="A16" s="55"/>
      <c r="B16" s="30" t="s">
        <v>18</v>
      </c>
      <c r="C16" s="9">
        <v>5</v>
      </c>
      <c r="D16" s="9">
        <v>0</v>
      </c>
      <c r="E16" s="9">
        <v>2</v>
      </c>
      <c r="F16" s="9">
        <v>2</v>
      </c>
      <c r="G16" s="9">
        <v>3</v>
      </c>
      <c r="H16" s="9">
        <v>6</v>
      </c>
      <c r="I16" s="9">
        <v>13</v>
      </c>
      <c r="J16" s="9">
        <v>8</v>
      </c>
      <c r="K16" s="9">
        <v>25</v>
      </c>
      <c r="L16" s="9">
        <v>4</v>
      </c>
      <c r="M16" s="9">
        <v>6</v>
      </c>
      <c r="N16" s="9">
        <v>5</v>
      </c>
      <c r="O16" s="9">
        <v>56</v>
      </c>
      <c r="P16" s="9">
        <v>6</v>
      </c>
      <c r="Q16" s="9">
        <v>15</v>
      </c>
      <c r="R16" s="9">
        <v>54</v>
      </c>
      <c r="S16" s="9">
        <v>10</v>
      </c>
      <c r="T16" s="9">
        <v>78</v>
      </c>
      <c r="U16" s="9">
        <v>1</v>
      </c>
      <c r="V16" s="9">
        <v>7</v>
      </c>
      <c r="W16" s="9">
        <v>1</v>
      </c>
      <c r="X16" s="9">
        <v>0</v>
      </c>
      <c r="Y16" s="9">
        <v>0</v>
      </c>
      <c r="Z16" s="9">
        <v>0</v>
      </c>
      <c r="AA16" s="9">
        <v>8</v>
      </c>
      <c r="AC16" s="9">
        <f t="shared" si="0"/>
        <v>315</v>
      </c>
      <c r="AD16" s="9">
        <f t="shared" si="1"/>
        <v>4156</v>
      </c>
      <c r="AE16" s="10">
        <f t="shared" si="2"/>
        <v>13.193650793650793</v>
      </c>
    </row>
    <row r="17" spans="1:31" x14ac:dyDescent="0.3">
      <c r="A17" s="55"/>
      <c r="B17" s="30" t="s">
        <v>19</v>
      </c>
      <c r="C17" s="9">
        <v>3</v>
      </c>
      <c r="D17" s="9">
        <v>3</v>
      </c>
      <c r="E17" s="9">
        <v>2</v>
      </c>
      <c r="F17" s="9">
        <v>8</v>
      </c>
      <c r="G17" s="9">
        <v>10</v>
      </c>
      <c r="H17" s="9">
        <v>28</v>
      </c>
      <c r="I17" s="9">
        <v>25</v>
      </c>
      <c r="J17" s="9">
        <v>19</v>
      </c>
      <c r="K17" s="9">
        <v>33</v>
      </c>
      <c r="L17" s="9">
        <v>15</v>
      </c>
      <c r="M17" s="9">
        <v>17</v>
      </c>
      <c r="N17" s="9">
        <v>19</v>
      </c>
      <c r="O17" s="9">
        <v>169</v>
      </c>
      <c r="P17" s="9">
        <v>15</v>
      </c>
      <c r="Q17" s="9">
        <v>29</v>
      </c>
      <c r="R17" s="9">
        <v>27</v>
      </c>
      <c r="S17" s="9">
        <v>4</v>
      </c>
      <c r="T17" s="9">
        <v>116</v>
      </c>
      <c r="U17" s="9">
        <v>5</v>
      </c>
      <c r="V17" s="9">
        <v>3</v>
      </c>
      <c r="W17" s="9">
        <v>0</v>
      </c>
      <c r="X17" s="9">
        <v>0</v>
      </c>
      <c r="Y17" s="9">
        <v>0</v>
      </c>
      <c r="Z17" s="9">
        <v>0</v>
      </c>
      <c r="AA17" s="9">
        <v>2</v>
      </c>
      <c r="AC17" s="9">
        <f t="shared" si="0"/>
        <v>552</v>
      </c>
      <c r="AD17" s="9">
        <f t="shared" si="1"/>
        <v>6537</v>
      </c>
      <c r="AE17" s="10">
        <f t="shared" si="2"/>
        <v>11.842391304347826</v>
      </c>
    </row>
    <row r="18" spans="1:31" x14ac:dyDescent="0.3">
      <c r="A18" s="55"/>
      <c r="B18" s="30" t="s">
        <v>20</v>
      </c>
      <c r="C18" s="9">
        <v>35</v>
      </c>
      <c r="D18" s="9">
        <v>15</v>
      </c>
      <c r="E18" s="9">
        <v>27</v>
      </c>
      <c r="F18" s="9">
        <v>29</v>
      </c>
      <c r="G18" s="9">
        <v>42</v>
      </c>
      <c r="H18" s="9">
        <v>102</v>
      </c>
      <c r="I18" s="9">
        <v>76</v>
      </c>
      <c r="J18" s="9">
        <v>43</v>
      </c>
      <c r="K18" s="9">
        <v>98</v>
      </c>
      <c r="L18" s="9">
        <v>58</v>
      </c>
      <c r="M18" s="9">
        <v>42</v>
      </c>
      <c r="N18" s="9">
        <v>39</v>
      </c>
      <c r="O18" s="9">
        <v>453</v>
      </c>
      <c r="P18" s="9">
        <v>55</v>
      </c>
      <c r="Q18" s="9">
        <v>99</v>
      </c>
      <c r="R18" s="9">
        <v>138</v>
      </c>
      <c r="S18" s="9">
        <v>74</v>
      </c>
      <c r="T18" s="9">
        <v>543</v>
      </c>
      <c r="U18" s="9">
        <v>11</v>
      </c>
      <c r="V18" s="9">
        <v>25</v>
      </c>
      <c r="W18" s="9">
        <v>2</v>
      </c>
      <c r="X18" s="9">
        <v>0</v>
      </c>
      <c r="Y18" s="9">
        <v>0</v>
      </c>
      <c r="Z18" s="9">
        <v>1</v>
      </c>
      <c r="AA18" s="9">
        <v>57</v>
      </c>
      <c r="AC18" s="9">
        <f t="shared" si="0"/>
        <v>2064</v>
      </c>
      <c r="AD18" s="9">
        <f t="shared" si="1"/>
        <v>25872</v>
      </c>
      <c r="AE18" s="10">
        <f t="shared" si="2"/>
        <v>12.534883720930232</v>
      </c>
    </row>
    <row r="19" spans="1:31" x14ac:dyDescent="0.3">
      <c r="A19" s="55"/>
      <c r="B19" s="30" t="s">
        <v>21</v>
      </c>
      <c r="C19" s="9">
        <v>10</v>
      </c>
      <c r="D19" s="9">
        <v>5</v>
      </c>
      <c r="E19" s="9">
        <v>7</v>
      </c>
      <c r="F19" s="9">
        <v>6</v>
      </c>
      <c r="G19" s="9">
        <v>21</v>
      </c>
      <c r="H19" s="9">
        <v>23</v>
      </c>
      <c r="I19" s="9">
        <v>24</v>
      </c>
      <c r="J19" s="9">
        <v>29</v>
      </c>
      <c r="K19" s="9">
        <v>42</v>
      </c>
      <c r="L19" s="9">
        <v>14</v>
      </c>
      <c r="M19" s="9">
        <v>20</v>
      </c>
      <c r="N19" s="9">
        <v>17</v>
      </c>
      <c r="O19" s="9">
        <v>108</v>
      </c>
      <c r="P19" s="9">
        <v>21</v>
      </c>
      <c r="Q19" s="9">
        <v>16</v>
      </c>
      <c r="R19" s="9">
        <v>25</v>
      </c>
      <c r="S19" s="9">
        <v>6</v>
      </c>
      <c r="T19" s="9">
        <v>65</v>
      </c>
      <c r="U19" s="9">
        <v>2</v>
      </c>
      <c r="V19" s="9">
        <v>2</v>
      </c>
      <c r="W19" s="9">
        <v>0</v>
      </c>
      <c r="X19" s="9">
        <v>0</v>
      </c>
      <c r="Y19" s="9">
        <v>0</v>
      </c>
      <c r="Z19" s="9">
        <v>1</v>
      </c>
      <c r="AA19" s="9">
        <v>16</v>
      </c>
      <c r="AC19" s="9">
        <f t="shared" si="0"/>
        <v>480</v>
      </c>
      <c r="AD19" s="9">
        <f t="shared" si="1"/>
        <v>5282</v>
      </c>
      <c r="AE19" s="10">
        <f t="shared" si="2"/>
        <v>11.004166666666666</v>
      </c>
    </row>
    <row r="20" spans="1:31" x14ac:dyDescent="0.3">
      <c r="A20" s="55"/>
      <c r="B20" s="30" t="s">
        <v>22</v>
      </c>
      <c r="C20" s="9">
        <v>24</v>
      </c>
      <c r="D20" s="9">
        <v>10</v>
      </c>
      <c r="E20" s="9">
        <v>15</v>
      </c>
      <c r="F20" s="9">
        <v>25</v>
      </c>
      <c r="G20" s="9">
        <v>25</v>
      </c>
      <c r="H20" s="9">
        <v>80</v>
      </c>
      <c r="I20" s="9">
        <v>91</v>
      </c>
      <c r="J20" s="9">
        <v>30</v>
      </c>
      <c r="K20" s="9">
        <v>53</v>
      </c>
      <c r="L20" s="9">
        <v>21</v>
      </c>
      <c r="M20" s="9">
        <v>21</v>
      </c>
      <c r="N20" s="9">
        <v>10</v>
      </c>
      <c r="O20" s="9">
        <v>155</v>
      </c>
      <c r="P20" s="9">
        <v>25</v>
      </c>
      <c r="Q20" s="9">
        <v>36</v>
      </c>
      <c r="R20" s="9">
        <v>38</v>
      </c>
      <c r="S20" s="9">
        <v>11</v>
      </c>
      <c r="T20" s="9">
        <v>73</v>
      </c>
      <c r="U20" s="9">
        <v>3</v>
      </c>
      <c r="V20" s="9">
        <v>2</v>
      </c>
      <c r="W20" s="9">
        <v>1</v>
      </c>
      <c r="X20" s="9">
        <v>0</v>
      </c>
      <c r="Y20" s="9">
        <v>0</v>
      </c>
      <c r="Z20" s="9">
        <v>1</v>
      </c>
      <c r="AA20" s="9">
        <v>23</v>
      </c>
      <c r="AC20" s="9">
        <f t="shared" si="0"/>
        <v>773</v>
      </c>
      <c r="AD20" s="9">
        <f t="shared" si="1"/>
        <v>7667</v>
      </c>
      <c r="AE20" s="10">
        <f t="shared" si="2"/>
        <v>9.9184993531694694</v>
      </c>
    </row>
    <row r="21" spans="1:31" x14ac:dyDescent="0.3">
      <c r="A21" s="55"/>
      <c r="B21" s="30" t="s">
        <v>23</v>
      </c>
      <c r="C21" s="9">
        <v>19</v>
      </c>
      <c r="D21" s="9">
        <v>5</v>
      </c>
      <c r="E21" s="9">
        <v>9</v>
      </c>
      <c r="F21" s="9">
        <v>9</v>
      </c>
      <c r="G21" s="9">
        <v>11</v>
      </c>
      <c r="H21" s="9">
        <v>56</v>
      </c>
      <c r="I21" s="9">
        <v>42</v>
      </c>
      <c r="J21" s="9">
        <v>28</v>
      </c>
      <c r="K21" s="9">
        <v>40</v>
      </c>
      <c r="L21" s="9">
        <v>20</v>
      </c>
      <c r="M21" s="9">
        <v>18</v>
      </c>
      <c r="N21" s="9">
        <v>12</v>
      </c>
      <c r="O21" s="9">
        <v>138</v>
      </c>
      <c r="P21" s="9">
        <v>26</v>
      </c>
      <c r="Q21" s="9">
        <v>10</v>
      </c>
      <c r="R21" s="9">
        <v>23</v>
      </c>
      <c r="S21" s="9">
        <v>9</v>
      </c>
      <c r="T21" s="9">
        <v>63</v>
      </c>
      <c r="U21" s="9">
        <v>0</v>
      </c>
      <c r="V21" s="9">
        <v>3</v>
      </c>
      <c r="W21" s="9">
        <v>0</v>
      </c>
      <c r="X21" s="9">
        <v>0</v>
      </c>
      <c r="Y21" s="9">
        <v>0</v>
      </c>
      <c r="Z21" s="9">
        <v>1</v>
      </c>
      <c r="AA21" s="9">
        <v>13</v>
      </c>
      <c r="AC21" s="9">
        <f t="shared" si="0"/>
        <v>555</v>
      </c>
      <c r="AD21" s="9">
        <f t="shared" si="1"/>
        <v>5720</v>
      </c>
      <c r="AE21" s="10">
        <f t="shared" si="2"/>
        <v>10.306306306306306</v>
      </c>
    </row>
    <row r="22" spans="1:31" x14ac:dyDescent="0.3">
      <c r="A22" s="55"/>
      <c r="B22" s="30" t="s">
        <v>24</v>
      </c>
      <c r="C22" s="9">
        <v>15</v>
      </c>
      <c r="D22" s="9">
        <v>7</v>
      </c>
      <c r="E22" s="9">
        <v>7</v>
      </c>
      <c r="F22" s="9">
        <v>20</v>
      </c>
      <c r="G22" s="9">
        <v>25</v>
      </c>
      <c r="H22" s="9">
        <v>173</v>
      </c>
      <c r="I22" s="9">
        <v>101</v>
      </c>
      <c r="J22" s="9">
        <v>40</v>
      </c>
      <c r="K22" s="9">
        <v>55</v>
      </c>
      <c r="L22" s="9">
        <v>22</v>
      </c>
      <c r="M22" s="9">
        <v>17</v>
      </c>
      <c r="N22" s="9">
        <v>12</v>
      </c>
      <c r="O22" s="9">
        <v>246</v>
      </c>
      <c r="P22" s="9">
        <v>32</v>
      </c>
      <c r="Q22" s="9">
        <v>53</v>
      </c>
      <c r="R22" s="9">
        <v>87</v>
      </c>
      <c r="S22" s="9">
        <v>25</v>
      </c>
      <c r="T22" s="9">
        <v>225</v>
      </c>
      <c r="U22" s="9">
        <v>4</v>
      </c>
      <c r="V22" s="9">
        <v>5</v>
      </c>
      <c r="W22" s="9">
        <v>0</v>
      </c>
      <c r="X22" s="9">
        <v>1</v>
      </c>
      <c r="Y22" s="9">
        <v>0</v>
      </c>
      <c r="Z22" s="9">
        <v>0</v>
      </c>
      <c r="AA22" s="9">
        <v>22</v>
      </c>
      <c r="AC22" s="9">
        <f t="shared" si="0"/>
        <v>1194</v>
      </c>
      <c r="AD22" s="9">
        <f t="shared" si="1"/>
        <v>13228</v>
      </c>
      <c r="AE22" s="10">
        <f t="shared" si="2"/>
        <v>11.078726968174204</v>
      </c>
    </row>
    <row r="23" spans="1:31" x14ac:dyDescent="0.3">
      <c r="A23" s="55"/>
      <c r="B23" s="30" t="s">
        <v>25</v>
      </c>
      <c r="C23" s="9">
        <v>40</v>
      </c>
      <c r="D23" s="9">
        <v>15</v>
      </c>
      <c r="E23" s="9">
        <v>21</v>
      </c>
      <c r="F23" s="9">
        <v>50</v>
      </c>
      <c r="G23" s="9">
        <v>72</v>
      </c>
      <c r="H23" s="9">
        <v>224</v>
      </c>
      <c r="I23" s="9">
        <v>167</v>
      </c>
      <c r="J23" s="9">
        <v>64</v>
      </c>
      <c r="K23" s="9">
        <v>148</v>
      </c>
      <c r="L23" s="9">
        <v>27</v>
      </c>
      <c r="M23" s="9">
        <v>37</v>
      </c>
      <c r="N23" s="9">
        <v>33</v>
      </c>
      <c r="O23" s="9">
        <v>372</v>
      </c>
      <c r="P23" s="9">
        <v>28</v>
      </c>
      <c r="Q23" s="9">
        <v>54</v>
      </c>
      <c r="R23" s="9">
        <v>76</v>
      </c>
      <c r="S23" s="9">
        <v>22</v>
      </c>
      <c r="T23" s="9">
        <v>197</v>
      </c>
      <c r="U23" s="9">
        <v>4</v>
      </c>
      <c r="V23" s="9">
        <v>4</v>
      </c>
      <c r="W23" s="9">
        <v>2</v>
      </c>
      <c r="X23" s="9">
        <v>0</v>
      </c>
      <c r="Y23" s="9">
        <v>1</v>
      </c>
      <c r="Z23" s="9">
        <v>2</v>
      </c>
      <c r="AA23" s="9">
        <v>41</v>
      </c>
      <c r="AC23" s="9">
        <f t="shared" si="0"/>
        <v>1701</v>
      </c>
      <c r="AD23" s="9">
        <f t="shared" si="1"/>
        <v>16890</v>
      </c>
      <c r="AE23" s="10">
        <f t="shared" si="2"/>
        <v>9.9294532627865966</v>
      </c>
    </row>
    <row r="24" spans="1:31" x14ac:dyDescent="0.3">
      <c r="A24" s="55"/>
      <c r="B24" s="30" t="s">
        <v>26</v>
      </c>
      <c r="C24" s="9">
        <v>38</v>
      </c>
      <c r="D24" s="9">
        <v>12</v>
      </c>
      <c r="E24" s="9">
        <v>20</v>
      </c>
      <c r="F24" s="9">
        <v>56</v>
      </c>
      <c r="G24" s="9">
        <v>39</v>
      </c>
      <c r="H24" s="9">
        <v>176</v>
      </c>
      <c r="I24" s="9">
        <v>158</v>
      </c>
      <c r="J24" s="9">
        <v>46</v>
      </c>
      <c r="K24" s="9">
        <v>150</v>
      </c>
      <c r="L24" s="9">
        <v>27</v>
      </c>
      <c r="M24" s="9">
        <v>35</v>
      </c>
      <c r="N24" s="9">
        <v>36</v>
      </c>
      <c r="O24" s="9">
        <v>234</v>
      </c>
      <c r="P24" s="9">
        <v>11</v>
      </c>
      <c r="Q24" s="9">
        <v>31</v>
      </c>
      <c r="R24" s="9">
        <v>45</v>
      </c>
      <c r="S24" s="9">
        <v>15</v>
      </c>
      <c r="T24" s="9">
        <v>111</v>
      </c>
      <c r="U24" s="9">
        <v>0</v>
      </c>
      <c r="V24" s="9">
        <v>8</v>
      </c>
      <c r="W24" s="9">
        <v>1</v>
      </c>
      <c r="X24" s="9">
        <v>0</v>
      </c>
      <c r="Y24" s="9">
        <v>0</v>
      </c>
      <c r="Z24" s="9">
        <v>0</v>
      </c>
      <c r="AA24" s="9">
        <v>35</v>
      </c>
      <c r="AC24" s="9">
        <f t="shared" si="0"/>
        <v>1284</v>
      </c>
      <c r="AD24" s="9">
        <f t="shared" si="1"/>
        <v>11914</v>
      </c>
      <c r="AE24" s="10">
        <f t="shared" si="2"/>
        <v>9.2788161993769478</v>
      </c>
    </row>
    <row r="25" spans="1:31" x14ac:dyDescent="0.3">
      <c r="A25" s="55"/>
      <c r="B25" s="30" t="s">
        <v>27</v>
      </c>
      <c r="C25" s="9">
        <v>26</v>
      </c>
      <c r="D25" s="9">
        <v>13</v>
      </c>
      <c r="E25" s="9">
        <v>16</v>
      </c>
      <c r="F25" s="9">
        <v>30</v>
      </c>
      <c r="G25" s="9">
        <v>34</v>
      </c>
      <c r="H25" s="9">
        <v>173</v>
      </c>
      <c r="I25" s="9">
        <v>147</v>
      </c>
      <c r="J25" s="9">
        <v>44</v>
      </c>
      <c r="K25" s="9">
        <v>148</v>
      </c>
      <c r="L25" s="9">
        <v>30</v>
      </c>
      <c r="M25" s="9">
        <v>18</v>
      </c>
      <c r="N25" s="9">
        <v>13</v>
      </c>
      <c r="O25" s="9">
        <v>161</v>
      </c>
      <c r="P25" s="9">
        <v>11</v>
      </c>
      <c r="Q25" s="9">
        <v>26</v>
      </c>
      <c r="R25" s="9">
        <v>36</v>
      </c>
      <c r="S25" s="9">
        <v>11</v>
      </c>
      <c r="T25" s="9">
        <v>123</v>
      </c>
      <c r="U25" s="9">
        <v>1</v>
      </c>
      <c r="V25" s="9">
        <v>2</v>
      </c>
      <c r="W25" s="9">
        <v>0</v>
      </c>
      <c r="X25" s="9">
        <v>0</v>
      </c>
      <c r="Y25" s="9">
        <v>1</v>
      </c>
      <c r="Z25" s="9">
        <v>0</v>
      </c>
      <c r="AA25" s="9">
        <v>30</v>
      </c>
      <c r="AC25" s="9">
        <f t="shared" si="0"/>
        <v>1094</v>
      </c>
      <c r="AD25" s="9">
        <f t="shared" si="1"/>
        <v>10147</v>
      </c>
      <c r="AE25" s="10">
        <f t="shared" si="2"/>
        <v>9.2751371115173669</v>
      </c>
    </row>
    <row r="26" spans="1:31" x14ac:dyDescent="0.3">
      <c r="A26" s="55"/>
      <c r="B26" s="30" t="s">
        <v>28</v>
      </c>
      <c r="C26" s="9">
        <v>14</v>
      </c>
      <c r="D26" s="9">
        <v>5</v>
      </c>
      <c r="E26" s="9">
        <v>11</v>
      </c>
      <c r="F26" s="9">
        <v>12</v>
      </c>
      <c r="G26" s="9">
        <v>14</v>
      </c>
      <c r="H26" s="9">
        <v>51</v>
      </c>
      <c r="I26" s="9">
        <v>50</v>
      </c>
      <c r="J26" s="9">
        <v>15</v>
      </c>
      <c r="K26" s="9">
        <v>23</v>
      </c>
      <c r="L26" s="9">
        <v>12</v>
      </c>
      <c r="M26" s="9">
        <v>6</v>
      </c>
      <c r="N26" s="9">
        <v>6</v>
      </c>
      <c r="O26" s="9">
        <v>98</v>
      </c>
      <c r="P26" s="9">
        <v>15</v>
      </c>
      <c r="Q26" s="9">
        <v>38</v>
      </c>
      <c r="R26" s="9">
        <v>36</v>
      </c>
      <c r="S26" s="9">
        <v>14</v>
      </c>
      <c r="T26" s="9">
        <v>142</v>
      </c>
      <c r="U26" s="9">
        <v>0</v>
      </c>
      <c r="V26" s="9">
        <v>4</v>
      </c>
      <c r="W26" s="9">
        <v>0</v>
      </c>
      <c r="X26" s="9">
        <v>0</v>
      </c>
      <c r="Y26" s="9">
        <v>0</v>
      </c>
      <c r="Z26" s="9">
        <v>1</v>
      </c>
      <c r="AA26" s="9">
        <v>4</v>
      </c>
      <c r="AC26" s="9">
        <f t="shared" si="0"/>
        <v>571</v>
      </c>
      <c r="AD26" s="9">
        <f t="shared" si="1"/>
        <v>6473</v>
      </c>
      <c r="AE26" s="10">
        <f t="shared" si="2"/>
        <v>11.336252189141856</v>
      </c>
    </row>
    <row r="27" spans="1:31" x14ac:dyDescent="0.3">
      <c r="A27" s="55"/>
      <c r="B27" s="30" t="s">
        <v>29</v>
      </c>
      <c r="C27" s="9">
        <v>3</v>
      </c>
      <c r="D27" s="9">
        <v>1</v>
      </c>
      <c r="E27" s="9">
        <v>2</v>
      </c>
      <c r="F27" s="9">
        <v>7</v>
      </c>
      <c r="G27" s="9">
        <v>12</v>
      </c>
      <c r="H27" s="9">
        <v>43</v>
      </c>
      <c r="I27" s="9">
        <v>21</v>
      </c>
      <c r="J27" s="9">
        <v>12</v>
      </c>
      <c r="K27" s="9">
        <v>48</v>
      </c>
      <c r="L27" s="9">
        <v>12</v>
      </c>
      <c r="M27" s="9">
        <v>11</v>
      </c>
      <c r="N27" s="9">
        <v>12</v>
      </c>
      <c r="O27" s="9">
        <v>142</v>
      </c>
      <c r="P27" s="9">
        <v>10</v>
      </c>
      <c r="Q27" s="9">
        <v>17</v>
      </c>
      <c r="R27" s="9">
        <v>26</v>
      </c>
      <c r="S27" s="9">
        <v>11</v>
      </c>
      <c r="T27" s="9">
        <v>89</v>
      </c>
      <c r="U27" s="9">
        <v>0</v>
      </c>
      <c r="V27" s="9">
        <v>5</v>
      </c>
      <c r="W27" s="9">
        <v>0</v>
      </c>
      <c r="X27" s="9">
        <v>0</v>
      </c>
      <c r="Y27" s="9">
        <v>0</v>
      </c>
      <c r="Z27" s="9">
        <v>1</v>
      </c>
      <c r="AA27" s="9">
        <v>3</v>
      </c>
      <c r="AC27" s="9">
        <f t="shared" si="0"/>
        <v>488</v>
      </c>
      <c r="AD27" s="9">
        <f t="shared" si="1"/>
        <v>5574</v>
      </c>
      <c r="AE27" s="10">
        <f t="shared" si="2"/>
        <v>11.422131147540984</v>
      </c>
    </row>
    <row r="28" spans="1:31" x14ac:dyDescent="0.3">
      <c r="A28" s="55"/>
      <c r="B28" s="30" t="s">
        <v>30</v>
      </c>
      <c r="C28" s="9">
        <v>20</v>
      </c>
      <c r="D28" s="9">
        <v>5</v>
      </c>
      <c r="E28" s="9">
        <v>8</v>
      </c>
      <c r="F28" s="9">
        <v>24</v>
      </c>
      <c r="G28" s="9">
        <v>38</v>
      </c>
      <c r="H28" s="9">
        <v>154</v>
      </c>
      <c r="I28" s="9">
        <v>145</v>
      </c>
      <c r="J28" s="9">
        <v>57</v>
      </c>
      <c r="K28" s="9">
        <v>100</v>
      </c>
      <c r="L28" s="9">
        <v>20</v>
      </c>
      <c r="M28" s="9">
        <v>15</v>
      </c>
      <c r="N28" s="9">
        <v>25</v>
      </c>
      <c r="O28" s="9">
        <v>132</v>
      </c>
      <c r="P28" s="9">
        <v>16</v>
      </c>
      <c r="Q28" s="9">
        <v>31</v>
      </c>
      <c r="R28" s="9">
        <v>44</v>
      </c>
      <c r="S28" s="9">
        <v>10</v>
      </c>
      <c r="T28" s="9">
        <v>139</v>
      </c>
      <c r="U28" s="9">
        <v>4</v>
      </c>
      <c r="V28" s="9">
        <v>7</v>
      </c>
      <c r="W28" s="9">
        <v>0</v>
      </c>
      <c r="X28" s="9">
        <v>0</v>
      </c>
      <c r="Y28" s="9">
        <v>0</v>
      </c>
      <c r="Z28" s="9">
        <v>1</v>
      </c>
      <c r="AA28" s="9">
        <v>20</v>
      </c>
      <c r="AC28" s="9">
        <f t="shared" si="0"/>
        <v>1015</v>
      </c>
      <c r="AD28" s="9">
        <f t="shared" si="1"/>
        <v>9806</v>
      </c>
      <c r="AE28" s="10">
        <f t="shared" si="2"/>
        <v>9.6610837438423651</v>
      </c>
    </row>
    <row r="29" spans="1:31" x14ac:dyDescent="0.3">
      <c r="A29" s="55"/>
      <c r="B29" s="30" t="s">
        <v>31</v>
      </c>
      <c r="C29" s="9">
        <v>5</v>
      </c>
      <c r="D29" s="9">
        <v>3</v>
      </c>
      <c r="E29" s="9">
        <v>3</v>
      </c>
      <c r="F29" s="9">
        <v>8</v>
      </c>
      <c r="G29" s="9">
        <v>9</v>
      </c>
      <c r="H29" s="9">
        <v>34</v>
      </c>
      <c r="I29" s="9">
        <v>30</v>
      </c>
      <c r="J29" s="9">
        <v>12</v>
      </c>
      <c r="K29" s="9">
        <v>25</v>
      </c>
      <c r="L29" s="9">
        <v>17</v>
      </c>
      <c r="M29" s="9">
        <v>9</v>
      </c>
      <c r="N29" s="9">
        <v>12</v>
      </c>
      <c r="O29" s="9">
        <v>110</v>
      </c>
      <c r="P29" s="9">
        <v>11</v>
      </c>
      <c r="Q29" s="9">
        <v>22</v>
      </c>
      <c r="R29" s="9">
        <v>44</v>
      </c>
      <c r="S29" s="9">
        <v>11</v>
      </c>
      <c r="T29" s="9">
        <v>69</v>
      </c>
      <c r="U29" s="9">
        <v>1</v>
      </c>
      <c r="V29" s="9">
        <v>4</v>
      </c>
      <c r="W29" s="9">
        <v>0</v>
      </c>
      <c r="X29" s="9">
        <v>1</v>
      </c>
      <c r="Y29" s="9">
        <v>0</v>
      </c>
      <c r="Z29" s="9">
        <v>0</v>
      </c>
      <c r="AA29" s="9">
        <v>2</v>
      </c>
      <c r="AC29" s="9">
        <f t="shared" si="0"/>
        <v>442</v>
      </c>
      <c r="AD29" s="9">
        <f t="shared" si="1"/>
        <v>5021</v>
      </c>
      <c r="AE29" s="10">
        <f t="shared" si="2"/>
        <v>11.359728506787331</v>
      </c>
    </row>
    <row r="30" spans="1:31" x14ac:dyDescent="0.3">
      <c r="A30" s="55"/>
      <c r="B30" s="30" t="s">
        <v>32</v>
      </c>
      <c r="C30" s="9">
        <v>53</v>
      </c>
      <c r="D30" s="9">
        <v>2</v>
      </c>
      <c r="E30" s="9">
        <v>4</v>
      </c>
      <c r="F30" s="9">
        <v>10</v>
      </c>
      <c r="G30" s="9">
        <v>13</v>
      </c>
      <c r="H30" s="9">
        <v>37</v>
      </c>
      <c r="I30" s="9">
        <v>33</v>
      </c>
      <c r="J30" s="9">
        <v>19</v>
      </c>
      <c r="K30" s="9">
        <v>50</v>
      </c>
      <c r="L30" s="9">
        <v>20</v>
      </c>
      <c r="M30" s="9">
        <v>29</v>
      </c>
      <c r="N30" s="9">
        <v>32</v>
      </c>
      <c r="O30" s="9">
        <v>217</v>
      </c>
      <c r="P30" s="9">
        <v>36</v>
      </c>
      <c r="Q30" s="9">
        <v>54</v>
      </c>
      <c r="R30" s="9">
        <v>68</v>
      </c>
      <c r="S30" s="9">
        <v>33</v>
      </c>
      <c r="T30" s="9">
        <v>245</v>
      </c>
      <c r="U30" s="9">
        <v>5</v>
      </c>
      <c r="V30" s="9">
        <v>7</v>
      </c>
      <c r="W30" s="9">
        <v>0</v>
      </c>
      <c r="X30" s="9">
        <v>1</v>
      </c>
      <c r="Y30" s="9">
        <v>0</v>
      </c>
      <c r="Z30" s="9">
        <v>1</v>
      </c>
      <c r="AA30" s="9">
        <v>16</v>
      </c>
      <c r="AC30" s="9">
        <f t="shared" si="0"/>
        <v>985</v>
      </c>
      <c r="AD30" s="9">
        <f t="shared" si="1"/>
        <v>12022</v>
      </c>
      <c r="AE30" s="10">
        <f t="shared" si="2"/>
        <v>12.205076142131979</v>
      </c>
    </row>
    <row r="31" spans="1:31" x14ac:dyDescent="0.3">
      <c r="A31" s="55"/>
      <c r="B31" s="30" t="s">
        <v>33</v>
      </c>
      <c r="C31" s="9">
        <v>2</v>
      </c>
      <c r="D31" s="9">
        <v>2</v>
      </c>
      <c r="E31" s="9">
        <v>2</v>
      </c>
      <c r="F31" s="9">
        <v>3</v>
      </c>
      <c r="G31" s="9">
        <v>4</v>
      </c>
      <c r="H31" s="9">
        <v>8</v>
      </c>
      <c r="I31" s="9">
        <v>14</v>
      </c>
      <c r="J31" s="9">
        <v>10</v>
      </c>
      <c r="K31" s="9">
        <v>11</v>
      </c>
      <c r="L31" s="9">
        <v>5</v>
      </c>
      <c r="M31" s="9">
        <v>9</v>
      </c>
      <c r="N31" s="9">
        <v>8</v>
      </c>
      <c r="O31" s="9">
        <v>46</v>
      </c>
      <c r="P31" s="9">
        <v>4</v>
      </c>
      <c r="Q31" s="9">
        <v>15</v>
      </c>
      <c r="R31" s="9">
        <v>7</v>
      </c>
      <c r="S31" s="9">
        <v>3</v>
      </c>
      <c r="T31" s="9">
        <v>30</v>
      </c>
      <c r="U31" s="9">
        <v>0</v>
      </c>
      <c r="V31" s="9">
        <v>2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C31" s="9">
        <f t="shared" si="0"/>
        <v>186</v>
      </c>
      <c r="AD31" s="9">
        <f t="shared" si="1"/>
        <v>2075</v>
      </c>
      <c r="AE31" s="10">
        <f t="shared" si="2"/>
        <v>11.155913978494624</v>
      </c>
    </row>
    <row r="32" spans="1:31" x14ac:dyDescent="0.3">
      <c r="A32" s="55"/>
      <c r="B32" s="30" t="s">
        <v>34</v>
      </c>
      <c r="C32" s="9">
        <v>12</v>
      </c>
      <c r="D32" s="9">
        <v>6</v>
      </c>
      <c r="E32" s="9">
        <v>22</v>
      </c>
      <c r="F32" s="9">
        <v>10</v>
      </c>
      <c r="G32" s="9">
        <v>2</v>
      </c>
      <c r="H32" s="9">
        <v>13</v>
      </c>
      <c r="I32" s="9">
        <v>21</v>
      </c>
      <c r="J32" s="9">
        <v>18</v>
      </c>
      <c r="K32" s="9">
        <v>25</v>
      </c>
      <c r="L32" s="9">
        <v>13</v>
      </c>
      <c r="M32" s="9">
        <v>15</v>
      </c>
      <c r="N32" s="9">
        <v>10</v>
      </c>
      <c r="O32" s="9">
        <v>163</v>
      </c>
      <c r="P32" s="9">
        <v>14</v>
      </c>
      <c r="Q32" s="9">
        <v>21</v>
      </c>
      <c r="R32" s="9">
        <v>33</v>
      </c>
      <c r="S32" s="9">
        <v>5</v>
      </c>
      <c r="T32" s="9">
        <v>80</v>
      </c>
      <c r="U32" s="9">
        <v>1</v>
      </c>
      <c r="V32" s="9">
        <v>2</v>
      </c>
      <c r="W32" s="9">
        <v>0</v>
      </c>
      <c r="X32" s="9">
        <v>0</v>
      </c>
      <c r="Y32" s="9">
        <v>0</v>
      </c>
      <c r="Z32" s="9">
        <v>0</v>
      </c>
      <c r="AA32" s="9">
        <v>11</v>
      </c>
      <c r="AC32" s="9">
        <f t="shared" si="0"/>
        <v>497</v>
      </c>
      <c r="AD32" s="9">
        <f t="shared" si="1"/>
        <v>5669</v>
      </c>
      <c r="AE32" s="10">
        <f t="shared" si="2"/>
        <v>11.406438631790744</v>
      </c>
    </row>
    <row r="33" spans="1:31" x14ac:dyDescent="0.3">
      <c r="A33" s="55"/>
      <c r="B33" s="30" t="s">
        <v>35</v>
      </c>
      <c r="C33" s="9">
        <v>229</v>
      </c>
      <c r="D33" s="9">
        <v>79</v>
      </c>
      <c r="E33" s="9">
        <v>77</v>
      </c>
      <c r="F33" s="9">
        <v>117</v>
      </c>
      <c r="G33" s="9">
        <v>148</v>
      </c>
      <c r="H33" s="9">
        <v>280</v>
      </c>
      <c r="I33" s="9">
        <v>310</v>
      </c>
      <c r="J33" s="9">
        <v>454</v>
      </c>
      <c r="K33" s="9">
        <v>736</v>
      </c>
      <c r="L33" s="9">
        <v>535</v>
      </c>
      <c r="M33" s="9">
        <v>784</v>
      </c>
      <c r="N33" s="9">
        <v>670</v>
      </c>
      <c r="O33" s="9">
        <v>14475</v>
      </c>
      <c r="P33" s="9">
        <v>2738</v>
      </c>
      <c r="Q33" s="9">
        <v>6599</v>
      </c>
      <c r="R33" s="9">
        <v>9372</v>
      </c>
      <c r="S33" s="9">
        <v>3080</v>
      </c>
      <c r="T33" s="9">
        <v>26255</v>
      </c>
      <c r="U33" s="9">
        <v>940</v>
      </c>
      <c r="V33" s="9">
        <v>3008</v>
      </c>
      <c r="W33" s="9">
        <v>28</v>
      </c>
      <c r="X33" s="9">
        <v>10</v>
      </c>
      <c r="Y33" s="9">
        <v>12</v>
      </c>
      <c r="Z33" s="9">
        <v>80</v>
      </c>
      <c r="AA33" s="9">
        <v>728</v>
      </c>
      <c r="AC33" s="9">
        <f t="shared" si="0"/>
        <v>71744</v>
      </c>
      <c r="AD33" s="9">
        <f t="shared" si="1"/>
        <v>1065820</v>
      </c>
      <c r="AE33" s="10">
        <f t="shared" si="2"/>
        <v>14.855876449598572</v>
      </c>
    </row>
    <row r="34" spans="1:31" x14ac:dyDescent="0.3">
      <c r="A34" s="55"/>
      <c r="B34" s="30" t="s">
        <v>36</v>
      </c>
      <c r="C34" s="9">
        <v>22</v>
      </c>
      <c r="D34" s="9">
        <v>20</v>
      </c>
      <c r="E34" s="9">
        <v>19</v>
      </c>
      <c r="F34" s="9">
        <v>28</v>
      </c>
      <c r="G34" s="9">
        <v>47</v>
      </c>
      <c r="H34" s="9">
        <v>118</v>
      </c>
      <c r="I34" s="9">
        <v>100</v>
      </c>
      <c r="J34" s="9">
        <v>99</v>
      </c>
      <c r="K34" s="9">
        <v>151</v>
      </c>
      <c r="L34" s="9">
        <v>77</v>
      </c>
      <c r="M34" s="9">
        <v>81</v>
      </c>
      <c r="N34" s="9">
        <v>71</v>
      </c>
      <c r="O34" s="9">
        <v>710</v>
      </c>
      <c r="P34" s="9">
        <v>27</v>
      </c>
      <c r="Q34" s="9">
        <v>61</v>
      </c>
      <c r="R34" s="9">
        <v>76</v>
      </c>
      <c r="S34" s="9">
        <v>11</v>
      </c>
      <c r="T34" s="9">
        <v>70</v>
      </c>
      <c r="U34" s="9">
        <v>2</v>
      </c>
      <c r="V34" s="9">
        <v>3</v>
      </c>
      <c r="W34" s="9">
        <v>0</v>
      </c>
      <c r="X34" s="9">
        <v>0</v>
      </c>
      <c r="Y34" s="9">
        <v>0</v>
      </c>
      <c r="Z34" s="9">
        <v>1</v>
      </c>
      <c r="AA34" s="9">
        <v>39</v>
      </c>
      <c r="AC34" s="9">
        <f t="shared" si="0"/>
        <v>1833</v>
      </c>
      <c r="AD34" s="9">
        <f t="shared" si="1"/>
        <v>18988</v>
      </c>
      <c r="AE34" s="10">
        <f t="shared" si="2"/>
        <v>10.358974358974359</v>
      </c>
    </row>
    <row r="35" spans="1:31" x14ac:dyDescent="0.3">
      <c r="A35" s="55"/>
      <c r="B35" s="30" t="s">
        <v>37</v>
      </c>
      <c r="C35" s="9">
        <v>8</v>
      </c>
      <c r="D35" s="9">
        <v>8</v>
      </c>
      <c r="E35" s="9">
        <v>7</v>
      </c>
      <c r="F35" s="9">
        <v>29</v>
      </c>
      <c r="G35" s="9">
        <v>17</v>
      </c>
      <c r="H35" s="9">
        <v>48</v>
      </c>
      <c r="I35" s="9">
        <v>43</v>
      </c>
      <c r="J35" s="9">
        <v>49</v>
      </c>
      <c r="K35" s="9">
        <v>73</v>
      </c>
      <c r="L35" s="9">
        <v>28</v>
      </c>
      <c r="M35" s="9">
        <v>48</v>
      </c>
      <c r="N35" s="9">
        <v>64</v>
      </c>
      <c r="O35" s="9">
        <v>592</v>
      </c>
      <c r="P35" s="9">
        <v>48</v>
      </c>
      <c r="Q35" s="9">
        <v>87</v>
      </c>
      <c r="R35" s="9">
        <v>140</v>
      </c>
      <c r="S35" s="9">
        <v>27</v>
      </c>
      <c r="T35" s="9">
        <v>241</v>
      </c>
      <c r="U35" s="9">
        <v>10</v>
      </c>
      <c r="V35" s="9">
        <v>14</v>
      </c>
      <c r="W35" s="9">
        <v>0</v>
      </c>
      <c r="X35" s="9">
        <v>0</v>
      </c>
      <c r="Y35" s="9">
        <v>0</v>
      </c>
      <c r="Z35" s="9">
        <v>1</v>
      </c>
      <c r="AA35" s="9">
        <v>28</v>
      </c>
      <c r="AC35" s="9">
        <f t="shared" si="0"/>
        <v>1610</v>
      </c>
      <c r="AD35" s="9">
        <f t="shared" si="1"/>
        <v>19754</v>
      </c>
      <c r="AE35" s="10">
        <f t="shared" si="2"/>
        <v>12.269565217391305</v>
      </c>
    </row>
    <row r="36" spans="1:31" x14ac:dyDescent="0.3">
      <c r="A36" s="55"/>
      <c r="B36" s="30" t="s">
        <v>38</v>
      </c>
      <c r="C36" s="9">
        <v>25</v>
      </c>
      <c r="D36" s="9">
        <v>29</v>
      </c>
      <c r="E36" s="9">
        <v>20</v>
      </c>
      <c r="F36" s="9">
        <v>51</v>
      </c>
      <c r="G36" s="9">
        <v>49</v>
      </c>
      <c r="H36" s="9">
        <v>100</v>
      </c>
      <c r="I36" s="9">
        <v>111</v>
      </c>
      <c r="J36" s="9">
        <v>116</v>
      </c>
      <c r="K36" s="9">
        <v>178</v>
      </c>
      <c r="L36" s="9">
        <v>87</v>
      </c>
      <c r="M36" s="9">
        <v>116</v>
      </c>
      <c r="N36" s="9">
        <v>104</v>
      </c>
      <c r="O36" s="9">
        <v>1782</v>
      </c>
      <c r="P36" s="9">
        <v>157</v>
      </c>
      <c r="Q36" s="9">
        <v>252</v>
      </c>
      <c r="R36" s="9">
        <v>384</v>
      </c>
      <c r="S36" s="9">
        <v>78</v>
      </c>
      <c r="T36" s="9">
        <v>636</v>
      </c>
      <c r="U36" s="9">
        <v>14</v>
      </c>
      <c r="V36" s="9">
        <v>29</v>
      </c>
      <c r="W36" s="9">
        <v>2</v>
      </c>
      <c r="X36" s="9">
        <v>0</v>
      </c>
      <c r="Y36" s="9">
        <v>1</v>
      </c>
      <c r="Z36" s="9">
        <v>3</v>
      </c>
      <c r="AA36" s="9">
        <v>66</v>
      </c>
      <c r="AC36" s="9">
        <f t="shared" si="0"/>
        <v>4390</v>
      </c>
      <c r="AD36" s="9">
        <f t="shared" si="1"/>
        <v>54198</v>
      </c>
      <c r="AE36" s="10">
        <f t="shared" si="2"/>
        <v>12.345785876993165</v>
      </c>
    </row>
    <row r="37" spans="1:31" x14ac:dyDescent="0.3">
      <c r="A37" s="55"/>
      <c r="B37" s="30" t="s">
        <v>39</v>
      </c>
      <c r="C37" s="9">
        <v>505</v>
      </c>
      <c r="D37" s="9">
        <v>267</v>
      </c>
      <c r="E37" s="9">
        <v>280</v>
      </c>
      <c r="F37" s="9">
        <v>595</v>
      </c>
      <c r="G37" s="9">
        <v>550</v>
      </c>
      <c r="H37" s="9">
        <v>1235</v>
      </c>
      <c r="I37" s="9">
        <v>1220</v>
      </c>
      <c r="J37" s="9">
        <v>1367</v>
      </c>
      <c r="K37" s="9">
        <v>2119</v>
      </c>
      <c r="L37" s="9">
        <v>1201</v>
      </c>
      <c r="M37" s="9">
        <v>1842</v>
      </c>
      <c r="N37" s="9">
        <v>1533</v>
      </c>
      <c r="O37" s="9">
        <v>31197</v>
      </c>
      <c r="P37" s="9">
        <v>3223</v>
      </c>
      <c r="Q37" s="9">
        <v>7467</v>
      </c>
      <c r="R37" s="9">
        <v>10986</v>
      </c>
      <c r="S37" s="9">
        <v>2851</v>
      </c>
      <c r="T37" s="9">
        <v>23571</v>
      </c>
      <c r="U37" s="9">
        <v>507</v>
      </c>
      <c r="V37" s="9">
        <v>994</v>
      </c>
      <c r="W37" s="9">
        <v>13</v>
      </c>
      <c r="X37" s="9">
        <v>5</v>
      </c>
      <c r="Y37" s="9">
        <v>11</v>
      </c>
      <c r="Z37" s="9">
        <v>32</v>
      </c>
      <c r="AA37" s="9">
        <v>741</v>
      </c>
      <c r="AC37" s="9">
        <f t="shared" si="0"/>
        <v>94312</v>
      </c>
      <c r="AD37" s="9">
        <f t="shared" si="1"/>
        <v>1269973</v>
      </c>
      <c r="AE37" s="10">
        <f t="shared" si="2"/>
        <v>13.465656544236152</v>
      </c>
    </row>
    <row r="38" spans="1:31" x14ac:dyDescent="0.3">
      <c r="A38" s="55"/>
      <c r="B38" s="30" t="s">
        <v>40</v>
      </c>
      <c r="C38" s="9">
        <v>38</v>
      </c>
      <c r="D38" s="9">
        <v>25</v>
      </c>
      <c r="E38" s="9">
        <v>19</v>
      </c>
      <c r="F38" s="9">
        <v>49</v>
      </c>
      <c r="G38" s="9">
        <v>30</v>
      </c>
      <c r="H38" s="9">
        <v>79</v>
      </c>
      <c r="I38" s="9">
        <v>81</v>
      </c>
      <c r="J38" s="9">
        <v>68</v>
      </c>
      <c r="K38" s="9">
        <v>132</v>
      </c>
      <c r="L38" s="9">
        <v>73</v>
      </c>
      <c r="M38" s="9">
        <v>98</v>
      </c>
      <c r="N38" s="9">
        <v>119</v>
      </c>
      <c r="O38" s="9">
        <v>1598</v>
      </c>
      <c r="P38" s="9">
        <v>79</v>
      </c>
      <c r="Q38" s="9">
        <v>213</v>
      </c>
      <c r="R38" s="9">
        <v>210</v>
      </c>
      <c r="S38" s="9">
        <v>52</v>
      </c>
      <c r="T38" s="9">
        <v>528</v>
      </c>
      <c r="U38" s="9">
        <v>15</v>
      </c>
      <c r="V38" s="9">
        <v>26</v>
      </c>
      <c r="W38" s="9">
        <v>1</v>
      </c>
      <c r="X38" s="9">
        <v>0</v>
      </c>
      <c r="Y38" s="9">
        <v>0</v>
      </c>
      <c r="Z38" s="9">
        <v>1</v>
      </c>
      <c r="AA38" s="9">
        <v>71</v>
      </c>
      <c r="AC38" s="9">
        <f t="shared" si="0"/>
        <v>3605</v>
      </c>
      <c r="AD38" s="9">
        <f t="shared" si="1"/>
        <v>44343</v>
      </c>
      <c r="AE38" s="10">
        <f t="shared" si="2"/>
        <v>12.300416088765603</v>
      </c>
    </row>
    <row r="39" spans="1:31" x14ac:dyDescent="0.3">
      <c r="A39" s="55"/>
      <c r="B39" s="30" t="s">
        <v>41</v>
      </c>
      <c r="C39" s="9">
        <v>15</v>
      </c>
      <c r="D39" s="9">
        <v>10</v>
      </c>
      <c r="E39" s="9">
        <v>18</v>
      </c>
      <c r="F39" s="9">
        <v>19</v>
      </c>
      <c r="G39" s="9">
        <v>22</v>
      </c>
      <c r="H39" s="9">
        <v>40</v>
      </c>
      <c r="I39" s="9">
        <v>40</v>
      </c>
      <c r="J39" s="9">
        <v>45</v>
      </c>
      <c r="K39" s="9">
        <v>70</v>
      </c>
      <c r="L39" s="9">
        <v>40</v>
      </c>
      <c r="M39" s="9">
        <v>45</v>
      </c>
      <c r="N39" s="9">
        <v>41</v>
      </c>
      <c r="O39" s="9">
        <v>516</v>
      </c>
      <c r="P39" s="9">
        <v>17</v>
      </c>
      <c r="Q39" s="9">
        <v>29</v>
      </c>
      <c r="R39" s="9">
        <v>33</v>
      </c>
      <c r="S39" s="9">
        <v>10</v>
      </c>
      <c r="T39" s="9">
        <v>82</v>
      </c>
      <c r="U39" s="9">
        <v>1</v>
      </c>
      <c r="V39" s="9">
        <v>5</v>
      </c>
      <c r="W39" s="9">
        <v>0</v>
      </c>
      <c r="X39" s="9">
        <v>0</v>
      </c>
      <c r="Y39" s="9">
        <v>0</v>
      </c>
      <c r="Z39" s="9">
        <v>0</v>
      </c>
      <c r="AA39" s="9">
        <v>33</v>
      </c>
      <c r="AC39" s="9">
        <f t="shared" si="0"/>
        <v>1131</v>
      </c>
      <c r="AD39" s="9">
        <f t="shared" si="1"/>
        <v>12540</v>
      </c>
      <c r="AE39" s="10">
        <f t="shared" si="2"/>
        <v>11.087533156498674</v>
      </c>
    </row>
    <row r="40" spans="1:31" x14ac:dyDescent="0.3">
      <c r="A40" s="55"/>
      <c r="B40" s="30" t="s">
        <v>42</v>
      </c>
      <c r="C40" s="9">
        <v>2</v>
      </c>
      <c r="D40" s="9">
        <v>1</v>
      </c>
      <c r="E40" s="9">
        <v>3</v>
      </c>
      <c r="F40" s="9">
        <v>4</v>
      </c>
      <c r="G40" s="9">
        <v>5</v>
      </c>
      <c r="H40" s="9">
        <v>4</v>
      </c>
      <c r="I40" s="9">
        <v>10</v>
      </c>
      <c r="J40" s="9">
        <v>3</v>
      </c>
      <c r="K40" s="9">
        <v>10</v>
      </c>
      <c r="L40" s="9">
        <v>6</v>
      </c>
      <c r="M40" s="9">
        <v>8</v>
      </c>
      <c r="N40" s="9">
        <v>13</v>
      </c>
      <c r="O40" s="9">
        <v>242</v>
      </c>
      <c r="P40" s="9">
        <v>19</v>
      </c>
      <c r="Q40" s="9">
        <v>54</v>
      </c>
      <c r="R40" s="9">
        <v>43</v>
      </c>
      <c r="S40" s="9">
        <v>9</v>
      </c>
      <c r="T40" s="9">
        <v>68</v>
      </c>
      <c r="U40" s="9">
        <v>2</v>
      </c>
      <c r="V40" s="9">
        <v>2</v>
      </c>
      <c r="W40" s="9">
        <v>0</v>
      </c>
      <c r="X40" s="9">
        <v>0</v>
      </c>
      <c r="Y40" s="9">
        <v>0</v>
      </c>
      <c r="Z40" s="9">
        <v>0</v>
      </c>
      <c r="AA40" s="9">
        <v>6</v>
      </c>
      <c r="AC40" s="9">
        <f t="shared" si="0"/>
        <v>514</v>
      </c>
      <c r="AD40" s="9">
        <f t="shared" si="1"/>
        <v>6567</v>
      </c>
      <c r="AE40" s="10">
        <f t="shared" si="2"/>
        <v>12.77626459143969</v>
      </c>
    </row>
    <row r="41" spans="1:31" x14ac:dyDescent="0.3">
      <c r="A41" s="55"/>
      <c r="B41" s="30" t="s">
        <v>43</v>
      </c>
      <c r="C41" s="9">
        <v>8</v>
      </c>
      <c r="D41" s="9">
        <v>1</v>
      </c>
      <c r="E41" s="9">
        <v>1</v>
      </c>
      <c r="F41" s="9">
        <v>4</v>
      </c>
      <c r="G41" s="9">
        <v>5</v>
      </c>
      <c r="H41" s="9">
        <v>14</v>
      </c>
      <c r="I41" s="9">
        <v>12</v>
      </c>
      <c r="J41" s="9">
        <v>10</v>
      </c>
      <c r="K41" s="9">
        <v>21</v>
      </c>
      <c r="L41" s="9">
        <v>12</v>
      </c>
      <c r="M41" s="9">
        <v>19</v>
      </c>
      <c r="N41" s="9">
        <v>23</v>
      </c>
      <c r="O41" s="9">
        <v>238</v>
      </c>
      <c r="P41" s="9">
        <v>14</v>
      </c>
      <c r="Q41" s="9">
        <v>45</v>
      </c>
      <c r="R41" s="9">
        <v>42</v>
      </c>
      <c r="S41" s="9">
        <v>7</v>
      </c>
      <c r="T41" s="9">
        <v>77</v>
      </c>
      <c r="U41" s="9">
        <v>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17</v>
      </c>
      <c r="AC41" s="9">
        <f t="shared" si="0"/>
        <v>573</v>
      </c>
      <c r="AD41" s="9">
        <f t="shared" si="1"/>
        <v>7147</v>
      </c>
      <c r="AE41" s="10">
        <f t="shared" si="2"/>
        <v>12.472949389179755</v>
      </c>
    </row>
    <row r="42" spans="1:31" x14ac:dyDescent="0.3">
      <c r="A42" s="55"/>
      <c r="B42" s="30" t="s">
        <v>44</v>
      </c>
      <c r="C42" s="9">
        <v>5</v>
      </c>
      <c r="D42" s="9">
        <v>3</v>
      </c>
      <c r="E42" s="9">
        <v>6</v>
      </c>
      <c r="F42" s="9">
        <v>2</v>
      </c>
      <c r="G42" s="9">
        <v>3</v>
      </c>
      <c r="H42" s="9">
        <v>6</v>
      </c>
      <c r="I42" s="9">
        <v>7</v>
      </c>
      <c r="J42" s="9">
        <v>15</v>
      </c>
      <c r="K42" s="9">
        <v>15</v>
      </c>
      <c r="L42" s="9">
        <v>14</v>
      </c>
      <c r="M42" s="9">
        <v>13</v>
      </c>
      <c r="N42" s="9">
        <v>13</v>
      </c>
      <c r="O42" s="9">
        <v>258</v>
      </c>
      <c r="P42" s="9">
        <v>14</v>
      </c>
      <c r="Q42" s="9">
        <v>32</v>
      </c>
      <c r="R42" s="9">
        <v>31</v>
      </c>
      <c r="S42" s="9">
        <v>8</v>
      </c>
      <c r="T42" s="9">
        <v>94</v>
      </c>
      <c r="U42" s="9">
        <v>1</v>
      </c>
      <c r="V42" s="9">
        <v>3</v>
      </c>
      <c r="W42" s="9">
        <v>0</v>
      </c>
      <c r="X42" s="9">
        <v>0</v>
      </c>
      <c r="Y42" s="9">
        <v>0</v>
      </c>
      <c r="Z42" s="9">
        <v>0</v>
      </c>
      <c r="AA42" s="9">
        <v>11</v>
      </c>
      <c r="AC42" s="9">
        <f t="shared" si="0"/>
        <v>554</v>
      </c>
      <c r="AD42" s="9">
        <f t="shared" si="1"/>
        <v>6985</v>
      </c>
      <c r="AE42" s="10">
        <f t="shared" si="2"/>
        <v>12.608303249097473</v>
      </c>
    </row>
    <row r="43" spans="1:31" x14ac:dyDescent="0.3">
      <c r="A43" s="55"/>
      <c r="B43" s="30" t="s">
        <v>45</v>
      </c>
      <c r="C43" s="9">
        <v>3</v>
      </c>
      <c r="D43" s="9">
        <v>2</v>
      </c>
      <c r="E43" s="9">
        <v>1</v>
      </c>
      <c r="F43" s="9">
        <v>0</v>
      </c>
      <c r="G43" s="9">
        <v>1</v>
      </c>
      <c r="H43" s="9">
        <v>4</v>
      </c>
      <c r="I43" s="9">
        <v>1</v>
      </c>
      <c r="J43" s="9">
        <v>3</v>
      </c>
      <c r="K43" s="9">
        <v>10</v>
      </c>
      <c r="L43" s="9">
        <v>2</v>
      </c>
      <c r="M43" s="9">
        <v>6</v>
      </c>
      <c r="N43" s="9">
        <v>1</v>
      </c>
      <c r="O43" s="9">
        <v>95</v>
      </c>
      <c r="P43" s="9">
        <v>9</v>
      </c>
      <c r="Q43" s="9">
        <v>61</v>
      </c>
      <c r="R43" s="9">
        <v>36</v>
      </c>
      <c r="S43" s="9">
        <v>3</v>
      </c>
      <c r="T43" s="9">
        <v>82</v>
      </c>
      <c r="U43" s="9">
        <v>1</v>
      </c>
      <c r="V43" s="9">
        <v>4</v>
      </c>
      <c r="W43" s="9">
        <v>0</v>
      </c>
      <c r="X43" s="9">
        <v>0</v>
      </c>
      <c r="Y43" s="9">
        <v>0</v>
      </c>
      <c r="Z43" s="9">
        <v>0</v>
      </c>
      <c r="AA43" s="9">
        <v>9</v>
      </c>
      <c r="AC43" s="9">
        <f t="shared" si="0"/>
        <v>334</v>
      </c>
      <c r="AD43" s="9">
        <f t="shared" si="1"/>
        <v>4627</v>
      </c>
      <c r="AE43" s="10">
        <f t="shared" si="2"/>
        <v>13.853293413173652</v>
      </c>
    </row>
    <row r="44" spans="1:31" x14ac:dyDescent="0.3">
      <c r="A44" s="55"/>
      <c r="B44" s="30" t="s">
        <v>46</v>
      </c>
      <c r="C44" s="9">
        <v>9</v>
      </c>
      <c r="D44" s="9">
        <v>4</v>
      </c>
      <c r="E44" s="9">
        <v>7</v>
      </c>
      <c r="F44" s="9">
        <v>8</v>
      </c>
      <c r="G44" s="9">
        <v>13</v>
      </c>
      <c r="H44" s="9">
        <v>20</v>
      </c>
      <c r="I44" s="9">
        <v>25</v>
      </c>
      <c r="J44" s="9">
        <v>26</v>
      </c>
      <c r="K44" s="9">
        <v>51</v>
      </c>
      <c r="L44" s="9">
        <v>17</v>
      </c>
      <c r="M44" s="9">
        <v>30</v>
      </c>
      <c r="N44" s="9">
        <v>22</v>
      </c>
      <c r="O44" s="9">
        <v>388</v>
      </c>
      <c r="P44" s="9">
        <v>14</v>
      </c>
      <c r="Q44" s="9">
        <v>38</v>
      </c>
      <c r="R44" s="9">
        <v>77</v>
      </c>
      <c r="S44" s="9">
        <v>14</v>
      </c>
      <c r="T44" s="9">
        <v>83</v>
      </c>
      <c r="U44" s="9">
        <v>3</v>
      </c>
      <c r="V44" s="9">
        <v>8</v>
      </c>
      <c r="W44" s="9">
        <v>0</v>
      </c>
      <c r="X44" s="9">
        <v>0</v>
      </c>
      <c r="Y44" s="9">
        <v>0</v>
      </c>
      <c r="Z44" s="9">
        <v>1</v>
      </c>
      <c r="AA44" s="9">
        <v>25</v>
      </c>
      <c r="AC44" s="9">
        <f t="shared" si="0"/>
        <v>883</v>
      </c>
      <c r="AD44" s="9">
        <f t="shared" si="1"/>
        <v>10618</v>
      </c>
      <c r="AE44" s="10">
        <f t="shared" si="2"/>
        <v>12.024915062287656</v>
      </c>
    </row>
    <row r="45" spans="1:31" x14ac:dyDescent="0.3">
      <c r="A45" s="55"/>
      <c r="B45" s="30" t="s">
        <v>47</v>
      </c>
      <c r="C45" s="9">
        <v>14</v>
      </c>
      <c r="D45" s="9">
        <v>4</v>
      </c>
      <c r="E45" s="9">
        <v>0</v>
      </c>
      <c r="F45" s="9">
        <v>9</v>
      </c>
      <c r="G45" s="9">
        <v>12</v>
      </c>
      <c r="H45" s="9">
        <v>25</v>
      </c>
      <c r="I45" s="9">
        <v>25</v>
      </c>
      <c r="J45" s="9">
        <v>25</v>
      </c>
      <c r="K45" s="9">
        <v>42</v>
      </c>
      <c r="L45" s="9">
        <v>25</v>
      </c>
      <c r="M45" s="9">
        <v>36</v>
      </c>
      <c r="N45" s="9">
        <v>30</v>
      </c>
      <c r="O45" s="9">
        <v>453</v>
      </c>
      <c r="P45" s="9">
        <v>22</v>
      </c>
      <c r="Q45" s="9">
        <v>51</v>
      </c>
      <c r="R45" s="9">
        <v>57</v>
      </c>
      <c r="S45" s="9">
        <v>10</v>
      </c>
      <c r="T45" s="9">
        <v>106</v>
      </c>
      <c r="U45" s="9">
        <v>0</v>
      </c>
      <c r="V45" s="9">
        <v>7</v>
      </c>
      <c r="W45" s="9">
        <v>0</v>
      </c>
      <c r="X45" s="9">
        <v>0</v>
      </c>
      <c r="Y45" s="9">
        <v>0</v>
      </c>
      <c r="Z45" s="9">
        <v>1</v>
      </c>
      <c r="AA45" s="9">
        <v>29</v>
      </c>
      <c r="AC45" s="9">
        <f t="shared" si="0"/>
        <v>983</v>
      </c>
      <c r="AD45" s="9">
        <f t="shared" si="1"/>
        <v>11885</v>
      </c>
      <c r="AE45" s="10">
        <f t="shared" si="2"/>
        <v>12.090539165818921</v>
      </c>
    </row>
    <row r="46" spans="1:31" x14ac:dyDescent="0.3">
      <c r="A46" s="55"/>
      <c r="B46" s="30" t="s">
        <v>48</v>
      </c>
      <c r="C46" s="9">
        <v>3</v>
      </c>
      <c r="D46" s="9">
        <v>3</v>
      </c>
      <c r="E46" s="9">
        <v>1</v>
      </c>
      <c r="F46" s="9">
        <v>8</v>
      </c>
      <c r="G46" s="9">
        <v>12</v>
      </c>
      <c r="H46" s="9">
        <v>26</v>
      </c>
      <c r="I46" s="9">
        <v>10</v>
      </c>
      <c r="J46" s="9">
        <v>14</v>
      </c>
      <c r="K46" s="9">
        <v>48</v>
      </c>
      <c r="L46" s="9">
        <v>17</v>
      </c>
      <c r="M46" s="9">
        <v>43</v>
      </c>
      <c r="N46" s="9">
        <v>19</v>
      </c>
      <c r="O46" s="9">
        <v>390</v>
      </c>
      <c r="P46" s="9">
        <v>18</v>
      </c>
      <c r="Q46" s="9">
        <v>31</v>
      </c>
      <c r="R46" s="9">
        <v>45</v>
      </c>
      <c r="S46" s="9">
        <v>9</v>
      </c>
      <c r="T46" s="9">
        <v>77</v>
      </c>
      <c r="U46" s="9">
        <v>1</v>
      </c>
      <c r="V46" s="9">
        <v>3</v>
      </c>
      <c r="W46" s="9">
        <v>1</v>
      </c>
      <c r="X46" s="9">
        <v>0</v>
      </c>
      <c r="Y46" s="9">
        <v>0</v>
      </c>
      <c r="Z46" s="9">
        <v>0</v>
      </c>
      <c r="AA46" s="9">
        <v>19</v>
      </c>
      <c r="AC46" s="9">
        <f t="shared" si="0"/>
        <v>798</v>
      </c>
      <c r="AD46" s="9">
        <f t="shared" si="1"/>
        <v>9568</v>
      </c>
      <c r="AE46" s="10">
        <f t="shared" si="2"/>
        <v>11.989974937343359</v>
      </c>
    </row>
    <row r="47" spans="1:31" x14ac:dyDescent="0.3">
      <c r="A47" s="55"/>
      <c r="B47" s="30" t="s">
        <v>49</v>
      </c>
      <c r="C47" s="9">
        <v>4</v>
      </c>
      <c r="D47" s="9">
        <v>1</v>
      </c>
      <c r="E47" s="9">
        <v>3</v>
      </c>
      <c r="F47" s="9">
        <v>4</v>
      </c>
      <c r="G47" s="9">
        <v>3</v>
      </c>
      <c r="H47" s="9">
        <v>19</v>
      </c>
      <c r="I47" s="9">
        <v>18</v>
      </c>
      <c r="J47" s="9">
        <v>6</v>
      </c>
      <c r="K47" s="9">
        <v>25</v>
      </c>
      <c r="L47" s="9">
        <v>7</v>
      </c>
      <c r="M47" s="9">
        <v>9</v>
      </c>
      <c r="N47" s="9">
        <v>4</v>
      </c>
      <c r="O47" s="9">
        <v>156</v>
      </c>
      <c r="P47" s="9">
        <v>9</v>
      </c>
      <c r="Q47" s="9">
        <v>15</v>
      </c>
      <c r="R47" s="9">
        <v>30</v>
      </c>
      <c r="S47" s="9">
        <v>3</v>
      </c>
      <c r="T47" s="9">
        <v>37</v>
      </c>
      <c r="U47" s="9">
        <v>2</v>
      </c>
      <c r="V47" s="9">
        <v>3</v>
      </c>
      <c r="W47" s="9">
        <v>0</v>
      </c>
      <c r="X47" s="9">
        <v>0</v>
      </c>
      <c r="Y47" s="9">
        <v>0</v>
      </c>
      <c r="Z47" s="9">
        <v>1</v>
      </c>
      <c r="AA47" s="9">
        <v>2</v>
      </c>
      <c r="AC47" s="9">
        <f t="shared" si="0"/>
        <v>361</v>
      </c>
      <c r="AD47" s="9">
        <f t="shared" si="1"/>
        <v>4163</v>
      </c>
      <c r="AE47" s="10">
        <f t="shared" si="2"/>
        <v>11.531855955678671</v>
      </c>
    </row>
    <row r="48" spans="1:31" x14ac:dyDescent="0.3">
      <c r="A48" s="55"/>
      <c r="B48" s="30" t="s">
        <v>50</v>
      </c>
      <c r="C48" s="9">
        <v>2</v>
      </c>
      <c r="D48" s="9">
        <v>2</v>
      </c>
      <c r="E48" s="9">
        <v>1</v>
      </c>
      <c r="F48" s="9">
        <v>4</v>
      </c>
      <c r="G48" s="9">
        <v>2</v>
      </c>
      <c r="H48" s="9">
        <v>12</v>
      </c>
      <c r="I48" s="9">
        <v>10</v>
      </c>
      <c r="J48" s="9">
        <v>3</v>
      </c>
      <c r="K48" s="9">
        <v>13</v>
      </c>
      <c r="L48" s="9">
        <v>6</v>
      </c>
      <c r="M48" s="9">
        <v>15</v>
      </c>
      <c r="N48" s="9">
        <v>6</v>
      </c>
      <c r="O48" s="9">
        <v>178</v>
      </c>
      <c r="P48" s="9">
        <v>8</v>
      </c>
      <c r="Q48" s="9">
        <v>16</v>
      </c>
      <c r="R48" s="9">
        <v>22</v>
      </c>
      <c r="S48" s="9">
        <v>4</v>
      </c>
      <c r="T48" s="9">
        <v>45</v>
      </c>
      <c r="U48" s="9">
        <v>0</v>
      </c>
      <c r="V48" s="9">
        <v>2</v>
      </c>
      <c r="W48" s="9">
        <v>0</v>
      </c>
      <c r="X48" s="9">
        <v>0</v>
      </c>
      <c r="Y48" s="9">
        <v>0</v>
      </c>
      <c r="Z48" s="9">
        <v>0</v>
      </c>
      <c r="AA48" s="9">
        <v>14</v>
      </c>
      <c r="AC48" s="9">
        <f t="shared" si="0"/>
        <v>365</v>
      </c>
      <c r="AD48" s="9">
        <f t="shared" si="1"/>
        <v>4536</v>
      </c>
      <c r="AE48" s="10">
        <f t="shared" si="2"/>
        <v>12.427397260273972</v>
      </c>
    </row>
    <row r="49" spans="1:31" x14ac:dyDescent="0.3">
      <c r="A49" s="55"/>
      <c r="B49" s="30" t="s">
        <v>51</v>
      </c>
      <c r="C49" s="9">
        <v>16</v>
      </c>
      <c r="D49" s="9">
        <v>0</v>
      </c>
      <c r="E49" s="9">
        <v>1</v>
      </c>
      <c r="F49" s="9">
        <v>4</v>
      </c>
      <c r="G49" s="9">
        <v>5</v>
      </c>
      <c r="H49" s="9">
        <v>9</v>
      </c>
      <c r="I49" s="9">
        <v>11</v>
      </c>
      <c r="J49" s="9">
        <v>7</v>
      </c>
      <c r="K49" s="9">
        <v>24</v>
      </c>
      <c r="L49" s="9">
        <v>8</v>
      </c>
      <c r="M49" s="9">
        <v>19</v>
      </c>
      <c r="N49" s="9">
        <v>15</v>
      </c>
      <c r="O49" s="9">
        <v>356</v>
      </c>
      <c r="P49" s="9">
        <v>6</v>
      </c>
      <c r="Q49" s="9">
        <v>38</v>
      </c>
      <c r="R49" s="9">
        <v>38</v>
      </c>
      <c r="S49" s="9">
        <v>3</v>
      </c>
      <c r="T49" s="9">
        <v>37</v>
      </c>
      <c r="U49" s="9">
        <v>1</v>
      </c>
      <c r="V49" s="9">
        <v>2</v>
      </c>
      <c r="W49" s="9">
        <v>0</v>
      </c>
      <c r="X49" s="9">
        <v>0</v>
      </c>
      <c r="Y49" s="9">
        <v>0</v>
      </c>
      <c r="Z49" s="9">
        <v>1</v>
      </c>
      <c r="AA49" s="9">
        <v>25</v>
      </c>
      <c r="AC49" s="9">
        <f t="shared" si="0"/>
        <v>626</v>
      </c>
      <c r="AD49" s="9">
        <f t="shared" si="1"/>
        <v>7621</v>
      </c>
      <c r="AE49" s="10">
        <f t="shared" si="2"/>
        <v>12.1741214057508</v>
      </c>
    </row>
    <row r="50" spans="1:31" x14ac:dyDescent="0.3">
      <c r="A50" s="55"/>
      <c r="B50" s="30" t="s">
        <v>52</v>
      </c>
      <c r="C50" s="9">
        <v>2</v>
      </c>
      <c r="D50" s="9">
        <v>0</v>
      </c>
      <c r="E50" s="9">
        <v>1</v>
      </c>
      <c r="F50" s="9">
        <v>4</v>
      </c>
      <c r="G50" s="9">
        <v>4</v>
      </c>
      <c r="H50" s="9">
        <v>10</v>
      </c>
      <c r="I50" s="9">
        <v>8</v>
      </c>
      <c r="J50" s="9">
        <v>4</v>
      </c>
      <c r="K50" s="9">
        <v>7</v>
      </c>
      <c r="L50" s="9">
        <v>12</v>
      </c>
      <c r="M50" s="9">
        <v>10</v>
      </c>
      <c r="N50" s="9">
        <v>6</v>
      </c>
      <c r="O50" s="9">
        <v>163</v>
      </c>
      <c r="P50" s="9">
        <v>9</v>
      </c>
      <c r="Q50" s="9">
        <v>8</v>
      </c>
      <c r="R50" s="9">
        <v>10</v>
      </c>
      <c r="S50" s="9">
        <v>5</v>
      </c>
      <c r="T50" s="9">
        <v>25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6</v>
      </c>
      <c r="AC50" s="9">
        <f t="shared" si="0"/>
        <v>294</v>
      </c>
      <c r="AD50" s="9">
        <f t="shared" si="1"/>
        <v>3470</v>
      </c>
      <c r="AE50" s="10">
        <f t="shared" si="2"/>
        <v>11.802721088435375</v>
      </c>
    </row>
    <row r="51" spans="1:31" x14ac:dyDescent="0.3">
      <c r="A51" s="55"/>
      <c r="B51" s="30" t="s">
        <v>53</v>
      </c>
      <c r="C51" s="9">
        <v>5</v>
      </c>
      <c r="D51" s="9">
        <v>6</v>
      </c>
      <c r="E51" s="9">
        <v>3</v>
      </c>
      <c r="F51" s="9">
        <v>4</v>
      </c>
      <c r="G51" s="9">
        <v>4</v>
      </c>
      <c r="H51" s="9">
        <v>22</v>
      </c>
      <c r="I51" s="9">
        <v>17</v>
      </c>
      <c r="J51" s="9">
        <v>9</v>
      </c>
      <c r="K51" s="9">
        <v>28</v>
      </c>
      <c r="L51" s="9">
        <v>10</v>
      </c>
      <c r="M51" s="9">
        <v>23</v>
      </c>
      <c r="N51" s="9">
        <v>15</v>
      </c>
      <c r="O51" s="9">
        <v>196</v>
      </c>
      <c r="P51" s="9">
        <v>16</v>
      </c>
      <c r="Q51" s="9">
        <v>20</v>
      </c>
      <c r="R51" s="9">
        <v>21</v>
      </c>
      <c r="S51" s="9">
        <v>3</v>
      </c>
      <c r="T51" s="9">
        <v>37</v>
      </c>
      <c r="U51" s="9">
        <v>2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A51" s="9">
        <v>16</v>
      </c>
      <c r="AC51" s="9">
        <f t="shared" si="0"/>
        <v>458</v>
      </c>
      <c r="AD51" s="9">
        <f t="shared" si="1"/>
        <v>5295</v>
      </c>
      <c r="AE51" s="10">
        <f t="shared" si="2"/>
        <v>11.56113537117904</v>
      </c>
    </row>
    <row r="52" spans="1:31" x14ac:dyDescent="0.3">
      <c r="A52" s="55"/>
      <c r="B52" s="30" t="s">
        <v>54</v>
      </c>
      <c r="C52" s="9">
        <v>18</v>
      </c>
      <c r="D52" s="9">
        <v>6</v>
      </c>
      <c r="E52" s="9">
        <v>13</v>
      </c>
      <c r="F52" s="9">
        <v>31</v>
      </c>
      <c r="G52" s="9">
        <v>29</v>
      </c>
      <c r="H52" s="9">
        <v>34</v>
      </c>
      <c r="I52" s="9">
        <v>36</v>
      </c>
      <c r="J52" s="9">
        <v>27</v>
      </c>
      <c r="K52" s="9">
        <v>38</v>
      </c>
      <c r="L52" s="9">
        <v>20</v>
      </c>
      <c r="M52" s="9">
        <v>31</v>
      </c>
      <c r="N52" s="9">
        <v>23</v>
      </c>
      <c r="O52" s="9">
        <v>341</v>
      </c>
      <c r="P52" s="9">
        <v>10</v>
      </c>
      <c r="Q52" s="9">
        <v>22</v>
      </c>
      <c r="R52" s="9">
        <v>40</v>
      </c>
      <c r="S52" s="9">
        <v>7</v>
      </c>
      <c r="T52" s="9">
        <v>83</v>
      </c>
      <c r="U52" s="9">
        <v>1</v>
      </c>
      <c r="V52" s="9">
        <v>4</v>
      </c>
      <c r="W52" s="9">
        <v>0</v>
      </c>
      <c r="X52" s="9">
        <v>0</v>
      </c>
      <c r="Y52" s="9">
        <v>0</v>
      </c>
      <c r="Z52" s="9">
        <v>0</v>
      </c>
      <c r="AA52" s="9">
        <v>11</v>
      </c>
      <c r="AC52" s="9">
        <f t="shared" si="0"/>
        <v>825</v>
      </c>
      <c r="AD52" s="9">
        <f t="shared" si="1"/>
        <v>8874</v>
      </c>
      <c r="AE52" s="10">
        <f t="shared" si="2"/>
        <v>10.756363636363636</v>
      </c>
    </row>
    <row r="53" spans="1:31" x14ac:dyDescent="0.3">
      <c r="A53" s="55"/>
      <c r="B53" s="30" t="s">
        <v>55</v>
      </c>
      <c r="C53" s="9">
        <v>31</v>
      </c>
      <c r="D53" s="9">
        <v>9</v>
      </c>
      <c r="E53" s="9">
        <v>10</v>
      </c>
      <c r="F53" s="9">
        <v>39</v>
      </c>
      <c r="G53" s="9">
        <v>23</v>
      </c>
      <c r="H53" s="9">
        <v>67</v>
      </c>
      <c r="I53" s="9">
        <v>57</v>
      </c>
      <c r="J53" s="9">
        <v>38</v>
      </c>
      <c r="K53" s="9">
        <v>75</v>
      </c>
      <c r="L53" s="9">
        <v>31</v>
      </c>
      <c r="M53" s="9">
        <v>52</v>
      </c>
      <c r="N53" s="9">
        <v>37</v>
      </c>
      <c r="O53" s="9">
        <v>415</v>
      </c>
      <c r="P53" s="9">
        <v>7</v>
      </c>
      <c r="Q53" s="9">
        <v>32</v>
      </c>
      <c r="R53" s="9">
        <v>35</v>
      </c>
      <c r="S53" s="9">
        <v>7</v>
      </c>
      <c r="T53" s="9">
        <v>56</v>
      </c>
      <c r="U53" s="9">
        <v>3</v>
      </c>
      <c r="V53" s="9">
        <v>4</v>
      </c>
      <c r="W53" s="9">
        <v>1</v>
      </c>
      <c r="X53" s="9">
        <v>0</v>
      </c>
      <c r="Y53" s="9">
        <v>0</v>
      </c>
      <c r="Z53" s="9">
        <v>1</v>
      </c>
      <c r="AA53" s="9">
        <v>37</v>
      </c>
      <c r="AC53" s="9">
        <f t="shared" si="0"/>
        <v>1067</v>
      </c>
      <c r="AD53" s="9">
        <f t="shared" si="1"/>
        <v>11156</v>
      </c>
      <c r="AE53" s="10">
        <f t="shared" si="2"/>
        <v>10.455482661668229</v>
      </c>
    </row>
    <row r="54" spans="1:31" x14ac:dyDescent="0.3">
      <c r="A54" s="55"/>
      <c r="B54" s="30" t="s">
        <v>56</v>
      </c>
      <c r="C54" s="9">
        <v>15</v>
      </c>
      <c r="D54" s="9">
        <v>6</v>
      </c>
      <c r="E54" s="9">
        <v>6</v>
      </c>
      <c r="F54" s="9">
        <v>19</v>
      </c>
      <c r="G54" s="9">
        <v>22</v>
      </c>
      <c r="H54" s="9">
        <v>49</v>
      </c>
      <c r="I54" s="9">
        <v>39</v>
      </c>
      <c r="J54" s="9">
        <v>57</v>
      </c>
      <c r="K54" s="9">
        <v>61</v>
      </c>
      <c r="L54" s="9">
        <v>36</v>
      </c>
      <c r="M54" s="9">
        <v>45</v>
      </c>
      <c r="N54" s="9">
        <v>39</v>
      </c>
      <c r="O54" s="9">
        <v>401</v>
      </c>
      <c r="P54" s="9">
        <v>22</v>
      </c>
      <c r="Q54" s="9">
        <v>45</v>
      </c>
      <c r="R54" s="9">
        <v>58</v>
      </c>
      <c r="S54" s="9">
        <v>14</v>
      </c>
      <c r="T54" s="9">
        <v>98</v>
      </c>
      <c r="U54" s="9">
        <v>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31</v>
      </c>
      <c r="AC54" s="9">
        <f t="shared" si="0"/>
        <v>1066</v>
      </c>
      <c r="AD54" s="9">
        <f t="shared" si="1"/>
        <v>12018</v>
      </c>
      <c r="AE54" s="10">
        <f t="shared" si="2"/>
        <v>11.273921200750468</v>
      </c>
    </row>
    <row r="55" spans="1:31" x14ac:dyDescent="0.3">
      <c r="A55" s="55"/>
      <c r="B55" s="30" t="s">
        <v>57</v>
      </c>
      <c r="C55" s="9">
        <v>6</v>
      </c>
      <c r="D55" s="9">
        <v>6</v>
      </c>
      <c r="E55" s="9">
        <v>6</v>
      </c>
      <c r="F55" s="9">
        <v>16</v>
      </c>
      <c r="G55" s="9">
        <v>15</v>
      </c>
      <c r="H55" s="9">
        <v>16</v>
      </c>
      <c r="I55" s="9">
        <v>11</v>
      </c>
      <c r="J55" s="9">
        <v>15</v>
      </c>
      <c r="K55" s="9">
        <v>30</v>
      </c>
      <c r="L55" s="9">
        <v>10</v>
      </c>
      <c r="M55" s="9">
        <v>12</v>
      </c>
      <c r="N55" s="9">
        <v>24</v>
      </c>
      <c r="O55" s="9">
        <v>133</v>
      </c>
      <c r="P55" s="9">
        <v>3</v>
      </c>
      <c r="Q55" s="9">
        <v>12</v>
      </c>
      <c r="R55" s="9">
        <v>9</v>
      </c>
      <c r="S55" s="9">
        <v>0</v>
      </c>
      <c r="T55" s="9">
        <v>17</v>
      </c>
      <c r="U55" s="9">
        <v>0</v>
      </c>
      <c r="V55" s="9">
        <v>1</v>
      </c>
      <c r="W55" s="9">
        <v>0</v>
      </c>
      <c r="X55" s="9">
        <v>0</v>
      </c>
      <c r="Y55" s="9">
        <v>0</v>
      </c>
      <c r="Z55" s="9">
        <v>0</v>
      </c>
      <c r="AA55" s="9">
        <v>6</v>
      </c>
      <c r="AC55" s="9">
        <f t="shared" si="0"/>
        <v>348</v>
      </c>
      <c r="AD55" s="9">
        <f t="shared" si="1"/>
        <v>3481</v>
      </c>
      <c r="AE55" s="10">
        <f t="shared" si="2"/>
        <v>10.00287356321839</v>
      </c>
    </row>
    <row r="56" spans="1:31" x14ac:dyDescent="0.3">
      <c r="A56" s="55"/>
      <c r="B56" s="30" t="s">
        <v>58</v>
      </c>
      <c r="C56" s="9">
        <v>11</v>
      </c>
      <c r="D56" s="9">
        <v>3</v>
      </c>
      <c r="E56" s="9">
        <v>2</v>
      </c>
      <c r="F56" s="9">
        <v>9</v>
      </c>
      <c r="G56" s="9">
        <v>6</v>
      </c>
      <c r="H56" s="9">
        <v>6</v>
      </c>
      <c r="I56" s="9">
        <v>8</v>
      </c>
      <c r="J56" s="9">
        <v>14</v>
      </c>
      <c r="K56" s="9">
        <v>31</v>
      </c>
      <c r="L56" s="9">
        <v>12</v>
      </c>
      <c r="M56" s="9">
        <v>22</v>
      </c>
      <c r="N56" s="9">
        <v>18</v>
      </c>
      <c r="O56" s="9">
        <v>231</v>
      </c>
      <c r="P56" s="9">
        <v>15</v>
      </c>
      <c r="Q56" s="9">
        <v>25</v>
      </c>
      <c r="R56" s="9">
        <v>36</v>
      </c>
      <c r="S56" s="9">
        <v>7</v>
      </c>
      <c r="T56" s="9">
        <v>64</v>
      </c>
      <c r="U56" s="9">
        <v>1</v>
      </c>
      <c r="V56" s="9">
        <v>2</v>
      </c>
      <c r="W56" s="9">
        <v>0</v>
      </c>
      <c r="X56" s="9">
        <v>0</v>
      </c>
      <c r="Y56" s="9">
        <v>0</v>
      </c>
      <c r="Z56" s="9">
        <v>0</v>
      </c>
      <c r="AA56" s="9">
        <v>19</v>
      </c>
      <c r="AC56" s="9">
        <f t="shared" si="0"/>
        <v>542</v>
      </c>
      <c r="AD56" s="9">
        <f t="shared" si="1"/>
        <v>6577</v>
      </c>
      <c r="AE56" s="10">
        <f t="shared" si="2"/>
        <v>12.134686346863468</v>
      </c>
    </row>
    <row r="57" spans="1:31" x14ac:dyDescent="0.3">
      <c r="A57" s="55"/>
      <c r="B57" s="30" t="s">
        <v>59</v>
      </c>
      <c r="C57" s="9">
        <v>31</v>
      </c>
      <c r="D57" s="9">
        <v>7</v>
      </c>
      <c r="E57" s="9">
        <v>12</v>
      </c>
      <c r="F57" s="9">
        <v>45</v>
      </c>
      <c r="G57" s="9">
        <v>36</v>
      </c>
      <c r="H57" s="9">
        <v>65</v>
      </c>
      <c r="I57" s="9">
        <v>54</v>
      </c>
      <c r="J57" s="9">
        <v>55</v>
      </c>
      <c r="K57" s="9">
        <v>95</v>
      </c>
      <c r="L57" s="9">
        <v>58</v>
      </c>
      <c r="M57" s="9">
        <v>61</v>
      </c>
      <c r="N57" s="9">
        <v>66</v>
      </c>
      <c r="O57" s="9">
        <v>567</v>
      </c>
      <c r="P57" s="9">
        <v>19</v>
      </c>
      <c r="Q57" s="9">
        <v>36</v>
      </c>
      <c r="R57" s="9">
        <v>43</v>
      </c>
      <c r="S57" s="9">
        <v>3</v>
      </c>
      <c r="T57" s="9">
        <v>70</v>
      </c>
      <c r="U57" s="9">
        <v>2</v>
      </c>
      <c r="V57" s="9">
        <v>6</v>
      </c>
      <c r="W57" s="9">
        <v>0</v>
      </c>
      <c r="X57" s="9">
        <v>0</v>
      </c>
      <c r="Y57" s="9">
        <v>1</v>
      </c>
      <c r="Z57" s="9">
        <v>1</v>
      </c>
      <c r="AA57" s="9">
        <v>55</v>
      </c>
      <c r="AC57" s="9">
        <f t="shared" si="0"/>
        <v>1388</v>
      </c>
      <c r="AD57" s="9">
        <f t="shared" si="1"/>
        <v>14915</v>
      </c>
      <c r="AE57" s="10">
        <f t="shared" si="2"/>
        <v>10.745677233429396</v>
      </c>
    </row>
    <row r="58" spans="1:31" x14ac:dyDescent="0.3">
      <c r="A58" s="55"/>
      <c r="B58" s="30" t="s">
        <v>60</v>
      </c>
      <c r="C58" s="9">
        <v>25</v>
      </c>
      <c r="D58" s="9">
        <v>10</v>
      </c>
      <c r="E58" s="9">
        <v>7</v>
      </c>
      <c r="F58" s="9">
        <v>42</v>
      </c>
      <c r="G58" s="9">
        <v>26</v>
      </c>
      <c r="H58" s="9">
        <v>36</v>
      </c>
      <c r="I58" s="9">
        <v>43</v>
      </c>
      <c r="J58" s="9">
        <v>28</v>
      </c>
      <c r="K58" s="9">
        <v>35</v>
      </c>
      <c r="L58" s="9">
        <v>22</v>
      </c>
      <c r="M58" s="9">
        <v>22</v>
      </c>
      <c r="N58" s="9">
        <v>18</v>
      </c>
      <c r="O58" s="9">
        <v>237</v>
      </c>
      <c r="P58" s="9">
        <v>9</v>
      </c>
      <c r="Q58" s="9">
        <v>8</v>
      </c>
      <c r="R58" s="9">
        <v>10</v>
      </c>
      <c r="S58" s="9">
        <v>1</v>
      </c>
      <c r="T58" s="9">
        <v>15</v>
      </c>
      <c r="U58" s="9">
        <v>1</v>
      </c>
      <c r="V58" s="9">
        <v>3</v>
      </c>
      <c r="W58" s="9">
        <v>0</v>
      </c>
      <c r="X58" s="9">
        <v>0</v>
      </c>
      <c r="Y58" s="9">
        <v>0</v>
      </c>
      <c r="Z58" s="9">
        <v>0</v>
      </c>
      <c r="AA58" s="9">
        <v>20</v>
      </c>
      <c r="AC58" s="9">
        <f t="shared" si="0"/>
        <v>618</v>
      </c>
      <c r="AD58" s="9">
        <f t="shared" si="1"/>
        <v>5833</v>
      </c>
      <c r="AE58" s="10">
        <f t="shared" si="2"/>
        <v>9.4385113268608407</v>
      </c>
    </row>
    <row r="59" spans="1:31" x14ac:dyDescent="0.3">
      <c r="A59" s="55"/>
      <c r="B59" s="30" t="s">
        <v>61</v>
      </c>
      <c r="C59" s="9">
        <v>34</v>
      </c>
      <c r="D59" s="9">
        <v>4</v>
      </c>
      <c r="E59" s="9">
        <v>14</v>
      </c>
      <c r="F59" s="9">
        <v>28</v>
      </c>
      <c r="G59" s="9">
        <v>21</v>
      </c>
      <c r="H59" s="9">
        <v>34</v>
      </c>
      <c r="I59" s="9">
        <v>30</v>
      </c>
      <c r="J59" s="9">
        <v>24</v>
      </c>
      <c r="K59" s="9">
        <v>46</v>
      </c>
      <c r="L59" s="9">
        <v>14</v>
      </c>
      <c r="M59" s="9">
        <v>23</v>
      </c>
      <c r="N59" s="9">
        <v>17</v>
      </c>
      <c r="O59" s="9">
        <v>151</v>
      </c>
      <c r="P59" s="9">
        <v>7</v>
      </c>
      <c r="Q59" s="9">
        <v>9</v>
      </c>
      <c r="R59" s="9">
        <v>16</v>
      </c>
      <c r="S59" s="9">
        <v>3</v>
      </c>
      <c r="T59" s="9">
        <v>41</v>
      </c>
      <c r="U59" s="9">
        <v>0</v>
      </c>
      <c r="V59" s="9">
        <v>3</v>
      </c>
      <c r="W59" s="9">
        <v>0</v>
      </c>
      <c r="X59" s="9">
        <v>0</v>
      </c>
      <c r="Y59" s="9">
        <v>0</v>
      </c>
      <c r="Z59" s="9">
        <v>0</v>
      </c>
      <c r="AA59" s="9">
        <v>20</v>
      </c>
      <c r="AC59" s="9">
        <f t="shared" si="0"/>
        <v>539</v>
      </c>
      <c r="AD59" s="9">
        <f t="shared" si="1"/>
        <v>5180</v>
      </c>
      <c r="AE59" s="10">
        <f t="shared" si="2"/>
        <v>9.6103896103896105</v>
      </c>
    </row>
    <row r="60" spans="1:31" x14ac:dyDescent="0.3">
      <c r="A60" s="55"/>
      <c r="B60" s="30" t="s">
        <v>62</v>
      </c>
      <c r="C60" s="9">
        <v>37</v>
      </c>
      <c r="D60" s="9">
        <v>23</v>
      </c>
      <c r="E60" s="9">
        <v>20</v>
      </c>
      <c r="F60" s="9">
        <v>64</v>
      </c>
      <c r="G60" s="9">
        <v>61</v>
      </c>
      <c r="H60" s="9">
        <v>113</v>
      </c>
      <c r="I60" s="9">
        <v>124</v>
      </c>
      <c r="J60" s="9">
        <v>113</v>
      </c>
      <c r="K60" s="9">
        <v>158</v>
      </c>
      <c r="L60" s="9">
        <v>77</v>
      </c>
      <c r="M60" s="9">
        <v>103</v>
      </c>
      <c r="N60" s="9">
        <v>96</v>
      </c>
      <c r="O60" s="9">
        <v>1127</v>
      </c>
      <c r="P60" s="9">
        <v>50</v>
      </c>
      <c r="Q60" s="9">
        <v>101</v>
      </c>
      <c r="R60" s="9">
        <v>151</v>
      </c>
      <c r="S60" s="9">
        <v>34</v>
      </c>
      <c r="T60" s="9">
        <v>236</v>
      </c>
      <c r="U60" s="9">
        <v>5</v>
      </c>
      <c r="V60" s="9">
        <v>7</v>
      </c>
      <c r="W60" s="9">
        <v>1</v>
      </c>
      <c r="X60" s="9">
        <v>0</v>
      </c>
      <c r="Y60" s="9">
        <v>0</v>
      </c>
      <c r="Z60" s="9">
        <v>2</v>
      </c>
      <c r="AA60" s="9">
        <v>43</v>
      </c>
      <c r="AC60" s="9">
        <f t="shared" si="0"/>
        <v>2746</v>
      </c>
      <c r="AD60" s="9">
        <f t="shared" si="1"/>
        <v>30372</v>
      </c>
      <c r="AE60" s="10">
        <f t="shared" si="2"/>
        <v>11.060451565914057</v>
      </c>
    </row>
    <row r="61" spans="1:31" x14ac:dyDescent="0.3">
      <c r="A61" s="55"/>
      <c r="B61" s="30" t="s">
        <v>63</v>
      </c>
      <c r="C61" s="9">
        <v>14</v>
      </c>
      <c r="D61" s="9">
        <v>5</v>
      </c>
      <c r="E61" s="9">
        <v>9</v>
      </c>
      <c r="F61" s="9">
        <v>13</v>
      </c>
      <c r="G61" s="9">
        <v>27</v>
      </c>
      <c r="H61" s="9">
        <v>39</v>
      </c>
      <c r="I61" s="9">
        <v>51</v>
      </c>
      <c r="J61" s="9">
        <v>67</v>
      </c>
      <c r="K61" s="9">
        <v>100</v>
      </c>
      <c r="L61" s="9">
        <v>60</v>
      </c>
      <c r="M61" s="9">
        <v>56</v>
      </c>
      <c r="N61" s="9">
        <v>62</v>
      </c>
      <c r="O61" s="9">
        <v>591</v>
      </c>
      <c r="P61" s="9">
        <v>37</v>
      </c>
      <c r="Q61" s="9">
        <v>77</v>
      </c>
      <c r="R61" s="9">
        <v>83</v>
      </c>
      <c r="S61" s="9">
        <v>7</v>
      </c>
      <c r="T61" s="9">
        <v>121</v>
      </c>
      <c r="U61" s="9">
        <v>2</v>
      </c>
      <c r="V61" s="9">
        <v>2</v>
      </c>
      <c r="W61" s="9">
        <v>0</v>
      </c>
      <c r="X61" s="9">
        <v>0</v>
      </c>
      <c r="Y61" s="9">
        <v>0</v>
      </c>
      <c r="Z61" s="9">
        <v>0</v>
      </c>
      <c r="AA61" s="9">
        <v>27</v>
      </c>
      <c r="AC61" s="9">
        <f t="shared" si="0"/>
        <v>1450</v>
      </c>
      <c r="AD61" s="9">
        <f t="shared" si="1"/>
        <v>16509</v>
      </c>
      <c r="AE61" s="10">
        <f t="shared" si="2"/>
        <v>11.38551724137931</v>
      </c>
    </row>
    <row r="62" spans="1:31" x14ac:dyDescent="0.3">
      <c r="A62" s="55"/>
      <c r="B62" s="30" t="s">
        <v>64</v>
      </c>
      <c r="C62" s="9">
        <v>14</v>
      </c>
      <c r="D62" s="9">
        <v>2</v>
      </c>
      <c r="E62" s="9">
        <v>5</v>
      </c>
      <c r="F62" s="9">
        <v>16</v>
      </c>
      <c r="G62" s="9">
        <v>29</v>
      </c>
      <c r="H62" s="9">
        <v>35</v>
      </c>
      <c r="I62" s="9">
        <v>27</v>
      </c>
      <c r="J62" s="9">
        <v>32</v>
      </c>
      <c r="K62" s="9">
        <v>68</v>
      </c>
      <c r="L62" s="9">
        <v>22</v>
      </c>
      <c r="M62" s="9">
        <v>41</v>
      </c>
      <c r="N62" s="9">
        <v>27</v>
      </c>
      <c r="O62" s="9">
        <v>399</v>
      </c>
      <c r="P62" s="9">
        <v>18</v>
      </c>
      <c r="Q62" s="9">
        <v>31</v>
      </c>
      <c r="R62" s="9">
        <v>37</v>
      </c>
      <c r="S62" s="9">
        <v>4</v>
      </c>
      <c r="T62" s="9">
        <v>72</v>
      </c>
      <c r="U62" s="9">
        <v>3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A62" s="9">
        <v>19</v>
      </c>
      <c r="AC62" s="9">
        <f t="shared" si="0"/>
        <v>902</v>
      </c>
      <c r="AD62" s="9">
        <f t="shared" si="1"/>
        <v>10014</v>
      </c>
      <c r="AE62" s="10">
        <f t="shared" si="2"/>
        <v>11.101995565410199</v>
      </c>
    </row>
    <row r="63" spans="1:31" x14ac:dyDescent="0.3">
      <c r="A63" s="55"/>
      <c r="B63" s="30" t="s">
        <v>65</v>
      </c>
      <c r="C63" s="9">
        <v>5</v>
      </c>
      <c r="D63" s="9">
        <v>1</v>
      </c>
      <c r="E63" s="9">
        <v>5</v>
      </c>
      <c r="F63" s="9">
        <v>11</v>
      </c>
      <c r="G63" s="9">
        <v>13</v>
      </c>
      <c r="H63" s="9">
        <v>16</v>
      </c>
      <c r="I63" s="9">
        <v>13</v>
      </c>
      <c r="J63" s="9">
        <v>27</v>
      </c>
      <c r="K63" s="9">
        <v>29</v>
      </c>
      <c r="L63" s="9">
        <v>13</v>
      </c>
      <c r="M63" s="9">
        <v>14</v>
      </c>
      <c r="N63" s="9">
        <v>11</v>
      </c>
      <c r="O63" s="9">
        <v>148</v>
      </c>
      <c r="P63" s="9">
        <v>13</v>
      </c>
      <c r="Q63" s="9">
        <v>9</v>
      </c>
      <c r="R63" s="9">
        <v>10</v>
      </c>
      <c r="S63" s="9">
        <v>0</v>
      </c>
      <c r="T63" s="9">
        <v>19</v>
      </c>
      <c r="U63" s="9">
        <v>1</v>
      </c>
      <c r="V63" s="9">
        <v>1</v>
      </c>
      <c r="W63" s="9">
        <v>0</v>
      </c>
      <c r="X63" s="9">
        <v>0</v>
      </c>
      <c r="Y63" s="9">
        <v>0</v>
      </c>
      <c r="Z63" s="9">
        <v>0</v>
      </c>
      <c r="AA63" s="9">
        <v>9</v>
      </c>
      <c r="AC63" s="9">
        <f t="shared" si="0"/>
        <v>368</v>
      </c>
      <c r="AD63" s="9">
        <f t="shared" si="1"/>
        <v>3850</v>
      </c>
      <c r="AE63" s="10">
        <f t="shared" si="2"/>
        <v>10.461956521739131</v>
      </c>
    </row>
    <row r="64" spans="1:31" x14ac:dyDescent="0.3">
      <c r="A64" s="55"/>
      <c r="B64" s="30" t="s">
        <v>66</v>
      </c>
      <c r="C64" s="9">
        <v>6</v>
      </c>
      <c r="D64" s="9">
        <v>2</v>
      </c>
      <c r="E64" s="9">
        <v>1</v>
      </c>
      <c r="F64" s="9">
        <v>1</v>
      </c>
      <c r="G64" s="9">
        <v>7</v>
      </c>
      <c r="H64" s="9">
        <v>8</v>
      </c>
      <c r="I64" s="9">
        <v>11</v>
      </c>
      <c r="J64" s="9">
        <v>7</v>
      </c>
      <c r="K64" s="9">
        <v>15</v>
      </c>
      <c r="L64" s="9">
        <v>6</v>
      </c>
      <c r="M64" s="9">
        <v>4</v>
      </c>
      <c r="N64" s="9">
        <v>8</v>
      </c>
      <c r="O64" s="9">
        <v>127</v>
      </c>
      <c r="P64" s="9">
        <v>5</v>
      </c>
      <c r="Q64" s="9">
        <v>12</v>
      </c>
      <c r="R64" s="9">
        <v>8</v>
      </c>
      <c r="S64" s="9">
        <v>3</v>
      </c>
      <c r="T64" s="9">
        <v>17</v>
      </c>
      <c r="U64" s="9">
        <v>0</v>
      </c>
      <c r="V64" s="9">
        <v>1</v>
      </c>
      <c r="W64" s="9">
        <v>0</v>
      </c>
      <c r="X64" s="9">
        <v>0</v>
      </c>
      <c r="Y64" s="9">
        <v>0</v>
      </c>
      <c r="Z64" s="9">
        <v>1</v>
      </c>
      <c r="AA64" s="9">
        <v>8</v>
      </c>
      <c r="AC64" s="9">
        <f t="shared" si="0"/>
        <v>258</v>
      </c>
      <c r="AD64" s="9">
        <f t="shared" si="1"/>
        <v>2940</v>
      </c>
      <c r="AE64" s="10">
        <f t="shared" si="2"/>
        <v>11.395348837209303</v>
      </c>
    </row>
    <row r="65" spans="1:31" x14ac:dyDescent="0.3">
      <c r="A65" s="55"/>
      <c r="B65" s="30" t="s">
        <v>67</v>
      </c>
      <c r="C65" s="9">
        <v>9</v>
      </c>
      <c r="D65" s="9">
        <v>4</v>
      </c>
      <c r="E65" s="9">
        <v>3</v>
      </c>
      <c r="F65" s="9">
        <v>3</v>
      </c>
      <c r="G65" s="9">
        <v>4</v>
      </c>
      <c r="H65" s="9">
        <v>7</v>
      </c>
      <c r="I65" s="9">
        <v>9</v>
      </c>
      <c r="J65" s="9">
        <v>22</v>
      </c>
      <c r="K65" s="9">
        <v>33</v>
      </c>
      <c r="L65" s="9">
        <v>20</v>
      </c>
      <c r="M65" s="9">
        <v>34</v>
      </c>
      <c r="N65" s="9">
        <v>27</v>
      </c>
      <c r="O65" s="9">
        <v>283</v>
      </c>
      <c r="P65" s="9">
        <v>19</v>
      </c>
      <c r="Q65" s="9">
        <v>42</v>
      </c>
      <c r="R65" s="9">
        <v>55</v>
      </c>
      <c r="S65" s="9">
        <v>4</v>
      </c>
      <c r="T65" s="9">
        <v>70</v>
      </c>
      <c r="U65" s="9">
        <v>3</v>
      </c>
      <c r="V65" s="9">
        <v>3</v>
      </c>
      <c r="W65" s="9">
        <v>0</v>
      </c>
      <c r="X65" s="9">
        <v>0</v>
      </c>
      <c r="Y65" s="9">
        <v>0</v>
      </c>
      <c r="Z65" s="9">
        <v>1</v>
      </c>
      <c r="AA65" s="9">
        <v>13</v>
      </c>
      <c r="AC65" s="9">
        <f t="shared" si="0"/>
        <v>668</v>
      </c>
      <c r="AD65" s="9">
        <f t="shared" si="1"/>
        <v>8115</v>
      </c>
      <c r="AE65" s="10">
        <f t="shared" si="2"/>
        <v>12.148203592814371</v>
      </c>
    </row>
    <row r="66" spans="1:31" x14ac:dyDescent="0.3">
      <c r="A66" s="55"/>
      <c r="B66" s="30" t="s">
        <v>68</v>
      </c>
      <c r="C66" s="9">
        <v>25</v>
      </c>
      <c r="D66" s="9">
        <v>18</v>
      </c>
      <c r="E66" s="9">
        <v>14</v>
      </c>
      <c r="F66" s="9">
        <v>19</v>
      </c>
      <c r="G66" s="9">
        <v>28</v>
      </c>
      <c r="H66" s="9">
        <v>45</v>
      </c>
      <c r="I66" s="9">
        <v>57</v>
      </c>
      <c r="J66" s="9">
        <v>92</v>
      </c>
      <c r="K66" s="9">
        <v>126</v>
      </c>
      <c r="L66" s="9">
        <v>98</v>
      </c>
      <c r="M66" s="9">
        <v>106</v>
      </c>
      <c r="N66" s="9">
        <v>124</v>
      </c>
      <c r="O66" s="9">
        <v>885</v>
      </c>
      <c r="P66" s="9">
        <v>93</v>
      </c>
      <c r="Q66" s="9">
        <v>107</v>
      </c>
      <c r="R66" s="9">
        <v>85</v>
      </c>
      <c r="S66" s="9">
        <v>27</v>
      </c>
      <c r="T66" s="9">
        <v>143</v>
      </c>
      <c r="U66" s="9">
        <v>0</v>
      </c>
      <c r="V66" s="9">
        <v>10</v>
      </c>
      <c r="W66" s="9">
        <v>1</v>
      </c>
      <c r="X66" s="9">
        <v>0</v>
      </c>
      <c r="Y66" s="9">
        <v>0</v>
      </c>
      <c r="Z66" s="9">
        <v>0</v>
      </c>
      <c r="AA66" s="9">
        <v>38</v>
      </c>
      <c r="AC66" s="9">
        <f t="shared" si="0"/>
        <v>2141</v>
      </c>
      <c r="AD66" s="9">
        <f t="shared" si="1"/>
        <v>24327</v>
      </c>
      <c r="AE66" s="10">
        <f t="shared" si="2"/>
        <v>11.362447454460533</v>
      </c>
    </row>
    <row r="67" spans="1:31" x14ac:dyDescent="0.3">
      <c r="A67" s="55"/>
      <c r="B67" s="30" t="s">
        <v>69</v>
      </c>
      <c r="C67" s="9">
        <v>18</v>
      </c>
      <c r="D67" s="9">
        <v>18</v>
      </c>
      <c r="E67" s="9">
        <v>14</v>
      </c>
      <c r="F67" s="9">
        <v>13</v>
      </c>
      <c r="G67" s="9">
        <v>26</v>
      </c>
      <c r="H67" s="9">
        <v>40</v>
      </c>
      <c r="I67" s="9">
        <v>37</v>
      </c>
      <c r="J67" s="9">
        <v>45</v>
      </c>
      <c r="K67" s="9">
        <v>75</v>
      </c>
      <c r="L67" s="9">
        <v>47</v>
      </c>
      <c r="M67" s="9">
        <v>47</v>
      </c>
      <c r="N67" s="9">
        <v>57</v>
      </c>
      <c r="O67" s="9">
        <v>520</v>
      </c>
      <c r="P67" s="9">
        <v>40</v>
      </c>
      <c r="Q67" s="9">
        <v>40</v>
      </c>
      <c r="R67" s="9">
        <v>66</v>
      </c>
      <c r="S67" s="9">
        <v>12</v>
      </c>
      <c r="T67" s="9">
        <v>89</v>
      </c>
      <c r="U67" s="9">
        <v>1</v>
      </c>
      <c r="V67" s="9">
        <v>7</v>
      </c>
      <c r="W67" s="9">
        <v>2</v>
      </c>
      <c r="X67" s="9">
        <v>0</v>
      </c>
      <c r="Y67" s="9">
        <v>0</v>
      </c>
      <c r="Z67" s="9">
        <v>1</v>
      </c>
      <c r="AA67" s="9">
        <v>21</v>
      </c>
      <c r="AC67" s="9">
        <f t="shared" si="0"/>
        <v>1236</v>
      </c>
      <c r="AD67" s="9">
        <f t="shared" si="1"/>
        <v>13779</v>
      </c>
      <c r="AE67" s="10">
        <f t="shared" si="2"/>
        <v>11.148058252427184</v>
      </c>
    </row>
    <row r="68" spans="1:31" x14ac:dyDescent="0.3">
      <c r="A68" s="55"/>
      <c r="B68" s="30" t="s">
        <v>70</v>
      </c>
      <c r="C68" s="9">
        <v>26</v>
      </c>
      <c r="D68" s="9">
        <v>11</v>
      </c>
      <c r="E68" s="9">
        <v>14</v>
      </c>
      <c r="F68" s="9">
        <v>22</v>
      </c>
      <c r="G68" s="9">
        <v>21</v>
      </c>
      <c r="H68" s="9">
        <v>53</v>
      </c>
      <c r="I68" s="9">
        <v>51</v>
      </c>
      <c r="J68" s="9">
        <v>74</v>
      </c>
      <c r="K68" s="9">
        <v>115</v>
      </c>
      <c r="L68" s="9">
        <v>79</v>
      </c>
      <c r="M68" s="9">
        <v>67</v>
      </c>
      <c r="N68" s="9">
        <v>77</v>
      </c>
      <c r="O68" s="9">
        <v>410</v>
      </c>
      <c r="P68" s="9">
        <v>30</v>
      </c>
      <c r="Q68" s="9">
        <v>50</v>
      </c>
      <c r="R68" s="9">
        <v>73</v>
      </c>
      <c r="S68" s="9">
        <v>5</v>
      </c>
      <c r="T68" s="9">
        <v>114</v>
      </c>
      <c r="U68" s="9">
        <v>2</v>
      </c>
      <c r="V68" s="9">
        <v>5</v>
      </c>
      <c r="W68" s="9">
        <v>1</v>
      </c>
      <c r="X68" s="9">
        <v>0</v>
      </c>
      <c r="Y68" s="9">
        <v>0</v>
      </c>
      <c r="Z68" s="9">
        <v>0</v>
      </c>
      <c r="AA68" s="9">
        <v>48</v>
      </c>
      <c r="AC68" s="9">
        <f t="shared" si="0"/>
        <v>1348</v>
      </c>
      <c r="AD68" s="9">
        <f t="shared" si="1"/>
        <v>14852</v>
      </c>
      <c r="AE68" s="10">
        <f t="shared" si="2"/>
        <v>11.01780415430267</v>
      </c>
    </row>
    <row r="69" spans="1:31" x14ac:dyDescent="0.3">
      <c r="A69" s="55"/>
      <c r="B69" s="30" t="s">
        <v>71</v>
      </c>
      <c r="C69" s="9">
        <v>17</v>
      </c>
      <c r="D69" s="9">
        <v>7</v>
      </c>
      <c r="E69" s="9">
        <v>8</v>
      </c>
      <c r="F69" s="9">
        <v>27</v>
      </c>
      <c r="G69" s="9">
        <v>21</v>
      </c>
      <c r="H69" s="9">
        <v>65</v>
      </c>
      <c r="I69" s="9">
        <v>52</v>
      </c>
      <c r="J69" s="9">
        <v>37</v>
      </c>
      <c r="K69" s="9">
        <v>68</v>
      </c>
      <c r="L69" s="9">
        <v>21</v>
      </c>
      <c r="M69" s="9">
        <v>35</v>
      </c>
      <c r="N69" s="9">
        <v>22</v>
      </c>
      <c r="O69" s="9">
        <v>271</v>
      </c>
      <c r="P69" s="9">
        <v>16</v>
      </c>
      <c r="Q69" s="9">
        <v>23</v>
      </c>
      <c r="R69" s="9">
        <v>27</v>
      </c>
      <c r="S69" s="9">
        <v>8</v>
      </c>
      <c r="T69" s="9">
        <v>36</v>
      </c>
      <c r="U69" s="9">
        <v>1</v>
      </c>
      <c r="V69" s="9">
        <v>3</v>
      </c>
      <c r="W69" s="9">
        <v>0</v>
      </c>
      <c r="X69" s="9">
        <v>0</v>
      </c>
      <c r="Y69" s="9">
        <v>1</v>
      </c>
      <c r="Z69" s="9">
        <v>0</v>
      </c>
      <c r="AA69" s="9">
        <v>20</v>
      </c>
      <c r="AC69" s="9">
        <f t="shared" ref="AC69:AC77" si="4">SUM(C69:AA69)</f>
        <v>786</v>
      </c>
      <c r="AD69" s="9">
        <f t="shared" ref="AD69:AD132" si="5">C$2*C69+D$2*D69+E$2*E69+F$2*F69+G$2*G69+H$2*H69+I$2*I69+J$2*J69+K$2*K69+L$2*L69+M$2*M69+N$2*N69+O$2*O69+P$2*P69+Q$2*Q69+R$2*R69+S$2*S69+T$2*T69+U$2*U69+V$2*V69+W$2*W69+X$2*X69+Y$2*Y69+Z$2*Z69+AA$2*AA69</f>
        <v>7913</v>
      </c>
      <c r="AE69" s="10">
        <f t="shared" ref="AE69:AE132" si="6">AD69/AC69</f>
        <v>10.067430025445292</v>
      </c>
    </row>
    <row r="70" spans="1:31" x14ac:dyDescent="0.3">
      <c r="A70" s="55"/>
      <c r="B70" s="30" t="s">
        <v>72</v>
      </c>
      <c r="C70" s="9">
        <v>74</v>
      </c>
      <c r="D70" s="9">
        <v>52</v>
      </c>
      <c r="E70" s="9">
        <v>55</v>
      </c>
      <c r="F70" s="9">
        <v>93</v>
      </c>
      <c r="G70" s="9">
        <v>76</v>
      </c>
      <c r="H70" s="9">
        <v>206</v>
      </c>
      <c r="I70" s="9">
        <v>258</v>
      </c>
      <c r="J70" s="9">
        <v>249</v>
      </c>
      <c r="K70" s="9">
        <v>384</v>
      </c>
      <c r="L70" s="9">
        <v>180</v>
      </c>
      <c r="M70" s="9">
        <v>275</v>
      </c>
      <c r="N70" s="9">
        <v>268</v>
      </c>
      <c r="O70" s="9">
        <v>4006</v>
      </c>
      <c r="P70" s="9">
        <v>321</v>
      </c>
      <c r="Q70" s="9">
        <v>788</v>
      </c>
      <c r="R70" s="9">
        <v>896</v>
      </c>
      <c r="S70" s="9">
        <v>226</v>
      </c>
      <c r="T70" s="9">
        <v>1805</v>
      </c>
      <c r="U70" s="9">
        <v>36</v>
      </c>
      <c r="V70" s="9">
        <v>75</v>
      </c>
      <c r="W70" s="9">
        <v>1</v>
      </c>
      <c r="X70" s="9">
        <v>3</v>
      </c>
      <c r="Y70" s="9">
        <v>3</v>
      </c>
      <c r="Z70" s="9">
        <v>5</v>
      </c>
      <c r="AA70" s="9">
        <v>122</v>
      </c>
      <c r="AC70" s="9">
        <f t="shared" si="4"/>
        <v>10457</v>
      </c>
      <c r="AD70" s="9">
        <f t="shared" si="5"/>
        <v>131739</v>
      </c>
      <c r="AE70" s="10">
        <f t="shared" si="6"/>
        <v>12.598163909343024</v>
      </c>
    </row>
    <row r="71" spans="1:31" x14ac:dyDescent="0.3">
      <c r="A71" s="55"/>
      <c r="B71" s="30" t="s">
        <v>73</v>
      </c>
      <c r="C71" s="9">
        <v>5</v>
      </c>
      <c r="D71" s="9">
        <v>0</v>
      </c>
      <c r="E71" s="9">
        <v>4</v>
      </c>
      <c r="F71" s="9">
        <v>5</v>
      </c>
      <c r="G71" s="9">
        <v>8</v>
      </c>
      <c r="H71" s="9">
        <v>9</v>
      </c>
      <c r="I71" s="9">
        <v>15</v>
      </c>
      <c r="J71" s="9">
        <v>13</v>
      </c>
      <c r="K71" s="9">
        <v>29</v>
      </c>
      <c r="L71" s="9">
        <v>16</v>
      </c>
      <c r="M71" s="9">
        <v>22</v>
      </c>
      <c r="N71" s="9">
        <v>13</v>
      </c>
      <c r="O71" s="9">
        <v>238</v>
      </c>
      <c r="P71" s="9">
        <v>28</v>
      </c>
      <c r="Q71" s="9">
        <v>21</v>
      </c>
      <c r="R71" s="9">
        <v>40</v>
      </c>
      <c r="S71" s="9">
        <v>6</v>
      </c>
      <c r="T71" s="9">
        <v>79</v>
      </c>
      <c r="U71" s="9">
        <v>1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9</v>
      </c>
      <c r="AC71" s="9">
        <f t="shared" si="4"/>
        <v>561</v>
      </c>
      <c r="AD71" s="9">
        <f t="shared" si="5"/>
        <v>6807</v>
      </c>
      <c r="AE71" s="10">
        <f t="shared" si="6"/>
        <v>12.133689839572192</v>
      </c>
    </row>
    <row r="72" spans="1:31" x14ac:dyDescent="0.3">
      <c r="A72" s="55"/>
      <c r="B72" s="30" t="s">
        <v>74</v>
      </c>
      <c r="C72" s="9">
        <v>13</v>
      </c>
      <c r="D72" s="9">
        <v>7</v>
      </c>
      <c r="E72" s="9">
        <v>7</v>
      </c>
      <c r="F72" s="9">
        <v>8</v>
      </c>
      <c r="G72" s="9">
        <v>8</v>
      </c>
      <c r="H72" s="9">
        <v>27</v>
      </c>
      <c r="I72" s="9">
        <v>36</v>
      </c>
      <c r="J72" s="9">
        <v>29</v>
      </c>
      <c r="K72" s="9">
        <v>55</v>
      </c>
      <c r="L72" s="9">
        <v>28</v>
      </c>
      <c r="M72" s="9">
        <v>46</v>
      </c>
      <c r="N72" s="9">
        <v>45</v>
      </c>
      <c r="O72" s="9">
        <v>501</v>
      </c>
      <c r="P72" s="9">
        <v>31</v>
      </c>
      <c r="Q72" s="9">
        <v>30</v>
      </c>
      <c r="R72" s="9">
        <v>47</v>
      </c>
      <c r="S72" s="9">
        <v>6</v>
      </c>
      <c r="T72" s="9">
        <v>113</v>
      </c>
      <c r="U72" s="9">
        <v>6</v>
      </c>
      <c r="V72" s="9">
        <v>5</v>
      </c>
      <c r="W72" s="9">
        <v>1</v>
      </c>
      <c r="X72" s="9">
        <v>0</v>
      </c>
      <c r="Y72" s="9">
        <v>0</v>
      </c>
      <c r="Z72" s="9">
        <v>1</v>
      </c>
      <c r="AA72" s="9">
        <v>25</v>
      </c>
      <c r="AC72" s="9">
        <f t="shared" si="4"/>
        <v>1075</v>
      </c>
      <c r="AD72" s="9">
        <f t="shared" si="5"/>
        <v>12681</v>
      </c>
      <c r="AE72" s="10">
        <f t="shared" si="6"/>
        <v>11.796279069767442</v>
      </c>
    </row>
    <row r="73" spans="1:31" x14ac:dyDescent="0.3">
      <c r="A73" s="55"/>
      <c r="B73" s="30" t="s">
        <v>75</v>
      </c>
      <c r="C73" s="9">
        <v>3</v>
      </c>
      <c r="D73" s="9">
        <v>2</v>
      </c>
      <c r="E73" s="9">
        <v>6</v>
      </c>
      <c r="F73" s="9">
        <v>2</v>
      </c>
      <c r="G73" s="9">
        <v>10</v>
      </c>
      <c r="H73" s="9">
        <v>28</v>
      </c>
      <c r="I73" s="9">
        <v>16</v>
      </c>
      <c r="J73" s="9">
        <v>22</v>
      </c>
      <c r="K73" s="9">
        <v>18</v>
      </c>
      <c r="L73" s="9">
        <v>15</v>
      </c>
      <c r="M73" s="9">
        <v>27</v>
      </c>
      <c r="N73" s="9">
        <v>31</v>
      </c>
      <c r="O73" s="9">
        <v>270</v>
      </c>
      <c r="P73" s="9">
        <v>12</v>
      </c>
      <c r="Q73" s="9">
        <v>26</v>
      </c>
      <c r="R73" s="9">
        <v>51</v>
      </c>
      <c r="S73" s="9">
        <v>7</v>
      </c>
      <c r="T73" s="9">
        <v>99</v>
      </c>
      <c r="U73" s="9">
        <v>1</v>
      </c>
      <c r="V73" s="9">
        <v>4</v>
      </c>
      <c r="W73" s="9">
        <v>0</v>
      </c>
      <c r="X73" s="9">
        <v>0</v>
      </c>
      <c r="Y73" s="9">
        <v>0</v>
      </c>
      <c r="Z73" s="9">
        <v>0</v>
      </c>
      <c r="AA73" s="9">
        <v>10</v>
      </c>
      <c r="AC73" s="9">
        <f t="shared" si="4"/>
        <v>660</v>
      </c>
      <c r="AD73" s="9">
        <f t="shared" si="5"/>
        <v>7994</v>
      </c>
      <c r="AE73" s="10">
        <f t="shared" si="6"/>
        <v>12.112121212121211</v>
      </c>
    </row>
    <row r="74" spans="1:31" x14ac:dyDescent="0.3">
      <c r="A74" s="55"/>
      <c r="B74" s="30" t="s">
        <v>76</v>
      </c>
      <c r="C74" s="9">
        <v>6</v>
      </c>
      <c r="D74" s="9">
        <v>2</v>
      </c>
      <c r="E74" s="9">
        <v>3</v>
      </c>
      <c r="F74" s="9">
        <v>2</v>
      </c>
      <c r="G74" s="9">
        <v>8</v>
      </c>
      <c r="H74" s="9">
        <v>14</v>
      </c>
      <c r="I74" s="9">
        <v>9</v>
      </c>
      <c r="J74" s="9">
        <v>9</v>
      </c>
      <c r="K74" s="9">
        <v>19</v>
      </c>
      <c r="L74" s="9">
        <v>7</v>
      </c>
      <c r="M74" s="9">
        <v>14</v>
      </c>
      <c r="N74" s="9">
        <v>17</v>
      </c>
      <c r="O74" s="9">
        <v>247</v>
      </c>
      <c r="P74" s="9">
        <v>14</v>
      </c>
      <c r="Q74" s="9">
        <v>24</v>
      </c>
      <c r="R74" s="9">
        <v>25</v>
      </c>
      <c r="S74" s="9">
        <v>7</v>
      </c>
      <c r="T74" s="9">
        <v>50</v>
      </c>
      <c r="U74" s="9">
        <v>3</v>
      </c>
      <c r="V74" s="9">
        <v>2</v>
      </c>
      <c r="W74" s="9">
        <v>0</v>
      </c>
      <c r="X74" s="9">
        <v>0</v>
      </c>
      <c r="Y74" s="9">
        <v>0</v>
      </c>
      <c r="Z74" s="9">
        <v>0</v>
      </c>
      <c r="AA74" s="9">
        <v>13</v>
      </c>
      <c r="AC74" s="9">
        <f t="shared" si="4"/>
        <v>495</v>
      </c>
      <c r="AD74" s="9">
        <f t="shared" si="5"/>
        <v>5998</v>
      </c>
      <c r="AE74" s="10">
        <f t="shared" si="6"/>
        <v>12.117171717171717</v>
      </c>
    </row>
    <row r="75" spans="1:31" x14ac:dyDescent="0.3">
      <c r="A75" s="55"/>
      <c r="B75" s="30" t="s">
        <v>77</v>
      </c>
      <c r="C75" s="9">
        <v>11</v>
      </c>
      <c r="D75" s="9">
        <v>4</v>
      </c>
      <c r="E75" s="9">
        <v>2</v>
      </c>
      <c r="F75" s="9">
        <v>6</v>
      </c>
      <c r="G75" s="9">
        <v>14</v>
      </c>
      <c r="H75" s="9">
        <v>21</v>
      </c>
      <c r="I75" s="9">
        <v>33</v>
      </c>
      <c r="J75" s="9">
        <v>26</v>
      </c>
      <c r="K75" s="9">
        <v>61</v>
      </c>
      <c r="L75" s="9">
        <v>20</v>
      </c>
      <c r="M75" s="9">
        <v>33</v>
      </c>
      <c r="N75" s="9">
        <v>32</v>
      </c>
      <c r="O75" s="9">
        <v>651</v>
      </c>
      <c r="P75" s="9">
        <v>30</v>
      </c>
      <c r="Q75" s="9">
        <v>55</v>
      </c>
      <c r="R75" s="9">
        <v>64</v>
      </c>
      <c r="S75" s="9">
        <v>10</v>
      </c>
      <c r="T75" s="9">
        <v>103</v>
      </c>
      <c r="U75" s="9">
        <v>1</v>
      </c>
      <c r="V75" s="9">
        <v>3</v>
      </c>
      <c r="W75" s="9">
        <v>0</v>
      </c>
      <c r="X75" s="9">
        <v>0</v>
      </c>
      <c r="Y75" s="9">
        <v>0</v>
      </c>
      <c r="Z75" s="9">
        <v>0</v>
      </c>
      <c r="AA75" s="9">
        <v>28</v>
      </c>
      <c r="AC75" s="9">
        <f t="shared" si="4"/>
        <v>1208</v>
      </c>
      <c r="AD75" s="9">
        <f t="shared" si="5"/>
        <v>14507</v>
      </c>
      <c r="AE75" s="10">
        <f t="shared" si="6"/>
        <v>12.0091059602649</v>
      </c>
    </row>
    <row r="76" spans="1:31" x14ac:dyDescent="0.3">
      <c r="A76" s="55"/>
      <c r="B76" s="30" t="s">
        <v>78</v>
      </c>
      <c r="C76" s="9">
        <v>3</v>
      </c>
      <c r="D76" s="9">
        <v>3</v>
      </c>
      <c r="E76" s="9">
        <v>2</v>
      </c>
      <c r="F76" s="9">
        <v>7</v>
      </c>
      <c r="G76" s="9">
        <v>6</v>
      </c>
      <c r="H76" s="9">
        <v>15</v>
      </c>
      <c r="I76" s="9">
        <v>11</v>
      </c>
      <c r="J76" s="9">
        <v>16</v>
      </c>
      <c r="K76" s="9">
        <v>26</v>
      </c>
      <c r="L76" s="9">
        <v>10</v>
      </c>
      <c r="M76" s="9">
        <v>15</v>
      </c>
      <c r="N76" s="9">
        <v>11</v>
      </c>
      <c r="O76" s="9">
        <v>219</v>
      </c>
      <c r="P76" s="9">
        <v>6</v>
      </c>
      <c r="Q76" s="9">
        <v>28</v>
      </c>
      <c r="R76" s="9">
        <v>11</v>
      </c>
      <c r="S76" s="9">
        <v>4</v>
      </c>
      <c r="T76" s="9">
        <v>48</v>
      </c>
      <c r="U76" s="9">
        <v>1</v>
      </c>
      <c r="V76" s="9">
        <v>4</v>
      </c>
      <c r="W76" s="9">
        <v>0</v>
      </c>
      <c r="X76" s="9">
        <v>0</v>
      </c>
      <c r="Y76" s="9">
        <v>0</v>
      </c>
      <c r="Z76" s="9">
        <v>0</v>
      </c>
      <c r="AA76" s="9">
        <v>12</v>
      </c>
      <c r="AC76" s="9">
        <f t="shared" si="4"/>
        <v>458</v>
      </c>
      <c r="AD76" s="9">
        <f t="shared" si="5"/>
        <v>5399</v>
      </c>
      <c r="AE76" s="10">
        <f t="shared" si="6"/>
        <v>11.7882096069869</v>
      </c>
    </row>
    <row r="77" spans="1:31" x14ac:dyDescent="0.3">
      <c r="A77" s="55"/>
      <c r="B77" s="30" t="s">
        <v>79</v>
      </c>
      <c r="C77" s="9">
        <v>13</v>
      </c>
      <c r="D77" s="9">
        <v>7</v>
      </c>
      <c r="E77" s="9">
        <v>6</v>
      </c>
      <c r="F77" s="9">
        <v>12</v>
      </c>
      <c r="G77" s="9">
        <v>6</v>
      </c>
      <c r="H77" s="9">
        <v>25</v>
      </c>
      <c r="I77" s="9">
        <v>25</v>
      </c>
      <c r="J77" s="9">
        <v>22</v>
      </c>
      <c r="K77" s="9">
        <v>39</v>
      </c>
      <c r="L77" s="9">
        <v>24</v>
      </c>
      <c r="M77" s="9">
        <v>48</v>
      </c>
      <c r="N77" s="9">
        <v>34</v>
      </c>
      <c r="O77" s="9">
        <v>419</v>
      </c>
      <c r="P77" s="9">
        <v>17</v>
      </c>
      <c r="Q77" s="9">
        <v>25</v>
      </c>
      <c r="R77" s="9">
        <v>31</v>
      </c>
      <c r="S77" s="9">
        <v>7</v>
      </c>
      <c r="T77" s="9">
        <v>54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17</v>
      </c>
      <c r="AC77" s="9">
        <f t="shared" si="4"/>
        <v>831</v>
      </c>
      <c r="AD77" s="9">
        <f t="shared" si="5"/>
        <v>9392</v>
      </c>
      <c r="AE77" s="10">
        <f t="shared" si="6"/>
        <v>11.302045728038507</v>
      </c>
    </row>
    <row r="78" spans="1:31" x14ac:dyDescent="0.3">
      <c r="A78" s="55"/>
      <c r="B78" s="30" t="s">
        <v>80</v>
      </c>
      <c r="C78" s="9">
        <v>6</v>
      </c>
      <c r="D78" s="9">
        <v>6</v>
      </c>
      <c r="E78" s="9">
        <v>13</v>
      </c>
      <c r="F78" s="9">
        <v>23</v>
      </c>
      <c r="G78" s="9">
        <v>27</v>
      </c>
      <c r="H78" s="9">
        <v>57</v>
      </c>
      <c r="I78" s="9">
        <v>42</v>
      </c>
      <c r="J78" s="9">
        <v>46</v>
      </c>
      <c r="K78" s="9">
        <v>67</v>
      </c>
      <c r="L78" s="9">
        <v>45</v>
      </c>
      <c r="M78" s="9">
        <v>62</v>
      </c>
      <c r="N78" s="9">
        <v>59</v>
      </c>
      <c r="O78" s="9">
        <v>649</v>
      </c>
      <c r="P78" s="9">
        <v>15</v>
      </c>
      <c r="Q78" s="9">
        <v>35</v>
      </c>
      <c r="R78" s="9">
        <v>42</v>
      </c>
      <c r="S78" s="9">
        <v>10</v>
      </c>
      <c r="T78" s="9">
        <v>98</v>
      </c>
      <c r="U78" s="9">
        <v>2</v>
      </c>
      <c r="V78" s="9">
        <v>4</v>
      </c>
      <c r="W78" s="9">
        <v>1</v>
      </c>
      <c r="X78" s="9">
        <v>0</v>
      </c>
      <c r="Y78" s="9">
        <v>0</v>
      </c>
      <c r="Z78" s="9">
        <v>0</v>
      </c>
      <c r="AA78" s="9">
        <v>24</v>
      </c>
      <c r="AC78" s="9">
        <f t="shared" ref="AC78:AC141" si="7">SUM(C78:AA78)</f>
        <v>1333</v>
      </c>
      <c r="AD78" s="9">
        <f t="shared" si="5"/>
        <v>14915</v>
      </c>
      <c r="AE78" s="10">
        <f t="shared" si="6"/>
        <v>11.189047261815453</v>
      </c>
    </row>
    <row r="79" spans="1:31" x14ac:dyDescent="0.3">
      <c r="A79" s="55"/>
      <c r="B79" s="30" t="s">
        <v>81</v>
      </c>
      <c r="C79" s="9">
        <v>17</v>
      </c>
      <c r="D79" s="9">
        <v>3</v>
      </c>
      <c r="E79" s="9">
        <v>8</v>
      </c>
      <c r="F79" s="9">
        <v>11</v>
      </c>
      <c r="G79" s="9">
        <v>20</v>
      </c>
      <c r="H79" s="9">
        <v>28</v>
      </c>
      <c r="I79" s="9">
        <v>32</v>
      </c>
      <c r="J79" s="9">
        <v>43</v>
      </c>
      <c r="K79" s="9">
        <v>78</v>
      </c>
      <c r="L79" s="9">
        <v>23</v>
      </c>
      <c r="M79" s="9">
        <v>45</v>
      </c>
      <c r="N79" s="9">
        <v>38</v>
      </c>
      <c r="O79" s="9">
        <v>416</v>
      </c>
      <c r="P79" s="9">
        <v>13</v>
      </c>
      <c r="Q79" s="9">
        <v>20</v>
      </c>
      <c r="R79" s="9">
        <v>29</v>
      </c>
      <c r="S79" s="9">
        <v>3</v>
      </c>
      <c r="T79" s="9">
        <v>48</v>
      </c>
      <c r="U79" s="9">
        <v>2</v>
      </c>
      <c r="V79" s="9">
        <v>4</v>
      </c>
      <c r="W79" s="9">
        <v>0</v>
      </c>
      <c r="X79" s="9">
        <v>0</v>
      </c>
      <c r="Y79" s="9">
        <v>0</v>
      </c>
      <c r="Z79" s="9">
        <v>0</v>
      </c>
      <c r="AA79" s="9">
        <v>21</v>
      </c>
      <c r="AC79" s="9">
        <f t="shared" si="7"/>
        <v>902</v>
      </c>
      <c r="AD79" s="9">
        <f t="shared" si="5"/>
        <v>9820</v>
      </c>
      <c r="AE79" s="10">
        <f t="shared" si="6"/>
        <v>10.886917960088692</v>
      </c>
    </row>
    <row r="80" spans="1:31" x14ac:dyDescent="0.3">
      <c r="A80" s="55"/>
      <c r="B80" s="30" t="s">
        <v>82</v>
      </c>
      <c r="C80" s="9">
        <v>9</v>
      </c>
      <c r="D80" s="9">
        <v>0</v>
      </c>
      <c r="E80" s="9">
        <v>4</v>
      </c>
      <c r="F80" s="9">
        <v>8</v>
      </c>
      <c r="G80" s="9">
        <v>5</v>
      </c>
      <c r="H80" s="9">
        <v>15</v>
      </c>
      <c r="I80" s="9">
        <v>11</v>
      </c>
      <c r="J80" s="9">
        <v>19</v>
      </c>
      <c r="K80" s="9">
        <v>41</v>
      </c>
      <c r="L80" s="9">
        <v>18</v>
      </c>
      <c r="M80" s="9">
        <v>28</v>
      </c>
      <c r="N80" s="9">
        <v>21</v>
      </c>
      <c r="O80" s="9">
        <v>224</v>
      </c>
      <c r="P80" s="9">
        <v>5</v>
      </c>
      <c r="Q80" s="9">
        <v>12</v>
      </c>
      <c r="R80" s="9">
        <v>10</v>
      </c>
      <c r="S80" s="9">
        <v>5</v>
      </c>
      <c r="T80" s="9">
        <v>43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0</v>
      </c>
      <c r="AA80" s="9">
        <v>4</v>
      </c>
      <c r="AC80" s="9">
        <f t="shared" si="7"/>
        <v>483</v>
      </c>
      <c r="AD80" s="9">
        <f t="shared" si="5"/>
        <v>5324</v>
      </c>
      <c r="AE80" s="10">
        <f t="shared" si="6"/>
        <v>11.022774327122153</v>
      </c>
    </row>
    <row r="81" spans="1:31" x14ac:dyDescent="0.3">
      <c r="A81" s="55"/>
      <c r="B81" s="30" t="s">
        <v>83</v>
      </c>
      <c r="C81" s="9">
        <v>18</v>
      </c>
      <c r="D81" s="9">
        <v>6</v>
      </c>
      <c r="E81" s="9">
        <v>10</v>
      </c>
      <c r="F81" s="9">
        <v>11</v>
      </c>
      <c r="G81" s="9">
        <v>22</v>
      </c>
      <c r="H81" s="9">
        <v>48</v>
      </c>
      <c r="I81" s="9">
        <v>43</v>
      </c>
      <c r="J81" s="9">
        <v>44</v>
      </c>
      <c r="K81" s="9">
        <v>74</v>
      </c>
      <c r="L81" s="9">
        <v>52</v>
      </c>
      <c r="M81" s="9">
        <v>52</v>
      </c>
      <c r="N81" s="9">
        <v>64</v>
      </c>
      <c r="O81" s="9">
        <v>505</v>
      </c>
      <c r="P81" s="9">
        <v>22</v>
      </c>
      <c r="Q81" s="9">
        <v>23</v>
      </c>
      <c r="R81" s="9">
        <v>31</v>
      </c>
      <c r="S81" s="9">
        <v>11</v>
      </c>
      <c r="T81" s="9">
        <v>73</v>
      </c>
      <c r="U81" s="9">
        <v>1</v>
      </c>
      <c r="V81" s="9">
        <v>5</v>
      </c>
      <c r="W81" s="9">
        <v>0</v>
      </c>
      <c r="X81" s="9">
        <v>0</v>
      </c>
      <c r="Y81" s="9">
        <v>0</v>
      </c>
      <c r="Z81" s="9">
        <v>0</v>
      </c>
      <c r="AA81" s="9">
        <v>17</v>
      </c>
      <c r="AC81" s="9">
        <f t="shared" si="7"/>
        <v>1132</v>
      </c>
      <c r="AD81" s="9">
        <f t="shared" si="5"/>
        <v>12308</v>
      </c>
      <c r="AE81" s="10">
        <f t="shared" si="6"/>
        <v>10.87279151943463</v>
      </c>
    </row>
    <row r="82" spans="1:31" x14ac:dyDescent="0.3">
      <c r="A82" s="55"/>
      <c r="B82" s="30" t="s">
        <v>84</v>
      </c>
      <c r="C82" s="9">
        <v>11</v>
      </c>
      <c r="D82" s="9">
        <v>11</v>
      </c>
      <c r="E82" s="9">
        <v>13</v>
      </c>
      <c r="F82" s="9">
        <v>35</v>
      </c>
      <c r="G82" s="9">
        <v>35</v>
      </c>
      <c r="H82" s="9">
        <v>75</v>
      </c>
      <c r="I82" s="9">
        <v>80</v>
      </c>
      <c r="J82" s="9">
        <v>77</v>
      </c>
      <c r="K82" s="9">
        <v>134</v>
      </c>
      <c r="L82" s="9">
        <v>71</v>
      </c>
      <c r="M82" s="9">
        <v>66</v>
      </c>
      <c r="N82" s="9">
        <v>63</v>
      </c>
      <c r="O82" s="9">
        <v>441</v>
      </c>
      <c r="P82" s="9">
        <v>18</v>
      </c>
      <c r="Q82" s="9">
        <v>36</v>
      </c>
      <c r="R82" s="9">
        <v>25</v>
      </c>
      <c r="S82" s="9">
        <v>9</v>
      </c>
      <c r="T82" s="9">
        <v>70</v>
      </c>
      <c r="U82" s="9">
        <v>1</v>
      </c>
      <c r="V82" s="9">
        <v>3</v>
      </c>
      <c r="W82" s="9">
        <v>0</v>
      </c>
      <c r="X82" s="9">
        <v>0</v>
      </c>
      <c r="Y82" s="9">
        <v>0</v>
      </c>
      <c r="Z82" s="9">
        <v>0</v>
      </c>
      <c r="AA82" s="9">
        <v>21</v>
      </c>
      <c r="AC82" s="9">
        <f t="shared" si="7"/>
        <v>1295</v>
      </c>
      <c r="AD82" s="9">
        <f t="shared" si="5"/>
        <v>13058</v>
      </c>
      <c r="AE82" s="10">
        <f t="shared" si="6"/>
        <v>10.083397683397683</v>
      </c>
    </row>
    <row r="83" spans="1:31" x14ac:dyDescent="0.3">
      <c r="A83" s="55"/>
      <c r="B83" s="30" t="s">
        <v>85</v>
      </c>
      <c r="C83" s="9">
        <v>13</v>
      </c>
      <c r="D83" s="9">
        <v>10</v>
      </c>
      <c r="E83" s="9">
        <v>10</v>
      </c>
      <c r="F83" s="9">
        <v>13</v>
      </c>
      <c r="G83" s="9">
        <v>17</v>
      </c>
      <c r="H83" s="9">
        <v>39</v>
      </c>
      <c r="I83" s="9">
        <v>36</v>
      </c>
      <c r="J83" s="9">
        <v>32</v>
      </c>
      <c r="K83" s="9">
        <v>66</v>
      </c>
      <c r="L83" s="9">
        <v>32</v>
      </c>
      <c r="M83" s="9">
        <v>26</v>
      </c>
      <c r="N83" s="9">
        <v>30</v>
      </c>
      <c r="O83" s="9">
        <v>302</v>
      </c>
      <c r="P83" s="9">
        <v>20</v>
      </c>
      <c r="Q83" s="9">
        <v>36</v>
      </c>
      <c r="R83" s="9">
        <v>51</v>
      </c>
      <c r="S83" s="9">
        <v>12</v>
      </c>
      <c r="T83" s="9">
        <v>79</v>
      </c>
      <c r="U83" s="9">
        <v>2</v>
      </c>
      <c r="V83" s="9">
        <v>4</v>
      </c>
      <c r="W83" s="9">
        <v>0</v>
      </c>
      <c r="X83" s="9">
        <v>1</v>
      </c>
      <c r="Y83" s="9">
        <v>0</v>
      </c>
      <c r="Z83" s="9">
        <v>1</v>
      </c>
      <c r="AA83" s="9">
        <v>19</v>
      </c>
      <c r="AC83" s="9">
        <f t="shared" si="7"/>
        <v>851</v>
      </c>
      <c r="AD83" s="9">
        <f t="shared" si="5"/>
        <v>9478</v>
      </c>
      <c r="AE83" s="10">
        <f t="shared" si="6"/>
        <v>11.137485311398354</v>
      </c>
    </row>
    <row r="84" spans="1:31" x14ac:dyDescent="0.3">
      <c r="A84" s="55"/>
      <c r="B84" s="30" t="s">
        <v>86</v>
      </c>
      <c r="C84" s="9">
        <v>20</v>
      </c>
      <c r="D84" s="9">
        <v>9</v>
      </c>
      <c r="E84" s="9">
        <v>10</v>
      </c>
      <c r="F84" s="9">
        <v>32</v>
      </c>
      <c r="G84" s="9">
        <v>47</v>
      </c>
      <c r="H84" s="9">
        <v>84</v>
      </c>
      <c r="I84" s="9">
        <v>68</v>
      </c>
      <c r="J84" s="9">
        <v>77</v>
      </c>
      <c r="K84" s="9">
        <v>111</v>
      </c>
      <c r="L84" s="9">
        <v>72</v>
      </c>
      <c r="M84" s="9">
        <v>64</v>
      </c>
      <c r="N84" s="9">
        <v>70</v>
      </c>
      <c r="O84" s="9">
        <v>510</v>
      </c>
      <c r="P84" s="9">
        <v>27</v>
      </c>
      <c r="Q84" s="9">
        <v>40</v>
      </c>
      <c r="R84" s="9">
        <v>56</v>
      </c>
      <c r="S84" s="9">
        <v>8</v>
      </c>
      <c r="T84" s="9">
        <v>96</v>
      </c>
      <c r="U84" s="9">
        <v>5</v>
      </c>
      <c r="V84" s="9">
        <v>6</v>
      </c>
      <c r="W84" s="9">
        <v>0</v>
      </c>
      <c r="X84" s="9">
        <v>0</v>
      </c>
      <c r="Y84" s="9">
        <v>0</v>
      </c>
      <c r="Z84" s="9">
        <v>0</v>
      </c>
      <c r="AA84" s="9">
        <v>22</v>
      </c>
      <c r="AC84" s="9">
        <f t="shared" si="7"/>
        <v>1434</v>
      </c>
      <c r="AD84" s="9">
        <f t="shared" si="5"/>
        <v>14989</v>
      </c>
      <c r="AE84" s="10">
        <f t="shared" si="6"/>
        <v>10.452580195258019</v>
      </c>
    </row>
    <row r="85" spans="1:31" x14ac:dyDescent="0.3">
      <c r="A85" s="55"/>
      <c r="B85" s="30" t="s">
        <v>87</v>
      </c>
      <c r="C85" s="9">
        <v>19</v>
      </c>
      <c r="D85" s="9">
        <v>10</v>
      </c>
      <c r="E85" s="9">
        <v>18</v>
      </c>
      <c r="F85" s="9">
        <v>43</v>
      </c>
      <c r="G85" s="9">
        <v>52</v>
      </c>
      <c r="H85" s="9">
        <v>101</v>
      </c>
      <c r="I85" s="9">
        <v>108</v>
      </c>
      <c r="J85" s="9">
        <v>53</v>
      </c>
      <c r="K85" s="9">
        <v>125</v>
      </c>
      <c r="L85" s="9">
        <v>67</v>
      </c>
      <c r="M85" s="9">
        <v>74</v>
      </c>
      <c r="N85" s="9">
        <v>57</v>
      </c>
      <c r="O85" s="9">
        <v>549</v>
      </c>
      <c r="P85" s="9">
        <v>48</v>
      </c>
      <c r="Q85" s="9">
        <v>99</v>
      </c>
      <c r="R85" s="9">
        <v>98</v>
      </c>
      <c r="S85" s="9">
        <v>13</v>
      </c>
      <c r="T85" s="9">
        <v>148</v>
      </c>
      <c r="U85" s="9">
        <v>2</v>
      </c>
      <c r="V85" s="9">
        <v>5</v>
      </c>
      <c r="W85" s="9">
        <v>1</v>
      </c>
      <c r="X85" s="9">
        <v>0</v>
      </c>
      <c r="Y85" s="9">
        <v>0</v>
      </c>
      <c r="Z85" s="9">
        <v>2</v>
      </c>
      <c r="AA85" s="9">
        <v>48</v>
      </c>
      <c r="AC85" s="9">
        <f t="shared" si="7"/>
        <v>1740</v>
      </c>
      <c r="AD85" s="9">
        <f t="shared" si="5"/>
        <v>19018</v>
      </c>
      <c r="AE85" s="10">
        <f t="shared" si="6"/>
        <v>10.929885057471264</v>
      </c>
    </row>
    <row r="86" spans="1:31" x14ac:dyDescent="0.3">
      <c r="A86" s="55"/>
      <c r="B86" s="30" t="s">
        <v>88</v>
      </c>
      <c r="C86" s="9">
        <v>7</v>
      </c>
      <c r="D86" s="9">
        <v>4</v>
      </c>
      <c r="E86" s="9">
        <v>4</v>
      </c>
      <c r="F86" s="9">
        <v>10</v>
      </c>
      <c r="G86" s="9">
        <v>13</v>
      </c>
      <c r="H86" s="9">
        <v>49</v>
      </c>
      <c r="I86" s="9">
        <v>30</v>
      </c>
      <c r="J86" s="9">
        <v>28</v>
      </c>
      <c r="K86" s="9">
        <v>65</v>
      </c>
      <c r="L86" s="9">
        <v>13</v>
      </c>
      <c r="M86" s="9">
        <v>37</v>
      </c>
      <c r="N86" s="9">
        <v>29</v>
      </c>
      <c r="O86" s="9">
        <v>273</v>
      </c>
      <c r="P86" s="9">
        <v>9</v>
      </c>
      <c r="Q86" s="9">
        <v>14</v>
      </c>
      <c r="R86" s="9">
        <v>19</v>
      </c>
      <c r="S86" s="9">
        <v>4</v>
      </c>
      <c r="T86" s="9">
        <v>35</v>
      </c>
      <c r="U86" s="9">
        <v>0</v>
      </c>
      <c r="V86" s="9">
        <v>5</v>
      </c>
      <c r="W86" s="9">
        <v>0</v>
      </c>
      <c r="X86" s="9">
        <v>0</v>
      </c>
      <c r="Y86" s="9">
        <v>0</v>
      </c>
      <c r="Z86" s="9">
        <v>0</v>
      </c>
      <c r="AA86" s="9">
        <v>19</v>
      </c>
      <c r="AC86" s="9">
        <f t="shared" si="7"/>
        <v>667</v>
      </c>
      <c r="AD86" s="9">
        <f t="shared" si="5"/>
        <v>7125</v>
      </c>
      <c r="AE86" s="10">
        <f t="shared" si="6"/>
        <v>10.682158920539731</v>
      </c>
    </row>
    <row r="87" spans="1:31" x14ac:dyDescent="0.3">
      <c r="A87" s="55"/>
      <c r="B87" s="30" t="s">
        <v>89</v>
      </c>
      <c r="C87" s="9">
        <v>13</v>
      </c>
      <c r="D87" s="9">
        <v>7</v>
      </c>
      <c r="E87" s="9">
        <v>4</v>
      </c>
      <c r="F87" s="9">
        <v>8</v>
      </c>
      <c r="G87" s="9">
        <v>14</v>
      </c>
      <c r="H87" s="9">
        <v>32</v>
      </c>
      <c r="I87" s="9">
        <v>23</v>
      </c>
      <c r="J87" s="9">
        <v>29</v>
      </c>
      <c r="K87" s="9">
        <v>53</v>
      </c>
      <c r="L87" s="9">
        <v>45</v>
      </c>
      <c r="M87" s="9">
        <v>52</v>
      </c>
      <c r="N87" s="9">
        <v>44</v>
      </c>
      <c r="O87" s="9">
        <v>348</v>
      </c>
      <c r="P87" s="9">
        <v>27</v>
      </c>
      <c r="Q87" s="9">
        <v>23</v>
      </c>
      <c r="R87" s="9">
        <v>21</v>
      </c>
      <c r="S87" s="9">
        <v>3</v>
      </c>
      <c r="T87" s="9">
        <v>54</v>
      </c>
      <c r="U87" s="9">
        <v>3</v>
      </c>
      <c r="V87" s="9">
        <v>4</v>
      </c>
      <c r="W87" s="9">
        <v>0</v>
      </c>
      <c r="X87" s="9">
        <v>0</v>
      </c>
      <c r="Y87" s="9">
        <v>0</v>
      </c>
      <c r="Z87" s="9">
        <v>0</v>
      </c>
      <c r="AA87" s="9">
        <v>18</v>
      </c>
      <c r="AC87" s="9">
        <f t="shared" si="7"/>
        <v>825</v>
      </c>
      <c r="AD87" s="9">
        <f t="shared" si="5"/>
        <v>9121</v>
      </c>
      <c r="AE87" s="10">
        <f t="shared" si="6"/>
        <v>11.055757575757577</v>
      </c>
    </row>
    <row r="88" spans="1:31" x14ac:dyDescent="0.3">
      <c r="A88" s="55"/>
      <c r="B88" s="30" t="s">
        <v>90</v>
      </c>
      <c r="C88" s="9">
        <v>12</v>
      </c>
      <c r="D88" s="9">
        <v>13</v>
      </c>
      <c r="E88" s="9">
        <v>12</v>
      </c>
      <c r="F88" s="9">
        <v>25</v>
      </c>
      <c r="G88" s="9">
        <v>29</v>
      </c>
      <c r="H88" s="9">
        <v>55</v>
      </c>
      <c r="I88" s="9">
        <v>52</v>
      </c>
      <c r="J88" s="9">
        <v>66</v>
      </c>
      <c r="K88" s="9">
        <v>105</v>
      </c>
      <c r="L88" s="9">
        <v>50</v>
      </c>
      <c r="M88" s="9">
        <v>62</v>
      </c>
      <c r="N88" s="9">
        <v>70</v>
      </c>
      <c r="O88" s="9">
        <v>674</v>
      </c>
      <c r="P88" s="9">
        <v>42</v>
      </c>
      <c r="Q88" s="9">
        <v>90</v>
      </c>
      <c r="R88" s="9">
        <v>96</v>
      </c>
      <c r="S88" s="9">
        <v>21</v>
      </c>
      <c r="T88" s="9">
        <v>174</v>
      </c>
      <c r="U88" s="9">
        <v>3</v>
      </c>
      <c r="V88" s="9">
        <v>8</v>
      </c>
      <c r="W88" s="9">
        <v>0</v>
      </c>
      <c r="X88" s="9">
        <v>0</v>
      </c>
      <c r="Y88" s="9">
        <v>0</v>
      </c>
      <c r="Z88" s="9">
        <v>0</v>
      </c>
      <c r="AA88" s="9">
        <v>21</v>
      </c>
      <c r="AC88" s="9">
        <f t="shared" si="7"/>
        <v>1680</v>
      </c>
      <c r="AD88" s="9">
        <f t="shared" si="5"/>
        <v>19295</v>
      </c>
      <c r="AE88" s="10">
        <f t="shared" si="6"/>
        <v>11.485119047619047</v>
      </c>
    </row>
    <row r="89" spans="1:31" x14ac:dyDescent="0.3">
      <c r="A89" s="55"/>
      <c r="B89" s="30" t="s">
        <v>91</v>
      </c>
      <c r="C89" s="9">
        <v>16</v>
      </c>
      <c r="D89" s="9">
        <v>22</v>
      </c>
      <c r="E89" s="9">
        <v>25</v>
      </c>
      <c r="F89" s="9">
        <v>35</v>
      </c>
      <c r="G89" s="9">
        <v>51</v>
      </c>
      <c r="H89" s="9">
        <v>97</v>
      </c>
      <c r="I89" s="9">
        <v>80</v>
      </c>
      <c r="J89" s="9">
        <v>95</v>
      </c>
      <c r="K89" s="9">
        <v>119</v>
      </c>
      <c r="L89" s="9">
        <v>72</v>
      </c>
      <c r="M89" s="9">
        <v>92</v>
      </c>
      <c r="N89" s="9">
        <v>65</v>
      </c>
      <c r="O89" s="9">
        <v>764</v>
      </c>
      <c r="P89" s="9">
        <v>57</v>
      </c>
      <c r="Q89" s="9">
        <v>110</v>
      </c>
      <c r="R89" s="9">
        <v>78</v>
      </c>
      <c r="S89" s="9">
        <v>16</v>
      </c>
      <c r="T89" s="9">
        <v>166</v>
      </c>
      <c r="U89" s="9">
        <v>4</v>
      </c>
      <c r="V89" s="9">
        <v>3</v>
      </c>
      <c r="W89" s="9">
        <v>0</v>
      </c>
      <c r="X89" s="9">
        <v>0</v>
      </c>
      <c r="Y89" s="9">
        <v>0</v>
      </c>
      <c r="Z89" s="9">
        <v>1</v>
      </c>
      <c r="AA89" s="9">
        <v>29</v>
      </c>
      <c r="AC89" s="9">
        <f t="shared" si="7"/>
        <v>1997</v>
      </c>
      <c r="AD89" s="9">
        <f t="shared" si="5"/>
        <v>21791</v>
      </c>
      <c r="AE89" s="10">
        <f t="shared" si="6"/>
        <v>10.911867801702554</v>
      </c>
    </row>
    <row r="90" spans="1:31" x14ac:dyDescent="0.3">
      <c r="A90" s="55"/>
      <c r="B90" s="30" t="s">
        <v>92</v>
      </c>
      <c r="C90" s="9">
        <v>8</v>
      </c>
      <c r="D90" s="9">
        <v>2</v>
      </c>
      <c r="E90" s="9">
        <v>5</v>
      </c>
      <c r="F90" s="9">
        <v>15</v>
      </c>
      <c r="G90" s="9">
        <v>9</v>
      </c>
      <c r="H90" s="9">
        <v>18</v>
      </c>
      <c r="I90" s="9">
        <v>18</v>
      </c>
      <c r="J90" s="9">
        <v>22</v>
      </c>
      <c r="K90" s="9">
        <v>20</v>
      </c>
      <c r="L90" s="9">
        <v>10</v>
      </c>
      <c r="M90" s="9">
        <v>16</v>
      </c>
      <c r="N90" s="9">
        <v>20</v>
      </c>
      <c r="O90" s="9">
        <v>281</v>
      </c>
      <c r="P90" s="9">
        <v>20</v>
      </c>
      <c r="Q90" s="9">
        <v>36</v>
      </c>
      <c r="R90" s="9">
        <v>40</v>
      </c>
      <c r="S90" s="9">
        <v>7</v>
      </c>
      <c r="T90" s="9">
        <v>78</v>
      </c>
      <c r="U90" s="9">
        <v>2</v>
      </c>
      <c r="V90" s="9">
        <v>4</v>
      </c>
      <c r="W90" s="9">
        <v>0</v>
      </c>
      <c r="X90" s="9">
        <v>0</v>
      </c>
      <c r="Y90" s="9">
        <v>0</v>
      </c>
      <c r="Z90" s="9">
        <v>0</v>
      </c>
      <c r="AA90" s="9">
        <v>10</v>
      </c>
      <c r="AC90" s="9">
        <f t="shared" si="7"/>
        <v>641</v>
      </c>
      <c r="AD90" s="9">
        <f t="shared" si="5"/>
        <v>7601</v>
      </c>
      <c r="AE90" s="10">
        <f t="shared" si="6"/>
        <v>11.858034321372855</v>
      </c>
    </row>
    <row r="91" spans="1:31" x14ac:dyDescent="0.3">
      <c r="A91" s="55"/>
      <c r="B91" s="30" t="s">
        <v>93</v>
      </c>
      <c r="C91" s="9">
        <v>36</v>
      </c>
      <c r="D91" s="9">
        <v>23</v>
      </c>
      <c r="E91" s="9">
        <v>23</v>
      </c>
      <c r="F91" s="9">
        <v>35</v>
      </c>
      <c r="G91" s="9">
        <v>41</v>
      </c>
      <c r="H91" s="9">
        <v>81</v>
      </c>
      <c r="I91" s="9">
        <v>74</v>
      </c>
      <c r="J91" s="9">
        <v>91</v>
      </c>
      <c r="K91" s="9">
        <v>132</v>
      </c>
      <c r="L91" s="9">
        <v>64</v>
      </c>
      <c r="M91" s="9">
        <v>86</v>
      </c>
      <c r="N91" s="9">
        <v>80</v>
      </c>
      <c r="O91" s="9">
        <v>832</v>
      </c>
      <c r="P91" s="9">
        <v>66</v>
      </c>
      <c r="Q91" s="9">
        <v>90</v>
      </c>
      <c r="R91" s="9">
        <v>198</v>
      </c>
      <c r="S91" s="9">
        <v>19</v>
      </c>
      <c r="T91" s="9">
        <v>332</v>
      </c>
      <c r="U91" s="9">
        <v>5</v>
      </c>
      <c r="V91" s="9">
        <v>7</v>
      </c>
      <c r="W91" s="9">
        <v>0</v>
      </c>
      <c r="X91" s="9">
        <v>0</v>
      </c>
      <c r="Y91" s="9">
        <v>0</v>
      </c>
      <c r="Z91" s="9">
        <v>2</v>
      </c>
      <c r="AA91" s="9">
        <v>34</v>
      </c>
      <c r="AC91" s="9">
        <f t="shared" si="7"/>
        <v>2351</v>
      </c>
      <c r="AD91" s="9">
        <f t="shared" si="5"/>
        <v>27301</v>
      </c>
      <c r="AE91" s="10">
        <f t="shared" si="6"/>
        <v>11.612505316886431</v>
      </c>
    </row>
    <row r="92" spans="1:31" x14ac:dyDescent="0.3">
      <c r="A92" s="55"/>
      <c r="B92" s="30" t="s">
        <v>94</v>
      </c>
      <c r="C92" s="9">
        <v>95</v>
      </c>
      <c r="D92" s="9">
        <v>50</v>
      </c>
      <c r="E92" s="9">
        <v>90</v>
      </c>
      <c r="F92" s="9">
        <v>161</v>
      </c>
      <c r="G92" s="9">
        <v>140</v>
      </c>
      <c r="H92" s="9">
        <v>326</v>
      </c>
      <c r="I92" s="9">
        <v>277</v>
      </c>
      <c r="J92" s="9">
        <v>245</v>
      </c>
      <c r="K92" s="9">
        <v>347</v>
      </c>
      <c r="L92" s="9">
        <v>214</v>
      </c>
      <c r="M92" s="9">
        <v>187</v>
      </c>
      <c r="N92" s="9">
        <v>210</v>
      </c>
      <c r="O92" s="9">
        <v>1540</v>
      </c>
      <c r="P92" s="9">
        <v>70</v>
      </c>
      <c r="Q92" s="9">
        <v>96</v>
      </c>
      <c r="R92" s="9">
        <v>96</v>
      </c>
      <c r="S92" s="9">
        <v>21</v>
      </c>
      <c r="T92" s="9">
        <v>196</v>
      </c>
      <c r="U92" s="9">
        <v>8</v>
      </c>
      <c r="V92" s="9">
        <v>12</v>
      </c>
      <c r="W92" s="9">
        <v>1</v>
      </c>
      <c r="X92" s="9">
        <v>0</v>
      </c>
      <c r="Y92" s="9">
        <v>0</v>
      </c>
      <c r="Z92" s="9">
        <v>2</v>
      </c>
      <c r="AA92" s="9">
        <v>59</v>
      </c>
      <c r="AC92" s="9">
        <f t="shared" si="7"/>
        <v>4443</v>
      </c>
      <c r="AD92" s="9">
        <f t="shared" si="5"/>
        <v>42858</v>
      </c>
      <c r="AE92" s="10">
        <f t="shared" si="6"/>
        <v>9.646185010128292</v>
      </c>
    </row>
    <row r="93" spans="1:31" x14ac:dyDescent="0.3">
      <c r="A93" s="55"/>
      <c r="B93" s="30" t="s">
        <v>95</v>
      </c>
      <c r="C93" s="9">
        <v>60</v>
      </c>
      <c r="D93" s="9">
        <v>33</v>
      </c>
      <c r="E93" s="9">
        <v>47</v>
      </c>
      <c r="F93" s="9">
        <v>84</v>
      </c>
      <c r="G93" s="9">
        <v>95</v>
      </c>
      <c r="H93" s="9">
        <v>214</v>
      </c>
      <c r="I93" s="9">
        <v>145</v>
      </c>
      <c r="J93" s="9">
        <v>132</v>
      </c>
      <c r="K93" s="9">
        <v>208</v>
      </c>
      <c r="L93" s="9">
        <v>118</v>
      </c>
      <c r="M93" s="9">
        <v>165</v>
      </c>
      <c r="N93" s="9">
        <v>156</v>
      </c>
      <c r="O93" s="9">
        <v>2026</v>
      </c>
      <c r="P93" s="9">
        <v>72</v>
      </c>
      <c r="Q93" s="9">
        <v>139</v>
      </c>
      <c r="R93" s="9">
        <v>153</v>
      </c>
      <c r="S93" s="9">
        <v>58</v>
      </c>
      <c r="T93" s="9">
        <v>342</v>
      </c>
      <c r="U93" s="9">
        <v>6</v>
      </c>
      <c r="V93" s="9">
        <v>18</v>
      </c>
      <c r="W93" s="9">
        <v>1</v>
      </c>
      <c r="X93" s="9">
        <v>0</v>
      </c>
      <c r="Y93" s="9">
        <v>0</v>
      </c>
      <c r="Z93" s="9">
        <v>4</v>
      </c>
      <c r="AA93" s="9">
        <v>108</v>
      </c>
      <c r="AC93" s="9">
        <f t="shared" si="7"/>
        <v>4384</v>
      </c>
      <c r="AD93" s="9">
        <f t="shared" si="5"/>
        <v>49100</v>
      </c>
      <c r="AE93" s="10">
        <f t="shared" si="6"/>
        <v>11.199817518248175</v>
      </c>
    </row>
    <row r="94" spans="1:31" x14ac:dyDescent="0.3">
      <c r="A94" s="55"/>
      <c r="B94" s="30" t="s">
        <v>96</v>
      </c>
      <c r="C94" s="9">
        <v>38</v>
      </c>
      <c r="D94" s="9">
        <v>14</v>
      </c>
      <c r="E94" s="9">
        <v>20</v>
      </c>
      <c r="F94" s="9">
        <v>57</v>
      </c>
      <c r="G94" s="9">
        <v>61</v>
      </c>
      <c r="H94" s="9">
        <v>114</v>
      </c>
      <c r="I94" s="9">
        <v>130</v>
      </c>
      <c r="J94" s="9">
        <v>111</v>
      </c>
      <c r="K94" s="9">
        <v>177</v>
      </c>
      <c r="L94" s="9">
        <v>87</v>
      </c>
      <c r="M94" s="9">
        <v>118</v>
      </c>
      <c r="N94" s="9">
        <v>106</v>
      </c>
      <c r="O94" s="9">
        <v>1476</v>
      </c>
      <c r="P94" s="9">
        <v>71</v>
      </c>
      <c r="Q94" s="9">
        <v>153</v>
      </c>
      <c r="R94" s="9">
        <v>159</v>
      </c>
      <c r="S94" s="9">
        <v>29</v>
      </c>
      <c r="T94" s="9">
        <v>329</v>
      </c>
      <c r="U94" s="9">
        <v>4</v>
      </c>
      <c r="V94" s="9">
        <v>6</v>
      </c>
      <c r="W94" s="9">
        <v>0</v>
      </c>
      <c r="X94" s="9">
        <v>0</v>
      </c>
      <c r="Y94" s="9">
        <v>0</v>
      </c>
      <c r="Z94" s="9">
        <v>1</v>
      </c>
      <c r="AA94" s="9">
        <v>61</v>
      </c>
      <c r="AC94" s="9">
        <f t="shared" si="7"/>
        <v>3322</v>
      </c>
      <c r="AD94" s="9">
        <f t="shared" si="5"/>
        <v>38033</v>
      </c>
      <c r="AE94" s="10">
        <f t="shared" si="6"/>
        <v>11.448826008428657</v>
      </c>
    </row>
    <row r="95" spans="1:31" x14ac:dyDescent="0.3">
      <c r="A95" s="55"/>
      <c r="B95" s="30" t="s">
        <v>97</v>
      </c>
      <c r="C95" s="9">
        <v>24</v>
      </c>
      <c r="D95" s="9">
        <v>10</v>
      </c>
      <c r="E95" s="9">
        <v>9</v>
      </c>
      <c r="F95" s="9">
        <v>17</v>
      </c>
      <c r="G95" s="9">
        <v>17</v>
      </c>
      <c r="H95" s="9">
        <v>56</v>
      </c>
      <c r="I95" s="9">
        <v>38</v>
      </c>
      <c r="J95" s="9">
        <v>51</v>
      </c>
      <c r="K95" s="9">
        <v>60</v>
      </c>
      <c r="L95" s="9">
        <v>40</v>
      </c>
      <c r="M95" s="9">
        <v>57</v>
      </c>
      <c r="N95" s="9">
        <v>42</v>
      </c>
      <c r="O95" s="9">
        <v>689</v>
      </c>
      <c r="P95" s="9">
        <v>39</v>
      </c>
      <c r="Q95" s="9">
        <v>94</v>
      </c>
      <c r="R95" s="9">
        <v>95</v>
      </c>
      <c r="S95" s="9">
        <v>17</v>
      </c>
      <c r="T95" s="9">
        <v>208</v>
      </c>
      <c r="U95" s="9">
        <v>5</v>
      </c>
      <c r="V95" s="9">
        <v>9</v>
      </c>
      <c r="W95" s="9">
        <v>1</v>
      </c>
      <c r="X95" s="9">
        <v>0</v>
      </c>
      <c r="Y95" s="9">
        <v>1</v>
      </c>
      <c r="Z95" s="9">
        <v>0</v>
      </c>
      <c r="AA95" s="9">
        <v>33</v>
      </c>
      <c r="AC95" s="9">
        <f t="shared" si="7"/>
        <v>1612</v>
      </c>
      <c r="AD95" s="9">
        <f t="shared" si="5"/>
        <v>19303</v>
      </c>
      <c r="AE95" s="10">
        <f t="shared" si="6"/>
        <v>11.974565756823822</v>
      </c>
    </row>
    <row r="96" spans="1:31" x14ac:dyDescent="0.3">
      <c r="A96" s="55"/>
      <c r="B96" s="30" t="s">
        <v>98</v>
      </c>
      <c r="C96" s="9">
        <v>8</v>
      </c>
      <c r="D96" s="9">
        <v>1</v>
      </c>
      <c r="E96" s="9">
        <v>3</v>
      </c>
      <c r="F96" s="9">
        <v>10</v>
      </c>
      <c r="G96" s="9">
        <v>15</v>
      </c>
      <c r="H96" s="9">
        <v>31</v>
      </c>
      <c r="I96" s="9">
        <v>19</v>
      </c>
      <c r="J96" s="9">
        <v>28</v>
      </c>
      <c r="K96" s="9">
        <v>32</v>
      </c>
      <c r="L96" s="9">
        <v>27</v>
      </c>
      <c r="M96" s="9">
        <v>30</v>
      </c>
      <c r="N96" s="9">
        <v>25</v>
      </c>
      <c r="O96" s="9">
        <v>250</v>
      </c>
      <c r="P96" s="9">
        <v>8</v>
      </c>
      <c r="Q96" s="9">
        <v>20</v>
      </c>
      <c r="R96" s="9">
        <v>19</v>
      </c>
      <c r="S96" s="9">
        <v>9</v>
      </c>
      <c r="T96" s="9">
        <v>48</v>
      </c>
      <c r="U96" s="9">
        <v>0</v>
      </c>
      <c r="V96" s="9">
        <v>3</v>
      </c>
      <c r="W96" s="9">
        <v>0</v>
      </c>
      <c r="X96" s="9">
        <v>0</v>
      </c>
      <c r="Y96" s="9">
        <v>0</v>
      </c>
      <c r="Z96" s="9">
        <v>0</v>
      </c>
      <c r="AA96" s="9">
        <v>17</v>
      </c>
      <c r="AC96" s="9">
        <f t="shared" si="7"/>
        <v>603</v>
      </c>
      <c r="AD96" s="9">
        <f t="shared" si="5"/>
        <v>6730</v>
      </c>
      <c r="AE96" s="10">
        <f t="shared" si="6"/>
        <v>11.160862354892206</v>
      </c>
    </row>
    <row r="97" spans="1:31" x14ac:dyDescent="0.3">
      <c r="A97" s="55"/>
      <c r="B97" s="30" t="s">
        <v>99</v>
      </c>
      <c r="C97" s="9">
        <v>23</v>
      </c>
      <c r="D97" s="9">
        <v>17</v>
      </c>
      <c r="E97" s="9">
        <v>12</v>
      </c>
      <c r="F97" s="9">
        <v>32</v>
      </c>
      <c r="G97" s="9">
        <v>37</v>
      </c>
      <c r="H97" s="9">
        <v>117</v>
      </c>
      <c r="I97" s="9">
        <v>80</v>
      </c>
      <c r="J97" s="9">
        <v>84</v>
      </c>
      <c r="K97" s="9">
        <v>134</v>
      </c>
      <c r="L97" s="9">
        <v>89</v>
      </c>
      <c r="M97" s="9">
        <v>117</v>
      </c>
      <c r="N97" s="9">
        <v>102</v>
      </c>
      <c r="O97" s="9">
        <v>1107</v>
      </c>
      <c r="P97" s="9">
        <v>38</v>
      </c>
      <c r="Q97" s="9">
        <v>113</v>
      </c>
      <c r="R97" s="9">
        <v>124</v>
      </c>
      <c r="S97" s="9">
        <v>32</v>
      </c>
      <c r="T97" s="9">
        <v>264</v>
      </c>
      <c r="U97" s="9">
        <v>5</v>
      </c>
      <c r="V97" s="9">
        <v>15</v>
      </c>
      <c r="W97" s="9">
        <v>1</v>
      </c>
      <c r="X97" s="9">
        <v>0</v>
      </c>
      <c r="Y97" s="9">
        <v>0</v>
      </c>
      <c r="Z97" s="9">
        <v>2</v>
      </c>
      <c r="AA97" s="9">
        <v>80</v>
      </c>
      <c r="AC97" s="9">
        <f t="shared" si="7"/>
        <v>2625</v>
      </c>
      <c r="AD97" s="9">
        <f t="shared" si="5"/>
        <v>30684</v>
      </c>
      <c r="AE97" s="10">
        <f t="shared" si="6"/>
        <v>11.689142857142857</v>
      </c>
    </row>
    <row r="98" spans="1:31" x14ac:dyDescent="0.3">
      <c r="A98" s="55"/>
      <c r="B98" s="30" t="s">
        <v>100</v>
      </c>
      <c r="C98" s="9">
        <v>9</v>
      </c>
      <c r="D98" s="9">
        <v>6</v>
      </c>
      <c r="E98" s="9">
        <v>4</v>
      </c>
      <c r="F98" s="9">
        <v>14</v>
      </c>
      <c r="G98" s="9">
        <v>7</v>
      </c>
      <c r="H98" s="9">
        <v>27</v>
      </c>
      <c r="I98" s="9">
        <v>16</v>
      </c>
      <c r="J98" s="9">
        <v>19</v>
      </c>
      <c r="K98" s="9">
        <v>33</v>
      </c>
      <c r="L98" s="9">
        <v>14</v>
      </c>
      <c r="M98" s="9">
        <v>27</v>
      </c>
      <c r="N98" s="9">
        <v>26</v>
      </c>
      <c r="O98" s="9">
        <v>165</v>
      </c>
      <c r="P98" s="9">
        <v>7</v>
      </c>
      <c r="Q98" s="9">
        <v>9</v>
      </c>
      <c r="R98" s="9">
        <v>25</v>
      </c>
      <c r="S98" s="9">
        <v>10</v>
      </c>
      <c r="T98" s="9">
        <v>44</v>
      </c>
      <c r="U98" s="9">
        <v>1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A98" s="9">
        <v>25</v>
      </c>
      <c r="AC98" s="9">
        <f t="shared" si="7"/>
        <v>489</v>
      </c>
      <c r="AD98" s="9">
        <f t="shared" si="5"/>
        <v>5511</v>
      </c>
      <c r="AE98" s="10">
        <f t="shared" si="6"/>
        <v>11.269938650306749</v>
      </c>
    </row>
    <row r="99" spans="1:31" x14ac:dyDescent="0.3">
      <c r="A99" s="55"/>
      <c r="B99" s="30" t="s">
        <v>101</v>
      </c>
      <c r="C99" s="9">
        <v>8</v>
      </c>
      <c r="D99" s="9">
        <v>3</v>
      </c>
      <c r="E99" s="9">
        <v>8</v>
      </c>
      <c r="F99" s="9">
        <v>7</v>
      </c>
      <c r="G99" s="9">
        <v>17</v>
      </c>
      <c r="H99" s="9">
        <v>39</v>
      </c>
      <c r="I99" s="9">
        <v>28</v>
      </c>
      <c r="J99" s="9">
        <v>36</v>
      </c>
      <c r="K99" s="9">
        <v>50</v>
      </c>
      <c r="L99" s="9">
        <v>33</v>
      </c>
      <c r="M99" s="9">
        <v>35</v>
      </c>
      <c r="N99" s="9">
        <v>38</v>
      </c>
      <c r="O99" s="9">
        <v>373</v>
      </c>
      <c r="P99" s="9">
        <v>16</v>
      </c>
      <c r="Q99" s="9">
        <v>19</v>
      </c>
      <c r="R99" s="9">
        <v>30</v>
      </c>
      <c r="S99" s="9">
        <v>7</v>
      </c>
      <c r="T99" s="9">
        <v>66</v>
      </c>
      <c r="U99" s="9">
        <v>2</v>
      </c>
      <c r="V99" s="9">
        <v>0</v>
      </c>
      <c r="W99" s="9">
        <v>1</v>
      </c>
      <c r="X99" s="9">
        <v>0</v>
      </c>
      <c r="Y99" s="9">
        <v>0</v>
      </c>
      <c r="Z99" s="9">
        <v>0</v>
      </c>
      <c r="AA99" s="9">
        <v>25</v>
      </c>
      <c r="AC99" s="9">
        <f t="shared" si="7"/>
        <v>841</v>
      </c>
      <c r="AD99" s="9">
        <f t="shared" si="5"/>
        <v>9478</v>
      </c>
      <c r="AE99" s="10">
        <f t="shared" si="6"/>
        <v>11.269916765755054</v>
      </c>
    </row>
    <row r="100" spans="1:31" x14ac:dyDescent="0.3">
      <c r="A100" s="55"/>
      <c r="B100" s="30" t="s">
        <v>102</v>
      </c>
      <c r="C100" s="9">
        <v>15</v>
      </c>
      <c r="D100" s="9">
        <v>6</v>
      </c>
      <c r="E100" s="9">
        <v>9</v>
      </c>
      <c r="F100" s="9">
        <v>17</v>
      </c>
      <c r="G100" s="9">
        <v>16</v>
      </c>
      <c r="H100" s="9">
        <v>29</v>
      </c>
      <c r="I100" s="9">
        <v>38</v>
      </c>
      <c r="J100" s="9">
        <v>51</v>
      </c>
      <c r="K100" s="9">
        <v>71</v>
      </c>
      <c r="L100" s="9">
        <v>41</v>
      </c>
      <c r="M100" s="9">
        <v>64</v>
      </c>
      <c r="N100" s="9">
        <v>61</v>
      </c>
      <c r="O100" s="9">
        <v>519</v>
      </c>
      <c r="P100" s="9">
        <v>17</v>
      </c>
      <c r="Q100" s="9">
        <v>36</v>
      </c>
      <c r="R100" s="9">
        <v>31</v>
      </c>
      <c r="S100" s="9">
        <v>5</v>
      </c>
      <c r="T100" s="9">
        <v>73</v>
      </c>
      <c r="U100" s="9">
        <v>5</v>
      </c>
      <c r="V100" s="9">
        <v>6</v>
      </c>
      <c r="W100" s="9">
        <v>0</v>
      </c>
      <c r="X100" s="9">
        <v>0</v>
      </c>
      <c r="Y100" s="9">
        <v>0</v>
      </c>
      <c r="Z100" s="9">
        <v>0</v>
      </c>
      <c r="AA100" s="9">
        <v>36</v>
      </c>
      <c r="AC100" s="9">
        <f t="shared" si="7"/>
        <v>1146</v>
      </c>
      <c r="AD100" s="9">
        <f t="shared" si="5"/>
        <v>12924</v>
      </c>
      <c r="AE100" s="10">
        <f t="shared" si="6"/>
        <v>11.277486910994764</v>
      </c>
    </row>
    <row r="101" spans="1:31" x14ac:dyDescent="0.3">
      <c r="A101" s="55"/>
      <c r="B101" s="30" t="s">
        <v>103</v>
      </c>
      <c r="C101" s="9">
        <v>23</v>
      </c>
      <c r="D101" s="9">
        <v>11</v>
      </c>
      <c r="E101" s="9">
        <v>15</v>
      </c>
      <c r="F101" s="9">
        <v>19</v>
      </c>
      <c r="G101" s="9">
        <v>28</v>
      </c>
      <c r="H101" s="9">
        <v>82</v>
      </c>
      <c r="I101" s="9">
        <v>71</v>
      </c>
      <c r="J101" s="9">
        <v>66</v>
      </c>
      <c r="K101" s="9">
        <v>114</v>
      </c>
      <c r="L101" s="9">
        <v>64</v>
      </c>
      <c r="M101" s="9">
        <v>80</v>
      </c>
      <c r="N101" s="9">
        <v>85</v>
      </c>
      <c r="O101" s="9">
        <v>846</v>
      </c>
      <c r="P101" s="9">
        <v>54</v>
      </c>
      <c r="Q101" s="9">
        <v>94</v>
      </c>
      <c r="R101" s="9">
        <v>118</v>
      </c>
      <c r="S101" s="9">
        <v>19</v>
      </c>
      <c r="T101" s="9">
        <v>251</v>
      </c>
      <c r="U101" s="9">
        <v>5</v>
      </c>
      <c r="V101" s="9">
        <v>10</v>
      </c>
      <c r="W101" s="9">
        <v>0</v>
      </c>
      <c r="X101" s="9">
        <v>1</v>
      </c>
      <c r="Y101" s="9">
        <v>0</v>
      </c>
      <c r="Z101" s="9">
        <v>1</v>
      </c>
      <c r="AA101" s="9">
        <v>31</v>
      </c>
      <c r="AC101" s="9">
        <f t="shared" si="7"/>
        <v>2088</v>
      </c>
      <c r="AD101" s="9">
        <f t="shared" si="5"/>
        <v>24310</v>
      </c>
      <c r="AE101" s="10">
        <f t="shared" si="6"/>
        <v>11.642720306513411</v>
      </c>
    </row>
    <row r="102" spans="1:31" x14ac:dyDescent="0.3">
      <c r="A102" s="55"/>
      <c r="B102" s="30" t="s">
        <v>104</v>
      </c>
      <c r="C102" s="9">
        <v>5</v>
      </c>
      <c r="D102" s="9">
        <v>1</v>
      </c>
      <c r="E102" s="9">
        <v>5</v>
      </c>
      <c r="F102" s="9">
        <v>6</v>
      </c>
      <c r="G102" s="9">
        <v>9</v>
      </c>
      <c r="H102" s="9">
        <v>24</v>
      </c>
      <c r="I102" s="9">
        <v>31</v>
      </c>
      <c r="J102" s="9">
        <v>23</v>
      </c>
      <c r="K102" s="9">
        <v>52</v>
      </c>
      <c r="L102" s="9">
        <v>33</v>
      </c>
      <c r="M102" s="9">
        <v>40</v>
      </c>
      <c r="N102" s="9">
        <v>17</v>
      </c>
      <c r="O102" s="9">
        <v>611</v>
      </c>
      <c r="P102" s="9">
        <v>18</v>
      </c>
      <c r="Q102" s="9">
        <v>29</v>
      </c>
      <c r="R102" s="9">
        <v>42</v>
      </c>
      <c r="S102" s="9">
        <v>10</v>
      </c>
      <c r="T102" s="9">
        <v>69</v>
      </c>
      <c r="U102" s="9">
        <v>2</v>
      </c>
      <c r="V102" s="9">
        <v>3</v>
      </c>
      <c r="W102" s="9">
        <v>1</v>
      </c>
      <c r="X102" s="9">
        <v>0</v>
      </c>
      <c r="Y102" s="9">
        <v>0</v>
      </c>
      <c r="Z102" s="9">
        <v>0</v>
      </c>
      <c r="AA102" s="9">
        <v>44</v>
      </c>
      <c r="AC102" s="9">
        <f t="shared" si="7"/>
        <v>1075</v>
      </c>
      <c r="AD102" s="9">
        <f t="shared" si="5"/>
        <v>12936</v>
      </c>
      <c r="AE102" s="10">
        <f t="shared" si="6"/>
        <v>12.033488372093023</v>
      </c>
    </row>
    <row r="103" spans="1:31" x14ac:dyDescent="0.3">
      <c r="A103" s="55"/>
      <c r="B103" s="30" t="s">
        <v>105</v>
      </c>
      <c r="C103" s="9">
        <v>3</v>
      </c>
      <c r="D103" s="9">
        <v>5</v>
      </c>
      <c r="E103" s="9">
        <v>1</v>
      </c>
      <c r="F103" s="9">
        <v>3</v>
      </c>
      <c r="G103" s="9">
        <v>4</v>
      </c>
      <c r="H103" s="9">
        <v>7</v>
      </c>
      <c r="I103" s="9">
        <v>10</v>
      </c>
      <c r="J103" s="9">
        <v>7</v>
      </c>
      <c r="K103" s="9">
        <v>23</v>
      </c>
      <c r="L103" s="9">
        <v>10</v>
      </c>
      <c r="M103" s="9">
        <v>19</v>
      </c>
      <c r="N103" s="9">
        <v>18</v>
      </c>
      <c r="O103" s="9">
        <v>223</v>
      </c>
      <c r="P103" s="9">
        <v>14</v>
      </c>
      <c r="Q103" s="9">
        <v>19</v>
      </c>
      <c r="R103" s="9">
        <v>25</v>
      </c>
      <c r="S103" s="9">
        <v>8</v>
      </c>
      <c r="T103" s="9">
        <v>91</v>
      </c>
      <c r="U103" s="9">
        <v>1</v>
      </c>
      <c r="V103" s="9">
        <v>6</v>
      </c>
      <c r="W103" s="9">
        <v>0</v>
      </c>
      <c r="X103" s="9">
        <v>0</v>
      </c>
      <c r="Y103" s="9">
        <v>0</v>
      </c>
      <c r="Z103" s="9">
        <v>0</v>
      </c>
      <c r="AA103" s="9">
        <v>21</v>
      </c>
      <c r="AC103" s="9">
        <f t="shared" si="7"/>
        <v>518</v>
      </c>
      <c r="AD103" s="9">
        <f t="shared" si="5"/>
        <v>6648</v>
      </c>
      <c r="AE103" s="10">
        <f t="shared" si="6"/>
        <v>12.833976833976834</v>
      </c>
    </row>
    <row r="104" spans="1:31" x14ac:dyDescent="0.3">
      <c r="A104" s="55"/>
      <c r="B104" s="30" t="s">
        <v>106</v>
      </c>
      <c r="C104" s="9">
        <v>32</v>
      </c>
      <c r="D104" s="9">
        <v>8</v>
      </c>
      <c r="E104" s="9">
        <v>13</v>
      </c>
      <c r="F104" s="9">
        <v>36</v>
      </c>
      <c r="G104" s="9">
        <v>42</v>
      </c>
      <c r="H104" s="9">
        <v>79</v>
      </c>
      <c r="I104" s="9">
        <v>79</v>
      </c>
      <c r="J104" s="9">
        <v>87</v>
      </c>
      <c r="K104" s="9">
        <v>110</v>
      </c>
      <c r="L104" s="9">
        <v>71</v>
      </c>
      <c r="M104" s="9">
        <v>84</v>
      </c>
      <c r="N104" s="9">
        <v>74</v>
      </c>
      <c r="O104" s="9">
        <v>914</v>
      </c>
      <c r="P104" s="9">
        <v>90</v>
      </c>
      <c r="Q104" s="9">
        <v>145</v>
      </c>
      <c r="R104" s="9">
        <v>164</v>
      </c>
      <c r="S104" s="9">
        <v>45</v>
      </c>
      <c r="T104" s="9">
        <v>323</v>
      </c>
      <c r="U104" s="9">
        <v>9</v>
      </c>
      <c r="V104" s="9">
        <v>13</v>
      </c>
      <c r="W104" s="9">
        <v>0</v>
      </c>
      <c r="X104" s="9">
        <v>0</v>
      </c>
      <c r="Y104" s="9">
        <v>0</v>
      </c>
      <c r="Z104" s="9">
        <v>1</v>
      </c>
      <c r="AA104" s="9">
        <v>50</v>
      </c>
      <c r="AC104" s="9">
        <f t="shared" si="7"/>
        <v>2469</v>
      </c>
      <c r="AD104" s="9">
        <f t="shared" si="5"/>
        <v>29432</v>
      </c>
      <c r="AE104" s="10">
        <f t="shared" si="6"/>
        <v>11.920615633859862</v>
      </c>
    </row>
    <row r="105" spans="1:31" x14ac:dyDescent="0.3">
      <c r="A105" s="55"/>
      <c r="B105" s="30" t="s">
        <v>107</v>
      </c>
      <c r="C105" s="9">
        <v>25</v>
      </c>
      <c r="D105" s="9">
        <v>11</v>
      </c>
      <c r="E105" s="9">
        <v>28</v>
      </c>
      <c r="F105" s="9">
        <v>45</v>
      </c>
      <c r="G105" s="9">
        <v>42</v>
      </c>
      <c r="H105" s="9">
        <v>88</v>
      </c>
      <c r="I105" s="9">
        <v>78</v>
      </c>
      <c r="J105" s="9">
        <v>94</v>
      </c>
      <c r="K105" s="9">
        <v>112</v>
      </c>
      <c r="L105" s="9">
        <v>77</v>
      </c>
      <c r="M105" s="9">
        <v>95</v>
      </c>
      <c r="N105" s="9">
        <v>91</v>
      </c>
      <c r="O105" s="9">
        <v>980</v>
      </c>
      <c r="P105" s="9">
        <v>61</v>
      </c>
      <c r="Q105" s="9">
        <v>85</v>
      </c>
      <c r="R105" s="9">
        <v>84</v>
      </c>
      <c r="S105" s="9">
        <v>19</v>
      </c>
      <c r="T105" s="9">
        <v>159</v>
      </c>
      <c r="U105" s="9">
        <v>3</v>
      </c>
      <c r="V105" s="9">
        <v>4</v>
      </c>
      <c r="W105" s="9">
        <v>1</v>
      </c>
      <c r="X105" s="9">
        <v>0</v>
      </c>
      <c r="Y105" s="9">
        <v>0</v>
      </c>
      <c r="Z105" s="9">
        <v>0</v>
      </c>
      <c r="AA105" s="9">
        <v>43</v>
      </c>
      <c r="AC105" s="9">
        <f t="shared" si="7"/>
        <v>2225</v>
      </c>
      <c r="AD105" s="9">
        <f t="shared" si="5"/>
        <v>24668</v>
      </c>
      <c r="AE105" s="10">
        <f t="shared" si="6"/>
        <v>11.086741573033708</v>
      </c>
    </row>
    <row r="106" spans="1:31" x14ac:dyDescent="0.3">
      <c r="A106" s="55"/>
      <c r="B106" s="30" t="s">
        <v>108</v>
      </c>
      <c r="C106" s="9">
        <v>9</v>
      </c>
      <c r="D106" s="9">
        <v>9</v>
      </c>
      <c r="E106" s="9">
        <v>11</v>
      </c>
      <c r="F106" s="9">
        <v>15</v>
      </c>
      <c r="G106" s="9">
        <v>16</v>
      </c>
      <c r="H106" s="9">
        <v>39</v>
      </c>
      <c r="I106" s="9">
        <v>55</v>
      </c>
      <c r="J106" s="9">
        <v>93</v>
      </c>
      <c r="K106" s="9">
        <v>54</v>
      </c>
      <c r="L106" s="9">
        <v>45</v>
      </c>
      <c r="M106" s="9">
        <v>48</v>
      </c>
      <c r="N106" s="9">
        <v>35</v>
      </c>
      <c r="O106" s="9">
        <v>297</v>
      </c>
      <c r="P106" s="9">
        <v>22</v>
      </c>
      <c r="Q106" s="9">
        <v>42</v>
      </c>
      <c r="R106" s="9">
        <v>39</v>
      </c>
      <c r="S106" s="9">
        <v>4</v>
      </c>
      <c r="T106" s="9">
        <v>86</v>
      </c>
      <c r="U106" s="9">
        <v>6</v>
      </c>
      <c r="V106" s="9">
        <v>4</v>
      </c>
      <c r="W106" s="9">
        <v>0</v>
      </c>
      <c r="X106" s="9">
        <v>0</v>
      </c>
      <c r="Y106" s="9">
        <v>0</v>
      </c>
      <c r="Z106" s="9">
        <v>1</v>
      </c>
      <c r="AA106" s="9">
        <v>35</v>
      </c>
      <c r="AC106" s="9">
        <f t="shared" si="7"/>
        <v>965</v>
      </c>
      <c r="AD106" s="9">
        <f t="shared" si="5"/>
        <v>10614</v>
      </c>
      <c r="AE106" s="10">
        <f t="shared" si="6"/>
        <v>10.998963730569947</v>
      </c>
    </row>
    <row r="107" spans="1:31" x14ac:dyDescent="0.3">
      <c r="A107" s="55"/>
      <c r="B107" s="30" t="s">
        <v>109</v>
      </c>
      <c r="C107" s="9">
        <v>18</v>
      </c>
      <c r="D107" s="9">
        <v>5</v>
      </c>
      <c r="E107" s="9">
        <v>5</v>
      </c>
      <c r="F107" s="9">
        <v>7</v>
      </c>
      <c r="G107" s="9">
        <v>14</v>
      </c>
      <c r="H107" s="9">
        <v>18</v>
      </c>
      <c r="I107" s="9">
        <v>21</v>
      </c>
      <c r="J107" s="9">
        <v>26</v>
      </c>
      <c r="K107" s="9">
        <v>40</v>
      </c>
      <c r="L107" s="9">
        <v>18</v>
      </c>
      <c r="M107" s="9">
        <v>24</v>
      </c>
      <c r="N107" s="9">
        <v>17</v>
      </c>
      <c r="O107" s="9">
        <v>333</v>
      </c>
      <c r="P107" s="9">
        <v>21</v>
      </c>
      <c r="Q107" s="9">
        <v>56</v>
      </c>
      <c r="R107" s="9">
        <v>50</v>
      </c>
      <c r="S107" s="9">
        <v>16</v>
      </c>
      <c r="T107" s="9">
        <v>111</v>
      </c>
      <c r="U107" s="9">
        <v>1</v>
      </c>
      <c r="V107" s="9">
        <v>8</v>
      </c>
      <c r="W107" s="9">
        <v>0</v>
      </c>
      <c r="X107" s="9">
        <v>0</v>
      </c>
      <c r="Y107" s="9">
        <v>0</v>
      </c>
      <c r="Z107" s="9">
        <v>0</v>
      </c>
      <c r="AA107" s="9">
        <v>19</v>
      </c>
      <c r="AC107" s="9">
        <f t="shared" si="7"/>
        <v>828</v>
      </c>
      <c r="AD107" s="9">
        <f t="shared" si="5"/>
        <v>9971</v>
      </c>
      <c r="AE107" s="10">
        <f t="shared" si="6"/>
        <v>12.042270531400966</v>
      </c>
    </row>
    <row r="108" spans="1:31" x14ac:dyDescent="0.3">
      <c r="A108" s="55"/>
      <c r="B108" s="30" t="s">
        <v>110</v>
      </c>
      <c r="C108" s="9">
        <v>47</v>
      </c>
      <c r="D108" s="9">
        <v>16</v>
      </c>
      <c r="E108" s="9">
        <v>12</v>
      </c>
      <c r="F108" s="9">
        <v>38</v>
      </c>
      <c r="G108" s="9">
        <v>45</v>
      </c>
      <c r="H108" s="9">
        <v>74</v>
      </c>
      <c r="I108" s="9">
        <v>79</v>
      </c>
      <c r="J108" s="9">
        <v>47</v>
      </c>
      <c r="K108" s="9">
        <v>78</v>
      </c>
      <c r="L108" s="9">
        <v>47</v>
      </c>
      <c r="M108" s="9">
        <v>49</v>
      </c>
      <c r="N108" s="9">
        <v>38</v>
      </c>
      <c r="O108" s="9">
        <v>456</v>
      </c>
      <c r="P108" s="9">
        <v>22</v>
      </c>
      <c r="Q108" s="9">
        <v>34</v>
      </c>
      <c r="R108" s="9">
        <v>33</v>
      </c>
      <c r="S108" s="9">
        <v>3</v>
      </c>
      <c r="T108" s="9">
        <v>64</v>
      </c>
      <c r="U108" s="9">
        <v>0</v>
      </c>
      <c r="V108" s="9">
        <v>3</v>
      </c>
      <c r="W108" s="9">
        <v>0</v>
      </c>
      <c r="X108" s="9">
        <v>0</v>
      </c>
      <c r="Y108" s="9">
        <v>0</v>
      </c>
      <c r="Z108" s="9">
        <v>0</v>
      </c>
      <c r="AA108" s="9">
        <v>25</v>
      </c>
      <c r="AC108" s="9">
        <f t="shared" si="7"/>
        <v>1210</v>
      </c>
      <c r="AD108" s="9">
        <f t="shared" si="5"/>
        <v>11984</v>
      </c>
      <c r="AE108" s="10">
        <f t="shared" si="6"/>
        <v>9.904132231404958</v>
      </c>
    </row>
    <row r="109" spans="1:31" x14ac:dyDescent="0.3">
      <c r="A109" s="55"/>
      <c r="B109" s="30" t="s">
        <v>111</v>
      </c>
      <c r="C109" s="9">
        <v>26</v>
      </c>
      <c r="D109" s="9">
        <v>1</v>
      </c>
      <c r="E109" s="9">
        <v>19</v>
      </c>
      <c r="F109" s="9">
        <v>33</v>
      </c>
      <c r="G109" s="9">
        <v>27</v>
      </c>
      <c r="H109" s="9">
        <v>46</v>
      </c>
      <c r="I109" s="9">
        <v>35</v>
      </c>
      <c r="J109" s="9">
        <v>16</v>
      </c>
      <c r="K109" s="9">
        <v>33</v>
      </c>
      <c r="L109" s="9">
        <v>11</v>
      </c>
      <c r="M109" s="9">
        <v>20</v>
      </c>
      <c r="N109" s="9">
        <v>25</v>
      </c>
      <c r="O109" s="9">
        <v>195</v>
      </c>
      <c r="P109" s="9">
        <v>3</v>
      </c>
      <c r="Q109" s="9">
        <v>6</v>
      </c>
      <c r="R109" s="9">
        <v>7</v>
      </c>
      <c r="S109" s="9">
        <v>1</v>
      </c>
      <c r="T109" s="9">
        <v>15</v>
      </c>
      <c r="U109" s="9">
        <v>2</v>
      </c>
      <c r="V109" s="9">
        <v>1</v>
      </c>
      <c r="W109" s="9">
        <v>0</v>
      </c>
      <c r="X109" s="9">
        <v>0</v>
      </c>
      <c r="Y109" s="9">
        <v>0</v>
      </c>
      <c r="Z109" s="9">
        <v>0</v>
      </c>
      <c r="AA109" s="9">
        <v>18</v>
      </c>
      <c r="AC109" s="9">
        <f t="shared" si="7"/>
        <v>540</v>
      </c>
      <c r="AD109" s="9">
        <f t="shared" si="5"/>
        <v>4962</v>
      </c>
      <c r="AE109" s="10">
        <f t="shared" si="6"/>
        <v>9.1888888888888882</v>
      </c>
    </row>
    <row r="110" spans="1:31" x14ac:dyDescent="0.3">
      <c r="A110" s="55"/>
      <c r="B110" s="30" t="s">
        <v>112</v>
      </c>
      <c r="C110" s="9">
        <v>10</v>
      </c>
      <c r="D110" s="9">
        <v>9</v>
      </c>
      <c r="E110" s="9">
        <v>6</v>
      </c>
      <c r="F110" s="9">
        <v>19</v>
      </c>
      <c r="G110" s="9">
        <v>17</v>
      </c>
      <c r="H110" s="9">
        <v>53</v>
      </c>
      <c r="I110" s="9">
        <v>60</v>
      </c>
      <c r="J110" s="9">
        <v>32</v>
      </c>
      <c r="K110" s="9">
        <v>63</v>
      </c>
      <c r="L110" s="9">
        <v>34</v>
      </c>
      <c r="M110" s="9">
        <v>36</v>
      </c>
      <c r="N110" s="9">
        <v>40</v>
      </c>
      <c r="O110" s="9">
        <v>581</v>
      </c>
      <c r="P110" s="9">
        <v>29</v>
      </c>
      <c r="Q110" s="9">
        <v>58</v>
      </c>
      <c r="R110" s="9">
        <v>80</v>
      </c>
      <c r="S110" s="9">
        <v>15</v>
      </c>
      <c r="T110" s="9">
        <v>123</v>
      </c>
      <c r="U110" s="9">
        <v>2</v>
      </c>
      <c r="V110" s="9">
        <v>8</v>
      </c>
      <c r="W110" s="9">
        <v>0</v>
      </c>
      <c r="X110" s="9">
        <v>0</v>
      </c>
      <c r="Y110" s="9">
        <v>0</v>
      </c>
      <c r="Z110" s="9">
        <v>0</v>
      </c>
      <c r="AA110" s="9">
        <v>35</v>
      </c>
      <c r="AC110" s="9">
        <f t="shared" si="7"/>
        <v>1310</v>
      </c>
      <c r="AD110" s="9">
        <f t="shared" si="5"/>
        <v>15325</v>
      </c>
      <c r="AE110" s="10">
        <f t="shared" si="6"/>
        <v>11.698473282442748</v>
      </c>
    </row>
    <row r="111" spans="1:31" x14ac:dyDescent="0.3">
      <c r="A111" s="55"/>
      <c r="B111" s="30" t="s">
        <v>113</v>
      </c>
      <c r="C111" s="9">
        <v>14</v>
      </c>
      <c r="D111" s="9">
        <v>0</v>
      </c>
      <c r="E111" s="9">
        <v>6</v>
      </c>
      <c r="F111" s="9">
        <v>5</v>
      </c>
      <c r="G111" s="9">
        <v>7</v>
      </c>
      <c r="H111" s="9">
        <v>19</v>
      </c>
      <c r="I111" s="9">
        <v>10</v>
      </c>
      <c r="J111" s="9">
        <v>16</v>
      </c>
      <c r="K111" s="9">
        <v>29</v>
      </c>
      <c r="L111" s="9">
        <v>10</v>
      </c>
      <c r="M111" s="9">
        <v>9</v>
      </c>
      <c r="N111" s="9">
        <v>15</v>
      </c>
      <c r="O111" s="9">
        <v>256</v>
      </c>
      <c r="P111" s="9">
        <v>20</v>
      </c>
      <c r="Q111" s="9">
        <v>25</v>
      </c>
      <c r="R111" s="9">
        <v>54</v>
      </c>
      <c r="S111" s="9">
        <v>6</v>
      </c>
      <c r="T111" s="9">
        <v>72</v>
      </c>
      <c r="U111" s="9">
        <v>2</v>
      </c>
      <c r="V111" s="9">
        <v>2</v>
      </c>
      <c r="W111" s="9">
        <v>0</v>
      </c>
      <c r="X111" s="9">
        <v>1</v>
      </c>
      <c r="Y111" s="9">
        <v>0</v>
      </c>
      <c r="Z111" s="9">
        <v>0</v>
      </c>
      <c r="AA111" s="9">
        <v>13</v>
      </c>
      <c r="AC111" s="9">
        <f t="shared" si="7"/>
        <v>591</v>
      </c>
      <c r="AD111" s="9">
        <f t="shared" si="5"/>
        <v>7118</v>
      </c>
      <c r="AE111" s="10">
        <f t="shared" si="6"/>
        <v>12.043993231810491</v>
      </c>
    </row>
    <row r="112" spans="1:31" x14ac:dyDescent="0.3">
      <c r="A112" s="55"/>
      <c r="B112" s="30" t="s">
        <v>114</v>
      </c>
      <c r="C112" s="9">
        <v>5</v>
      </c>
      <c r="D112" s="9">
        <v>0</v>
      </c>
      <c r="E112" s="9">
        <v>2</v>
      </c>
      <c r="F112" s="9">
        <v>7</v>
      </c>
      <c r="G112" s="9">
        <v>9</v>
      </c>
      <c r="H112" s="9">
        <v>30</v>
      </c>
      <c r="I112" s="9">
        <v>16</v>
      </c>
      <c r="J112" s="9">
        <v>11</v>
      </c>
      <c r="K112" s="9">
        <v>26</v>
      </c>
      <c r="L112" s="9">
        <v>17</v>
      </c>
      <c r="M112" s="9">
        <v>45</v>
      </c>
      <c r="N112" s="9">
        <v>23</v>
      </c>
      <c r="O112" s="9">
        <v>304</v>
      </c>
      <c r="P112" s="9">
        <v>14</v>
      </c>
      <c r="Q112" s="9">
        <v>50</v>
      </c>
      <c r="R112" s="9">
        <v>31</v>
      </c>
      <c r="S112" s="9">
        <v>12</v>
      </c>
      <c r="T112" s="9">
        <v>52</v>
      </c>
      <c r="U112" s="9">
        <v>2</v>
      </c>
      <c r="V112" s="9">
        <v>2</v>
      </c>
      <c r="W112" s="9">
        <v>0</v>
      </c>
      <c r="X112" s="9">
        <v>0</v>
      </c>
      <c r="Y112" s="9">
        <v>0</v>
      </c>
      <c r="Z112" s="9">
        <v>0</v>
      </c>
      <c r="AA112" s="9">
        <v>8</v>
      </c>
      <c r="AC112" s="9">
        <f t="shared" si="7"/>
        <v>666</v>
      </c>
      <c r="AD112" s="9">
        <f t="shared" si="5"/>
        <v>7785</v>
      </c>
      <c r="AE112" s="10">
        <f t="shared" si="6"/>
        <v>11.689189189189189</v>
      </c>
    </row>
    <row r="113" spans="1:31" x14ac:dyDescent="0.3">
      <c r="A113" s="55"/>
      <c r="B113" s="30" t="s">
        <v>115</v>
      </c>
      <c r="C113" s="9">
        <v>10</v>
      </c>
      <c r="D113" s="9">
        <v>2</v>
      </c>
      <c r="E113" s="9">
        <v>1</v>
      </c>
      <c r="F113" s="9">
        <v>4</v>
      </c>
      <c r="G113" s="9">
        <v>4</v>
      </c>
      <c r="H113" s="9">
        <v>14</v>
      </c>
      <c r="I113" s="9">
        <v>7</v>
      </c>
      <c r="J113" s="9">
        <v>18</v>
      </c>
      <c r="K113" s="9">
        <v>35</v>
      </c>
      <c r="L113" s="9">
        <v>24</v>
      </c>
      <c r="M113" s="9">
        <v>24</v>
      </c>
      <c r="N113" s="9">
        <v>31</v>
      </c>
      <c r="O113" s="9">
        <v>376</v>
      </c>
      <c r="P113" s="9">
        <v>9</v>
      </c>
      <c r="Q113" s="9">
        <v>17</v>
      </c>
      <c r="R113" s="9">
        <v>13</v>
      </c>
      <c r="S113" s="9">
        <v>6</v>
      </c>
      <c r="T113" s="9">
        <v>36</v>
      </c>
      <c r="U113" s="9">
        <v>3</v>
      </c>
      <c r="V113" s="9">
        <v>0</v>
      </c>
      <c r="W113" s="9">
        <v>0</v>
      </c>
      <c r="X113" s="9">
        <v>0</v>
      </c>
      <c r="Y113" s="9">
        <v>1</v>
      </c>
      <c r="Z113" s="9">
        <v>1</v>
      </c>
      <c r="AA113" s="9">
        <v>21</v>
      </c>
      <c r="AC113" s="9">
        <f t="shared" si="7"/>
        <v>657</v>
      </c>
      <c r="AD113" s="9">
        <f t="shared" si="5"/>
        <v>7720</v>
      </c>
      <c r="AE113" s="10">
        <f t="shared" si="6"/>
        <v>11.750380517503805</v>
      </c>
    </row>
    <row r="114" spans="1:31" x14ac:dyDescent="0.3">
      <c r="A114" s="55"/>
      <c r="B114" s="30" t="s">
        <v>116</v>
      </c>
      <c r="C114" s="9">
        <v>2</v>
      </c>
      <c r="D114" s="9">
        <v>1</v>
      </c>
      <c r="E114" s="9">
        <v>1</v>
      </c>
      <c r="F114" s="9">
        <v>5</v>
      </c>
      <c r="G114" s="9">
        <v>4</v>
      </c>
      <c r="H114" s="9">
        <v>10</v>
      </c>
      <c r="I114" s="9">
        <v>14</v>
      </c>
      <c r="J114" s="9">
        <v>11</v>
      </c>
      <c r="K114" s="9">
        <v>14</v>
      </c>
      <c r="L114" s="9">
        <v>13</v>
      </c>
      <c r="M114" s="9">
        <v>16</v>
      </c>
      <c r="N114" s="9">
        <v>26</v>
      </c>
      <c r="O114" s="9">
        <v>198</v>
      </c>
      <c r="P114" s="9">
        <v>12</v>
      </c>
      <c r="Q114" s="9">
        <v>23</v>
      </c>
      <c r="R114" s="9">
        <v>22</v>
      </c>
      <c r="S114" s="9">
        <v>2</v>
      </c>
      <c r="T114" s="9">
        <v>36</v>
      </c>
      <c r="U114" s="9">
        <v>0</v>
      </c>
      <c r="V114" s="9">
        <v>2</v>
      </c>
      <c r="W114" s="9">
        <v>1</v>
      </c>
      <c r="X114" s="9">
        <v>0</v>
      </c>
      <c r="Y114" s="9">
        <v>0</v>
      </c>
      <c r="Z114" s="9">
        <v>0</v>
      </c>
      <c r="AA114" s="9">
        <v>12</v>
      </c>
      <c r="AC114" s="9">
        <f t="shared" si="7"/>
        <v>425</v>
      </c>
      <c r="AD114" s="9">
        <f t="shared" si="5"/>
        <v>5094</v>
      </c>
      <c r="AE114" s="10">
        <f t="shared" si="6"/>
        <v>11.985882352941177</v>
      </c>
    </row>
    <row r="115" spans="1:31" x14ac:dyDescent="0.3">
      <c r="A115" s="55"/>
      <c r="B115" s="30" t="s">
        <v>117</v>
      </c>
      <c r="C115" s="9">
        <v>1</v>
      </c>
      <c r="D115" s="9">
        <v>4</v>
      </c>
      <c r="E115" s="9">
        <v>0</v>
      </c>
      <c r="F115" s="9">
        <v>1</v>
      </c>
      <c r="G115" s="9">
        <v>2</v>
      </c>
      <c r="H115" s="9">
        <v>7</v>
      </c>
      <c r="I115" s="9">
        <v>8</v>
      </c>
      <c r="J115" s="9">
        <v>4</v>
      </c>
      <c r="K115" s="9">
        <v>8</v>
      </c>
      <c r="L115" s="9">
        <v>4</v>
      </c>
      <c r="M115" s="9">
        <v>5</v>
      </c>
      <c r="N115" s="9">
        <v>6</v>
      </c>
      <c r="O115" s="9">
        <v>53</v>
      </c>
      <c r="P115" s="9">
        <v>3</v>
      </c>
      <c r="Q115" s="9">
        <v>5</v>
      </c>
      <c r="R115" s="9">
        <v>5</v>
      </c>
      <c r="S115" s="9">
        <v>1</v>
      </c>
      <c r="T115" s="9">
        <v>11</v>
      </c>
      <c r="U115" s="9">
        <v>0</v>
      </c>
      <c r="V115" s="9">
        <v>1</v>
      </c>
      <c r="W115" s="9">
        <v>0</v>
      </c>
      <c r="X115" s="9">
        <v>0</v>
      </c>
      <c r="Y115" s="9">
        <v>0</v>
      </c>
      <c r="Z115" s="9">
        <v>0</v>
      </c>
      <c r="AA115" s="9">
        <v>1</v>
      </c>
      <c r="AC115" s="9">
        <f t="shared" si="7"/>
        <v>130</v>
      </c>
      <c r="AD115" s="9">
        <f t="shared" si="5"/>
        <v>1408</v>
      </c>
      <c r="AE115" s="10">
        <f t="shared" si="6"/>
        <v>10.830769230769231</v>
      </c>
    </row>
    <row r="116" spans="1:31" x14ac:dyDescent="0.3">
      <c r="A116" s="55"/>
      <c r="B116" s="30" t="s">
        <v>118</v>
      </c>
      <c r="C116" s="9">
        <v>6</v>
      </c>
      <c r="D116" s="9">
        <v>1</v>
      </c>
      <c r="E116" s="9">
        <v>1</v>
      </c>
      <c r="F116" s="9">
        <v>2</v>
      </c>
      <c r="G116" s="9">
        <v>4</v>
      </c>
      <c r="H116" s="9">
        <v>19</v>
      </c>
      <c r="I116" s="9">
        <v>14</v>
      </c>
      <c r="J116" s="9">
        <v>13</v>
      </c>
      <c r="K116" s="9">
        <v>17</v>
      </c>
      <c r="L116" s="9">
        <v>11</v>
      </c>
      <c r="M116" s="9">
        <v>18</v>
      </c>
      <c r="N116" s="9">
        <v>15</v>
      </c>
      <c r="O116" s="9">
        <v>268</v>
      </c>
      <c r="P116" s="9">
        <v>18</v>
      </c>
      <c r="Q116" s="9">
        <v>23</v>
      </c>
      <c r="R116" s="9">
        <v>27</v>
      </c>
      <c r="S116" s="9">
        <v>5</v>
      </c>
      <c r="T116" s="9">
        <v>37</v>
      </c>
      <c r="U116" s="9">
        <v>0</v>
      </c>
      <c r="V116" s="9">
        <v>2</v>
      </c>
      <c r="W116" s="9">
        <v>0</v>
      </c>
      <c r="X116" s="9">
        <v>0</v>
      </c>
      <c r="Y116" s="9">
        <v>0</v>
      </c>
      <c r="Z116" s="9">
        <v>2</v>
      </c>
      <c r="AA116" s="9">
        <v>14</v>
      </c>
      <c r="AC116" s="9">
        <f t="shared" si="7"/>
        <v>517</v>
      </c>
      <c r="AD116" s="9">
        <f t="shared" si="5"/>
        <v>6181</v>
      </c>
      <c r="AE116" s="10">
        <f t="shared" si="6"/>
        <v>11.955512572533848</v>
      </c>
    </row>
    <row r="117" spans="1:31" x14ac:dyDescent="0.3">
      <c r="A117" s="55"/>
      <c r="B117" s="30" t="s">
        <v>119</v>
      </c>
      <c r="C117" s="9">
        <v>12</v>
      </c>
      <c r="D117" s="9">
        <v>2</v>
      </c>
      <c r="E117" s="9">
        <v>1</v>
      </c>
      <c r="F117" s="9">
        <v>5</v>
      </c>
      <c r="G117" s="9">
        <v>5</v>
      </c>
      <c r="H117" s="9">
        <v>23</v>
      </c>
      <c r="I117" s="9">
        <v>17</v>
      </c>
      <c r="J117" s="9">
        <v>5</v>
      </c>
      <c r="K117" s="9">
        <v>30</v>
      </c>
      <c r="L117" s="9">
        <v>13</v>
      </c>
      <c r="M117" s="9">
        <v>29</v>
      </c>
      <c r="N117" s="9">
        <v>20</v>
      </c>
      <c r="O117" s="9">
        <v>241</v>
      </c>
      <c r="P117" s="9">
        <v>15</v>
      </c>
      <c r="Q117" s="9">
        <v>26</v>
      </c>
      <c r="R117" s="9">
        <v>27</v>
      </c>
      <c r="S117" s="9">
        <v>6</v>
      </c>
      <c r="T117" s="9">
        <v>31</v>
      </c>
      <c r="U117" s="9">
        <v>0</v>
      </c>
      <c r="V117" s="9">
        <v>1</v>
      </c>
      <c r="W117" s="9">
        <v>0</v>
      </c>
      <c r="X117" s="9">
        <v>0</v>
      </c>
      <c r="Y117" s="9">
        <v>1</v>
      </c>
      <c r="Z117" s="9">
        <v>0</v>
      </c>
      <c r="AA117" s="9">
        <v>10</v>
      </c>
      <c r="AC117" s="9">
        <f t="shared" si="7"/>
        <v>520</v>
      </c>
      <c r="AD117" s="9">
        <f t="shared" si="5"/>
        <v>5918</v>
      </c>
      <c r="AE117" s="10">
        <f t="shared" si="6"/>
        <v>11.38076923076923</v>
      </c>
    </row>
    <row r="118" spans="1:31" x14ac:dyDescent="0.3">
      <c r="A118" s="55"/>
      <c r="B118" s="30" t="s">
        <v>120</v>
      </c>
      <c r="C118" s="9">
        <v>59</v>
      </c>
      <c r="D118" s="9">
        <v>22</v>
      </c>
      <c r="E118" s="9">
        <v>43</v>
      </c>
      <c r="F118" s="9">
        <v>78</v>
      </c>
      <c r="G118" s="9">
        <v>67</v>
      </c>
      <c r="H118" s="9">
        <v>167</v>
      </c>
      <c r="I118" s="9">
        <v>183</v>
      </c>
      <c r="J118" s="9">
        <v>183</v>
      </c>
      <c r="K118" s="9">
        <v>282</v>
      </c>
      <c r="L118" s="9">
        <v>174</v>
      </c>
      <c r="M118" s="9">
        <v>192</v>
      </c>
      <c r="N118" s="9">
        <v>170</v>
      </c>
      <c r="O118" s="9">
        <v>2143</v>
      </c>
      <c r="P118" s="9">
        <v>140</v>
      </c>
      <c r="Q118" s="9">
        <v>254</v>
      </c>
      <c r="R118" s="9">
        <v>495</v>
      </c>
      <c r="S118" s="9">
        <v>79</v>
      </c>
      <c r="T118" s="9">
        <v>700</v>
      </c>
      <c r="U118" s="9">
        <v>10</v>
      </c>
      <c r="V118" s="9">
        <v>31</v>
      </c>
      <c r="W118" s="9">
        <v>0</v>
      </c>
      <c r="X118" s="9">
        <v>1</v>
      </c>
      <c r="Y118" s="9">
        <v>0</v>
      </c>
      <c r="Z118" s="9">
        <v>2</v>
      </c>
      <c r="AA118" s="9">
        <v>108</v>
      </c>
      <c r="AC118" s="9">
        <f t="shared" si="7"/>
        <v>5583</v>
      </c>
      <c r="AD118" s="9">
        <f t="shared" si="5"/>
        <v>66545</v>
      </c>
      <c r="AE118" s="10">
        <f t="shared" si="6"/>
        <v>11.9192190578542</v>
      </c>
    </row>
    <row r="119" spans="1:31" x14ac:dyDescent="0.3">
      <c r="A119" s="55"/>
      <c r="B119" s="30" t="s">
        <v>121</v>
      </c>
      <c r="C119" s="9">
        <v>22</v>
      </c>
      <c r="D119" s="9">
        <v>1</v>
      </c>
      <c r="E119" s="9">
        <v>7</v>
      </c>
      <c r="F119" s="9">
        <v>14</v>
      </c>
      <c r="G119" s="9">
        <v>20</v>
      </c>
      <c r="H119" s="9">
        <v>23</v>
      </c>
      <c r="I119" s="9">
        <v>35</v>
      </c>
      <c r="J119" s="9">
        <v>43</v>
      </c>
      <c r="K119" s="9">
        <v>44</v>
      </c>
      <c r="L119" s="9">
        <v>29</v>
      </c>
      <c r="M119" s="9">
        <v>33</v>
      </c>
      <c r="N119" s="9">
        <v>34</v>
      </c>
      <c r="O119" s="9">
        <v>353</v>
      </c>
      <c r="P119" s="9">
        <v>17</v>
      </c>
      <c r="Q119" s="9">
        <v>37</v>
      </c>
      <c r="R119" s="9">
        <v>43</v>
      </c>
      <c r="S119" s="9">
        <v>12</v>
      </c>
      <c r="T119" s="9">
        <v>105</v>
      </c>
      <c r="U119" s="9">
        <v>0</v>
      </c>
      <c r="V119" s="9">
        <v>5</v>
      </c>
      <c r="W119" s="9">
        <v>0</v>
      </c>
      <c r="X119" s="9">
        <v>0</v>
      </c>
      <c r="Y119" s="9">
        <v>0</v>
      </c>
      <c r="Z119" s="9">
        <v>1</v>
      </c>
      <c r="AA119" s="9">
        <v>11</v>
      </c>
      <c r="AC119" s="9">
        <f t="shared" si="7"/>
        <v>889</v>
      </c>
      <c r="AD119" s="9">
        <f t="shared" si="5"/>
        <v>10059</v>
      </c>
      <c r="AE119" s="10">
        <f t="shared" si="6"/>
        <v>11.314960629921259</v>
      </c>
    </row>
    <row r="120" spans="1:31" x14ac:dyDescent="0.3">
      <c r="A120" s="55"/>
      <c r="B120" s="30" t="s">
        <v>122</v>
      </c>
      <c r="C120" s="9">
        <v>513</v>
      </c>
      <c r="D120" s="9">
        <v>273</v>
      </c>
      <c r="E120" s="9">
        <v>492</v>
      </c>
      <c r="F120" s="9">
        <v>881</v>
      </c>
      <c r="G120" s="9">
        <v>745</v>
      </c>
      <c r="H120" s="9">
        <v>1370</v>
      </c>
      <c r="I120" s="9">
        <v>1176</v>
      </c>
      <c r="J120" s="9">
        <v>1143</v>
      </c>
      <c r="K120" s="9">
        <v>1718</v>
      </c>
      <c r="L120" s="9">
        <v>976</v>
      </c>
      <c r="M120" s="9">
        <v>1068</v>
      </c>
      <c r="N120" s="9">
        <v>1128</v>
      </c>
      <c r="O120" s="9">
        <v>14656</v>
      </c>
      <c r="P120" s="9">
        <v>2163</v>
      </c>
      <c r="Q120" s="9">
        <v>4584</v>
      </c>
      <c r="R120" s="9">
        <v>6942</v>
      </c>
      <c r="S120" s="9">
        <v>2502</v>
      </c>
      <c r="T120" s="9">
        <v>20360</v>
      </c>
      <c r="U120" s="9">
        <v>528</v>
      </c>
      <c r="V120" s="9">
        <v>1610</v>
      </c>
      <c r="W120" s="9">
        <v>18</v>
      </c>
      <c r="X120" s="9">
        <v>8</v>
      </c>
      <c r="Y120" s="9">
        <v>11</v>
      </c>
      <c r="Z120" s="9">
        <v>79</v>
      </c>
      <c r="AA120" s="9">
        <v>639</v>
      </c>
      <c r="AC120" s="9">
        <f t="shared" si="7"/>
        <v>65583</v>
      </c>
      <c r="AD120" s="9">
        <f t="shared" si="5"/>
        <v>890869</v>
      </c>
      <c r="AE120" s="10">
        <f t="shared" si="6"/>
        <v>13.58384032447433</v>
      </c>
    </row>
    <row r="121" spans="1:31" x14ac:dyDescent="0.3">
      <c r="A121" s="55"/>
      <c r="B121" s="30" t="s">
        <v>123</v>
      </c>
      <c r="C121" s="9">
        <v>33</v>
      </c>
      <c r="D121" s="9">
        <v>12</v>
      </c>
      <c r="E121" s="9">
        <v>27</v>
      </c>
      <c r="F121" s="9">
        <v>42</v>
      </c>
      <c r="G121" s="9">
        <v>59</v>
      </c>
      <c r="H121" s="9">
        <v>122</v>
      </c>
      <c r="I121" s="9">
        <v>92</v>
      </c>
      <c r="J121" s="9">
        <v>61</v>
      </c>
      <c r="K121" s="9">
        <v>109</v>
      </c>
      <c r="L121" s="9">
        <v>48</v>
      </c>
      <c r="M121" s="9">
        <v>35</v>
      </c>
      <c r="N121" s="9">
        <v>36</v>
      </c>
      <c r="O121" s="9">
        <v>378</v>
      </c>
      <c r="P121" s="9">
        <v>33</v>
      </c>
      <c r="Q121" s="9">
        <v>75</v>
      </c>
      <c r="R121" s="9">
        <v>175</v>
      </c>
      <c r="S121" s="9">
        <v>29</v>
      </c>
      <c r="T121" s="9">
        <v>254</v>
      </c>
      <c r="U121" s="9">
        <v>6</v>
      </c>
      <c r="V121" s="9">
        <v>9</v>
      </c>
      <c r="W121" s="9">
        <v>2</v>
      </c>
      <c r="X121" s="9">
        <v>0</v>
      </c>
      <c r="Y121" s="9">
        <v>0</v>
      </c>
      <c r="Z121" s="9">
        <v>0</v>
      </c>
      <c r="AA121" s="9">
        <v>36</v>
      </c>
      <c r="AC121" s="9">
        <f t="shared" si="7"/>
        <v>1673</v>
      </c>
      <c r="AD121" s="9">
        <f t="shared" si="5"/>
        <v>18672</v>
      </c>
      <c r="AE121" s="10">
        <f t="shared" si="6"/>
        <v>11.160789001793185</v>
      </c>
    </row>
    <row r="122" spans="1:31" x14ac:dyDescent="0.3">
      <c r="A122" s="55"/>
      <c r="B122" s="30" t="s">
        <v>124</v>
      </c>
      <c r="C122" s="9">
        <v>7</v>
      </c>
      <c r="D122" s="9">
        <v>1</v>
      </c>
      <c r="E122" s="9">
        <v>3</v>
      </c>
      <c r="F122" s="9">
        <v>4</v>
      </c>
      <c r="G122" s="9">
        <v>6</v>
      </c>
      <c r="H122" s="9">
        <v>19</v>
      </c>
      <c r="I122" s="9">
        <v>9</v>
      </c>
      <c r="J122" s="9">
        <v>11</v>
      </c>
      <c r="K122" s="9">
        <v>34</v>
      </c>
      <c r="L122" s="9">
        <v>8</v>
      </c>
      <c r="M122" s="9">
        <v>19</v>
      </c>
      <c r="N122" s="9">
        <v>19</v>
      </c>
      <c r="O122" s="9">
        <v>198</v>
      </c>
      <c r="P122" s="9">
        <v>8</v>
      </c>
      <c r="Q122" s="9">
        <v>28</v>
      </c>
      <c r="R122" s="9">
        <v>45</v>
      </c>
      <c r="S122" s="9">
        <v>13</v>
      </c>
      <c r="T122" s="9">
        <v>83</v>
      </c>
      <c r="U122" s="9">
        <v>1</v>
      </c>
      <c r="V122" s="9">
        <v>7</v>
      </c>
      <c r="W122" s="9">
        <v>0</v>
      </c>
      <c r="X122" s="9">
        <v>0</v>
      </c>
      <c r="Y122" s="9">
        <v>0</v>
      </c>
      <c r="Z122" s="9">
        <v>0</v>
      </c>
      <c r="AA122" s="9">
        <v>11</v>
      </c>
      <c r="AC122" s="9">
        <f t="shared" si="7"/>
        <v>534</v>
      </c>
      <c r="AD122" s="9">
        <f t="shared" si="5"/>
        <v>6593</v>
      </c>
      <c r="AE122" s="10">
        <f t="shared" si="6"/>
        <v>12.346441947565543</v>
      </c>
    </row>
    <row r="123" spans="1:31" x14ac:dyDescent="0.3">
      <c r="A123" s="55"/>
      <c r="B123" s="30" t="s">
        <v>125</v>
      </c>
      <c r="C123" s="9">
        <v>17</v>
      </c>
      <c r="D123" s="9">
        <v>5</v>
      </c>
      <c r="E123" s="9">
        <v>9</v>
      </c>
      <c r="F123" s="9">
        <v>6</v>
      </c>
      <c r="G123" s="9">
        <v>20</v>
      </c>
      <c r="H123" s="9">
        <v>34</v>
      </c>
      <c r="I123" s="9">
        <v>38</v>
      </c>
      <c r="J123" s="9">
        <v>18</v>
      </c>
      <c r="K123" s="9">
        <v>38</v>
      </c>
      <c r="L123" s="9">
        <v>25</v>
      </c>
      <c r="M123" s="9">
        <v>16</v>
      </c>
      <c r="N123" s="9">
        <v>14</v>
      </c>
      <c r="O123" s="9">
        <v>163</v>
      </c>
      <c r="P123" s="9">
        <v>21</v>
      </c>
      <c r="Q123" s="9">
        <v>28</v>
      </c>
      <c r="R123" s="9">
        <v>24</v>
      </c>
      <c r="S123" s="9">
        <v>7</v>
      </c>
      <c r="T123" s="9">
        <v>92</v>
      </c>
      <c r="U123" s="9">
        <v>2</v>
      </c>
      <c r="V123" s="9">
        <v>2</v>
      </c>
      <c r="W123" s="9">
        <v>0</v>
      </c>
      <c r="X123" s="9">
        <v>0</v>
      </c>
      <c r="Y123" s="9">
        <v>0</v>
      </c>
      <c r="Z123" s="9">
        <v>0</v>
      </c>
      <c r="AA123" s="9">
        <v>7</v>
      </c>
      <c r="AC123" s="9">
        <f t="shared" si="7"/>
        <v>586</v>
      </c>
      <c r="AD123" s="9">
        <f t="shared" si="5"/>
        <v>6387</v>
      </c>
      <c r="AE123" s="10">
        <f t="shared" si="6"/>
        <v>10.899317406143345</v>
      </c>
    </row>
    <row r="124" spans="1:31" x14ac:dyDescent="0.3">
      <c r="A124" s="55"/>
      <c r="B124" s="30" t="s">
        <v>126</v>
      </c>
      <c r="C124" s="9">
        <v>37</v>
      </c>
      <c r="D124" s="9">
        <v>22</v>
      </c>
      <c r="E124" s="9">
        <v>37</v>
      </c>
      <c r="F124" s="9">
        <v>66</v>
      </c>
      <c r="G124" s="9">
        <v>70</v>
      </c>
      <c r="H124" s="9">
        <v>132</v>
      </c>
      <c r="I124" s="9">
        <v>97</v>
      </c>
      <c r="J124" s="9">
        <v>58</v>
      </c>
      <c r="K124" s="9">
        <v>97</v>
      </c>
      <c r="L124" s="9">
        <v>53</v>
      </c>
      <c r="M124" s="9">
        <v>47</v>
      </c>
      <c r="N124" s="9">
        <v>47</v>
      </c>
      <c r="O124" s="9">
        <v>300</v>
      </c>
      <c r="P124" s="9">
        <v>33</v>
      </c>
      <c r="Q124" s="9">
        <v>57</v>
      </c>
      <c r="R124" s="9">
        <v>61</v>
      </c>
      <c r="S124" s="9">
        <v>4</v>
      </c>
      <c r="T124" s="9">
        <v>79</v>
      </c>
      <c r="U124" s="9">
        <v>7</v>
      </c>
      <c r="V124" s="9">
        <v>1</v>
      </c>
      <c r="W124" s="9">
        <v>0</v>
      </c>
      <c r="X124" s="9">
        <v>0</v>
      </c>
      <c r="Y124" s="9">
        <v>0</v>
      </c>
      <c r="Z124" s="9">
        <v>1</v>
      </c>
      <c r="AA124" s="9">
        <v>13</v>
      </c>
      <c r="AC124" s="9">
        <f t="shared" si="7"/>
        <v>1319</v>
      </c>
      <c r="AD124" s="9">
        <f t="shared" si="5"/>
        <v>12091</v>
      </c>
      <c r="AE124" s="10">
        <f t="shared" si="6"/>
        <v>9.1667930250189542</v>
      </c>
    </row>
    <row r="125" spans="1:31" x14ac:dyDescent="0.3">
      <c r="A125" s="55"/>
      <c r="B125" s="30" t="s">
        <v>127</v>
      </c>
      <c r="C125" s="9">
        <v>34</v>
      </c>
      <c r="D125" s="9">
        <v>10</v>
      </c>
      <c r="E125" s="9">
        <v>25</v>
      </c>
      <c r="F125" s="9">
        <v>65</v>
      </c>
      <c r="G125" s="9">
        <v>83</v>
      </c>
      <c r="H125" s="9">
        <v>128</v>
      </c>
      <c r="I125" s="9">
        <v>105</v>
      </c>
      <c r="J125" s="9">
        <v>52</v>
      </c>
      <c r="K125" s="9">
        <v>65</v>
      </c>
      <c r="L125" s="9">
        <v>28</v>
      </c>
      <c r="M125" s="9">
        <v>33</v>
      </c>
      <c r="N125" s="9">
        <v>29</v>
      </c>
      <c r="O125" s="9">
        <v>167</v>
      </c>
      <c r="P125" s="9">
        <v>18</v>
      </c>
      <c r="Q125" s="9">
        <v>22</v>
      </c>
      <c r="R125" s="9">
        <v>24</v>
      </c>
      <c r="S125" s="9">
        <v>2</v>
      </c>
      <c r="T125" s="9">
        <v>32</v>
      </c>
      <c r="U125" s="9">
        <v>1</v>
      </c>
      <c r="V125" s="9">
        <v>3</v>
      </c>
      <c r="W125" s="9">
        <v>0</v>
      </c>
      <c r="X125" s="9">
        <v>0</v>
      </c>
      <c r="Y125" s="9">
        <v>0</v>
      </c>
      <c r="Z125" s="9">
        <v>0</v>
      </c>
      <c r="AA125" s="9">
        <v>10</v>
      </c>
      <c r="AC125" s="9">
        <f t="shared" si="7"/>
        <v>936</v>
      </c>
      <c r="AD125" s="9">
        <f t="shared" si="5"/>
        <v>7439</v>
      </c>
      <c r="AE125" s="10">
        <f t="shared" si="6"/>
        <v>7.9476495726495724</v>
      </c>
    </row>
    <row r="126" spans="1:31" x14ac:dyDescent="0.3">
      <c r="A126" s="55"/>
      <c r="B126" s="30" t="s">
        <v>128</v>
      </c>
      <c r="C126" s="9">
        <v>31</v>
      </c>
      <c r="D126" s="9">
        <v>24</v>
      </c>
      <c r="E126" s="9">
        <v>52</v>
      </c>
      <c r="F126" s="9">
        <v>98</v>
      </c>
      <c r="G126" s="9">
        <v>109</v>
      </c>
      <c r="H126" s="9">
        <v>153</v>
      </c>
      <c r="I126" s="9">
        <v>147</v>
      </c>
      <c r="J126" s="9">
        <v>64</v>
      </c>
      <c r="K126" s="9">
        <v>145</v>
      </c>
      <c r="L126" s="9">
        <v>47</v>
      </c>
      <c r="M126" s="9">
        <v>34</v>
      </c>
      <c r="N126" s="9">
        <v>31</v>
      </c>
      <c r="O126" s="9">
        <v>219</v>
      </c>
      <c r="P126" s="9">
        <v>13</v>
      </c>
      <c r="Q126" s="9">
        <v>18</v>
      </c>
      <c r="R126" s="9">
        <v>30</v>
      </c>
      <c r="S126" s="9">
        <v>2</v>
      </c>
      <c r="T126" s="9">
        <v>38</v>
      </c>
      <c r="U126" s="9">
        <v>5</v>
      </c>
      <c r="V126" s="9">
        <v>1</v>
      </c>
      <c r="W126" s="9">
        <v>1</v>
      </c>
      <c r="X126" s="9">
        <v>0</v>
      </c>
      <c r="Y126" s="9">
        <v>0</v>
      </c>
      <c r="Z126" s="9">
        <v>1</v>
      </c>
      <c r="AA126" s="9">
        <v>36</v>
      </c>
      <c r="AC126" s="9">
        <f t="shared" si="7"/>
        <v>1299</v>
      </c>
      <c r="AD126" s="9">
        <f t="shared" si="5"/>
        <v>10410</v>
      </c>
      <c r="AE126" s="10">
        <f t="shared" si="6"/>
        <v>8.0138568129330245</v>
      </c>
    </row>
    <row r="127" spans="1:31" x14ac:dyDescent="0.3">
      <c r="A127" s="55"/>
      <c r="B127" s="30" t="s">
        <v>129</v>
      </c>
      <c r="C127" s="9">
        <v>24</v>
      </c>
      <c r="D127" s="9">
        <v>14</v>
      </c>
      <c r="E127" s="9">
        <v>16</v>
      </c>
      <c r="F127" s="9">
        <v>31</v>
      </c>
      <c r="G127" s="9">
        <v>31</v>
      </c>
      <c r="H127" s="9">
        <v>51</v>
      </c>
      <c r="I127" s="9">
        <v>51</v>
      </c>
      <c r="J127" s="9">
        <v>16</v>
      </c>
      <c r="K127" s="9">
        <v>36</v>
      </c>
      <c r="L127" s="9">
        <v>16</v>
      </c>
      <c r="M127" s="9">
        <v>12</v>
      </c>
      <c r="N127" s="9">
        <v>20</v>
      </c>
      <c r="O127" s="9">
        <v>203</v>
      </c>
      <c r="P127" s="9">
        <v>22</v>
      </c>
      <c r="Q127" s="9">
        <v>55</v>
      </c>
      <c r="R127" s="9">
        <v>92</v>
      </c>
      <c r="S127" s="9">
        <v>22</v>
      </c>
      <c r="T127" s="9">
        <v>162</v>
      </c>
      <c r="U127" s="9">
        <v>4</v>
      </c>
      <c r="V127" s="9">
        <v>6</v>
      </c>
      <c r="W127" s="9">
        <v>0</v>
      </c>
      <c r="X127" s="9">
        <v>0</v>
      </c>
      <c r="Y127" s="9">
        <v>0</v>
      </c>
      <c r="Z127" s="9">
        <v>0</v>
      </c>
      <c r="AA127" s="9">
        <v>12</v>
      </c>
      <c r="AC127" s="9">
        <f t="shared" si="7"/>
        <v>896</v>
      </c>
      <c r="AD127" s="9">
        <f t="shared" si="5"/>
        <v>10160</v>
      </c>
      <c r="AE127" s="10">
        <f t="shared" si="6"/>
        <v>11.339285714285714</v>
      </c>
    </row>
    <row r="128" spans="1:31" x14ac:dyDescent="0.3">
      <c r="A128" s="55"/>
      <c r="B128" s="30" t="s">
        <v>130</v>
      </c>
      <c r="C128" s="9">
        <v>12</v>
      </c>
      <c r="D128" s="9">
        <v>6</v>
      </c>
      <c r="E128" s="9">
        <v>12</v>
      </c>
      <c r="F128" s="9">
        <v>18</v>
      </c>
      <c r="G128" s="9">
        <v>19</v>
      </c>
      <c r="H128" s="9">
        <v>34</v>
      </c>
      <c r="I128" s="9">
        <v>49</v>
      </c>
      <c r="J128" s="9">
        <v>18</v>
      </c>
      <c r="K128" s="9">
        <v>36</v>
      </c>
      <c r="L128" s="9">
        <v>6</v>
      </c>
      <c r="M128" s="9">
        <v>15</v>
      </c>
      <c r="N128" s="9">
        <v>17</v>
      </c>
      <c r="O128" s="9">
        <v>125</v>
      </c>
      <c r="P128" s="9">
        <v>10</v>
      </c>
      <c r="Q128" s="9">
        <v>23</v>
      </c>
      <c r="R128" s="9">
        <v>18</v>
      </c>
      <c r="S128" s="9">
        <v>4</v>
      </c>
      <c r="T128" s="9">
        <v>36</v>
      </c>
      <c r="U128" s="9">
        <v>1</v>
      </c>
      <c r="V128" s="9">
        <v>3</v>
      </c>
      <c r="W128" s="9">
        <v>0</v>
      </c>
      <c r="X128" s="9">
        <v>0</v>
      </c>
      <c r="Y128" s="9">
        <v>0</v>
      </c>
      <c r="Z128" s="9">
        <v>0</v>
      </c>
      <c r="AA128" s="9">
        <v>9</v>
      </c>
      <c r="AC128" s="9">
        <f t="shared" si="7"/>
        <v>471</v>
      </c>
      <c r="AD128" s="9">
        <f t="shared" si="5"/>
        <v>4618</v>
      </c>
      <c r="AE128" s="10">
        <f t="shared" si="6"/>
        <v>9.8046709129511669</v>
      </c>
    </row>
    <row r="129" spans="1:31" x14ac:dyDescent="0.3">
      <c r="A129" s="55"/>
      <c r="B129" s="30" t="s">
        <v>131</v>
      </c>
      <c r="C129" s="9">
        <v>67</v>
      </c>
      <c r="D129" s="9">
        <v>45</v>
      </c>
      <c r="E129" s="9">
        <v>80</v>
      </c>
      <c r="F129" s="9">
        <v>126</v>
      </c>
      <c r="G129" s="9">
        <v>126</v>
      </c>
      <c r="H129" s="9">
        <v>207</v>
      </c>
      <c r="I129" s="9">
        <v>152</v>
      </c>
      <c r="J129" s="9">
        <v>105</v>
      </c>
      <c r="K129" s="9">
        <v>167</v>
      </c>
      <c r="L129" s="9">
        <v>112</v>
      </c>
      <c r="M129" s="9">
        <v>81</v>
      </c>
      <c r="N129" s="9">
        <v>63</v>
      </c>
      <c r="O129" s="9">
        <v>763</v>
      </c>
      <c r="P129" s="9">
        <v>59</v>
      </c>
      <c r="Q129" s="9">
        <v>155</v>
      </c>
      <c r="R129" s="9">
        <v>165</v>
      </c>
      <c r="S129" s="9">
        <v>50</v>
      </c>
      <c r="T129" s="9">
        <v>300</v>
      </c>
      <c r="U129" s="9">
        <v>7</v>
      </c>
      <c r="V129" s="9">
        <v>12</v>
      </c>
      <c r="W129" s="9">
        <v>0</v>
      </c>
      <c r="X129" s="9">
        <v>0</v>
      </c>
      <c r="Y129" s="9">
        <v>1</v>
      </c>
      <c r="Z129" s="9">
        <v>2</v>
      </c>
      <c r="AA129" s="9">
        <v>37</v>
      </c>
      <c r="AC129" s="9">
        <f t="shared" si="7"/>
        <v>2882</v>
      </c>
      <c r="AD129" s="9">
        <f t="shared" si="5"/>
        <v>29394</v>
      </c>
      <c r="AE129" s="10">
        <f t="shared" si="6"/>
        <v>10.199167244968772</v>
      </c>
    </row>
    <row r="130" spans="1:31" x14ac:dyDescent="0.3">
      <c r="A130" s="55"/>
      <c r="B130" s="30" t="s">
        <v>132</v>
      </c>
      <c r="C130" s="9">
        <v>14</v>
      </c>
      <c r="D130" s="9">
        <v>3</v>
      </c>
      <c r="E130" s="9">
        <v>4</v>
      </c>
      <c r="F130" s="9">
        <v>12</v>
      </c>
      <c r="G130" s="9">
        <v>17</v>
      </c>
      <c r="H130" s="9">
        <v>30</v>
      </c>
      <c r="I130" s="9">
        <v>23</v>
      </c>
      <c r="J130" s="9">
        <v>13</v>
      </c>
      <c r="K130" s="9">
        <v>19</v>
      </c>
      <c r="L130" s="9">
        <v>14</v>
      </c>
      <c r="M130" s="9">
        <v>12</v>
      </c>
      <c r="N130" s="9">
        <v>18</v>
      </c>
      <c r="O130" s="9">
        <v>117</v>
      </c>
      <c r="P130" s="9">
        <v>3</v>
      </c>
      <c r="Q130" s="9">
        <v>11</v>
      </c>
      <c r="R130" s="9">
        <v>11</v>
      </c>
      <c r="S130" s="9">
        <v>5</v>
      </c>
      <c r="T130" s="9">
        <v>30</v>
      </c>
      <c r="U130" s="9">
        <v>1</v>
      </c>
      <c r="V130" s="9">
        <v>3</v>
      </c>
      <c r="W130" s="9">
        <v>0</v>
      </c>
      <c r="X130" s="9">
        <v>0</v>
      </c>
      <c r="Y130" s="9">
        <v>0</v>
      </c>
      <c r="Z130" s="9">
        <v>0</v>
      </c>
      <c r="AA130" s="9">
        <v>6</v>
      </c>
      <c r="AC130" s="9">
        <f t="shared" si="7"/>
        <v>366</v>
      </c>
      <c r="AD130" s="9">
        <f t="shared" si="5"/>
        <v>3661</v>
      </c>
      <c r="AE130" s="10">
        <f t="shared" si="6"/>
        <v>10.002732240437158</v>
      </c>
    </row>
    <row r="131" spans="1:31" x14ac:dyDescent="0.3">
      <c r="A131" s="55"/>
      <c r="B131" s="30" t="s">
        <v>133</v>
      </c>
      <c r="C131" s="9">
        <v>6</v>
      </c>
      <c r="D131" s="9">
        <v>9</v>
      </c>
      <c r="E131" s="9">
        <v>10</v>
      </c>
      <c r="F131" s="9">
        <v>24</v>
      </c>
      <c r="G131" s="9">
        <v>27</v>
      </c>
      <c r="H131" s="9">
        <v>23</v>
      </c>
      <c r="I131" s="9">
        <v>15</v>
      </c>
      <c r="J131" s="9">
        <v>17</v>
      </c>
      <c r="K131" s="9">
        <v>30</v>
      </c>
      <c r="L131" s="9">
        <v>15</v>
      </c>
      <c r="M131" s="9">
        <v>17</v>
      </c>
      <c r="N131" s="9">
        <v>24</v>
      </c>
      <c r="O131" s="9">
        <v>208</v>
      </c>
      <c r="P131" s="9">
        <v>34</v>
      </c>
      <c r="Q131" s="9">
        <v>84</v>
      </c>
      <c r="R131" s="9">
        <v>94</v>
      </c>
      <c r="S131" s="9">
        <v>19</v>
      </c>
      <c r="T131" s="9">
        <v>208</v>
      </c>
      <c r="U131" s="9">
        <v>2</v>
      </c>
      <c r="V131" s="9">
        <v>5</v>
      </c>
      <c r="W131" s="9">
        <v>0</v>
      </c>
      <c r="X131" s="9">
        <v>0</v>
      </c>
      <c r="Y131" s="9">
        <v>0</v>
      </c>
      <c r="Z131" s="9">
        <v>0</v>
      </c>
      <c r="AA131" s="9">
        <v>12</v>
      </c>
      <c r="AC131" s="9">
        <f t="shared" si="7"/>
        <v>883</v>
      </c>
      <c r="AD131" s="9">
        <f t="shared" si="5"/>
        <v>11125</v>
      </c>
      <c r="AE131" s="10">
        <f t="shared" si="6"/>
        <v>12.599093997734995</v>
      </c>
    </row>
    <row r="132" spans="1:31" x14ac:dyDescent="0.3">
      <c r="A132" s="55"/>
      <c r="B132" s="30" t="s">
        <v>134</v>
      </c>
      <c r="C132" s="9">
        <v>17</v>
      </c>
      <c r="D132" s="9">
        <v>4</v>
      </c>
      <c r="E132" s="9">
        <v>8</v>
      </c>
      <c r="F132" s="9">
        <v>16</v>
      </c>
      <c r="G132" s="9">
        <v>16</v>
      </c>
      <c r="H132" s="9">
        <v>26</v>
      </c>
      <c r="I132" s="9">
        <v>19</v>
      </c>
      <c r="J132" s="9">
        <v>14</v>
      </c>
      <c r="K132" s="9">
        <v>34</v>
      </c>
      <c r="L132" s="9">
        <v>8</v>
      </c>
      <c r="M132" s="9">
        <v>12</v>
      </c>
      <c r="N132" s="9">
        <v>10</v>
      </c>
      <c r="O132" s="9">
        <v>155</v>
      </c>
      <c r="P132" s="9">
        <v>8</v>
      </c>
      <c r="Q132" s="9">
        <v>25</v>
      </c>
      <c r="R132" s="9">
        <v>15</v>
      </c>
      <c r="S132" s="9">
        <v>5</v>
      </c>
      <c r="T132" s="9">
        <v>46</v>
      </c>
      <c r="U132" s="9">
        <v>1</v>
      </c>
      <c r="V132" s="9">
        <v>1</v>
      </c>
      <c r="W132" s="9">
        <v>2</v>
      </c>
      <c r="X132" s="9">
        <v>0</v>
      </c>
      <c r="Y132" s="9">
        <v>0</v>
      </c>
      <c r="Z132" s="9">
        <v>1</v>
      </c>
      <c r="AA132" s="9">
        <v>7</v>
      </c>
      <c r="AC132" s="9">
        <f t="shared" si="7"/>
        <v>450</v>
      </c>
      <c r="AD132" s="9">
        <f t="shared" si="5"/>
        <v>4717</v>
      </c>
      <c r="AE132" s="10">
        <f t="shared" si="6"/>
        <v>10.482222222222223</v>
      </c>
    </row>
    <row r="133" spans="1:31" x14ac:dyDescent="0.3">
      <c r="A133" s="55"/>
      <c r="B133" s="30" t="s">
        <v>135</v>
      </c>
      <c r="C133" s="9">
        <v>40</v>
      </c>
      <c r="D133" s="9">
        <v>11</v>
      </c>
      <c r="E133" s="9">
        <v>36</v>
      </c>
      <c r="F133" s="9">
        <v>61</v>
      </c>
      <c r="G133" s="9">
        <v>52</v>
      </c>
      <c r="H133" s="9">
        <v>62</v>
      </c>
      <c r="I133" s="9">
        <v>48</v>
      </c>
      <c r="J133" s="9">
        <v>27</v>
      </c>
      <c r="K133" s="9">
        <v>43</v>
      </c>
      <c r="L133" s="9">
        <v>14</v>
      </c>
      <c r="M133" s="9">
        <v>13</v>
      </c>
      <c r="N133" s="9">
        <v>15</v>
      </c>
      <c r="O133" s="9">
        <v>115</v>
      </c>
      <c r="P133" s="9">
        <v>7</v>
      </c>
      <c r="Q133" s="9">
        <v>15</v>
      </c>
      <c r="R133" s="9">
        <v>9</v>
      </c>
      <c r="S133" s="9">
        <v>2</v>
      </c>
      <c r="T133" s="9">
        <v>18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1</v>
      </c>
      <c r="AA133" s="9">
        <v>23</v>
      </c>
      <c r="AC133" s="9">
        <f t="shared" si="7"/>
        <v>613</v>
      </c>
      <c r="AD133" s="9">
        <f t="shared" ref="AD133:AD196" si="8">C$2*C133+D$2*D133+E$2*E133+F$2*F133+G$2*G133+H$2*H133+I$2*I133+J$2*J133+K$2*K133+L$2*L133+M$2*M133+N$2*N133+O$2*O133+P$2*P133+Q$2*Q133+R$2*R133+S$2*S133+T$2*T133+U$2*U133+V$2*V133+W$2*W133+X$2*X133+Y$2*Y133+Z$2*Z133+AA$2*AA133</f>
        <v>4774</v>
      </c>
      <c r="AE133" s="10">
        <f t="shared" ref="AE133:AE196" si="9">AD133/AC133</f>
        <v>7.7879282218597066</v>
      </c>
    </row>
    <row r="134" spans="1:31" x14ac:dyDescent="0.3">
      <c r="A134" s="55"/>
      <c r="B134" s="30" t="s">
        <v>136</v>
      </c>
      <c r="C134" s="9">
        <v>26</v>
      </c>
      <c r="D134" s="9">
        <v>6</v>
      </c>
      <c r="E134" s="9">
        <v>19</v>
      </c>
      <c r="F134" s="9">
        <v>41</v>
      </c>
      <c r="G134" s="9">
        <v>44</v>
      </c>
      <c r="H134" s="9">
        <v>67</v>
      </c>
      <c r="I134" s="9">
        <v>49</v>
      </c>
      <c r="J134" s="9">
        <v>43</v>
      </c>
      <c r="K134" s="9">
        <v>40</v>
      </c>
      <c r="L134" s="9">
        <v>18</v>
      </c>
      <c r="M134" s="9">
        <v>15</v>
      </c>
      <c r="N134" s="9">
        <v>11</v>
      </c>
      <c r="O134" s="9">
        <v>113</v>
      </c>
      <c r="P134" s="9">
        <v>2</v>
      </c>
      <c r="Q134" s="9">
        <v>15</v>
      </c>
      <c r="R134" s="9">
        <v>9</v>
      </c>
      <c r="S134" s="9">
        <v>4</v>
      </c>
      <c r="T134" s="9">
        <v>27</v>
      </c>
      <c r="U134" s="9">
        <v>0</v>
      </c>
      <c r="V134" s="9">
        <v>1</v>
      </c>
      <c r="W134" s="9">
        <v>0</v>
      </c>
      <c r="X134" s="9">
        <v>0</v>
      </c>
      <c r="Y134" s="9">
        <v>0</v>
      </c>
      <c r="Z134" s="9">
        <v>1</v>
      </c>
      <c r="AA134" s="9">
        <v>23</v>
      </c>
      <c r="AC134" s="9">
        <f t="shared" si="7"/>
        <v>574</v>
      </c>
      <c r="AD134" s="9">
        <f t="shared" si="8"/>
        <v>4870</v>
      </c>
      <c r="AE134" s="10">
        <f t="shared" si="9"/>
        <v>8.484320557491289</v>
      </c>
    </row>
    <row r="135" spans="1:31" x14ac:dyDescent="0.3">
      <c r="A135" s="55"/>
      <c r="B135" s="30" t="s">
        <v>137</v>
      </c>
      <c r="C135" s="9">
        <v>26</v>
      </c>
      <c r="D135" s="9">
        <v>22</v>
      </c>
      <c r="E135" s="9">
        <v>31</v>
      </c>
      <c r="F135" s="9">
        <v>52</v>
      </c>
      <c r="G135" s="9">
        <v>53</v>
      </c>
      <c r="H135" s="9">
        <v>89</v>
      </c>
      <c r="I135" s="9">
        <v>74</v>
      </c>
      <c r="J135" s="9">
        <v>41</v>
      </c>
      <c r="K135" s="9">
        <v>89</v>
      </c>
      <c r="L135" s="9">
        <v>27</v>
      </c>
      <c r="M135" s="9">
        <v>33</v>
      </c>
      <c r="N135" s="9">
        <v>39</v>
      </c>
      <c r="O135" s="9">
        <v>479</v>
      </c>
      <c r="P135" s="9">
        <v>40</v>
      </c>
      <c r="Q135" s="9">
        <v>89</v>
      </c>
      <c r="R135" s="9">
        <v>122</v>
      </c>
      <c r="S135" s="9">
        <v>26</v>
      </c>
      <c r="T135" s="9">
        <v>235</v>
      </c>
      <c r="U135" s="9">
        <v>4</v>
      </c>
      <c r="V135" s="9">
        <v>14</v>
      </c>
      <c r="W135" s="9">
        <v>1</v>
      </c>
      <c r="X135" s="9">
        <v>0</v>
      </c>
      <c r="Y135" s="9">
        <v>1</v>
      </c>
      <c r="Z135" s="9">
        <v>1</v>
      </c>
      <c r="AA135" s="9">
        <v>16</v>
      </c>
      <c r="AC135" s="9">
        <f t="shared" si="7"/>
        <v>1604</v>
      </c>
      <c r="AD135" s="9">
        <f t="shared" si="8"/>
        <v>17884</v>
      </c>
      <c r="AE135" s="10">
        <f t="shared" si="9"/>
        <v>11.149625935162094</v>
      </c>
    </row>
    <row r="136" spans="1:31" x14ac:dyDescent="0.3">
      <c r="A136" s="55"/>
      <c r="B136" s="30" t="s">
        <v>138</v>
      </c>
      <c r="C136" s="9">
        <v>6</v>
      </c>
      <c r="D136" s="9">
        <v>11</v>
      </c>
      <c r="E136" s="9">
        <v>6</v>
      </c>
      <c r="F136" s="9">
        <v>10</v>
      </c>
      <c r="G136" s="9">
        <v>13</v>
      </c>
      <c r="H136" s="9">
        <v>30</v>
      </c>
      <c r="I136" s="9">
        <v>20</v>
      </c>
      <c r="J136" s="9">
        <v>18</v>
      </c>
      <c r="K136" s="9">
        <v>33</v>
      </c>
      <c r="L136" s="9">
        <v>17</v>
      </c>
      <c r="M136" s="9">
        <v>14</v>
      </c>
      <c r="N136" s="9">
        <v>24</v>
      </c>
      <c r="O136" s="9">
        <v>247</v>
      </c>
      <c r="P136" s="9">
        <v>9</v>
      </c>
      <c r="Q136" s="9">
        <v>28</v>
      </c>
      <c r="R136" s="9">
        <v>47</v>
      </c>
      <c r="S136" s="9">
        <v>6</v>
      </c>
      <c r="T136" s="9">
        <v>94</v>
      </c>
      <c r="U136" s="9">
        <v>3</v>
      </c>
      <c r="V136" s="9">
        <v>6</v>
      </c>
      <c r="W136" s="9">
        <v>0</v>
      </c>
      <c r="X136" s="9">
        <v>0</v>
      </c>
      <c r="Y136" s="9">
        <v>0</v>
      </c>
      <c r="Z136" s="9">
        <v>0</v>
      </c>
      <c r="AA136" s="9">
        <v>6</v>
      </c>
      <c r="AC136" s="9">
        <f t="shared" si="7"/>
        <v>648</v>
      </c>
      <c r="AD136" s="9">
        <f t="shared" si="8"/>
        <v>7506</v>
      </c>
      <c r="AE136" s="10">
        <f t="shared" si="9"/>
        <v>11.583333333333334</v>
      </c>
    </row>
    <row r="137" spans="1:31" x14ac:dyDescent="0.3">
      <c r="A137" s="55"/>
      <c r="B137" s="30" t="s">
        <v>139</v>
      </c>
      <c r="C137" s="9">
        <v>7</v>
      </c>
      <c r="D137" s="9">
        <v>6</v>
      </c>
      <c r="E137" s="9">
        <v>6</v>
      </c>
      <c r="F137" s="9">
        <v>13</v>
      </c>
      <c r="G137" s="9">
        <v>21</v>
      </c>
      <c r="H137" s="9">
        <v>33</v>
      </c>
      <c r="I137" s="9">
        <v>22</v>
      </c>
      <c r="J137" s="9">
        <v>20</v>
      </c>
      <c r="K137" s="9">
        <v>27</v>
      </c>
      <c r="L137" s="9">
        <v>11</v>
      </c>
      <c r="M137" s="9">
        <v>13</v>
      </c>
      <c r="N137" s="9">
        <v>10</v>
      </c>
      <c r="O137" s="9">
        <v>79</v>
      </c>
      <c r="P137" s="9">
        <v>5</v>
      </c>
      <c r="Q137" s="9">
        <v>8</v>
      </c>
      <c r="R137" s="9">
        <v>13</v>
      </c>
      <c r="S137" s="9">
        <v>1</v>
      </c>
      <c r="T137" s="9">
        <v>20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5</v>
      </c>
      <c r="AC137" s="9">
        <f t="shared" si="7"/>
        <v>320</v>
      </c>
      <c r="AD137" s="9">
        <f t="shared" si="8"/>
        <v>2929</v>
      </c>
      <c r="AE137" s="10">
        <f t="shared" si="9"/>
        <v>9.1531249999999993</v>
      </c>
    </row>
    <row r="138" spans="1:31" x14ac:dyDescent="0.3">
      <c r="A138" s="55"/>
      <c r="B138" s="30" t="s">
        <v>140</v>
      </c>
      <c r="C138" s="9">
        <v>28</v>
      </c>
      <c r="D138" s="9">
        <v>15</v>
      </c>
      <c r="E138" s="9">
        <v>13</v>
      </c>
      <c r="F138" s="9">
        <v>21</v>
      </c>
      <c r="G138" s="9">
        <v>31</v>
      </c>
      <c r="H138" s="9">
        <v>48</v>
      </c>
      <c r="I138" s="9">
        <v>46</v>
      </c>
      <c r="J138" s="9">
        <v>29</v>
      </c>
      <c r="K138" s="9">
        <v>61</v>
      </c>
      <c r="L138" s="9">
        <v>29</v>
      </c>
      <c r="M138" s="9">
        <v>31</v>
      </c>
      <c r="N138" s="9">
        <v>26</v>
      </c>
      <c r="O138" s="9">
        <v>408</v>
      </c>
      <c r="P138" s="9">
        <v>53</v>
      </c>
      <c r="Q138" s="9">
        <v>143</v>
      </c>
      <c r="R138" s="9">
        <v>177</v>
      </c>
      <c r="S138" s="9">
        <v>45</v>
      </c>
      <c r="T138" s="9">
        <v>441</v>
      </c>
      <c r="U138" s="9">
        <v>7</v>
      </c>
      <c r="V138" s="9">
        <v>22</v>
      </c>
      <c r="W138" s="9">
        <v>0</v>
      </c>
      <c r="X138" s="9">
        <v>0</v>
      </c>
      <c r="Y138" s="9">
        <v>0</v>
      </c>
      <c r="Z138" s="9">
        <v>0</v>
      </c>
      <c r="AA138" s="9">
        <v>46</v>
      </c>
      <c r="AC138" s="9">
        <f t="shared" si="7"/>
        <v>1720</v>
      </c>
      <c r="AD138" s="9">
        <f t="shared" si="8"/>
        <v>22399</v>
      </c>
      <c r="AE138" s="10">
        <f t="shared" si="9"/>
        <v>13.022674418604652</v>
      </c>
    </row>
    <row r="139" spans="1:31" x14ac:dyDescent="0.3">
      <c r="A139" s="55"/>
      <c r="B139" s="30" t="s">
        <v>141</v>
      </c>
      <c r="C139" s="9">
        <v>13</v>
      </c>
      <c r="D139" s="9">
        <v>9</v>
      </c>
      <c r="E139" s="9">
        <v>8</v>
      </c>
      <c r="F139" s="9">
        <v>9</v>
      </c>
      <c r="G139" s="9">
        <v>19</v>
      </c>
      <c r="H139" s="9">
        <v>20</v>
      </c>
      <c r="I139" s="9">
        <v>8</v>
      </c>
      <c r="J139" s="9">
        <v>22</v>
      </c>
      <c r="K139" s="9">
        <v>36</v>
      </c>
      <c r="L139" s="9">
        <v>11</v>
      </c>
      <c r="M139" s="9">
        <v>17</v>
      </c>
      <c r="N139" s="9">
        <v>11</v>
      </c>
      <c r="O139" s="9">
        <v>152</v>
      </c>
      <c r="P139" s="9">
        <v>15</v>
      </c>
      <c r="Q139" s="9">
        <v>39</v>
      </c>
      <c r="R139" s="9">
        <v>44</v>
      </c>
      <c r="S139" s="9">
        <v>12</v>
      </c>
      <c r="T139" s="9">
        <v>81</v>
      </c>
      <c r="U139" s="9">
        <v>0</v>
      </c>
      <c r="V139" s="9">
        <v>3</v>
      </c>
      <c r="W139" s="9">
        <v>0</v>
      </c>
      <c r="X139" s="9">
        <v>0</v>
      </c>
      <c r="Y139" s="9">
        <v>0</v>
      </c>
      <c r="Z139" s="9">
        <v>2</v>
      </c>
      <c r="AA139" s="9">
        <v>13</v>
      </c>
      <c r="AC139" s="9">
        <f t="shared" si="7"/>
        <v>544</v>
      </c>
      <c r="AD139" s="9">
        <f t="shared" si="8"/>
        <v>6317</v>
      </c>
      <c r="AE139" s="10">
        <f t="shared" si="9"/>
        <v>11.612132352941176</v>
      </c>
    </row>
    <row r="140" spans="1:31" x14ac:dyDescent="0.3">
      <c r="A140" s="55"/>
      <c r="B140" s="30" t="s">
        <v>142</v>
      </c>
      <c r="C140" s="9">
        <v>16</v>
      </c>
      <c r="D140" s="9">
        <v>8</v>
      </c>
      <c r="E140" s="9">
        <v>12</v>
      </c>
      <c r="F140" s="9">
        <v>29</v>
      </c>
      <c r="G140" s="9">
        <v>14</v>
      </c>
      <c r="H140" s="9">
        <v>35</v>
      </c>
      <c r="I140" s="9">
        <v>28</v>
      </c>
      <c r="J140" s="9">
        <v>21</v>
      </c>
      <c r="K140" s="9">
        <v>22</v>
      </c>
      <c r="L140" s="9">
        <v>16</v>
      </c>
      <c r="M140" s="9">
        <v>15</v>
      </c>
      <c r="N140" s="9">
        <v>18</v>
      </c>
      <c r="O140" s="9">
        <v>208</v>
      </c>
      <c r="P140" s="9">
        <v>27</v>
      </c>
      <c r="Q140" s="9">
        <v>65</v>
      </c>
      <c r="R140" s="9">
        <v>96</v>
      </c>
      <c r="S140" s="9">
        <v>23</v>
      </c>
      <c r="T140" s="9">
        <v>139</v>
      </c>
      <c r="U140" s="9">
        <v>3</v>
      </c>
      <c r="V140" s="9">
        <v>5</v>
      </c>
      <c r="W140" s="9">
        <v>0</v>
      </c>
      <c r="X140" s="9">
        <v>0</v>
      </c>
      <c r="Y140" s="9">
        <v>0</v>
      </c>
      <c r="Z140" s="9">
        <v>0</v>
      </c>
      <c r="AA140" s="9">
        <v>5</v>
      </c>
      <c r="AC140" s="9">
        <f t="shared" si="7"/>
        <v>805</v>
      </c>
      <c r="AD140" s="9">
        <f t="shared" si="8"/>
        <v>9530</v>
      </c>
      <c r="AE140" s="10">
        <f t="shared" si="9"/>
        <v>11.838509316770187</v>
      </c>
    </row>
    <row r="141" spans="1:31" x14ac:dyDescent="0.3">
      <c r="A141" s="55"/>
      <c r="B141" s="30" t="s">
        <v>143</v>
      </c>
      <c r="C141" s="9">
        <v>110</v>
      </c>
      <c r="D141" s="9">
        <v>81</v>
      </c>
      <c r="E141" s="9">
        <v>150</v>
      </c>
      <c r="F141" s="9">
        <v>263</v>
      </c>
      <c r="G141" s="9">
        <v>238</v>
      </c>
      <c r="H141" s="9">
        <v>422</v>
      </c>
      <c r="I141" s="9">
        <v>418</v>
      </c>
      <c r="J141" s="9">
        <v>342</v>
      </c>
      <c r="K141" s="9">
        <v>532</v>
      </c>
      <c r="L141" s="9">
        <v>303</v>
      </c>
      <c r="M141" s="9">
        <v>341</v>
      </c>
      <c r="N141" s="9">
        <v>360</v>
      </c>
      <c r="O141" s="9">
        <v>3737</v>
      </c>
      <c r="P141" s="9">
        <v>570</v>
      </c>
      <c r="Q141" s="9">
        <v>1290</v>
      </c>
      <c r="R141" s="9">
        <v>2046</v>
      </c>
      <c r="S141" s="9">
        <v>429</v>
      </c>
      <c r="T141" s="9">
        <v>4004</v>
      </c>
      <c r="U141" s="9">
        <v>82</v>
      </c>
      <c r="V141" s="9">
        <v>191</v>
      </c>
      <c r="W141" s="9">
        <v>3</v>
      </c>
      <c r="X141" s="9">
        <v>2</v>
      </c>
      <c r="Y141" s="9">
        <v>0</v>
      </c>
      <c r="Z141" s="9">
        <v>11</v>
      </c>
      <c r="AA141" s="9">
        <v>150</v>
      </c>
      <c r="AC141" s="9">
        <f t="shared" si="7"/>
        <v>16075</v>
      </c>
      <c r="AD141" s="9">
        <f t="shared" si="8"/>
        <v>208483</v>
      </c>
      <c r="AE141" s="10">
        <f t="shared" si="9"/>
        <v>12.969393468118197</v>
      </c>
    </row>
    <row r="142" spans="1:31" x14ac:dyDescent="0.3">
      <c r="A142" s="55"/>
      <c r="B142" s="30" t="s">
        <v>144</v>
      </c>
      <c r="C142" s="9">
        <v>99</v>
      </c>
      <c r="D142" s="9">
        <v>62</v>
      </c>
      <c r="E142" s="9">
        <v>124</v>
      </c>
      <c r="F142" s="9">
        <v>220</v>
      </c>
      <c r="G142" s="9">
        <v>178</v>
      </c>
      <c r="H142" s="9">
        <v>269</v>
      </c>
      <c r="I142" s="9">
        <v>262</v>
      </c>
      <c r="J142" s="9">
        <v>174</v>
      </c>
      <c r="K142" s="9">
        <v>272</v>
      </c>
      <c r="L142" s="9">
        <v>152</v>
      </c>
      <c r="M142" s="9">
        <v>128</v>
      </c>
      <c r="N142" s="9">
        <v>144</v>
      </c>
      <c r="O142" s="9">
        <v>1354</v>
      </c>
      <c r="P142" s="9">
        <v>147</v>
      </c>
      <c r="Q142" s="9">
        <v>379</v>
      </c>
      <c r="R142" s="9">
        <v>522</v>
      </c>
      <c r="S142" s="9">
        <v>92</v>
      </c>
      <c r="T142" s="9">
        <v>720</v>
      </c>
      <c r="U142" s="9">
        <v>12</v>
      </c>
      <c r="V142" s="9">
        <v>29</v>
      </c>
      <c r="W142" s="9">
        <v>1</v>
      </c>
      <c r="X142" s="9">
        <v>1</v>
      </c>
      <c r="Y142" s="9">
        <v>0</v>
      </c>
      <c r="Z142" s="9">
        <v>2</v>
      </c>
      <c r="AA142" s="9">
        <v>49</v>
      </c>
      <c r="AC142" s="9">
        <f t="shared" ref="AC142:AC205" si="10">SUM(C142:AA142)</f>
        <v>5392</v>
      </c>
      <c r="AD142" s="9">
        <f t="shared" si="8"/>
        <v>59262</v>
      </c>
      <c r="AE142" s="10">
        <f t="shared" si="9"/>
        <v>10.990727002967359</v>
      </c>
    </row>
    <row r="143" spans="1:31" x14ac:dyDescent="0.3">
      <c r="A143" s="55"/>
      <c r="B143" s="30" t="s">
        <v>145</v>
      </c>
      <c r="C143" s="9">
        <v>48</v>
      </c>
      <c r="D143" s="9">
        <v>19</v>
      </c>
      <c r="E143" s="9">
        <v>58</v>
      </c>
      <c r="F143" s="9">
        <v>67</v>
      </c>
      <c r="G143" s="9">
        <v>85</v>
      </c>
      <c r="H143" s="9">
        <v>134</v>
      </c>
      <c r="I143" s="9">
        <v>108</v>
      </c>
      <c r="J143" s="9">
        <v>103</v>
      </c>
      <c r="K143" s="9">
        <v>161</v>
      </c>
      <c r="L143" s="9">
        <v>88</v>
      </c>
      <c r="M143" s="9">
        <v>82</v>
      </c>
      <c r="N143" s="9">
        <v>108</v>
      </c>
      <c r="O143" s="9">
        <v>1275</v>
      </c>
      <c r="P143" s="9">
        <v>215</v>
      </c>
      <c r="Q143" s="9">
        <v>509</v>
      </c>
      <c r="R143" s="9">
        <v>634</v>
      </c>
      <c r="S143" s="9">
        <v>188</v>
      </c>
      <c r="T143" s="9">
        <v>1776</v>
      </c>
      <c r="U143" s="9">
        <v>37</v>
      </c>
      <c r="V143" s="9">
        <v>132</v>
      </c>
      <c r="W143" s="9">
        <v>1</v>
      </c>
      <c r="X143" s="9">
        <v>2</v>
      </c>
      <c r="Y143" s="9">
        <v>0</v>
      </c>
      <c r="Z143" s="9">
        <v>12</v>
      </c>
      <c r="AA143" s="9">
        <v>51</v>
      </c>
      <c r="AC143" s="9">
        <f t="shared" si="10"/>
        <v>5893</v>
      </c>
      <c r="AD143" s="9">
        <f t="shared" si="8"/>
        <v>79470</v>
      </c>
      <c r="AE143" s="10">
        <f t="shared" si="9"/>
        <v>13.48549126081792</v>
      </c>
    </row>
    <row r="144" spans="1:31" x14ac:dyDescent="0.3">
      <c r="A144" s="55"/>
      <c r="B144" s="30" t="s">
        <v>146</v>
      </c>
      <c r="C144" s="9">
        <v>55</v>
      </c>
      <c r="D144" s="9">
        <v>44</v>
      </c>
      <c r="E144" s="9">
        <v>58</v>
      </c>
      <c r="F144" s="9">
        <v>126</v>
      </c>
      <c r="G144" s="9">
        <v>117</v>
      </c>
      <c r="H144" s="9">
        <v>215</v>
      </c>
      <c r="I144" s="9">
        <v>175</v>
      </c>
      <c r="J144" s="9">
        <v>165</v>
      </c>
      <c r="K144" s="9">
        <v>222</v>
      </c>
      <c r="L144" s="9">
        <v>125</v>
      </c>
      <c r="M144" s="9">
        <v>119</v>
      </c>
      <c r="N144" s="9">
        <v>152</v>
      </c>
      <c r="O144" s="9">
        <v>1342</v>
      </c>
      <c r="P144" s="9">
        <v>158</v>
      </c>
      <c r="Q144" s="9">
        <v>438</v>
      </c>
      <c r="R144" s="9">
        <v>556</v>
      </c>
      <c r="S144" s="9">
        <v>137</v>
      </c>
      <c r="T144" s="9">
        <v>1174</v>
      </c>
      <c r="U144" s="9">
        <v>24</v>
      </c>
      <c r="V144" s="9">
        <v>56</v>
      </c>
      <c r="W144" s="9">
        <v>2</v>
      </c>
      <c r="X144" s="9">
        <v>0</v>
      </c>
      <c r="Y144" s="9">
        <v>0</v>
      </c>
      <c r="Z144" s="9">
        <v>3</v>
      </c>
      <c r="AA144" s="9">
        <v>45</v>
      </c>
      <c r="AC144" s="9">
        <f t="shared" si="10"/>
        <v>5508</v>
      </c>
      <c r="AD144" s="9">
        <f t="shared" si="8"/>
        <v>67514</v>
      </c>
      <c r="AE144" s="10">
        <f t="shared" si="9"/>
        <v>12.257443718228032</v>
      </c>
    </row>
    <row r="145" spans="1:31" x14ac:dyDescent="0.3">
      <c r="A145" s="55"/>
      <c r="B145" s="30" t="s">
        <v>147</v>
      </c>
      <c r="C145" s="9">
        <v>54</v>
      </c>
      <c r="D145" s="9">
        <v>17</v>
      </c>
      <c r="E145" s="9">
        <v>23</v>
      </c>
      <c r="F145" s="9">
        <v>44</v>
      </c>
      <c r="G145" s="9">
        <v>47</v>
      </c>
      <c r="H145" s="9">
        <v>77</v>
      </c>
      <c r="I145" s="9">
        <v>81</v>
      </c>
      <c r="J145" s="9">
        <v>90</v>
      </c>
      <c r="K145" s="9">
        <v>125</v>
      </c>
      <c r="L145" s="9">
        <v>90</v>
      </c>
      <c r="M145" s="9">
        <v>97</v>
      </c>
      <c r="N145" s="9">
        <v>93</v>
      </c>
      <c r="O145" s="9">
        <v>1428</v>
      </c>
      <c r="P145" s="9">
        <v>227</v>
      </c>
      <c r="Q145" s="9">
        <v>507</v>
      </c>
      <c r="R145" s="9">
        <v>819</v>
      </c>
      <c r="S145" s="9">
        <v>260</v>
      </c>
      <c r="T145" s="9">
        <v>2123</v>
      </c>
      <c r="U145" s="9">
        <v>53</v>
      </c>
      <c r="V145" s="9">
        <v>123</v>
      </c>
      <c r="W145" s="9">
        <v>3</v>
      </c>
      <c r="X145" s="9">
        <v>1</v>
      </c>
      <c r="Y145" s="9">
        <v>1</v>
      </c>
      <c r="Z145" s="9">
        <v>6</v>
      </c>
      <c r="AA145" s="9">
        <v>53</v>
      </c>
      <c r="AC145" s="9">
        <f t="shared" si="10"/>
        <v>6442</v>
      </c>
      <c r="AD145" s="9">
        <f t="shared" si="8"/>
        <v>90212</v>
      </c>
      <c r="AE145" s="10">
        <f t="shared" si="9"/>
        <v>14.003725551071096</v>
      </c>
    </row>
    <row r="146" spans="1:31" x14ac:dyDescent="0.3">
      <c r="A146" s="55"/>
      <c r="B146" s="30" t="s">
        <v>148</v>
      </c>
      <c r="C146" s="9">
        <v>208</v>
      </c>
      <c r="D146" s="9">
        <v>108</v>
      </c>
      <c r="E146" s="9">
        <v>176</v>
      </c>
      <c r="F146" s="9">
        <v>365</v>
      </c>
      <c r="G146" s="9">
        <v>296</v>
      </c>
      <c r="H146" s="9">
        <v>581</v>
      </c>
      <c r="I146" s="9">
        <v>479</v>
      </c>
      <c r="J146" s="9">
        <v>470</v>
      </c>
      <c r="K146" s="9">
        <v>690</v>
      </c>
      <c r="L146" s="9">
        <v>401</v>
      </c>
      <c r="M146" s="9">
        <v>396</v>
      </c>
      <c r="N146" s="9">
        <v>389</v>
      </c>
      <c r="O146" s="9">
        <v>5098</v>
      </c>
      <c r="P146" s="9">
        <v>676</v>
      </c>
      <c r="Q146" s="9">
        <v>1534</v>
      </c>
      <c r="R146" s="9">
        <v>2453</v>
      </c>
      <c r="S146" s="9">
        <v>798</v>
      </c>
      <c r="T146" s="9">
        <v>5637</v>
      </c>
      <c r="U146" s="9">
        <v>135</v>
      </c>
      <c r="V146" s="9">
        <v>317</v>
      </c>
      <c r="W146" s="9">
        <v>7</v>
      </c>
      <c r="X146" s="9">
        <v>4</v>
      </c>
      <c r="Y146" s="9">
        <v>4</v>
      </c>
      <c r="Z146" s="9">
        <v>14</v>
      </c>
      <c r="AA146" s="9">
        <v>182</v>
      </c>
      <c r="AC146" s="9">
        <f t="shared" si="10"/>
        <v>21418</v>
      </c>
      <c r="AD146" s="9">
        <f t="shared" si="8"/>
        <v>279463</v>
      </c>
      <c r="AE146" s="10">
        <f t="shared" si="9"/>
        <v>13.048043701559436</v>
      </c>
    </row>
    <row r="147" spans="1:31" x14ac:dyDescent="0.3">
      <c r="A147" s="55"/>
      <c r="B147" s="30" t="s">
        <v>149</v>
      </c>
      <c r="C147" s="9">
        <v>35</v>
      </c>
      <c r="D147" s="9">
        <v>21</v>
      </c>
      <c r="E147" s="9">
        <v>31</v>
      </c>
      <c r="F147" s="9">
        <v>82</v>
      </c>
      <c r="G147" s="9">
        <v>95</v>
      </c>
      <c r="H147" s="9">
        <v>157</v>
      </c>
      <c r="I147" s="9">
        <v>125</v>
      </c>
      <c r="J147" s="9">
        <v>93</v>
      </c>
      <c r="K147" s="9">
        <v>105</v>
      </c>
      <c r="L147" s="9">
        <v>74</v>
      </c>
      <c r="M147" s="9">
        <v>57</v>
      </c>
      <c r="N147" s="9">
        <v>56</v>
      </c>
      <c r="O147" s="9">
        <v>485</v>
      </c>
      <c r="P147" s="9">
        <v>41</v>
      </c>
      <c r="Q147" s="9">
        <v>72</v>
      </c>
      <c r="R147" s="9">
        <v>93</v>
      </c>
      <c r="S147" s="9">
        <v>19</v>
      </c>
      <c r="T147" s="9">
        <v>137</v>
      </c>
      <c r="U147" s="9">
        <v>3</v>
      </c>
      <c r="V147" s="9">
        <v>8</v>
      </c>
      <c r="W147" s="9">
        <v>2</v>
      </c>
      <c r="X147" s="9">
        <v>0</v>
      </c>
      <c r="Y147" s="9">
        <v>0</v>
      </c>
      <c r="Z147" s="9">
        <v>0</v>
      </c>
      <c r="AA147" s="9">
        <v>22</v>
      </c>
      <c r="AC147" s="9">
        <f t="shared" si="10"/>
        <v>1813</v>
      </c>
      <c r="AD147" s="9">
        <f t="shared" si="8"/>
        <v>17750</v>
      </c>
      <c r="AE147" s="10">
        <f t="shared" si="9"/>
        <v>9.7904026475455055</v>
      </c>
    </row>
    <row r="148" spans="1:31" x14ac:dyDescent="0.3">
      <c r="A148" s="55"/>
      <c r="B148" s="30" t="s">
        <v>150</v>
      </c>
      <c r="C148" s="9">
        <v>175</v>
      </c>
      <c r="D148" s="9">
        <v>121</v>
      </c>
      <c r="E148" s="9">
        <v>229</v>
      </c>
      <c r="F148" s="9">
        <v>394</v>
      </c>
      <c r="G148" s="9">
        <v>361</v>
      </c>
      <c r="H148" s="9">
        <v>559</v>
      </c>
      <c r="I148" s="9">
        <v>556</v>
      </c>
      <c r="J148" s="9">
        <v>474</v>
      </c>
      <c r="K148" s="9">
        <v>618</v>
      </c>
      <c r="L148" s="9">
        <v>299</v>
      </c>
      <c r="M148" s="9">
        <v>268</v>
      </c>
      <c r="N148" s="9">
        <v>259</v>
      </c>
      <c r="O148" s="9">
        <v>2564</v>
      </c>
      <c r="P148" s="9">
        <v>173</v>
      </c>
      <c r="Q148" s="9">
        <v>340</v>
      </c>
      <c r="R148" s="9">
        <v>453</v>
      </c>
      <c r="S148" s="9">
        <v>47</v>
      </c>
      <c r="T148" s="9">
        <v>617</v>
      </c>
      <c r="U148" s="9">
        <v>15</v>
      </c>
      <c r="V148" s="9">
        <v>35</v>
      </c>
      <c r="W148" s="9">
        <v>0</v>
      </c>
      <c r="X148" s="9">
        <v>2</v>
      </c>
      <c r="Y148" s="9">
        <v>0</v>
      </c>
      <c r="Z148" s="9">
        <v>3</v>
      </c>
      <c r="AA148" s="9">
        <v>147</v>
      </c>
      <c r="AC148" s="9">
        <f t="shared" si="10"/>
        <v>8709</v>
      </c>
      <c r="AD148" s="9">
        <f t="shared" si="8"/>
        <v>86205</v>
      </c>
      <c r="AE148" s="10">
        <f t="shared" si="9"/>
        <v>9.8983809851877371</v>
      </c>
    </row>
    <row r="149" spans="1:31" x14ac:dyDescent="0.3">
      <c r="A149" s="55"/>
      <c r="B149" s="30" t="s">
        <v>151</v>
      </c>
      <c r="C149" s="9">
        <v>93</v>
      </c>
      <c r="D149" s="9">
        <v>33</v>
      </c>
      <c r="E149" s="9">
        <v>51</v>
      </c>
      <c r="F149" s="9">
        <v>135</v>
      </c>
      <c r="G149" s="9">
        <v>121</v>
      </c>
      <c r="H149" s="9">
        <v>146</v>
      </c>
      <c r="I149" s="9">
        <v>170</v>
      </c>
      <c r="J149" s="9">
        <v>62</v>
      </c>
      <c r="K149" s="9">
        <v>95</v>
      </c>
      <c r="L149" s="9">
        <v>47</v>
      </c>
      <c r="M149" s="9">
        <v>40</v>
      </c>
      <c r="N149" s="9">
        <v>45</v>
      </c>
      <c r="O149" s="9">
        <v>359</v>
      </c>
      <c r="P149" s="9">
        <v>23</v>
      </c>
      <c r="Q149" s="9">
        <v>40</v>
      </c>
      <c r="R149" s="9">
        <v>47</v>
      </c>
      <c r="S149" s="9">
        <v>2</v>
      </c>
      <c r="T149" s="9">
        <v>54</v>
      </c>
      <c r="U149" s="9">
        <v>3</v>
      </c>
      <c r="V149" s="9">
        <v>4</v>
      </c>
      <c r="W149" s="9">
        <v>0</v>
      </c>
      <c r="X149" s="9">
        <v>0</v>
      </c>
      <c r="Y149" s="9">
        <v>0</v>
      </c>
      <c r="Z149" s="9">
        <v>0</v>
      </c>
      <c r="AA149" s="9">
        <v>31</v>
      </c>
      <c r="AC149" s="9">
        <f t="shared" si="10"/>
        <v>1601</v>
      </c>
      <c r="AD149" s="9">
        <f t="shared" si="8"/>
        <v>12982</v>
      </c>
      <c r="AE149" s="10">
        <f t="shared" si="9"/>
        <v>8.1086820737039353</v>
      </c>
    </row>
    <row r="150" spans="1:31" x14ac:dyDescent="0.3">
      <c r="A150" s="55"/>
      <c r="B150" s="30" t="s">
        <v>152</v>
      </c>
      <c r="C150" s="9">
        <v>30</v>
      </c>
      <c r="D150" s="9">
        <v>18</v>
      </c>
      <c r="E150" s="9">
        <v>44</v>
      </c>
      <c r="F150" s="9">
        <v>70</v>
      </c>
      <c r="G150" s="9">
        <v>86</v>
      </c>
      <c r="H150" s="9">
        <v>159</v>
      </c>
      <c r="I150" s="9">
        <v>135</v>
      </c>
      <c r="J150" s="9">
        <v>70</v>
      </c>
      <c r="K150" s="9">
        <v>72</v>
      </c>
      <c r="L150" s="9">
        <v>28</v>
      </c>
      <c r="M150" s="9">
        <v>26</v>
      </c>
      <c r="N150" s="9">
        <v>20</v>
      </c>
      <c r="O150" s="9">
        <v>180</v>
      </c>
      <c r="P150" s="9">
        <v>19</v>
      </c>
      <c r="Q150" s="9">
        <v>15</v>
      </c>
      <c r="R150" s="9">
        <v>25</v>
      </c>
      <c r="S150" s="9">
        <v>5</v>
      </c>
      <c r="T150" s="9">
        <v>66</v>
      </c>
      <c r="U150" s="9">
        <v>1</v>
      </c>
      <c r="V150" s="9">
        <v>8</v>
      </c>
      <c r="W150" s="9">
        <v>1</v>
      </c>
      <c r="X150" s="9">
        <v>0</v>
      </c>
      <c r="Y150" s="9">
        <v>0</v>
      </c>
      <c r="Z150" s="9">
        <v>0</v>
      </c>
      <c r="AA150" s="9">
        <v>22</v>
      </c>
      <c r="AC150" s="9">
        <f t="shared" si="10"/>
        <v>1100</v>
      </c>
      <c r="AD150" s="9">
        <f t="shared" si="8"/>
        <v>8975</v>
      </c>
      <c r="AE150" s="10">
        <f t="shared" si="9"/>
        <v>8.1590909090909083</v>
      </c>
    </row>
    <row r="151" spans="1:31" x14ac:dyDescent="0.3">
      <c r="A151" s="55"/>
      <c r="B151" s="30" t="s">
        <v>153</v>
      </c>
      <c r="C151" s="9">
        <v>25</v>
      </c>
      <c r="D151" s="9">
        <v>12</v>
      </c>
      <c r="E151" s="9">
        <v>18</v>
      </c>
      <c r="F151" s="9">
        <v>34</v>
      </c>
      <c r="G151" s="9">
        <v>40</v>
      </c>
      <c r="H151" s="9">
        <v>105</v>
      </c>
      <c r="I151" s="9">
        <v>89</v>
      </c>
      <c r="J151" s="9">
        <v>56</v>
      </c>
      <c r="K151" s="9">
        <v>97</v>
      </c>
      <c r="L151" s="9">
        <v>25</v>
      </c>
      <c r="M151" s="9">
        <v>21</v>
      </c>
      <c r="N151" s="9">
        <v>24</v>
      </c>
      <c r="O151" s="9">
        <v>212</v>
      </c>
      <c r="P151" s="9">
        <v>11</v>
      </c>
      <c r="Q151" s="9">
        <v>19</v>
      </c>
      <c r="R151" s="9">
        <v>21</v>
      </c>
      <c r="S151" s="9">
        <v>6</v>
      </c>
      <c r="T151" s="9">
        <v>43</v>
      </c>
      <c r="U151" s="9">
        <v>1</v>
      </c>
      <c r="V151" s="9">
        <v>3</v>
      </c>
      <c r="W151" s="9">
        <v>0</v>
      </c>
      <c r="X151" s="9">
        <v>0</v>
      </c>
      <c r="Y151" s="9">
        <v>1</v>
      </c>
      <c r="Z151" s="9">
        <v>1</v>
      </c>
      <c r="AA151" s="9">
        <v>15</v>
      </c>
      <c r="AC151" s="9">
        <f t="shared" si="10"/>
        <v>879</v>
      </c>
      <c r="AD151" s="9">
        <f t="shared" si="8"/>
        <v>7811</v>
      </c>
      <c r="AE151" s="10">
        <f t="shared" si="9"/>
        <v>8.8862343572241187</v>
      </c>
    </row>
    <row r="152" spans="1:31" x14ac:dyDescent="0.3">
      <c r="A152" s="55"/>
      <c r="B152" s="30" t="s">
        <v>154</v>
      </c>
      <c r="C152" s="9">
        <v>16</v>
      </c>
      <c r="D152" s="9">
        <v>5</v>
      </c>
      <c r="E152" s="9">
        <v>18</v>
      </c>
      <c r="F152" s="9">
        <v>29</v>
      </c>
      <c r="G152" s="9">
        <v>36</v>
      </c>
      <c r="H152" s="9">
        <v>75</v>
      </c>
      <c r="I152" s="9">
        <v>68</v>
      </c>
      <c r="J152" s="9">
        <v>64</v>
      </c>
      <c r="K152" s="9">
        <v>80</v>
      </c>
      <c r="L152" s="9">
        <v>38</v>
      </c>
      <c r="M152" s="9">
        <v>17</v>
      </c>
      <c r="N152" s="9">
        <v>20</v>
      </c>
      <c r="O152" s="9">
        <v>235</v>
      </c>
      <c r="P152" s="9">
        <v>10</v>
      </c>
      <c r="Q152" s="9">
        <v>23</v>
      </c>
      <c r="R152" s="9">
        <v>26</v>
      </c>
      <c r="S152" s="9">
        <v>4</v>
      </c>
      <c r="T152" s="9">
        <v>45</v>
      </c>
      <c r="U152" s="9">
        <v>2</v>
      </c>
      <c r="V152" s="9">
        <v>5</v>
      </c>
      <c r="W152" s="9">
        <v>0</v>
      </c>
      <c r="X152" s="9">
        <v>0</v>
      </c>
      <c r="Y152" s="9">
        <v>0</v>
      </c>
      <c r="Z152" s="9">
        <v>0</v>
      </c>
      <c r="AA152" s="9">
        <v>24</v>
      </c>
      <c r="AC152" s="9">
        <f t="shared" si="10"/>
        <v>840</v>
      </c>
      <c r="AD152" s="9">
        <f t="shared" si="8"/>
        <v>8073</v>
      </c>
      <c r="AE152" s="10">
        <f t="shared" si="9"/>
        <v>9.6107142857142858</v>
      </c>
    </row>
    <row r="153" spans="1:31" x14ac:dyDescent="0.3">
      <c r="A153" s="55"/>
      <c r="B153" s="30" t="s">
        <v>155</v>
      </c>
      <c r="C153" s="9">
        <v>43</v>
      </c>
      <c r="D153" s="9">
        <v>29</v>
      </c>
      <c r="E153" s="9">
        <v>45</v>
      </c>
      <c r="F153" s="9">
        <v>70</v>
      </c>
      <c r="G153" s="9">
        <v>86</v>
      </c>
      <c r="H153" s="9">
        <v>144</v>
      </c>
      <c r="I153" s="9">
        <v>136</v>
      </c>
      <c r="J153" s="9">
        <v>133</v>
      </c>
      <c r="K153" s="9">
        <v>174</v>
      </c>
      <c r="L153" s="9">
        <v>89</v>
      </c>
      <c r="M153" s="9">
        <v>89</v>
      </c>
      <c r="N153" s="9">
        <v>83</v>
      </c>
      <c r="O153" s="9">
        <v>686</v>
      </c>
      <c r="P153" s="9">
        <v>81</v>
      </c>
      <c r="Q153" s="9">
        <v>117</v>
      </c>
      <c r="R153" s="9">
        <v>201</v>
      </c>
      <c r="S153" s="9">
        <v>23</v>
      </c>
      <c r="T153" s="9">
        <v>302</v>
      </c>
      <c r="U153" s="9">
        <v>5</v>
      </c>
      <c r="V153" s="9">
        <v>12</v>
      </c>
      <c r="W153" s="9">
        <v>1</v>
      </c>
      <c r="X153" s="9">
        <v>0</v>
      </c>
      <c r="Y153" s="9">
        <v>0</v>
      </c>
      <c r="Z153" s="9">
        <v>0</v>
      </c>
      <c r="AA153" s="9">
        <v>37</v>
      </c>
      <c r="AC153" s="9">
        <f t="shared" si="10"/>
        <v>2586</v>
      </c>
      <c r="AD153" s="9">
        <f t="shared" si="8"/>
        <v>27802</v>
      </c>
      <c r="AE153" s="10">
        <f t="shared" si="9"/>
        <v>10.750966744006186</v>
      </c>
    </row>
    <row r="154" spans="1:31" x14ac:dyDescent="0.3">
      <c r="A154" s="55"/>
      <c r="B154" s="30" t="s">
        <v>156</v>
      </c>
      <c r="C154" s="9">
        <v>121</v>
      </c>
      <c r="D154" s="9">
        <v>84</v>
      </c>
      <c r="E154" s="9">
        <v>137</v>
      </c>
      <c r="F154" s="9">
        <v>241</v>
      </c>
      <c r="G154" s="9">
        <v>215</v>
      </c>
      <c r="H154" s="9">
        <v>404</v>
      </c>
      <c r="I154" s="9">
        <v>365</v>
      </c>
      <c r="J154" s="9">
        <v>335</v>
      </c>
      <c r="K154" s="9">
        <v>382</v>
      </c>
      <c r="L154" s="9">
        <v>197</v>
      </c>
      <c r="M154" s="9">
        <v>188</v>
      </c>
      <c r="N154" s="9">
        <v>183</v>
      </c>
      <c r="O154" s="9">
        <v>1795</v>
      </c>
      <c r="P154" s="9">
        <v>181</v>
      </c>
      <c r="Q154" s="9">
        <v>253</v>
      </c>
      <c r="R154" s="9">
        <v>298</v>
      </c>
      <c r="S154" s="9">
        <v>83</v>
      </c>
      <c r="T154" s="9">
        <v>786</v>
      </c>
      <c r="U154" s="9">
        <v>9</v>
      </c>
      <c r="V154" s="9">
        <v>17</v>
      </c>
      <c r="W154" s="9">
        <v>2</v>
      </c>
      <c r="X154" s="9">
        <v>0</v>
      </c>
      <c r="Y154" s="9">
        <v>0</v>
      </c>
      <c r="Z154" s="9">
        <v>0</v>
      </c>
      <c r="AA154" s="9">
        <v>64</v>
      </c>
      <c r="AC154" s="9">
        <f t="shared" si="10"/>
        <v>6340</v>
      </c>
      <c r="AD154" s="9">
        <f t="shared" si="8"/>
        <v>65874</v>
      </c>
      <c r="AE154" s="10">
        <f t="shared" si="9"/>
        <v>10.390220820189274</v>
      </c>
    </row>
    <row r="155" spans="1:31" x14ac:dyDescent="0.3">
      <c r="A155" s="55"/>
      <c r="B155" s="30" t="s">
        <v>157</v>
      </c>
      <c r="C155" s="9">
        <v>93</v>
      </c>
      <c r="D155" s="9">
        <v>70</v>
      </c>
      <c r="E155" s="9">
        <v>89</v>
      </c>
      <c r="F155" s="9">
        <v>191</v>
      </c>
      <c r="G155" s="9">
        <v>154</v>
      </c>
      <c r="H155" s="9">
        <v>298</v>
      </c>
      <c r="I155" s="9">
        <v>288</v>
      </c>
      <c r="J155" s="9">
        <v>211</v>
      </c>
      <c r="K155" s="9">
        <v>304</v>
      </c>
      <c r="L155" s="9">
        <v>153</v>
      </c>
      <c r="M155" s="9">
        <v>136</v>
      </c>
      <c r="N155" s="9">
        <v>123</v>
      </c>
      <c r="O155" s="9">
        <v>1360</v>
      </c>
      <c r="P155" s="9">
        <v>113</v>
      </c>
      <c r="Q155" s="9">
        <v>150</v>
      </c>
      <c r="R155" s="9">
        <v>215</v>
      </c>
      <c r="S155" s="9">
        <v>55</v>
      </c>
      <c r="T155" s="9">
        <v>587</v>
      </c>
      <c r="U155" s="9">
        <v>12</v>
      </c>
      <c r="V155" s="9">
        <v>11</v>
      </c>
      <c r="W155" s="9">
        <v>0</v>
      </c>
      <c r="X155" s="9">
        <v>0</v>
      </c>
      <c r="Y155" s="9">
        <v>0</v>
      </c>
      <c r="Z155" s="9">
        <v>4</v>
      </c>
      <c r="AA155" s="9">
        <v>49</v>
      </c>
      <c r="AC155" s="9">
        <f t="shared" si="10"/>
        <v>4666</v>
      </c>
      <c r="AD155" s="9">
        <f t="shared" si="8"/>
        <v>48320</v>
      </c>
      <c r="AE155" s="10">
        <f t="shared" si="9"/>
        <v>10.355765109301329</v>
      </c>
    </row>
    <row r="156" spans="1:31" x14ac:dyDescent="0.3">
      <c r="A156" s="55"/>
      <c r="B156" s="30" t="s">
        <v>158</v>
      </c>
      <c r="C156" s="9">
        <v>43</v>
      </c>
      <c r="D156" s="9">
        <v>30</v>
      </c>
      <c r="E156" s="9">
        <v>52</v>
      </c>
      <c r="F156" s="9">
        <v>89</v>
      </c>
      <c r="G156" s="9">
        <v>71</v>
      </c>
      <c r="H156" s="9">
        <v>126</v>
      </c>
      <c r="I156" s="9">
        <v>95</v>
      </c>
      <c r="J156" s="9">
        <v>55</v>
      </c>
      <c r="K156" s="9">
        <v>86</v>
      </c>
      <c r="L156" s="9">
        <v>61</v>
      </c>
      <c r="M156" s="9">
        <v>40</v>
      </c>
      <c r="N156" s="9">
        <v>38</v>
      </c>
      <c r="O156" s="9">
        <v>329</v>
      </c>
      <c r="P156" s="9">
        <v>27</v>
      </c>
      <c r="Q156" s="9">
        <v>75</v>
      </c>
      <c r="R156" s="9">
        <v>91</v>
      </c>
      <c r="S156" s="9">
        <v>13</v>
      </c>
      <c r="T156" s="9">
        <v>150</v>
      </c>
      <c r="U156" s="9">
        <v>1</v>
      </c>
      <c r="V156" s="9">
        <v>7</v>
      </c>
      <c r="W156" s="9">
        <v>0</v>
      </c>
      <c r="X156" s="9">
        <v>0</v>
      </c>
      <c r="Y156" s="9">
        <v>0</v>
      </c>
      <c r="Z156" s="9">
        <v>0</v>
      </c>
      <c r="AA156" s="9">
        <v>23</v>
      </c>
      <c r="AC156" s="9">
        <f t="shared" si="10"/>
        <v>1502</v>
      </c>
      <c r="AD156" s="9">
        <f t="shared" si="8"/>
        <v>14500</v>
      </c>
      <c r="AE156" s="10">
        <f t="shared" si="9"/>
        <v>9.6537949400798944</v>
      </c>
    </row>
    <row r="157" spans="1:31" x14ac:dyDescent="0.3">
      <c r="A157" s="55"/>
      <c r="B157" s="30" t="s">
        <v>159</v>
      </c>
      <c r="C157" s="9">
        <v>15</v>
      </c>
      <c r="D157" s="9">
        <v>4</v>
      </c>
      <c r="E157" s="9">
        <v>12</v>
      </c>
      <c r="F157" s="9">
        <v>24</v>
      </c>
      <c r="G157" s="9">
        <v>17</v>
      </c>
      <c r="H157" s="9">
        <v>28</v>
      </c>
      <c r="I157" s="9">
        <v>30</v>
      </c>
      <c r="J157" s="9">
        <v>18</v>
      </c>
      <c r="K157" s="9">
        <v>22</v>
      </c>
      <c r="L157" s="9">
        <v>8</v>
      </c>
      <c r="M157" s="9">
        <v>5</v>
      </c>
      <c r="N157" s="9">
        <v>5</v>
      </c>
      <c r="O157" s="9">
        <v>81</v>
      </c>
      <c r="P157" s="9">
        <v>6</v>
      </c>
      <c r="Q157" s="9">
        <v>12</v>
      </c>
      <c r="R157" s="9">
        <v>8</v>
      </c>
      <c r="S157" s="9">
        <v>2</v>
      </c>
      <c r="T157" s="9">
        <v>14</v>
      </c>
      <c r="U157" s="9">
        <v>0</v>
      </c>
      <c r="V157" s="9">
        <v>2</v>
      </c>
      <c r="W157" s="9">
        <v>0</v>
      </c>
      <c r="X157" s="9">
        <v>1</v>
      </c>
      <c r="Y157" s="9">
        <v>0</v>
      </c>
      <c r="Z157" s="9">
        <v>0</v>
      </c>
      <c r="AA157" s="9">
        <v>4</v>
      </c>
      <c r="AC157" s="9">
        <f t="shared" si="10"/>
        <v>318</v>
      </c>
      <c r="AD157" s="9">
        <f t="shared" si="8"/>
        <v>2730</v>
      </c>
      <c r="AE157" s="10">
        <f t="shared" si="9"/>
        <v>8.584905660377359</v>
      </c>
    </row>
    <row r="158" spans="1:31" x14ac:dyDescent="0.3">
      <c r="A158" s="55"/>
      <c r="B158" s="30" t="s">
        <v>160</v>
      </c>
      <c r="C158" s="9">
        <v>5</v>
      </c>
      <c r="D158" s="9">
        <v>4</v>
      </c>
      <c r="E158" s="9">
        <v>14</v>
      </c>
      <c r="F158" s="9">
        <v>14</v>
      </c>
      <c r="G158" s="9">
        <v>22</v>
      </c>
      <c r="H158" s="9">
        <v>22</v>
      </c>
      <c r="I158" s="9">
        <v>24</v>
      </c>
      <c r="J158" s="9">
        <v>8</v>
      </c>
      <c r="K158" s="9">
        <v>12</v>
      </c>
      <c r="L158" s="9">
        <v>7</v>
      </c>
      <c r="M158" s="9">
        <v>11</v>
      </c>
      <c r="N158" s="9">
        <v>8</v>
      </c>
      <c r="O158" s="9">
        <v>53</v>
      </c>
      <c r="P158" s="9">
        <v>4</v>
      </c>
      <c r="Q158" s="9">
        <v>5</v>
      </c>
      <c r="R158" s="9">
        <v>10</v>
      </c>
      <c r="S158" s="9">
        <v>1</v>
      </c>
      <c r="T158" s="9">
        <v>14</v>
      </c>
      <c r="U158" s="9">
        <v>1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4</v>
      </c>
      <c r="AC158" s="9">
        <f t="shared" si="10"/>
        <v>243</v>
      </c>
      <c r="AD158" s="9">
        <f t="shared" si="8"/>
        <v>2105</v>
      </c>
      <c r="AE158" s="10">
        <f t="shared" si="9"/>
        <v>8.662551440329219</v>
      </c>
    </row>
    <row r="159" spans="1:31" x14ac:dyDescent="0.3">
      <c r="A159" s="55"/>
      <c r="B159" s="30" t="s">
        <v>161</v>
      </c>
      <c r="C159" s="9">
        <v>73</v>
      </c>
      <c r="D159" s="9">
        <v>8</v>
      </c>
      <c r="E159" s="9">
        <v>33</v>
      </c>
      <c r="F159" s="9">
        <v>39</v>
      </c>
      <c r="G159" s="9">
        <v>51</v>
      </c>
      <c r="H159" s="9">
        <v>76</v>
      </c>
      <c r="I159" s="9">
        <v>55</v>
      </c>
      <c r="J159" s="9">
        <v>16</v>
      </c>
      <c r="K159" s="9">
        <v>24</v>
      </c>
      <c r="L159" s="9">
        <v>4</v>
      </c>
      <c r="M159" s="9">
        <v>10</v>
      </c>
      <c r="N159" s="9">
        <v>6</v>
      </c>
      <c r="O159" s="9">
        <v>42</v>
      </c>
      <c r="P159" s="9">
        <v>4</v>
      </c>
      <c r="Q159" s="9">
        <v>10</v>
      </c>
      <c r="R159" s="9">
        <v>9</v>
      </c>
      <c r="S159" s="9">
        <v>1</v>
      </c>
      <c r="T159" s="9">
        <v>10</v>
      </c>
      <c r="U159" s="9">
        <v>0</v>
      </c>
      <c r="V159" s="9">
        <v>3</v>
      </c>
      <c r="W159" s="9">
        <v>1</v>
      </c>
      <c r="X159" s="9">
        <v>0</v>
      </c>
      <c r="Y159" s="9">
        <v>0</v>
      </c>
      <c r="Z159" s="9">
        <v>0</v>
      </c>
      <c r="AA159" s="9">
        <v>8</v>
      </c>
      <c r="AC159" s="9">
        <f t="shared" si="10"/>
        <v>483</v>
      </c>
      <c r="AD159" s="9">
        <f t="shared" si="8"/>
        <v>2897</v>
      </c>
      <c r="AE159" s="10">
        <f t="shared" si="9"/>
        <v>5.9979296066252585</v>
      </c>
    </row>
    <row r="160" spans="1:31" x14ac:dyDescent="0.3">
      <c r="A160" s="55"/>
      <c r="B160" s="30" t="s">
        <v>162</v>
      </c>
      <c r="C160" s="9">
        <v>32</v>
      </c>
      <c r="D160" s="9">
        <v>20</v>
      </c>
      <c r="E160" s="9">
        <v>42</v>
      </c>
      <c r="F160" s="9">
        <v>82</v>
      </c>
      <c r="G160" s="9">
        <v>46</v>
      </c>
      <c r="H160" s="9">
        <v>122</v>
      </c>
      <c r="I160" s="9">
        <v>109</v>
      </c>
      <c r="J160" s="9">
        <v>73</v>
      </c>
      <c r="K160" s="9">
        <v>116</v>
      </c>
      <c r="L160" s="9">
        <v>54</v>
      </c>
      <c r="M160" s="9">
        <v>69</v>
      </c>
      <c r="N160" s="9">
        <v>60</v>
      </c>
      <c r="O160" s="9">
        <v>681</v>
      </c>
      <c r="P160" s="9">
        <v>83</v>
      </c>
      <c r="Q160" s="9">
        <v>303</v>
      </c>
      <c r="R160" s="9">
        <v>318</v>
      </c>
      <c r="S160" s="9">
        <v>93</v>
      </c>
      <c r="T160" s="9">
        <v>920</v>
      </c>
      <c r="U160" s="9">
        <v>9</v>
      </c>
      <c r="V160" s="9">
        <v>35</v>
      </c>
      <c r="W160" s="9">
        <v>0</v>
      </c>
      <c r="X160" s="9">
        <v>0</v>
      </c>
      <c r="Y160" s="9">
        <v>0</v>
      </c>
      <c r="Z160" s="9">
        <v>4</v>
      </c>
      <c r="AA160" s="9">
        <v>26</v>
      </c>
      <c r="AC160" s="9">
        <f t="shared" si="10"/>
        <v>3297</v>
      </c>
      <c r="AD160" s="9">
        <f t="shared" si="8"/>
        <v>42007</v>
      </c>
      <c r="AE160" s="10">
        <f t="shared" si="9"/>
        <v>12.740976645435245</v>
      </c>
    </row>
    <row r="161" spans="1:31" x14ac:dyDescent="0.3">
      <c r="A161" s="55"/>
      <c r="B161" s="30" t="s">
        <v>163</v>
      </c>
      <c r="C161" s="9">
        <v>14</v>
      </c>
      <c r="D161" s="9">
        <v>7</v>
      </c>
      <c r="E161" s="9">
        <v>14</v>
      </c>
      <c r="F161" s="9">
        <v>23</v>
      </c>
      <c r="G161" s="9">
        <v>13</v>
      </c>
      <c r="H161" s="9">
        <v>40</v>
      </c>
      <c r="I161" s="9">
        <v>29</v>
      </c>
      <c r="J161" s="9">
        <v>13</v>
      </c>
      <c r="K161" s="9">
        <v>33</v>
      </c>
      <c r="L161" s="9">
        <v>15</v>
      </c>
      <c r="M161" s="9">
        <v>17</v>
      </c>
      <c r="N161" s="9">
        <v>21</v>
      </c>
      <c r="O161" s="9">
        <v>207</v>
      </c>
      <c r="P161" s="9">
        <v>17</v>
      </c>
      <c r="Q161" s="9">
        <v>52</v>
      </c>
      <c r="R161" s="9">
        <v>62</v>
      </c>
      <c r="S161" s="9">
        <v>7</v>
      </c>
      <c r="T161" s="9">
        <v>130</v>
      </c>
      <c r="U161" s="9">
        <v>2</v>
      </c>
      <c r="V161" s="9">
        <v>8</v>
      </c>
      <c r="W161" s="9">
        <v>0</v>
      </c>
      <c r="X161" s="9">
        <v>0</v>
      </c>
      <c r="Y161" s="9">
        <v>0</v>
      </c>
      <c r="Z161" s="9">
        <v>0</v>
      </c>
      <c r="AA161" s="9">
        <v>21</v>
      </c>
      <c r="AC161" s="9">
        <f t="shared" si="10"/>
        <v>745</v>
      </c>
      <c r="AD161" s="9">
        <f t="shared" si="8"/>
        <v>8798</v>
      </c>
      <c r="AE161" s="10">
        <f t="shared" si="9"/>
        <v>11.809395973154363</v>
      </c>
    </row>
    <row r="162" spans="1:31" x14ac:dyDescent="0.3">
      <c r="A162" s="55"/>
      <c r="B162" s="30" t="s">
        <v>164</v>
      </c>
      <c r="C162" s="9">
        <v>13</v>
      </c>
      <c r="D162" s="9">
        <v>6</v>
      </c>
      <c r="E162" s="9">
        <v>11</v>
      </c>
      <c r="F162" s="9">
        <v>19</v>
      </c>
      <c r="G162" s="9">
        <v>19</v>
      </c>
      <c r="H162" s="9">
        <v>42</v>
      </c>
      <c r="I162" s="9">
        <v>31</v>
      </c>
      <c r="J162" s="9">
        <v>26</v>
      </c>
      <c r="K162" s="9">
        <v>34</v>
      </c>
      <c r="L162" s="9">
        <v>11</v>
      </c>
      <c r="M162" s="9">
        <v>15</v>
      </c>
      <c r="N162" s="9">
        <v>17</v>
      </c>
      <c r="O162" s="9">
        <v>253</v>
      </c>
      <c r="P162" s="9">
        <v>21</v>
      </c>
      <c r="Q162" s="9">
        <v>100</v>
      </c>
      <c r="R162" s="9">
        <v>94</v>
      </c>
      <c r="S162" s="9">
        <v>25</v>
      </c>
      <c r="T162" s="9">
        <v>335</v>
      </c>
      <c r="U162" s="9">
        <v>6</v>
      </c>
      <c r="V162" s="9">
        <v>10</v>
      </c>
      <c r="W162" s="9">
        <v>0</v>
      </c>
      <c r="X162" s="9">
        <v>0</v>
      </c>
      <c r="Y162" s="9">
        <v>2</v>
      </c>
      <c r="Z162" s="9">
        <v>1</v>
      </c>
      <c r="AA162" s="9">
        <v>11</v>
      </c>
      <c r="AC162" s="9">
        <f t="shared" si="10"/>
        <v>1102</v>
      </c>
      <c r="AD162" s="9">
        <f t="shared" si="8"/>
        <v>14290</v>
      </c>
      <c r="AE162" s="10">
        <f t="shared" si="9"/>
        <v>12.967332123411978</v>
      </c>
    </row>
    <row r="163" spans="1:31" x14ac:dyDescent="0.3">
      <c r="A163" s="55"/>
      <c r="B163" s="30" t="s">
        <v>165</v>
      </c>
      <c r="C163" s="9">
        <v>3</v>
      </c>
      <c r="D163" s="9">
        <v>0</v>
      </c>
      <c r="E163" s="9">
        <v>0</v>
      </c>
      <c r="F163" s="9">
        <v>0</v>
      </c>
      <c r="G163" s="9">
        <v>0</v>
      </c>
      <c r="H163" s="9">
        <v>3</v>
      </c>
      <c r="I163" s="9">
        <v>2</v>
      </c>
      <c r="J163" s="9">
        <v>0</v>
      </c>
      <c r="K163" s="9">
        <v>3</v>
      </c>
      <c r="L163" s="9">
        <v>4</v>
      </c>
      <c r="M163" s="9">
        <v>2</v>
      </c>
      <c r="N163" s="9">
        <v>3</v>
      </c>
      <c r="O163" s="9">
        <v>30</v>
      </c>
      <c r="P163" s="9">
        <v>1</v>
      </c>
      <c r="Q163" s="9">
        <v>7</v>
      </c>
      <c r="R163" s="9">
        <v>8</v>
      </c>
      <c r="S163" s="9">
        <v>3</v>
      </c>
      <c r="T163" s="9">
        <v>19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2</v>
      </c>
      <c r="AC163" s="9">
        <f t="shared" si="10"/>
        <v>90</v>
      </c>
      <c r="AD163" s="9">
        <f t="shared" si="8"/>
        <v>1150</v>
      </c>
      <c r="AE163" s="10">
        <f t="shared" si="9"/>
        <v>12.777777777777779</v>
      </c>
    </row>
    <row r="164" spans="1:31" x14ac:dyDescent="0.3">
      <c r="A164" s="55"/>
      <c r="B164" s="30" t="s">
        <v>166</v>
      </c>
      <c r="C164" s="9">
        <v>6</v>
      </c>
      <c r="D164" s="9">
        <v>0</v>
      </c>
      <c r="E164" s="9">
        <v>4</v>
      </c>
      <c r="F164" s="9">
        <v>7</v>
      </c>
      <c r="G164" s="9">
        <v>6</v>
      </c>
      <c r="H164" s="9">
        <v>11</v>
      </c>
      <c r="I164" s="9">
        <v>12</v>
      </c>
      <c r="J164" s="9">
        <v>8</v>
      </c>
      <c r="K164" s="9">
        <v>19</v>
      </c>
      <c r="L164" s="9">
        <v>3</v>
      </c>
      <c r="M164" s="9">
        <v>5</v>
      </c>
      <c r="N164" s="9">
        <v>8</v>
      </c>
      <c r="O164" s="9">
        <v>129</v>
      </c>
      <c r="P164" s="9">
        <v>6</v>
      </c>
      <c r="Q164" s="9">
        <v>41</v>
      </c>
      <c r="R164" s="9">
        <v>24</v>
      </c>
      <c r="S164" s="9">
        <v>11</v>
      </c>
      <c r="T164" s="9">
        <v>62</v>
      </c>
      <c r="U164" s="9">
        <v>0</v>
      </c>
      <c r="V164" s="9">
        <v>1</v>
      </c>
      <c r="W164" s="9">
        <v>1</v>
      </c>
      <c r="X164" s="9">
        <v>0</v>
      </c>
      <c r="Y164" s="9">
        <v>0</v>
      </c>
      <c r="Z164" s="9">
        <v>1</v>
      </c>
      <c r="AA164" s="9">
        <v>10</v>
      </c>
      <c r="AC164" s="9">
        <f t="shared" si="10"/>
        <v>375</v>
      </c>
      <c r="AD164" s="9">
        <f t="shared" si="8"/>
        <v>4645</v>
      </c>
      <c r="AE164" s="10">
        <f t="shared" si="9"/>
        <v>12.386666666666667</v>
      </c>
    </row>
    <row r="165" spans="1:31" x14ac:dyDescent="0.3">
      <c r="A165" s="55"/>
      <c r="B165" s="30" t="s">
        <v>167</v>
      </c>
      <c r="C165" s="9">
        <v>20</v>
      </c>
      <c r="D165" s="9">
        <v>13</v>
      </c>
      <c r="E165" s="9">
        <v>21</v>
      </c>
      <c r="F165" s="9">
        <v>47</v>
      </c>
      <c r="G165" s="9">
        <v>37</v>
      </c>
      <c r="H165" s="9">
        <v>52</v>
      </c>
      <c r="I165" s="9">
        <v>37</v>
      </c>
      <c r="J165" s="9">
        <v>23</v>
      </c>
      <c r="K165" s="9">
        <v>30</v>
      </c>
      <c r="L165" s="9">
        <v>15</v>
      </c>
      <c r="M165" s="9">
        <v>13</v>
      </c>
      <c r="N165" s="9">
        <v>12</v>
      </c>
      <c r="O165" s="9">
        <v>79</v>
      </c>
      <c r="P165" s="9">
        <v>6</v>
      </c>
      <c r="Q165" s="9">
        <v>13</v>
      </c>
      <c r="R165" s="9">
        <v>11</v>
      </c>
      <c r="S165" s="9">
        <v>4</v>
      </c>
      <c r="T165" s="9">
        <v>22</v>
      </c>
      <c r="U165" s="9">
        <v>0</v>
      </c>
      <c r="V165" s="9">
        <v>0</v>
      </c>
      <c r="W165" s="9">
        <v>0</v>
      </c>
      <c r="X165" s="9">
        <v>1</v>
      </c>
      <c r="Y165" s="9">
        <v>0</v>
      </c>
      <c r="Z165" s="9">
        <v>0</v>
      </c>
      <c r="AA165" s="9">
        <v>27</v>
      </c>
      <c r="AC165" s="9">
        <f t="shared" si="10"/>
        <v>483</v>
      </c>
      <c r="AD165" s="9">
        <f t="shared" si="8"/>
        <v>4104</v>
      </c>
      <c r="AE165" s="10">
        <f t="shared" si="9"/>
        <v>8.4968944099378874</v>
      </c>
    </row>
    <row r="166" spans="1:31" x14ac:dyDescent="0.3">
      <c r="A166" s="55"/>
      <c r="B166" s="30" t="s">
        <v>168</v>
      </c>
      <c r="C166" s="9">
        <v>20</v>
      </c>
      <c r="D166" s="9">
        <v>20</v>
      </c>
      <c r="E166" s="9">
        <v>26</v>
      </c>
      <c r="F166" s="9">
        <v>62</v>
      </c>
      <c r="G166" s="9">
        <v>64</v>
      </c>
      <c r="H166" s="9">
        <v>105</v>
      </c>
      <c r="I166" s="9">
        <v>85</v>
      </c>
      <c r="J166" s="9">
        <v>75</v>
      </c>
      <c r="K166" s="9">
        <v>89</v>
      </c>
      <c r="L166" s="9">
        <v>41</v>
      </c>
      <c r="M166" s="9">
        <v>25</v>
      </c>
      <c r="N166" s="9">
        <v>28</v>
      </c>
      <c r="O166" s="9">
        <v>339</v>
      </c>
      <c r="P166" s="9">
        <v>25</v>
      </c>
      <c r="Q166" s="9">
        <v>62</v>
      </c>
      <c r="R166" s="9">
        <v>45</v>
      </c>
      <c r="S166" s="9">
        <v>5</v>
      </c>
      <c r="T166" s="9">
        <v>113</v>
      </c>
      <c r="U166" s="9">
        <v>1</v>
      </c>
      <c r="V166" s="9">
        <v>8</v>
      </c>
      <c r="W166" s="9">
        <v>1</v>
      </c>
      <c r="X166" s="9">
        <v>0</v>
      </c>
      <c r="Y166" s="9">
        <v>0</v>
      </c>
      <c r="Z166" s="9">
        <v>1</v>
      </c>
      <c r="AA166" s="9">
        <v>31</v>
      </c>
      <c r="AC166" s="9">
        <f t="shared" si="10"/>
        <v>1271</v>
      </c>
      <c r="AD166" s="9">
        <f t="shared" si="8"/>
        <v>12607</v>
      </c>
      <c r="AE166" s="10">
        <f t="shared" si="9"/>
        <v>9.9189614476789938</v>
      </c>
    </row>
    <row r="167" spans="1:31" x14ac:dyDescent="0.3">
      <c r="A167" s="55"/>
      <c r="B167" s="30" t="s">
        <v>169</v>
      </c>
      <c r="C167" s="9">
        <v>45</v>
      </c>
      <c r="D167" s="9">
        <v>28</v>
      </c>
      <c r="E167" s="9">
        <v>53</v>
      </c>
      <c r="F167" s="9">
        <v>98</v>
      </c>
      <c r="G167" s="9">
        <v>94</v>
      </c>
      <c r="H167" s="9">
        <v>136</v>
      </c>
      <c r="I167" s="9">
        <v>142</v>
      </c>
      <c r="J167" s="9">
        <v>114</v>
      </c>
      <c r="K167" s="9">
        <v>156</v>
      </c>
      <c r="L167" s="9">
        <v>80</v>
      </c>
      <c r="M167" s="9">
        <v>66</v>
      </c>
      <c r="N167" s="9">
        <v>70</v>
      </c>
      <c r="O167" s="9">
        <v>813</v>
      </c>
      <c r="P167" s="9">
        <v>53</v>
      </c>
      <c r="Q167" s="9">
        <v>142</v>
      </c>
      <c r="R167" s="9">
        <v>180</v>
      </c>
      <c r="S167" s="9">
        <v>25</v>
      </c>
      <c r="T167" s="9">
        <v>328</v>
      </c>
      <c r="U167" s="9">
        <v>5</v>
      </c>
      <c r="V167" s="9">
        <v>16</v>
      </c>
      <c r="W167" s="9">
        <v>1</v>
      </c>
      <c r="X167" s="9">
        <v>0</v>
      </c>
      <c r="Y167" s="9">
        <v>0</v>
      </c>
      <c r="Z167" s="9">
        <v>0</v>
      </c>
      <c r="AA167" s="9">
        <v>33</v>
      </c>
      <c r="AC167" s="9">
        <f t="shared" si="10"/>
        <v>2678</v>
      </c>
      <c r="AD167" s="9">
        <f t="shared" si="8"/>
        <v>28847</v>
      </c>
      <c r="AE167" s="10">
        <f t="shared" si="9"/>
        <v>10.771844660194175</v>
      </c>
    </row>
    <row r="168" spans="1:31" x14ac:dyDescent="0.3">
      <c r="A168" s="55"/>
      <c r="B168" s="30" t="s">
        <v>170</v>
      </c>
      <c r="C168" s="9">
        <v>207</v>
      </c>
      <c r="D168" s="9">
        <v>135</v>
      </c>
      <c r="E168" s="9">
        <v>203</v>
      </c>
      <c r="F168" s="9">
        <v>339</v>
      </c>
      <c r="G168" s="9">
        <v>306</v>
      </c>
      <c r="H168" s="9">
        <v>613</v>
      </c>
      <c r="I168" s="9">
        <v>531</v>
      </c>
      <c r="J168" s="9">
        <v>433</v>
      </c>
      <c r="K168" s="9">
        <v>689</v>
      </c>
      <c r="L168" s="9">
        <v>410</v>
      </c>
      <c r="M168" s="9">
        <v>458</v>
      </c>
      <c r="N168" s="9">
        <v>477</v>
      </c>
      <c r="O168" s="9">
        <v>7046</v>
      </c>
      <c r="P168" s="9">
        <v>1003</v>
      </c>
      <c r="Q168" s="9">
        <v>2545</v>
      </c>
      <c r="R168" s="9">
        <v>3527</v>
      </c>
      <c r="S168" s="9">
        <v>1088</v>
      </c>
      <c r="T168" s="9">
        <v>9533</v>
      </c>
      <c r="U168" s="9">
        <v>190</v>
      </c>
      <c r="V168" s="9">
        <v>504</v>
      </c>
      <c r="W168" s="9">
        <v>5</v>
      </c>
      <c r="X168" s="9">
        <v>8</v>
      </c>
      <c r="Y168" s="9">
        <v>7</v>
      </c>
      <c r="Z168" s="9">
        <v>18</v>
      </c>
      <c r="AA168" s="9">
        <v>244</v>
      </c>
      <c r="AC168" s="9">
        <f t="shared" si="10"/>
        <v>30519</v>
      </c>
      <c r="AD168" s="9">
        <f t="shared" si="8"/>
        <v>416376</v>
      </c>
      <c r="AE168" s="10">
        <f t="shared" si="9"/>
        <v>13.643173105278679</v>
      </c>
    </row>
    <row r="169" spans="1:31" x14ac:dyDescent="0.3">
      <c r="A169" s="55"/>
      <c r="B169" s="30" t="s">
        <v>171</v>
      </c>
      <c r="C169" s="9">
        <v>8</v>
      </c>
      <c r="D169" s="9">
        <v>5</v>
      </c>
      <c r="E169" s="9">
        <v>7</v>
      </c>
      <c r="F169" s="9">
        <v>19</v>
      </c>
      <c r="G169" s="9">
        <v>31</v>
      </c>
      <c r="H169" s="9">
        <v>59</v>
      </c>
      <c r="I169" s="9">
        <v>53</v>
      </c>
      <c r="J169" s="9">
        <v>42</v>
      </c>
      <c r="K169" s="9">
        <v>76</v>
      </c>
      <c r="L169" s="9">
        <v>36</v>
      </c>
      <c r="M169" s="9">
        <v>44</v>
      </c>
      <c r="N169" s="9">
        <v>44</v>
      </c>
      <c r="O169" s="9">
        <v>636</v>
      </c>
      <c r="P169" s="9">
        <v>57</v>
      </c>
      <c r="Q169" s="9">
        <v>145</v>
      </c>
      <c r="R169" s="9">
        <v>165</v>
      </c>
      <c r="S169" s="9">
        <v>34</v>
      </c>
      <c r="T169" s="9">
        <v>328</v>
      </c>
      <c r="U169" s="9">
        <v>8</v>
      </c>
      <c r="V169" s="9">
        <v>16</v>
      </c>
      <c r="W169" s="9">
        <v>0</v>
      </c>
      <c r="X169" s="9">
        <v>0</v>
      </c>
      <c r="Y169" s="9">
        <v>0</v>
      </c>
      <c r="Z169" s="9">
        <v>1</v>
      </c>
      <c r="AA169" s="9">
        <v>19</v>
      </c>
      <c r="AC169" s="9">
        <f t="shared" si="10"/>
        <v>1833</v>
      </c>
      <c r="AD169" s="9">
        <f t="shared" si="8"/>
        <v>22888</v>
      </c>
      <c r="AE169" s="10">
        <f t="shared" si="9"/>
        <v>12.486633933442445</v>
      </c>
    </row>
    <row r="170" spans="1:31" x14ac:dyDescent="0.3">
      <c r="A170" s="55"/>
      <c r="B170" s="30" t="s">
        <v>172</v>
      </c>
      <c r="C170" s="9">
        <v>13</v>
      </c>
      <c r="D170" s="9">
        <v>7</v>
      </c>
      <c r="E170" s="9">
        <v>10</v>
      </c>
      <c r="F170" s="9">
        <v>7</v>
      </c>
      <c r="G170" s="9">
        <v>9</v>
      </c>
      <c r="H170" s="9">
        <v>30</v>
      </c>
      <c r="I170" s="9">
        <v>15</v>
      </c>
      <c r="J170" s="9">
        <v>23</v>
      </c>
      <c r="K170" s="9">
        <v>47</v>
      </c>
      <c r="L170" s="9">
        <v>20</v>
      </c>
      <c r="M170" s="9">
        <v>34</v>
      </c>
      <c r="N170" s="9">
        <v>24</v>
      </c>
      <c r="O170" s="9">
        <v>343</v>
      </c>
      <c r="P170" s="9">
        <v>23</v>
      </c>
      <c r="Q170" s="9">
        <v>43</v>
      </c>
      <c r="R170" s="9">
        <v>44</v>
      </c>
      <c r="S170" s="9">
        <v>10</v>
      </c>
      <c r="T170" s="9">
        <v>81</v>
      </c>
      <c r="U170" s="9">
        <v>0</v>
      </c>
      <c r="V170" s="9">
        <v>4</v>
      </c>
      <c r="W170" s="9">
        <v>0</v>
      </c>
      <c r="X170" s="9">
        <v>0</v>
      </c>
      <c r="Y170" s="9">
        <v>0</v>
      </c>
      <c r="Z170" s="9">
        <v>0</v>
      </c>
      <c r="AA170" s="9">
        <v>32</v>
      </c>
      <c r="AC170" s="9">
        <f t="shared" si="10"/>
        <v>819</v>
      </c>
      <c r="AD170" s="9">
        <f t="shared" si="8"/>
        <v>9703</v>
      </c>
      <c r="AE170" s="10">
        <f t="shared" si="9"/>
        <v>11.847374847374848</v>
      </c>
    </row>
    <row r="171" spans="1:31" x14ac:dyDescent="0.3">
      <c r="A171" s="55"/>
      <c r="B171" s="30" t="s">
        <v>173</v>
      </c>
      <c r="C171" s="9">
        <v>18</v>
      </c>
      <c r="D171" s="9">
        <v>15</v>
      </c>
      <c r="E171" s="9">
        <v>9</v>
      </c>
      <c r="F171" s="9">
        <v>30</v>
      </c>
      <c r="G171" s="9">
        <v>36</v>
      </c>
      <c r="H171" s="9">
        <v>99</v>
      </c>
      <c r="I171" s="9">
        <v>59</v>
      </c>
      <c r="J171" s="9">
        <v>31</v>
      </c>
      <c r="K171" s="9">
        <v>51</v>
      </c>
      <c r="L171" s="9">
        <v>33</v>
      </c>
      <c r="M171" s="9">
        <v>33</v>
      </c>
      <c r="N171" s="9">
        <v>43</v>
      </c>
      <c r="O171" s="9">
        <v>473</v>
      </c>
      <c r="P171" s="9">
        <v>20</v>
      </c>
      <c r="Q171" s="9">
        <v>65</v>
      </c>
      <c r="R171" s="9">
        <v>71</v>
      </c>
      <c r="S171" s="9">
        <v>13</v>
      </c>
      <c r="T171" s="9">
        <v>146</v>
      </c>
      <c r="U171" s="9">
        <v>1</v>
      </c>
      <c r="V171" s="9">
        <v>2</v>
      </c>
      <c r="W171" s="9">
        <v>0</v>
      </c>
      <c r="X171" s="9">
        <v>0</v>
      </c>
      <c r="Y171" s="9">
        <v>0</v>
      </c>
      <c r="Z171" s="9">
        <v>1</v>
      </c>
      <c r="AA171" s="9">
        <v>22</v>
      </c>
      <c r="AC171" s="9">
        <f t="shared" si="10"/>
        <v>1271</v>
      </c>
      <c r="AD171" s="9">
        <f t="shared" si="8"/>
        <v>14049</v>
      </c>
      <c r="AE171" s="10">
        <f t="shared" si="9"/>
        <v>11.053501180173091</v>
      </c>
    </row>
    <row r="172" spans="1:31" x14ac:dyDescent="0.3">
      <c r="A172" s="55"/>
      <c r="B172" s="30" t="s">
        <v>174</v>
      </c>
      <c r="C172" s="9">
        <v>56</v>
      </c>
      <c r="D172" s="9">
        <v>21</v>
      </c>
      <c r="E172" s="9">
        <v>52</v>
      </c>
      <c r="F172" s="9">
        <v>86</v>
      </c>
      <c r="G172" s="9">
        <v>101</v>
      </c>
      <c r="H172" s="9">
        <v>207</v>
      </c>
      <c r="I172" s="9">
        <v>146</v>
      </c>
      <c r="J172" s="9">
        <v>69</v>
      </c>
      <c r="K172" s="9">
        <v>120</v>
      </c>
      <c r="L172" s="9">
        <v>67</v>
      </c>
      <c r="M172" s="9">
        <v>73</v>
      </c>
      <c r="N172" s="9">
        <v>61</v>
      </c>
      <c r="O172" s="9">
        <v>842</v>
      </c>
      <c r="P172" s="9">
        <v>77</v>
      </c>
      <c r="Q172" s="9">
        <v>144</v>
      </c>
      <c r="R172" s="9">
        <v>136</v>
      </c>
      <c r="S172" s="9">
        <v>43</v>
      </c>
      <c r="T172" s="9">
        <v>411</v>
      </c>
      <c r="U172" s="9">
        <v>10</v>
      </c>
      <c r="V172" s="9">
        <v>14</v>
      </c>
      <c r="W172" s="9">
        <v>1</v>
      </c>
      <c r="X172" s="9">
        <v>0</v>
      </c>
      <c r="Y172" s="9">
        <v>0</v>
      </c>
      <c r="Z172" s="9">
        <v>1</v>
      </c>
      <c r="AA172" s="9">
        <v>46</v>
      </c>
      <c r="AC172" s="9">
        <f t="shared" si="10"/>
        <v>2784</v>
      </c>
      <c r="AD172" s="9">
        <f t="shared" si="8"/>
        <v>30574</v>
      </c>
      <c r="AE172" s="10">
        <f t="shared" si="9"/>
        <v>10.982040229885058</v>
      </c>
    </row>
    <row r="173" spans="1:31" x14ac:dyDescent="0.3">
      <c r="A173" s="55"/>
      <c r="B173" s="30" t="s">
        <v>175</v>
      </c>
      <c r="C173" s="9">
        <v>7</v>
      </c>
      <c r="D173" s="9">
        <v>1</v>
      </c>
      <c r="E173" s="9">
        <v>5</v>
      </c>
      <c r="F173" s="9">
        <v>1</v>
      </c>
      <c r="G173" s="9">
        <v>5</v>
      </c>
      <c r="H173" s="9">
        <v>8</v>
      </c>
      <c r="I173" s="9">
        <v>12</v>
      </c>
      <c r="J173" s="9">
        <v>6</v>
      </c>
      <c r="K173" s="9">
        <v>15</v>
      </c>
      <c r="L173" s="9">
        <v>8</v>
      </c>
      <c r="M173" s="9">
        <v>11</v>
      </c>
      <c r="N173" s="9">
        <v>9</v>
      </c>
      <c r="O173" s="9">
        <v>125</v>
      </c>
      <c r="P173" s="9">
        <v>6</v>
      </c>
      <c r="Q173" s="9">
        <v>31</v>
      </c>
      <c r="R173" s="9">
        <v>31</v>
      </c>
      <c r="S173" s="9">
        <v>4</v>
      </c>
      <c r="T173" s="9">
        <v>76</v>
      </c>
      <c r="U173" s="9">
        <v>1</v>
      </c>
      <c r="V173" s="9">
        <v>5</v>
      </c>
      <c r="W173" s="9">
        <v>0</v>
      </c>
      <c r="X173" s="9">
        <v>0</v>
      </c>
      <c r="Y173" s="9">
        <v>0</v>
      </c>
      <c r="Z173" s="9">
        <v>1</v>
      </c>
      <c r="AA173" s="9">
        <v>21</v>
      </c>
      <c r="AC173" s="9">
        <f t="shared" si="10"/>
        <v>389</v>
      </c>
      <c r="AD173" s="9">
        <f t="shared" si="8"/>
        <v>5062</v>
      </c>
      <c r="AE173" s="10">
        <f t="shared" si="9"/>
        <v>13.012853470437017</v>
      </c>
    </row>
    <row r="174" spans="1:31" x14ac:dyDescent="0.3">
      <c r="A174" s="55"/>
      <c r="B174" s="30" t="s">
        <v>176</v>
      </c>
      <c r="C174" s="9">
        <v>6</v>
      </c>
      <c r="D174" s="9">
        <v>7</v>
      </c>
      <c r="E174" s="9">
        <v>4</v>
      </c>
      <c r="F174" s="9">
        <v>6</v>
      </c>
      <c r="G174" s="9">
        <v>7</v>
      </c>
      <c r="H174" s="9">
        <v>21</v>
      </c>
      <c r="I174" s="9">
        <v>20</v>
      </c>
      <c r="J174" s="9">
        <v>21</v>
      </c>
      <c r="K174" s="9">
        <v>71</v>
      </c>
      <c r="L174" s="9">
        <v>33</v>
      </c>
      <c r="M174" s="9">
        <v>55</v>
      </c>
      <c r="N174" s="9">
        <v>24</v>
      </c>
      <c r="O174" s="9">
        <v>559</v>
      </c>
      <c r="P174" s="9">
        <v>26</v>
      </c>
      <c r="Q174" s="9">
        <v>74</v>
      </c>
      <c r="R174" s="9">
        <v>84</v>
      </c>
      <c r="S174" s="9">
        <v>25</v>
      </c>
      <c r="T174" s="9">
        <v>192</v>
      </c>
      <c r="U174" s="9">
        <v>2</v>
      </c>
      <c r="V174" s="9">
        <v>6</v>
      </c>
      <c r="W174" s="9">
        <v>0</v>
      </c>
      <c r="X174" s="9">
        <v>0</v>
      </c>
      <c r="Y174" s="9">
        <v>0</v>
      </c>
      <c r="Z174" s="9">
        <v>1</v>
      </c>
      <c r="AA174" s="9">
        <v>38</v>
      </c>
      <c r="AC174" s="9">
        <f t="shared" si="10"/>
        <v>1282</v>
      </c>
      <c r="AD174" s="9">
        <f t="shared" si="8"/>
        <v>16203</v>
      </c>
      <c r="AE174" s="10">
        <f t="shared" si="9"/>
        <v>12.638845553822152</v>
      </c>
    </row>
    <row r="175" spans="1:31" x14ac:dyDescent="0.3">
      <c r="A175" s="55"/>
      <c r="B175" s="30" t="s">
        <v>177</v>
      </c>
      <c r="C175" s="9">
        <v>2</v>
      </c>
      <c r="D175" s="9">
        <v>0</v>
      </c>
      <c r="E175" s="9">
        <v>0</v>
      </c>
      <c r="F175" s="9">
        <v>1</v>
      </c>
      <c r="G175" s="9">
        <v>2</v>
      </c>
      <c r="H175" s="9">
        <v>2</v>
      </c>
      <c r="I175" s="9">
        <v>4</v>
      </c>
      <c r="J175" s="9">
        <v>3</v>
      </c>
      <c r="K175" s="9">
        <v>9</v>
      </c>
      <c r="L175" s="9">
        <v>3</v>
      </c>
      <c r="M175" s="9">
        <v>7</v>
      </c>
      <c r="N175" s="9">
        <v>3</v>
      </c>
      <c r="O175" s="9">
        <v>88</v>
      </c>
      <c r="P175" s="9">
        <v>3</v>
      </c>
      <c r="Q175" s="9">
        <v>18</v>
      </c>
      <c r="R175" s="9">
        <v>14</v>
      </c>
      <c r="S175" s="9">
        <v>2</v>
      </c>
      <c r="T175" s="9">
        <v>37</v>
      </c>
      <c r="U175" s="9">
        <v>0</v>
      </c>
      <c r="V175" s="9">
        <v>1</v>
      </c>
      <c r="W175" s="9">
        <v>0</v>
      </c>
      <c r="X175" s="9">
        <v>0</v>
      </c>
      <c r="Y175" s="9">
        <v>0</v>
      </c>
      <c r="Z175" s="9">
        <v>0</v>
      </c>
      <c r="AA175" s="9">
        <v>7</v>
      </c>
      <c r="AC175" s="9">
        <f t="shared" si="10"/>
        <v>206</v>
      </c>
      <c r="AD175" s="9">
        <f t="shared" si="8"/>
        <v>2673</v>
      </c>
      <c r="AE175" s="10">
        <f t="shared" si="9"/>
        <v>12.975728155339805</v>
      </c>
    </row>
    <row r="176" spans="1:31" x14ac:dyDescent="0.3">
      <c r="A176" s="55"/>
      <c r="B176" s="30" t="s">
        <v>178</v>
      </c>
      <c r="C176" s="9">
        <v>1</v>
      </c>
      <c r="D176" s="9">
        <v>0</v>
      </c>
      <c r="E176" s="9">
        <v>1</v>
      </c>
      <c r="F176" s="9">
        <v>5</v>
      </c>
      <c r="G176" s="9">
        <v>5</v>
      </c>
      <c r="H176" s="9">
        <v>18</v>
      </c>
      <c r="I176" s="9">
        <v>12</v>
      </c>
      <c r="J176" s="9">
        <v>4</v>
      </c>
      <c r="K176" s="9">
        <v>22</v>
      </c>
      <c r="L176" s="9">
        <v>12</v>
      </c>
      <c r="M176" s="9">
        <v>19</v>
      </c>
      <c r="N176" s="9">
        <v>10</v>
      </c>
      <c r="O176" s="9">
        <v>276</v>
      </c>
      <c r="P176" s="9">
        <v>15</v>
      </c>
      <c r="Q176" s="9">
        <v>13</v>
      </c>
      <c r="R176" s="9">
        <v>37</v>
      </c>
      <c r="S176" s="9">
        <v>5</v>
      </c>
      <c r="T176" s="9">
        <v>88</v>
      </c>
      <c r="U176" s="9">
        <v>4</v>
      </c>
      <c r="V176" s="9">
        <v>8</v>
      </c>
      <c r="W176" s="9">
        <v>0</v>
      </c>
      <c r="X176" s="9">
        <v>0</v>
      </c>
      <c r="Y176" s="9">
        <v>0</v>
      </c>
      <c r="Z176" s="9">
        <v>0</v>
      </c>
      <c r="AA176" s="9">
        <v>10</v>
      </c>
      <c r="AC176" s="9">
        <f t="shared" si="10"/>
        <v>565</v>
      </c>
      <c r="AD176" s="9">
        <f t="shared" si="8"/>
        <v>7095</v>
      </c>
      <c r="AE176" s="10">
        <f t="shared" si="9"/>
        <v>12.557522123893806</v>
      </c>
    </row>
    <row r="177" spans="1:31" x14ac:dyDescent="0.3">
      <c r="A177" s="55"/>
      <c r="B177" s="30" t="s">
        <v>179</v>
      </c>
      <c r="C177" s="9">
        <v>5</v>
      </c>
      <c r="D177" s="9">
        <v>0</v>
      </c>
      <c r="E177" s="9">
        <v>1</v>
      </c>
      <c r="F177" s="9">
        <v>2</v>
      </c>
      <c r="G177" s="9">
        <v>1</v>
      </c>
      <c r="H177" s="9">
        <v>7</v>
      </c>
      <c r="I177" s="9">
        <v>11</v>
      </c>
      <c r="J177" s="9">
        <v>6</v>
      </c>
      <c r="K177" s="9">
        <v>16</v>
      </c>
      <c r="L177" s="9">
        <v>6</v>
      </c>
      <c r="M177" s="9">
        <v>11</v>
      </c>
      <c r="N177" s="9">
        <v>14</v>
      </c>
      <c r="O177" s="9">
        <v>200</v>
      </c>
      <c r="P177" s="9">
        <v>9</v>
      </c>
      <c r="Q177" s="9">
        <v>19</v>
      </c>
      <c r="R177" s="9">
        <v>30</v>
      </c>
      <c r="S177" s="9">
        <v>10</v>
      </c>
      <c r="T177" s="9">
        <v>86</v>
      </c>
      <c r="U177" s="9">
        <v>0</v>
      </c>
      <c r="V177" s="9">
        <v>1</v>
      </c>
      <c r="W177" s="9">
        <v>1</v>
      </c>
      <c r="X177" s="9">
        <v>0</v>
      </c>
      <c r="Y177" s="9">
        <v>0</v>
      </c>
      <c r="Z177" s="9">
        <v>2</v>
      </c>
      <c r="AA177" s="9">
        <v>6</v>
      </c>
      <c r="AC177" s="9">
        <f t="shared" si="10"/>
        <v>444</v>
      </c>
      <c r="AD177" s="9">
        <f t="shared" si="8"/>
        <v>5685</v>
      </c>
      <c r="AE177" s="10">
        <f t="shared" si="9"/>
        <v>12.804054054054054</v>
      </c>
    </row>
    <row r="178" spans="1:31" x14ac:dyDescent="0.3">
      <c r="A178" s="55"/>
      <c r="B178" s="30" t="s">
        <v>180</v>
      </c>
      <c r="C178" s="9">
        <v>1</v>
      </c>
      <c r="D178" s="9">
        <v>0</v>
      </c>
      <c r="E178" s="9">
        <v>2</v>
      </c>
      <c r="F178" s="9">
        <v>0</v>
      </c>
      <c r="G178" s="9">
        <v>4</v>
      </c>
      <c r="H178" s="9">
        <v>9</v>
      </c>
      <c r="I178" s="9">
        <v>7</v>
      </c>
      <c r="J178" s="9">
        <v>4</v>
      </c>
      <c r="K178" s="9">
        <v>7</v>
      </c>
      <c r="L178" s="9">
        <v>5</v>
      </c>
      <c r="M178" s="9">
        <v>8</v>
      </c>
      <c r="N178" s="9">
        <v>14</v>
      </c>
      <c r="O178" s="9">
        <v>169</v>
      </c>
      <c r="P178" s="9">
        <v>7</v>
      </c>
      <c r="Q178" s="9">
        <v>15</v>
      </c>
      <c r="R178" s="9">
        <v>25</v>
      </c>
      <c r="S178" s="9">
        <v>1</v>
      </c>
      <c r="T178" s="9">
        <v>69</v>
      </c>
      <c r="U178" s="9">
        <v>0</v>
      </c>
      <c r="V178" s="9">
        <v>2</v>
      </c>
      <c r="W178" s="9">
        <v>0</v>
      </c>
      <c r="X178" s="9">
        <v>0</v>
      </c>
      <c r="Y178" s="9">
        <v>0</v>
      </c>
      <c r="Z178" s="9">
        <v>0</v>
      </c>
      <c r="AA178" s="9">
        <v>12</v>
      </c>
      <c r="AC178" s="9">
        <f t="shared" si="10"/>
        <v>361</v>
      </c>
      <c r="AD178" s="9">
        <f t="shared" si="8"/>
        <v>4689</v>
      </c>
      <c r="AE178" s="10">
        <f t="shared" si="9"/>
        <v>12.988919667590027</v>
      </c>
    </row>
    <row r="179" spans="1:31" x14ac:dyDescent="0.3">
      <c r="A179" s="55"/>
      <c r="B179" s="30" t="s">
        <v>181</v>
      </c>
      <c r="C179" s="9">
        <v>4</v>
      </c>
      <c r="D179" s="9">
        <v>1</v>
      </c>
      <c r="E179" s="9">
        <v>0</v>
      </c>
      <c r="F179" s="9">
        <v>0</v>
      </c>
      <c r="G179" s="9">
        <v>2</v>
      </c>
      <c r="H179" s="9">
        <v>6</v>
      </c>
      <c r="I179" s="9">
        <v>1</v>
      </c>
      <c r="J179" s="9">
        <v>7</v>
      </c>
      <c r="K179" s="9">
        <v>9</v>
      </c>
      <c r="L179" s="9">
        <v>1</v>
      </c>
      <c r="M179" s="9">
        <v>9</v>
      </c>
      <c r="N179" s="9">
        <v>9</v>
      </c>
      <c r="O179" s="9">
        <v>179</v>
      </c>
      <c r="P179" s="9">
        <v>15</v>
      </c>
      <c r="Q179" s="9">
        <v>17</v>
      </c>
      <c r="R179" s="9">
        <v>16</v>
      </c>
      <c r="S179" s="9">
        <v>10</v>
      </c>
      <c r="T179" s="9">
        <v>90</v>
      </c>
      <c r="U179" s="9">
        <v>1</v>
      </c>
      <c r="V179" s="9">
        <v>3</v>
      </c>
      <c r="W179" s="9">
        <v>0</v>
      </c>
      <c r="X179" s="9">
        <v>0</v>
      </c>
      <c r="Y179" s="9">
        <v>0</v>
      </c>
      <c r="Z179" s="9">
        <v>0</v>
      </c>
      <c r="AA179" s="9">
        <v>5</v>
      </c>
      <c r="AC179" s="9">
        <f t="shared" si="10"/>
        <v>385</v>
      </c>
      <c r="AD179" s="9">
        <f t="shared" si="8"/>
        <v>5070</v>
      </c>
      <c r="AE179" s="10">
        <f t="shared" si="9"/>
        <v>13.168831168831169</v>
      </c>
    </row>
    <row r="180" spans="1:31" x14ac:dyDescent="0.3">
      <c r="A180" s="55"/>
      <c r="B180" s="30" t="s">
        <v>182</v>
      </c>
      <c r="C180" s="9">
        <v>0</v>
      </c>
      <c r="D180" s="9">
        <v>1</v>
      </c>
      <c r="E180" s="9">
        <v>0</v>
      </c>
      <c r="F180" s="9">
        <v>0</v>
      </c>
      <c r="G180" s="9">
        <v>0</v>
      </c>
      <c r="H180" s="9">
        <v>5</v>
      </c>
      <c r="I180" s="9">
        <v>0</v>
      </c>
      <c r="J180" s="9">
        <v>3</v>
      </c>
      <c r="K180" s="9">
        <v>5</v>
      </c>
      <c r="L180" s="9">
        <v>2</v>
      </c>
      <c r="M180" s="9">
        <v>5</v>
      </c>
      <c r="N180" s="9">
        <v>3</v>
      </c>
      <c r="O180" s="9">
        <v>74</v>
      </c>
      <c r="P180" s="9">
        <v>2</v>
      </c>
      <c r="Q180" s="9">
        <v>5</v>
      </c>
      <c r="R180" s="9">
        <v>9</v>
      </c>
      <c r="S180" s="9">
        <v>2</v>
      </c>
      <c r="T180" s="9">
        <v>25</v>
      </c>
      <c r="U180" s="9">
        <v>0</v>
      </c>
      <c r="V180" s="9">
        <v>1</v>
      </c>
      <c r="W180" s="9">
        <v>0</v>
      </c>
      <c r="X180" s="9">
        <v>0</v>
      </c>
      <c r="Y180" s="9">
        <v>0</v>
      </c>
      <c r="Z180" s="9">
        <v>0</v>
      </c>
      <c r="AA180" s="9">
        <v>9</v>
      </c>
      <c r="AC180" s="9">
        <f t="shared" si="10"/>
        <v>151</v>
      </c>
      <c r="AD180" s="9">
        <f t="shared" si="8"/>
        <v>1999</v>
      </c>
      <c r="AE180" s="10">
        <f t="shared" si="9"/>
        <v>13.23841059602649</v>
      </c>
    </row>
    <row r="181" spans="1:31" x14ac:dyDescent="0.3">
      <c r="A181" s="55"/>
      <c r="B181" s="30" t="s">
        <v>183</v>
      </c>
      <c r="C181" s="9">
        <v>2</v>
      </c>
      <c r="D181" s="9">
        <v>0</v>
      </c>
      <c r="E181" s="9">
        <v>2</v>
      </c>
      <c r="F181" s="9">
        <v>0</v>
      </c>
      <c r="G181" s="9">
        <v>0</v>
      </c>
      <c r="H181" s="9">
        <v>1</v>
      </c>
      <c r="I181" s="9">
        <v>0</v>
      </c>
      <c r="J181" s="9">
        <v>3</v>
      </c>
      <c r="K181" s="9">
        <v>4</v>
      </c>
      <c r="L181" s="9">
        <v>2</v>
      </c>
      <c r="M181" s="9">
        <v>4</v>
      </c>
      <c r="N181" s="9">
        <v>0</v>
      </c>
      <c r="O181" s="9">
        <v>31</v>
      </c>
      <c r="P181" s="9">
        <v>0</v>
      </c>
      <c r="Q181" s="9">
        <v>6</v>
      </c>
      <c r="R181" s="9">
        <v>6</v>
      </c>
      <c r="S181" s="9">
        <v>1</v>
      </c>
      <c r="T181" s="9">
        <v>6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C181" s="9">
        <f t="shared" si="10"/>
        <v>68</v>
      </c>
      <c r="AD181" s="9">
        <f t="shared" si="8"/>
        <v>784</v>
      </c>
      <c r="AE181" s="10">
        <f t="shared" si="9"/>
        <v>11.529411764705882</v>
      </c>
    </row>
    <row r="182" spans="1:31" x14ac:dyDescent="0.3">
      <c r="A182" s="55"/>
      <c r="B182" s="30" t="s">
        <v>184</v>
      </c>
      <c r="C182" s="9">
        <v>7</v>
      </c>
      <c r="D182" s="9">
        <v>4</v>
      </c>
      <c r="E182" s="9">
        <v>1</v>
      </c>
      <c r="F182" s="9">
        <v>4</v>
      </c>
      <c r="G182" s="9">
        <v>4</v>
      </c>
      <c r="H182" s="9">
        <v>10</v>
      </c>
      <c r="I182" s="9">
        <v>4</v>
      </c>
      <c r="J182" s="9">
        <v>11</v>
      </c>
      <c r="K182" s="9">
        <v>28</v>
      </c>
      <c r="L182" s="9">
        <v>14</v>
      </c>
      <c r="M182" s="9">
        <v>20</v>
      </c>
      <c r="N182" s="9">
        <v>17</v>
      </c>
      <c r="O182" s="9">
        <v>220</v>
      </c>
      <c r="P182" s="9">
        <v>6</v>
      </c>
      <c r="Q182" s="9">
        <v>16</v>
      </c>
      <c r="R182" s="9">
        <v>14</v>
      </c>
      <c r="S182" s="9">
        <v>2</v>
      </c>
      <c r="T182" s="9">
        <v>38</v>
      </c>
      <c r="U182" s="9">
        <v>0</v>
      </c>
      <c r="V182" s="9">
        <v>1</v>
      </c>
      <c r="W182" s="9">
        <v>0</v>
      </c>
      <c r="X182" s="9">
        <v>0</v>
      </c>
      <c r="Y182" s="9">
        <v>1</v>
      </c>
      <c r="Z182" s="9">
        <v>0</v>
      </c>
      <c r="AA182" s="9">
        <v>11</v>
      </c>
      <c r="AC182" s="9">
        <f t="shared" si="10"/>
        <v>433</v>
      </c>
      <c r="AD182" s="9">
        <f t="shared" si="8"/>
        <v>5057</v>
      </c>
      <c r="AE182" s="10">
        <f t="shared" si="9"/>
        <v>11.678983833718245</v>
      </c>
    </row>
    <row r="183" spans="1:31" x14ac:dyDescent="0.3">
      <c r="A183" s="55"/>
      <c r="B183" s="30" t="s">
        <v>185</v>
      </c>
      <c r="C183" s="9">
        <v>9</v>
      </c>
      <c r="D183" s="9">
        <v>4</v>
      </c>
      <c r="E183" s="9">
        <v>2</v>
      </c>
      <c r="F183" s="9">
        <v>3</v>
      </c>
      <c r="G183" s="9">
        <v>7</v>
      </c>
      <c r="H183" s="9">
        <v>11</v>
      </c>
      <c r="I183" s="9">
        <v>23</v>
      </c>
      <c r="J183" s="9">
        <v>7</v>
      </c>
      <c r="K183" s="9">
        <v>21</v>
      </c>
      <c r="L183" s="9">
        <v>16</v>
      </c>
      <c r="M183" s="9">
        <v>22</v>
      </c>
      <c r="N183" s="9">
        <v>13</v>
      </c>
      <c r="O183" s="9">
        <v>237</v>
      </c>
      <c r="P183" s="9">
        <v>25</v>
      </c>
      <c r="Q183" s="9">
        <v>80</v>
      </c>
      <c r="R183" s="9">
        <v>80</v>
      </c>
      <c r="S183" s="9">
        <v>20</v>
      </c>
      <c r="T183" s="9">
        <v>129</v>
      </c>
      <c r="U183" s="9">
        <v>7</v>
      </c>
      <c r="V183" s="9">
        <v>5</v>
      </c>
      <c r="W183" s="9">
        <v>0</v>
      </c>
      <c r="X183" s="9">
        <v>0</v>
      </c>
      <c r="Y183" s="9">
        <v>0</v>
      </c>
      <c r="Z183" s="9">
        <v>0</v>
      </c>
      <c r="AA183" s="9">
        <v>15</v>
      </c>
      <c r="AC183" s="9">
        <f t="shared" si="10"/>
        <v>736</v>
      </c>
      <c r="AD183" s="9">
        <f t="shared" si="8"/>
        <v>9545</v>
      </c>
      <c r="AE183" s="10">
        <f t="shared" si="9"/>
        <v>12.96875</v>
      </c>
    </row>
    <row r="184" spans="1:31" x14ac:dyDescent="0.3">
      <c r="A184" s="55"/>
      <c r="B184" s="30" t="s">
        <v>186</v>
      </c>
      <c r="C184" s="9">
        <v>2</v>
      </c>
      <c r="D184" s="9">
        <v>5</v>
      </c>
      <c r="E184" s="9">
        <v>5</v>
      </c>
      <c r="F184" s="9">
        <v>4</v>
      </c>
      <c r="G184" s="9">
        <v>2</v>
      </c>
      <c r="H184" s="9">
        <v>9</v>
      </c>
      <c r="I184" s="9">
        <v>9</v>
      </c>
      <c r="J184" s="9">
        <v>3</v>
      </c>
      <c r="K184" s="9">
        <v>9</v>
      </c>
      <c r="L184" s="9">
        <v>3</v>
      </c>
      <c r="M184" s="9">
        <v>3</v>
      </c>
      <c r="N184" s="9">
        <v>4</v>
      </c>
      <c r="O184" s="9">
        <v>119</v>
      </c>
      <c r="P184" s="9">
        <v>7</v>
      </c>
      <c r="Q184" s="9">
        <v>25</v>
      </c>
      <c r="R184" s="9">
        <v>20</v>
      </c>
      <c r="S184" s="9">
        <v>8</v>
      </c>
      <c r="T184" s="9">
        <v>40</v>
      </c>
      <c r="U184" s="9">
        <v>1</v>
      </c>
      <c r="V184" s="9">
        <v>2</v>
      </c>
      <c r="W184" s="9">
        <v>0</v>
      </c>
      <c r="X184" s="9">
        <v>0</v>
      </c>
      <c r="Y184" s="9">
        <v>0</v>
      </c>
      <c r="Z184" s="9">
        <v>1</v>
      </c>
      <c r="AA184" s="9">
        <v>3</v>
      </c>
      <c r="AC184" s="9">
        <f t="shared" si="10"/>
        <v>284</v>
      </c>
      <c r="AD184" s="9">
        <f t="shared" si="8"/>
        <v>3456</v>
      </c>
      <c r="AE184" s="10">
        <f t="shared" si="9"/>
        <v>12.169014084507042</v>
      </c>
    </row>
    <row r="185" spans="1:31" x14ac:dyDescent="0.3">
      <c r="A185" s="55"/>
      <c r="B185" s="30" t="s">
        <v>187</v>
      </c>
      <c r="C185" s="9">
        <v>2</v>
      </c>
      <c r="D185" s="9">
        <v>0</v>
      </c>
      <c r="E185" s="9">
        <v>1</v>
      </c>
      <c r="F185" s="9">
        <v>1</v>
      </c>
      <c r="G185" s="9">
        <v>1</v>
      </c>
      <c r="H185" s="9">
        <v>8</v>
      </c>
      <c r="I185" s="9">
        <v>2</v>
      </c>
      <c r="J185" s="9">
        <v>3</v>
      </c>
      <c r="K185" s="9">
        <v>7</v>
      </c>
      <c r="L185" s="9">
        <v>5</v>
      </c>
      <c r="M185" s="9">
        <v>10</v>
      </c>
      <c r="N185" s="9">
        <v>1</v>
      </c>
      <c r="O185" s="9">
        <v>100</v>
      </c>
      <c r="P185" s="9">
        <v>15</v>
      </c>
      <c r="Q185" s="9">
        <v>34</v>
      </c>
      <c r="R185" s="9">
        <v>23</v>
      </c>
      <c r="S185" s="9">
        <v>3</v>
      </c>
      <c r="T185" s="9">
        <v>49</v>
      </c>
      <c r="U185" s="9">
        <v>2</v>
      </c>
      <c r="V185" s="9">
        <v>1</v>
      </c>
      <c r="W185" s="9">
        <v>0</v>
      </c>
      <c r="X185" s="9">
        <v>0</v>
      </c>
      <c r="Y185" s="9">
        <v>0</v>
      </c>
      <c r="Z185" s="9">
        <v>0</v>
      </c>
      <c r="AA185" s="9">
        <v>3</v>
      </c>
      <c r="AC185" s="9">
        <f t="shared" si="10"/>
        <v>271</v>
      </c>
      <c r="AD185" s="9">
        <f t="shared" si="8"/>
        <v>3518</v>
      </c>
      <c r="AE185" s="10">
        <f t="shared" si="9"/>
        <v>12.981549815498155</v>
      </c>
    </row>
    <row r="186" spans="1:31" x14ac:dyDescent="0.3">
      <c r="A186" s="55"/>
      <c r="B186" s="30" t="s">
        <v>188</v>
      </c>
      <c r="C186" s="9">
        <v>13</v>
      </c>
      <c r="D186" s="9">
        <v>6</v>
      </c>
      <c r="E186" s="9">
        <v>13</v>
      </c>
      <c r="F186" s="9">
        <v>21</v>
      </c>
      <c r="G186" s="9">
        <v>25</v>
      </c>
      <c r="H186" s="9">
        <v>32</v>
      </c>
      <c r="I186" s="9">
        <v>22</v>
      </c>
      <c r="J186" s="9">
        <v>18</v>
      </c>
      <c r="K186" s="9">
        <v>53</v>
      </c>
      <c r="L186" s="9">
        <v>29</v>
      </c>
      <c r="M186" s="9">
        <v>42</v>
      </c>
      <c r="N186" s="9">
        <v>42</v>
      </c>
      <c r="O186" s="9">
        <v>478</v>
      </c>
      <c r="P186" s="9">
        <v>82</v>
      </c>
      <c r="Q186" s="9">
        <v>137</v>
      </c>
      <c r="R186" s="9">
        <v>166</v>
      </c>
      <c r="S186" s="9">
        <v>37</v>
      </c>
      <c r="T186" s="9">
        <v>336</v>
      </c>
      <c r="U186" s="9">
        <v>10</v>
      </c>
      <c r="V186" s="9">
        <v>16</v>
      </c>
      <c r="W186" s="9">
        <v>1</v>
      </c>
      <c r="X186" s="9">
        <v>0</v>
      </c>
      <c r="Y186" s="9">
        <v>0</v>
      </c>
      <c r="Z186" s="9">
        <v>1</v>
      </c>
      <c r="AA186" s="9">
        <v>14</v>
      </c>
      <c r="AC186" s="9">
        <f t="shared" si="10"/>
        <v>1594</v>
      </c>
      <c r="AD186" s="9">
        <f t="shared" si="8"/>
        <v>20557</v>
      </c>
      <c r="AE186" s="10">
        <f t="shared" si="9"/>
        <v>12.896486825595986</v>
      </c>
    </row>
    <row r="187" spans="1:31" x14ac:dyDescent="0.3">
      <c r="A187" s="55"/>
      <c r="B187" s="30" t="s">
        <v>189</v>
      </c>
      <c r="C187" s="9">
        <v>2</v>
      </c>
      <c r="D187" s="9">
        <v>4</v>
      </c>
      <c r="E187" s="9">
        <v>3</v>
      </c>
      <c r="F187" s="9">
        <v>6</v>
      </c>
      <c r="G187" s="9">
        <v>5</v>
      </c>
      <c r="H187" s="9">
        <v>13</v>
      </c>
      <c r="I187" s="9">
        <v>10</v>
      </c>
      <c r="J187" s="9">
        <v>7</v>
      </c>
      <c r="K187" s="9">
        <v>9</v>
      </c>
      <c r="L187" s="9">
        <v>9</v>
      </c>
      <c r="M187" s="9">
        <v>8</v>
      </c>
      <c r="N187" s="9">
        <v>7</v>
      </c>
      <c r="O187" s="9">
        <v>145</v>
      </c>
      <c r="P187" s="9">
        <v>19</v>
      </c>
      <c r="Q187" s="9">
        <v>39</v>
      </c>
      <c r="R187" s="9">
        <v>48</v>
      </c>
      <c r="S187" s="9">
        <v>12</v>
      </c>
      <c r="T187" s="9">
        <v>106</v>
      </c>
      <c r="U187" s="9">
        <v>2</v>
      </c>
      <c r="V187" s="9">
        <v>2</v>
      </c>
      <c r="W187" s="9">
        <v>0</v>
      </c>
      <c r="X187" s="9">
        <v>0</v>
      </c>
      <c r="Y187" s="9">
        <v>0</v>
      </c>
      <c r="Z187" s="9">
        <v>2</v>
      </c>
      <c r="AA187" s="9">
        <v>6</v>
      </c>
      <c r="AC187" s="9">
        <f t="shared" si="10"/>
        <v>464</v>
      </c>
      <c r="AD187" s="9">
        <f t="shared" si="8"/>
        <v>6043</v>
      </c>
      <c r="AE187" s="10">
        <f t="shared" si="9"/>
        <v>13.023706896551724</v>
      </c>
    </row>
    <row r="188" spans="1:31" x14ac:dyDescent="0.3">
      <c r="A188" s="55"/>
      <c r="B188" s="30" t="s">
        <v>190</v>
      </c>
      <c r="C188" s="9">
        <v>16</v>
      </c>
      <c r="D188" s="9">
        <v>10</v>
      </c>
      <c r="E188" s="9">
        <v>5</v>
      </c>
      <c r="F188" s="9">
        <v>10</v>
      </c>
      <c r="G188" s="9">
        <v>12</v>
      </c>
      <c r="H188" s="9">
        <v>28</v>
      </c>
      <c r="I188" s="9">
        <v>17</v>
      </c>
      <c r="J188" s="9">
        <v>38</v>
      </c>
      <c r="K188" s="9">
        <v>57</v>
      </c>
      <c r="L188" s="9">
        <v>32</v>
      </c>
      <c r="M188" s="9">
        <v>36</v>
      </c>
      <c r="N188" s="9">
        <v>32</v>
      </c>
      <c r="O188" s="9">
        <v>449</v>
      </c>
      <c r="P188" s="9">
        <v>27</v>
      </c>
      <c r="Q188" s="9">
        <v>78</v>
      </c>
      <c r="R188" s="9">
        <v>80</v>
      </c>
      <c r="S188" s="9">
        <v>19</v>
      </c>
      <c r="T188" s="9">
        <v>182</v>
      </c>
      <c r="U188" s="9">
        <v>2</v>
      </c>
      <c r="V188" s="9">
        <v>8</v>
      </c>
      <c r="W188" s="9">
        <v>0</v>
      </c>
      <c r="X188" s="9">
        <v>0</v>
      </c>
      <c r="Y188" s="9">
        <v>0</v>
      </c>
      <c r="Z188" s="9">
        <v>1</v>
      </c>
      <c r="AA188" s="9">
        <v>26</v>
      </c>
      <c r="AC188" s="9">
        <f t="shared" si="10"/>
        <v>1165</v>
      </c>
      <c r="AD188" s="9">
        <f t="shared" si="8"/>
        <v>14326</v>
      </c>
      <c r="AE188" s="10">
        <f t="shared" si="9"/>
        <v>12.296995708154506</v>
      </c>
    </row>
    <row r="189" spans="1:31" x14ac:dyDescent="0.3">
      <c r="A189" s="55"/>
      <c r="B189" s="30" t="s">
        <v>191</v>
      </c>
      <c r="C189" s="9">
        <v>2</v>
      </c>
      <c r="D189" s="9">
        <v>1</v>
      </c>
      <c r="E189" s="9">
        <v>2</v>
      </c>
      <c r="F189" s="9">
        <v>2</v>
      </c>
      <c r="G189" s="9">
        <v>3</v>
      </c>
      <c r="H189" s="9">
        <v>11</v>
      </c>
      <c r="I189" s="9">
        <v>10</v>
      </c>
      <c r="J189" s="9">
        <v>3</v>
      </c>
      <c r="K189" s="9">
        <v>6</v>
      </c>
      <c r="L189" s="9">
        <v>1</v>
      </c>
      <c r="M189" s="9">
        <v>5</v>
      </c>
      <c r="N189" s="9">
        <v>3</v>
      </c>
      <c r="O189" s="9">
        <v>85</v>
      </c>
      <c r="P189" s="9">
        <v>8</v>
      </c>
      <c r="Q189" s="9">
        <v>19</v>
      </c>
      <c r="R189" s="9">
        <v>13</v>
      </c>
      <c r="S189" s="9">
        <v>4</v>
      </c>
      <c r="T189" s="9">
        <v>28</v>
      </c>
      <c r="U189" s="9">
        <v>0</v>
      </c>
      <c r="V189" s="9">
        <v>2</v>
      </c>
      <c r="W189" s="9">
        <v>0</v>
      </c>
      <c r="X189" s="9">
        <v>0</v>
      </c>
      <c r="Y189" s="9">
        <v>0</v>
      </c>
      <c r="Z189" s="9">
        <v>0</v>
      </c>
      <c r="AA189" s="9">
        <v>3</v>
      </c>
      <c r="AC189" s="9">
        <f t="shared" si="10"/>
        <v>211</v>
      </c>
      <c r="AD189" s="9">
        <f t="shared" si="8"/>
        <v>2534</v>
      </c>
      <c r="AE189" s="10">
        <f t="shared" si="9"/>
        <v>12.009478672985782</v>
      </c>
    </row>
    <row r="190" spans="1:31" x14ac:dyDescent="0.3">
      <c r="A190" s="55"/>
      <c r="B190" s="30" t="s">
        <v>192</v>
      </c>
      <c r="C190" s="9">
        <v>15</v>
      </c>
      <c r="D190" s="9">
        <v>3</v>
      </c>
      <c r="E190" s="9">
        <v>9</v>
      </c>
      <c r="F190" s="9">
        <v>18</v>
      </c>
      <c r="G190" s="9">
        <v>17</v>
      </c>
      <c r="H190" s="9">
        <v>27</v>
      </c>
      <c r="I190" s="9">
        <v>28</v>
      </c>
      <c r="J190" s="9">
        <v>19</v>
      </c>
      <c r="K190" s="9">
        <v>53</v>
      </c>
      <c r="L190" s="9">
        <v>29</v>
      </c>
      <c r="M190" s="9">
        <v>69</v>
      </c>
      <c r="N190" s="9">
        <v>34</v>
      </c>
      <c r="O190" s="9">
        <v>659</v>
      </c>
      <c r="P190" s="9">
        <v>42</v>
      </c>
      <c r="Q190" s="9">
        <v>104</v>
      </c>
      <c r="R190" s="9">
        <v>101</v>
      </c>
      <c r="S190" s="9">
        <v>35</v>
      </c>
      <c r="T190" s="9">
        <v>225</v>
      </c>
      <c r="U190" s="9">
        <v>7</v>
      </c>
      <c r="V190" s="9">
        <v>6</v>
      </c>
      <c r="W190" s="9">
        <v>1</v>
      </c>
      <c r="X190" s="9">
        <v>0</v>
      </c>
      <c r="Y190" s="9">
        <v>0</v>
      </c>
      <c r="Z190" s="9">
        <v>2</v>
      </c>
      <c r="AA190" s="9">
        <v>27</v>
      </c>
      <c r="AC190" s="9">
        <f t="shared" si="10"/>
        <v>1530</v>
      </c>
      <c r="AD190" s="9">
        <f t="shared" si="8"/>
        <v>19092</v>
      </c>
      <c r="AE190" s="10">
        <f t="shared" si="9"/>
        <v>12.47843137254902</v>
      </c>
    </row>
    <row r="191" spans="1:31" x14ac:dyDescent="0.3">
      <c r="A191" s="55"/>
      <c r="B191" s="30" t="s">
        <v>193</v>
      </c>
      <c r="C191" s="9">
        <v>0</v>
      </c>
      <c r="D191" s="9">
        <v>0</v>
      </c>
      <c r="E191" s="9">
        <v>1</v>
      </c>
      <c r="F191" s="9">
        <v>0</v>
      </c>
      <c r="G191" s="9">
        <v>0</v>
      </c>
      <c r="H191" s="9">
        <v>1</v>
      </c>
      <c r="I191" s="9">
        <v>2</v>
      </c>
      <c r="J191" s="9">
        <v>2</v>
      </c>
      <c r="K191" s="9">
        <v>6</v>
      </c>
      <c r="L191" s="9">
        <v>3</v>
      </c>
      <c r="M191" s="9">
        <v>9</v>
      </c>
      <c r="N191" s="9">
        <v>7</v>
      </c>
      <c r="O191" s="9">
        <v>66</v>
      </c>
      <c r="P191" s="9">
        <v>8</v>
      </c>
      <c r="Q191" s="9">
        <v>11</v>
      </c>
      <c r="R191" s="9">
        <v>7</v>
      </c>
      <c r="S191" s="9">
        <v>2</v>
      </c>
      <c r="T191" s="9">
        <v>9</v>
      </c>
      <c r="U191" s="9">
        <v>0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4</v>
      </c>
      <c r="AC191" s="9">
        <f t="shared" si="10"/>
        <v>139</v>
      </c>
      <c r="AD191" s="9">
        <f t="shared" si="8"/>
        <v>1730</v>
      </c>
      <c r="AE191" s="10">
        <f t="shared" si="9"/>
        <v>12.446043165467627</v>
      </c>
    </row>
    <row r="192" spans="1:31" x14ac:dyDescent="0.3">
      <c r="A192" s="55"/>
      <c r="B192" s="30" t="s">
        <v>194</v>
      </c>
      <c r="C192" s="9">
        <v>4</v>
      </c>
      <c r="D192" s="9">
        <v>0</v>
      </c>
      <c r="E192" s="9">
        <v>2</v>
      </c>
      <c r="F192" s="9">
        <v>2</v>
      </c>
      <c r="G192" s="9">
        <v>4</v>
      </c>
      <c r="H192" s="9">
        <v>16</v>
      </c>
      <c r="I192" s="9">
        <v>11</v>
      </c>
      <c r="J192" s="9">
        <v>17</v>
      </c>
      <c r="K192" s="9">
        <v>22</v>
      </c>
      <c r="L192" s="9">
        <v>11</v>
      </c>
      <c r="M192" s="9">
        <v>11</v>
      </c>
      <c r="N192" s="9">
        <v>5</v>
      </c>
      <c r="O192" s="9">
        <v>97</v>
      </c>
      <c r="P192" s="9">
        <v>4</v>
      </c>
      <c r="Q192" s="9">
        <v>2</v>
      </c>
      <c r="R192" s="9">
        <v>4</v>
      </c>
      <c r="S192" s="9">
        <v>1</v>
      </c>
      <c r="T192" s="9">
        <v>10</v>
      </c>
      <c r="U192" s="9">
        <v>1</v>
      </c>
      <c r="V192" s="9">
        <v>0</v>
      </c>
      <c r="W192" s="9">
        <v>2</v>
      </c>
      <c r="X192" s="9">
        <v>0</v>
      </c>
      <c r="Y192" s="9">
        <v>0</v>
      </c>
      <c r="Z192" s="9">
        <v>0</v>
      </c>
      <c r="AA192" s="9">
        <v>7</v>
      </c>
      <c r="AC192" s="9">
        <f t="shared" si="10"/>
        <v>233</v>
      </c>
      <c r="AD192" s="9">
        <f t="shared" si="8"/>
        <v>2447</v>
      </c>
      <c r="AE192" s="10">
        <f t="shared" si="9"/>
        <v>10.502145922746781</v>
      </c>
    </row>
    <row r="193" spans="1:31" x14ac:dyDescent="0.3">
      <c r="A193" s="55"/>
      <c r="B193" s="30" t="s">
        <v>195</v>
      </c>
      <c r="C193" s="9">
        <v>8</v>
      </c>
      <c r="D193" s="9">
        <v>2</v>
      </c>
      <c r="E193" s="9">
        <v>8</v>
      </c>
      <c r="F193" s="9">
        <v>13</v>
      </c>
      <c r="G193" s="9">
        <v>15</v>
      </c>
      <c r="H193" s="9">
        <v>35</v>
      </c>
      <c r="I193" s="9">
        <v>20</v>
      </c>
      <c r="J193" s="9">
        <v>26</v>
      </c>
      <c r="K193" s="9">
        <v>45</v>
      </c>
      <c r="L193" s="9">
        <v>28</v>
      </c>
      <c r="M193" s="9">
        <v>35</v>
      </c>
      <c r="N193" s="9">
        <v>30</v>
      </c>
      <c r="O193" s="9">
        <v>361</v>
      </c>
      <c r="P193" s="9">
        <v>25</v>
      </c>
      <c r="Q193" s="9">
        <v>46</v>
      </c>
      <c r="R193" s="9">
        <v>58</v>
      </c>
      <c r="S193" s="9">
        <v>18</v>
      </c>
      <c r="T193" s="9">
        <v>101</v>
      </c>
      <c r="U193" s="9">
        <v>5</v>
      </c>
      <c r="V193" s="9">
        <v>4</v>
      </c>
      <c r="W193" s="9">
        <v>0</v>
      </c>
      <c r="X193" s="9">
        <v>1</v>
      </c>
      <c r="Y193" s="9">
        <v>0</v>
      </c>
      <c r="Z193" s="9">
        <v>2</v>
      </c>
      <c r="AA193" s="9">
        <v>20</v>
      </c>
      <c r="AC193" s="9">
        <f t="shared" si="10"/>
        <v>906</v>
      </c>
      <c r="AD193" s="9">
        <f t="shared" si="8"/>
        <v>10775</v>
      </c>
      <c r="AE193" s="10">
        <f t="shared" si="9"/>
        <v>11.892935982339957</v>
      </c>
    </row>
    <row r="194" spans="1:31" x14ac:dyDescent="0.3">
      <c r="A194" s="55"/>
      <c r="B194" s="30" t="s">
        <v>196</v>
      </c>
      <c r="C194" s="9">
        <v>4</v>
      </c>
      <c r="D194" s="9">
        <v>4</v>
      </c>
      <c r="E194" s="9">
        <v>3</v>
      </c>
      <c r="F194" s="9">
        <v>7</v>
      </c>
      <c r="G194" s="9">
        <v>10</v>
      </c>
      <c r="H194" s="9">
        <v>14</v>
      </c>
      <c r="I194" s="9">
        <v>17</v>
      </c>
      <c r="J194" s="9">
        <v>12</v>
      </c>
      <c r="K194" s="9">
        <v>20</v>
      </c>
      <c r="L194" s="9">
        <v>17</v>
      </c>
      <c r="M194" s="9">
        <v>12</v>
      </c>
      <c r="N194" s="9">
        <v>11</v>
      </c>
      <c r="O194" s="9">
        <v>147</v>
      </c>
      <c r="P194" s="9">
        <v>10</v>
      </c>
      <c r="Q194" s="9">
        <v>28</v>
      </c>
      <c r="R194" s="9">
        <v>26</v>
      </c>
      <c r="S194" s="9">
        <v>7</v>
      </c>
      <c r="T194" s="9">
        <v>48</v>
      </c>
      <c r="U194" s="9">
        <v>0</v>
      </c>
      <c r="V194" s="9">
        <v>1</v>
      </c>
      <c r="W194" s="9">
        <v>1</v>
      </c>
      <c r="X194" s="9">
        <v>0</v>
      </c>
      <c r="Y194" s="9">
        <v>0</v>
      </c>
      <c r="Z194" s="9">
        <v>1</v>
      </c>
      <c r="AA194" s="9">
        <v>5</v>
      </c>
      <c r="AC194" s="9">
        <f t="shared" si="10"/>
        <v>405</v>
      </c>
      <c r="AD194" s="9">
        <f t="shared" si="8"/>
        <v>4667</v>
      </c>
      <c r="AE194" s="10">
        <f t="shared" si="9"/>
        <v>11.523456790123456</v>
      </c>
    </row>
    <row r="195" spans="1:31" x14ac:dyDescent="0.3">
      <c r="A195" s="55"/>
      <c r="B195" s="30" t="s">
        <v>197</v>
      </c>
      <c r="C195" s="9">
        <v>3</v>
      </c>
      <c r="D195" s="9">
        <v>1</v>
      </c>
      <c r="E195" s="9">
        <v>2</v>
      </c>
      <c r="F195" s="9">
        <v>1</v>
      </c>
      <c r="G195" s="9">
        <v>3</v>
      </c>
      <c r="H195" s="9">
        <v>8</v>
      </c>
      <c r="I195" s="9">
        <v>10</v>
      </c>
      <c r="J195" s="9">
        <v>4</v>
      </c>
      <c r="K195" s="9">
        <v>16</v>
      </c>
      <c r="L195" s="9">
        <v>4</v>
      </c>
      <c r="M195" s="9">
        <v>11</v>
      </c>
      <c r="N195" s="9">
        <v>8</v>
      </c>
      <c r="O195" s="9">
        <v>184</v>
      </c>
      <c r="P195" s="9">
        <v>10</v>
      </c>
      <c r="Q195" s="9">
        <v>26</v>
      </c>
      <c r="R195" s="9">
        <v>32</v>
      </c>
      <c r="S195" s="9">
        <v>13</v>
      </c>
      <c r="T195" s="9">
        <v>83</v>
      </c>
      <c r="U195" s="9">
        <v>1</v>
      </c>
      <c r="V195" s="9">
        <v>2</v>
      </c>
      <c r="W195" s="9">
        <v>1</v>
      </c>
      <c r="X195" s="9">
        <v>0</v>
      </c>
      <c r="Y195" s="9">
        <v>0</v>
      </c>
      <c r="Z195" s="9">
        <v>1</v>
      </c>
      <c r="AA195" s="9">
        <v>14</v>
      </c>
      <c r="AC195" s="9">
        <f t="shared" si="10"/>
        <v>438</v>
      </c>
      <c r="AD195" s="9">
        <f t="shared" si="8"/>
        <v>5746</v>
      </c>
      <c r="AE195" s="10">
        <f t="shared" si="9"/>
        <v>13.118721461187215</v>
      </c>
    </row>
    <row r="196" spans="1:31" x14ac:dyDescent="0.3">
      <c r="A196" s="55"/>
      <c r="B196" s="30" t="s">
        <v>198</v>
      </c>
      <c r="C196" s="9">
        <v>1</v>
      </c>
      <c r="D196" s="9">
        <v>0</v>
      </c>
      <c r="E196" s="9">
        <v>0</v>
      </c>
      <c r="F196" s="9">
        <v>5</v>
      </c>
      <c r="G196" s="9">
        <v>1</v>
      </c>
      <c r="H196" s="9">
        <v>3</v>
      </c>
      <c r="I196" s="9">
        <v>3</v>
      </c>
      <c r="J196" s="9">
        <v>4</v>
      </c>
      <c r="K196" s="9">
        <v>9</v>
      </c>
      <c r="L196" s="9">
        <v>4</v>
      </c>
      <c r="M196" s="9">
        <v>6</v>
      </c>
      <c r="N196" s="9">
        <v>8</v>
      </c>
      <c r="O196" s="9">
        <v>109</v>
      </c>
      <c r="P196" s="9">
        <v>8</v>
      </c>
      <c r="Q196" s="9">
        <v>16</v>
      </c>
      <c r="R196" s="9">
        <v>9</v>
      </c>
      <c r="S196" s="9">
        <v>4</v>
      </c>
      <c r="T196" s="9">
        <v>35</v>
      </c>
      <c r="U196" s="9">
        <v>2</v>
      </c>
      <c r="V196" s="9">
        <v>2</v>
      </c>
      <c r="W196" s="9">
        <v>0</v>
      </c>
      <c r="X196" s="9">
        <v>0</v>
      </c>
      <c r="Y196" s="9">
        <v>0</v>
      </c>
      <c r="Z196" s="9">
        <v>0</v>
      </c>
      <c r="AA196" s="9">
        <v>15</v>
      </c>
      <c r="AC196" s="9">
        <f t="shared" si="10"/>
        <v>244</v>
      </c>
      <c r="AD196" s="9">
        <f t="shared" si="8"/>
        <v>3200</v>
      </c>
      <c r="AE196" s="10">
        <f t="shared" si="9"/>
        <v>13.114754098360656</v>
      </c>
    </row>
    <row r="197" spans="1:31" x14ac:dyDescent="0.3">
      <c r="A197" s="55"/>
      <c r="B197" s="30" t="s">
        <v>199</v>
      </c>
      <c r="C197" s="9">
        <v>2</v>
      </c>
      <c r="D197" s="9">
        <v>5</v>
      </c>
      <c r="E197" s="9">
        <v>4</v>
      </c>
      <c r="F197" s="9">
        <v>4</v>
      </c>
      <c r="G197" s="9">
        <v>3</v>
      </c>
      <c r="H197" s="9">
        <v>16</v>
      </c>
      <c r="I197" s="9">
        <v>5</v>
      </c>
      <c r="J197" s="9">
        <v>10</v>
      </c>
      <c r="K197" s="9">
        <v>26</v>
      </c>
      <c r="L197" s="9">
        <v>13</v>
      </c>
      <c r="M197" s="9">
        <v>16</v>
      </c>
      <c r="N197" s="9">
        <v>17</v>
      </c>
      <c r="O197" s="9">
        <v>252</v>
      </c>
      <c r="P197" s="9">
        <v>13</v>
      </c>
      <c r="Q197" s="9">
        <v>30</v>
      </c>
      <c r="R197" s="9">
        <v>24</v>
      </c>
      <c r="S197" s="9">
        <v>2</v>
      </c>
      <c r="T197" s="9">
        <v>79</v>
      </c>
      <c r="U197" s="9">
        <v>2</v>
      </c>
      <c r="V197" s="9">
        <v>3</v>
      </c>
      <c r="W197" s="9">
        <v>0</v>
      </c>
      <c r="X197" s="9">
        <v>0</v>
      </c>
      <c r="Y197" s="9">
        <v>0</v>
      </c>
      <c r="Z197" s="9">
        <v>1</v>
      </c>
      <c r="AA197" s="9">
        <v>30</v>
      </c>
      <c r="AC197" s="9">
        <f t="shared" si="10"/>
        <v>557</v>
      </c>
      <c r="AD197" s="9">
        <f t="shared" ref="AD197:AD260" si="11">C$2*C197+D$2*D197+E$2*E197+F$2*F197+G$2*G197+H$2*H197+I$2*I197+J$2*J197+K$2*K197+L$2*L197+M$2*M197+N$2*N197+O$2*O197+P$2*P197+Q$2*Q197+R$2*R197+S$2*S197+T$2*T197+U$2*U197+V$2*V197+W$2*W197+X$2*X197+Y$2*Y197+Z$2*Z197+AA$2*AA197</f>
        <v>7073</v>
      </c>
      <c r="AE197" s="10">
        <f t="shared" ref="AE197:AE260" si="12">AD197/AC197</f>
        <v>12.6983842010772</v>
      </c>
    </row>
    <row r="198" spans="1:31" x14ac:dyDescent="0.3">
      <c r="A198" s="55"/>
      <c r="B198" s="30" t="s">
        <v>200</v>
      </c>
      <c r="C198" s="9">
        <v>13</v>
      </c>
      <c r="D198" s="9">
        <v>3</v>
      </c>
      <c r="E198" s="9">
        <v>10</v>
      </c>
      <c r="F198" s="9">
        <v>12</v>
      </c>
      <c r="G198" s="9">
        <v>20</v>
      </c>
      <c r="H198" s="9">
        <v>33</v>
      </c>
      <c r="I198" s="9">
        <v>33</v>
      </c>
      <c r="J198" s="9">
        <v>24</v>
      </c>
      <c r="K198" s="9">
        <v>30</v>
      </c>
      <c r="L198" s="9">
        <v>18</v>
      </c>
      <c r="M198" s="9">
        <v>24</v>
      </c>
      <c r="N198" s="9">
        <v>19</v>
      </c>
      <c r="O198" s="9">
        <v>318</v>
      </c>
      <c r="P198" s="9">
        <v>33</v>
      </c>
      <c r="Q198" s="9">
        <v>74</v>
      </c>
      <c r="R198" s="9">
        <v>59</v>
      </c>
      <c r="S198" s="9">
        <v>21</v>
      </c>
      <c r="T198" s="9">
        <v>149</v>
      </c>
      <c r="U198" s="9">
        <v>5</v>
      </c>
      <c r="V198" s="9">
        <v>11</v>
      </c>
      <c r="W198" s="9">
        <v>2</v>
      </c>
      <c r="X198" s="9">
        <v>0</v>
      </c>
      <c r="Y198" s="9">
        <v>0</v>
      </c>
      <c r="Z198" s="9">
        <v>3</v>
      </c>
      <c r="AA198" s="9">
        <v>28</v>
      </c>
      <c r="AC198" s="9">
        <f t="shared" si="10"/>
        <v>942</v>
      </c>
      <c r="AD198" s="9">
        <f t="shared" si="11"/>
        <v>11636</v>
      </c>
      <c r="AE198" s="10">
        <f t="shared" si="12"/>
        <v>12.352441613588111</v>
      </c>
    </row>
    <row r="199" spans="1:31" x14ac:dyDescent="0.3">
      <c r="A199" s="55"/>
      <c r="B199" s="30" t="s">
        <v>201</v>
      </c>
      <c r="C199" s="9">
        <v>0</v>
      </c>
      <c r="D199" s="9">
        <v>1</v>
      </c>
      <c r="E199" s="9">
        <v>0</v>
      </c>
      <c r="F199" s="9">
        <v>0</v>
      </c>
      <c r="G199" s="9">
        <v>1</v>
      </c>
      <c r="H199" s="9">
        <v>4</v>
      </c>
      <c r="I199" s="9">
        <v>3</v>
      </c>
      <c r="J199" s="9">
        <v>3</v>
      </c>
      <c r="K199" s="9">
        <v>4</v>
      </c>
      <c r="L199" s="9">
        <v>2</v>
      </c>
      <c r="M199" s="9">
        <v>4</v>
      </c>
      <c r="N199" s="9">
        <v>3</v>
      </c>
      <c r="O199" s="9">
        <v>67</v>
      </c>
      <c r="P199" s="9">
        <v>2</v>
      </c>
      <c r="Q199" s="9">
        <v>3</v>
      </c>
      <c r="R199" s="9">
        <v>3</v>
      </c>
      <c r="S199" s="9">
        <v>0</v>
      </c>
      <c r="T199" s="9">
        <v>8</v>
      </c>
      <c r="U199" s="9">
        <v>0</v>
      </c>
      <c r="V199" s="9">
        <v>1</v>
      </c>
      <c r="W199" s="9">
        <v>0</v>
      </c>
      <c r="X199" s="9">
        <v>0</v>
      </c>
      <c r="Y199" s="9">
        <v>0</v>
      </c>
      <c r="Z199" s="9">
        <v>0</v>
      </c>
      <c r="AA199" s="9">
        <v>2</v>
      </c>
      <c r="AC199" s="9">
        <f t="shared" si="10"/>
        <v>111</v>
      </c>
      <c r="AD199" s="9">
        <f t="shared" si="11"/>
        <v>1307</v>
      </c>
      <c r="AE199" s="10">
        <f t="shared" si="12"/>
        <v>11.774774774774775</v>
      </c>
    </row>
    <row r="200" spans="1:31" x14ac:dyDescent="0.3">
      <c r="A200" s="55"/>
      <c r="B200" s="30" t="s">
        <v>202</v>
      </c>
      <c r="C200" s="9">
        <v>1</v>
      </c>
      <c r="D200" s="9">
        <v>1</v>
      </c>
      <c r="E200" s="9">
        <v>0</v>
      </c>
      <c r="F200" s="9">
        <v>1</v>
      </c>
      <c r="G200" s="9">
        <v>0</v>
      </c>
      <c r="H200" s="9">
        <v>2</v>
      </c>
      <c r="I200" s="9">
        <v>2</v>
      </c>
      <c r="J200" s="9">
        <v>4</v>
      </c>
      <c r="K200" s="9">
        <v>4</v>
      </c>
      <c r="L200" s="9">
        <v>4</v>
      </c>
      <c r="M200" s="9">
        <v>2</v>
      </c>
      <c r="N200" s="9">
        <v>2</v>
      </c>
      <c r="O200" s="9">
        <v>50</v>
      </c>
      <c r="P200" s="9">
        <v>2</v>
      </c>
      <c r="Q200" s="9">
        <v>4</v>
      </c>
      <c r="R200" s="9">
        <v>9</v>
      </c>
      <c r="S200" s="9">
        <v>3</v>
      </c>
      <c r="T200" s="9">
        <v>13</v>
      </c>
      <c r="U200" s="9">
        <v>0</v>
      </c>
      <c r="V200" s="9">
        <v>3</v>
      </c>
      <c r="W200" s="9">
        <v>0</v>
      </c>
      <c r="X200" s="9">
        <v>0</v>
      </c>
      <c r="Y200" s="9">
        <v>0</v>
      </c>
      <c r="Z200" s="9">
        <v>0</v>
      </c>
      <c r="AA200" s="9">
        <v>4</v>
      </c>
      <c r="AC200" s="9">
        <f t="shared" si="10"/>
        <v>111</v>
      </c>
      <c r="AD200" s="9">
        <f t="shared" si="11"/>
        <v>1403</v>
      </c>
      <c r="AE200" s="10">
        <f t="shared" si="12"/>
        <v>12.63963963963964</v>
      </c>
    </row>
    <row r="201" spans="1:31" x14ac:dyDescent="0.3">
      <c r="A201" s="55"/>
      <c r="B201" s="30" t="s">
        <v>203</v>
      </c>
      <c r="C201" s="9">
        <v>0</v>
      </c>
      <c r="D201" s="9">
        <v>1</v>
      </c>
      <c r="E201" s="9">
        <v>0</v>
      </c>
      <c r="F201" s="9">
        <v>1</v>
      </c>
      <c r="G201" s="9">
        <v>1</v>
      </c>
      <c r="H201" s="9">
        <v>1</v>
      </c>
      <c r="I201" s="9">
        <v>3</v>
      </c>
      <c r="J201" s="9">
        <v>2</v>
      </c>
      <c r="K201" s="9">
        <v>3</v>
      </c>
      <c r="L201" s="9">
        <v>0</v>
      </c>
      <c r="M201" s="9">
        <v>5</v>
      </c>
      <c r="N201" s="9">
        <v>3</v>
      </c>
      <c r="O201" s="9">
        <v>69</v>
      </c>
      <c r="P201" s="9">
        <v>3</v>
      </c>
      <c r="Q201" s="9">
        <v>2</v>
      </c>
      <c r="R201" s="9">
        <v>5</v>
      </c>
      <c r="S201" s="9">
        <v>0</v>
      </c>
      <c r="T201" s="9">
        <v>9</v>
      </c>
      <c r="U201" s="9">
        <v>0</v>
      </c>
      <c r="V201" s="9">
        <v>1</v>
      </c>
      <c r="W201" s="9">
        <v>0</v>
      </c>
      <c r="X201" s="9">
        <v>0</v>
      </c>
      <c r="Y201" s="9">
        <v>0</v>
      </c>
      <c r="Z201" s="9">
        <v>0</v>
      </c>
      <c r="AA201" s="9">
        <v>3</v>
      </c>
      <c r="AC201" s="9">
        <f t="shared" si="10"/>
        <v>112</v>
      </c>
      <c r="AD201" s="9">
        <f t="shared" si="11"/>
        <v>1366</v>
      </c>
      <c r="AE201" s="10">
        <f t="shared" si="12"/>
        <v>12.196428571428571</v>
      </c>
    </row>
    <row r="202" spans="1:31" x14ac:dyDescent="0.3">
      <c r="A202" s="55"/>
      <c r="B202" s="30" t="s">
        <v>204</v>
      </c>
      <c r="C202" s="9">
        <v>2</v>
      </c>
      <c r="D202" s="9">
        <v>1</v>
      </c>
      <c r="E202" s="9">
        <v>4</v>
      </c>
      <c r="F202" s="9">
        <v>3</v>
      </c>
      <c r="G202" s="9">
        <v>3</v>
      </c>
      <c r="H202" s="9">
        <v>5</v>
      </c>
      <c r="I202" s="9">
        <v>3</v>
      </c>
      <c r="J202" s="9">
        <v>8</v>
      </c>
      <c r="K202" s="9">
        <v>16</v>
      </c>
      <c r="L202" s="9">
        <v>10</v>
      </c>
      <c r="M202" s="9">
        <v>6</v>
      </c>
      <c r="N202" s="9">
        <v>8</v>
      </c>
      <c r="O202" s="9">
        <v>146</v>
      </c>
      <c r="P202" s="9">
        <v>18</v>
      </c>
      <c r="Q202" s="9">
        <v>26</v>
      </c>
      <c r="R202" s="9">
        <v>26</v>
      </c>
      <c r="S202" s="9">
        <v>8</v>
      </c>
      <c r="T202" s="9">
        <v>47</v>
      </c>
      <c r="U202" s="9">
        <v>1</v>
      </c>
      <c r="V202" s="9">
        <v>1</v>
      </c>
      <c r="W202" s="9">
        <v>0</v>
      </c>
      <c r="X202" s="9">
        <v>0</v>
      </c>
      <c r="Y202" s="9">
        <v>0</v>
      </c>
      <c r="Z202" s="9">
        <v>0</v>
      </c>
      <c r="AA202" s="9">
        <v>13</v>
      </c>
      <c r="AC202" s="9">
        <f t="shared" si="10"/>
        <v>355</v>
      </c>
      <c r="AD202" s="9">
        <f t="shared" si="11"/>
        <v>4511</v>
      </c>
      <c r="AE202" s="10">
        <f t="shared" si="12"/>
        <v>12.707042253521127</v>
      </c>
    </row>
    <row r="203" spans="1:31" x14ac:dyDescent="0.3">
      <c r="A203" s="55"/>
      <c r="B203" s="30" t="s">
        <v>205</v>
      </c>
      <c r="C203" s="9">
        <v>358</v>
      </c>
      <c r="D203" s="9">
        <v>168</v>
      </c>
      <c r="E203" s="9">
        <v>222</v>
      </c>
      <c r="F203" s="9">
        <v>470</v>
      </c>
      <c r="G203" s="9">
        <v>339</v>
      </c>
      <c r="H203" s="9">
        <v>677</v>
      </c>
      <c r="I203" s="9">
        <v>422</v>
      </c>
      <c r="J203" s="9">
        <v>377</v>
      </c>
      <c r="K203" s="9">
        <v>723</v>
      </c>
      <c r="L203" s="9">
        <v>385</v>
      </c>
      <c r="M203" s="9">
        <v>364</v>
      </c>
      <c r="N203" s="9">
        <v>400</v>
      </c>
      <c r="O203" s="9">
        <v>4308</v>
      </c>
      <c r="P203" s="9">
        <v>850</v>
      </c>
      <c r="Q203" s="9">
        <v>1864</v>
      </c>
      <c r="R203" s="9">
        <v>2492</v>
      </c>
      <c r="S203" s="9">
        <v>904</v>
      </c>
      <c r="T203" s="9">
        <v>6010</v>
      </c>
      <c r="U203" s="9">
        <v>110</v>
      </c>
      <c r="V203" s="9">
        <v>351</v>
      </c>
      <c r="W203" s="9">
        <v>8</v>
      </c>
      <c r="X203" s="9">
        <v>3</v>
      </c>
      <c r="Y203" s="9">
        <v>1</v>
      </c>
      <c r="Z203" s="9">
        <v>17</v>
      </c>
      <c r="AA203" s="9">
        <v>198</v>
      </c>
      <c r="AC203" s="9">
        <f t="shared" si="10"/>
        <v>22021</v>
      </c>
      <c r="AD203" s="9">
        <f t="shared" si="11"/>
        <v>286116</v>
      </c>
      <c r="AE203" s="10">
        <f t="shared" si="12"/>
        <v>12.992870441850961</v>
      </c>
    </row>
    <row r="204" spans="1:31" x14ac:dyDescent="0.3">
      <c r="A204" s="55"/>
      <c r="B204" s="30" t="s">
        <v>206</v>
      </c>
      <c r="C204" s="9">
        <v>94</v>
      </c>
      <c r="D204" s="9">
        <v>51</v>
      </c>
      <c r="E204" s="9">
        <v>97</v>
      </c>
      <c r="F204" s="9">
        <v>222</v>
      </c>
      <c r="G204" s="9">
        <v>99</v>
      </c>
      <c r="H204" s="9">
        <v>174</v>
      </c>
      <c r="I204" s="9">
        <v>93</v>
      </c>
      <c r="J204" s="9">
        <v>69</v>
      </c>
      <c r="K204" s="9">
        <v>103</v>
      </c>
      <c r="L204" s="9">
        <v>37</v>
      </c>
      <c r="M204" s="9">
        <v>30</v>
      </c>
      <c r="N204" s="9">
        <v>31</v>
      </c>
      <c r="O204" s="9">
        <v>217</v>
      </c>
      <c r="P204" s="9">
        <v>21</v>
      </c>
      <c r="Q204" s="9">
        <v>41</v>
      </c>
      <c r="R204" s="9">
        <v>29</v>
      </c>
      <c r="S204" s="9">
        <v>9</v>
      </c>
      <c r="T204" s="9">
        <v>70</v>
      </c>
      <c r="U204" s="9">
        <v>1</v>
      </c>
      <c r="V204" s="9">
        <v>5</v>
      </c>
      <c r="W204" s="9">
        <v>0</v>
      </c>
      <c r="X204" s="9">
        <v>0</v>
      </c>
      <c r="Y204" s="9">
        <v>0</v>
      </c>
      <c r="Z204" s="9">
        <v>0</v>
      </c>
      <c r="AA204" s="9">
        <v>42</v>
      </c>
      <c r="AC204" s="9">
        <f t="shared" si="10"/>
        <v>1535</v>
      </c>
      <c r="AD204" s="9">
        <f t="shared" si="11"/>
        <v>11357</v>
      </c>
      <c r="AE204" s="10">
        <f t="shared" si="12"/>
        <v>7.3986970684039086</v>
      </c>
    </row>
    <row r="205" spans="1:31" x14ac:dyDescent="0.3">
      <c r="A205" s="55"/>
      <c r="B205" s="30" t="s">
        <v>207</v>
      </c>
      <c r="C205" s="9">
        <v>8</v>
      </c>
      <c r="D205" s="9">
        <v>2</v>
      </c>
      <c r="E205" s="9">
        <v>5</v>
      </c>
      <c r="F205" s="9">
        <v>22</v>
      </c>
      <c r="G205" s="9">
        <v>13</v>
      </c>
      <c r="H205" s="9">
        <v>34</v>
      </c>
      <c r="I205" s="9">
        <v>19</v>
      </c>
      <c r="J205" s="9">
        <v>23</v>
      </c>
      <c r="K205" s="9">
        <v>52</v>
      </c>
      <c r="L205" s="9">
        <v>21</v>
      </c>
      <c r="M205" s="9">
        <v>23</v>
      </c>
      <c r="N205" s="9">
        <v>24</v>
      </c>
      <c r="O205" s="9">
        <v>297</v>
      </c>
      <c r="P205" s="9">
        <v>35</v>
      </c>
      <c r="Q205" s="9">
        <v>73</v>
      </c>
      <c r="R205" s="9">
        <v>67</v>
      </c>
      <c r="S205" s="9">
        <v>18</v>
      </c>
      <c r="T205" s="9">
        <v>136</v>
      </c>
      <c r="U205" s="9">
        <v>2</v>
      </c>
      <c r="V205" s="9">
        <v>8</v>
      </c>
      <c r="W205" s="9">
        <v>0</v>
      </c>
      <c r="X205" s="9">
        <v>0</v>
      </c>
      <c r="Y205" s="9">
        <v>0</v>
      </c>
      <c r="Z205" s="9">
        <v>0</v>
      </c>
      <c r="AA205" s="9">
        <v>23</v>
      </c>
      <c r="AC205" s="9">
        <f t="shared" si="10"/>
        <v>905</v>
      </c>
      <c r="AD205" s="9">
        <f t="shared" si="11"/>
        <v>11060</v>
      </c>
      <c r="AE205" s="10">
        <f t="shared" si="12"/>
        <v>12.220994475138122</v>
      </c>
    </row>
    <row r="206" spans="1:31" x14ac:dyDescent="0.3">
      <c r="A206" s="55"/>
      <c r="B206" s="30" t="s">
        <v>208</v>
      </c>
      <c r="C206" s="9">
        <v>1</v>
      </c>
      <c r="D206" s="9">
        <v>1</v>
      </c>
      <c r="E206" s="9">
        <v>1</v>
      </c>
      <c r="F206" s="9">
        <v>1</v>
      </c>
      <c r="G206" s="9">
        <v>5</v>
      </c>
      <c r="H206" s="9">
        <v>12</v>
      </c>
      <c r="I206" s="9">
        <v>3</v>
      </c>
      <c r="J206" s="9">
        <v>12</v>
      </c>
      <c r="K206" s="9">
        <v>12</v>
      </c>
      <c r="L206" s="9">
        <v>6</v>
      </c>
      <c r="M206" s="9">
        <v>8</v>
      </c>
      <c r="N206" s="9">
        <v>7</v>
      </c>
      <c r="O206" s="9">
        <v>64</v>
      </c>
      <c r="P206" s="9">
        <v>3</v>
      </c>
      <c r="Q206" s="9">
        <v>12</v>
      </c>
      <c r="R206" s="9">
        <v>9</v>
      </c>
      <c r="S206" s="9">
        <v>3</v>
      </c>
      <c r="T206" s="9">
        <v>11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1</v>
      </c>
      <c r="AC206" s="9">
        <f t="shared" ref="AC206:AC269" si="13">SUM(C206:AA206)</f>
        <v>172</v>
      </c>
      <c r="AD206" s="9">
        <f t="shared" si="11"/>
        <v>1864</v>
      </c>
      <c r="AE206" s="10">
        <f t="shared" si="12"/>
        <v>10.837209302325581</v>
      </c>
    </row>
    <row r="207" spans="1:31" x14ac:dyDescent="0.3">
      <c r="A207" s="55"/>
      <c r="B207" s="30" t="s">
        <v>209</v>
      </c>
      <c r="C207" s="9">
        <v>36</v>
      </c>
      <c r="D207" s="9">
        <v>15</v>
      </c>
      <c r="E207" s="9">
        <v>27</v>
      </c>
      <c r="F207" s="9">
        <v>52</v>
      </c>
      <c r="G207" s="9">
        <v>50</v>
      </c>
      <c r="H207" s="9">
        <v>115</v>
      </c>
      <c r="I207" s="9">
        <v>66</v>
      </c>
      <c r="J207" s="9">
        <v>55</v>
      </c>
      <c r="K207" s="9">
        <v>89</v>
      </c>
      <c r="L207" s="9">
        <v>54</v>
      </c>
      <c r="M207" s="9">
        <v>57</v>
      </c>
      <c r="N207" s="9">
        <v>57</v>
      </c>
      <c r="O207" s="9">
        <v>477</v>
      </c>
      <c r="P207" s="9">
        <v>63</v>
      </c>
      <c r="Q207" s="9">
        <v>96</v>
      </c>
      <c r="R207" s="9">
        <v>134</v>
      </c>
      <c r="S207" s="9">
        <v>25</v>
      </c>
      <c r="T207" s="9">
        <v>376</v>
      </c>
      <c r="U207" s="9">
        <v>3</v>
      </c>
      <c r="V207" s="9">
        <v>8</v>
      </c>
      <c r="W207" s="9">
        <v>0</v>
      </c>
      <c r="X207" s="9">
        <v>0</v>
      </c>
      <c r="Y207" s="9">
        <v>0</v>
      </c>
      <c r="Z207" s="9">
        <v>0</v>
      </c>
      <c r="AA207" s="9">
        <v>36</v>
      </c>
      <c r="AC207" s="9">
        <f t="shared" si="13"/>
        <v>1891</v>
      </c>
      <c r="AD207" s="9">
        <f t="shared" si="11"/>
        <v>21935</v>
      </c>
      <c r="AE207" s="10">
        <f t="shared" si="12"/>
        <v>11.599682707562136</v>
      </c>
    </row>
    <row r="208" spans="1:31" x14ac:dyDescent="0.3">
      <c r="A208" s="55"/>
      <c r="B208" s="30" t="s">
        <v>210</v>
      </c>
      <c r="C208" s="9">
        <v>23</v>
      </c>
      <c r="D208" s="9">
        <v>19</v>
      </c>
      <c r="E208" s="9">
        <v>18</v>
      </c>
      <c r="F208" s="9">
        <v>48</v>
      </c>
      <c r="G208" s="9">
        <v>38</v>
      </c>
      <c r="H208" s="9">
        <v>52</v>
      </c>
      <c r="I208" s="9">
        <v>51</v>
      </c>
      <c r="J208" s="9">
        <v>34</v>
      </c>
      <c r="K208" s="9">
        <v>52</v>
      </c>
      <c r="L208" s="9">
        <v>24</v>
      </c>
      <c r="M208" s="9">
        <v>25</v>
      </c>
      <c r="N208" s="9">
        <v>30</v>
      </c>
      <c r="O208" s="9">
        <v>264</v>
      </c>
      <c r="P208" s="9">
        <v>31</v>
      </c>
      <c r="Q208" s="9">
        <v>56</v>
      </c>
      <c r="R208" s="9">
        <v>59</v>
      </c>
      <c r="S208" s="9">
        <v>15</v>
      </c>
      <c r="T208" s="9">
        <v>157</v>
      </c>
      <c r="U208" s="9">
        <v>0</v>
      </c>
      <c r="V208" s="9">
        <v>3</v>
      </c>
      <c r="W208" s="9">
        <v>0</v>
      </c>
      <c r="X208" s="9">
        <v>0</v>
      </c>
      <c r="Y208" s="9">
        <v>0</v>
      </c>
      <c r="Z208" s="9">
        <v>0</v>
      </c>
      <c r="AA208" s="9">
        <v>34</v>
      </c>
      <c r="AC208" s="9">
        <f t="shared" si="13"/>
        <v>1033</v>
      </c>
      <c r="AD208" s="9">
        <f t="shared" si="11"/>
        <v>11389</v>
      </c>
      <c r="AE208" s="10">
        <f t="shared" si="12"/>
        <v>11.025169409486931</v>
      </c>
    </row>
    <row r="209" spans="1:31" x14ac:dyDescent="0.3">
      <c r="A209" s="55"/>
      <c r="B209" s="30" t="s">
        <v>211</v>
      </c>
      <c r="C209" s="9">
        <v>57</v>
      </c>
      <c r="D209" s="9">
        <v>23</v>
      </c>
      <c r="E209" s="9">
        <v>50</v>
      </c>
      <c r="F209" s="9">
        <v>79</v>
      </c>
      <c r="G209" s="9">
        <v>73</v>
      </c>
      <c r="H209" s="9">
        <v>144</v>
      </c>
      <c r="I209" s="9">
        <v>88</v>
      </c>
      <c r="J209" s="9">
        <v>62</v>
      </c>
      <c r="K209" s="9">
        <v>104</v>
      </c>
      <c r="L209" s="9">
        <v>56</v>
      </c>
      <c r="M209" s="9">
        <v>82</v>
      </c>
      <c r="N209" s="9">
        <v>83</v>
      </c>
      <c r="O209" s="9">
        <v>628</v>
      </c>
      <c r="P209" s="9">
        <v>129</v>
      </c>
      <c r="Q209" s="9">
        <v>236</v>
      </c>
      <c r="R209" s="9">
        <v>376</v>
      </c>
      <c r="S209" s="9">
        <v>142</v>
      </c>
      <c r="T209" s="9">
        <v>1151</v>
      </c>
      <c r="U209" s="9">
        <v>17</v>
      </c>
      <c r="V209" s="9">
        <v>35</v>
      </c>
      <c r="W209" s="9">
        <v>1</v>
      </c>
      <c r="X209" s="9">
        <v>2</v>
      </c>
      <c r="Y209" s="9">
        <v>0</v>
      </c>
      <c r="Z209" s="9">
        <v>2</v>
      </c>
      <c r="AA209" s="9">
        <v>31</v>
      </c>
      <c r="AC209" s="9">
        <f t="shared" si="13"/>
        <v>3651</v>
      </c>
      <c r="AD209" s="9">
        <f t="shared" si="11"/>
        <v>47222</v>
      </c>
      <c r="AE209" s="10">
        <f t="shared" si="12"/>
        <v>12.933990687482881</v>
      </c>
    </row>
    <row r="210" spans="1:31" x14ac:dyDescent="0.3">
      <c r="A210" s="55"/>
      <c r="B210" s="30" t="s">
        <v>212</v>
      </c>
      <c r="C210" s="9">
        <v>24</v>
      </c>
      <c r="D210" s="9">
        <v>5</v>
      </c>
      <c r="E210" s="9">
        <v>18</v>
      </c>
      <c r="F210" s="9">
        <v>33</v>
      </c>
      <c r="G210" s="9">
        <v>17</v>
      </c>
      <c r="H210" s="9">
        <v>66</v>
      </c>
      <c r="I210" s="9">
        <v>28</v>
      </c>
      <c r="J210" s="9">
        <v>17</v>
      </c>
      <c r="K210" s="9">
        <v>29</v>
      </c>
      <c r="L210" s="9">
        <v>19</v>
      </c>
      <c r="M210" s="9">
        <v>23</v>
      </c>
      <c r="N210" s="9">
        <v>17</v>
      </c>
      <c r="O210" s="9">
        <v>129</v>
      </c>
      <c r="P210" s="9">
        <v>8</v>
      </c>
      <c r="Q210" s="9">
        <v>18</v>
      </c>
      <c r="R210" s="9">
        <v>23</v>
      </c>
      <c r="S210" s="9">
        <v>1</v>
      </c>
      <c r="T210" s="9">
        <v>71</v>
      </c>
      <c r="U210" s="9">
        <v>1</v>
      </c>
      <c r="V210" s="9">
        <v>4</v>
      </c>
      <c r="W210" s="9">
        <v>0</v>
      </c>
      <c r="X210" s="9">
        <v>0</v>
      </c>
      <c r="Y210" s="9">
        <v>0</v>
      </c>
      <c r="Z210" s="9">
        <v>0</v>
      </c>
      <c r="AA210" s="9">
        <v>8</v>
      </c>
      <c r="AC210" s="9">
        <f t="shared" si="13"/>
        <v>559</v>
      </c>
      <c r="AD210" s="9">
        <f t="shared" si="11"/>
        <v>5403</v>
      </c>
      <c r="AE210" s="10">
        <f t="shared" si="12"/>
        <v>9.6654740608228984</v>
      </c>
    </row>
    <row r="211" spans="1:31" x14ac:dyDescent="0.3">
      <c r="A211" s="55"/>
      <c r="B211" s="30" t="s">
        <v>213</v>
      </c>
      <c r="C211" s="9">
        <v>54</v>
      </c>
      <c r="D211" s="9">
        <v>25</v>
      </c>
      <c r="E211" s="9">
        <v>42</v>
      </c>
      <c r="F211" s="9">
        <v>88</v>
      </c>
      <c r="G211" s="9">
        <v>71</v>
      </c>
      <c r="H211" s="9">
        <v>189</v>
      </c>
      <c r="I211" s="9">
        <v>145</v>
      </c>
      <c r="J211" s="9">
        <v>104</v>
      </c>
      <c r="K211" s="9">
        <v>191</v>
      </c>
      <c r="L211" s="9">
        <v>68</v>
      </c>
      <c r="M211" s="9">
        <v>71</v>
      </c>
      <c r="N211" s="9">
        <v>57</v>
      </c>
      <c r="O211" s="9">
        <v>497</v>
      </c>
      <c r="P211" s="9">
        <v>55</v>
      </c>
      <c r="Q211" s="9">
        <v>84</v>
      </c>
      <c r="R211" s="9">
        <v>109</v>
      </c>
      <c r="S211" s="9">
        <v>33</v>
      </c>
      <c r="T211" s="9">
        <v>204</v>
      </c>
      <c r="U211" s="9">
        <v>1</v>
      </c>
      <c r="V211" s="9">
        <v>8</v>
      </c>
      <c r="W211" s="9">
        <v>1</v>
      </c>
      <c r="X211" s="9">
        <v>1</v>
      </c>
      <c r="Y211" s="9">
        <v>0</v>
      </c>
      <c r="Z211" s="9">
        <v>4</v>
      </c>
      <c r="AA211" s="9">
        <v>58</v>
      </c>
      <c r="AC211" s="9">
        <f t="shared" si="13"/>
        <v>2160</v>
      </c>
      <c r="AD211" s="9">
        <f t="shared" si="11"/>
        <v>21858</v>
      </c>
      <c r="AE211" s="10">
        <f t="shared" si="12"/>
        <v>10.119444444444444</v>
      </c>
    </row>
    <row r="212" spans="1:31" x14ac:dyDescent="0.3">
      <c r="A212" s="55"/>
      <c r="B212" s="30" t="s">
        <v>214</v>
      </c>
      <c r="C212" s="9">
        <v>11</v>
      </c>
      <c r="D212" s="9">
        <v>8</v>
      </c>
      <c r="E212" s="9">
        <v>8</v>
      </c>
      <c r="F212" s="9">
        <v>23</v>
      </c>
      <c r="G212" s="9">
        <v>21</v>
      </c>
      <c r="H212" s="9">
        <v>45</v>
      </c>
      <c r="I212" s="9">
        <v>29</v>
      </c>
      <c r="J212" s="9">
        <v>23</v>
      </c>
      <c r="K212" s="9">
        <v>55</v>
      </c>
      <c r="L212" s="9">
        <v>22</v>
      </c>
      <c r="M212" s="9">
        <v>11</v>
      </c>
      <c r="N212" s="9">
        <v>9</v>
      </c>
      <c r="O212" s="9">
        <v>192</v>
      </c>
      <c r="P212" s="9">
        <v>12</v>
      </c>
      <c r="Q212" s="9">
        <v>37</v>
      </c>
      <c r="R212" s="9">
        <v>34</v>
      </c>
      <c r="S212" s="9">
        <v>6</v>
      </c>
      <c r="T212" s="9">
        <v>51</v>
      </c>
      <c r="U212" s="9">
        <v>2</v>
      </c>
      <c r="V212" s="9">
        <v>1</v>
      </c>
      <c r="W212" s="9">
        <v>0</v>
      </c>
      <c r="X212" s="9">
        <v>0</v>
      </c>
      <c r="Y212" s="9">
        <v>0</v>
      </c>
      <c r="Z212" s="9">
        <v>0</v>
      </c>
      <c r="AA212" s="9">
        <v>9</v>
      </c>
      <c r="AC212" s="9">
        <f t="shared" si="13"/>
        <v>609</v>
      </c>
      <c r="AD212" s="9">
        <f t="shared" si="11"/>
        <v>6306</v>
      </c>
      <c r="AE212" s="10">
        <f t="shared" si="12"/>
        <v>10.354679802955665</v>
      </c>
    </row>
    <row r="213" spans="1:31" x14ac:dyDescent="0.3">
      <c r="A213" s="55"/>
      <c r="B213" s="30" t="s">
        <v>215</v>
      </c>
      <c r="C213" s="9">
        <v>47</v>
      </c>
      <c r="D213" s="9">
        <v>18</v>
      </c>
      <c r="E213" s="9">
        <v>26</v>
      </c>
      <c r="F213" s="9">
        <v>67</v>
      </c>
      <c r="G213" s="9">
        <v>57</v>
      </c>
      <c r="H213" s="9">
        <v>93</v>
      </c>
      <c r="I213" s="9">
        <v>70</v>
      </c>
      <c r="J213" s="9">
        <v>31</v>
      </c>
      <c r="K213" s="9">
        <v>55</v>
      </c>
      <c r="L213" s="9">
        <v>25</v>
      </c>
      <c r="M213" s="9">
        <v>27</v>
      </c>
      <c r="N213" s="9">
        <v>26</v>
      </c>
      <c r="O213" s="9">
        <v>153</v>
      </c>
      <c r="P213" s="9">
        <v>13</v>
      </c>
      <c r="Q213" s="9">
        <v>27</v>
      </c>
      <c r="R213" s="9">
        <v>25</v>
      </c>
      <c r="S213" s="9">
        <v>6</v>
      </c>
      <c r="T213" s="9">
        <v>43</v>
      </c>
      <c r="U213" s="9">
        <v>0</v>
      </c>
      <c r="V213" s="9">
        <v>2</v>
      </c>
      <c r="W213" s="9">
        <v>1</v>
      </c>
      <c r="X213" s="9">
        <v>0</v>
      </c>
      <c r="Y213" s="9">
        <v>1</v>
      </c>
      <c r="Z213" s="9">
        <v>0</v>
      </c>
      <c r="AA213" s="9">
        <v>20</v>
      </c>
      <c r="AC213" s="9">
        <f t="shared" si="13"/>
        <v>833</v>
      </c>
      <c r="AD213" s="9">
        <f t="shared" si="11"/>
        <v>6967</v>
      </c>
      <c r="AE213" s="10">
        <f t="shared" si="12"/>
        <v>8.3637454981992789</v>
      </c>
    </row>
    <row r="214" spans="1:31" x14ac:dyDescent="0.3">
      <c r="A214" s="55"/>
      <c r="B214" s="30" t="s">
        <v>216</v>
      </c>
      <c r="C214" s="9">
        <v>99</v>
      </c>
      <c r="D214" s="9">
        <v>36</v>
      </c>
      <c r="E214" s="9">
        <v>44</v>
      </c>
      <c r="F214" s="9">
        <v>68</v>
      </c>
      <c r="G214" s="9">
        <v>63</v>
      </c>
      <c r="H214" s="9">
        <v>79</v>
      </c>
      <c r="I214" s="9">
        <v>66</v>
      </c>
      <c r="J214" s="9">
        <v>25</v>
      </c>
      <c r="K214" s="9">
        <v>37</v>
      </c>
      <c r="L214" s="9">
        <v>25</v>
      </c>
      <c r="M214" s="9">
        <v>22</v>
      </c>
      <c r="N214" s="9">
        <v>15</v>
      </c>
      <c r="O214" s="9">
        <v>140</v>
      </c>
      <c r="P214" s="9">
        <v>15</v>
      </c>
      <c r="Q214" s="9">
        <v>44</v>
      </c>
      <c r="R214" s="9">
        <v>31</v>
      </c>
      <c r="S214" s="9">
        <v>5</v>
      </c>
      <c r="T214" s="9">
        <v>75</v>
      </c>
      <c r="U214" s="9">
        <v>1</v>
      </c>
      <c r="V214" s="9">
        <v>2</v>
      </c>
      <c r="W214" s="9">
        <v>0</v>
      </c>
      <c r="X214" s="9">
        <v>0</v>
      </c>
      <c r="Y214" s="9">
        <v>0</v>
      </c>
      <c r="Z214" s="9">
        <v>1</v>
      </c>
      <c r="AA214" s="9">
        <v>66</v>
      </c>
      <c r="AC214" s="9">
        <f t="shared" si="13"/>
        <v>959</v>
      </c>
      <c r="AD214" s="9">
        <f t="shared" si="11"/>
        <v>8426</v>
      </c>
      <c r="AE214" s="10">
        <f t="shared" si="12"/>
        <v>8.7862356621480711</v>
      </c>
    </row>
    <row r="215" spans="1:31" x14ac:dyDescent="0.3">
      <c r="A215" s="55"/>
      <c r="B215" s="30" t="s">
        <v>217</v>
      </c>
      <c r="C215" s="9">
        <v>67</v>
      </c>
      <c r="D215" s="9">
        <v>19</v>
      </c>
      <c r="E215" s="9">
        <v>34</v>
      </c>
      <c r="F215" s="9">
        <v>64</v>
      </c>
      <c r="G215" s="9">
        <v>50</v>
      </c>
      <c r="H215" s="9">
        <v>83</v>
      </c>
      <c r="I215" s="9">
        <v>50</v>
      </c>
      <c r="J215" s="9">
        <v>23</v>
      </c>
      <c r="K215" s="9">
        <v>40</v>
      </c>
      <c r="L215" s="9">
        <v>21</v>
      </c>
      <c r="M215" s="9">
        <v>21</v>
      </c>
      <c r="N215" s="9">
        <v>14</v>
      </c>
      <c r="O215" s="9">
        <v>165</v>
      </c>
      <c r="P215" s="9">
        <v>14</v>
      </c>
      <c r="Q215" s="9">
        <v>21</v>
      </c>
      <c r="R215" s="9">
        <v>23</v>
      </c>
      <c r="S215" s="9">
        <v>6</v>
      </c>
      <c r="T215" s="9">
        <v>70</v>
      </c>
      <c r="U215" s="9">
        <v>1</v>
      </c>
      <c r="V215" s="9">
        <v>3</v>
      </c>
      <c r="W215" s="9">
        <v>0</v>
      </c>
      <c r="X215" s="9">
        <v>0</v>
      </c>
      <c r="Y215" s="9">
        <v>0</v>
      </c>
      <c r="Z215" s="9">
        <v>1</v>
      </c>
      <c r="AA215" s="9">
        <v>37</v>
      </c>
      <c r="AC215" s="9">
        <f t="shared" si="13"/>
        <v>827</v>
      </c>
      <c r="AD215" s="9">
        <f t="shared" si="11"/>
        <v>7301</v>
      </c>
      <c r="AE215" s="10">
        <f t="shared" si="12"/>
        <v>8.8282950423216437</v>
      </c>
    </row>
    <row r="216" spans="1:31" x14ac:dyDescent="0.3">
      <c r="A216" s="55"/>
      <c r="B216" s="30" t="s">
        <v>218</v>
      </c>
      <c r="C216" s="9">
        <v>47</v>
      </c>
      <c r="D216" s="9">
        <v>30</v>
      </c>
      <c r="E216" s="9">
        <v>58</v>
      </c>
      <c r="F216" s="9">
        <v>117</v>
      </c>
      <c r="G216" s="9">
        <v>103</v>
      </c>
      <c r="H216" s="9">
        <v>236</v>
      </c>
      <c r="I216" s="9">
        <v>115</v>
      </c>
      <c r="J216" s="9">
        <v>91</v>
      </c>
      <c r="K216" s="9">
        <v>160</v>
      </c>
      <c r="L216" s="9">
        <v>85</v>
      </c>
      <c r="M216" s="9">
        <v>76</v>
      </c>
      <c r="N216" s="9">
        <v>61</v>
      </c>
      <c r="O216" s="9">
        <v>506</v>
      </c>
      <c r="P216" s="9">
        <v>38</v>
      </c>
      <c r="Q216" s="9">
        <v>60</v>
      </c>
      <c r="R216" s="9">
        <v>67</v>
      </c>
      <c r="S216" s="9">
        <v>12</v>
      </c>
      <c r="T216" s="9">
        <v>193</v>
      </c>
      <c r="U216" s="9">
        <v>2</v>
      </c>
      <c r="V216" s="9">
        <v>9</v>
      </c>
      <c r="W216" s="9">
        <v>0</v>
      </c>
      <c r="X216" s="9">
        <v>1</v>
      </c>
      <c r="Y216" s="9">
        <v>0</v>
      </c>
      <c r="Z216" s="9">
        <v>3</v>
      </c>
      <c r="AA216" s="9">
        <v>38</v>
      </c>
      <c r="AC216" s="9">
        <f t="shared" si="13"/>
        <v>2108</v>
      </c>
      <c r="AD216" s="9">
        <f t="shared" si="11"/>
        <v>19985</v>
      </c>
      <c r="AE216" s="10">
        <f t="shared" si="12"/>
        <v>9.480550284629981</v>
      </c>
    </row>
    <row r="217" spans="1:31" x14ac:dyDescent="0.3">
      <c r="A217" s="55"/>
      <c r="B217" s="30" t="s">
        <v>219</v>
      </c>
      <c r="C217" s="9">
        <v>64</v>
      </c>
      <c r="D217" s="9">
        <v>37</v>
      </c>
      <c r="E217" s="9">
        <v>45</v>
      </c>
      <c r="F217" s="9">
        <v>86</v>
      </c>
      <c r="G217" s="9">
        <v>49</v>
      </c>
      <c r="H217" s="9">
        <v>81</v>
      </c>
      <c r="I217" s="9">
        <v>42</v>
      </c>
      <c r="J217" s="9">
        <v>21</v>
      </c>
      <c r="K217" s="9">
        <v>33</v>
      </c>
      <c r="L217" s="9">
        <v>9</v>
      </c>
      <c r="M217" s="9">
        <v>16</v>
      </c>
      <c r="N217" s="9">
        <v>15</v>
      </c>
      <c r="O217" s="9">
        <v>88</v>
      </c>
      <c r="P217" s="9">
        <v>8</v>
      </c>
      <c r="Q217" s="9">
        <v>20</v>
      </c>
      <c r="R217" s="9">
        <v>13</v>
      </c>
      <c r="S217" s="9">
        <v>0</v>
      </c>
      <c r="T217" s="9">
        <v>33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48</v>
      </c>
      <c r="AC217" s="9">
        <f t="shared" si="13"/>
        <v>708</v>
      </c>
      <c r="AD217" s="9">
        <f t="shared" si="11"/>
        <v>5403</v>
      </c>
      <c r="AE217" s="10">
        <f t="shared" si="12"/>
        <v>7.6313559322033901</v>
      </c>
    </row>
    <row r="218" spans="1:31" x14ac:dyDescent="0.3">
      <c r="A218" s="55"/>
      <c r="B218" s="30" t="s">
        <v>220</v>
      </c>
      <c r="C218" s="9">
        <v>104</v>
      </c>
      <c r="D218" s="9">
        <v>39</v>
      </c>
      <c r="E218" s="9">
        <v>93</v>
      </c>
      <c r="F218" s="9">
        <v>120</v>
      </c>
      <c r="G218" s="9">
        <v>101</v>
      </c>
      <c r="H218" s="9">
        <v>198</v>
      </c>
      <c r="I218" s="9">
        <v>80</v>
      </c>
      <c r="J218" s="9">
        <v>36</v>
      </c>
      <c r="K218" s="9">
        <v>67</v>
      </c>
      <c r="L218" s="9">
        <v>29</v>
      </c>
      <c r="M218" s="9">
        <v>24</v>
      </c>
      <c r="N218" s="9">
        <v>19</v>
      </c>
      <c r="O218" s="9">
        <v>187</v>
      </c>
      <c r="P218" s="9">
        <v>9</v>
      </c>
      <c r="Q218" s="9">
        <v>18</v>
      </c>
      <c r="R218" s="9">
        <v>10</v>
      </c>
      <c r="S218" s="9">
        <v>2</v>
      </c>
      <c r="T218" s="9">
        <v>49</v>
      </c>
      <c r="U218" s="9">
        <v>0</v>
      </c>
      <c r="V218" s="9">
        <v>1</v>
      </c>
      <c r="W218" s="9">
        <v>2</v>
      </c>
      <c r="X218" s="9">
        <v>0</v>
      </c>
      <c r="Y218" s="9">
        <v>0</v>
      </c>
      <c r="Z218" s="9">
        <v>1</v>
      </c>
      <c r="AA218" s="9">
        <v>57</v>
      </c>
      <c r="AC218" s="9">
        <f t="shared" si="13"/>
        <v>1246</v>
      </c>
      <c r="AD218" s="9">
        <f t="shared" si="11"/>
        <v>9035</v>
      </c>
      <c r="AE218" s="10">
        <f t="shared" si="12"/>
        <v>7.251203852327448</v>
      </c>
    </row>
    <row r="219" spans="1:31" x14ac:dyDescent="0.3">
      <c r="A219" s="55"/>
      <c r="B219" s="30" t="s">
        <v>221</v>
      </c>
      <c r="C219" s="9">
        <v>105</v>
      </c>
      <c r="D219" s="9">
        <v>55</v>
      </c>
      <c r="E219" s="9">
        <v>81</v>
      </c>
      <c r="F219" s="9">
        <v>131</v>
      </c>
      <c r="G219" s="9">
        <v>89</v>
      </c>
      <c r="H219" s="9">
        <v>219</v>
      </c>
      <c r="I219" s="9">
        <v>129</v>
      </c>
      <c r="J219" s="9">
        <v>57</v>
      </c>
      <c r="K219" s="9">
        <v>86</v>
      </c>
      <c r="L219" s="9">
        <v>29</v>
      </c>
      <c r="M219" s="9">
        <v>25</v>
      </c>
      <c r="N219" s="9">
        <v>30</v>
      </c>
      <c r="O219" s="9">
        <v>210</v>
      </c>
      <c r="P219" s="9">
        <v>17</v>
      </c>
      <c r="Q219" s="9">
        <v>39</v>
      </c>
      <c r="R219" s="9">
        <v>38</v>
      </c>
      <c r="S219" s="9">
        <v>4</v>
      </c>
      <c r="T219" s="9">
        <v>110</v>
      </c>
      <c r="U219" s="9">
        <v>1</v>
      </c>
      <c r="V219" s="9">
        <v>2</v>
      </c>
      <c r="W219" s="9">
        <v>0</v>
      </c>
      <c r="X219" s="9">
        <v>0</v>
      </c>
      <c r="Y219" s="9">
        <v>0</v>
      </c>
      <c r="Z219" s="9">
        <v>1</v>
      </c>
      <c r="AA219" s="9">
        <v>26</v>
      </c>
      <c r="AC219" s="9">
        <f t="shared" si="13"/>
        <v>1484</v>
      </c>
      <c r="AD219" s="9">
        <f t="shared" si="11"/>
        <v>11257</v>
      </c>
      <c r="AE219" s="10">
        <f t="shared" si="12"/>
        <v>7.585579514824798</v>
      </c>
    </row>
    <row r="220" spans="1:31" x14ac:dyDescent="0.3">
      <c r="A220" s="55"/>
      <c r="B220" s="30" t="s">
        <v>222</v>
      </c>
      <c r="C220" s="9">
        <v>24</v>
      </c>
      <c r="D220" s="9">
        <v>8</v>
      </c>
      <c r="E220" s="9">
        <v>16</v>
      </c>
      <c r="F220" s="9">
        <v>40</v>
      </c>
      <c r="G220" s="9">
        <v>40</v>
      </c>
      <c r="H220" s="9">
        <v>74</v>
      </c>
      <c r="I220" s="9">
        <v>49</v>
      </c>
      <c r="J220" s="9">
        <v>34</v>
      </c>
      <c r="K220" s="9">
        <v>42</v>
      </c>
      <c r="L220" s="9">
        <v>17</v>
      </c>
      <c r="M220" s="9">
        <v>16</v>
      </c>
      <c r="N220" s="9">
        <v>18</v>
      </c>
      <c r="O220" s="9">
        <v>119</v>
      </c>
      <c r="P220" s="9">
        <v>8</v>
      </c>
      <c r="Q220" s="9">
        <v>15</v>
      </c>
      <c r="R220" s="9">
        <v>40</v>
      </c>
      <c r="S220" s="9">
        <v>3</v>
      </c>
      <c r="T220" s="9">
        <v>64</v>
      </c>
      <c r="U220" s="9">
        <v>0</v>
      </c>
      <c r="V220" s="9">
        <v>3</v>
      </c>
      <c r="W220" s="9">
        <v>0</v>
      </c>
      <c r="X220" s="9">
        <v>0</v>
      </c>
      <c r="Y220" s="9">
        <v>0</v>
      </c>
      <c r="Z220" s="9">
        <v>0</v>
      </c>
      <c r="AA220" s="9">
        <v>11</v>
      </c>
      <c r="AC220" s="9">
        <f t="shared" si="13"/>
        <v>641</v>
      </c>
      <c r="AD220" s="9">
        <f t="shared" si="11"/>
        <v>5868</v>
      </c>
      <c r="AE220" s="10">
        <f t="shared" si="12"/>
        <v>9.1544461778471131</v>
      </c>
    </row>
    <row r="221" spans="1:31" x14ac:dyDescent="0.3">
      <c r="A221" s="55"/>
      <c r="B221" s="30" t="s">
        <v>223</v>
      </c>
      <c r="C221" s="9">
        <v>17</v>
      </c>
      <c r="D221" s="9">
        <v>17</v>
      </c>
      <c r="E221" s="9">
        <v>21</v>
      </c>
      <c r="F221" s="9">
        <v>42</v>
      </c>
      <c r="G221" s="9">
        <v>47</v>
      </c>
      <c r="H221" s="9">
        <v>196</v>
      </c>
      <c r="I221" s="9">
        <v>88</v>
      </c>
      <c r="J221" s="9">
        <v>72</v>
      </c>
      <c r="K221" s="9">
        <v>198</v>
      </c>
      <c r="L221" s="9">
        <v>55</v>
      </c>
      <c r="M221" s="9">
        <v>77</v>
      </c>
      <c r="N221" s="9">
        <v>61</v>
      </c>
      <c r="O221" s="9">
        <v>780</v>
      </c>
      <c r="P221" s="9">
        <v>55</v>
      </c>
      <c r="Q221" s="9">
        <v>102</v>
      </c>
      <c r="R221" s="9">
        <v>159</v>
      </c>
      <c r="S221" s="9">
        <v>28</v>
      </c>
      <c r="T221" s="9">
        <v>261</v>
      </c>
      <c r="U221" s="9">
        <v>4</v>
      </c>
      <c r="V221" s="9">
        <v>6</v>
      </c>
      <c r="W221" s="9">
        <v>0</v>
      </c>
      <c r="X221" s="9">
        <v>1</v>
      </c>
      <c r="Y221" s="9">
        <v>0</v>
      </c>
      <c r="Z221" s="9">
        <v>1</v>
      </c>
      <c r="AA221" s="9">
        <v>110</v>
      </c>
      <c r="AC221" s="9">
        <f t="shared" si="13"/>
        <v>2398</v>
      </c>
      <c r="AD221" s="9">
        <f t="shared" si="11"/>
        <v>27548</v>
      </c>
      <c r="AE221" s="10">
        <f t="shared" si="12"/>
        <v>11.487906588824019</v>
      </c>
    </row>
    <row r="222" spans="1:31" x14ac:dyDescent="0.3">
      <c r="A222" s="55"/>
      <c r="B222" s="30" t="s">
        <v>224</v>
      </c>
      <c r="C222" s="9">
        <v>10</v>
      </c>
      <c r="D222" s="9">
        <v>4</v>
      </c>
      <c r="E222" s="9">
        <v>3</v>
      </c>
      <c r="F222" s="9">
        <v>10</v>
      </c>
      <c r="G222" s="9">
        <v>22</v>
      </c>
      <c r="H222" s="9">
        <v>41</v>
      </c>
      <c r="I222" s="9">
        <v>38</v>
      </c>
      <c r="J222" s="9">
        <v>32</v>
      </c>
      <c r="K222" s="9">
        <v>102</v>
      </c>
      <c r="L222" s="9">
        <v>14</v>
      </c>
      <c r="M222" s="9">
        <v>10</v>
      </c>
      <c r="N222" s="9">
        <v>10</v>
      </c>
      <c r="O222" s="9">
        <v>221</v>
      </c>
      <c r="P222" s="9">
        <v>11</v>
      </c>
      <c r="Q222" s="9">
        <v>31</v>
      </c>
      <c r="R222" s="9">
        <v>20</v>
      </c>
      <c r="S222" s="9">
        <v>5</v>
      </c>
      <c r="T222" s="9">
        <v>59</v>
      </c>
      <c r="U222" s="9">
        <v>1</v>
      </c>
      <c r="V222" s="9">
        <v>2</v>
      </c>
      <c r="W222" s="9">
        <v>0</v>
      </c>
      <c r="X222" s="9">
        <v>0</v>
      </c>
      <c r="Y222" s="9">
        <v>0</v>
      </c>
      <c r="Z222" s="9">
        <v>2</v>
      </c>
      <c r="AA222" s="9">
        <v>47</v>
      </c>
      <c r="AC222" s="9">
        <f t="shared" si="13"/>
        <v>695</v>
      </c>
      <c r="AD222" s="9">
        <f t="shared" si="11"/>
        <v>7779</v>
      </c>
      <c r="AE222" s="10">
        <f t="shared" si="12"/>
        <v>11.192805755395684</v>
      </c>
    </row>
    <row r="223" spans="1:31" x14ac:dyDescent="0.3">
      <c r="A223" s="55"/>
      <c r="B223" s="30" t="s">
        <v>225</v>
      </c>
      <c r="C223" s="9">
        <v>41</v>
      </c>
      <c r="D223" s="9">
        <v>35</v>
      </c>
      <c r="E223" s="9">
        <v>60</v>
      </c>
      <c r="F223" s="9">
        <v>86</v>
      </c>
      <c r="G223" s="9">
        <v>75</v>
      </c>
      <c r="H223" s="9">
        <v>100</v>
      </c>
      <c r="I223" s="9">
        <v>98</v>
      </c>
      <c r="J223" s="9">
        <v>46</v>
      </c>
      <c r="K223" s="9">
        <v>54</v>
      </c>
      <c r="L223" s="9">
        <v>23</v>
      </c>
      <c r="M223" s="9">
        <v>23</v>
      </c>
      <c r="N223" s="9">
        <v>8</v>
      </c>
      <c r="O223" s="9">
        <v>120</v>
      </c>
      <c r="P223" s="9">
        <v>10</v>
      </c>
      <c r="Q223" s="9">
        <v>17</v>
      </c>
      <c r="R223" s="9">
        <v>27</v>
      </c>
      <c r="S223" s="9">
        <v>5</v>
      </c>
      <c r="T223" s="9">
        <v>65</v>
      </c>
      <c r="U223" s="9">
        <v>1</v>
      </c>
      <c r="V223" s="9">
        <v>6</v>
      </c>
      <c r="W223" s="9">
        <v>0</v>
      </c>
      <c r="X223" s="9">
        <v>0</v>
      </c>
      <c r="Y223" s="9">
        <v>0</v>
      </c>
      <c r="Z223" s="9">
        <v>0</v>
      </c>
      <c r="AA223" s="9">
        <v>37</v>
      </c>
      <c r="AC223" s="9">
        <f t="shared" si="13"/>
        <v>937</v>
      </c>
      <c r="AD223" s="9">
        <f t="shared" si="11"/>
        <v>7498</v>
      </c>
      <c r="AE223" s="10">
        <f t="shared" si="12"/>
        <v>8.0021344717182501</v>
      </c>
    </row>
    <row r="224" spans="1:31" x14ac:dyDescent="0.3">
      <c r="A224" s="55"/>
      <c r="B224" s="30" t="s">
        <v>226</v>
      </c>
      <c r="C224" s="9">
        <v>7</v>
      </c>
      <c r="D224" s="9">
        <v>8</v>
      </c>
      <c r="E224" s="9">
        <v>12</v>
      </c>
      <c r="F224" s="9">
        <v>26</v>
      </c>
      <c r="G224" s="9">
        <v>15</v>
      </c>
      <c r="H224" s="9">
        <v>44</v>
      </c>
      <c r="I224" s="9">
        <v>46</v>
      </c>
      <c r="J224" s="9">
        <v>25</v>
      </c>
      <c r="K224" s="9">
        <v>38</v>
      </c>
      <c r="L224" s="9">
        <v>18</v>
      </c>
      <c r="M224" s="9">
        <v>17</v>
      </c>
      <c r="N224" s="9">
        <v>7</v>
      </c>
      <c r="O224" s="9">
        <v>100</v>
      </c>
      <c r="P224" s="9">
        <v>5</v>
      </c>
      <c r="Q224" s="9">
        <v>12</v>
      </c>
      <c r="R224" s="9">
        <v>19</v>
      </c>
      <c r="S224" s="9">
        <v>3</v>
      </c>
      <c r="T224" s="9">
        <v>36</v>
      </c>
      <c r="U224" s="9">
        <v>0</v>
      </c>
      <c r="V224" s="9">
        <v>1</v>
      </c>
      <c r="W224" s="9">
        <v>0</v>
      </c>
      <c r="X224" s="9">
        <v>0</v>
      </c>
      <c r="Y224" s="9">
        <v>0</v>
      </c>
      <c r="Z224" s="9">
        <v>0</v>
      </c>
      <c r="AA224" s="9">
        <v>11</v>
      </c>
      <c r="AC224" s="9">
        <f t="shared" si="13"/>
        <v>450</v>
      </c>
      <c r="AD224" s="9">
        <f t="shared" si="11"/>
        <v>4215</v>
      </c>
      <c r="AE224" s="10">
        <f t="shared" si="12"/>
        <v>9.3666666666666671</v>
      </c>
    </row>
    <row r="225" spans="1:31" x14ac:dyDescent="0.3">
      <c r="A225" s="55"/>
      <c r="B225" s="30" t="s">
        <v>227</v>
      </c>
      <c r="C225" s="9">
        <v>31</v>
      </c>
      <c r="D225" s="9">
        <v>9</v>
      </c>
      <c r="E225" s="9">
        <v>17</v>
      </c>
      <c r="F225" s="9">
        <v>36</v>
      </c>
      <c r="G225" s="9">
        <v>36</v>
      </c>
      <c r="H225" s="9">
        <v>237</v>
      </c>
      <c r="I225" s="9">
        <v>94</v>
      </c>
      <c r="J225" s="9">
        <v>77</v>
      </c>
      <c r="K225" s="9">
        <v>191</v>
      </c>
      <c r="L225" s="9">
        <v>79</v>
      </c>
      <c r="M225" s="9">
        <v>97</v>
      </c>
      <c r="N225" s="9">
        <v>73</v>
      </c>
      <c r="O225" s="9">
        <v>1198</v>
      </c>
      <c r="P225" s="9">
        <v>125</v>
      </c>
      <c r="Q225" s="9">
        <v>316</v>
      </c>
      <c r="R225" s="9">
        <v>314</v>
      </c>
      <c r="S225" s="9">
        <v>113</v>
      </c>
      <c r="T225" s="9">
        <v>833</v>
      </c>
      <c r="U225" s="9">
        <v>14</v>
      </c>
      <c r="V225" s="9">
        <v>34</v>
      </c>
      <c r="W225" s="9">
        <v>3</v>
      </c>
      <c r="X225" s="9">
        <v>0</v>
      </c>
      <c r="Y225" s="9">
        <v>1</v>
      </c>
      <c r="Z225" s="9">
        <v>1</v>
      </c>
      <c r="AA225" s="9">
        <v>55</v>
      </c>
      <c r="AC225" s="9">
        <f t="shared" si="13"/>
        <v>3984</v>
      </c>
      <c r="AD225" s="9">
        <f t="shared" si="11"/>
        <v>50022</v>
      </c>
      <c r="AE225" s="10">
        <f t="shared" si="12"/>
        <v>12.555722891566266</v>
      </c>
    </row>
    <row r="226" spans="1:31" x14ac:dyDescent="0.3">
      <c r="A226" s="55"/>
      <c r="B226" s="30" t="s">
        <v>228</v>
      </c>
      <c r="C226" s="9">
        <v>3</v>
      </c>
      <c r="D226" s="9">
        <v>1</v>
      </c>
      <c r="E226" s="9">
        <v>4</v>
      </c>
      <c r="F226" s="9">
        <v>3</v>
      </c>
      <c r="G226" s="9">
        <v>3</v>
      </c>
      <c r="H226" s="9">
        <v>28</v>
      </c>
      <c r="I226" s="9">
        <v>23</v>
      </c>
      <c r="J226" s="9">
        <v>20</v>
      </c>
      <c r="K226" s="9">
        <v>34</v>
      </c>
      <c r="L226" s="9">
        <v>19</v>
      </c>
      <c r="M226" s="9">
        <v>26</v>
      </c>
      <c r="N226" s="9">
        <v>18</v>
      </c>
      <c r="O226" s="9">
        <v>301</v>
      </c>
      <c r="P226" s="9">
        <v>27</v>
      </c>
      <c r="Q226" s="9">
        <v>71</v>
      </c>
      <c r="R226" s="9">
        <v>79</v>
      </c>
      <c r="S226" s="9">
        <v>14</v>
      </c>
      <c r="T226" s="9">
        <v>151</v>
      </c>
      <c r="U226" s="9">
        <v>2</v>
      </c>
      <c r="V226" s="9">
        <v>8</v>
      </c>
      <c r="W226" s="9">
        <v>0</v>
      </c>
      <c r="X226" s="9">
        <v>0</v>
      </c>
      <c r="Y226" s="9">
        <v>0</v>
      </c>
      <c r="Z226" s="9">
        <v>1</v>
      </c>
      <c r="AA226" s="9">
        <v>7</v>
      </c>
      <c r="AC226" s="9">
        <f t="shared" si="13"/>
        <v>843</v>
      </c>
      <c r="AD226" s="9">
        <f t="shared" si="11"/>
        <v>10661</v>
      </c>
      <c r="AE226" s="10">
        <f t="shared" si="12"/>
        <v>12.646500593119811</v>
      </c>
    </row>
    <row r="227" spans="1:31" x14ac:dyDescent="0.3">
      <c r="A227" s="55"/>
      <c r="B227" s="30" t="s">
        <v>229</v>
      </c>
      <c r="C227" s="9">
        <v>8</v>
      </c>
      <c r="D227" s="9">
        <v>2</v>
      </c>
      <c r="E227" s="9">
        <v>6</v>
      </c>
      <c r="F227" s="9">
        <v>3</v>
      </c>
      <c r="G227" s="9">
        <v>9</v>
      </c>
      <c r="H227" s="9">
        <v>26</v>
      </c>
      <c r="I227" s="9">
        <v>19</v>
      </c>
      <c r="J227" s="9">
        <v>30</v>
      </c>
      <c r="K227" s="9">
        <v>61</v>
      </c>
      <c r="L227" s="9">
        <v>18</v>
      </c>
      <c r="M227" s="9">
        <v>38</v>
      </c>
      <c r="N227" s="9">
        <v>18</v>
      </c>
      <c r="O227" s="9">
        <v>377</v>
      </c>
      <c r="P227" s="9">
        <v>36</v>
      </c>
      <c r="Q227" s="9">
        <v>67</v>
      </c>
      <c r="R227" s="9">
        <v>116</v>
      </c>
      <c r="S227" s="9">
        <v>11</v>
      </c>
      <c r="T227" s="9">
        <v>217</v>
      </c>
      <c r="U227" s="9">
        <v>6</v>
      </c>
      <c r="V227" s="9">
        <v>11</v>
      </c>
      <c r="W227" s="9">
        <v>1</v>
      </c>
      <c r="X227" s="9">
        <v>1</v>
      </c>
      <c r="Y227" s="9">
        <v>0</v>
      </c>
      <c r="Z227" s="9">
        <v>1</v>
      </c>
      <c r="AA227" s="9">
        <v>24</v>
      </c>
      <c r="AC227" s="9">
        <f t="shared" si="13"/>
        <v>1106</v>
      </c>
      <c r="AD227" s="9">
        <f t="shared" si="11"/>
        <v>14233</v>
      </c>
      <c r="AE227" s="10">
        <f t="shared" si="12"/>
        <v>12.868896925858952</v>
      </c>
    </row>
    <row r="228" spans="1:31" x14ac:dyDescent="0.3">
      <c r="A228" s="55"/>
      <c r="B228" s="30" t="s">
        <v>230</v>
      </c>
      <c r="C228" s="9">
        <v>1</v>
      </c>
      <c r="D228" s="9">
        <v>0</v>
      </c>
      <c r="E228" s="9">
        <v>0</v>
      </c>
      <c r="F228" s="9">
        <v>2</v>
      </c>
      <c r="G228" s="9">
        <v>0</v>
      </c>
      <c r="H228" s="9">
        <v>1</v>
      </c>
      <c r="I228" s="9">
        <v>1</v>
      </c>
      <c r="J228" s="9">
        <v>3</v>
      </c>
      <c r="K228" s="9">
        <v>7</v>
      </c>
      <c r="L228" s="9">
        <v>2</v>
      </c>
      <c r="M228" s="9">
        <v>3</v>
      </c>
      <c r="N228" s="9">
        <v>3</v>
      </c>
      <c r="O228" s="9">
        <v>43</v>
      </c>
      <c r="P228" s="9">
        <v>2</v>
      </c>
      <c r="Q228" s="9">
        <v>5</v>
      </c>
      <c r="R228" s="9">
        <v>11</v>
      </c>
      <c r="S228" s="9">
        <v>4</v>
      </c>
      <c r="T228" s="9">
        <v>19</v>
      </c>
      <c r="U228" s="9">
        <v>1</v>
      </c>
      <c r="V228" s="9">
        <v>0</v>
      </c>
      <c r="W228" s="9">
        <v>1</v>
      </c>
      <c r="X228" s="9">
        <v>0</v>
      </c>
      <c r="Y228" s="9">
        <v>0</v>
      </c>
      <c r="Z228" s="9">
        <v>0</v>
      </c>
      <c r="AA228" s="9">
        <v>5</v>
      </c>
      <c r="AC228" s="9">
        <f t="shared" si="13"/>
        <v>114</v>
      </c>
      <c r="AD228" s="9">
        <f t="shared" si="11"/>
        <v>1497</v>
      </c>
      <c r="AE228" s="10">
        <f t="shared" si="12"/>
        <v>13.131578947368421</v>
      </c>
    </row>
    <row r="229" spans="1:31" x14ac:dyDescent="0.3">
      <c r="A229" s="55"/>
      <c r="B229" s="30" t="s">
        <v>231</v>
      </c>
      <c r="C229" s="9">
        <v>6</v>
      </c>
      <c r="D229" s="9">
        <v>0</v>
      </c>
      <c r="E229" s="9">
        <v>1</v>
      </c>
      <c r="F229" s="9">
        <v>4</v>
      </c>
      <c r="G229" s="9">
        <v>4</v>
      </c>
      <c r="H229" s="9">
        <v>23</v>
      </c>
      <c r="I229" s="9">
        <v>11</v>
      </c>
      <c r="J229" s="9">
        <v>7</v>
      </c>
      <c r="K229" s="9">
        <v>36</v>
      </c>
      <c r="L229" s="9">
        <v>5</v>
      </c>
      <c r="M229" s="9">
        <v>12</v>
      </c>
      <c r="N229" s="9">
        <v>6</v>
      </c>
      <c r="O229" s="9">
        <v>86</v>
      </c>
      <c r="P229" s="9">
        <v>2</v>
      </c>
      <c r="Q229" s="9">
        <v>7</v>
      </c>
      <c r="R229" s="9">
        <v>8</v>
      </c>
      <c r="S229" s="9">
        <v>2</v>
      </c>
      <c r="T229" s="9">
        <v>30</v>
      </c>
      <c r="U229" s="9">
        <v>2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A229" s="9">
        <v>21</v>
      </c>
      <c r="AC229" s="9">
        <f t="shared" si="13"/>
        <v>274</v>
      </c>
      <c r="AD229" s="9">
        <f t="shared" si="11"/>
        <v>3156</v>
      </c>
      <c r="AE229" s="10">
        <f t="shared" si="12"/>
        <v>11.518248175182482</v>
      </c>
    </row>
    <row r="230" spans="1:31" x14ac:dyDescent="0.3">
      <c r="A230" s="55"/>
      <c r="B230" s="30" t="s">
        <v>232</v>
      </c>
      <c r="C230" s="9">
        <v>0</v>
      </c>
      <c r="D230" s="9">
        <v>0</v>
      </c>
      <c r="E230" s="9">
        <v>1</v>
      </c>
      <c r="F230" s="9">
        <v>0</v>
      </c>
      <c r="G230" s="9">
        <v>1</v>
      </c>
      <c r="H230" s="9">
        <v>9</v>
      </c>
      <c r="I230" s="9">
        <v>7</v>
      </c>
      <c r="J230" s="9">
        <v>4</v>
      </c>
      <c r="K230" s="9">
        <v>7</v>
      </c>
      <c r="L230" s="9">
        <v>2</v>
      </c>
      <c r="M230" s="9">
        <v>4</v>
      </c>
      <c r="N230" s="9">
        <v>3</v>
      </c>
      <c r="O230" s="9">
        <v>36</v>
      </c>
      <c r="P230" s="9">
        <v>0</v>
      </c>
      <c r="Q230" s="9">
        <v>8</v>
      </c>
      <c r="R230" s="9">
        <v>4</v>
      </c>
      <c r="S230" s="9">
        <v>0</v>
      </c>
      <c r="T230" s="9">
        <v>12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2</v>
      </c>
      <c r="AC230" s="9">
        <f t="shared" si="13"/>
        <v>100</v>
      </c>
      <c r="AD230" s="9">
        <f t="shared" si="11"/>
        <v>1124</v>
      </c>
      <c r="AE230" s="10">
        <f t="shared" si="12"/>
        <v>11.24</v>
      </c>
    </row>
    <row r="231" spans="1:31" x14ac:dyDescent="0.3">
      <c r="A231" s="55"/>
      <c r="B231" s="30" t="s">
        <v>233</v>
      </c>
      <c r="C231" s="9">
        <v>2</v>
      </c>
      <c r="D231" s="9">
        <v>1</v>
      </c>
      <c r="E231" s="9">
        <v>3</v>
      </c>
      <c r="F231" s="9">
        <v>2</v>
      </c>
      <c r="G231" s="9">
        <v>3</v>
      </c>
      <c r="H231" s="9">
        <v>30</v>
      </c>
      <c r="I231" s="9">
        <v>3</v>
      </c>
      <c r="J231" s="9">
        <v>10</v>
      </c>
      <c r="K231" s="9">
        <v>33</v>
      </c>
      <c r="L231" s="9">
        <v>2</v>
      </c>
      <c r="M231" s="9">
        <v>2</v>
      </c>
      <c r="N231" s="9">
        <v>7</v>
      </c>
      <c r="O231" s="9">
        <v>41</v>
      </c>
      <c r="P231" s="9">
        <v>1</v>
      </c>
      <c r="Q231" s="9">
        <v>4</v>
      </c>
      <c r="R231" s="9">
        <v>3</v>
      </c>
      <c r="S231" s="9">
        <v>0</v>
      </c>
      <c r="T231" s="9">
        <v>13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9</v>
      </c>
      <c r="AC231" s="9">
        <f t="shared" si="13"/>
        <v>169</v>
      </c>
      <c r="AD231" s="9">
        <f t="shared" si="11"/>
        <v>1685</v>
      </c>
      <c r="AE231" s="10">
        <f t="shared" si="12"/>
        <v>9.9704142011834325</v>
      </c>
    </row>
    <row r="232" spans="1:31" x14ac:dyDescent="0.3">
      <c r="A232" s="55"/>
      <c r="B232" s="30" t="s">
        <v>234</v>
      </c>
      <c r="C232" s="9">
        <v>19</v>
      </c>
      <c r="D232" s="9">
        <v>9</v>
      </c>
      <c r="E232" s="9">
        <v>5</v>
      </c>
      <c r="F232" s="9">
        <v>18</v>
      </c>
      <c r="G232" s="9">
        <v>24</v>
      </c>
      <c r="H232" s="9">
        <v>50</v>
      </c>
      <c r="I232" s="9">
        <v>58</v>
      </c>
      <c r="J232" s="9">
        <v>46</v>
      </c>
      <c r="K232" s="9">
        <v>77</v>
      </c>
      <c r="L232" s="9">
        <v>21</v>
      </c>
      <c r="M232" s="9">
        <v>20</v>
      </c>
      <c r="N232" s="9">
        <v>27</v>
      </c>
      <c r="O232" s="9">
        <v>320</v>
      </c>
      <c r="P232" s="9">
        <v>31</v>
      </c>
      <c r="Q232" s="9">
        <v>55</v>
      </c>
      <c r="R232" s="9">
        <v>55</v>
      </c>
      <c r="S232" s="9">
        <v>11</v>
      </c>
      <c r="T232" s="9">
        <v>125</v>
      </c>
      <c r="U232" s="9">
        <v>2</v>
      </c>
      <c r="V232" s="9">
        <v>10</v>
      </c>
      <c r="W232" s="9">
        <v>0</v>
      </c>
      <c r="X232" s="9">
        <v>0</v>
      </c>
      <c r="Y232" s="9">
        <v>0</v>
      </c>
      <c r="Z232" s="9">
        <v>2</v>
      </c>
      <c r="AA232" s="9">
        <v>25</v>
      </c>
      <c r="AC232" s="9">
        <f t="shared" si="13"/>
        <v>1010</v>
      </c>
      <c r="AD232" s="9">
        <f t="shared" si="11"/>
        <v>11402</v>
      </c>
      <c r="AE232" s="10">
        <f t="shared" si="12"/>
        <v>11.289108910891089</v>
      </c>
    </row>
    <row r="233" spans="1:31" x14ac:dyDescent="0.3">
      <c r="A233" s="55"/>
      <c r="B233" s="30" t="s">
        <v>235</v>
      </c>
      <c r="C233" s="9">
        <v>22</v>
      </c>
      <c r="D233" s="9">
        <v>5</v>
      </c>
      <c r="E233" s="9">
        <v>10</v>
      </c>
      <c r="F233" s="9">
        <v>25</v>
      </c>
      <c r="G233" s="9">
        <v>15</v>
      </c>
      <c r="H233" s="9">
        <v>51</v>
      </c>
      <c r="I233" s="9">
        <v>42</v>
      </c>
      <c r="J233" s="9">
        <v>22</v>
      </c>
      <c r="K233" s="9">
        <v>79</v>
      </c>
      <c r="L233" s="9">
        <v>11</v>
      </c>
      <c r="M233" s="9">
        <v>31</v>
      </c>
      <c r="N233" s="9">
        <v>22</v>
      </c>
      <c r="O233" s="9">
        <v>309</v>
      </c>
      <c r="P233" s="9">
        <v>35</v>
      </c>
      <c r="Q233" s="9">
        <v>71</v>
      </c>
      <c r="R233" s="9">
        <v>87</v>
      </c>
      <c r="S233" s="9">
        <v>16</v>
      </c>
      <c r="T233" s="9">
        <v>137</v>
      </c>
      <c r="U233" s="9">
        <v>3</v>
      </c>
      <c r="V233" s="9">
        <v>5</v>
      </c>
      <c r="W233" s="9">
        <v>0</v>
      </c>
      <c r="X233" s="9">
        <v>0</v>
      </c>
      <c r="Y233" s="9">
        <v>0</v>
      </c>
      <c r="Z233" s="9">
        <v>1</v>
      </c>
      <c r="AA233" s="9">
        <v>27</v>
      </c>
      <c r="AC233" s="9">
        <f t="shared" si="13"/>
        <v>1026</v>
      </c>
      <c r="AD233" s="9">
        <f t="shared" si="11"/>
        <v>11971</v>
      </c>
      <c r="AE233" s="10">
        <f t="shared" si="12"/>
        <v>11.667641325536062</v>
      </c>
    </row>
    <row r="234" spans="1:31" x14ac:dyDescent="0.3">
      <c r="A234" s="55"/>
      <c r="B234" s="30" t="s">
        <v>236</v>
      </c>
      <c r="C234" s="9">
        <v>46</v>
      </c>
      <c r="D234" s="9">
        <v>10</v>
      </c>
      <c r="E234" s="9">
        <v>23</v>
      </c>
      <c r="F234" s="9">
        <v>66</v>
      </c>
      <c r="G234" s="9">
        <v>44</v>
      </c>
      <c r="H234" s="9">
        <v>97</v>
      </c>
      <c r="I234" s="9">
        <v>76</v>
      </c>
      <c r="J234" s="9">
        <v>33</v>
      </c>
      <c r="K234" s="9">
        <v>82</v>
      </c>
      <c r="L234" s="9">
        <v>20</v>
      </c>
      <c r="M234" s="9">
        <v>25</v>
      </c>
      <c r="N234" s="9">
        <v>13</v>
      </c>
      <c r="O234" s="9">
        <v>152</v>
      </c>
      <c r="P234" s="9">
        <v>11</v>
      </c>
      <c r="Q234" s="9">
        <v>24</v>
      </c>
      <c r="R234" s="9">
        <v>15</v>
      </c>
      <c r="S234" s="9">
        <v>3</v>
      </c>
      <c r="T234" s="9">
        <v>48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A234" s="9">
        <v>29</v>
      </c>
      <c r="AC234" s="9">
        <f t="shared" si="13"/>
        <v>819</v>
      </c>
      <c r="AD234" s="9">
        <f t="shared" si="11"/>
        <v>6956</v>
      </c>
      <c r="AE234" s="10">
        <f t="shared" si="12"/>
        <v>8.4932844932844933</v>
      </c>
    </row>
    <row r="235" spans="1:31" x14ac:dyDescent="0.3">
      <c r="A235" s="55"/>
      <c r="B235" s="30" t="s">
        <v>237</v>
      </c>
      <c r="C235" s="9">
        <v>20</v>
      </c>
      <c r="D235" s="9">
        <v>8</v>
      </c>
      <c r="E235" s="9">
        <v>12</v>
      </c>
      <c r="F235" s="9">
        <v>34</v>
      </c>
      <c r="G235" s="9">
        <v>42</v>
      </c>
      <c r="H235" s="9">
        <v>96</v>
      </c>
      <c r="I235" s="9">
        <v>69</v>
      </c>
      <c r="J235" s="9">
        <v>56</v>
      </c>
      <c r="K235" s="9">
        <v>153</v>
      </c>
      <c r="L235" s="9">
        <v>60</v>
      </c>
      <c r="M235" s="9">
        <v>87</v>
      </c>
      <c r="N235" s="9">
        <v>62</v>
      </c>
      <c r="O235" s="9">
        <v>1056</v>
      </c>
      <c r="P235" s="9">
        <v>134</v>
      </c>
      <c r="Q235" s="9">
        <v>231</v>
      </c>
      <c r="R235" s="9">
        <v>386</v>
      </c>
      <c r="S235" s="9">
        <v>54</v>
      </c>
      <c r="T235" s="9">
        <v>644</v>
      </c>
      <c r="U235" s="9">
        <v>15</v>
      </c>
      <c r="V235" s="9">
        <v>22</v>
      </c>
      <c r="W235" s="9">
        <v>0</v>
      </c>
      <c r="X235" s="9">
        <v>1</v>
      </c>
      <c r="Y235" s="9">
        <v>0</v>
      </c>
      <c r="Z235" s="9">
        <v>1</v>
      </c>
      <c r="AA235" s="9">
        <v>94</v>
      </c>
      <c r="AC235" s="9">
        <f t="shared" si="13"/>
        <v>3337</v>
      </c>
      <c r="AD235" s="9">
        <f t="shared" si="11"/>
        <v>43142</v>
      </c>
      <c r="AE235" s="10">
        <f t="shared" si="12"/>
        <v>12.928378783338328</v>
      </c>
    </row>
    <row r="236" spans="1:31" x14ac:dyDescent="0.3">
      <c r="A236" s="55"/>
      <c r="B236" s="30" t="s">
        <v>238</v>
      </c>
      <c r="C236" s="9">
        <v>5</v>
      </c>
      <c r="D236" s="9">
        <v>2</v>
      </c>
      <c r="E236" s="9">
        <v>4</v>
      </c>
      <c r="F236" s="9">
        <v>6</v>
      </c>
      <c r="G236" s="9">
        <v>7</v>
      </c>
      <c r="H236" s="9">
        <v>21</v>
      </c>
      <c r="I236" s="9">
        <v>11</v>
      </c>
      <c r="J236" s="9">
        <v>13</v>
      </c>
      <c r="K236" s="9">
        <v>39</v>
      </c>
      <c r="L236" s="9">
        <v>14</v>
      </c>
      <c r="M236" s="9">
        <v>10</v>
      </c>
      <c r="N236" s="9">
        <v>16</v>
      </c>
      <c r="O236" s="9">
        <v>185</v>
      </c>
      <c r="P236" s="9">
        <v>9</v>
      </c>
      <c r="Q236" s="9">
        <v>33</v>
      </c>
      <c r="R236" s="9">
        <v>33</v>
      </c>
      <c r="S236" s="9">
        <v>6</v>
      </c>
      <c r="T236" s="9">
        <v>70</v>
      </c>
      <c r="U236" s="9">
        <v>2</v>
      </c>
      <c r="V236" s="9">
        <v>5</v>
      </c>
      <c r="W236" s="9">
        <v>0</v>
      </c>
      <c r="X236" s="9">
        <v>0</v>
      </c>
      <c r="Y236" s="9">
        <v>0</v>
      </c>
      <c r="Z236" s="9">
        <v>0</v>
      </c>
      <c r="AA236" s="9">
        <v>14</v>
      </c>
      <c r="AC236" s="9">
        <f t="shared" si="13"/>
        <v>505</v>
      </c>
      <c r="AD236" s="9">
        <f t="shared" si="11"/>
        <v>6079</v>
      </c>
      <c r="AE236" s="10">
        <f t="shared" si="12"/>
        <v>12.037623762376237</v>
      </c>
    </row>
    <row r="237" spans="1:31" x14ac:dyDescent="0.3">
      <c r="A237" s="55"/>
      <c r="B237" s="30" t="s">
        <v>239</v>
      </c>
      <c r="C237" s="9">
        <v>11</v>
      </c>
      <c r="D237" s="9">
        <v>16</v>
      </c>
      <c r="E237" s="9">
        <v>14</v>
      </c>
      <c r="F237" s="9">
        <v>25</v>
      </c>
      <c r="G237" s="9">
        <v>35</v>
      </c>
      <c r="H237" s="9">
        <v>59</v>
      </c>
      <c r="I237" s="9">
        <v>60</v>
      </c>
      <c r="J237" s="9">
        <v>41</v>
      </c>
      <c r="K237" s="9">
        <v>71</v>
      </c>
      <c r="L237" s="9">
        <v>33</v>
      </c>
      <c r="M237" s="9">
        <v>42</v>
      </c>
      <c r="N237" s="9">
        <v>39</v>
      </c>
      <c r="O237" s="9">
        <v>370</v>
      </c>
      <c r="P237" s="9">
        <v>41</v>
      </c>
      <c r="Q237" s="9">
        <v>87</v>
      </c>
      <c r="R237" s="9">
        <v>103</v>
      </c>
      <c r="S237" s="9">
        <v>21</v>
      </c>
      <c r="T237" s="9">
        <v>199</v>
      </c>
      <c r="U237" s="9">
        <v>4</v>
      </c>
      <c r="V237" s="9">
        <v>3</v>
      </c>
      <c r="W237" s="9">
        <v>1</v>
      </c>
      <c r="X237" s="9">
        <v>0</v>
      </c>
      <c r="Y237" s="9">
        <v>0</v>
      </c>
      <c r="Z237" s="9">
        <v>1</v>
      </c>
      <c r="AA237" s="9">
        <v>14</v>
      </c>
      <c r="AC237" s="9">
        <f t="shared" si="13"/>
        <v>1290</v>
      </c>
      <c r="AD237" s="9">
        <f t="shared" si="11"/>
        <v>14878</v>
      </c>
      <c r="AE237" s="10">
        <f t="shared" si="12"/>
        <v>11.533333333333333</v>
      </c>
    </row>
    <row r="238" spans="1:31" x14ac:dyDescent="0.3">
      <c r="A238" s="55"/>
      <c r="B238" s="30" t="s">
        <v>240</v>
      </c>
      <c r="C238" s="9">
        <v>6</v>
      </c>
      <c r="D238" s="9">
        <v>3</v>
      </c>
      <c r="E238" s="9">
        <v>0</v>
      </c>
      <c r="F238" s="9">
        <v>11</v>
      </c>
      <c r="G238" s="9">
        <v>11</v>
      </c>
      <c r="H238" s="9">
        <v>17</v>
      </c>
      <c r="I238" s="9">
        <v>24</v>
      </c>
      <c r="J238" s="9">
        <v>7</v>
      </c>
      <c r="K238" s="9">
        <v>20</v>
      </c>
      <c r="L238" s="9">
        <v>11</v>
      </c>
      <c r="M238" s="9">
        <v>10</v>
      </c>
      <c r="N238" s="9">
        <v>13</v>
      </c>
      <c r="O238" s="9">
        <v>159</v>
      </c>
      <c r="P238" s="9">
        <v>8</v>
      </c>
      <c r="Q238" s="9">
        <v>20</v>
      </c>
      <c r="R238" s="9">
        <v>21</v>
      </c>
      <c r="S238" s="9">
        <v>6</v>
      </c>
      <c r="T238" s="9">
        <v>47</v>
      </c>
      <c r="U238" s="9">
        <v>0</v>
      </c>
      <c r="V238" s="9">
        <v>2</v>
      </c>
      <c r="W238" s="9">
        <v>0</v>
      </c>
      <c r="X238" s="9">
        <v>0</v>
      </c>
      <c r="Y238" s="9">
        <v>0</v>
      </c>
      <c r="Z238" s="9">
        <v>0</v>
      </c>
      <c r="AA238" s="9">
        <v>17</v>
      </c>
      <c r="AC238" s="9">
        <f t="shared" si="13"/>
        <v>413</v>
      </c>
      <c r="AD238" s="9">
        <f t="shared" si="11"/>
        <v>4808</v>
      </c>
      <c r="AE238" s="10">
        <f t="shared" si="12"/>
        <v>11.641646489104117</v>
      </c>
    </row>
    <row r="239" spans="1:31" x14ac:dyDescent="0.3">
      <c r="A239" s="55"/>
      <c r="B239" s="30" t="s">
        <v>241</v>
      </c>
      <c r="C239" s="9">
        <v>7</v>
      </c>
      <c r="D239" s="9">
        <v>4</v>
      </c>
      <c r="E239" s="9">
        <v>8</v>
      </c>
      <c r="F239" s="9">
        <v>14</v>
      </c>
      <c r="G239" s="9">
        <v>15</v>
      </c>
      <c r="H239" s="9">
        <v>21</v>
      </c>
      <c r="I239" s="9">
        <v>22</v>
      </c>
      <c r="J239" s="9">
        <v>17</v>
      </c>
      <c r="K239" s="9">
        <v>19</v>
      </c>
      <c r="L239" s="9">
        <v>3</v>
      </c>
      <c r="M239" s="9">
        <v>3</v>
      </c>
      <c r="N239" s="9">
        <v>4</v>
      </c>
      <c r="O239" s="9">
        <v>28</v>
      </c>
      <c r="P239" s="9">
        <v>1</v>
      </c>
      <c r="Q239" s="9">
        <v>4</v>
      </c>
      <c r="R239" s="9">
        <v>2</v>
      </c>
      <c r="S239" s="9">
        <v>0</v>
      </c>
      <c r="T239" s="9">
        <v>13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4</v>
      </c>
      <c r="AC239" s="9">
        <f t="shared" si="13"/>
        <v>189</v>
      </c>
      <c r="AD239" s="9">
        <f t="shared" si="11"/>
        <v>1483</v>
      </c>
      <c r="AE239" s="10">
        <f t="shared" si="12"/>
        <v>7.8465608465608465</v>
      </c>
    </row>
    <row r="240" spans="1:31" x14ac:dyDescent="0.3">
      <c r="A240" s="55"/>
      <c r="B240" s="30" t="s">
        <v>242</v>
      </c>
      <c r="C240" s="9">
        <v>10</v>
      </c>
      <c r="D240" s="9">
        <v>6</v>
      </c>
      <c r="E240" s="9">
        <v>8</v>
      </c>
      <c r="F240" s="9">
        <v>14</v>
      </c>
      <c r="G240" s="9">
        <v>14</v>
      </c>
      <c r="H240" s="9">
        <v>17</v>
      </c>
      <c r="I240" s="9">
        <v>13</v>
      </c>
      <c r="J240" s="9">
        <v>12</v>
      </c>
      <c r="K240" s="9">
        <v>14</v>
      </c>
      <c r="L240" s="9">
        <v>9</v>
      </c>
      <c r="M240" s="9">
        <v>9</v>
      </c>
      <c r="N240" s="9">
        <v>8</v>
      </c>
      <c r="O240" s="9">
        <v>49</v>
      </c>
      <c r="P240" s="9">
        <v>2</v>
      </c>
      <c r="Q240" s="9">
        <v>7</v>
      </c>
      <c r="R240" s="9">
        <v>11</v>
      </c>
      <c r="S240" s="9">
        <v>0</v>
      </c>
      <c r="T240" s="9">
        <v>29</v>
      </c>
      <c r="U240" s="9">
        <v>1</v>
      </c>
      <c r="V240" s="9">
        <v>1</v>
      </c>
      <c r="W240" s="9">
        <v>0</v>
      </c>
      <c r="X240" s="9">
        <v>0</v>
      </c>
      <c r="Y240" s="9">
        <v>0</v>
      </c>
      <c r="Z240" s="9">
        <v>0</v>
      </c>
      <c r="AA240" s="9">
        <v>6</v>
      </c>
      <c r="AC240" s="9">
        <f t="shared" si="13"/>
        <v>240</v>
      </c>
      <c r="AD240" s="9">
        <f t="shared" si="11"/>
        <v>2289</v>
      </c>
      <c r="AE240" s="10">
        <f t="shared" si="12"/>
        <v>9.5374999999999996</v>
      </c>
    </row>
    <row r="241" spans="1:41" x14ac:dyDescent="0.3">
      <c r="A241" s="55"/>
      <c r="B241" s="30" t="s">
        <v>243</v>
      </c>
      <c r="C241" s="9">
        <v>1</v>
      </c>
      <c r="D241" s="9">
        <v>0</v>
      </c>
      <c r="E241" s="9">
        <v>0</v>
      </c>
      <c r="F241" s="9">
        <v>3</v>
      </c>
      <c r="G241" s="9">
        <v>3</v>
      </c>
      <c r="H241" s="9">
        <v>5</v>
      </c>
      <c r="I241" s="9">
        <v>4</v>
      </c>
      <c r="J241" s="9">
        <v>6</v>
      </c>
      <c r="K241" s="9">
        <v>16</v>
      </c>
      <c r="L241" s="9">
        <v>3</v>
      </c>
      <c r="M241" s="9">
        <v>6</v>
      </c>
      <c r="N241" s="9">
        <v>7</v>
      </c>
      <c r="O241" s="9">
        <v>121</v>
      </c>
      <c r="P241" s="9">
        <v>12</v>
      </c>
      <c r="Q241" s="9">
        <v>19</v>
      </c>
      <c r="R241" s="9">
        <v>24</v>
      </c>
      <c r="S241" s="9">
        <v>10</v>
      </c>
      <c r="T241" s="9">
        <v>55</v>
      </c>
      <c r="U241" s="9">
        <v>0</v>
      </c>
      <c r="V241" s="9">
        <v>1</v>
      </c>
      <c r="W241" s="9">
        <v>0</v>
      </c>
      <c r="X241" s="9">
        <v>0</v>
      </c>
      <c r="Y241" s="9">
        <v>0</v>
      </c>
      <c r="Z241" s="9">
        <v>0</v>
      </c>
      <c r="AA241" s="9">
        <v>10</v>
      </c>
      <c r="AC241" s="9">
        <f t="shared" si="13"/>
        <v>306</v>
      </c>
      <c r="AD241" s="9">
        <f t="shared" si="11"/>
        <v>3992</v>
      </c>
      <c r="AE241" s="10">
        <f t="shared" si="12"/>
        <v>13.045751633986928</v>
      </c>
    </row>
    <row r="242" spans="1:41" x14ac:dyDescent="0.3">
      <c r="A242" s="55"/>
      <c r="B242" s="30" t="s">
        <v>244</v>
      </c>
      <c r="C242" s="9">
        <v>0</v>
      </c>
      <c r="D242" s="9">
        <v>1</v>
      </c>
      <c r="E242" s="9">
        <v>0</v>
      </c>
      <c r="F242" s="9">
        <v>1</v>
      </c>
      <c r="G242" s="9">
        <v>0</v>
      </c>
      <c r="H242" s="9">
        <v>1</v>
      </c>
      <c r="I242" s="9">
        <v>0</v>
      </c>
      <c r="J242" s="9">
        <v>0</v>
      </c>
      <c r="K242" s="9">
        <v>5</v>
      </c>
      <c r="L242" s="9">
        <v>1</v>
      </c>
      <c r="M242" s="9">
        <v>5</v>
      </c>
      <c r="N242" s="9">
        <v>4</v>
      </c>
      <c r="O242" s="9">
        <v>61</v>
      </c>
      <c r="P242" s="9">
        <v>1</v>
      </c>
      <c r="Q242" s="9">
        <v>3</v>
      </c>
      <c r="R242" s="9">
        <v>9</v>
      </c>
      <c r="S242" s="9">
        <v>3</v>
      </c>
      <c r="T242" s="9">
        <v>16</v>
      </c>
      <c r="U242" s="9">
        <v>1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5</v>
      </c>
      <c r="AC242" s="9">
        <f t="shared" si="13"/>
        <v>117</v>
      </c>
      <c r="AD242" s="9">
        <f t="shared" si="11"/>
        <v>1532</v>
      </c>
      <c r="AE242" s="10">
        <f t="shared" si="12"/>
        <v>13.094017094017094</v>
      </c>
    </row>
    <row r="243" spans="1:41" x14ac:dyDescent="0.3">
      <c r="A243" s="55"/>
      <c r="B243" s="30" t="s">
        <v>245</v>
      </c>
      <c r="C243" s="9">
        <v>57</v>
      </c>
      <c r="D243" s="9">
        <v>26</v>
      </c>
      <c r="E243" s="9">
        <v>39</v>
      </c>
      <c r="F243" s="9">
        <v>69</v>
      </c>
      <c r="G243" s="9">
        <v>88</v>
      </c>
      <c r="H243" s="9">
        <v>216</v>
      </c>
      <c r="I243" s="9">
        <v>139</v>
      </c>
      <c r="J243" s="9">
        <v>123</v>
      </c>
      <c r="K243" s="9">
        <v>276</v>
      </c>
      <c r="L243" s="9">
        <v>104</v>
      </c>
      <c r="M243" s="9">
        <v>127</v>
      </c>
      <c r="N243" s="9">
        <v>109</v>
      </c>
      <c r="O243" s="9">
        <v>1354</v>
      </c>
      <c r="P243" s="9">
        <v>161</v>
      </c>
      <c r="Q243" s="9">
        <v>290</v>
      </c>
      <c r="R243" s="9">
        <v>340</v>
      </c>
      <c r="S243" s="9">
        <v>107</v>
      </c>
      <c r="T243" s="9">
        <v>820</v>
      </c>
      <c r="U243" s="9">
        <v>16</v>
      </c>
      <c r="V243" s="9">
        <v>31</v>
      </c>
      <c r="W243" s="9">
        <v>1</v>
      </c>
      <c r="X243" s="9">
        <v>0</v>
      </c>
      <c r="Y243" s="9">
        <v>0</v>
      </c>
      <c r="Z243" s="9">
        <v>4</v>
      </c>
      <c r="AA243" s="9">
        <v>137</v>
      </c>
      <c r="AC243" s="9">
        <f t="shared" si="13"/>
        <v>4634</v>
      </c>
      <c r="AD243" s="9">
        <f t="shared" si="11"/>
        <v>56481</v>
      </c>
      <c r="AE243" s="10">
        <f t="shared" si="12"/>
        <v>12.188390159689254</v>
      </c>
    </row>
    <row r="244" spans="1:41" x14ac:dyDescent="0.3">
      <c r="A244" s="55"/>
      <c r="B244" s="30" t="s">
        <v>246</v>
      </c>
      <c r="C244" s="9">
        <v>0</v>
      </c>
      <c r="D244" s="9">
        <v>0</v>
      </c>
      <c r="E244" s="9">
        <v>0</v>
      </c>
      <c r="F244" s="9">
        <v>4</v>
      </c>
      <c r="G244" s="9">
        <v>1</v>
      </c>
      <c r="H244" s="9">
        <v>11</v>
      </c>
      <c r="I244" s="9">
        <v>8</v>
      </c>
      <c r="J244" s="9">
        <v>5</v>
      </c>
      <c r="K244" s="9">
        <v>28</v>
      </c>
      <c r="L244" s="9">
        <v>7</v>
      </c>
      <c r="M244" s="9">
        <v>8</v>
      </c>
      <c r="N244" s="9">
        <v>0</v>
      </c>
      <c r="O244" s="9">
        <v>72</v>
      </c>
      <c r="P244" s="9">
        <v>5</v>
      </c>
      <c r="Q244" s="9">
        <v>10</v>
      </c>
      <c r="R244" s="9">
        <v>7</v>
      </c>
      <c r="S244" s="9">
        <v>1</v>
      </c>
      <c r="T244" s="9">
        <v>30</v>
      </c>
      <c r="U244" s="9">
        <v>0</v>
      </c>
      <c r="V244" s="9">
        <v>1</v>
      </c>
      <c r="W244" s="9">
        <v>0</v>
      </c>
      <c r="X244" s="9">
        <v>0</v>
      </c>
      <c r="Y244" s="9">
        <v>0</v>
      </c>
      <c r="Z244" s="9">
        <v>0</v>
      </c>
      <c r="AA244" s="9">
        <v>10</v>
      </c>
      <c r="AC244" s="9">
        <f t="shared" si="13"/>
        <v>208</v>
      </c>
      <c r="AD244" s="9">
        <f t="shared" si="11"/>
        <v>2480</v>
      </c>
      <c r="AE244" s="10">
        <f t="shared" si="12"/>
        <v>11.923076923076923</v>
      </c>
    </row>
    <row r="245" spans="1:41" x14ac:dyDescent="0.3">
      <c r="A245" s="55"/>
      <c r="B245" s="30" t="s">
        <v>247</v>
      </c>
      <c r="C245" s="9">
        <v>158</v>
      </c>
      <c r="D245" s="9">
        <v>74</v>
      </c>
      <c r="E245" s="9">
        <v>98</v>
      </c>
      <c r="F245" s="9">
        <v>202</v>
      </c>
      <c r="G245" s="9">
        <v>209</v>
      </c>
      <c r="H245" s="9">
        <v>663</v>
      </c>
      <c r="I245" s="9">
        <v>550</v>
      </c>
      <c r="J245" s="9">
        <v>439</v>
      </c>
      <c r="K245" s="9">
        <v>781</v>
      </c>
      <c r="L245" s="9">
        <v>380</v>
      </c>
      <c r="M245" s="9">
        <v>338</v>
      </c>
      <c r="N245" s="9">
        <v>364</v>
      </c>
      <c r="O245" s="9">
        <v>4930</v>
      </c>
      <c r="P245" s="9">
        <v>873</v>
      </c>
      <c r="Q245" s="9">
        <v>1817</v>
      </c>
      <c r="R245" s="9">
        <v>2855</v>
      </c>
      <c r="S245" s="9">
        <v>895</v>
      </c>
      <c r="T245" s="9">
        <v>7174</v>
      </c>
      <c r="U245" s="9">
        <v>180</v>
      </c>
      <c r="V245" s="9">
        <v>386</v>
      </c>
      <c r="W245" s="9">
        <v>12</v>
      </c>
      <c r="X245" s="9">
        <v>3</v>
      </c>
      <c r="Y245" s="9">
        <v>8</v>
      </c>
      <c r="Z245" s="9">
        <v>22</v>
      </c>
      <c r="AA245" s="9">
        <v>220</v>
      </c>
      <c r="AC245" s="9">
        <f t="shared" si="13"/>
        <v>23631</v>
      </c>
      <c r="AD245" s="9">
        <f t="shared" si="11"/>
        <v>320341</v>
      </c>
      <c r="AE245" s="10">
        <f t="shared" si="12"/>
        <v>13.555964622741314</v>
      </c>
    </row>
    <row r="246" spans="1:41" x14ac:dyDescent="0.3">
      <c r="A246" s="55"/>
      <c r="B246" s="30" t="s">
        <v>248</v>
      </c>
      <c r="C246" s="9">
        <v>17</v>
      </c>
      <c r="D246" s="9">
        <v>10</v>
      </c>
      <c r="E246" s="9">
        <v>18</v>
      </c>
      <c r="F246" s="9">
        <v>47</v>
      </c>
      <c r="G246" s="9">
        <v>69</v>
      </c>
      <c r="H246" s="9">
        <v>130</v>
      </c>
      <c r="I246" s="9">
        <v>139</v>
      </c>
      <c r="J246" s="9">
        <v>43</v>
      </c>
      <c r="K246" s="9">
        <v>152</v>
      </c>
      <c r="L246" s="9">
        <v>28</v>
      </c>
      <c r="M246" s="9">
        <v>35</v>
      </c>
      <c r="N246" s="9">
        <v>27</v>
      </c>
      <c r="O246" s="9">
        <v>293</v>
      </c>
      <c r="P246" s="9">
        <v>31</v>
      </c>
      <c r="Q246" s="9">
        <v>105</v>
      </c>
      <c r="R246" s="9">
        <v>129</v>
      </c>
      <c r="S246" s="9">
        <v>27</v>
      </c>
      <c r="T246" s="9">
        <v>204</v>
      </c>
      <c r="U246" s="9">
        <v>3</v>
      </c>
      <c r="V246" s="9">
        <v>9</v>
      </c>
      <c r="W246" s="9">
        <v>0</v>
      </c>
      <c r="X246" s="9">
        <v>1</v>
      </c>
      <c r="Y246" s="9">
        <v>0</v>
      </c>
      <c r="Z246" s="9">
        <v>1</v>
      </c>
      <c r="AA246" s="9">
        <v>10</v>
      </c>
      <c r="AC246" s="9">
        <f t="shared" si="13"/>
        <v>1528</v>
      </c>
      <c r="AD246" s="9">
        <f t="shared" si="11"/>
        <v>16096</v>
      </c>
      <c r="AE246" s="10">
        <f t="shared" si="12"/>
        <v>10.534031413612565</v>
      </c>
    </row>
    <row r="247" spans="1:41" x14ac:dyDescent="0.3">
      <c r="A247" s="55"/>
      <c r="B247" s="30" t="s">
        <v>249</v>
      </c>
      <c r="C247" s="9">
        <v>31</v>
      </c>
      <c r="D247" s="9">
        <v>20</v>
      </c>
      <c r="E247" s="9">
        <v>21</v>
      </c>
      <c r="F247" s="9">
        <v>72</v>
      </c>
      <c r="G247" s="9">
        <v>64</v>
      </c>
      <c r="H247" s="9">
        <v>136</v>
      </c>
      <c r="I247" s="9">
        <v>111</v>
      </c>
      <c r="J247" s="9">
        <v>102</v>
      </c>
      <c r="K247" s="9">
        <v>182</v>
      </c>
      <c r="L247" s="9">
        <v>91</v>
      </c>
      <c r="M247" s="9">
        <v>74</v>
      </c>
      <c r="N247" s="9">
        <v>76</v>
      </c>
      <c r="O247" s="9">
        <v>944</v>
      </c>
      <c r="P247" s="9">
        <v>112</v>
      </c>
      <c r="Q247" s="9">
        <v>226</v>
      </c>
      <c r="R247" s="9">
        <v>273</v>
      </c>
      <c r="S247" s="9">
        <v>88</v>
      </c>
      <c r="T247" s="9">
        <v>777</v>
      </c>
      <c r="U247" s="9">
        <v>13</v>
      </c>
      <c r="V247" s="9">
        <v>28</v>
      </c>
      <c r="W247" s="9">
        <v>0</v>
      </c>
      <c r="X247" s="9">
        <v>1</v>
      </c>
      <c r="Y247" s="9">
        <v>1</v>
      </c>
      <c r="Z247" s="9">
        <v>5</v>
      </c>
      <c r="AA247" s="9">
        <v>35</v>
      </c>
      <c r="AC247" s="9">
        <f t="shared" si="13"/>
        <v>3483</v>
      </c>
      <c r="AD247" s="9">
        <f t="shared" si="11"/>
        <v>42869</v>
      </c>
      <c r="AE247" s="10">
        <f t="shared" si="12"/>
        <v>12.308067757680162</v>
      </c>
    </row>
    <row r="248" spans="1:41" s="46" customFormat="1" x14ac:dyDescent="0.3">
      <c r="A248" s="55"/>
      <c r="B248" s="30" t="s">
        <v>250</v>
      </c>
      <c r="C248" s="9">
        <v>200</v>
      </c>
      <c r="D248" s="9">
        <v>80</v>
      </c>
      <c r="E248" s="9">
        <v>79</v>
      </c>
      <c r="F248" s="9">
        <v>138</v>
      </c>
      <c r="G248" s="9">
        <v>175</v>
      </c>
      <c r="H248" s="9">
        <v>343</v>
      </c>
      <c r="I248" s="9">
        <v>292</v>
      </c>
      <c r="J248" s="9">
        <v>250</v>
      </c>
      <c r="K248" s="9">
        <v>388</v>
      </c>
      <c r="L248" s="9">
        <v>222</v>
      </c>
      <c r="M248" s="9">
        <v>210</v>
      </c>
      <c r="N248" s="9">
        <v>234</v>
      </c>
      <c r="O248" s="9">
        <v>2421</v>
      </c>
      <c r="P248" s="9">
        <v>280</v>
      </c>
      <c r="Q248" s="9">
        <v>473</v>
      </c>
      <c r="R248" s="9">
        <v>523</v>
      </c>
      <c r="S248" s="9">
        <v>261</v>
      </c>
      <c r="T248" s="9">
        <v>2255</v>
      </c>
      <c r="U248" s="9">
        <v>29</v>
      </c>
      <c r="V248" s="9">
        <v>64</v>
      </c>
      <c r="W248" s="9">
        <v>1</v>
      </c>
      <c r="X248" s="9">
        <v>0</v>
      </c>
      <c r="Y248" s="9">
        <v>0</v>
      </c>
      <c r="Z248" s="9">
        <v>9</v>
      </c>
      <c r="AA248" s="9">
        <v>144</v>
      </c>
      <c r="AB248" s="1"/>
      <c r="AC248" s="9">
        <f t="shared" si="13"/>
        <v>9071</v>
      </c>
      <c r="AD248" s="9">
        <f t="shared" si="11"/>
        <v>111436</v>
      </c>
      <c r="AE248" s="10">
        <f t="shared" si="12"/>
        <v>12.284863851835519</v>
      </c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s="46" customFormat="1" x14ac:dyDescent="0.3">
      <c r="A249" s="55"/>
      <c r="B249" s="30" t="s">
        <v>251</v>
      </c>
      <c r="C249" s="9">
        <v>15</v>
      </c>
      <c r="D249" s="9">
        <v>11</v>
      </c>
      <c r="E249" s="9">
        <v>12</v>
      </c>
      <c r="F249" s="9">
        <v>15</v>
      </c>
      <c r="G249" s="9">
        <v>24</v>
      </c>
      <c r="H249" s="9">
        <v>53</v>
      </c>
      <c r="I249" s="9">
        <v>55</v>
      </c>
      <c r="J249" s="9">
        <v>27</v>
      </c>
      <c r="K249" s="9">
        <v>77</v>
      </c>
      <c r="L249" s="9">
        <v>21</v>
      </c>
      <c r="M249" s="9">
        <v>34</v>
      </c>
      <c r="N249" s="9">
        <v>33</v>
      </c>
      <c r="O249" s="9">
        <v>421</v>
      </c>
      <c r="P249" s="9">
        <v>31</v>
      </c>
      <c r="Q249" s="9">
        <v>105</v>
      </c>
      <c r="R249" s="9">
        <v>92</v>
      </c>
      <c r="S249" s="9">
        <v>28</v>
      </c>
      <c r="T249" s="9">
        <v>313</v>
      </c>
      <c r="U249" s="9">
        <v>5</v>
      </c>
      <c r="V249" s="9">
        <v>9</v>
      </c>
      <c r="W249" s="9">
        <v>0</v>
      </c>
      <c r="X249" s="9">
        <v>0</v>
      </c>
      <c r="Y249" s="9">
        <v>0</v>
      </c>
      <c r="Z249" s="9">
        <v>0</v>
      </c>
      <c r="AA249" s="9">
        <v>11</v>
      </c>
      <c r="AB249" s="1"/>
      <c r="AC249" s="9">
        <f t="shared" si="13"/>
        <v>1392</v>
      </c>
      <c r="AD249" s="9">
        <f t="shared" si="11"/>
        <v>17067</v>
      </c>
      <c r="AE249" s="10">
        <f t="shared" si="12"/>
        <v>12.260775862068966</v>
      </c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s="46" customFormat="1" x14ac:dyDescent="0.3">
      <c r="A250" s="55"/>
      <c r="B250" s="30" t="s">
        <v>252</v>
      </c>
      <c r="C250" s="9">
        <v>56</v>
      </c>
      <c r="D250" s="9">
        <v>27</v>
      </c>
      <c r="E250" s="9">
        <v>24</v>
      </c>
      <c r="F250" s="9">
        <v>51</v>
      </c>
      <c r="G250" s="9">
        <v>56</v>
      </c>
      <c r="H250" s="9">
        <v>185</v>
      </c>
      <c r="I250" s="9">
        <v>104</v>
      </c>
      <c r="J250" s="9">
        <v>115</v>
      </c>
      <c r="K250" s="9">
        <v>240</v>
      </c>
      <c r="L250" s="9">
        <v>144</v>
      </c>
      <c r="M250" s="9">
        <v>118</v>
      </c>
      <c r="N250" s="9">
        <v>117</v>
      </c>
      <c r="O250" s="9">
        <v>1317</v>
      </c>
      <c r="P250" s="9">
        <v>138</v>
      </c>
      <c r="Q250" s="9">
        <v>370</v>
      </c>
      <c r="R250" s="9">
        <v>318</v>
      </c>
      <c r="S250" s="9">
        <v>72</v>
      </c>
      <c r="T250" s="9">
        <v>682</v>
      </c>
      <c r="U250" s="9">
        <v>14</v>
      </c>
      <c r="V250" s="9">
        <v>24</v>
      </c>
      <c r="W250" s="9">
        <v>2</v>
      </c>
      <c r="X250" s="9">
        <v>1</v>
      </c>
      <c r="Y250" s="9">
        <v>0</v>
      </c>
      <c r="Z250" s="9">
        <v>0</v>
      </c>
      <c r="AA250" s="9">
        <v>82</v>
      </c>
      <c r="AB250" s="1"/>
      <c r="AC250" s="9">
        <f t="shared" si="13"/>
        <v>4257</v>
      </c>
      <c r="AD250" s="9">
        <f t="shared" si="11"/>
        <v>51520</v>
      </c>
      <c r="AE250" s="10">
        <f t="shared" si="12"/>
        <v>12.102419544280009</v>
      </c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3">
      <c r="A251" s="55"/>
      <c r="B251" s="30" t="s">
        <v>253</v>
      </c>
      <c r="C251" s="9">
        <v>20</v>
      </c>
      <c r="D251" s="9">
        <v>13</v>
      </c>
      <c r="E251" s="9">
        <v>13</v>
      </c>
      <c r="F251" s="9">
        <v>57</v>
      </c>
      <c r="G251" s="9">
        <v>51</v>
      </c>
      <c r="H251" s="9">
        <v>116</v>
      </c>
      <c r="I251" s="9">
        <v>98</v>
      </c>
      <c r="J251" s="9">
        <v>54</v>
      </c>
      <c r="K251" s="9">
        <v>89</v>
      </c>
      <c r="L251" s="9">
        <v>33</v>
      </c>
      <c r="M251" s="9">
        <v>23</v>
      </c>
      <c r="N251" s="9">
        <v>29</v>
      </c>
      <c r="O251" s="9">
        <v>343</v>
      </c>
      <c r="P251" s="9">
        <v>33</v>
      </c>
      <c r="Q251" s="9">
        <v>114</v>
      </c>
      <c r="R251" s="9">
        <v>113</v>
      </c>
      <c r="S251" s="9">
        <v>31</v>
      </c>
      <c r="T251" s="9">
        <v>220</v>
      </c>
      <c r="U251" s="9">
        <v>1</v>
      </c>
      <c r="V251" s="9">
        <v>4</v>
      </c>
      <c r="W251" s="9">
        <v>0</v>
      </c>
      <c r="X251" s="9">
        <v>0</v>
      </c>
      <c r="Y251" s="9">
        <v>0</v>
      </c>
      <c r="Z251" s="9">
        <v>1</v>
      </c>
      <c r="AA251" s="9">
        <v>21</v>
      </c>
      <c r="AC251" s="9">
        <f t="shared" si="13"/>
        <v>1477</v>
      </c>
      <c r="AD251" s="9">
        <f t="shared" si="11"/>
        <v>16211</v>
      </c>
      <c r="AE251" s="10">
        <f t="shared" si="12"/>
        <v>10.975626269465131</v>
      </c>
    </row>
    <row r="252" spans="1:41" x14ac:dyDescent="0.3">
      <c r="A252" s="55"/>
      <c r="B252" s="30" t="s">
        <v>254</v>
      </c>
      <c r="C252" s="9">
        <v>3</v>
      </c>
      <c r="D252" s="9">
        <v>2</v>
      </c>
      <c r="E252" s="9">
        <v>4</v>
      </c>
      <c r="F252" s="9">
        <v>11</v>
      </c>
      <c r="G252" s="9">
        <v>18</v>
      </c>
      <c r="H252" s="9">
        <v>43</v>
      </c>
      <c r="I252" s="9">
        <v>52</v>
      </c>
      <c r="J252" s="9">
        <v>10</v>
      </c>
      <c r="K252" s="9">
        <v>55</v>
      </c>
      <c r="L252" s="9">
        <v>7</v>
      </c>
      <c r="M252" s="9">
        <v>7</v>
      </c>
      <c r="N252" s="9">
        <v>6</v>
      </c>
      <c r="O252" s="9">
        <v>62</v>
      </c>
      <c r="P252" s="9">
        <v>3</v>
      </c>
      <c r="Q252" s="9">
        <v>20</v>
      </c>
      <c r="R252" s="9">
        <v>6</v>
      </c>
      <c r="S252" s="9">
        <v>2</v>
      </c>
      <c r="T252" s="9">
        <v>41</v>
      </c>
      <c r="U252" s="9">
        <v>0</v>
      </c>
      <c r="V252" s="9">
        <v>1</v>
      </c>
      <c r="W252" s="9">
        <v>0</v>
      </c>
      <c r="X252" s="9">
        <v>0</v>
      </c>
      <c r="Y252" s="9">
        <v>0</v>
      </c>
      <c r="Z252" s="9">
        <v>0</v>
      </c>
      <c r="AA252" s="9">
        <v>10</v>
      </c>
      <c r="AC252" s="9">
        <f t="shared" si="13"/>
        <v>363</v>
      </c>
      <c r="AD252" s="9">
        <f t="shared" si="11"/>
        <v>3492</v>
      </c>
      <c r="AE252" s="10">
        <f t="shared" si="12"/>
        <v>9.6198347107438025</v>
      </c>
    </row>
    <row r="253" spans="1:41" x14ac:dyDescent="0.3">
      <c r="A253" s="55"/>
      <c r="B253" s="30" t="s">
        <v>255</v>
      </c>
      <c r="C253" s="9">
        <v>43</v>
      </c>
      <c r="D253" s="9">
        <v>16</v>
      </c>
      <c r="E253" s="9">
        <v>32</v>
      </c>
      <c r="F253" s="9">
        <v>72</v>
      </c>
      <c r="G253" s="9">
        <v>71</v>
      </c>
      <c r="H253" s="9">
        <v>180</v>
      </c>
      <c r="I253" s="9">
        <v>139</v>
      </c>
      <c r="J253" s="9">
        <v>96</v>
      </c>
      <c r="K253" s="9">
        <v>159</v>
      </c>
      <c r="L253" s="9">
        <v>59</v>
      </c>
      <c r="M253" s="9">
        <v>52</v>
      </c>
      <c r="N253" s="9">
        <v>51</v>
      </c>
      <c r="O253" s="9">
        <v>562</v>
      </c>
      <c r="P253" s="9">
        <v>59</v>
      </c>
      <c r="Q253" s="9">
        <v>184</v>
      </c>
      <c r="R253" s="9">
        <v>277</v>
      </c>
      <c r="S253" s="9">
        <v>50</v>
      </c>
      <c r="T253" s="9">
        <v>507</v>
      </c>
      <c r="U253" s="9">
        <v>3</v>
      </c>
      <c r="V253" s="9">
        <v>19</v>
      </c>
      <c r="W253" s="9">
        <v>0</v>
      </c>
      <c r="X253" s="9">
        <v>0</v>
      </c>
      <c r="Y253" s="9">
        <v>0</v>
      </c>
      <c r="Z253" s="9">
        <v>0</v>
      </c>
      <c r="AA253" s="9">
        <v>29</v>
      </c>
      <c r="AC253" s="9">
        <f t="shared" si="13"/>
        <v>2660</v>
      </c>
      <c r="AD253" s="9">
        <f t="shared" si="11"/>
        <v>30642</v>
      </c>
      <c r="AE253" s="10">
        <f t="shared" si="12"/>
        <v>11.519548872180451</v>
      </c>
    </row>
    <row r="254" spans="1:41" x14ac:dyDescent="0.3">
      <c r="A254" s="55"/>
      <c r="B254" s="30" t="s">
        <v>256</v>
      </c>
      <c r="C254" s="9">
        <v>9</v>
      </c>
      <c r="D254" s="9">
        <v>6</v>
      </c>
      <c r="E254" s="9">
        <v>10</v>
      </c>
      <c r="F254" s="9">
        <v>22</v>
      </c>
      <c r="G254" s="9">
        <v>38</v>
      </c>
      <c r="H254" s="9">
        <v>82</v>
      </c>
      <c r="I254" s="9">
        <v>75</v>
      </c>
      <c r="J254" s="9">
        <v>27</v>
      </c>
      <c r="K254" s="9">
        <v>63</v>
      </c>
      <c r="L254" s="9">
        <v>6</v>
      </c>
      <c r="M254" s="9">
        <v>22</v>
      </c>
      <c r="N254" s="9">
        <v>13</v>
      </c>
      <c r="O254" s="9">
        <v>127</v>
      </c>
      <c r="P254" s="9">
        <v>7</v>
      </c>
      <c r="Q254" s="9">
        <v>46</v>
      </c>
      <c r="R254" s="9">
        <v>68</v>
      </c>
      <c r="S254" s="9">
        <v>9</v>
      </c>
      <c r="T254" s="9">
        <v>96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4</v>
      </c>
      <c r="AC254" s="9">
        <f t="shared" si="13"/>
        <v>730</v>
      </c>
      <c r="AD254" s="9">
        <f t="shared" si="11"/>
        <v>7365</v>
      </c>
      <c r="AE254" s="10">
        <f t="shared" si="12"/>
        <v>10.08904109589041</v>
      </c>
    </row>
    <row r="255" spans="1:41" x14ac:dyDescent="0.3">
      <c r="A255" s="55"/>
      <c r="B255" s="30" t="s">
        <v>257</v>
      </c>
      <c r="C255" s="9">
        <v>16</v>
      </c>
      <c r="D255" s="9">
        <v>15</v>
      </c>
      <c r="E255" s="9">
        <v>16</v>
      </c>
      <c r="F255" s="9">
        <v>36</v>
      </c>
      <c r="G255" s="9">
        <v>52</v>
      </c>
      <c r="H255" s="9">
        <v>116</v>
      </c>
      <c r="I255" s="9">
        <v>150</v>
      </c>
      <c r="J255" s="9">
        <v>81</v>
      </c>
      <c r="K255" s="9">
        <v>130</v>
      </c>
      <c r="L255" s="9">
        <v>56</v>
      </c>
      <c r="M255" s="9">
        <v>58</v>
      </c>
      <c r="N255" s="9">
        <v>55</v>
      </c>
      <c r="O255" s="9">
        <v>457</v>
      </c>
      <c r="P255" s="9">
        <v>36</v>
      </c>
      <c r="Q255" s="9">
        <v>96</v>
      </c>
      <c r="R255" s="9">
        <v>118</v>
      </c>
      <c r="S255" s="9">
        <v>15</v>
      </c>
      <c r="T255" s="9">
        <v>238</v>
      </c>
      <c r="U255" s="9">
        <v>5</v>
      </c>
      <c r="V255" s="9">
        <v>6</v>
      </c>
      <c r="W255" s="9">
        <v>1</v>
      </c>
      <c r="X255" s="9">
        <v>0</v>
      </c>
      <c r="Y255" s="9">
        <v>0</v>
      </c>
      <c r="Z255" s="9">
        <v>3</v>
      </c>
      <c r="AA255" s="9">
        <v>30</v>
      </c>
      <c r="AC255" s="9">
        <f t="shared" si="13"/>
        <v>1786</v>
      </c>
      <c r="AD255" s="9">
        <f t="shared" si="11"/>
        <v>19504</v>
      </c>
      <c r="AE255" s="10">
        <f t="shared" si="12"/>
        <v>10.920492721164614</v>
      </c>
    </row>
    <row r="256" spans="1:41" x14ac:dyDescent="0.3">
      <c r="A256" s="55"/>
      <c r="B256" s="30" t="s">
        <v>258</v>
      </c>
      <c r="C256" s="9">
        <v>991</v>
      </c>
      <c r="D256" s="9">
        <v>478</v>
      </c>
      <c r="E256" s="9">
        <v>484</v>
      </c>
      <c r="F256" s="9">
        <v>937</v>
      </c>
      <c r="G256" s="9">
        <v>1033</v>
      </c>
      <c r="H256" s="9">
        <v>2309</v>
      </c>
      <c r="I256" s="9">
        <v>2703</v>
      </c>
      <c r="J256" s="9">
        <v>3594</v>
      </c>
      <c r="K256" s="9">
        <v>5055</v>
      </c>
      <c r="L256" s="9">
        <v>3725</v>
      </c>
      <c r="M256" s="9">
        <v>3972</v>
      </c>
      <c r="N256" s="9">
        <v>3708</v>
      </c>
      <c r="O256" s="9">
        <v>50350</v>
      </c>
      <c r="P256" s="9">
        <v>7897</v>
      </c>
      <c r="Q256" s="9">
        <v>12177</v>
      </c>
      <c r="R256" s="9">
        <v>10805</v>
      </c>
      <c r="S256" s="9">
        <v>4780</v>
      </c>
      <c r="T256" s="9">
        <v>42162</v>
      </c>
      <c r="U256" s="9">
        <v>1572</v>
      </c>
      <c r="V256" s="9">
        <v>4206</v>
      </c>
      <c r="W256" s="9">
        <v>60</v>
      </c>
      <c r="X256" s="9">
        <v>30</v>
      </c>
      <c r="Y256" s="9">
        <v>30</v>
      </c>
      <c r="Z256" s="9">
        <v>211</v>
      </c>
      <c r="AA256" s="9">
        <v>3123</v>
      </c>
      <c r="AC256" s="9">
        <f t="shared" si="13"/>
        <v>166392</v>
      </c>
      <c r="AD256" s="9">
        <f t="shared" si="11"/>
        <v>2238936</v>
      </c>
      <c r="AE256" s="10">
        <f t="shared" si="12"/>
        <v>13.455791143804991</v>
      </c>
    </row>
    <row r="257" spans="1:31" x14ac:dyDescent="0.3">
      <c r="A257" s="55"/>
      <c r="B257" s="30" t="s">
        <v>259</v>
      </c>
      <c r="C257" s="9">
        <v>91</v>
      </c>
      <c r="D257" s="9">
        <v>55</v>
      </c>
      <c r="E257" s="9">
        <v>63</v>
      </c>
      <c r="F257" s="9">
        <v>133</v>
      </c>
      <c r="G257" s="9">
        <v>150</v>
      </c>
      <c r="H257" s="9">
        <v>315</v>
      </c>
      <c r="I257" s="9">
        <v>361</v>
      </c>
      <c r="J257" s="9">
        <v>455</v>
      </c>
      <c r="K257" s="9">
        <v>616</v>
      </c>
      <c r="L257" s="9">
        <v>426</v>
      </c>
      <c r="M257" s="9">
        <v>422</v>
      </c>
      <c r="N257" s="9">
        <v>370</v>
      </c>
      <c r="O257" s="9">
        <v>3599</v>
      </c>
      <c r="P257" s="9">
        <v>381</v>
      </c>
      <c r="Q257" s="9">
        <v>627</v>
      </c>
      <c r="R257" s="9">
        <v>451</v>
      </c>
      <c r="S257" s="9">
        <v>192</v>
      </c>
      <c r="T257" s="9">
        <v>1317</v>
      </c>
      <c r="U257" s="9">
        <v>32</v>
      </c>
      <c r="V257" s="9">
        <v>64</v>
      </c>
      <c r="W257" s="9">
        <v>6</v>
      </c>
      <c r="X257" s="9">
        <v>2</v>
      </c>
      <c r="Y257" s="9">
        <v>2</v>
      </c>
      <c r="Z257" s="9">
        <v>10</v>
      </c>
      <c r="AA257" s="9">
        <v>304</v>
      </c>
      <c r="AC257" s="9">
        <f t="shared" si="13"/>
        <v>10444</v>
      </c>
      <c r="AD257" s="9">
        <f t="shared" si="11"/>
        <v>123827</v>
      </c>
      <c r="AE257" s="10">
        <f t="shared" si="12"/>
        <v>11.856281118345462</v>
      </c>
    </row>
    <row r="258" spans="1:31" x14ac:dyDescent="0.3">
      <c r="A258" s="55"/>
      <c r="B258" s="30" t="s">
        <v>260</v>
      </c>
      <c r="C258" s="9">
        <v>16</v>
      </c>
      <c r="D258" s="9">
        <v>4</v>
      </c>
      <c r="E258" s="9">
        <v>12</v>
      </c>
      <c r="F258" s="9">
        <v>19</v>
      </c>
      <c r="G258" s="9">
        <v>19</v>
      </c>
      <c r="H258" s="9">
        <v>41</v>
      </c>
      <c r="I258" s="9">
        <v>29</v>
      </c>
      <c r="J258" s="9">
        <v>58</v>
      </c>
      <c r="K258" s="9">
        <v>71</v>
      </c>
      <c r="L258" s="9">
        <v>47</v>
      </c>
      <c r="M258" s="9">
        <v>50</v>
      </c>
      <c r="N258" s="9">
        <v>56</v>
      </c>
      <c r="O258" s="9">
        <v>500</v>
      </c>
      <c r="P258" s="9">
        <v>84</v>
      </c>
      <c r="Q258" s="9">
        <v>96</v>
      </c>
      <c r="R258" s="9">
        <v>84</v>
      </c>
      <c r="S258" s="9">
        <v>50</v>
      </c>
      <c r="T258" s="9">
        <v>466</v>
      </c>
      <c r="U258" s="9">
        <v>33</v>
      </c>
      <c r="V258" s="9">
        <v>79</v>
      </c>
      <c r="W258" s="9">
        <v>2</v>
      </c>
      <c r="X258" s="9">
        <v>4</v>
      </c>
      <c r="Y258" s="9">
        <v>0</v>
      </c>
      <c r="Z258" s="9">
        <v>4</v>
      </c>
      <c r="AA258" s="9">
        <v>29</v>
      </c>
      <c r="AC258" s="9">
        <f t="shared" si="13"/>
        <v>1853</v>
      </c>
      <c r="AD258" s="9">
        <f t="shared" si="11"/>
        <v>24478</v>
      </c>
      <c r="AE258" s="10">
        <f t="shared" si="12"/>
        <v>13.209929843497031</v>
      </c>
    </row>
    <row r="259" spans="1:31" x14ac:dyDescent="0.3">
      <c r="A259" s="55"/>
      <c r="B259" s="30" t="s">
        <v>261</v>
      </c>
      <c r="C259" s="9">
        <v>128</v>
      </c>
      <c r="D259" s="9">
        <v>79</v>
      </c>
      <c r="E259" s="9">
        <v>98</v>
      </c>
      <c r="F259" s="9">
        <v>183</v>
      </c>
      <c r="G259" s="9">
        <v>251</v>
      </c>
      <c r="H259" s="9">
        <v>509</v>
      </c>
      <c r="I259" s="9">
        <v>597</v>
      </c>
      <c r="J259" s="9">
        <v>501</v>
      </c>
      <c r="K259" s="9">
        <v>751</v>
      </c>
      <c r="L259" s="9">
        <v>413</v>
      </c>
      <c r="M259" s="9">
        <v>424</v>
      </c>
      <c r="N259" s="9">
        <v>431</v>
      </c>
      <c r="O259" s="9">
        <v>4914</v>
      </c>
      <c r="P259" s="9">
        <v>633</v>
      </c>
      <c r="Q259" s="9">
        <v>1178</v>
      </c>
      <c r="R259" s="9">
        <v>886</v>
      </c>
      <c r="S259" s="9">
        <v>324</v>
      </c>
      <c r="T259" s="9">
        <v>2698</v>
      </c>
      <c r="U259" s="9">
        <v>73</v>
      </c>
      <c r="V259" s="9">
        <v>146</v>
      </c>
      <c r="W259" s="9">
        <v>5</v>
      </c>
      <c r="X259" s="9">
        <v>0</v>
      </c>
      <c r="Y259" s="9">
        <v>2</v>
      </c>
      <c r="Z259" s="9">
        <v>6</v>
      </c>
      <c r="AA259" s="9">
        <v>271</v>
      </c>
      <c r="AC259" s="9">
        <f t="shared" si="13"/>
        <v>15501</v>
      </c>
      <c r="AD259" s="9">
        <f t="shared" si="11"/>
        <v>189071</v>
      </c>
      <c r="AE259" s="10">
        <f t="shared" si="12"/>
        <v>12.197342106960841</v>
      </c>
    </row>
    <row r="260" spans="1:31" x14ac:dyDescent="0.3">
      <c r="A260" s="55"/>
      <c r="B260" s="30" t="s">
        <v>262</v>
      </c>
      <c r="C260" s="9">
        <v>58</v>
      </c>
      <c r="D260" s="9">
        <v>40</v>
      </c>
      <c r="E260" s="9">
        <v>41</v>
      </c>
      <c r="F260" s="9">
        <v>94</v>
      </c>
      <c r="G260" s="9">
        <v>99</v>
      </c>
      <c r="H260" s="9">
        <v>203</v>
      </c>
      <c r="I260" s="9">
        <v>204</v>
      </c>
      <c r="J260" s="9">
        <v>181</v>
      </c>
      <c r="K260" s="9">
        <v>246</v>
      </c>
      <c r="L260" s="9">
        <v>123</v>
      </c>
      <c r="M260" s="9">
        <v>145</v>
      </c>
      <c r="N260" s="9">
        <v>118</v>
      </c>
      <c r="O260" s="9">
        <v>1655</v>
      </c>
      <c r="P260" s="9">
        <v>255</v>
      </c>
      <c r="Q260" s="9">
        <v>427</v>
      </c>
      <c r="R260" s="9">
        <v>314</v>
      </c>
      <c r="S260" s="9">
        <v>99</v>
      </c>
      <c r="T260" s="9">
        <v>888</v>
      </c>
      <c r="U260" s="9">
        <v>12</v>
      </c>
      <c r="V260" s="9">
        <v>42</v>
      </c>
      <c r="W260" s="9">
        <v>3</v>
      </c>
      <c r="X260" s="9">
        <v>0</v>
      </c>
      <c r="Y260" s="9">
        <v>0</v>
      </c>
      <c r="Z260" s="9">
        <v>4</v>
      </c>
      <c r="AA260" s="9">
        <v>80</v>
      </c>
      <c r="AC260" s="9">
        <f t="shared" si="13"/>
        <v>5331</v>
      </c>
      <c r="AD260" s="9">
        <f t="shared" si="11"/>
        <v>63758</v>
      </c>
      <c r="AE260" s="10">
        <f t="shared" si="12"/>
        <v>11.959857437628962</v>
      </c>
    </row>
    <row r="261" spans="1:31" x14ac:dyDescent="0.3">
      <c r="A261" s="55"/>
      <c r="B261" s="30" t="s">
        <v>263</v>
      </c>
      <c r="C261" s="9">
        <v>145</v>
      </c>
      <c r="D261" s="9">
        <v>94</v>
      </c>
      <c r="E261" s="9">
        <v>127</v>
      </c>
      <c r="F261" s="9">
        <v>225</v>
      </c>
      <c r="G261" s="9">
        <v>217</v>
      </c>
      <c r="H261" s="9">
        <v>508</v>
      </c>
      <c r="I261" s="9">
        <v>540</v>
      </c>
      <c r="J261" s="9">
        <v>614</v>
      </c>
      <c r="K261" s="9">
        <v>858</v>
      </c>
      <c r="L261" s="9">
        <v>525</v>
      </c>
      <c r="M261" s="9">
        <v>521</v>
      </c>
      <c r="N261" s="9">
        <v>495</v>
      </c>
      <c r="O261" s="9">
        <v>4902</v>
      </c>
      <c r="P261" s="9">
        <v>585</v>
      </c>
      <c r="Q261" s="9">
        <v>934</v>
      </c>
      <c r="R261" s="9">
        <v>722</v>
      </c>
      <c r="S261" s="9">
        <v>205</v>
      </c>
      <c r="T261" s="9">
        <v>1766</v>
      </c>
      <c r="U261" s="9">
        <v>59</v>
      </c>
      <c r="V261" s="9">
        <v>97</v>
      </c>
      <c r="W261" s="9">
        <v>4</v>
      </c>
      <c r="X261" s="9">
        <v>1</v>
      </c>
      <c r="Y261" s="9">
        <v>1</v>
      </c>
      <c r="Z261" s="9">
        <v>8</v>
      </c>
      <c r="AA261" s="9">
        <v>341</v>
      </c>
      <c r="AC261" s="9">
        <f t="shared" si="13"/>
        <v>14494</v>
      </c>
      <c r="AD261" s="9">
        <f t="shared" ref="AD261:AD324" si="14">C$2*C261+D$2*D261+E$2*E261+F$2*F261+G$2*G261+H$2*H261+I$2*I261+J$2*J261+K$2*K261+L$2*L261+M$2*M261+N$2*N261+O$2*O261+P$2*P261+Q$2*Q261+R$2*R261+S$2*S261+T$2*T261+U$2*U261+V$2*V261+W$2*W261+X$2*X261+Y$2*Y261+Z$2*Z261+AA$2*AA261</f>
        <v>169246</v>
      </c>
      <c r="AE261" s="10">
        <f t="shared" ref="AE261:AE324" si="15">AD261/AC261</f>
        <v>11.676969780598869</v>
      </c>
    </row>
    <row r="262" spans="1:31" x14ac:dyDescent="0.3">
      <c r="A262" s="55"/>
      <c r="B262" s="30" t="s">
        <v>264</v>
      </c>
      <c r="C262" s="9">
        <v>12</v>
      </c>
      <c r="D262" s="9">
        <v>4</v>
      </c>
      <c r="E262" s="9">
        <v>5</v>
      </c>
      <c r="F262" s="9">
        <v>7</v>
      </c>
      <c r="G262" s="9">
        <v>7</v>
      </c>
      <c r="H262" s="9">
        <v>20</v>
      </c>
      <c r="I262" s="9">
        <v>36</v>
      </c>
      <c r="J262" s="9">
        <v>37</v>
      </c>
      <c r="K262" s="9">
        <v>62</v>
      </c>
      <c r="L262" s="9">
        <v>26</v>
      </c>
      <c r="M262" s="9">
        <v>21</v>
      </c>
      <c r="N262" s="9">
        <v>25</v>
      </c>
      <c r="O262" s="9">
        <v>354</v>
      </c>
      <c r="P262" s="9">
        <v>26</v>
      </c>
      <c r="Q262" s="9">
        <v>56</v>
      </c>
      <c r="R262" s="9">
        <v>50</v>
      </c>
      <c r="S262" s="9">
        <v>9</v>
      </c>
      <c r="T262" s="9">
        <v>125</v>
      </c>
      <c r="U262" s="9">
        <v>3</v>
      </c>
      <c r="V262" s="9">
        <v>5</v>
      </c>
      <c r="W262" s="9">
        <v>0</v>
      </c>
      <c r="X262" s="9">
        <v>0</v>
      </c>
      <c r="Y262" s="9">
        <v>0</v>
      </c>
      <c r="Z262" s="9">
        <v>0</v>
      </c>
      <c r="AA262" s="9">
        <v>16</v>
      </c>
      <c r="AC262" s="9">
        <f t="shared" si="13"/>
        <v>906</v>
      </c>
      <c r="AD262" s="9">
        <f t="shared" si="14"/>
        <v>10775</v>
      </c>
      <c r="AE262" s="10">
        <f t="shared" si="15"/>
        <v>11.892935982339957</v>
      </c>
    </row>
    <row r="263" spans="1:31" x14ac:dyDescent="0.3">
      <c r="A263" s="55"/>
      <c r="B263" s="30" t="s">
        <v>265</v>
      </c>
      <c r="C263" s="9">
        <v>95</v>
      </c>
      <c r="D263" s="9">
        <v>57</v>
      </c>
      <c r="E263" s="9">
        <v>31</v>
      </c>
      <c r="F263" s="9">
        <v>76</v>
      </c>
      <c r="G263" s="9">
        <v>207</v>
      </c>
      <c r="H263" s="9">
        <v>444</v>
      </c>
      <c r="I263" s="9">
        <v>401</v>
      </c>
      <c r="J263" s="9">
        <v>404</v>
      </c>
      <c r="K263" s="9">
        <v>474</v>
      </c>
      <c r="L263" s="9">
        <v>232</v>
      </c>
      <c r="M263" s="9">
        <v>197</v>
      </c>
      <c r="N263" s="9">
        <v>161</v>
      </c>
      <c r="O263" s="9">
        <v>1442</v>
      </c>
      <c r="P263" s="9">
        <v>166</v>
      </c>
      <c r="Q263" s="9">
        <v>348</v>
      </c>
      <c r="R263" s="9">
        <v>164</v>
      </c>
      <c r="S263" s="9">
        <v>53</v>
      </c>
      <c r="T263" s="9">
        <v>484</v>
      </c>
      <c r="U263" s="9">
        <v>6</v>
      </c>
      <c r="V263" s="9">
        <v>12</v>
      </c>
      <c r="W263" s="9">
        <v>2</v>
      </c>
      <c r="X263" s="9">
        <v>0</v>
      </c>
      <c r="Y263" s="9">
        <v>1</v>
      </c>
      <c r="Z263" s="9">
        <v>8</v>
      </c>
      <c r="AA263" s="9">
        <v>127</v>
      </c>
      <c r="AC263" s="9">
        <f t="shared" si="13"/>
        <v>5592</v>
      </c>
      <c r="AD263" s="9">
        <f t="shared" si="14"/>
        <v>57750</v>
      </c>
      <c r="AE263" s="10">
        <f t="shared" si="15"/>
        <v>10.32725321888412</v>
      </c>
    </row>
    <row r="264" spans="1:31" x14ac:dyDescent="0.3">
      <c r="A264" s="55"/>
      <c r="B264" s="30" t="s">
        <v>266</v>
      </c>
      <c r="C264" s="9">
        <v>12</v>
      </c>
      <c r="D264" s="9">
        <v>6</v>
      </c>
      <c r="E264" s="9">
        <v>7</v>
      </c>
      <c r="F264" s="9">
        <v>19</v>
      </c>
      <c r="G264" s="9">
        <v>17</v>
      </c>
      <c r="H264" s="9">
        <v>159</v>
      </c>
      <c r="I264" s="9">
        <v>58</v>
      </c>
      <c r="J264" s="9">
        <v>73</v>
      </c>
      <c r="K264" s="9">
        <v>84</v>
      </c>
      <c r="L264" s="9">
        <v>46</v>
      </c>
      <c r="M264" s="9">
        <v>40</v>
      </c>
      <c r="N264" s="9">
        <v>42</v>
      </c>
      <c r="O264" s="9">
        <v>379</v>
      </c>
      <c r="P264" s="9">
        <v>41</v>
      </c>
      <c r="Q264" s="9">
        <v>72</v>
      </c>
      <c r="R264" s="9">
        <v>31</v>
      </c>
      <c r="S264" s="9">
        <v>6</v>
      </c>
      <c r="T264" s="9">
        <v>97</v>
      </c>
      <c r="U264" s="9">
        <v>1</v>
      </c>
      <c r="V264" s="9">
        <v>1</v>
      </c>
      <c r="W264" s="9">
        <v>1</v>
      </c>
      <c r="X264" s="9">
        <v>0</v>
      </c>
      <c r="Y264" s="9">
        <v>0</v>
      </c>
      <c r="Z264" s="9">
        <v>0</v>
      </c>
      <c r="AA264" s="9">
        <v>42</v>
      </c>
      <c r="AC264" s="9">
        <f t="shared" si="13"/>
        <v>1234</v>
      </c>
      <c r="AD264" s="9">
        <f t="shared" si="14"/>
        <v>13111</v>
      </c>
      <c r="AE264" s="10">
        <f t="shared" si="15"/>
        <v>10.624797406807131</v>
      </c>
    </row>
    <row r="265" spans="1:31" x14ac:dyDescent="0.3">
      <c r="A265" s="55"/>
      <c r="B265" s="30" t="s">
        <v>267</v>
      </c>
      <c r="C265" s="9">
        <v>20</v>
      </c>
      <c r="D265" s="9">
        <v>8</v>
      </c>
      <c r="E265" s="9">
        <v>6</v>
      </c>
      <c r="F265" s="9">
        <v>13</v>
      </c>
      <c r="G265" s="9">
        <v>18</v>
      </c>
      <c r="H265" s="9">
        <v>47</v>
      </c>
      <c r="I265" s="9">
        <v>52</v>
      </c>
      <c r="J265" s="9">
        <v>59</v>
      </c>
      <c r="K265" s="9">
        <v>60</v>
      </c>
      <c r="L265" s="9">
        <v>29</v>
      </c>
      <c r="M265" s="9">
        <v>19</v>
      </c>
      <c r="N265" s="9">
        <v>26</v>
      </c>
      <c r="O265" s="9">
        <v>229</v>
      </c>
      <c r="P265" s="9">
        <v>17</v>
      </c>
      <c r="Q265" s="9">
        <v>40</v>
      </c>
      <c r="R265" s="9">
        <v>14</v>
      </c>
      <c r="S265" s="9">
        <v>2</v>
      </c>
      <c r="T265" s="9">
        <v>69</v>
      </c>
      <c r="U265" s="9">
        <v>0</v>
      </c>
      <c r="V265" s="9">
        <v>1</v>
      </c>
      <c r="W265" s="9">
        <v>0</v>
      </c>
      <c r="X265" s="9">
        <v>0</v>
      </c>
      <c r="Y265" s="9">
        <v>0</v>
      </c>
      <c r="Z265" s="9">
        <v>2</v>
      </c>
      <c r="AA265" s="9">
        <v>26</v>
      </c>
      <c r="AC265" s="9">
        <f t="shared" si="13"/>
        <v>757</v>
      </c>
      <c r="AD265" s="9">
        <f t="shared" si="14"/>
        <v>7941</v>
      </c>
      <c r="AE265" s="10">
        <f t="shared" si="15"/>
        <v>10.490092470277411</v>
      </c>
    </row>
    <row r="266" spans="1:31" x14ac:dyDescent="0.3">
      <c r="A266" s="55"/>
      <c r="B266" s="30" t="s">
        <v>268</v>
      </c>
      <c r="C266" s="9">
        <v>7</v>
      </c>
      <c r="D266" s="9">
        <v>8</v>
      </c>
      <c r="E266" s="9">
        <v>7</v>
      </c>
      <c r="F266" s="9">
        <v>13</v>
      </c>
      <c r="G266" s="9">
        <v>11</v>
      </c>
      <c r="H266" s="9">
        <v>28</v>
      </c>
      <c r="I266" s="9">
        <v>34</v>
      </c>
      <c r="J266" s="9">
        <v>46</v>
      </c>
      <c r="K266" s="9">
        <v>63</v>
      </c>
      <c r="L266" s="9">
        <v>56</v>
      </c>
      <c r="M266" s="9">
        <v>54</v>
      </c>
      <c r="N266" s="9">
        <v>35</v>
      </c>
      <c r="O266" s="9">
        <v>383</v>
      </c>
      <c r="P266" s="9">
        <v>36</v>
      </c>
      <c r="Q266" s="9">
        <v>62</v>
      </c>
      <c r="R266" s="9">
        <v>51</v>
      </c>
      <c r="S266" s="9">
        <v>16</v>
      </c>
      <c r="T266" s="9">
        <v>149</v>
      </c>
      <c r="U266" s="9">
        <v>4</v>
      </c>
      <c r="V266" s="9">
        <v>5</v>
      </c>
      <c r="W266" s="9">
        <v>1</v>
      </c>
      <c r="X266" s="9">
        <v>0</v>
      </c>
      <c r="Y266" s="9">
        <v>0</v>
      </c>
      <c r="Z266" s="9">
        <v>0</v>
      </c>
      <c r="AA266" s="9">
        <v>29</v>
      </c>
      <c r="AC266" s="9">
        <f t="shared" si="13"/>
        <v>1098</v>
      </c>
      <c r="AD266" s="9">
        <f t="shared" si="14"/>
        <v>13073</v>
      </c>
      <c r="AE266" s="10">
        <f t="shared" si="15"/>
        <v>11.906193078324225</v>
      </c>
    </row>
    <row r="267" spans="1:31" x14ac:dyDescent="0.3">
      <c r="A267" s="55"/>
      <c r="B267" s="30" t="s">
        <v>269</v>
      </c>
      <c r="C267" s="9">
        <v>22</v>
      </c>
      <c r="D267" s="9">
        <v>20</v>
      </c>
      <c r="E267" s="9">
        <v>16</v>
      </c>
      <c r="F267" s="9">
        <v>23</v>
      </c>
      <c r="G267" s="9">
        <v>24</v>
      </c>
      <c r="H267" s="9">
        <v>62</v>
      </c>
      <c r="I267" s="9">
        <v>71</v>
      </c>
      <c r="J267" s="9">
        <v>74</v>
      </c>
      <c r="K267" s="9">
        <v>75</v>
      </c>
      <c r="L267" s="9">
        <v>47</v>
      </c>
      <c r="M267" s="9">
        <v>58</v>
      </c>
      <c r="N267" s="9">
        <v>59</v>
      </c>
      <c r="O267" s="9">
        <v>572</v>
      </c>
      <c r="P267" s="9">
        <v>39</v>
      </c>
      <c r="Q267" s="9">
        <v>92</v>
      </c>
      <c r="R267" s="9">
        <v>73</v>
      </c>
      <c r="S267" s="9">
        <v>30</v>
      </c>
      <c r="T267" s="9">
        <v>272</v>
      </c>
      <c r="U267" s="9">
        <v>9</v>
      </c>
      <c r="V267" s="9">
        <v>8</v>
      </c>
      <c r="W267" s="9">
        <v>0</v>
      </c>
      <c r="X267" s="9">
        <v>1</v>
      </c>
      <c r="Y267" s="9">
        <v>1</v>
      </c>
      <c r="Z267" s="9">
        <v>1</v>
      </c>
      <c r="AA267" s="9">
        <v>24</v>
      </c>
      <c r="AC267" s="9">
        <f t="shared" si="13"/>
        <v>1673</v>
      </c>
      <c r="AD267" s="9">
        <f t="shared" si="14"/>
        <v>19537</v>
      </c>
      <c r="AE267" s="10">
        <f t="shared" si="15"/>
        <v>11.677824267782427</v>
      </c>
    </row>
    <row r="268" spans="1:31" x14ac:dyDescent="0.3">
      <c r="A268" s="55"/>
      <c r="B268" s="30" t="s">
        <v>270</v>
      </c>
      <c r="C268" s="9">
        <v>68</v>
      </c>
      <c r="D268" s="9">
        <v>48</v>
      </c>
      <c r="E268" s="9">
        <v>60</v>
      </c>
      <c r="F268" s="9">
        <v>118</v>
      </c>
      <c r="G268" s="9">
        <v>111</v>
      </c>
      <c r="H268" s="9">
        <v>219</v>
      </c>
      <c r="I268" s="9">
        <v>227</v>
      </c>
      <c r="J268" s="9">
        <v>234</v>
      </c>
      <c r="K268" s="9">
        <v>267</v>
      </c>
      <c r="L268" s="9">
        <v>156</v>
      </c>
      <c r="M268" s="9">
        <v>142</v>
      </c>
      <c r="N268" s="9">
        <v>135</v>
      </c>
      <c r="O268" s="9">
        <v>1527</v>
      </c>
      <c r="P268" s="9">
        <v>162</v>
      </c>
      <c r="Q268" s="9">
        <v>297</v>
      </c>
      <c r="R268" s="9">
        <v>337</v>
      </c>
      <c r="S268" s="9">
        <v>78</v>
      </c>
      <c r="T268" s="9">
        <v>1073</v>
      </c>
      <c r="U268" s="9">
        <v>26</v>
      </c>
      <c r="V268" s="9">
        <v>48</v>
      </c>
      <c r="W268" s="9">
        <v>0</v>
      </c>
      <c r="X268" s="9">
        <v>0</v>
      </c>
      <c r="Y268" s="9">
        <v>0</v>
      </c>
      <c r="Z268" s="9">
        <v>2</v>
      </c>
      <c r="AA268" s="9">
        <v>84</v>
      </c>
      <c r="AC268" s="9">
        <f t="shared" si="13"/>
        <v>5419</v>
      </c>
      <c r="AD268" s="9">
        <f t="shared" si="14"/>
        <v>64080</v>
      </c>
      <c r="AE268" s="10">
        <f t="shared" si="15"/>
        <v>11.825059974164976</v>
      </c>
    </row>
    <row r="269" spans="1:31" x14ac:dyDescent="0.3">
      <c r="A269" s="55"/>
      <c r="B269" s="30" t="s">
        <v>271</v>
      </c>
      <c r="C269" s="9">
        <v>9</v>
      </c>
      <c r="D269" s="9">
        <v>5</v>
      </c>
      <c r="E269" s="9">
        <v>7</v>
      </c>
      <c r="F269" s="9">
        <v>11</v>
      </c>
      <c r="G269" s="9">
        <v>21</v>
      </c>
      <c r="H269" s="9">
        <v>26</v>
      </c>
      <c r="I269" s="9">
        <v>29</v>
      </c>
      <c r="J269" s="9">
        <v>39</v>
      </c>
      <c r="K269" s="9">
        <v>55</v>
      </c>
      <c r="L269" s="9">
        <v>28</v>
      </c>
      <c r="M269" s="9">
        <v>19</v>
      </c>
      <c r="N269" s="9">
        <v>26</v>
      </c>
      <c r="O269" s="9">
        <v>262</v>
      </c>
      <c r="P269" s="9">
        <v>25</v>
      </c>
      <c r="Q269" s="9">
        <v>50</v>
      </c>
      <c r="R269" s="9">
        <v>39</v>
      </c>
      <c r="S269" s="9">
        <v>8</v>
      </c>
      <c r="T269" s="9">
        <v>149</v>
      </c>
      <c r="U269" s="9">
        <v>3</v>
      </c>
      <c r="V269" s="9">
        <v>5</v>
      </c>
      <c r="W269" s="9">
        <v>0</v>
      </c>
      <c r="X269" s="9">
        <v>0</v>
      </c>
      <c r="Y269" s="9">
        <v>0</v>
      </c>
      <c r="Z269" s="9">
        <v>1</v>
      </c>
      <c r="AA269" s="9">
        <v>13</v>
      </c>
      <c r="AC269" s="9">
        <f t="shared" si="13"/>
        <v>830</v>
      </c>
      <c r="AD269" s="9">
        <f t="shared" si="14"/>
        <v>9780</v>
      </c>
      <c r="AE269" s="10">
        <f t="shared" si="15"/>
        <v>11.783132530120483</v>
      </c>
    </row>
    <row r="270" spans="1:31" x14ac:dyDescent="0.3">
      <c r="A270" s="55"/>
      <c r="B270" s="30" t="s">
        <v>272</v>
      </c>
      <c r="C270" s="9">
        <v>227</v>
      </c>
      <c r="D270" s="9">
        <v>17</v>
      </c>
      <c r="E270" s="9">
        <v>11</v>
      </c>
      <c r="F270" s="9">
        <v>59</v>
      </c>
      <c r="G270" s="9">
        <v>141</v>
      </c>
      <c r="H270" s="9">
        <v>329</v>
      </c>
      <c r="I270" s="9">
        <v>179</v>
      </c>
      <c r="J270" s="9">
        <v>175</v>
      </c>
      <c r="K270" s="9">
        <v>242</v>
      </c>
      <c r="L270" s="9">
        <v>99</v>
      </c>
      <c r="M270" s="9">
        <v>105</v>
      </c>
      <c r="N270" s="9">
        <v>84</v>
      </c>
      <c r="O270" s="9">
        <v>843</v>
      </c>
      <c r="P270" s="9">
        <v>56</v>
      </c>
      <c r="Q270" s="9">
        <v>136</v>
      </c>
      <c r="R270" s="9">
        <v>112</v>
      </c>
      <c r="S270" s="9">
        <v>19</v>
      </c>
      <c r="T270" s="9">
        <v>224</v>
      </c>
      <c r="U270" s="9">
        <v>3</v>
      </c>
      <c r="V270" s="9">
        <v>11</v>
      </c>
      <c r="W270" s="9">
        <v>0</v>
      </c>
      <c r="X270" s="9">
        <v>0</v>
      </c>
      <c r="Y270" s="9">
        <v>0</v>
      </c>
      <c r="Z270" s="9">
        <v>0</v>
      </c>
      <c r="AA270" s="9">
        <v>117</v>
      </c>
      <c r="AC270" s="9">
        <f t="shared" ref="AC270:AC333" si="16">SUM(C270:AA270)</f>
        <v>3189</v>
      </c>
      <c r="AD270" s="9">
        <f t="shared" si="14"/>
        <v>31136</v>
      </c>
      <c r="AE270" s="10">
        <f t="shared" si="15"/>
        <v>9.7635622452179369</v>
      </c>
    </row>
    <row r="271" spans="1:31" x14ac:dyDescent="0.3">
      <c r="A271" s="55"/>
      <c r="B271" s="30" t="s">
        <v>273</v>
      </c>
      <c r="C271" s="9">
        <v>151</v>
      </c>
      <c r="D271" s="9">
        <v>41</v>
      </c>
      <c r="E271" s="9">
        <v>23</v>
      </c>
      <c r="F271" s="9">
        <v>61</v>
      </c>
      <c r="G271" s="9">
        <v>209</v>
      </c>
      <c r="H271" s="9">
        <v>687</v>
      </c>
      <c r="I271" s="9">
        <v>566</v>
      </c>
      <c r="J271" s="9">
        <v>355</v>
      </c>
      <c r="K271" s="9">
        <v>246</v>
      </c>
      <c r="L271" s="9">
        <v>98</v>
      </c>
      <c r="M271" s="9">
        <v>130</v>
      </c>
      <c r="N271" s="9">
        <v>84</v>
      </c>
      <c r="O271" s="9">
        <v>1029</v>
      </c>
      <c r="P271" s="9">
        <v>114</v>
      </c>
      <c r="Q271" s="9">
        <v>162</v>
      </c>
      <c r="R271" s="9">
        <v>160</v>
      </c>
      <c r="S271" s="9">
        <v>34</v>
      </c>
      <c r="T271" s="9">
        <v>270</v>
      </c>
      <c r="U271" s="9">
        <v>8</v>
      </c>
      <c r="V271" s="9">
        <v>15</v>
      </c>
      <c r="W271" s="9">
        <v>0</v>
      </c>
      <c r="X271" s="9">
        <v>0</v>
      </c>
      <c r="Y271" s="9">
        <v>0</v>
      </c>
      <c r="Z271" s="9">
        <v>1</v>
      </c>
      <c r="AA271" s="9">
        <v>128</v>
      </c>
      <c r="AC271" s="9">
        <f t="shared" si="16"/>
        <v>4572</v>
      </c>
      <c r="AD271" s="9">
        <f t="shared" si="14"/>
        <v>42652</v>
      </c>
      <c r="AE271" s="10">
        <f t="shared" si="15"/>
        <v>9.3289588801399823</v>
      </c>
    </row>
    <row r="272" spans="1:31" x14ac:dyDescent="0.3">
      <c r="A272" s="55"/>
      <c r="B272" s="30" t="s">
        <v>274</v>
      </c>
      <c r="C272" s="9">
        <v>8</v>
      </c>
      <c r="D272" s="9">
        <v>8</v>
      </c>
      <c r="E272" s="9">
        <v>8</v>
      </c>
      <c r="F272" s="9">
        <v>7</v>
      </c>
      <c r="G272" s="9">
        <v>14</v>
      </c>
      <c r="H272" s="9">
        <v>50</v>
      </c>
      <c r="I272" s="9">
        <v>79</v>
      </c>
      <c r="J272" s="9">
        <v>51</v>
      </c>
      <c r="K272" s="9">
        <v>79</v>
      </c>
      <c r="L272" s="9">
        <v>74</v>
      </c>
      <c r="M272" s="9">
        <v>63</v>
      </c>
      <c r="N272" s="9">
        <v>51</v>
      </c>
      <c r="O272" s="9">
        <v>558</v>
      </c>
      <c r="P272" s="9">
        <v>46</v>
      </c>
      <c r="Q272" s="9">
        <v>75</v>
      </c>
      <c r="R272" s="9">
        <v>70</v>
      </c>
      <c r="S272" s="9">
        <v>7</v>
      </c>
      <c r="T272" s="9">
        <v>201</v>
      </c>
      <c r="U272" s="9">
        <v>5</v>
      </c>
      <c r="V272" s="9">
        <v>8</v>
      </c>
      <c r="W272" s="9">
        <v>0</v>
      </c>
      <c r="X272" s="9">
        <v>0</v>
      </c>
      <c r="Y272" s="9">
        <v>0</v>
      </c>
      <c r="Z272" s="9">
        <v>0</v>
      </c>
      <c r="AA272" s="9">
        <v>30</v>
      </c>
      <c r="AC272" s="9">
        <f t="shared" si="16"/>
        <v>1492</v>
      </c>
      <c r="AD272" s="9">
        <f t="shared" si="14"/>
        <v>17556</v>
      </c>
      <c r="AE272" s="10">
        <f t="shared" si="15"/>
        <v>11.766756032171582</v>
      </c>
    </row>
    <row r="273" spans="1:31" x14ac:dyDescent="0.3">
      <c r="A273" s="55"/>
      <c r="B273" s="30" t="s">
        <v>275</v>
      </c>
      <c r="C273" s="9">
        <v>14</v>
      </c>
      <c r="D273" s="9">
        <v>9</v>
      </c>
      <c r="E273" s="9">
        <v>5</v>
      </c>
      <c r="F273" s="9">
        <v>14</v>
      </c>
      <c r="G273" s="9">
        <v>16</v>
      </c>
      <c r="H273" s="9">
        <v>34</v>
      </c>
      <c r="I273" s="9">
        <v>39</v>
      </c>
      <c r="J273" s="9">
        <v>55</v>
      </c>
      <c r="K273" s="9">
        <v>76</v>
      </c>
      <c r="L273" s="9">
        <v>60</v>
      </c>
      <c r="M273" s="9">
        <v>59</v>
      </c>
      <c r="N273" s="9">
        <v>43</v>
      </c>
      <c r="O273" s="9">
        <v>562</v>
      </c>
      <c r="P273" s="9">
        <v>92</v>
      </c>
      <c r="Q273" s="9">
        <v>122</v>
      </c>
      <c r="R273" s="9">
        <v>128</v>
      </c>
      <c r="S273" s="9">
        <v>34</v>
      </c>
      <c r="T273" s="9">
        <v>425</v>
      </c>
      <c r="U273" s="9">
        <v>5</v>
      </c>
      <c r="V273" s="9">
        <v>7</v>
      </c>
      <c r="W273" s="9">
        <v>1</v>
      </c>
      <c r="X273" s="9">
        <v>1</v>
      </c>
      <c r="Y273" s="9">
        <v>1</v>
      </c>
      <c r="Z273" s="9">
        <v>1</v>
      </c>
      <c r="AA273" s="9">
        <v>39</v>
      </c>
      <c r="AC273" s="9">
        <f t="shared" si="16"/>
        <v>1842</v>
      </c>
      <c r="AD273" s="9">
        <f t="shared" si="14"/>
        <v>23707</v>
      </c>
      <c r="AE273" s="10">
        <f t="shared" si="15"/>
        <v>12.870249728555917</v>
      </c>
    </row>
    <row r="274" spans="1:31" x14ac:dyDescent="0.3">
      <c r="A274" s="55"/>
      <c r="B274" s="30" t="s">
        <v>276</v>
      </c>
      <c r="C274" s="9">
        <v>20</v>
      </c>
      <c r="D274" s="9">
        <v>16</v>
      </c>
      <c r="E274" s="9">
        <v>17</v>
      </c>
      <c r="F274" s="9">
        <v>35</v>
      </c>
      <c r="G274" s="9">
        <v>30</v>
      </c>
      <c r="H274" s="9">
        <v>53</v>
      </c>
      <c r="I274" s="9">
        <v>71</v>
      </c>
      <c r="J274" s="9">
        <v>57</v>
      </c>
      <c r="K274" s="9">
        <v>105</v>
      </c>
      <c r="L274" s="9">
        <v>53</v>
      </c>
      <c r="M274" s="9">
        <v>51</v>
      </c>
      <c r="N274" s="9">
        <v>46</v>
      </c>
      <c r="O274" s="9">
        <v>391</v>
      </c>
      <c r="P274" s="9">
        <v>41</v>
      </c>
      <c r="Q274" s="9">
        <v>87</v>
      </c>
      <c r="R274" s="9">
        <v>60</v>
      </c>
      <c r="S274" s="9">
        <v>16</v>
      </c>
      <c r="T274" s="9">
        <v>141</v>
      </c>
      <c r="U274" s="9">
        <v>5</v>
      </c>
      <c r="V274" s="9">
        <v>11</v>
      </c>
      <c r="W274" s="9">
        <v>1</v>
      </c>
      <c r="X274" s="9">
        <v>0</v>
      </c>
      <c r="Y274" s="9">
        <v>0</v>
      </c>
      <c r="Z274" s="9">
        <v>1</v>
      </c>
      <c r="AA274" s="9">
        <v>18</v>
      </c>
      <c r="AC274" s="9">
        <f t="shared" si="16"/>
        <v>1326</v>
      </c>
      <c r="AD274" s="9">
        <f t="shared" si="14"/>
        <v>14468</v>
      </c>
      <c r="AE274" s="10">
        <f t="shared" si="15"/>
        <v>10.911010558069382</v>
      </c>
    </row>
    <row r="275" spans="1:31" x14ac:dyDescent="0.3">
      <c r="A275" s="55"/>
      <c r="B275" s="30" t="s">
        <v>277</v>
      </c>
      <c r="C275" s="9">
        <v>8</v>
      </c>
      <c r="D275" s="9">
        <v>5</v>
      </c>
      <c r="E275" s="9">
        <v>1</v>
      </c>
      <c r="F275" s="9">
        <v>3</v>
      </c>
      <c r="G275" s="9">
        <v>3</v>
      </c>
      <c r="H275" s="9">
        <v>13</v>
      </c>
      <c r="I275" s="9">
        <v>19</v>
      </c>
      <c r="J275" s="9">
        <v>37</v>
      </c>
      <c r="K275" s="9">
        <v>32</v>
      </c>
      <c r="L275" s="9">
        <v>22</v>
      </c>
      <c r="M275" s="9">
        <v>28</v>
      </c>
      <c r="N275" s="9">
        <v>28</v>
      </c>
      <c r="O275" s="9">
        <v>220</v>
      </c>
      <c r="P275" s="9">
        <v>13</v>
      </c>
      <c r="Q275" s="9">
        <v>27</v>
      </c>
      <c r="R275" s="9">
        <v>12</v>
      </c>
      <c r="S275" s="9">
        <v>5</v>
      </c>
      <c r="T275" s="9">
        <v>47</v>
      </c>
      <c r="U275" s="9">
        <v>1</v>
      </c>
      <c r="V275" s="9">
        <v>1</v>
      </c>
      <c r="W275" s="9">
        <v>0</v>
      </c>
      <c r="X275" s="9">
        <v>0</v>
      </c>
      <c r="Y275" s="9">
        <v>0</v>
      </c>
      <c r="Z275" s="9">
        <v>0</v>
      </c>
      <c r="AA275" s="9">
        <v>9</v>
      </c>
      <c r="AC275" s="9">
        <f t="shared" si="16"/>
        <v>534</v>
      </c>
      <c r="AD275" s="9">
        <f t="shared" si="14"/>
        <v>6007</v>
      </c>
      <c r="AE275" s="10">
        <f t="shared" si="15"/>
        <v>11.249063670411985</v>
      </c>
    </row>
    <row r="276" spans="1:31" x14ac:dyDescent="0.3">
      <c r="A276" s="55"/>
      <c r="B276" s="30" t="s">
        <v>278</v>
      </c>
      <c r="C276" s="9">
        <v>7</v>
      </c>
      <c r="D276" s="9">
        <v>0</v>
      </c>
      <c r="E276" s="9">
        <v>3</v>
      </c>
      <c r="F276" s="9">
        <v>8</v>
      </c>
      <c r="G276" s="9">
        <v>6</v>
      </c>
      <c r="H276" s="9">
        <v>21</v>
      </c>
      <c r="I276" s="9">
        <v>20</v>
      </c>
      <c r="J276" s="9">
        <v>31</v>
      </c>
      <c r="K276" s="9">
        <v>40</v>
      </c>
      <c r="L276" s="9">
        <v>21</v>
      </c>
      <c r="M276" s="9">
        <v>25</v>
      </c>
      <c r="N276" s="9">
        <v>18</v>
      </c>
      <c r="O276" s="9">
        <v>152</v>
      </c>
      <c r="P276" s="9">
        <v>11</v>
      </c>
      <c r="Q276" s="9">
        <v>19</v>
      </c>
      <c r="R276" s="9">
        <v>17</v>
      </c>
      <c r="S276" s="9">
        <v>8</v>
      </c>
      <c r="T276" s="9">
        <v>56</v>
      </c>
      <c r="U276" s="9">
        <v>0</v>
      </c>
      <c r="V276" s="9">
        <v>4</v>
      </c>
      <c r="W276" s="9">
        <v>0</v>
      </c>
      <c r="X276" s="9">
        <v>0</v>
      </c>
      <c r="Y276" s="9">
        <v>0</v>
      </c>
      <c r="Z276" s="9">
        <v>0</v>
      </c>
      <c r="AA276" s="9">
        <v>15</v>
      </c>
      <c r="AC276" s="9">
        <f t="shared" si="16"/>
        <v>482</v>
      </c>
      <c r="AD276" s="9">
        <f t="shared" si="14"/>
        <v>5457</v>
      </c>
      <c r="AE276" s="10">
        <f t="shared" si="15"/>
        <v>11.321576763485478</v>
      </c>
    </row>
    <row r="277" spans="1:31" x14ac:dyDescent="0.3">
      <c r="A277" s="55"/>
      <c r="B277" s="30" t="s">
        <v>279</v>
      </c>
      <c r="C277" s="9">
        <v>158</v>
      </c>
      <c r="D277" s="9">
        <v>33</v>
      </c>
      <c r="E277" s="9">
        <v>36</v>
      </c>
      <c r="F277" s="9">
        <v>63</v>
      </c>
      <c r="G277" s="9">
        <v>120</v>
      </c>
      <c r="H277" s="9">
        <v>172</v>
      </c>
      <c r="I277" s="9">
        <v>268</v>
      </c>
      <c r="J277" s="9">
        <v>142</v>
      </c>
      <c r="K277" s="9">
        <v>217</v>
      </c>
      <c r="L277" s="9">
        <v>91</v>
      </c>
      <c r="M277" s="9">
        <v>100</v>
      </c>
      <c r="N277" s="9">
        <v>91</v>
      </c>
      <c r="O277" s="9">
        <v>666</v>
      </c>
      <c r="P277" s="9">
        <v>66</v>
      </c>
      <c r="Q277" s="9">
        <v>82</v>
      </c>
      <c r="R277" s="9">
        <v>86</v>
      </c>
      <c r="S277" s="9">
        <v>24</v>
      </c>
      <c r="T277" s="9">
        <v>205</v>
      </c>
      <c r="U277" s="9">
        <v>4</v>
      </c>
      <c r="V277" s="9">
        <v>6</v>
      </c>
      <c r="W277" s="9">
        <v>2</v>
      </c>
      <c r="X277" s="9">
        <v>0</v>
      </c>
      <c r="Y277" s="9">
        <v>0</v>
      </c>
      <c r="Z277" s="9">
        <v>2</v>
      </c>
      <c r="AA277" s="9">
        <v>159</v>
      </c>
      <c r="AC277" s="9">
        <f t="shared" si="16"/>
        <v>2793</v>
      </c>
      <c r="AD277" s="9">
        <f t="shared" si="14"/>
        <v>28037</v>
      </c>
      <c r="AE277" s="10">
        <f t="shared" si="15"/>
        <v>10.038310060866452</v>
      </c>
    </row>
    <row r="278" spans="1:31" x14ac:dyDescent="0.3">
      <c r="A278" s="55"/>
      <c r="B278" s="30" t="s">
        <v>280</v>
      </c>
      <c r="C278" s="9">
        <v>157</v>
      </c>
      <c r="D278" s="9">
        <v>22</v>
      </c>
      <c r="E278" s="9">
        <v>40</v>
      </c>
      <c r="F278" s="9">
        <v>70</v>
      </c>
      <c r="G278" s="9">
        <v>86</v>
      </c>
      <c r="H278" s="9">
        <v>211</v>
      </c>
      <c r="I278" s="9">
        <v>335</v>
      </c>
      <c r="J278" s="9">
        <v>133</v>
      </c>
      <c r="K278" s="9">
        <v>201</v>
      </c>
      <c r="L278" s="9">
        <v>78</v>
      </c>
      <c r="M278" s="9">
        <v>47</v>
      </c>
      <c r="N278" s="9">
        <v>56</v>
      </c>
      <c r="O278" s="9">
        <v>663</v>
      </c>
      <c r="P278" s="9">
        <v>72</v>
      </c>
      <c r="Q278" s="9">
        <v>93</v>
      </c>
      <c r="R278" s="9">
        <v>89</v>
      </c>
      <c r="S278" s="9">
        <v>17</v>
      </c>
      <c r="T278" s="9">
        <v>207</v>
      </c>
      <c r="U278" s="9">
        <v>6</v>
      </c>
      <c r="V278" s="9">
        <v>13</v>
      </c>
      <c r="W278" s="9">
        <v>0</v>
      </c>
      <c r="X278" s="9">
        <v>0</v>
      </c>
      <c r="Y278" s="9">
        <v>0</v>
      </c>
      <c r="Z278" s="9">
        <v>0</v>
      </c>
      <c r="AA278" s="9">
        <v>77</v>
      </c>
      <c r="AC278" s="9">
        <f t="shared" si="16"/>
        <v>2673</v>
      </c>
      <c r="AD278" s="9">
        <f t="shared" si="14"/>
        <v>25571</v>
      </c>
      <c r="AE278" s="10">
        <f t="shared" si="15"/>
        <v>9.5664047886270112</v>
      </c>
    </row>
    <row r="279" spans="1:31" x14ac:dyDescent="0.3">
      <c r="A279" s="55"/>
      <c r="B279" s="30" t="s">
        <v>281</v>
      </c>
      <c r="C279" s="9">
        <v>3</v>
      </c>
      <c r="D279" s="9">
        <v>2</v>
      </c>
      <c r="E279" s="9">
        <v>1</v>
      </c>
      <c r="F279" s="9">
        <v>6</v>
      </c>
      <c r="G279" s="9">
        <v>4</v>
      </c>
      <c r="H279" s="9">
        <v>14</v>
      </c>
      <c r="I279" s="9">
        <v>12</v>
      </c>
      <c r="J279" s="9">
        <v>17</v>
      </c>
      <c r="K279" s="9">
        <v>23</v>
      </c>
      <c r="L279" s="9">
        <v>11</v>
      </c>
      <c r="M279" s="9">
        <v>16</v>
      </c>
      <c r="N279" s="9">
        <v>15</v>
      </c>
      <c r="O279" s="9">
        <v>144</v>
      </c>
      <c r="P279" s="9">
        <v>7</v>
      </c>
      <c r="Q279" s="9">
        <v>30</v>
      </c>
      <c r="R279" s="9">
        <v>32</v>
      </c>
      <c r="S279" s="9">
        <v>8</v>
      </c>
      <c r="T279" s="9">
        <v>75</v>
      </c>
      <c r="U279" s="9">
        <v>0</v>
      </c>
      <c r="V279" s="9">
        <v>3</v>
      </c>
      <c r="W279" s="9">
        <v>0</v>
      </c>
      <c r="X279" s="9">
        <v>0</v>
      </c>
      <c r="Y279" s="9">
        <v>0</v>
      </c>
      <c r="Z279" s="9">
        <v>0</v>
      </c>
      <c r="AA279" s="9">
        <v>23</v>
      </c>
      <c r="AC279" s="9">
        <f t="shared" si="16"/>
        <v>446</v>
      </c>
      <c r="AD279" s="9">
        <f t="shared" si="14"/>
        <v>5638</v>
      </c>
      <c r="AE279" s="10">
        <f t="shared" si="15"/>
        <v>12.641255605381167</v>
      </c>
    </row>
    <row r="280" spans="1:31" x14ac:dyDescent="0.3">
      <c r="A280" s="55"/>
      <c r="B280" s="30" t="s">
        <v>282</v>
      </c>
      <c r="C280" s="9">
        <v>16</v>
      </c>
      <c r="D280" s="9">
        <v>3</v>
      </c>
      <c r="E280" s="9">
        <v>7</v>
      </c>
      <c r="F280" s="9">
        <v>10</v>
      </c>
      <c r="G280" s="9">
        <v>8</v>
      </c>
      <c r="H280" s="9">
        <v>23</v>
      </c>
      <c r="I280" s="9">
        <v>70</v>
      </c>
      <c r="J280" s="9">
        <v>57</v>
      </c>
      <c r="K280" s="9">
        <v>87</v>
      </c>
      <c r="L280" s="9">
        <v>53</v>
      </c>
      <c r="M280" s="9">
        <v>38</v>
      </c>
      <c r="N280" s="9">
        <v>32</v>
      </c>
      <c r="O280" s="9">
        <v>390</v>
      </c>
      <c r="P280" s="9">
        <v>27</v>
      </c>
      <c r="Q280" s="9">
        <v>37</v>
      </c>
      <c r="R280" s="9">
        <v>28</v>
      </c>
      <c r="S280" s="9">
        <v>12</v>
      </c>
      <c r="T280" s="9">
        <v>78</v>
      </c>
      <c r="U280" s="9">
        <v>1</v>
      </c>
      <c r="V280" s="9">
        <v>4</v>
      </c>
      <c r="W280" s="9">
        <v>2</v>
      </c>
      <c r="X280" s="9">
        <v>0</v>
      </c>
      <c r="Y280" s="9">
        <v>0</v>
      </c>
      <c r="Z280" s="9">
        <v>0</v>
      </c>
      <c r="AA280" s="9">
        <v>50</v>
      </c>
      <c r="AC280" s="9">
        <f t="shared" si="16"/>
        <v>1033</v>
      </c>
      <c r="AD280" s="9">
        <f t="shared" si="14"/>
        <v>11739</v>
      </c>
      <c r="AE280" s="10">
        <f t="shared" si="15"/>
        <v>11.363988383349467</v>
      </c>
    </row>
    <row r="281" spans="1:31" x14ac:dyDescent="0.3">
      <c r="A281" s="55"/>
      <c r="B281" s="30" t="s">
        <v>283</v>
      </c>
      <c r="C281" s="9">
        <v>22</v>
      </c>
      <c r="D281" s="9">
        <v>10</v>
      </c>
      <c r="E281" s="9">
        <v>8</v>
      </c>
      <c r="F281" s="9">
        <v>10</v>
      </c>
      <c r="G281" s="9">
        <v>11</v>
      </c>
      <c r="H281" s="9">
        <v>32</v>
      </c>
      <c r="I281" s="9">
        <v>32</v>
      </c>
      <c r="J281" s="9">
        <v>38</v>
      </c>
      <c r="K281" s="9">
        <v>80</v>
      </c>
      <c r="L281" s="9">
        <v>51</v>
      </c>
      <c r="M281" s="9">
        <v>61</v>
      </c>
      <c r="N281" s="9">
        <v>62</v>
      </c>
      <c r="O281" s="9">
        <v>857</v>
      </c>
      <c r="P281" s="9">
        <v>132</v>
      </c>
      <c r="Q281" s="9">
        <v>188</v>
      </c>
      <c r="R281" s="9">
        <v>186</v>
      </c>
      <c r="S281" s="9">
        <v>106</v>
      </c>
      <c r="T281" s="9">
        <v>827</v>
      </c>
      <c r="U281" s="9">
        <v>18</v>
      </c>
      <c r="V281" s="9">
        <v>31</v>
      </c>
      <c r="W281" s="9">
        <v>0</v>
      </c>
      <c r="X281" s="9">
        <v>0</v>
      </c>
      <c r="Y281" s="9">
        <v>0</v>
      </c>
      <c r="Z281" s="9">
        <v>0</v>
      </c>
      <c r="AA281" s="9">
        <v>46</v>
      </c>
      <c r="AC281" s="9">
        <f t="shared" si="16"/>
        <v>2808</v>
      </c>
      <c r="AD281" s="9">
        <f t="shared" si="14"/>
        <v>38303</v>
      </c>
      <c r="AE281" s="10">
        <f t="shared" si="15"/>
        <v>13.640669515669515</v>
      </c>
    </row>
    <row r="282" spans="1:31" x14ac:dyDescent="0.3">
      <c r="A282" s="55"/>
      <c r="B282" s="30" t="s">
        <v>284</v>
      </c>
      <c r="C282" s="9">
        <v>61</v>
      </c>
      <c r="D282" s="9">
        <v>0</v>
      </c>
      <c r="E282" s="9">
        <v>1</v>
      </c>
      <c r="F282" s="9">
        <v>5</v>
      </c>
      <c r="G282" s="9">
        <v>2</v>
      </c>
      <c r="H282" s="9">
        <v>12</v>
      </c>
      <c r="I282" s="9">
        <v>25</v>
      </c>
      <c r="J282" s="9">
        <v>18</v>
      </c>
      <c r="K282" s="9">
        <v>17</v>
      </c>
      <c r="L282" s="9">
        <v>15</v>
      </c>
      <c r="M282" s="9">
        <v>11</v>
      </c>
      <c r="N282" s="9">
        <v>11</v>
      </c>
      <c r="O282" s="9">
        <v>143</v>
      </c>
      <c r="P282" s="9">
        <v>8</v>
      </c>
      <c r="Q282" s="9">
        <v>22</v>
      </c>
      <c r="R282" s="9">
        <v>15</v>
      </c>
      <c r="S282" s="9">
        <v>3</v>
      </c>
      <c r="T282" s="9">
        <v>58</v>
      </c>
      <c r="U282" s="9">
        <v>1</v>
      </c>
      <c r="V282" s="9">
        <v>2</v>
      </c>
      <c r="W282" s="9">
        <v>0</v>
      </c>
      <c r="X282" s="9">
        <v>0</v>
      </c>
      <c r="Y282" s="9">
        <v>0</v>
      </c>
      <c r="Z282" s="9">
        <v>0</v>
      </c>
      <c r="AA282" s="9">
        <v>20</v>
      </c>
      <c r="AC282" s="9">
        <f t="shared" si="16"/>
        <v>450</v>
      </c>
      <c r="AD282" s="9">
        <f t="shared" si="14"/>
        <v>4786</v>
      </c>
      <c r="AE282" s="10">
        <f t="shared" si="15"/>
        <v>10.635555555555555</v>
      </c>
    </row>
    <row r="283" spans="1:31" x14ac:dyDescent="0.3">
      <c r="A283" s="55"/>
      <c r="B283" s="30" t="s">
        <v>285</v>
      </c>
      <c r="C283" s="9">
        <v>13</v>
      </c>
      <c r="D283" s="9">
        <v>14</v>
      </c>
      <c r="E283" s="9">
        <v>5</v>
      </c>
      <c r="F283" s="9">
        <v>19</v>
      </c>
      <c r="G283" s="9">
        <v>11</v>
      </c>
      <c r="H283" s="9">
        <v>33</v>
      </c>
      <c r="I283" s="9">
        <v>32</v>
      </c>
      <c r="J283" s="9">
        <v>28</v>
      </c>
      <c r="K283" s="9">
        <v>61</v>
      </c>
      <c r="L283" s="9">
        <v>46</v>
      </c>
      <c r="M283" s="9">
        <v>25</v>
      </c>
      <c r="N283" s="9">
        <v>40</v>
      </c>
      <c r="O283" s="9">
        <v>380</v>
      </c>
      <c r="P283" s="9">
        <v>52</v>
      </c>
      <c r="Q283" s="9">
        <v>96</v>
      </c>
      <c r="R283" s="9">
        <v>73</v>
      </c>
      <c r="S283" s="9">
        <v>34</v>
      </c>
      <c r="T283" s="9">
        <v>322</v>
      </c>
      <c r="U283" s="9">
        <v>11</v>
      </c>
      <c r="V283" s="9">
        <v>18</v>
      </c>
      <c r="W283" s="9">
        <v>0</v>
      </c>
      <c r="X283" s="9">
        <v>0</v>
      </c>
      <c r="Y283" s="9">
        <v>0</v>
      </c>
      <c r="Z283" s="9">
        <v>1</v>
      </c>
      <c r="AA283" s="9">
        <v>21</v>
      </c>
      <c r="AC283" s="9">
        <f t="shared" si="16"/>
        <v>1335</v>
      </c>
      <c r="AD283" s="9">
        <f t="shared" si="14"/>
        <v>17030</v>
      </c>
      <c r="AE283" s="10">
        <f t="shared" si="15"/>
        <v>12.756554307116104</v>
      </c>
    </row>
    <row r="284" spans="1:31" x14ac:dyDescent="0.3">
      <c r="A284" s="55"/>
      <c r="B284" s="30" t="s">
        <v>286</v>
      </c>
      <c r="C284" s="9">
        <v>4</v>
      </c>
      <c r="D284" s="9">
        <v>0</v>
      </c>
      <c r="E284" s="9">
        <v>2</v>
      </c>
      <c r="F284" s="9">
        <v>1</v>
      </c>
      <c r="G284" s="9">
        <v>2</v>
      </c>
      <c r="H284" s="9">
        <v>4</v>
      </c>
      <c r="I284" s="9">
        <v>7</v>
      </c>
      <c r="J284" s="9">
        <v>6</v>
      </c>
      <c r="K284" s="9">
        <v>8</v>
      </c>
      <c r="L284" s="9">
        <v>6</v>
      </c>
      <c r="M284" s="9">
        <v>7</v>
      </c>
      <c r="N284" s="9">
        <v>5</v>
      </c>
      <c r="O284" s="9">
        <v>71</v>
      </c>
      <c r="P284" s="9">
        <v>11</v>
      </c>
      <c r="Q284" s="9">
        <v>17</v>
      </c>
      <c r="R284" s="9">
        <v>12</v>
      </c>
      <c r="S284" s="9">
        <v>3</v>
      </c>
      <c r="T284" s="9">
        <v>46</v>
      </c>
      <c r="U284" s="9">
        <v>1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A284" s="9">
        <v>2</v>
      </c>
      <c r="AC284" s="9">
        <f t="shared" si="16"/>
        <v>216</v>
      </c>
      <c r="AD284" s="9">
        <f t="shared" si="14"/>
        <v>2690</v>
      </c>
      <c r="AE284" s="10">
        <f t="shared" si="15"/>
        <v>12.453703703703704</v>
      </c>
    </row>
    <row r="285" spans="1:31" x14ac:dyDescent="0.3">
      <c r="A285" s="55"/>
      <c r="B285" s="30" t="s">
        <v>287</v>
      </c>
      <c r="C285" s="9">
        <v>2</v>
      </c>
      <c r="D285" s="9">
        <v>3</v>
      </c>
      <c r="E285" s="9">
        <v>0</v>
      </c>
      <c r="F285" s="9">
        <v>6</v>
      </c>
      <c r="G285" s="9">
        <v>0</v>
      </c>
      <c r="H285" s="9">
        <v>7</v>
      </c>
      <c r="I285" s="9">
        <v>4</v>
      </c>
      <c r="J285" s="9">
        <v>7</v>
      </c>
      <c r="K285" s="9">
        <v>20</v>
      </c>
      <c r="L285" s="9">
        <v>13</v>
      </c>
      <c r="M285" s="9">
        <v>5</v>
      </c>
      <c r="N285" s="9">
        <v>12</v>
      </c>
      <c r="O285" s="9">
        <v>78</v>
      </c>
      <c r="P285" s="9">
        <v>13</v>
      </c>
      <c r="Q285" s="9">
        <v>8</v>
      </c>
      <c r="R285" s="9">
        <v>9</v>
      </c>
      <c r="S285" s="9">
        <v>2</v>
      </c>
      <c r="T285" s="9">
        <v>24</v>
      </c>
      <c r="U285" s="9">
        <v>0</v>
      </c>
      <c r="V285" s="9">
        <v>2</v>
      </c>
      <c r="W285" s="9">
        <v>0</v>
      </c>
      <c r="X285" s="9">
        <v>0</v>
      </c>
      <c r="Y285" s="9">
        <v>0</v>
      </c>
      <c r="Z285" s="9">
        <v>0</v>
      </c>
      <c r="AA285" s="9">
        <v>4</v>
      </c>
      <c r="AC285" s="9">
        <f t="shared" si="16"/>
        <v>219</v>
      </c>
      <c r="AD285" s="9">
        <f t="shared" si="14"/>
        <v>2514</v>
      </c>
      <c r="AE285" s="10">
        <f t="shared" si="15"/>
        <v>11.479452054794521</v>
      </c>
    </row>
    <row r="286" spans="1:31" x14ac:dyDescent="0.3">
      <c r="A286" s="55"/>
      <c r="B286" s="30" t="s">
        <v>288</v>
      </c>
      <c r="C286" s="9">
        <v>0</v>
      </c>
      <c r="D286" s="9">
        <v>3</v>
      </c>
      <c r="E286" s="9">
        <v>2</v>
      </c>
      <c r="F286" s="9">
        <v>3</v>
      </c>
      <c r="G286" s="9">
        <v>3</v>
      </c>
      <c r="H286" s="9">
        <v>1</v>
      </c>
      <c r="I286" s="9">
        <v>6</v>
      </c>
      <c r="J286" s="9">
        <v>5</v>
      </c>
      <c r="K286" s="9">
        <v>4</v>
      </c>
      <c r="L286" s="9">
        <v>4</v>
      </c>
      <c r="M286" s="9">
        <v>5</v>
      </c>
      <c r="N286" s="9">
        <v>1</v>
      </c>
      <c r="O286" s="9">
        <v>24</v>
      </c>
      <c r="P286" s="9">
        <v>7</v>
      </c>
      <c r="Q286" s="9">
        <v>10</v>
      </c>
      <c r="R286" s="9">
        <v>1</v>
      </c>
      <c r="S286" s="9">
        <v>0</v>
      </c>
      <c r="T286" s="9">
        <v>21</v>
      </c>
      <c r="U286" s="9">
        <v>0</v>
      </c>
      <c r="V286" s="9">
        <v>2</v>
      </c>
      <c r="W286" s="9">
        <v>0</v>
      </c>
      <c r="X286" s="9">
        <v>0</v>
      </c>
      <c r="Y286" s="9">
        <v>0</v>
      </c>
      <c r="Z286" s="9">
        <v>0</v>
      </c>
      <c r="AA286" s="9">
        <v>3</v>
      </c>
      <c r="AC286" s="9">
        <f t="shared" si="16"/>
        <v>105</v>
      </c>
      <c r="AD286" s="9">
        <f t="shared" si="14"/>
        <v>1234</v>
      </c>
      <c r="AE286" s="10">
        <f t="shared" si="15"/>
        <v>11.752380952380953</v>
      </c>
    </row>
    <row r="287" spans="1:31" x14ac:dyDescent="0.3">
      <c r="A287" s="55"/>
      <c r="B287" s="30" t="s">
        <v>289</v>
      </c>
      <c r="C287" s="9">
        <v>4</v>
      </c>
      <c r="D287" s="9">
        <v>0</v>
      </c>
      <c r="E287" s="9">
        <v>1</v>
      </c>
      <c r="F287" s="9">
        <v>1</v>
      </c>
      <c r="G287" s="9">
        <v>0</v>
      </c>
      <c r="H287" s="9">
        <v>6</v>
      </c>
      <c r="I287" s="9">
        <v>5</v>
      </c>
      <c r="J287" s="9">
        <v>10</v>
      </c>
      <c r="K287" s="9">
        <v>7</v>
      </c>
      <c r="L287" s="9">
        <v>4</v>
      </c>
      <c r="M287" s="9">
        <v>5</v>
      </c>
      <c r="N287" s="9">
        <v>4</v>
      </c>
      <c r="O287" s="9">
        <v>42</v>
      </c>
      <c r="P287" s="9">
        <v>2</v>
      </c>
      <c r="Q287" s="9">
        <v>16</v>
      </c>
      <c r="R287" s="9">
        <v>8</v>
      </c>
      <c r="S287" s="9">
        <v>2</v>
      </c>
      <c r="T287" s="9">
        <v>34</v>
      </c>
      <c r="U287" s="9">
        <v>1</v>
      </c>
      <c r="V287" s="9">
        <v>2</v>
      </c>
      <c r="W287" s="9">
        <v>0</v>
      </c>
      <c r="X287" s="9">
        <v>0</v>
      </c>
      <c r="Y287" s="9">
        <v>0</v>
      </c>
      <c r="Z287" s="9">
        <v>0</v>
      </c>
      <c r="AA287" s="9">
        <v>6</v>
      </c>
      <c r="AC287" s="9">
        <f t="shared" si="16"/>
        <v>160</v>
      </c>
      <c r="AD287" s="9">
        <f t="shared" si="14"/>
        <v>2005</v>
      </c>
      <c r="AE287" s="10">
        <f t="shared" si="15"/>
        <v>12.53125</v>
      </c>
    </row>
    <row r="288" spans="1:31" x14ac:dyDescent="0.3">
      <c r="A288" s="55"/>
      <c r="B288" s="30" t="s">
        <v>290</v>
      </c>
      <c r="C288" s="9">
        <v>11</v>
      </c>
      <c r="D288" s="9">
        <v>9</v>
      </c>
      <c r="E288" s="9">
        <v>13</v>
      </c>
      <c r="F288" s="9">
        <v>21</v>
      </c>
      <c r="G288" s="9">
        <v>19</v>
      </c>
      <c r="H288" s="9">
        <v>28</v>
      </c>
      <c r="I288" s="9">
        <v>42</v>
      </c>
      <c r="J288" s="9">
        <v>25</v>
      </c>
      <c r="K288" s="9">
        <v>34</v>
      </c>
      <c r="L288" s="9">
        <v>28</v>
      </c>
      <c r="M288" s="9">
        <v>30</v>
      </c>
      <c r="N288" s="9">
        <v>18</v>
      </c>
      <c r="O288" s="9">
        <v>289</v>
      </c>
      <c r="P288" s="9">
        <v>38</v>
      </c>
      <c r="Q288" s="9">
        <v>56</v>
      </c>
      <c r="R288" s="9">
        <v>63</v>
      </c>
      <c r="S288" s="9">
        <v>10</v>
      </c>
      <c r="T288" s="9">
        <v>168</v>
      </c>
      <c r="U288" s="9">
        <v>4</v>
      </c>
      <c r="V288" s="9">
        <v>4</v>
      </c>
      <c r="W288" s="9">
        <v>0</v>
      </c>
      <c r="X288" s="9">
        <v>0</v>
      </c>
      <c r="Y288" s="9">
        <v>0</v>
      </c>
      <c r="Z288" s="9">
        <v>2</v>
      </c>
      <c r="AA288" s="9">
        <v>27</v>
      </c>
      <c r="AC288" s="9">
        <f t="shared" si="16"/>
        <v>939</v>
      </c>
      <c r="AD288" s="9">
        <f t="shared" si="14"/>
        <v>11312</v>
      </c>
      <c r="AE288" s="10">
        <f t="shared" si="15"/>
        <v>12.046858359957401</v>
      </c>
    </row>
    <row r="289" spans="1:31" x14ac:dyDescent="0.3">
      <c r="A289" s="55"/>
      <c r="B289" s="30" t="s">
        <v>291</v>
      </c>
      <c r="C289" s="9">
        <v>19</v>
      </c>
      <c r="D289" s="9">
        <v>8</v>
      </c>
      <c r="E289" s="9">
        <v>13</v>
      </c>
      <c r="F289" s="9">
        <v>30</v>
      </c>
      <c r="G289" s="9">
        <v>30</v>
      </c>
      <c r="H289" s="9">
        <v>64</v>
      </c>
      <c r="I289" s="9">
        <v>47</v>
      </c>
      <c r="J289" s="9">
        <v>38</v>
      </c>
      <c r="K289" s="9">
        <v>53</v>
      </c>
      <c r="L289" s="9">
        <v>20</v>
      </c>
      <c r="M289" s="9">
        <v>17</v>
      </c>
      <c r="N289" s="9">
        <v>21</v>
      </c>
      <c r="O289" s="9">
        <v>194</v>
      </c>
      <c r="P289" s="9">
        <v>19</v>
      </c>
      <c r="Q289" s="9">
        <v>45</v>
      </c>
      <c r="R289" s="9">
        <v>26</v>
      </c>
      <c r="S289" s="9">
        <v>6</v>
      </c>
      <c r="T289" s="9">
        <v>115</v>
      </c>
      <c r="U289" s="9">
        <v>0</v>
      </c>
      <c r="V289" s="9">
        <v>3</v>
      </c>
      <c r="W289" s="9">
        <v>0</v>
      </c>
      <c r="X289" s="9">
        <v>0</v>
      </c>
      <c r="Y289" s="9">
        <v>0</v>
      </c>
      <c r="Z289" s="9">
        <v>0</v>
      </c>
      <c r="AA289" s="9">
        <v>15</v>
      </c>
      <c r="AC289" s="9">
        <f t="shared" si="16"/>
        <v>783</v>
      </c>
      <c r="AD289" s="9">
        <f t="shared" si="14"/>
        <v>8180</v>
      </c>
      <c r="AE289" s="10">
        <f t="shared" si="15"/>
        <v>10.446998722860792</v>
      </c>
    </row>
    <row r="290" spans="1:31" x14ac:dyDescent="0.3">
      <c r="A290" s="55"/>
      <c r="B290" s="30" t="s">
        <v>292</v>
      </c>
      <c r="C290" s="9">
        <v>14</v>
      </c>
      <c r="D290" s="9">
        <v>16</v>
      </c>
      <c r="E290" s="9">
        <v>10</v>
      </c>
      <c r="F290" s="9">
        <v>33</v>
      </c>
      <c r="G290" s="9">
        <v>38</v>
      </c>
      <c r="H290" s="9">
        <v>63</v>
      </c>
      <c r="I290" s="9">
        <v>70</v>
      </c>
      <c r="J290" s="9">
        <v>45</v>
      </c>
      <c r="K290" s="9">
        <v>61</v>
      </c>
      <c r="L290" s="9">
        <v>38</v>
      </c>
      <c r="M290" s="9">
        <v>22</v>
      </c>
      <c r="N290" s="9">
        <v>29</v>
      </c>
      <c r="O290" s="9">
        <v>275</v>
      </c>
      <c r="P290" s="9">
        <v>43</v>
      </c>
      <c r="Q290" s="9">
        <v>57</v>
      </c>
      <c r="R290" s="9">
        <v>74</v>
      </c>
      <c r="S290" s="9">
        <v>13</v>
      </c>
      <c r="T290" s="9">
        <v>157</v>
      </c>
      <c r="U290" s="9">
        <v>6</v>
      </c>
      <c r="V290" s="9">
        <v>11</v>
      </c>
      <c r="W290" s="9">
        <v>0</v>
      </c>
      <c r="X290" s="9">
        <v>0</v>
      </c>
      <c r="Y290" s="9">
        <v>0</v>
      </c>
      <c r="Z290" s="9">
        <v>0</v>
      </c>
      <c r="AA290" s="9">
        <v>25</v>
      </c>
      <c r="AC290" s="9">
        <f t="shared" si="16"/>
        <v>1100</v>
      </c>
      <c r="AD290" s="9">
        <f t="shared" si="14"/>
        <v>12267</v>
      </c>
      <c r="AE290" s="10">
        <f t="shared" si="15"/>
        <v>11.151818181818182</v>
      </c>
    </row>
    <row r="291" spans="1:31" x14ac:dyDescent="0.3">
      <c r="A291" s="55"/>
      <c r="B291" s="30" t="s">
        <v>293</v>
      </c>
      <c r="C291" s="9">
        <v>3</v>
      </c>
      <c r="D291" s="9">
        <v>1</v>
      </c>
      <c r="E291" s="9">
        <v>0</v>
      </c>
      <c r="F291" s="9">
        <v>2</v>
      </c>
      <c r="G291" s="9">
        <v>2</v>
      </c>
      <c r="H291" s="9">
        <v>7</v>
      </c>
      <c r="I291" s="9">
        <v>14</v>
      </c>
      <c r="J291" s="9">
        <v>6</v>
      </c>
      <c r="K291" s="9">
        <v>13</v>
      </c>
      <c r="L291" s="9">
        <v>8</v>
      </c>
      <c r="M291" s="9">
        <v>25</v>
      </c>
      <c r="N291" s="9">
        <v>11</v>
      </c>
      <c r="O291" s="9">
        <v>130</v>
      </c>
      <c r="P291" s="9">
        <v>8</v>
      </c>
      <c r="Q291" s="9">
        <v>23</v>
      </c>
      <c r="R291" s="9">
        <v>21</v>
      </c>
      <c r="S291" s="9">
        <v>5</v>
      </c>
      <c r="T291" s="9">
        <v>52</v>
      </c>
      <c r="U291" s="9">
        <v>0</v>
      </c>
      <c r="V291" s="9">
        <v>2</v>
      </c>
      <c r="W291" s="9">
        <v>0</v>
      </c>
      <c r="X291" s="9">
        <v>0</v>
      </c>
      <c r="Y291" s="9">
        <v>0</v>
      </c>
      <c r="Z291" s="9">
        <v>0</v>
      </c>
      <c r="AA291" s="9">
        <v>1</v>
      </c>
      <c r="AC291" s="9">
        <f t="shared" si="16"/>
        <v>334</v>
      </c>
      <c r="AD291" s="9">
        <f t="shared" si="14"/>
        <v>4050</v>
      </c>
      <c r="AE291" s="10">
        <f t="shared" si="15"/>
        <v>12.125748502994012</v>
      </c>
    </row>
    <row r="292" spans="1:31" x14ac:dyDescent="0.3">
      <c r="A292" s="55"/>
      <c r="B292" s="30" t="s">
        <v>294</v>
      </c>
      <c r="C292" s="9">
        <v>129</v>
      </c>
      <c r="D292" s="9">
        <v>47</v>
      </c>
      <c r="E292" s="9">
        <v>90</v>
      </c>
      <c r="F292" s="9">
        <v>119</v>
      </c>
      <c r="G292" s="9">
        <v>141</v>
      </c>
      <c r="H292" s="9">
        <v>283</v>
      </c>
      <c r="I292" s="9">
        <v>300</v>
      </c>
      <c r="J292" s="9">
        <v>323</v>
      </c>
      <c r="K292" s="9">
        <v>483</v>
      </c>
      <c r="L292" s="9">
        <v>401</v>
      </c>
      <c r="M292" s="9">
        <v>326</v>
      </c>
      <c r="N292" s="9">
        <v>321</v>
      </c>
      <c r="O292" s="9">
        <v>3725</v>
      </c>
      <c r="P292" s="9">
        <v>516</v>
      </c>
      <c r="Q292" s="9">
        <v>981</v>
      </c>
      <c r="R292" s="9">
        <v>898</v>
      </c>
      <c r="S292" s="9">
        <v>259</v>
      </c>
      <c r="T292" s="9">
        <v>2617</v>
      </c>
      <c r="U292" s="9">
        <v>71</v>
      </c>
      <c r="V292" s="9">
        <v>143</v>
      </c>
      <c r="W292" s="9">
        <v>12</v>
      </c>
      <c r="X292" s="9">
        <v>1</v>
      </c>
      <c r="Y292" s="9">
        <v>2</v>
      </c>
      <c r="Z292" s="9">
        <v>16</v>
      </c>
      <c r="AA292" s="9">
        <v>278</v>
      </c>
      <c r="AC292" s="9">
        <f t="shared" si="16"/>
        <v>12482</v>
      </c>
      <c r="AD292" s="9">
        <f t="shared" si="14"/>
        <v>159473</v>
      </c>
      <c r="AE292" s="10">
        <f t="shared" si="15"/>
        <v>12.776237782406666</v>
      </c>
    </row>
    <row r="293" spans="1:31" x14ac:dyDescent="0.3">
      <c r="A293" s="55"/>
      <c r="B293" s="30" t="s">
        <v>295</v>
      </c>
      <c r="C293" s="9">
        <v>34</v>
      </c>
      <c r="D293" s="9">
        <v>14</v>
      </c>
      <c r="E293" s="9">
        <v>22</v>
      </c>
      <c r="F293" s="9">
        <v>34</v>
      </c>
      <c r="G293" s="9">
        <v>25</v>
      </c>
      <c r="H293" s="9">
        <v>54</v>
      </c>
      <c r="I293" s="9">
        <v>83</v>
      </c>
      <c r="J293" s="9">
        <v>65</v>
      </c>
      <c r="K293" s="9">
        <v>109</v>
      </c>
      <c r="L293" s="9">
        <v>68</v>
      </c>
      <c r="M293" s="9">
        <v>40</v>
      </c>
      <c r="N293" s="9">
        <v>48</v>
      </c>
      <c r="O293" s="9">
        <v>457</v>
      </c>
      <c r="P293" s="9">
        <v>61</v>
      </c>
      <c r="Q293" s="9">
        <v>83</v>
      </c>
      <c r="R293" s="9">
        <v>63</v>
      </c>
      <c r="S293" s="9">
        <v>13</v>
      </c>
      <c r="T293" s="9">
        <v>127</v>
      </c>
      <c r="U293" s="9">
        <v>0</v>
      </c>
      <c r="V293" s="9">
        <v>2</v>
      </c>
      <c r="W293" s="9">
        <v>0</v>
      </c>
      <c r="X293" s="9">
        <v>0</v>
      </c>
      <c r="Y293" s="9">
        <v>1</v>
      </c>
      <c r="Z293" s="9">
        <v>2</v>
      </c>
      <c r="AA293" s="9">
        <v>37</v>
      </c>
      <c r="AC293" s="9">
        <f t="shared" si="16"/>
        <v>1442</v>
      </c>
      <c r="AD293" s="9">
        <f t="shared" si="14"/>
        <v>15640</v>
      </c>
      <c r="AE293" s="10">
        <f t="shared" si="15"/>
        <v>10.846047156726769</v>
      </c>
    </row>
    <row r="294" spans="1:31" x14ac:dyDescent="0.3">
      <c r="A294" s="55"/>
      <c r="B294" s="30" t="s">
        <v>296</v>
      </c>
      <c r="C294" s="9">
        <v>37</v>
      </c>
      <c r="D294" s="9">
        <v>8</v>
      </c>
      <c r="E294" s="9">
        <v>16</v>
      </c>
      <c r="F294" s="9">
        <v>32</v>
      </c>
      <c r="G294" s="9">
        <v>36</v>
      </c>
      <c r="H294" s="9">
        <v>77</v>
      </c>
      <c r="I294" s="9">
        <v>96</v>
      </c>
      <c r="J294" s="9">
        <v>69</v>
      </c>
      <c r="K294" s="9">
        <v>98</v>
      </c>
      <c r="L294" s="9">
        <v>115</v>
      </c>
      <c r="M294" s="9">
        <v>77</v>
      </c>
      <c r="N294" s="9">
        <v>65</v>
      </c>
      <c r="O294" s="9">
        <v>670</v>
      </c>
      <c r="P294" s="9">
        <v>52</v>
      </c>
      <c r="Q294" s="9">
        <v>115</v>
      </c>
      <c r="R294" s="9">
        <v>120</v>
      </c>
      <c r="S294" s="9">
        <v>21</v>
      </c>
      <c r="T294" s="9">
        <v>242</v>
      </c>
      <c r="U294" s="9">
        <v>2</v>
      </c>
      <c r="V294" s="9">
        <v>10</v>
      </c>
      <c r="W294" s="9">
        <v>1</v>
      </c>
      <c r="X294" s="9">
        <v>0</v>
      </c>
      <c r="Y294" s="9">
        <v>0</v>
      </c>
      <c r="Z294" s="9">
        <v>0</v>
      </c>
      <c r="AA294" s="9">
        <v>32</v>
      </c>
      <c r="AC294" s="9">
        <f t="shared" si="16"/>
        <v>1991</v>
      </c>
      <c r="AD294" s="9">
        <f t="shared" si="14"/>
        <v>22618</v>
      </c>
      <c r="AE294" s="10">
        <f t="shared" si="15"/>
        <v>11.360120542440985</v>
      </c>
    </row>
    <row r="295" spans="1:31" x14ac:dyDescent="0.3">
      <c r="A295" s="55"/>
      <c r="B295" s="30" t="s">
        <v>297</v>
      </c>
      <c r="C295" s="9">
        <v>21</v>
      </c>
      <c r="D295" s="9">
        <v>8</v>
      </c>
      <c r="E295" s="9">
        <v>16</v>
      </c>
      <c r="F295" s="9">
        <v>23</v>
      </c>
      <c r="G295" s="9">
        <v>29</v>
      </c>
      <c r="H295" s="9">
        <v>62</v>
      </c>
      <c r="I295" s="9">
        <v>64</v>
      </c>
      <c r="J295" s="9">
        <v>53</v>
      </c>
      <c r="K295" s="9">
        <v>71</v>
      </c>
      <c r="L295" s="9">
        <v>33</v>
      </c>
      <c r="M295" s="9">
        <v>30</v>
      </c>
      <c r="N295" s="9">
        <v>40</v>
      </c>
      <c r="O295" s="9">
        <v>363</v>
      </c>
      <c r="P295" s="9">
        <v>31</v>
      </c>
      <c r="Q295" s="9">
        <v>90</v>
      </c>
      <c r="R295" s="9">
        <v>74</v>
      </c>
      <c r="S295" s="9">
        <v>10</v>
      </c>
      <c r="T295" s="9">
        <v>179</v>
      </c>
      <c r="U295" s="9">
        <v>3</v>
      </c>
      <c r="V295" s="9">
        <v>8</v>
      </c>
      <c r="W295" s="9">
        <v>0</v>
      </c>
      <c r="X295" s="9">
        <v>0</v>
      </c>
      <c r="Y295" s="9">
        <v>0</v>
      </c>
      <c r="Z295" s="9">
        <v>0</v>
      </c>
      <c r="AA295" s="9">
        <v>16</v>
      </c>
      <c r="AC295" s="9">
        <f t="shared" si="16"/>
        <v>1224</v>
      </c>
      <c r="AD295" s="9">
        <f t="shared" si="14"/>
        <v>13817</v>
      </c>
      <c r="AE295" s="10">
        <f t="shared" si="15"/>
        <v>11.288398692810457</v>
      </c>
    </row>
    <row r="296" spans="1:31" x14ac:dyDescent="0.3">
      <c r="A296" s="55"/>
      <c r="B296" s="30" t="s">
        <v>298</v>
      </c>
      <c r="C296" s="9">
        <v>13</v>
      </c>
      <c r="D296" s="9">
        <v>7</v>
      </c>
      <c r="E296" s="9">
        <v>8</v>
      </c>
      <c r="F296" s="9">
        <v>14</v>
      </c>
      <c r="G296" s="9">
        <v>23</v>
      </c>
      <c r="H296" s="9">
        <v>33</v>
      </c>
      <c r="I296" s="9">
        <v>48</v>
      </c>
      <c r="J296" s="9">
        <v>41</v>
      </c>
      <c r="K296" s="9">
        <v>66</v>
      </c>
      <c r="L296" s="9">
        <v>35</v>
      </c>
      <c r="M296" s="9">
        <v>27</v>
      </c>
      <c r="N296" s="9">
        <v>31</v>
      </c>
      <c r="O296" s="9">
        <v>464</v>
      </c>
      <c r="P296" s="9">
        <v>49</v>
      </c>
      <c r="Q296" s="9">
        <v>85</v>
      </c>
      <c r="R296" s="9">
        <v>119</v>
      </c>
      <c r="S296" s="9">
        <v>13</v>
      </c>
      <c r="T296" s="9">
        <v>218</v>
      </c>
      <c r="U296" s="9">
        <v>6</v>
      </c>
      <c r="V296" s="9">
        <v>9</v>
      </c>
      <c r="W296" s="9">
        <v>0</v>
      </c>
      <c r="X296" s="9">
        <v>0</v>
      </c>
      <c r="Y296" s="9">
        <v>0</v>
      </c>
      <c r="Z296" s="9">
        <v>0</v>
      </c>
      <c r="AA296" s="9">
        <v>19</v>
      </c>
      <c r="AC296" s="9">
        <f t="shared" si="16"/>
        <v>1328</v>
      </c>
      <c r="AD296" s="9">
        <f t="shared" si="14"/>
        <v>16180</v>
      </c>
      <c r="AE296" s="10">
        <f t="shared" si="15"/>
        <v>12.183734939759036</v>
      </c>
    </row>
    <row r="297" spans="1:31" x14ac:dyDescent="0.3">
      <c r="A297" s="55"/>
      <c r="B297" s="30" t="s">
        <v>299</v>
      </c>
      <c r="C297" s="9">
        <v>34</v>
      </c>
      <c r="D297" s="9">
        <v>25</v>
      </c>
      <c r="E297" s="9">
        <v>28</v>
      </c>
      <c r="F297" s="9">
        <v>55</v>
      </c>
      <c r="G297" s="9">
        <v>46</v>
      </c>
      <c r="H297" s="9">
        <v>125</v>
      </c>
      <c r="I297" s="9">
        <v>132</v>
      </c>
      <c r="J297" s="9">
        <v>173</v>
      </c>
      <c r="K297" s="9">
        <v>203</v>
      </c>
      <c r="L297" s="9">
        <v>99</v>
      </c>
      <c r="M297" s="9">
        <v>88</v>
      </c>
      <c r="N297" s="9">
        <v>84</v>
      </c>
      <c r="O297" s="9">
        <v>838</v>
      </c>
      <c r="P297" s="9">
        <v>72</v>
      </c>
      <c r="Q297" s="9">
        <v>150</v>
      </c>
      <c r="R297" s="9">
        <v>73</v>
      </c>
      <c r="S297" s="9">
        <v>21</v>
      </c>
      <c r="T297" s="9">
        <v>258</v>
      </c>
      <c r="U297" s="9">
        <v>8</v>
      </c>
      <c r="V297" s="9">
        <v>9</v>
      </c>
      <c r="W297" s="9">
        <v>0</v>
      </c>
      <c r="X297" s="9">
        <v>0</v>
      </c>
      <c r="Y297" s="9">
        <v>0</v>
      </c>
      <c r="Z297" s="9">
        <v>2</v>
      </c>
      <c r="AA297" s="9">
        <v>58</v>
      </c>
      <c r="AC297" s="9">
        <f t="shared" si="16"/>
        <v>2581</v>
      </c>
      <c r="AD297" s="9">
        <f t="shared" si="14"/>
        <v>28039</v>
      </c>
      <c r="AE297" s="10">
        <f t="shared" si="15"/>
        <v>10.863618752421543</v>
      </c>
    </row>
    <row r="298" spans="1:31" x14ac:dyDescent="0.3">
      <c r="A298" s="55"/>
      <c r="B298" s="30" t="s">
        <v>300</v>
      </c>
      <c r="C298" s="9">
        <v>23</v>
      </c>
      <c r="D298" s="9">
        <v>10</v>
      </c>
      <c r="E298" s="9">
        <v>10</v>
      </c>
      <c r="F298" s="9">
        <v>27</v>
      </c>
      <c r="G298" s="9">
        <v>20</v>
      </c>
      <c r="H298" s="9">
        <v>37</v>
      </c>
      <c r="I298" s="9">
        <v>58</v>
      </c>
      <c r="J298" s="9">
        <v>71</v>
      </c>
      <c r="K298" s="9">
        <v>91</v>
      </c>
      <c r="L298" s="9">
        <v>52</v>
      </c>
      <c r="M298" s="9">
        <v>58</v>
      </c>
      <c r="N298" s="9">
        <v>59</v>
      </c>
      <c r="O298" s="9">
        <v>438</v>
      </c>
      <c r="P298" s="9">
        <v>31</v>
      </c>
      <c r="Q298" s="9">
        <v>70</v>
      </c>
      <c r="R298" s="9">
        <v>46</v>
      </c>
      <c r="S298" s="9">
        <v>6</v>
      </c>
      <c r="T298" s="9">
        <v>122</v>
      </c>
      <c r="U298" s="9">
        <v>2</v>
      </c>
      <c r="V298" s="9">
        <v>2</v>
      </c>
      <c r="W298" s="9">
        <v>2</v>
      </c>
      <c r="X298" s="9">
        <v>0</v>
      </c>
      <c r="Y298" s="9">
        <v>0</v>
      </c>
      <c r="Z298" s="9">
        <v>1</v>
      </c>
      <c r="AA298" s="9">
        <v>83</v>
      </c>
      <c r="AC298" s="9">
        <f t="shared" si="16"/>
        <v>1319</v>
      </c>
      <c r="AD298" s="9">
        <f t="shared" si="14"/>
        <v>15274</v>
      </c>
      <c r="AE298" s="10">
        <f t="shared" si="15"/>
        <v>11.579984836997726</v>
      </c>
    </row>
    <row r="299" spans="1:31" x14ac:dyDescent="0.3">
      <c r="A299" s="55"/>
      <c r="B299" s="30" t="s">
        <v>301</v>
      </c>
      <c r="C299" s="9">
        <v>9</v>
      </c>
      <c r="D299" s="9">
        <v>2</v>
      </c>
      <c r="E299" s="9">
        <v>3</v>
      </c>
      <c r="F299" s="9">
        <v>20</v>
      </c>
      <c r="G299" s="9">
        <v>26</v>
      </c>
      <c r="H299" s="9">
        <v>17</v>
      </c>
      <c r="I299" s="9">
        <v>29</v>
      </c>
      <c r="J299" s="9">
        <v>38</v>
      </c>
      <c r="K299" s="9">
        <v>53</v>
      </c>
      <c r="L299" s="9">
        <v>30</v>
      </c>
      <c r="M299" s="9">
        <v>23</v>
      </c>
      <c r="N299" s="9">
        <v>24</v>
      </c>
      <c r="O299" s="9">
        <v>259</v>
      </c>
      <c r="P299" s="9">
        <v>33</v>
      </c>
      <c r="Q299" s="9">
        <v>49</v>
      </c>
      <c r="R299" s="9">
        <v>28</v>
      </c>
      <c r="S299" s="9">
        <v>10</v>
      </c>
      <c r="T299" s="9">
        <v>77</v>
      </c>
      <c r="U299" s="9">
        <v>1</v>
      </c>
      <c r="V299" s="9">
        <v>2</v>
      </c>
      <c r="W299" s="9">
        <v>1</v>
      </c>
      <c r="X299" s="9">
        <v>0</v>
      </c>
      <c r="Y299" s="9">
        <v>0</v>
      </c>
      <c r="Z299" s="9">
        <v>0</v>
      </c>
      <c r="AA299" s="9">
        <v>49</v>
      </c>
      <c r="AC299" s="9">
        <f t="shared" si="16"/>
        <v>783</v>
      </c>
      <c r="AD299" s="9">
        <f t="shared" si="14"/>
        <v>9249</v>
      </c>
      <c r="AE299" s="10">
        <f t="shared" si="15"/>
        <v>11.812260536398467</v>
      </c>
    </row>
    <row r="300" spans="1:31" x14ac:dyDescent="0.3">
      <c r="A300" s="55"/>
      <c r="B300" s="30" t="s">
        <v>302</v>
      </c>
      <c r="C300" s="9">
        <v>52</v>
      </c>
      <c r="D300" s="9">
        <v>34</v>
      </c>
      <c r="E300" s="9">
        <v>37</v>
      </c>
      <c r="F300" s="9">
        <v>75</v>
      </c>
      <c r="G300" s="9">
        <v>74</v>
      </c>
      <c r="H300" s="9">
        <v>212</v>
      </c>
      <c r="I300" s="9">
        <v>187</v>
      </c>
      <c r="J300" s="9">
        <v>221</v>
      </c>
      <c r="K300" s="9">
        <v>240</v>
      </c>
      <c r="L300" s="9">
        <v>137</v>
      </c>
      <c r="M300" s="9">
        <v>112</v>
      </c>
      <c r="N300" s="9">
        <v>102</v>
      </c>
      <c r="O300" s="9">
        <v>1219</v>
      </c>
      <c r="P300" s="9">
        <v>166</v>
      </c>
      <c r="Q300" s="9">
        <v>197</v>
      </c>
      <c r="R300" s="9">
        <v>184</v>
      </c>
      <c r="S300" s="9">
        <v>76</v>
      </c>
      <c r="T300" s="9">
        <v>761</v>
      </c>
      <c r="U300" s="9">
        <v>19</v>
      </c>
      <c r="V300" s="9">
        <v>22</v>
      </c>
      <c r="W300" s="9">
        <v>0</v>
      </c>
      <c r="X300" s="9">
        <v>0</v>
      </c>
      <c r="Y300" s="9">
        <v>0</v>
      </c>
      <c r="Z300" s="9">
        <v>2</v>
      </c>
      <c r="AA300" s="9">
        <v>69</v>
      </c>
      <c r="AC300" s="9">
        <f t="shared" si="16"/>
        <v>4198</v>
      </c>
      <c r="AD300" s="9">
        <f t="shared" si="14"/>
        <v>48672</v>
      </c>
      <c r="AE300" s="10">
        <f t="shared" si="15"/>
        <v>11.594092424964268</v>
      </c>
    </row>
    <row r="301" spans="1:31" x14ac:dyDescent="0.3">
      <c r="A301" s="55"/>
      <c r="B301" s="30" t="s">
        <v>303</v>
      </c>
      <c r="C301" s="9">
        <v>0</v>
      </c>
      <c r="D301" s="9">
        <v>1</v>
      </c>
      <c r="E301" s="9">
        <v>3</v>
      </c>
      <c r="F301" s="9">
        <v>3</v>
      </c>
      <c r="G301" s="9">
        <v>2</v>
      </c>
      <c r="H301" s="9">
        <v>14</v>
      </c>
      <c r="I301" s="9">
        <v>20</v>
      </c>
      <c r="J301" s="9">
        <v>20</v>
      </c>
      <c r="K301" s="9">
        <v>47</v>
      </c>
      <c r="L301" s="9">
        <v>22</v>
      </c>
      <c r="M301" s="9">
        <v>28</v>
      </c>
      <c r="N301" s="9">
        <v>19</v>
      </c>
      <c r="O301" s="9">
        <v>153</v>
      </c>
      <c r="P301" s="9">
        <v>5</v>
      </c>
      <c r="Q301" s="9">
        <v>31</v>
      </c>
      <c r="R301" s="9">
        <v>17</v>
      </c>
      <c r="S301" s="9">
        <v>3</v>
      </c>
      <c r="T301" s="9">
        <v>46</v>
      </c>
      <c r="U301" s="9">
        <v>0</v>
      </c>
      <c r="V301" s="9">
        <v>3</v>
      </c>
      <c r="W301" s="9">
        <v>0</v>
      </c>
      <c r="X301" s="9">
        <v>0</v>
      </c>
      <c r="Y301" s="9">
        <v>0</v>
      </c>
      <c r="Z301" s="9">
        <v>0</v>
      </c>
      <c r="AA301" s="9">
        <v>18</v>
      </c>
      <c r="AC301" s="9">
        <f t="shared" si="16"/>
        <v>455</v>
      </c>
      <c r="AD301" s="9">
        <f t="shared" si="14"/>
        <v>5326</v>
      </c>
      <c r="AE301" s="10">
        <f t="shared" si="15"/>
        <v>11.705494505494505</v>
      </c>
    </row>
    <row r="302" spans="1:31" x14ac:dyDescent="0.3">
      <c r="A302" s="55"/>
      <c r="B302" s="30" t="s">
        <v>304</v>
      </c>
      <c r="C302" s="9">
        <v>53</v>
      </c>
      <c r="D302" s="9">
        <v>37</v>
      </c>
      <c r="E302" s="9">
        <v>26</v>
      </c>
      <c r="F302" s="9">
        <v>52</v>
      </c>
      <c r="G302" s="9">
        <v>75</v>
      </c>
      <c r="H302" s="9">
        <v>200</v>
      </c>
      <c r="I302" s="9">
        <v>156</v>
      </c>
      <c r="J302" s="9">
        <v>100</v>
      </c>
      <c r="K302" s="9">
        <v>152</v>
      </c>
      <c r="L302" s="9">
        <v>63</v>
      </c>
      <c r="M302" s="9">
        <v>54</v>
      </c>
      <c r="N302" s="9">
        <v>60</v>
      </c>
      <c r="O302" s="9">
        <v>663</v>
      </c>
      <c r="P302" s="9">
        <v>78</v>
      </c>
      <c r="Q302" s="9">
        <v>122</v>
      </c>
      <c r="R302" s="9">
        <v>73</v>
      </c>
      <c r="S302" s="9">
        <v>31</v>
      </c>
      <c r="T302" s="9">
        <v>303</v>
      </c>
      <c r="U302" s="9">
        <v>6</v>
      </c>
      <c r="V302" s="9">
        <v>8</v>
      </c>
      <c r="W302" s="9">
        <v>0</v>
      </c>
      <c r="X302" s="9">
        <v>0</v>
      </c>
      <c r="Y302" s="9">
        <v>0</v>
      </c>
      <c r="Z302" s="9">
        <v>1</v>
      </c>
      <c r="AA302" s="9">
        <v>40</v>
      </c>
      <c r="AC302" s="9">
        <f t="shared" si="16"/>
        <v>2353</v>
      </c>
      <c r="AD302" s="9">
        <f t="shared" si="14"/>
        <v>24827</v>
      </c>
      <c r="AE302" s="10">
        <f t="shared" si="15"/>
        <v>10.551211219719507</v>
      </c>
    </row>
    <row r="303" spans="1:31" x14ac:dyDescent="0.3">
      <c r="A303" s="55"/>
      <c r="B303" s="30" t="s">
        <v>305</v>
      </c>
      <c r="C303" s="9">
        <v>17</v>
      </c>
      <c r="D303" s="9">
        <v>6</v>
      </c>
      <c r="E303" s="9">
        <v>5</v>
      </c>
      <c r="F303" s="9">
        <v>12</v>
      </c>
      <c r="G303" s="9">
        <v>21</v>
      </c>
      <c r="H303" s="9">
        <v>49</v>
      </c>
      <c r="I303" s="9">
        <v>103</v>
      </c>
      <c r="J303" s="9">
        <v>85</v>
      </c>
      <c r="K303" s="9">
        <v>162</v>
      </c>
      <c r="L303" s="9">
        <v>64</v>
      </c>
      <c r="M303" s="9">
        <v>42</v>
      </c>
      <c r="N303" s="9">
        <v>39</v>
      </c>
      <c r="O303" s="9">
        <v>428</v>
      </c>
      <c r="P303" s="9">
        <v>16</v>
      </c>
      <c r="Q303" s="9">
        <v>41</v>
      </c>
      <c r="R303" s="9">
        <v>44</v>
      </c>
      <c r="S303" s="9">
        <v>6</v>
      </c>
      <c r="T303" s="9">
        <v>117</v>
      </c>
      <c r="U303" s="9">
        <v>2</v>
      </c>
      <c r="V303" s="9">
        <v>8</v>
      </c>
      <c r="W303" s="9">
        <v>0</v>
      </c>
      <c r="X303" s="9">
        <v>0</v>
      </c>
      <c r="Y303" s="9">
        <v>0</v>
      </c>
      <c r="Z303" s="9">
        <v>3</v>
      </c>
      <c r="AA303" s="9">
        <v>31</v>
      </c>
      <c r="AC303" s="9">
        <f t="shared" si="16"/>
        <v>1301</v>
      </c>
      <c r="AD303" s="9">
        <f t="shared" si="14"/>
        <v>13979</v>
      </c>
      <c r="AE303" s="10">
        <f t="shared" si="15"/>
        <v>10.744811683320522</v>
      </c>
    </row>
    <row r="304" spans="1:31" x14ac:dyDescent="0.3">
      <c r="A304" s="55"/>
      <c r="B304" s="30" t="s">
        <v>306</v>
      </c>
      <c r="C304" s="9">
        <v>23</v>
      </c>
      <c r="D304" s="9">
        <v>8</v>
      </c>
      <c r="E304" s="9">
        <v>27</v>
      </c>
      <c r="F304" s="9">
        <v>48</v>
      </c>
      <c r="G304" s="9">
        <v>42</v>
      </c>
      <c r="H304" s="9">
        <v>116</v>
      </c>
      <c r="I304" s="9">
        <v>94</v>
      </c>
      <c r="J304" s="9">
        <v>56</v>
      </c>
      <c r="K304" s="9">
        <v>85</v>
      </c>
      <c r="L304" s="9">
        <v>30</v>
      </c>
      <c r="M304" s="9">
        <v>49</v>
      </c>
      <c r="N304" s="9">
        <v>32</v>
      </c>
      <c r="O304" s="9">
        <v>316</v>
      </c>
      <c r="P304" s="9">
        <v>33</v>
      </c>
      <c r="Q304" s="9">
        <v>105</v>
      </c>
      <c r="R304" s="9">
        <v>68</v>
      </c>
      <c r="S304" s="9">
        <v>13</v>
      </c>
      <c r="T304" s="9">
        <v>207</v>
      </c>
      <c r="U304" s="9">
        <v>3</v>
      </c>
      <c r="V304" s="9">
        <v>7</v>
      </c>
      <c r="W304" s="9">
        <v>0</v>
      </c>
      <c r="X304" s="9">
        <v>0</v>
      </c>
      <c r="Y304" s="9">
        <v>0</v>
      </c>
      <c r="Z304" s="9">
        <v>0</v>
      </c>
      <c r="AA304" s="9">
        <v>22</v>
      </c>
      <c r="AC304" s="9">
        <f t="shared" si="16"/>
        <v>1384</v>
      </c>
      <c r="AD304" s="9">
        <f t="shared" si="14"/>
        <v>14855</v>
      </c>
      <c r="AE304" s="10">
        <f t="shared" si="15"/>
        <v>10.733381502890174</v>
      </c>
    </row>
    <row r="305" spans="1:31" x14ac:dyDescent="0.3">
      <c r="A305" s="55"/>
      <c r="B305" s="30" t="s">
        <v>307</v>
      </c>
      <c r="C305" s="9">
        <v>7</v>
      </c>
      <c r="D305" s="9">
        <v>4</v>
      </c>
      <c r="E305" s="9">
        <v>9</v>
      </c>
      <c r="F305" s="9">
        <v>16</v>
      </c>
      <c r="G305" s="9">
        <v>18</v>
      </c>
      <c r="H305" s="9">
        <v>36</v>
      </c>
      <c r="I305" s="9">
        <v>29</v>
      </c>
      <c r="J305" s="9">
        <v>23</v>
      </c>
      <c r="K305" s="9">
        <v>33</v>
      </c>
      <c r="L305" s="9">
        <v>11</v>
      </c>
      <c r="M305" s="9">
        <v>3</v>
      </c>
      <c r="N305" s="9">
        <v>18</v>
      </c>
      <c r="O305" s="9">
        <v>140</v>
      </c>
      <c r="P305" s="9">
        <v>16</v>
      </c>
      <c r="Q305" s="9">
        <v>34</v>
      </c>
      <c r="R305" s="9">
        <v>15</v>
      </c>
      <c r="S305" s="9">
        <v>3</v>
      </c>
      <c r="T305" s="9">
        <v>83</v>
      </c>
      <c r="U305" s="9">
        <v>0</v>
      </c>
      <c r="V305" s="9">
        <v>2</v>
      </c>
      <c r="W305" s="9">
        <v>0</v>
      </c>
      <c r="X305" s="9">
        <v>0</v>
      </c>
      <c r="Y305" s="9">
        <v>0</v>
      </c>
      <c r="Z305" s="9">
        <v>0</v>
      </c>
      <c r="AA305" s="9">
        <v>6</v>
      </c>
      <c r="AC305" s="9">
        <f t="shared" si="16"/>
        <v>506</v>
      </c>
      <c r="AD305" s="9">
        <f t="shared" si="14"/>
        <v>5478</v>
      </c>
      <c r="AE305" s="10">
        <f t="shared" si="15"/>
        <v>10.826086956521738</v>
      </c>
    </row>
    <row r="306" spans="1:31" x14ac:dyDescent="0.3">
      <c r="A306" s="55"/>
      <c r="B306" s="30" t="s">
        <v>308</v>
      </c>
      <c r="C306" s="9">
        <v>16</v>
      </c>
      <c r="D306" s="9">
        <v>7</v>
      </c>
      <c r="E306" s="9">
        <v>6</v>
      </c>
      <c r="F306" s="9">
        <v>38</v>
      </c>
      <c r="G306" s="9">
        <v>15</v>
      </c>
      <c r="H306" s="9">
        <v>34</v>
      </c>
      <c r="I306" s="9">
        <v>25</v>
      </c>
      <c r="J306" s="9">
        <v>45</v>
      </c>
      <c r="K306" s="9">
        <v>72</v>
      </c>
      <c r="L306" s="9">
        <v>54</v>
      </c>
      <c r="M306" s="9">
        <v>64</v>
      </c>
      <c r="N306" s="9">
        <v>51</v>
      </c>
      <c r="O306" s="9">
        <v>604</v>
      </c>
      <c r="P306" s="9">
        <v>41</v>
      </c>
      <c r="Q306" s="9">
        <v>90</v>
      </c>
      <c r="R306" s="9">
        <v>77</v>
      </c>
      <c r="S306" s="9">
        <v>10</v>
      </c>
      <c r="T306" s="9">
        <v>162</v>
      </c>
      <c r="U306" s="9">
        <v>3</v>
      </c>
      <c r="V306" s="9">
        <v>9</v>
      </c>
      <c r="W306" s="9">
        <v>1</v>
      </c>
      <c r="X306" s="9">
        <v>0</v>
      </c>
      <c r="Y306" s="9">
        <v>0</v>
      </c>
      <c r="Z306" s="9">
        <v>1</v>
      </c>
      <c r="AA306" s="9">
        <v>45</v>
      </c>
      <c r="AC306" s="9">
        <f t="shared" si="16"/>
        <v>1470</v>
      </c>
      <c r="AD306" s="9">
        <f t="shared" si="14"/>
        <v>17549</v>
      </c>
      <c r="AE306" s="10">
        <f t="shared" si="15"/>
        <v>11.938095238095238</v>
      </c>
    </row>
    <row r="307" spans="1:31" x14ac:dyDescent="0.3">
      <c r="A307" s="55"/>
      <c r="B307" s="30" t="s">
        <v>309</v>
      </c>
      <c r="C307" s="9">
        <v>18</v>
      </c>
      <c r="D307" s="9">
        <v>4</v>
      </c>
      <c r="E307" s="9">
        <v>4</v>
      </c>
      <c r="F307" s="9">
        <v>11</v>
      </c>
      <c r="G307" s="9">
        <v>17</v>
      </c>
      <c r="H307" s="9">
        <v>33</v>
      </c>
      <c r="I307" s="9">
        <v>35</v>
      </c>
      <c r="J307" s="9">
        <v>58</v>
      </c>
      <c r="K307" s="9">
        <v>74</v>
      </c>
      <c r="L307" s="9">
        <v>53</v>
      </c>
      <c r="M307" s="9">
        <v>55</v>
      </c>
      <c r="N307" s="9">
        <v>59</v>
      </c>
      <c r="O307" s="9">
        <v>682</v>
      </c>
      <c r="P307" s="9">
        <v>63</v>
      </c>
      <c r="Q307" s="9">
        <v>82</v>
      </c>
      <c r="R307" s="9">
        <v>72</v>
      </c>
      <c r="S307" s="9">
        <v>23</v>
      </c>
      <c r="T307" s="9">
        <v>194</v>
      </c>
      <c r="U307" s="9">
        <v>6</v>
      </c>
      <c r="V307" s="9">
        <v>8</v>
      </c>
      <c r="W307" s="9">
        <v>2</v>
      </c>
      <c r="X307" s="9">
        <v>0</v>
      </c>
      <c r="Y307" s="9">
        <v>0</v>
      </c>
      <c r="Z307" s="9">
        <v>0</v>
      </c>
      <c r="AA307" s="9">
        <v>147</v>
      </c>
      <c r="AC307" s="9">
        <f t="shared" si="16"/>
        <v>1700</v>
      </c>
      <c r="AD307" s="9">
        <f t="shared" si="14"/>
        <v>21887</v>
      </c>
      <c r="AE307" s="10">
        <f t="shared" si="15"/>
        <v>12.874705882352941</v>
      </c>
    </row>
    <row r="308" spans="1:31" x14ac:dyDescent="0.3">
      <c r="A308" s="55"/>
      <c r="B308" s="30" t="s">
        <v>310</v>
      </c>
      <c r="C308" s="9">
        <v>11</v>
      </c>
      <c r="D308" s="9">
        <v>5</v>
      </c>
      <c r="E308" s="9">
        <v>3</v>
      </c>
      <c r="F308" s="9">
        <v>85</v>
      </c>
      <c r="G308" s="9">
        <v>25</v>
      </c>
      <c r="H308" s="9">
        <v>17</v>
      </c>
      <c r="I308" s="9">
        <v>48</v>
      </c>
      <c r="J308" s="9">
        <v>60</v>
      </c>
      <c r="K308" s="9">
        <v>55</v>
      </c>
      <c r="L308" s="9">
        <v>23</v>
      </c>
      <c r="M308" s="9">
        <v>31</v>
      </c>
      <c r="N308" s="9">
        <v>34</v>
      </c>
      <c r="O308" s="9">
        <v>207</v>
      </c>
      <c r="P308" s="9">
        <v>10</v>
      </c>
      <c r="Q308" s="9">
        <v>27</v>
      </c>
      <c r="R308" s="9">
        <v>13</v>
      </c>
      <c r="S308" s="9">
        <v>1</v>
      </c>
      <c r="T308" s="9">
        <v>38</v>
      </c>
      <c r="U308" s="9">
        <v>2</v>
      </c>
      <c r="V308" s="9">
        <v>2</v>
      </c>
      <c r="W308" s="9">
        <v>0</v>
      </c>
      <c r="X308" s="9">
        <v>0</v>
      </c>
      <c r="Y308" s="9">
        <v>0</v>
      </c>
      <c r="Z308" s="9">
        <v>0</v>
      </c>
      <c r="AA308" s="9">
        <v>19</v>
      </c>
      <c r="AC308" s="9">
        <f t="shared" si="16"/>
        <v>716</v>
      </c>
      <c r="AD308" s="9">
        <f t="shared" si="14"/>
        <v>6869</v>
      </c>
      <c r="AE308" s="10">
        <f t="shared" si="15"/>
        <v>9.5935754189944138</v>
      </c>
    </row>
    <row r="309" spans="1:31" x14ac:dyDescent="0.3">
      <c r="A309" s="55"/>
      <c r="B309" s="30" t="s">
        <v>311</v>
      </c>
      <c r="C309" s="9">
        <v>37</v>
      </c>
      <c r="D309" s="9">
        <v>28</v>
      </c>
      <c r="E309" s="9">
        <v>28</v>
      </c>
      <c r="F309" s="9">
        <v>64</v>
      </c>
      <c r="G309" s="9">
        <v>81</v>
      </c>
      <c r="H309" s="9">
        <v>128</v>
      </c>
      <c r="I309" s="9">
        <v>157</v>
      </c>
      <c r="J309" s="9">
        <v>173</v>
      </c>
      <c r="K309" s="9">
        <v>209</v>
      </c>
      <c r="L309" s="9">
        <v>126</v>
      </c>
      <c r="M309" s="9">
        <v>126</v>
      </c>
      <c r="N309" s="9">
        <v>94</v>
      </c>
      <c r="O309" s="9">
        <v>924</v>
      </c>
      <c r="P309" s="9">
        <v>94</v>
      </c>
      <c r="Q309" s="9">
        <v>131</v>
      </c>
      <c r="R309" s="9">
        <v>112</v>
      </c>
      <c r="S309" s="9">
        <v>16</v>
      </c>
      <c r="T309" s="9">
        <v>219</v>
      </c>
      <c r="U309" s="9">
        <v>6</v>
      </c>
      <c r="V309" s="9">
        <v>15</v>
      </c>
      <c r="W309" s="9">
        <v>0</v>
      </c>
      <c r="X309" s="9">
        <v>0</v>
      </c>
      <c r="Y309" s="9">
        <v>0</v>
      </c>
      <c r="Z309" s="9">
        <v>1</v>
      </c>
      <c r="AA309" s="9">
        <v>74</v>
      </c>
      <c r="AC309" s="9">
        <f t="shared" si="16"/>
        <v>2843</v>
      </c>
      <c r="AD309" s="9">
        <f t="shared" si="14"/>
        <v>30488</v>
      </c>
      <c r="AE309" s="10">
        <f t="shared" si="15"/>
        <v>10.723883221948645</v>
      </c>
    </row>
    <row r="310" spans="1:31" x14ac:dyDescent="0.3">
      <c r="A310" s="55"/>
      <c r="B310" s="30" t="s">
        <v>312</v>
      </c>
      <c r="C310" s="9">
        <v>7</v>
      </c>
      <c r="D310" s="9">
        <v>2</v>
      </c>
      <c r="E310" s="9">
        <v>3</v>
      </c>
      <c r="F310" s="9">
        <v>5</v>
      </c>
      <c r="G310" s="9">
        <v>7</v>
      </c>
      <c r="H310" s="9">
        <v>11</v>
      </c>
      <c r="I310" s="9">
        <v>19</v>
      </c>
      <c r="J310" s="9">
        <v>21</v>
      </c>
      <c r="K310" s="9">
        <v>32</v>
      </c>
      <c r="L310" s="9">
        <v>23</v>
      </c>
      <c r="M310" s="9">
        <v>29</v>
      </c>
      <c r="N310" s="9">
        <v>9</v>
      </c>
      <c r="O310" s="9">
        <v>218</v>
      </c>
      <c r="P310" s="9">
        <v>9</v>
      </c>
      <c r="Q310" s="9">
        <v>31</v>
      </c>
      <c r="R310" s="9">
        <v>7</v>
      </c>
      <c r="S310" s="9">
        <v>0</v>
      </c>
      <c r="T310" s="9">
        <v>31</v>
      </c>
      <c r="U310" s="9">
        <v>2</v>
      </c>
      <c r="V310" s="9">
        <v>0</v>
      </c>
      <c r="W310" s="9">
        <v>0</v>
      </c>
      <c r="X310" s="9">
        <v>0</v>
      </c>
      <c r="Y310" s="9">
        <v>0</v>
      </c>
      <c r="Z310" s="9">
        <v>1</v>
      </c>
      <c r="AA310" s="9">
        <v>16</v>
      </c>
      <c r="AC310" s="9">
        <f t="shared" si="16"/>
        <v>483</v>
      </c>
      <c r="AD310" s="9">
        <f t="shared" si="14"/>
        <v>5461</v>
      </c>
      <c r="AE310" s="10">
        <f t="shared" si="15"/>
        <v>11.306418219461698</v>
      </c>
    </row>
    <row r="311" spans="1:31" x14ac:dyDescent="0.3">
      <c r="A311" s="55"/>
      <c r="B311" s="30" t="s">
        <v>313</v>
      </c>
      <c r="C311" s="9">
        <v>27</v>
      </c>
      <c r="D311" s="9">
        <v>14</v>
      </c>
      <c r="E311" s="9">
        <v>14</v>
      </c>
      <c r="F311" s="9">
        <v>30</v>
      </c>
      <c r="G311" s="9">
        <v>32</v>
      </c>
      <c r="H311" s="9">
        <v>59</v>
      </c>
      <c r="I311" s="9">
        <v>77</v>
      </c>
      <c r="J311" s="9">
        <v>65</v>
      </c>
      <c r="K311" s="9">
        <v>106</v>
      </c>
      <c r="L311" s="9">
        <v>37</v>
      </c>
      <c r="M311" s="9">
        <v>45</v>
      </c>
      <c r="N311" s="9">
        <v>37</v>
      </c>
      <c r="O311" s="9">
        <v>450</v>
      </c>
      <c r="P311" s="9">
        <v>32</v>
      </c>
      <c r="Q311" s="9">
        <v>60</v>
      </c>
      <c r="R311" s="9">
        <v>34</v>
      </c>
      <c r="S311" s="9">
        <v>7</v>
      </c>
      <c r="T311" s="9">
        <v>167</v>
      </c>
      <c r="U311" s="9">
        <v>6</v>
      </c>
      <c r="V311" s="9">
        <v>4</v>
      </c>
      <c r="W311" s="9">
        <v>0</v>
      </c>
      <c r="X311" s="9">
        <v>0</v>
      </c>
      <c r="Y311" s="9">
        <v>0</v>
      </c>
      <c r="Z311" s="9">
        <v>1</v>
      </c>
      <c r="AA311" s="9">
        <v>26</v>
      </c>
      <c r="AC311" s="9">
        <f t="shared" si="16"/>
        <v>1330</v>
      </c>
      <c r="AD311" s="9">
        <f t="shared" si="14"/>
        <v>14458</v>
      </c>
      <c r="AE311" s="10">
        <f t="shared" si="15"/>
        <v>10.870676691729324</v>
      </c>
    </row>
    <row r="312" spans="1:31" x14ac:dyDescent="0.3">
      <c r="A312" s="55"/>
      <c r="B312" s="30" t="s">
        <v>314</v>
      </c>
      <c r="C312" s="9">
        <v>78</v>
      </c>
      <c r="D312" s="9">
        <v>35</v>
      </c>
      <c r="E312" s="9">
        <v>35</v>
      </c>
      <c r="F312" s="9">
        <v>63</v>
      </c>
      <c r="G312" s="9">
        <v>44</v>
      </c>
      <c r="H312" s="9">
        <v>150</v>
      </c>
      <c r="I312" s="9">
        <v>156</v>
      </c>
      <c r="J312" s="9">
        <v>330</v>
      </c>
      <c r="K312" s="9">
        <v>363</v>
      </c>
      <c r="L312" s="9">
        <v>312</v>
      </c>
      <c r="M312" s="9">
        <v>285</v>
      </c>
      <c r="N312" s="9">
        <v>291</v>
      </c>
      <c r="O312" s="9">
        <v>4070</v>
      </c>
      <c r="P312" s="9">
        <v>615</v>
      </c>
      <c r="Q312" s="9">
        <v>1077</v>
      </c>
      <c r="R312" s="9">
        <v>973</v>
      </c>
      <c r="S312" s="9">
        <v>414</v>
      </c>
      <c r="T312" s="9">
        <v>2542</v>
      </c>
      <c r="U312" s="9">
        <v>61</v>
      </c>
      <c r="V312" s="9">
        <v>121</v>
      </c>
      <c r="W312" s="9">
        <v>4</v>
      </c>
      <c r="X312" s="9">
        <v>0</v>
      </c>
      <c r="Y312" s="9">
        <v>1</v>
      </c>
      <c r="Z312" s="9">
        <v>12</v>
      </c>
      <c r="AA312" s="9">
        <v>354</v>
      </c>
      <c r="AC312" s="9">
        <f t="shared" si="16"/>
        <v>12386</v>
      </c>
      <c r="AD312" s="9">
        <f t="shared" si="14"/>
        <v>164846</v>
      </c>
      <c r="AE312" s="10">
        <f t="shared" si="15"/>
        <v>13.309058614564831</v>
      </c>
    </row>
    <row r="313" spans="1:31" x14ac:dyDescent="0.3">
      <c r="A313" s="55"/>
      <c r="B313" s="30" t="s">
        <v>315</v>
      </c>
      <c r="C313" s="9">
        <v>18</v>
      </c>
      <c r="D313" s="9">
        <v>6</v>
      </c>
      <c r="E313" s="9">
        <v>3</v>
      </c>
      <c r="F313" s="9">
        <v>8</v>
      </c>
      <c r="G313" s="9">
        <v>10</v>
      </c>
      <c r="H313" s="9">
        <v>22</v>
      </c>
      <c r="I313" s="9">
        <v>118</v>
      </c>
      <c r="J313" s="9">
        <v>24</v>
      </c>
      <c r="K313" s="9">
        <v>46</v>
      </c>
      <c r="L313" s="9">
        <v>22</v>
      </c>
      <c r="M313" s="9">
        <v>26</v>
      </c>
      <c r="N313" s="9">
        <v>11</v>
      </c>
      <c r="O313" s="9">
        <v>206</v>
      </c>
      <c r="P313" s="9">
        <v>14</v>
      </c>
      <c r="Q313" s="9">
        <v>30</v>
      </c>
      <c r="R313" s="9">
        <v>9</v>
      </c>
      <c r="S313" s="9">
        <v>3</v>
      </c>
      <c r="T313" s="9">
        <v>30</v>
      </c>
      <c r="U313" s="9">
        <v>0</v>
      </c>
      <c r="V313" s="9">
        <v>1</v>
      </c>
      <c r="W313" s="9">
        <v>1</v>
      </c>
      <c r="X313" s="9">
        <v>0</v>
      </c>
      <c r="Y313" s="9">
        <v>0</v>
      </c>
      <c r="Z313" s="9">
        <v>0</v>
      </c>
      <c r="AA313" s="9">
        <v>21</v>
      </c>
      <c r="AC313" s="9">
        <f t="shared" si="16"/>
        <v>629</v>
      </c>
      <c r="AD313" s="9">
        <f t="shared" si="14"/>
        <v>6319</v>
      </c>
      <c r="AE313" s="10">
        <f t="shared" si="15"/>
        <v>10.04610492845787</v>
      </c>
    </row>
    <row r="314" spans="1:31" x14ac:dyDescent="0.3">
      <c r="A314" s="55"/>
      <c r="B314" s="30" t="s">
        <v>316</v>
      </c>
      <c r="C314" s="9">
        <v>103</v>
      </c>
      <c r="D314" s="9">
        <v>50</v>
      </c>
      <c r="E314" s="9">
        <v>50</v>
      </c>
      <c r="F314" s="9">
        <v>77</v>
      </c>
      <c r="G314" s="9">
        <v>85</v>
      </c>
      <c r="H314" s="9">
        <v>216</v>
      </c>
      <c r="I314" s="9">
        <v>278</v>
      </c>
      <c r="J314" s="9">
        <v>385</v>
      </c>
      <c r="K314" s="9">
        <v>514</v>
      </c>
      <c r="L314" s="9">
        <v>364</v>
      </c>
      <c r="M314" s="9">
        <v>297</v>
      </c>
      <c r="N314" s="9">
        <v>339</v>
      </c>
      <c r="O314" s="9">
        <v>3208</v>
      </c>
      <c r="P314" s="9">
        <v>506</v>
      </c>
      <c r="Q314" s="9">
        <v>697</v>
      </c>
      <c r="R314" s="9">
        <v>624</v>
      </c>
      <c r="S314" s="9">
        <v>213</v>
      </c>
      <c r="T314" s="9">
        <v>1375</v>
      </c>
      <c r="U314" s="9">
        <v>25</v>
      </c>
      <c r="V314" s="9">
        <v>49</v>
      </c>
      <c r="W314" s="9">
        <v>3</v>
      </c>
      <c r="X314" s="9">
        <v>2</v>
      </c>
      <c r="Y314" s="9">
        <v>2</v>
      </c>
      <c r="Z314" s="9">
        <v>4</v>
      </c>
      <c r="AA314" s="9">
        <v>290</v>
      </c>
      <c r="AC314" s="9">
        <f t="shared" si="16"/>
        <v>9756</v>
      </c>
      <c r="AD314" s="9">
        <f t="shared" si="14"/>
        <v>119805</v>
      </c>
      <c r="AE314" s="10">
        <f t="shared" si="15"/>
        <v>12.280135301353013</v>
      </c>
    </row>
    <row r="315" spans="1:31" x14ac:dyDescent="0.3">
      <c r="A315" s="55"/>
      <c r="B315" s="30" t="s">
        <v>317</v>
      </c>
      <c r="C315" s="9">
        <v>37</v>
      </c>
      <c r="D315" s="9">
        <v>13</v>
      </c>
      <c r="E315" s="9">
        <v>12</v>
      </c>
      <c r="F315" s="9">
        <v>18</v>
      </c>
      <c r="G315" s="9">
        <v>19</v>
      </c>
      <c r="H315" s="9">
        <v>59</v>
      </c>
      <c r="I315" s="9">
        <v>68</v>
      </c>
      <c r="J315" s="9">
        <v>109</v>
      </c>
      <c r="K315" s="9">
        <v>125</v>
      </c>
      <c r="L315" s="9">
        <v>89</v>
      </c>
      <c r="M315" s="9">
        <v>87</v>
      </c>
      <c r="N315" s="9">
        <v>152</v>
      </c>
      <c r="O315" s="9">
        <v>1344</v>
      </c>
      <c r="P315" s="9">
        <v>175</v>
      </c>
      <c r="Q315" s="9">
        <v>249</v>
      </c>
      <c r="R315" s="9">
        <v>275</v>
      </c>
      <c r="S315" s="9">
        <v>60</v>
      </c>
      <c r="T315" s="9">
        <v>422</v>
      </c>
      <c r="U315" s="9">
        <v>6</v>
      </c>
      <c r="V315" s="9">
        <v>18</v>
      </c>
      <c r="W315" s="9">
        <v>1</v>
      </c>
      <c r="X315" s="9">
        <v>1</v>
      </c>
      <c r="Y315" s="9">
        <v>1</v>
      </c>
      <c r="Z315" s="9">
        <v>11</v>
      </c>
      <c r="AA315" s="9">
        <v>156</v>
      </c>
      <c r="AC315" s="9">
        <f t="shared" si="16"/>
        <v>3507</v>
      </c>
      <c r="AD315" s="9">
        <f t="shared" si="14"/>
        <v>44634</v>
      </c>
      <c r="AE315" s="10">
        <f t="shared" si="15"/>
        <v>12.727117194183062</v>
      </c>
    </row>
    <row r="316" spans="1:31" x14ac:dyDescent="0.3">
      <c r="A316" s="55"/>
      <c r="B316" s="30" t="s">
        <v>318</v>
      </c>
      <c r="C316" s="9">
        <v>11</v>
      </c>
      <c r="D316" s="9">
        <v>5</v>
      </c>
      <c r="E316" s="9">
        <v>4</v>
      </c>
      <c r="F316" s="9">
        <v>11</v>
      </c>
      <c r="G316" s="9">
        <v>14</v>
      </c>
      <c r="H316" s="9">
        <v>21</v>
      </c>
      <c r="I316" s="9">
        <v>41</v>
      </c>
      <c r="J316" s="9">
        <v>58</v>
      </c>
      <c r="K316" s="9">
        <v>75</v>
      </c>
      <c r="L316" s="9">
        <v>42</v>
      </c>
      <c r="M316" s="9">
        <v>53</v>
      </c>
      <c r="N316" s="9">
        <v>48</v>
      </c>
      <c r="O316" s="9">
        <v>271</v>
      </c>
      <c r="P316" s="9">
        <v>21</v>
      </c>
      <c r="Q316" s="9">
        <v>70</v>
      </c>
      <c r="R316" s="9">
        <v>29</v>
      </c>
      <c r="S316" s="9">
        <v>4</v>
      </c>
      <c r="T316" s="9">
        <v>73</v>
      </c>
      <c r="U316" s="9">
        <v>1</v>
      </c>
      <c r="V316" s="9">
        <v>1</v>
      </c>
      <c r="W316" s="9">
        <v>0</v>
      </c>
      <c r="X316" s="9">
        <v>0</v>
      </c>
      <c r="Y316" s="9">
        <v>0</v>
      </c>
      <c r="Z316" s="9">
        <v>0</v>
      </c>
      <c r="AA316" s="9">
        <v>22</v>
      </c>
      <c r="AC316" s="9">
        <f t="shared" si="16"/>
        <v>875</v>
      </c>
      <c r="AD316" s="9">
        <f t="shared" si="14"/>
        <v>9705</v>
      </c>
      <c r="AE316" s="10">
        <f t="shared" si="15"/>
        <v>11.091428571428571</v>
      </c>
    </row>
    <row r="317" spans="1:31" x14ac:dyDescent="0.3">
      <c r="A317" s="55"/>
      <c r="B317" s="30" t="s">
        <v>319</v>
      </c>
      <c r="C317" s="9">
        <v>224</v>
      </c>
      <c r="D317" s="9">
        <v>54</v>
      </c>
      <c r="E317" s="9">
        <v>89</v>
      </c>
      <c r="F317" s="9">
        <v>116</v>
      </c>
      <c r="G317" s="9">
        <v>124</v>
      </c>
      <c r="H317" s="9">
        <v>143</v>
      </c>
      <c r="I317" s="9">
        <v>114</v>
      </c>
      <c r="J317" s="9">
        <v>138</v>
      </c>
      <c r="K317" s="9">
        <v>175</v>
      </c>
      <c r="L317" s="9">
        <v>106</v>
      </c>
      <c r="M317" s="9">
        <v>99</v>
      </c>
      <c r="N317" s="9">
        <v>121</v>
      </c>
      <c r="O317" s="9">
        <v>995</v>
      </c>
      <c r="P317" s="9">
        <v>93</v>
      </c>
      <c r="Q317" s="9">
        <v>216</v>
      </c>
      <c r="R317" s="9">
        <v>185</v>
      </c>
      <c r="S317" s="9">
        <v>16</v>
      </c>
      <c r="T317" s="9">
        <v>300</v>
      </c>
      <c r="U317" s="9">
        <v>6</v>
      </c>
      <c r="V317" s="9">
        <v>16</v>
      </c>
      <c r="W317" s="9">
        <v>2</v>
      </c>
      <c r="X317" s="9">
        <v>1</v>
      </c>
      <c r="Y317" s="9">
        <v>1</v>
      </c>
      <c r="Z317" s="9">
        <v>0</v>
      </c>
      <c r="AA317" s="9">
        <v>124</v>
      </c>
      <c r="AC317" s="9">
        <f t="shared" si="16"/>
        <v>3458</v>
      </c>
      <c r="AD317" s="9">
        <f t="shared" si="14"/>
        <v>35891</v>
      </c>
      <c r="AE317" s="10">
        <f t="shared" si="15"/>
        <v>10.37912087912088</v>
      </c>
    </row>
    <row r="318" spans="1:31" x14ac:dyDescent="0.3">
      <c r="A318" s="55"/>
      <c r="B318" s="30" t="s">
        <v>320</v>
      </c>
      <c r="C318" s="9">
        <v>16</v>
      </c>
      <c r="D318" s="9">
        <v>18</v>
      </c>
      <c r="E318" s="9">
        <v>3</v>
      </c>
      <c r="F318" s="9">
        <v>12</v>
      </c>
      <c r="G318" s="9">
        <v>10</v>
      </c>
      <c r="H318" s="9">
        <v>29</v>
      </c>
      <c r="I318" s="9">
        <v>42</v>
      </c>
      <c r="J318" s="9">
        <v>62</v>
      </c>
      <c r="K318" s="9">
        <v>81</v>
      </c>
      <c r="L318" s="9">
        <v>48</v>
      </c>
      <c r="M318" s="9">
        <v>44</v>
      </c>
      <c r="N318" s="9">
        <v>27</v>
      </c>
      <c r="O318" s="9">
        <v>275</v>
      </c>
      <c r="P318" s="9">
        <v>25</v>
      </c>
      <c r="Q318" s="9">
        <v>46</v>
      </c>
      <c r="R318" s="9">
        <v>19</v>
      </c>
      <c r="S318" s="9">
        <v>4</v>
      </c>
      <c r="T318" s="9">
        <v>61</v>
      </c>
      <c r="U318" s="9">
        <v>2</v>
      </c>
      <c r="V318" s="9">
        <v>6</v>
      </c>
      <c r="W318" s="9">
        <v>0</v>
      </c>
      <c r="X318" s="9">
        <v>0</v>
      </c>
      <c r="Y318" s="9">
        <v>0</v>
      </c>
      <c r="Z318" s="9">
        <v>0</v>
      </c>
      <c r="AA318" s="9">
        <v>28</v>
      </c>
      <c r="AC318" s="9">
        <f t="shared" si="16"/>
        <v>858</v>
      </c>
      <c r="AD318" s="9">
        <f t="shared" si="14"/>
        <v>9225</v>
      </c>
      <c r="AE318" s="10">
        <f t="shared" si="15"/>
        <v>10.751748251748252</v>
      </c>
    </row>
    <row r="319" spans="1:31" x14ac:dyDescent="0.3">
      <c r="A319" s="55"/>
      <c r="B319" s="30" t="s">
        <v>321</v>
      </c>
      <c r="C319" s="9">
        <v>27</v>
      </c>
      <c r="D319" s="9">
        <v>9</v>
      </c>
      <c r="E319" s="9">
        <v>22</v>
      </c>
      <c r="F319" s="9">
        <v>27</v>
      </c>
      <c r="G319" s="9">
        <v>24</v>
      </c>
      <c r="H319" s="9">
        <v>53</v>
      </c>
      <c r="I319" s="9">
        <v>47</v>
      </c>
      <c r="J319" s="9">
        <v>66</v>
      </c>
      <c r="K319" s="9">
        <v>98</v>
      </c>
      <c r="L319" s="9">
        <v>51</v>
      </c>
      <c r="M319" s="9">
        <v>54</v>
      </c>
      <c r="N319" s="9">
        <v>60</v>
      </c>
      <c r="O319" s="9">
        <v>733</v>
      </c>
      <c r="P319" s="9">
        <v>67</v>
      </c>
      <c r="Q319" s="9">
        <v>119</v>
      </c>
      <c r="R319" s="9">
        <v>77</v>
      </c>
      <c r="S319" s="9">
        <v>21</v>
      </c>
      <c r="T319" s="9">
        <v>210</v>
      </c>
      <c r="U319" s="9">
        <v>3</v>
      </c>
      <c r="V319" s="9">
        <v>8</v>
      </c>
      <c r="W319" s="9">
        <v>1</v>
      </c>
      <c r="X319" s="9">
        <v>0</v>
      </c>
      <c r="Y319" s="9">
        <v>1</v>
      </c>
      <c r="Z319" s="9">
        <v>0</v>
      </c>
      <c r="AA319" s="9">
        <v>38</v>
      </c>
      <c r="AC319" s="9">
        <f t="shared" si="16"/>
        <v>1816</v>
      </c>
      <c r="AD319" s="9">
        <f t="shared" si="14"/>
        <v>21236</v>
      </c>
      <c r="AE319" s="10">
        <f t="shared" si="15"/>
        <v>11.693832599118943</v>
      </c>
    </row>
    <row r="320" spans="1:31" x14ac:dyDescent="0.3">
      <c r="A320" s="55"/>
      <c r="B320" s="30" t="s">
        <v>322</v>
      </c>
      <c r="C320" s="9">
        <v>61</v>
      </c>
      <c r="D320" s="9">
        <v>20</v>
      </c>
      <c r="E320" s="9">
        <v>12</v>
      </c>
      <c r="F320" s="9">
        <v>27</v>
      </c>
      <c r="G320" s="9">
        <v>27</v>
      </c>
      <c r="H320" s="9">
        <v>73</v>
      </c>
      <c r="I320" s="9">
        <v>56</v>
      </c>
      <c r="J320" s="9">
        <v>72</v>
      </c>
      <c r="K320" s="9">
        <v>78</v>
      </c>
      <c r="L320" s="9">
        <v>57</v>
      </c>
      <c r="M320" s="9">
        <v>49</v>
      </c>
      <c r="N320" s="9">
        <v>51</v>
      </c>
      <c r="O320" s="9">
        <v>420</v>
      </c>
      <c r="P320" s="9">
        <v>40</v>
      </c>
      <c r="Q320" s="9">
        <v>77</v>
      </c>
      <c r="R320" s="9">
        <v>122</v>
      </c>
      <c r="S320" s="9">
        <v>4</v>
      </c>
      <c r="T320" s="9">
        <v>113</v>
      </c>
      <c r="U320" s="9">
        <v>6</v>
      </c>
      <c r="V320" s="9">
        <v>4</v>
      </c>
      <c r="W320" s="9">
        <v>1</v>
      </c>
      <c r="X320" s="9">
        <v>0</v>
      </c>
      <c r="Y320" s="9">
        <v>1</v>
      </c>
      <c r="Z320" s="9">
        <v>2</v>
      </c>
      <c r="AA320" s="9">
        <v>40</v>
      </c>
      <c r="AC320" s="9">
        <f t="shared" si="16"/>
        <v>1413</v>
      </c>
      <c r="AD320" s="9">
        <f t="shared" si="14"/>
        <v>15311</v>
      </c>
      <c r="AE320" s="10">
        <f t="shared" si="15"/>
        <v>10.83581033262562</v>
      </c>
    </row>
    <row r="321" spans="1:31" x14ac:dyDescent="0.3">
      <c r="A321" s="55"/>
      <c r="B321" s="30" t="s">
        <v>323</v>
      </c>
      <c r="C321" s="9">
        <v>11</v>
      </c>
      <c r="D321" s="9">
        <v>6</v>
      </c>
      <c r="E321" s="9">
        <v>8</v>
      </c>
      <c r="F321" s="9">
        <v>7</v>
      </c>
      <c r="G321" s="9">
        <v>14</v>
      </c>
      <c r="H321" s="9">
        <v>23</v>
      </c>
      <c r="I321" s="9">
        <v>35</v>
      </c>
      <c r="J321" s="9">
        <v>32</v>
      </c>
      <c r="K321" s="9">
        <v>55</v>
      </c>
      <c r="L321" s="9">
        <v>29</v>
      </c>
      <c r="M321" s="9">
        <v>33</v>
      </c>
      <c r="N321" s="9">
        <v>46</v>
      </c>
      <c r="O321" s="9">
        <v>304</v>
      </c>
      <c r="P321" s="9">
        <v>6</v>
      </c>
      <c r="Q321" s="9">
        <v>15</v>
      </c>
      <c r="R321" s="9">
        <v>15</v>
      </c>
      <c r="S321" s="9">
        <v>0</v>
      </c>
      <c r="T321" s="9">
        <v>20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19</v>
      </c>
      <c r="AC321" s="9">
        <f t="shared" si="16"/>
        <v>678</v>
      </c>
      <c r="AD321" s="9">
        <f t="shared" si="14"/>
        <v>7142</v>
      </c>
      <c r="AE321" s="10">
        <f t="shared" si="15"/>
        <v>10.533923303834808</v>
      </c>
    </row>
    <row r="322" spans="1:31" x14ac:dyDescent="0.3">
      <c r="A322" s="55"/>
      <c r="B322" s="30" t="s">
        <v>324</v>
      </c>
      <c r="C322" s="9">
        <v>36</v>
      </c>
      <c r="D322" s="9">
        <v>9</v>
      </c>
      <c r="E322" s="9">
        <v>17</v>
      </c>
      <c r="F322" s="9">
        <v>27</v>
      </c>
      <c r="G322" s="9">
        <v>25</v>
      </c>
      <c r="H322" s="9">
        <v>82</v>
      </c>
      <c r="I322" s="9">
        <v>90</v>
      </c>
      <c r="J322" s="9">
        <v>82</v>
      </c>
      <c r="K322" s="9">
        <v>115</v>
      </c>
      <c r="L322" s="9">
        <v>66</v>
      </c>
      <c r="M322" s="9">
        <v>67</v>
      </c>
      <c r="N322" s="9">
        <v>54</v>
      </c>
      <c r="O322" s="9">
        <v>467</v>
      </c>
      <c r="P322" s="9">
        <v>47</v>
      </c>
      <c r="Q322" s="9">
        <v>92</v>
      </c>
      <c r="R322" s="9">
        <v>56</v>
      </c>
      <c r="S322" s="9">
        <v>12</v>
      </c>
      <c r="T322" s="9">
        <v>191</v>
      </c>
      <c r="U322" s="9">
        <v>2</v>
      </c>
      <c r="V322" s="9">
        <v>6</v>
      </c>
      <c r="W322" s="9">
        <v>0</v>
      </c>
      <c r="X322" s="9">
        <v>0</v>
      </c>
      <c r="Y322" s="9">
        <v>0</v>
      </c>
      <c r="Z322" s="9">
        <v>0</v>
      </c>
      <c r="AA322" s="9">
        <v>33</v>
      </c>
      <c r="AC322" s="9">
        <f t="shared" si="16"/>
        <v>1576</v>
      </c>
      <c r="AD322" s="9">
        <f t="shared" si="14"/>
        <v>17250</v>
      </c>
      <c r="AE322" s="10">
        <f t="shared" si="15"/>
        <v>10.945431472081218</v>
      </c>
    </row>
    <row r="323" spans="1:31" x14ac:dyDescent="0.3">
      <c r="A323" s="55"/>
      <c r="B323" s="30" t="s">
        <v>325</v>
      </c>
      <c r="C323" s="9">
        <v>5</v>
      </c>
      <c r="D323" s="9">
        <v>2</v>
      </c>
      <c r="E323" s="9">
        <v>5</v>
      </c>
      <c r="F323" s="9">
        <v>8</v>
      </c>
      <c r="G323" s="9">
        <v>10</v>
      </c>
      <c r="H323" s="9">
        <v>21</v>
      </c>
      <c r="I323" s="9">
        <v>20</v>
      </c>
      <c r="J323" s="9">
        <v>14</v>
      </c>
      <c r="K323" s="9">
        <v>20</v>
      </c>
      <c r="L323" s="9">
        <v>18</v>
      </c>
      <c r="M323" s="9">
        <v>15</v>
      </c>
      <c r="N323" s="9">
        <v>23</v>
      </c>
      <c r="O323" s="9">
        <v>84</v>
      </c>
      <c r="P323" s="9">
        <v>6</v>
      </c>
      <c r="Q323" s="9">
        <v>14</v>
      </c>
      <c r="R323" s="9">
        <v>14</v>
      </c>
      <c r="S323" s="9">
        <v>0</v>
      </c>
      <c r="T323" s="9">
        <v>16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1</v>
      </c>
      <c r="AA323" s="9">
        <v>9</v>
      </c>
      <c r="AC323" s="9">
        <f t="shared" si="16"/>
        <v>305</v>
      </c>
      <c r="AD323" s="9">
        <f t="shared" si="14"/>
        <v>3127</v>
      </c>
      <c r="AE323" s="10">
        <f t="shared" si="15"/>
        <v>10.252459016393443</v>
      </c>
    </row>
    <row r="324" spans="1:31" x14ac:dyDescent="0.3">
      <c r="A324" s="55"/>
      <c r="B324" s="30" t="s">
        <v>326</v>
      </c>
      <c r="C324" s="9">
        <v>11</v>
      </c>
      <c r="D324" s="9">
        <v>6</v>
      </c>
      <c r="E324" s="9">
        <v>10</v>
      </c>
      <c r="F324" s="9">
        <v>27</v>
      </c>
      <c r="G324" s="9">
        <v>34</v>
      </c>
      <c r="H324" s="9">
        <v>50</v>
      </c>
      <c r="I324" s="9">
        <v>60</v>
      </c>
      <c r="J324" s="9">
        <v>83</v>
      </c>
      <c r="K324" s="9">
        <v>107</v>
      </c>
      <c r="L324" s="9">
        <v>54</v>
      </c>
      <c r="M324" s="9">
        <v>58</v>
      </c>
      <c r="N324" s="9">
        <v>48</v>
      </c>
      <c r="O324" s="9">
        <v>487</v>
      </c>
      <c r="P324" s="9">
        <v>33</v>
      </c>
      <c r="Q324" s="9">
        <v>56</v>
      </c>
      <c r="R324" s="9">
        <v>32</v>
      </c>
      <c r="S324" s="9">
        <v>4</v>
      </c>
      <c r="T324" s="9">
        <v>96</v>
      </c>
      <c r="U324" s="9">
        <v>3</v>
      </c>
      <c r="V324" s="9">
        <v>5</v>
      </c>
      <c r="W324" s="9">
        <v>1</v>
      </c>
      <c r="X324" s="9">
        <v>0</v>
      </c>
      <c r="Y324" s="9">
        <v>0</v>
      </c>
      <c r="Z324" s="9">
        <v>1</v>
      </c>
      <c r="AA324" s="9">
        <v>49</v>
      </c>
      <c r="AC324" s="9">
        <f t="shared" si="16"/>
        <v>1315</v>
      </c>
      <c r="AD324" s="9">
        <f t="shared" si="14"/>
        <v>14485</v>
      </c>
      <c r="AE324" s="10">
        <f t="shared" si="15"/>
        <v>11.015209125475286</v>
      </c>
    </row>
    <row r="325" spans="1:31" x14ac:dyDescent="0.3">
      <c r="A325" s="55"/>
      <c r="B325" s="30" t="s">
        <v>327</v>
      </c>
      <c r="C325" s="9">
        <v>4</v>
      </c>
      <c r="D325" s="9">
        <v>5</v>
      </c>
      <c r="E325" s="9">
        <v>7</v>
      </c>
      <c r="F325" s="9">
        <v>7</v>
      </c>
      <c r="G325" s="9">
        <v>12</v>
      </c>
      <c r="H325" s="9">
        <v>24</v>
      </c>
      <c r="I325" s="9">
        <v>29</v>
      </c>
      <c r="J325" s="9">
        <v>14</v>
      </c>
      <c r="K325" s="9">
        <v>33</v>
      </c>
      <c r="L325" s="9">
        <v>11</v>
      </c>
      <c r="M325" s="9">
        <v>27</v>
      </c>
      <c r="N325" s="9">
        <v>22</v>
      </c>
      <c r="O325" s="9">
        <v>214</v>
      </c>
      <c r="P325" s="9">
        <v>11</v>
      </c>
      <c r="Q325" s="9">
        <v>35</v>
      </c>
      <c r="R325" s="9">
        <v>20</v>
      </c>
      <c r="S325" s="9">
        <v>1</v>
      </c>
      <c r="T325" s="9">
        <v>57</v>
      </c>
      <c r="U325" s="9">
        <v>0</v>
      </c>
      <c r="V325" s="9">
        <v>3</v>
      </c>
      <c r="W325" s="9">
        <v>0</v>
      </c>
      <c r="X325" s="9">
        <v>0</v>
      </c>
      <c r="Y325" s="9">
        <v>0</v>
      </c>
      <c r="Z325" s="9">
        <v>1</v>
      </c>
      <c r="AA325" s="9">
        <v>30</v>
      </c>
      <c r="AC325" s="9">
        <f t="shared" si="16"/>
        <v>567</v>
      </c>
      <c r="AD325" s="9">
        <f t="shared" ref="AD325:AD346" si="17">C$2*C325+D$2*D325+E$2*E325+F$2*F325+G$2*G325+H$2*H325+I$2*I325+J$2*J325+K$2*K325+L$2*L325+M$2*M325+N$2*N325+O$2*O325+P$2*P325+Q$2*Q325+R$2*R325+S$2*S325+T$2*T325+U$2*U325+V$2*V325+W$2*W325+X$2*X325+Y$2*Y325+Z$2*Z325+AA$2*AA325</f>
        <v>6641</v>
      </c>
      <c r="AE325" s="10">
        <f t="shared" ref="AE325:AE345" si="18">AD325/AC325</f>
        <v>11.71252204585538</v>
      </c>
    </row>
    <row r="326" spans="1:31" x14ac:dyDescent="0.3">
      <c r="A326" s="55"/>
      <c r="B326" s="30" t="s">
        <v>328</v>
      </c>
      <c r="C326" s="9">
        <v>5</v>
      </c>
      <c r="D326" s="9">
        <v>2</v>
      </c>
      <c r="E326" s="9">
        <v>0</v>
      </c>
      <c r="F326" s="9">
        <v>4</v>
      </c>
      <c r="G326" s="9">
        <v>9</v>
      </c>
      <c r="H326" s="9">
        <v>8</v>
      </c>
      <c r="I326" s="9">
        <v>18</v>
      </c>
      <c r="J326" s="9">
        <v>20</v>
      </c>
      <c r="K326" s="9">
        <v>25</v>
      </c>
      <c r="L326" s="9">
        <v>12</v>
      </c>
      <c r="M326" s="9">
        <v>21</v>
      </c>
      <c r="N326" s="9">
        <v>18</v>
      </c>
      <c r="O326" s="9">
        <v>164</v>
      </c>
      <c r="P326" s="9">
        <v>16</v>
      </c>
      <c r="Q326" s="9">
        <v>34</v>
      </c>
      <c r="R326" s="9">
        <v>17</v>
      </c>
      <c r="S326" s="9">
        <v>3</v>
      </c>
      <c r="T326" s="9">
        <v>38</v>
      </c>
      <c r="U326" s="9">
        <v>1</v>
      </c>
      <c r="V326" s="9">
        <v>2</v>
      </c>
      <c r="W326" s="9">
        <v>0</v>
      </c>
      <c r="X326" s="9">
        <v>1</v>
      </c>
      <c r="Y326" s="9">
        <v>0</v>
      </c>
      <c r="Z326" s="9">
        <v>0</v>
      </c>
      <c r="AA326" s="9">
        <v>25</v>
      </c>
      <c r="AC326" s="9">
        <f t="shared" si="16"/>
        <v>443</v>
      </c>
      <c r="AD326" s="9">
        <f t="shared" si="17"/>
        <v>5332</v>
      </c>
      <c r="AE326" s="10">
        <f t="shared" si="18"/>
        <v>12.036117381489841</v>
      </c>
    </row>
    <row r="327" spans="1:31" x14ac:dyDescent="0.3">
      <c r="A327" s="55"/>
      <c r="B327" s="30" t="s">
        <v>329</v>
      </c>
      <c r="C327" s="9">
        <v>2</v>
      </c>
      <c r="D327" s="9">
        <v>0</v>
      </c>
      <c r="E327" s="9">
        <v>1</v>
      </c>
      <c r="F327" s="9">
        <v>0</v>
      </c>
      <c r="G327" s="9">
        <v>1</v>
      </c>
      <c r="H327" s="9">
        <v>4</v>
      </c>
      <c r="I327" s="9">
        <v>3</v>
      </c>
      <c r="J327" s="9">
        <v>5</v>
      </c>
      <c r="K327" s="9">
        <v>7</v>
      </c>
      <c r="L327" s="9">
        <v>2</v>
      </c>
      <c r="M327" s="9">
        <v>5</v>
      </c>
      <c r="N327" s="9">
        <v>5</v>
      </c>
      <c r="O327" s="9">
        <v>29</v>
      </c>
      <c r="P327" s="9">
        <v>3</v>
      </c>
      <c r="Q327" s="9">
        <v>2</v>
      </c>
      <c r="R327" s="9">
        <v>2</v>
      </c>
      <c r="S327" s="9">
        <v>1</v>
      </c>
      <c r="T327" s="9">
        <v>10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2</v>
      </c>
      <c r="AC327" s="9">
        <f t="shared" si="16"/>
        <v>84</v>
      </c>
      <c r="AD327" s="9">
        <f t="shared" si="17"/>
        <v>937</v>
      </c>
      <c r="AE327" s="10">
        <f t="shared" si="18"/>
        <v>11.154761904761905</v>
      </c>
    </row>
    <row r="328" spans="1:31" x14ac:dyDescent="0.3">
      <c r="A328" s="55"/>
      <c r="B328" s="30" t="s">
        <v>330</v>
      </c>
      <c r="C328" s="9">
        <v>10</v>
      </c>
      <c r="D328" s="9">
        <v>7</v>
      </c>
      <c r="E328" s="9">
        <v>3</v>
      </c>
      <c r="F328" s="9">
        <v>10</v>
      </c>
      <c r="G328" s="9">
        <v>10</v>
      </c>
      <c r="H328" s="9">
        <v>20</v>
      </c>
      <c r="I328" s="9">
        <v>17</v>
      </c>
      <c r="J328" s="9">
        <v>33</v>
      </c>
      <c r="K328" s="9">
        <v>59</v>
      </c>
      <c r="L328" s="9">
        <v>42</v>
      </c>
      <c r="M328" s="9">
        <v>44</v>
      </c>
      <c r="N328" s="9">
        <v>52</v>
      </c>
      <c r="O328" s="9">
        <v>423</v>
      </c>
      <c r="P328" s="9">
        <v>39</v>
      </c>
      <c r="Q328" s="9">
        <v>45</v>
      </c>
      <c r="R328" s="9">
        <v>34</v>
      </c>
      <c r="S328" s="9">
        <v>4</v>
      </c>
      <c r="T328" s="9">
        <v>82</v>
      </c>
      <c r="U328" s="9">
        <v>2</v>
      </c>
      <c r="V328" s="9">
        <v>3</v>
      </c>
      <c r="W328" s="9">
        <v>1</v>
      </c>
      <c r="X328" s="9">
        <v>0</v>
      </c>
      <c r="Y328" s="9">
        <v>0</v>
      </c>
      <c r="Z328" s="9">
        <v>3</v>
      </c>
      <c r="AA328" s="9">
        <v>57</v>
      </c>
      <c r="AC328" s="9">
        <f t="shared" si="16"/>
        <v>1000</v>
      </c>
      <c r="AD328" s="9">
        <f t="shared" si="17"/>
        <v>12109</v>
      </c>
      <c r="AE328" s="10">
        <f t="shared" si="18"/>
        <v>12.109</v>
      </c>
    </row>
    <row r="329" spans="1:31" x14ac:dyDescent="0.3">
      <c r="A329" s="55"/>
      <c r="B329" s="30" t="s">
        <v>331</v>
      </c>
      <c r="C329" s="9">
        <v>7</v>
      </c>
      <c r="D329" s="9">
        <v>3</v>
      </c>
      <c r="E329" s="9">
        <v>4</v>
      </c>
      <c r="F329" s="9">
        <v>4</v>
      </c>
      <c r="G329" s="9">
        <v>5</v>
      </c>
      <c r="H329" s="9">
        <v>11</v>
      </c>
      <c r="I329" s="9">
        <v>16</v>
      </c>
      <c r="J329" s="9">
        <v>21</v>
      </c>
      <c r="K329" s="9">
        <v>55</v>
      </c>
      <c r="L329" s="9">
        <v>21</v>
      </c>
      <c r="M329" s="9">
        <v>27</v>
      </c>
      <c r="N329" s="9">
        <v>27</v>
      </c>
      <c r="O329" s="9">
        <v>250</v>
      </c>
      <c r="P329" s="9">
        <v>11</v>
      </c>
      <c r="Q329" s="9">
        <v>16</v>
      </c>
      <c r="R329" s="9">
        <v>20</v>
      </c>
      <c r="S329" s="9">
        <v>8</v>
      </c>
      <c r="T329" s="9">
        <v>54</v>
      </c>
      <c r="U329" s="9">
        <v>1</v>
      </c>
      <c r="V329" s="9">
        <v>1</v>
      </c>
      <c r="W329" s="9">
        <v>0</v>
      </c>
      <c r="X329" s="9">
        <v>0</v>
      </c>
      <c r="Y329" s="9">
        <v>0</v>
      </c>
      <c r="Z329" s="9">
        <v>1</v>
      </c>
      <c r="AA329" s="9">
        <v>17</v>
      </c>
      <c r="AC329" s="9">
        <f t="shared" si="16"/>
        <v>580</v>
      </c>
      <c r="AD329" s="9">
        <f t="shared" si="17"/>
        <v>6718</v>
      </c>
      <c r="AE329" s="10">
        <f t="shared" si="18"/>
        <v>11.582758620689654</v>
      </c>
    </row>
    <row r="330" spans="1:31" x14ac:dyDescent="0.3">
      <c r="A330" s="55"/>
      <c r="B330" s="30" t="s">
        <v>332</v>
      </c>
      <c r="C330" s="9">
        <v>7</v>
      </c>
      <c r="D330" s="9">
        <v>1</v>
      </c>
      <c r="E330" s="9">
        <v>2</v>
      </c>
      <c r="F330" s="9">
        <v>5</v>
      </c>
      <c r="G330" s="9">
        <v>1</v>
      </c>
      <c r="H330" s="9">
        <v>8</v>
      </c>
      <c r="I330" s="9">
        <v>4</v>
      </c>
      <c r="J330" s="9">
        <v>12</v>
      </c>
      <c r="K330" s="9">
        <v>15</v>
      </c>
      <c r="L330" s="9">
        <v>18</v>
      </c>
      <c r="M330" s="9">
        <v>14</v>
      </c>
      <c r="N330" s="9">
        <v>14</v>
      </c>
      <c r="O330" s="9">
        <v>199</v>
      </c>
      <c r="P330" s="9">
        <v>9</v>
      </c>
      <c r="Q330" s="9">
        <v>11</v>
      </c>
      <c r="R330" s="9">
        <v>2</v>
      </c>
      <c r="S330" s="9">
        <v>2</v>
      </c>
      <c r="T330" s="9">
        <v>19</v>
      </c>
      <c r="U330" s="9">
        <v>0</v>
      </c>
      <c r="V330" s="9">
        <v>2</v>
      </c>
      <c r="W330" s="9">
        <v>1</v>
      </c>
      <c r="X330" s="9">
        <v>0</v>
      </c>
      <c r="Y330" s="9">
        <v>0</v>
      </c>
      <c r="Z330" s="9">
        <v>0</v>
      </c>
      <c r="AA330" s="9">
        <v>19</v>
      </c>
      <c r="AC330" s="9">
        <f t="shared" si="16"/>
        <v>365</v>
      </c>
      <c r="AD330" s="9">
        <f t="shared" si="17"/>
        <v>4306</v>
      </c>
      <c r="AE330" s="10">
        <f t="shared" si="18"/>
        <v>11.797260273972602</v>
      </c>
    </row>
    <row r="331" spans="1:31" x14ac:dyDescent="0.3">
      <c r="A331" s="55"/>
      <c r="B331" s="30" t="s">
        <v>333</v>
      </c>
      <c r="C331" s="9">
        <v>20</v>
      </c>
      <c r="D331" s="9">
        <v>4</v>
      </c>
      <c r="E331" s="9">
        <v>2</v>
      </c>
      <c r="F331" s="9">
        <v>9</v>
      </c>
      <c r="G331" s="9">
        <v>8</v>
      </c>
      <c r="H331" s="9">
        <v>12</v>
      </c>
      <c r="I331" s="9">
        <v>18</v>
      </c>
      <c r="J331" s="9">
        <v>20</v>
      </c>
      <c r="K331" s="9">
        <v>21</v>
      </c>
      <c r="L331" s="9">
        <v>15</v>
      </c>
      <c r="M331" s="9">
        <v>7</v>
      </c>
      <c r="N331" s="9">
        <v>7</v>
      </c>
      <c r="O331" s="9">
        <v>76</v>
      </c>
      <c r="P331" s="9">
        <v>1</v>
      </c>
      <c r="Q331" s="9">
        <v>9</v>
      </c>
      <c r="R331" s="9">
        <v>4</v>
      </c>
      <c r="S331" s="9">
        <v>0</v>
      </c>
      <c r="T331" s="9">
        <v>19</v>
      </c>
      <c r="U331" s="9">
        <v>0</v>
      </c>
      <c r="V331" s="9">
        <v>1</v>
      </c>
      <c r="W331" s="9">
        <v>0</v>
      </c>
      <c r="X331" s="9">
        <v>0</v>
      </c>
      <c r="Y331" s="9">
        <v>0</v>
      </c>
      <c r="Z331" s="9">
        <v>1</v>
      </c>
      <c r="AA331" s="9">
        <v>7</v>
      </c>
      <c r="AC331" s="9">
        <f t="shared" si="16"/>
        <v>261</v>
      </c>
      <c r="AD331" s="9">
        <f t="shared" si="17"/>
        <v>2469</v>
      </c>
      <c r="AE331" s="10">
        <f t="shared" si="18"/>
        <v>9.4597701149425291</v>
      </c>
    </row>
    <row r="332" spans="1:31" x14ac:dyDescent="0.3">
      <c r="A332" s="55"/>
      <c r="B332" s="30" t="s">
        <v>334</v>
      </c>
      <c r="C332" s="9">
        <v>25</v>
      </c>
      <c r="D332" s="9">
        <v>21</v>
      </c>
      <c r="E332" s="9">
        <v>13</v>
      </c>
      <c r="F332" s="9">
        <v>16</v>
      </c>
      <c r="G332" s="9">
        <v>30</v>
      </c>
      <c r="H332" s="9">
        <v>88</v>
      </c>
      <c r="I332" s="9">
        <v>71</v>
      </c>
      <c r="J332" s="9">
        <v>113</v>
      </c>
      <c r="K332" s="9">
        <v>151</v>
      </c>
      <c r="L332" s="9">
        <v>92</v>
      </c>
      <c r="M332" s="9">
        <v>109</v>
      </c>
      <c r="N332" s="9">
        <v>133</v>
      </c>
      <c r="O332" s="9">
        <v>1537</v>
      </c>
      <c r="P332" s="9">
        <v>308</v>
      </c>
      <c r="Q332" s="9">
        <v>413</v>
      </c>
      <c r="R332" s="9">
        <v>503</v>
      </c>
      <c r="S332" s="9">
        <v>193</v>
      </c>
      <c r="T332" s="9">
        <v>1351</v>
      </c>
      <c r="U332" s="9">
        <v>32</v>
      </c>
      <c r="V332" s="9">
        <v>63</v>
      </c>
      <c r="W332" s="9">
        <v>2</v>
      </c>
      <c r="X332" s="9">
        <v>1</v>
      </c>
      <c r="Y332" s="9">
        <v>1</v>
      </c>
      <c r="Z332" s="9">
        <v>1</v>
      </c>
      <c r="AA332" s="9">
        <v>80</v>
      </c>
      <c r="AC332" s="9">
        <f t="shared" si="16"/>
        <v>5347</v>
      </c>
      <c r="AD332" s="9">
        <f t="shared" si="17"/>
        <v>72090</v>
      </c>
      <c r="AE332" s="10">
        <f t="shared" si="18"/>
        <v>13.482326538245745</v>
      </c>
    </row>
    <row r="333" spans="1:31" x14ac:dyDescent="0.3">
      <c r="A333" s="55"/>
      <c r="B333" s="30" t="s">
        <v>335</v>
      </c>
      <c r="C333" s="9">
        <v>23</v>
      </c>
      <c r="D333" s="9">
        <v>5</v>
      </c>
      <c r="E333" s="9">
        <v>5</v>
      </c>
      <c r="F333" s="9">
        <v>8</v>
      </c>
      <c r="G333" s="9">
        <v>7</v>
      </c>
      <c r="H333" s="9">
        <v>26</v>
      </c>
      <c r="I333" s="9">
        <v>27</v>
      </c>
      <c r="J333" s="9">
        <v>28</v>
      </c>
      <c r="K333" s="9">
        <v>44</v>
      </c>
      <c r="L333" s="9">
        <v>18</v>
      </c>
      <c r="M333" s="9">
        <v>29</v>
      </c>
      <c r="N333" s="9">
        <v>39</v>
      </c>
      <c r="O333" s="9">
        <v>327</v>
      </c>
      <c r="P333" s="9">
        <v>41</v>
      </c>
      <c r="Q333" s="9">
        <v>64</v>
      </c>
      <c r="R333" s="9">
        <v>62</v>
      </c>
      <c r="S333" s="9">
        <v>12</v>
      </c>
      <c r="T333" s="9">
        <v>94</v>
      </c>
      <c r="U333" s="9">
        <v>4</v>
      </c>
      <c r="V333" s="9">
        <v>5</v>
      </c>
      <c r="W333" s="9">
        <v>0</v>
      </c>
      <c r="X333" s="9">
        <v>0</v>
      </c>
      <c r="Y333" s="9">
        <v>0</v>
      </c>
      <c r="Z333" s="9">
        <v>0</v>
      </c>
      <c r="AA333" s="9">
        <v>51</v>
      </c>
      <c r="AC333" s="9">
        <f t="shared" si="16"/>
        <v>919</v>
      </c>
      <c r="AD333" s="9">
        <f t="shared" si="17"/>
        <v>11252</v>
      </c>
      <c r="AE333" s="10">
        <f t="shared" si="18"/>
        <v>12.243743199129488</v>
      </c>
    </row>
    <row r="334" spans="1:31" x14ac:dyDescent="0.3">
      <c r="A334" s="55"/>
      <c r="B334" s="30" t="s">
        <v>336</v>
      </c>
      <c r="C334" s="9">
        <v>3</v>
      </c>
      <c r="D334" s="9">
        <v>0</v>
      </c>
      <c r="E334" s="9">
        <v>2</v>
      </c>
      <c r="F334" s="9">
        <v>2</v>
      </c>
      <c r="G334" s="9">
        <v>2</v>
      </c>
      <c r="H334" s="9">
        <v>5</v>
      </c>
      <c r="I334" s="9">
        <v>8</v>
      </c>
      <c r="J334" s="9">
        <v>8</v>
      </c>
      <c r="K334" s="9">
        <v>6</v>
      </c>
      <c r="L334" s="9">
        <v>2</v>
      </c>
      <c r="M334" s="9">
        <v>8</v>
      </c>
      <c r="N334" s="9">
        <v>10</v>
      </c>
      <c r="O334" s="9">
        <v>64</v>
      </c>
      <c r="P334" s="9">
        <v>4</v>
      </c>
      <c r="Q334" s="9">
        <v>14</v>
      </c>
      <c r="R334" s="9">
        <v>13</v>
      </c>
      <c r="S334" s="9">
        <v>4</v>
      </c>
      <c r="T334" s="9">
        <v>22</v>
      </c>
      <c r="U334" s="9">
        <v>0</v>
      </c>
      <c r="V334" s="9">
        <v>2</v>
      </c>
      <c r="W334" s="9">
        <v>0</v>
      </c>
      <c r="X334" s="9">
        <v>0</v>
      </c>
      <c r="Y334" s="9">
        <v>0</v>
      </c>
      <c r="Z334" s="9">
        <v>0</v>
      </c>
      <c r="AA334" s="9">
        <v>3</v>
      </c>
      <c r="AC334" s="9">
        <f t="shared" ref="AC334:AC346" si="19">SUM(C334:AA334)</f>
        <v>182</v>
      </c>
      <c r="AD334" s="9">
        <f t="shared" si="17"/>
        <v>2162</v>
      </c>
      <c r="AE334" s="10">
        <f t="shared" si="18"/>
        <v>11.87912087912088</v>
      </c>
    </row>
    <row r="335" spans="1:31" x14ac:dyDescent="0.3">
      <c r="A335" s="55"/>
      <c r="B335" s="30" t="s">
        <v>337</v>
      </c>
      <c r="C335" s="9">
        <v>4</v>
      </c>
      <c r="D335" s="9">
        <v>6</v>
      </c>
      <c r="E335" s="9">
        <v>3</v>
      </c>
      <c r="F335" s="9">
        <v>3</v>
      </c>
      <c r="G335" s="9">
        <v>10</v>
      </c>
      <c r="H335" s="9">
        <v>15</v>
      </c>
      <c r="I335" s="9">
        <v>18</v>
      </c>
      <c r="J335" s="9">
        <v>13</v>
      </c>
      <c r="K335" s="9">
        <v>19</v>
      </c>
      <c r="L335" s="9">
        <v>10</v>
      </c>
      <c r="M335" s="9">
        <v>10</v>
      </c>
      <c r="N335" s="9">
        <v>16</v>
      </c>
      <c r="O335" s="9">
        <v>89</v>
      </c>
      <c r="P335" s="9">
        <v>9</v>
      </c>
      <c r="Q335" s="9">
        <v>12</v>
      </c>
      <c r="R335" s="9">
        <v>20</v>
      </c>
      <c r="S335" s="9">
        <v>6</v>
      </c>
      <c r="T335" s="9">
        <v>38</v>
      </c>
      <c r="U335" s="9">
        <v>2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13</v>
      </c>
      <c r="AC335" s="9">
        <f t="shared" si="19"/>
        <v>316</v>
      </c>
      <c r="AD335" s="9">
        <f t="shared" si="17"/>
        <v>3596</v>
      </c>
      <c r="AE335" s="10">
        <f t="shared" si="18"/>
        <v>11.379746835443038</v>
      </c>
    </row>
    <row r="336" spans="1:31" x14ac:dyDescent="0.3">
      <c r="A336" s="55"/>
      <c r="B336" s="30" t="s">
        <v>338</v>
      </c>
      <c r="C336" s="9">
        <v>7</v>
      </c>
      <c r="D336" s="9">
        <v>5</v>
      </c>
      <c r="E336" s="9">
        <v>7</v>
      </c>
      <c r="F336" s="9">
        <v>8</v>
      </c>
      <c r="G336" s="9">
        <v>6</v>
      </c>
      <c r="H336" s="9">
        <v>12</v>
      </c>
      <c r="I336" s="9">
        <v>27</v>
      </c>
      <c r="J336" s="9">
        <v>28</v>
      </c>
      <c r="K336" s="9">
        <v>30</v>
      </c>
      <c r="L336" s="9">
        <v>13</v>
      </c>
      <c r="M336" s="9">
        <v>14</v>
      </c>
      <c r="N336" s="9">
        <v>19</v>
      </c>
      <c r="O336" s="9">
        <v>165</v>
      </c>
      <c r="P336" s="9">
        <v>39</v>
      </c>
      <c r="Q336" s="9">
        <v>24</v>
      </c>
      <c r="R336" s="9">
        <v>55</v>
      </c>
      <c r="S336" s="9">
        <v>17</v>
      </c>
      <c r="T336" s="9">
        <v>98</v>
      </c>
      <c r="U336" s="9">
        <v>0</v>
      </c>
      <c r="V336" s="9">
        <v>1</v>
      </c>
      <c r="W336" s="9">
        <v>0</v>
      </c>
      <c r="X336" s="9">
        <v>0</v>
      </c>
      <c r="Y336" s="9">
        <v>0</v>
      </c>
      <c r="Z336" s="9">
        <v>0</v>
      </c>
      <c r="AA336" s="9">
        <v>9</v>
      </c>
      <c r="AC336" s="9">
        <f t="shared" si="19"/>
        <v>584</v>
      </c>
      <c r="AD336" s="9">
        <f t="shared" si="17"/>
        <v>7012</v>
      </c>
      <c r="AE336" s="10">
        <f t="shared" si="18"/>
        <v>12.006849315068493</v>
      </c>
    </row>
    <row r="337" spans="1:31" x14ac:dyDescent="0.3">
      <c r="A337" s="55"/>
      <c r="B337" s="30" t="s">
        <v>339</v>
      </c>
      <c r="C337" s="9">
        <v>3</v>
      </c>
      <c r="D337" s="9">
        <v>1</v>
      </c>
      <c r="E337" s="9">
        <v>2</v>
      </c>
      <c r="F337" s="9">
        <v>4</v>
      </c>
      <c r="G337" s="9">
        <v>10</v>
      </c>
      <c r="H337" s="9">
        <v>6</v>
      </c>
      <c r="I337" s="9">
        <v>13</v>
      </c>
      <c r="J337" s="9">
        <v>11</v>
      </c>
      <c r="K337" s="9">
        <v>41</v>
      </c>
      <c r="L337" s="9">
        <v>19</v>
      </c>
      <c r="M337" s="9">
        <v>26</v>
      </c>
      <c r="N337" s="9">
        <v>24</v>
      </c>
      <c r="O337" s="9">
        <v>69</v>
      </c>
      <c r="P337" s="9">
        <v>1</v>
      </c>
      <c r="Q337" s="9">
        <v>9</v>
      </c>
      <c r="R337" s="9">
        <v>7</v>
      </c>
      <c r="S337" s="9">
        <v>0</v>
      </c>
      <c r="T337" s="9">
        <v>7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22</v>
      </c>
      <c r="AC337" s="9">
        <f t="shared" si="19"/>
        <v>275</v>
      </c>
      <c r="AD337" s="9">
        <f t="shared" si="17"/>
        <v>2984</v>
      </c>
      <c r="AE337" s="10">
        <f t="shared" si="18"/>
        <v>10.850909090909092</v>
      </c>
    </row>
    <row r="338" spans="1:31" x14ac:dyDescent="0.3">
      <c r="A338" s="55"/>
      <c r="B338" s="30" t="s">
        <v>340</v>
      </c>
      <c r="C338" s="9">
        <v>8</v>
      </c>
      <c r="D338" s="9">
        <v>1</v>
      </c>
      <c r="E338" s="9">
        <v>8</v>
      </c>
      <c r="F338" s="9">
        <v>12</v>
      </c>
      <c r="G338" s="9">
        <v>8</v>
      </c>
      <c r="H338" s="9">
        <v>27</v>
      </c>
      <c r="I338" s="9">
        <v>32</v>
      </c>
      <c r="J338" s="9">
        <v>37</v>
      </c>
      <c r="K338" s="9">
        <v>57</v>
      </c>
      <c r="L338" s="9">
        <v>25</v>
      </c>
      <c r="M338" s="9">
        <v>15</v>
      </c>
      <c r="N338" s="9">
        <v>20</v>
      </c>
      <c r="O338" s="9">
        <v>231</v>
      </c>
      <c r="P338" s="9">
        <v>14</v>
      </c>
      <c r="Q338" s="9">
        <v>23</v>
      </c>
      <c r="R338" s="9">
        <v>31</v>
      </c>
      <c r="S338" s="9">
        <v>7</v>
      </c>
      <c r="T338" s="9">
        <v>54</v>
      </c>
      <c r="U338" s="9">
        <v>1</v>
      </c>
      <c r="V338" s="9">
        <v>1</v>
      </c>
      <c r="W338" s="9">
        <v>2</v>
      </c>
      <c r="X338" s="9">
        <v>0</v>
      </c>
      <c r="Y338" s="9">
        <v>1</v>
      </c>
      <c r="Z338" s="9">
        <v>2</v>
      </c>
      <c r="AA338" s="9">
        <v>14</v>
      </c>
      <c r="AC338" s="9">
        <f t="shared" si="19"/>
        <v>631</v>
      </c>
      <c r="AD338" s="9">
        <f t="shared" si="17"/>
        <v>6974</v>
      </c>
      <c r="AE338" s="10">
        <f t="shared" si="18"/>
        <v>11.05229793977813</v>
      </c>
    </row>
    <row r="339" spans="1:31" x14ac:dyDescent="0.3">
      <c r="A339" s="55"/>
      <c r="B339" s="30" t="s">
        <v>341</v>
      </c>
      <c r="C339" s="9">
        <v>28</v>
      </c>
      <c r="D339" s="9">
        <v>1</v>
      </c>
      <c r="E339" s="9">
        <v>3</v>
      </c>
      <c r="F339" s="9">
        <v>14</v>
      </c>
      <c r="G339" s="9">
        <v>11</v>
      </c>
      <c r="H339" s="9">
        <v>20</v>
      </c>
      <c r="I339" s="9">
        <v>25</v>
      </c>
      <c r="J339" s="9">
        <v>35</v>
      </c>
      <c r="K339" s="9">
        <v>58</v>
      </c>
      <c r="L339" s="9">
        <v>34</v>
      </c>
      <c r="M339" s="9">
        <v>49</v>
      </c>
      <c r="N339" s="9">
        <v>66</v>
      </c>
      <c r="O339" s="9">
        <v>537</v>
      </c>
      <c r="P339" s="9">
        <v>43</v>
      </c>
      <c r="Q339" s="9">
        <v>70</v>
      </c>
      <c r="R339" s="9">
        <v>66</v>
      </c>
      <c r="S339" s="9">
        <v>22</v>
      </c>
      <c r="T339" s="9">
        <v>78</v>
      </c>
      <c r="U339" s="9">
        <v>2</v>
      </c>
      <c r="V339" s="9">
        <v>2</v>
      </c>
      <c r="W339" s="9">
        <v>0</v>
      </c>
      <c r="X339" s="9">
        <v>0</v>
      </c>
      <c r="Y339" s="9">
        <v>0</v>
      </c>
      <c r="Z339" s="9">
        <v>0</v>
      </c>
      <c r="AA339" s="9">
        <v>60</v>
      </c>
      <c r="AC339" s="9">
        <f t="shared" si="19"/>
        <v>1224</v>
      </c>
      <c r="AD339" s="9">
        <f t="shared" si="17"/>
        <v>14739</v>
      </c>
      <c r="AE339" s="10">
        <f t="shared" si="18"/>
        <v>12.041666666666666</v>
      </c>
    </row>
    <row r="340" spans="1:31" x14ac:dyDescent="0.3">
      <c r="A340" s="55"/>
      <c r="B340" s="30" t="s">
        <v>342</v>
      </c>
      <c r="C340" s="9">
        <v>10</v>
      </c>
      <c r="D340" s="9">
        <v>2</v>
      </c>
      <c r="E340" s="9">
        <v>1</v>
      </c>
      <c r="F340" s="9">
        <v>8</v>
      </c>
      <c r="G340" s="9">
        <v>11</v>
      </c>
      <c r="H340" s="9">
        <v>30</v>
      </c>
      <c r="I340" s="9">
        <v>32</v>
      </c>
      <c r="J340" s="9">
        <v>40</v>
      </c>
      <c r="K340" s="9">
        <v>59</v>
      </c>
      <c r="L340" s="9">
        <v>30</v>
      </c>
      <c r="M340" s="9">
        <v>35</v>
      </c>
      <c r="N340" s="9">
        <v>52</v>
      </c>
      <c r="O340" s="9">
        <v>366</v>
      </c>
      <c r="P340" s="9">
        <v>23</v>
      </c>
      <c r="Q340" s="9">
        <v>39</v>
      </c>
      <c r="R340" s="9">
        <v>26</v>
      </c>
      <c r="S340" s="9">
        <v>14</v>
      </c>
      <c r="T340" s="9">
        <v>55</v>
      </c>
      <c r="U340" s="9">
        <v>1</v>
      </c>
      <c r="V340" s="9">
        <v>2</v>
      </c>
      <c r="W340" s="9">
        <v>0</v>
      </c>
      <c r="X340" s="9">
        <v>0</v>
      </c>
      <c r="Y340" s="9">
        <v>0</v>
      </c>
      <c r="Z340" s="9">
        <v>0</v>
      </c>
      <c r="AA340" s="9">
        <v>21</v>
      </c>
      <c r="AC340" s="9">
        <f t="shared" si="19"/>
        <v>857</v>
      </c>
      <c r="AD340" s="9">
        <f t="shared" si="17"/>
        <v>9704</v>
      </c>
      <c r="AE340" s="10">
        <f t="shared" si="18"/>
        <v>11.323220536756127</v>
      </c>
    </row>
    <row r="341" spans="1:31" x14ac:dyDescent="0.3">
      <c r="A341" s="55"/>
      <c r="B341" s="30" t="s">
        <v>343</v>
      </c>
      <c r="C341" s="9">
        <v>10</v>
      </c>
      <c r="D341" s="9">
        <v>4</v>
      </c>
      <c r="E341" s="9">
        <v>8</v>
      </c>
      <c r="F341" s="9">
        <v>10</v>
      </c>
      <c r="G341" s="9">
        <v>13</v>
      </c>
      <c r="H341" s="9">
        <v>40</v>
      </c>
      <c r="I341" s="9">
        <v>49</v>
      </c>
      <c r="J341" s="9">
        <v>50</v>
      </c>
      <c r="K341" s="9">
        <v>63</v>
      </c>
      <c r="L341" s="9">
        <v>37</v>
      </c>
      <c r="M341" s="9">
        <v>44</v>
      </c>
      <c r="N341" s="9">
        <v>39</v>
      </c>
      <c r="O341" s="9">
        <v>259</v>
      </c>
      <c r="P341" s="9">
        <v>26</v>
      </c>
      <c r="Q341" s="9">
        <v>29</v>
      </c>
      <c r="R341" s="9">
        <v>27</v>
      </c>
      <c r="S341" s="9">
        <v>8</v>
      </c>
      <c r="T341" s="9">
        <v>74</v>
      </c>
      <c r="U341" s="9">
        <v>3</v>
      </c>
      <c r="V341" s="9">
        <v>3</v>
      </c>
      <c r="W341" s="9">
        <v>0</v>
      </c>
      <c r="X341" s="9">
        <v>0</v>
      </c>
      <c r="Y341" s="9">
        <v>0</v>
      </c>
      <c r="Z341" s="9">
        <v>1</v>
      </c>
      <c r="AA341" s="9">
        <v>26</v>
      </c>
      <c r="AC341" s="9">
        <f t="shared" si="19"/>
        <v>823</v>
      </c>
      <c r="AD341" s="9">
        <f t="shared" si="17"/>
        <v>9053</v>
      </c>
      <c r="AE341" s="10">
        <f t="shared" si="18"/>
        <v>11</v>
      </c>
    </row>
    <row r="342" spans="1:31" x14ac:dyDescent="0.3">
      <c r="A342" s="55"/>
      <c r="B342" s="30" t="s">
        <v>344</v>
      </c>
      <c r="C342" s="9">
        <v>6</v>
      </c>
      <c r="D342" s="9">
        <v>5</v>
      </c>
      <c r="E342" s="9">
        <v>2</v>
      </c>
      <c r="F342" s="9">
        <v>1</v>
      </c>
      <c r="G342" s="9">
        <v>5</v>
      </c>
      <c r="H342" s="9">
        <v>9</v>
      </c>
      <c r="I342" s="9">
        <v>11</v>
      </c>
      <c r="J342" s="9">
        <v>13</v>
      </c>
      <c r="K342" s="9">
        <v>16</v>
      </c>
      <c r="L342" s="9">
        <v>8</v>
      </c>
      <c r="M342" s="9">
        <v>8</v>
      </c>
      <c r="N342" s="9">
        <v>10</v>
      </c>
      <c r="O342" s="9">
        <v>89</v>
      </c>
      <c r="P342" s="9">
        <v>8</v>
      </c>
      <c r="Q342" s="9">
        <v>15</v>
      </c>
      <c r="R342" s="9">
        <v>6</v>
      </c>
      <c r="S342" s="9">
        <v>2</v>
      </c>
      <c r="T342" s="9">
        <v>22</v>
      </c>
      <c r="U342" s="9">
        <v>1</v>
      </c>
      <c r="V342" s="9">
        <v>1</v>
      </c>
      <c r="W342" s="9">
        <v>0</v>
      </c>
      <c r="X342" s="9">
        <v>0</v>
      </c>
      <c r="Y342" s="9">
        <v>0</v>
      </c>
      <c r="Z342" s="9">
        <v>0</v>
      </c>
      <c r="AA342" s="9">
        <v>7</v>
      </c>
      <c r="AC342" s="9">
        <f t="shared" si="19"/>
        <v>245</v>
      </c>
      <c r="AD342" s="9">
        <f t="shared" si="17"/>
        <v>2707</v>
      </c>
      <c r="AE342" s="10">
        <f t="shared" si="18"/>
        <v>11.048979591836735</v>
      </c>
    </row>
    <row r="343" spans="1:31" x14ac:dyDescent="0.3">
      <c r="A343" s="55"/>
      <c r="B343" s="30" t="s">
        <v>345</v>
      </c>
      <c r="C343" s="9">
        <v>3</v>
      </c>
      <c r="D343" s="9">
        <v>3</v>
      </c>
      <c r="E343" s="9">
        <v>4</v>
      </c>
      <c r="F343" s="9">
        <v>5</v>
      </c>
      <c r="G343" s="9">
        <v>7</v>
      </c>
      <c r="H343" s="9">
        <v>10</v>
      </c>
      <c r="I343" s="9">
        <v>9</v>
      </c>
      <c r="J343" s="9">
        <v>12</v>
      </c>
      <c r="K343" s="9">
        <v>21</v>
      </c>
      <c r="L343" s="9">
        <v>5</v>
      </c>
      <c r="M343" s="9">
        <v>10</v>
      </c>
      <c r="N343" s="9">
        <v>5</v>
      </c>
      <c r="O343" s="9">
        <v>71</v>
      </c>
      <c r="P343" s="9">
        <v>2</v>
      </c>
      <c r="Q343" s="9">
        <v>8</v>
      </c>
      <c r="R343" s="9">
        <v>2</v>
      </c>
      <c r="S343" s="9">
        <v>2</v>
      </c>
      <c r="T343" s="9">
        <v>12</v>
      </c>
      <c r="U343" s="9">
        <v>0</v>
      </c>
      <c r="V343" s="9">
        <v>1</v>
      </c>
      <c r="W343" s="9">
        <v>0</v>
      </c>
      <c r="X343" s="9">
        <v>0</v>
      </c>
      <c r="Y343" s="9">
        <v>0</v>
      </c>
      <c r="Z343" s="9">
        <v>0</v>
      </c>
      <c r="AA343" s="9">
        <v>1</v>
      </c>
      <c r="AC343" s="9">
        <f t="shared" si="19"/>
        <v>193</v>
      </c>
      <c r="AD343" s="9">
        <f t="shared" si="17"/>
        <v>1909</v>
      </c>
      <c r="AE343" s="10">
        <f t="shared" si="18"/>
        <v>9.8911917098445592</v>
      </c>
    </row>
    <row r="344" spans="1:31" x14ac:dyDescent="0.3">
      <c r="A344" s="55"/>
      <c r="B344" s="30" t="s">
        <v>346</v>
      </c>
      <c r="C344" s="9">
        <v>2</v>
      </c>
      <c r="D344" s="9">
        <v>0</v>
      </c>
      <c r="E344" s="9">
        <v>0</v>
      </c>
      <c r="F344" s="9">
        <v>1</v>
      </c>
      <c r="G344" s="9">
        <v>1</v>
      </c>
      <c r="H344" s="9">
        <v>5</v>
      </c>
      <c r="I344" s="9">
        <v>3</v>
      </c>
      <c r="J344" s="9">
        <v>7</v>
      </c>
      <c r="K344" s="9">
        <v>7</v>
      </c>
      <c r="L344" s="9">
        <v>4</v>
      </c>
      <c r="M344" s="9">
        <v>6</v>
      </c>
      <c r="N344" s="9">
        <v>6</v>
      </c>
      <c r="O344" s="9">
        <v>48</v>
      </c>
      <c r="P344" s="9">
        <v>4</v>
      </c>
      <c r="Q344" s="9">
        <v>11</v>
      </c>
      <c r="R344" s="9">
        <v>3</v>
      </c>
      <c r="S344" s="9">
        <v>0</v>
      </c>
      <c r="T344" s="9">
        <v>11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8</v>
      </c>
      <c r="AC344" s="9">
        <f t="shared" si="19"/>
        <v>127</v>
      </c>
      <c r="AD344" s="9">
        <f t="shared" si="17"/>
        <v>1523</v>
      </c>
      <c r="AE344" s="10">
        <f t="shared" si="18"/>
        <v>11.992125984251969</v>
      </c>
    </row>
    <row r="345" spans="1:31" x14ac:dyDescent="0.3">
      <c r="A345" s="55"/>
      <c r="B345" s="30" t="s">
        <v>347</v>
      </c>
      <c r="C345" s="9">
        <v>2</v>
      </c>
      <c r="D345" s="9">
        <v>1</v>
      </c>
      <c r="E345" s="9">
        <v>0</v>
      </c>
      <c r="F345" s="9">
        <v>1</v>
      </c>
      <c r="G345" s="9">
        <v>4</v>
      </c>
      <c r="H345" s="9">
        <v>4</v>
      </c>
      <c r="I345" s="9">
        <v>10</v>
      </c>
      <c r="J345" s="9">
        <v>15</v>
      </c>
      <c r="K345" s="9">
        <v>14</v>
      </c>
      <c r="L345" s="9">
        <v>15</v>
      </c>
      <c r="M345" s="9">
        <v>7</v>
      </c>
      <c r="N345" s="9">
        <v>9</v>
      </c>
      <c r="O345" s="9">
        <v>68</v>
      </c>
      <c r="P345" s="9">
        <v>4</v>
      </c>
      <c r="Q345" s="9">
        <v>9</v>
      </c>
      <c r="R345" s="9">
        <v>5</v>
      </c>
      <c r="S345" s="9">
        <v>0</v>
      </c>
      <c r="T345" s="9">
        <v>10</v>
      </c>
      <c r="U345" s="9">
        <v>2</v>
      </c>
      <c r="V345" s="9">
        <v>2</v>
      </c>
      <c r="W345" s="9">
        <v>0</v>
      </c>
      <c r="X345" s="9">
        <v>0</v>
      </c>
      <c r="Y345" s="9">
        <v>0</v>
      </c>
      <c r="Z345" s="9">
        <v>0</v>
      </c>
      <c r="AA345" s="9">
        <v>5</v>
      </c>
      <c r="AC345" s="9">
        <f t="shared" si="19"/>
        <v>187</v>
      </c>
      <c r="AD345" s="9">
        <f t="shared" si="17"/>
        <v>2054</v>
      </c>
      <c r="AE345" s="10">
        <f t="shared" si="18"/>
        <v>10.983957219251337</v>
      </c>
    </row>
    <row r="346" spans="1:31" x14ac:dyDescent="0.3">
      <c r="A346" s="55"/>
      <c r="B346" s="30" t="s">
        <v>348</v>
      </c>
      <c r="C346" s="15">
        <v>2</v>
      </c>
      <c r="D346" s="14">
        <v>1</v>
      </c>
      <c r="E346" s="14">
        <v>0</v>
      </c>
      <c r="F346" s="14">
        <v>2</v>
      </c>
      <c r="G346" s="14">
        <v>2</v>
      </c>
      <c r="H346" s="14">
        <v>6</v>
      </c>
      <c r="I346" s="14">
        <v>10</v>
      </c>
      <c r="J346" s="14">
        <v>11</v>
      </c>
      <c r="K346" s="14">
        <v>16</v>
      </c>
      <c r="L346" s="14">
        <v>15</v>
      </c>
      <c r="M346" s="14">
        <v>13</v>
      </c>
      <c r="N346" s="14">
        <v>8</v>
      </c>
      <c r="O346" s="14">
        <v>47</v>
      </c>
      <c r="P346" s="14">
        <v>3</v>
      </c>
      <c r="Q346" s="14">
        <v>3</v>
      </c>
      <c r="R346" s="14">
        <v>2</v>
      </c>
      <c r="S346" s="14">
        <v>0</v>
      </c>
      <c r="T346" s="14">
        <v>7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1</v>
      </c>
      <c r="AA346" s="14">
        <v>19</v>
      </c>
      <c r="AC346" s="14">
        <f t="shared" si="19"/>
        <v>168</v>
      </c>
      <c r="AD346" s="14">
        <f t="shared" si="17"/>
        <v>1936</v>
      </c>
      <c r="AE346" s="16">
        <f>AD346/AC346</f>
        <v>11.523809523809524</v>
      </c>
    </row>
    <row r="347" spans="1:31" x14ac:dyDescent="0.3">
      <c r="A347" s="11"/>
      <c r="C347" s="17">
        <f>SUM(C4:C346)</f>
        <v>12178</v>
      </c>
      <c r="D347" s="17">
        <f t="shared" ref="D347:AA347" si="20">SUM(D4:D346)</f>
        <v>5738</v>
      </c>
      <c r="E347" s="17">
        <f t="shared" si="20"/>
        <v>7973</v>
      </c>
      <c r="F347" s="17">
        <f t="shared" si="20"/>
        <v>15274</v>
      </c>
      <c r="G347" s="17">
        <f t="shared" si="20"/>
        <v>15557</v>
      </c>
      <c r="H347" s="17">
        <f t="shared" si="20"/>
        <v>32981</v>
      </c>
      <c r="I347" s="17">
        <f t="shared" si="20"/>
        <v>30623</v>
      </c>
      <c r="J347" s="17">
        <f t="shared" si="20"/>
        <v>27542</v>
      </c>
      <c r="K347" s="17">
        <f t="shared" si="20"/>
        <v>41873</v>
      </c>
      <c r="L347" s="17">
        <f t="shared" si="20"/>
        <v>23441</v>
      </c>
      <c r="M347" s="17">
        <f t="shared" si="20"/>
        <v>25426</v>
      </c>
      <c r="N347" s="17">
        <f t="shared" si="20"/>
        <v>24171</v>
      </c>
      <c r="O347" s="17">
        <f t="shared" si="20"/>
        <v>300220</v>
      </c>
      <c r="P347" s="17">
        <f t="shared" si="20"/>
        <v>36023</v>
      </c>
      <c r="Q347" s="17">
        <f t="shared" si="20"/>
        <v>69769</v>
      </c>
      <c r="R347" s="17">
        <f t="shared" si="20"/>
        <v>84293</v>
      </c>
      <c r="S347" s="17">
        <f t="shared" si="20"/>
        <v>26514</v>
      </c>
      <c r="T347" s="17">
        <f t="shared" si="20"/>
        <v>225644</v>
      </c>
      <c r="U347" s="17">
        <f t="shared" si="20"/>
        <v>5952</v>
      </c>
      <c r="V347" s="17">
        <f t="shared" si="20"/>
        <v>15411</v>
      </c>
      <c r="W347" s="17">
        <f t="shared" si="20"/>
        <v>314</v>
      </c>
      <c r="X347" s="17">
        <f t="shared" si="20"/>
        <v>123</v>
      </c>
      <c r="Y347" s="17">
        <f t="shared" si="20"/>
        <v>128</v>
      </c>
      <c r="Z347" s="17">
        <f t="shared" si="20"/>
        <v>812</v>
      </c>
      <c r="AA347" s="17">
        <f t="shared" si="20"/>
        <v>17700</v>
      </c>
      <c r="AC347" s="17">
        <f t="shared" ref="AC347:AD347" si="21">SUM(AC4:AC346)</f>
        <v>1045680</v>
      </c>
      <c r="AD347" s="17">
        <f t="shared" si="21"/>
        <v>13164637</v>
      </c>
      <c r="AE347" s="18">
        <f>AD347/AC347</f>
        <v>12.58954651518629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D665-1FB3-421E-A9AA-F062476A66C3}">
  <dimension ref="A1:D354"/>
  <sheetViews>
    <sheetView workbookViewId="0">
      <selection activeCell="C5" sqref="C5"/>
    </sheetView>
  </sheetViews>
  <sheetFormatPr baseColWidth="10" defaultColWidth="11.5546875" defaultRowHeight="14.4" x14ac:dyDescent="0.3"/>
  <cols>
    <col min="1" max="1" width="8.33203125" style="1" bestFit="1" customWidth="1"/>
    <col min="2" max="2" width="77" style="1" bestFit="1" customWidth="1"/>
    <col min="3" max="3" width="24.5546875" style="1" customWidth="1"/>
    <col min="4" max="4" width="26.109375" style="1" bestFit="1" customWidth="1"/>
    <col min="5" max="16384" width="11.5546875" style="1"/>
  </cols>
  <sheetData>
    <row r="1" spans="1:4" ht="15" thickBot="1" x14ac:dyDescent="0.35">
      <c r="A1" s="44" t="s">
        <v>365</v>
      </c>
      <c r="B1" s="40" t="s">
        <v>366</v>
      </c>
      <c r="C1" s="5" t="s">
        <v>711</v>
      </c>
      <c r="D1" s="5" t="s">
        <v>712</v>
      </c>
    </row>
    <row r="2" spans="1:4" x14ac:dyDescent="0.3">
      <c r="A2" s="47">
        <v>10101</v>
      </c>
      <c r="B2" s="45" t="s">
        <v>584</v>
      </c>
      <c r="C2" s="10">
        <v>11.310806723415288</v>
      </c>
      <c r="D2" s="10">
        <f>'[1]25-35 female'!AE4</f>
        <v>13.706313993174062</v>
      </c>
    </row>
    <row r="3" spans="1:4" x14ac:dyDescent="0.3">
      <c r="A3" s="47">
        <v>10102</v>
      </c>
      <c r="B3" s="45" t="s">
        <v>566</v>
      </c>
      <c r="C3" s="10">
        <v>7.9951534733441036</v>
      </c>
      <c r="D3" s="10">
        <f>'[1]25-35 female'!AE5</f>
        <v>12.271966527196653</v>
      </c>
    </row>
    <row r="4" spans="1:4" x14ac:dyDescent="0.3">
      <c r="A4" s="47">
        <v>10103</v>
      </c>
      <c r="B4" s="45" t="s">
        <v>391</v>
      </c>
      <c r="C4" s="10">
        <v>4.1668311944718655</v>
      </c>
      <c r="D4" s="10">
        <f>'[1]25-35 female'!AE6</f>
        <v>8.1765498652291111</v>
      </c>
    </row>
    <row r="5" spans="1:4" x14ac:dyDescent="0.3">
      <c r="A5" s="47">
        <v>10201</v>
      </c>
      <c r="B5" s="45" t="s">
        <v>525</v>
      </c>
      <c r="C5" s="10">
        <v>5.1266766020864383</v>
      </c>
      <c r="D5" s="10">
        <f>'[1]25-35 female'!AE7</f>
        <v>9.8138075313807533</v>
      </c>
    </row>
    <row r="6" spans="1:4" x14ac:dyDescent="0.3">
      <c r="A6" s="47">
        <v>10202</v>
      </c>
      <c r="B6" s="45" t="s">
        <v>569</v>
      </c>
      <c r="C6" s="10">
        <v>5.0780619111709289</v>
      </c>
      <c r="D6" s="10">
        <f>'[1]25-35 female'!AE8</f>
        <v>9.6146645865834639</v>
      </c>
    </row>
    <row r="7" spans="1:4" x14ac:dyDescent="0.3">
      <c r="A7" s="47">
        <v>10301</v>
      </c>
      <c r="B7" s="45" t="s">
        <v>501</v>
      </c>
      <c r="C7" s="10">
        <v>7.0773881499395408</v>
      </c>
      <c r="D7" s="10">
        <f>'[1]25-35 female'!AE9</f>
        <v>10.168421052631579</v>
      </c>
    </row>
    <row r="8" spans="1:4" x14ac:dyDescent="0.3">
      <c r="A8" s="47">
        <v>10302</v>
      </c>
      <c r="B8" s="45" t="s">
        <v>435</v>
      </c>
      <c r="C8" s="10">
        <v>5.3995815899581592</v>
      </c>
      <c r="D8" s="10">
        <f>'[1]25-35 female'!AE10</f>
        <v>8.7318271119842823</v>
      </c>
    </row>
    <row r="9" spans="1:4" x14ac:dyDescent="0.3">
      <c r="A9" s="47">
        <v>10303</v>
      </c>
      <c r="B9" s="45" t="s">
        <v>590</v>
      </c>
      <c r="C9" s="10">
        <v>6.4256198347107434</v>
      </c>
      <c r="D9" s="10">
        <f>'[1]25-35 female'!AE11</f>
        <v>10.624407582938389</v>
      </c>
    </row>
    <row r="10" spans="1:4" x14ac:dyDescent="0.3">
      <c r="A10" s="47">
        <v>10304</v>
      </c>
      <c r="B10" s="45" t="s">
        <v>497</v>
      </c>
      <c r="C10" s="10">
        <v>5.7711670480549202</v>
      </c>
      <c r="D10" s="10">
        <f>'[1]25-35 female'!AE12</f>
        <v>10.193055555555556</v>
      </c>
    </row>
    <row r="11" spans="1:4" x14ac:dyDescent="0.3">
      <c r="A11" s="47">
        <v>10401</v>
      </c>
      <c r="B11" s="45" t="s">
        <v>689</v>
      </c>
      <c r="C11" s="10">
        <v>7.2141843971631205</v>
      </c>
      <c r="D11" s="10">
        <f>'[1]25-35 female'!AE13</f>
        <v>11.2768</v>
      </c>
    </row>
    <row r="12" spans="1:4" x14ac:dyDescent="0.3">
      <c r="A12" s="47">
        <v>10402</v>
      </c>
      <c r="B12" s="45" t="s">
        <v>606</v>
      </c>
      <c r="C12" s="10">
        <v>5.7871198568872986</v>
      </c>
      <c r="D12" s="10">
        <f>'[1]25-35 female'!AE14</f>
        <v>9.964757709251101</v>
      </c>
    </row>
    <row r="13" spans="1:4" x14ac:dyDescent="0.3">
      <c r="A13" s="47">
        <v>10403</v>
      </c>
      <c r="B13" s="45" t="s">
        <v>500</v>
      </c>
      <c r="C13" s="10">
        <v>5.732394366197183</v>
      </c>
      <c r="D13" s="10">
        <f>'[1]25-35 female'!AE15</f>
        <v>9.3041666666666671</v>
      </c>
    </row>
    <row r="14" spans="1:4" x14ac:dyDescent="0.3">
      <c r="A14" s="47">
        <v>10404</v>
      </c>
      <c r="B14" s="45" t="s">
        <v>682</v>
      </c>
      <c r="C14" s="10">
        <v>8.6579572446555826</v>
      </c>
      <c r="D14" s="10">
        <f>'[1]25-35 female'!AE16</f>
        <v>13.193650793650793</v>
      </c>
    </row>
    <row r="15" spans="1:4" x14ac:dyDescent="0.3">
      <c r="A15" s="47">
        <v>10405</v>
      </c>
      <c r="B15" s="45" t="s">
        <v>693</v>
      </c>
      <c r="C15" s="10">
        <v>6.9022801302931596</v>
      </c>
      <c r="D15" s="10">
        <f>'[1]25-35 female'!AE17</f>
        <v>11.842391304347826</v>
      </c>
    </row>
    <row r="16" spans="1:4" x14ac:dyDescent="0.3">
      <c r="A16" s="47">
        <v>10501</v>
      </c>
      <c r="B16" s="45" t="s">
        <v>674</v>
      </c>
      <c r="C16" s="10">
        <v>8.7535799522673035</v>
      </c>
      <c r="D16" s="10">
        <f>'[1]25-35 female'!AE18</f>
        <v>12.534883720930232</v>
      </c>
    </row>
    <row r="17" spans="1:4" x14ac:dyDescent="0.3">
      <c r="A17" s="47">
        <v>10502</v>
      </c>
      <c r="B17" s="45" t="s">
        <v>579</v>
      </c>
      <c r="C17" s="10">
        <v>7.2380038387715935</v>
      </c>
      <c r="D17" s="10">
        <f>'[1]25-35 female'!AE19</f>
        <v>11.004166666666666</v>
      </c>
    </row>
    <row r="18" spans="1:4" x14ac:dyDescent="0.3">
      <c r="A18" s="47">
        <v>10601</v>
      </c>
      <c r="B18" s="45" t="s">
        <v>436</v>
      </c>
      <c r="C18" s="10">
        <v>5.5634920634920633</v>
      </c>
      <c r="D18" s="10">
        <f>'[1]25-35 female'!AE20</f>
        <v>9.9184993531694694</v>
      </c>
    </row>
    <row r="19" spans="1:4" x14ac:dyDescent="0.3">
      <c r="A19" s="47">
        <v>10602</v>
      </c>
      <c r="B19" s="45" t="s">
        <v>493</v>
      </c>
      <c r="C19" s="10">
        <v>6.977739726027397</v>
      </c>
      <c r="D19" s="10">
        <f>'[1]25-35 female'!AE21</f>
        <v>10.306306306306306</v>
      </c>
    </row>
    <row r="20" spans="1:4" x14ac:dyDescent="0.3">
      <c r="A20" s="47">
        <v>10701</v>
      </c>
      <c r="B20" s="45" t="s">
        <v>676</v>
      </c>
      <c r="C20" s="10">
        <v>8.3656195462478191</v>
      </c>
      <c r="D20" s="10">
        <f>'[1]25-35 female'!AE22</f>
        <v>11.078726968174204</v>
      </c>
    </row>
    <row r="21" spans="1:4" x14ac:dyDescent="0.3">
      <c r="A21" s="47">
        <v>10702</v>
      </c>
      <c r="B21" s="45" t="s">
        <v>419</v>
      </c>
      <c r="C21" s="10">
        <v>5.7678476996298258</v>
      </c>
      <c r="D21" s="10">
        <f>'[1]25-35 female'!AE23</f>
        <v>9.9294532627865966</v>
      </c>
    </row>
    <row r="22" spans="1:4" x14ac:dyDescent="0.3">
      <c r="A22" s="47">
        <v>10703</v>
      </c>
      <c r="B22" s="45" t="s">
        <v>472</v>
      </c>
      <c r="C22" s="10">
        <v>6.138427464008859</v>
      </c>
      <c r="D22" s="10">
        <f>'[1]25-35 female'!AE24</f>
        <v>9.2788161993769478</v>
      </c>
    </row>
    <row r="23" spans="1:4" x14ac:dyDescent="0.3">
      <c r="A23" s="47">
        <v>10704</v>
      </c>
      <c r="B23" s="45" t="s">
        <v>512</v>
      </c>
      <c r="C23" s="10">
        <v>5.5109361329833773</v>
      </c>
      <c r="D23" s="10">
        <f>'[1]25-35 female'!AE25</f>
        <v>9.2751371115173669</v>
      </c>
    </row>
    <row r="24" spans="1:4" x14ac:dyDescent="0.3">
      <c r="A24" s="47">
        <v>10801</v>
      </c>
      <c r="B24" s="45" t="s">
        <v>598</v>
      </c>
      <c r="C24" s="10">
        <v>6.9351851851851851</v>
      </c>
      <c r="D24" s="10">
        <f>'[1]25-35 female'!AE26</f>
        <v>11.336252189141856</v>
      </c>
    </row>
    <row r="25" spans="1:4" x14ac:dyDescent="0.3">
      <c r="A25" s="47">
        <v>10901</v>
      </c>
      <c r="B25" s="45" t="s">
        <v>636</v>
      </c>
      <c r="C25" s="10">
        <v>7.6290909090909089</v>
      </c>
      <c r="D25" s="10">
        <f>'[1]25-35 female'!AE27</f>
        <v>11.422131147540984</v>
      </c>
    </row>
    <row r="26" spans="1:4" x14ac:dyDescent="0.3">
      <c r="A26" s="47">
        <v>10902</v>
      </c>
      <c r="B26" s="45" t="s">
        <v>608</v>
      </c>
      <c r="C26" s="10">
        <v>6.1672473867595823</v>
      </c>
      <c r="D26" s="10">
        <f>'[1]25-35 female'!AE28</f>
        <v>9.6610837438423651</v>
      </c>
    </row>
    <row r="27" spans="1:4" x14ac:dyDescent="0.3">
      <c r="A27" s="47">
        <v>10903</v>
      </c>
      <c r="B27" s="45" t="s">
        <v>658</v>
      </c>
      <c r="C27" s="10">
        <v>8.140575079872205</v>
      </c>
      <c r="D27" s="10">
        <f>'[1]25-35 female'!AE29</f>
        <v>11.359728506787331</v>
      </c>
    </row>
    <row r="28" spans="1:4" x14ac:dyDescent="0.3">
      <c r="A28" s="47">
        <v>11001</v>
      </c>
      <c r="B28" s="45" t="s">
        <v>663</v>
      </c>
      <c r="C28" s="10">
        <v>8.1932515337423322</v>
      </c>
      <c r="D28" s="10">
        <f>'[1]25-35 female'!AE30</f>
        <v>12.205076142131979</v>
      </c>
    </row>
    <row r="29" spans="1:4" x14ac:dyDescent="0.3">
      <c r="A29" s="47">
        <v>11002</v>
      </c>
      <c r="B29" s="45" t="s">
        <v>656</v>
      </c>
      <c r="C29" s="10">
        <v>8.5070422535211261</v>
      </c>
      <c r="D29" s="10">
        <f>'[1]25-35 female'!AE31</f>
        <v>11.155913978494624</v>
      </c>
    </row>
    <row r="30" spans="1:4" x14ac:dyDescent="0.3">
      <c r="A30" s="47">
        <v>11003</v>
      </c>
      <c r="B30" s="45" t="s">
        <v>654</v>
      </c>
      <c r="C30" s="10">
        <v>8.7561436672967865</v>
      </c>
      <c r="D30" s="10">
        <f>'[1]25-35 female'!AE32</f>
        <v>11.406438631790744</v>
      </c>
    </row>
    <row r="31" spans="1:4" x14ac:dyDescent="0.3">
      <c r="A31" s="47">
        <v>20101</v>
      </c>
      <c r="B31" s="45" t="s">
        <v>629</v>
      </c>
      <c r="C31" s="10">
        <v>13.181874763219136</v>
      </c>
      <c r="D31" s="10">
        <f>'[1]25-35 female'!AE33</f>
        <v>14.855876449598572</v>
      </c>
    </row>
    <row r="32" spans="1:4" x14ac:dyDescent="0.3">
      <c r="A32" s="47">
        <v>20102</v>
      </c>
      <c r="B32" s="45" t="s">
        <v>431</v>
      </c>
      <c r="C32" s="10">
        <v>6.2200532386867788</v>
      </c>
      <c r="D32" s="10">
        <f>'[1]25-35 female'!AE34</f>
        <v>10.358974358974359</v>
      </c>
    </row>
    <row r="33" spans="1:4" x14ac:dyDescent="0.3">
      <c r="A33" s="47">
        <v>20103</v>
      </c>
      <c r="B33" s="45" t="s">
        <v>524</v>
      </c>
      <c r="C33" s="10">
        <v>8.8119658119658126</v>
      </c>
      <c r="D33" s="10">
        <f>'[1]25-35 female'!AE35</f>
        <v>12.269565217391305</v>
      </c>
    </row>
    <row r="34" spans="1:4" x14ac:dyDescent="0.3">
      <c r="A34" s="47">
        <v>20104</v>
      </c>
      <c r="B34" s="45" t="s">
        <v>495</v>
      </c>
      <c r="C34" s="10">
        <v>8.6933560477001706</v>
      </c>
      <c r="D34" s="10">
        <f>'[1]25-35 female'!AE36</f>
        <v>12.345785876993165</v>
      </c>
    </row>
    <row r="35" spans="1:4" x14ac:dyDescent="0.3">
      <c r="A35" s="47">
        <v>20105</v>
      </c>
      <c r="B35" s="45" t="s">
        <v>574</v>
      </c>
      <c r="C35" s="10">
        <v>10.523937370809476</v>
      </c>
      <c r="D35" s="10">
        <f>'[1]25-35 female'!AE37</f>
        <v>13.465656544236152</v>
      </c>
    </row>
    <row r="36" spans="1:4" x14ac:dyDescent="0.3">
      <c r="A36" s="47">
        <v>20201</v>
      </c>
      <c r="B36" s="45" t="s">
        <v>433</v>
      </c>
      <c r="C36" s="10">
        <v>8.7494267933180474</v>
      </c>
      <c r="D36" s="10">
        <f>'[1]25-35 female'!AE38</f>
        <v>12.300416088765603</v>
      </c>
    </row>
    <row r="37" spans="1:4" x14ac:dyDescent="0.3">
      <c r="A37" s="47">
        <v>20202</v>
      </c>
      <c r="B37" s="45" t="s">
        <v>401</v>
      </c>
      <c r="C37" s="10">
        <v>6.9985507246376812</v>
      </c>
      <c r="D37" s="10">
        <f>'[1]25-35 female'!AE39</f>
        <v>11.087533156498674</v>
      </c>
    </row>
    <row r="38" spans="1:4" x14ac:dyDescent="0.3">
      <c r="A38" s="47">
        <v>20203</v>
      </c>
      <c r="B38" s="45" t="s">
        <v>511</v>
      </c>
      <c r="C38" s="10">
        <v>8.8933901918976552</v>
      </c>
      <c r="D38" s="10">
        <f>'[1]25-35 female'!AE40</f>
        <v>12.77626459143969</v>
      </c>
    </row>
    <row r="39" spans="1:4" x14ac:dyDescent="0.3">
      <c r="A39" s="47">
        <v>20204</v>
      </c>
      <c r="B39" s="45" t="s">
        <v>428</v>
      </c>
      <c r="C39" s="10">
        <v>9.9781553398058254</v>
      </c>
      <c r="D39" s="10">
        <f>'[1]25-35 female'!AE41</f>
        <v>12.472949389179755</v>
      </c>
    </row>
    <row r="40" spans="1:4" x14ac:dyDescent="0.3">
      <c r="A40" s="47">
        <v>20205</v>
      </c>
      <c r="B40" s="45" t="s">
        <v>463</v>
      </c>
      <c r="C40" s="10">
        <v>12.172794117647058</v>
      </c>
      <c r="D40" s="10">
        <f>'[1]25-35 female'!AE42</f>
        <v>12.608303249097473</v>
      </c>
    </row>
    <row r="41" spans="1:4" x14ac:dyDescent="0.3">
      <c r="A41" s="47">
        <v>20206</v>
      </c>
      <c r="B41" s="45" t="s">
        <v>523</v>
      </c>
      <c r="C41" s="10">
        <v>9.522875816993464</v>
      </c>
      <c r="D41" s="10">
        <f>'[1]25-35 female'!AE43</f>
        <v>13.853293413173652</v>
      </c>
    </row>
    <row r="42" spans="1:4" x14ac:dyDescent="0.3">
      <c r="A42" s="47">
        <v>20301</v>
      </c>
      <c r="B42" s="45" t="s">
        <v>564</v>
      </c>
      <c r="C42" s="10">
        <v>8.6</v>
      </c>
      <c r="D42" s="10">
        <f>'[1]25-35 female'!AE44</f>
        <v>12.024915062287656</v>
      </c>
    </row>
    <row r="43" spans="1:4" x14ac:dyDescent="0.3">
      <c r="A43" s="47">
        <v>20302</v>
      </c>
      <c r="B43" s="45" t="s">
        <v>468</v>
      </c>
      <c r="C43" s="10">
        <v>8.5335731414868103</v>
      </c>
      <c r="D43" s="10">
        <f>'[1]25-35 female'!AE45</f>
        <v>12.090539165818921</v>
      </c>
    </row>
    <row r="44" spans="1:4" x14ac:dyDescent="0.3">
      <c r="A44" s="47">
        <v>20303</v>
      </c>
      <c r="B44" s="45" t="s">
        <v>570</v>
      </c>
      <c r="C44" s="10">
        <v>8.3149171270718227</v>
      </c>
      <c r="D44" s="10">
        <f>'[1]25-35 female'!AE46</f>
        <v>11.989974937343359</v>
      </c>
    </row>
    <row r="45" spans="1:4" x14ac:dyDescent="0.3">
      <c r="A45" s="47">
        <v>20304</v>
      </c>
      <c r="B45" s="45" t="s">
        <v>577</v>
      </c>
      <c r="C45" s="10">
        <v>8.4174757281553401</v>
      </c>
      <c r="D45" s="10">
        <f>'[1]25-35 female'!AE47</f>
        <v>11.531855955678671</v>
      </c>
    </row>
    <row r="46" spans="1:4" x14ac:dyDescent="0.3">
      <c r="A46" s="47">
        <v>20305</v>
      </c>
      <c r="B46" s="45" t="s">
        <v>490</v>
      </c>
      <c r="C46" s="10">
        <v>8.8508771929824555</v>
      </c>
      <c r="D46" s="10">
        <f>'[1]25-35 female'!AE48</f>
        <v>12.427397260273972</v>
      </c>
    </row>
    <row r="47" spans="1:4" x14ac:dyDescent="0.3">
      <c r="A47" s="47">
        <v>20306</v>
      </c>
      <c r="B47" s="45" t="s">
        <v>556</v>
      </c>
      <c r="C47" s="10">
        <v>8.9768518518518512</v>
      </c>
      <c r="D47" s="10">
        <f>'[1]25-35 female'!AE49</f>
        <v>12.1741214057508</v>
      </c>
    </row>
    <row r="48" spans="1:4" x14ac:dyDescent="0.3">
      <c r="A48" s="47">
        <v>20307</v>
      </c>
      <c r="B48" s="45" t="s">
        <v>425</v>
      </c>
      <c r="C48" s="10">
        <v>9.1739130434782616</v>
      </c>
      <c r="D48" s="10">
        <f>'[1]25-35 female'!AE50</f>
        <v>11.802721088435375</v>
      </c>
    </row>
    <row r="49" spans="1:4" x14ac:dyDescent="0.3">
      <c r="A49" s="47">
        <v>20308</v>
      </c>
      <c r="B49" s="45" t="s">
        <v>481</v>
      </c>
      <c r="C49" s="10">
        <v>7.5801526717557248</v>
      </c>
      <c r="D49" s="10">
        <f>'[1]25-35 female'!AE51</f>
        <v>11.56113537117904</v>
      </c>
    </row>
    <row r="50" spans="1:4" x14ac:dyDescent="0.3">
      <c r="A50" s="47">
        <v>20401</v>
      </c>
      <c r="B50" s="45" t="s">
        <v>396</v>
      </c>
      <c r="C50" s="10">
        <v>6.8908045977011492</v>
      </c>
      <c r="D50" s="10">
        <f>'[1]25-35 female'!AE52</f>
        <v>10.756363636363636</v>
      </c>
    </row>
    <row r="51" spans="1:4" x14ac:dyDescent="0.3">
      <c r="A51" s="47">
        <v>20402</v>
      </c>
      <c r="B51" s="45" t="s">
        <v>399</v>
      </c>
      <c r="C51" s="10">
        <v>5.5518102372034956</v>
      </c>
      <c r="D51" s="10">
        <f>'[1]25-35 female'!AE53</f>
        <v>10.455482661668229</v>
      </c>
    </row>
    <row r="52" spans="1:4" x14ac:dyDescent="0.3">
      <c r="A52" s="47">
        <v>20403</v>
      </c>
      <c r="B52" s="45" t="s">
        <v>412</v>
      </c>
      <c r="C52" s="10">
        <v>7.4033290653008965</v>
      </c>
      <c r="D52" s="10">
        <f>'[1]25-35 female'!AE54</f>
        <v>11.273921200750468</v>
      </c>
    </row>
    <row r="53" spans="1:4" x14ac:dyDescent="0.3">
      <c r="A53" s="47">
        <v>20404</v>
      </c>
      <c r="B53" s="45" t="s">
        <v>383</v>
      </c>
      <c r="C53" s="10">
        <v>5.3210332103321036</v>
      </c>
      <c r="D53" s="10">
        <f>'[1]25-35 female'!AE55</f>
        <v>10.00287356321839</v>
      </c>
    </row>
    <row r="54" spans="1:4" x14ac:dyDescent="0.3">
      <c r="A54" s="47">
        <v>20405</v>
      </c>
      <c r="B54" s="45" t="s">
        <v>400</v>
      </c>
      <c r="C54" s="10">
        <v>8.3300492610837438</v>
      </c>
      <c r="D54" s="10">
        <f>'[1]25-35 female'!AE56</f>
        <v>12.134686346863468</v>
      </c>
    </row>
    <row r="55" spans="1:4" x14ac:dyDescent="0.3">
      <c r="A55" s="47">
        <v>20501</v>
      </c>
      <c r="B55" s="45" t="s">
        <v>451</v>
      </c>
      <c r="C55" s="10">
        <v>6.7692307692307692</v>
      </c>
      <c r="D55" s="10">
        <f>'[1]25-35 female'!AE57</f>
        <v>10.745677233429396</v>
      </c>
    </row>
    <row r="56" spans="1:4" x14ac:dyDescent="0.3">
      <c r="A56" s="47">
        <v>20502</v>
      </c>
      <c r="B56" s="45" t="s">
        <v>379</v>
      </c>
      <c r="C56" s="10">
        <v>4.9207708779443253</v>
      </c>
      <c r="D56" s="10">
        <f>'[1]25-35 female'!AE58</f>
        <v>9.4385113268608407</v>
      </c>
    </row>
    <row r="57" spans="1:4" x14ac:dyDescent="0.3">
      <c r="A57" s="47">
        <v>20503</v>
      </c>
      <c r="B57" s="45" t="s">
        <v>386</v>
      </c>
      <c r="C57" s="10">
        <v>5.5612903225806454</v>
      </c>
      <c r="D57" s="10">
        <f>'[1]25-35 female'!AE59</f>
        <v>9.6103896103896105</v>
      </c>
    </row>
    <row r="58" spans="1:4" x14ac:dyDescent="0.3">
      <c r="A58" s="47">
        <v>20601</v>
      </c>
      <c r="B58" s="45" t="s">
        <v>448</v>
      </c>
      <c r="C58" s="10">
        <v>7.1862980769230766</v>
      </c>
      <c r="D58" s="10">
        <f>'[1]25-35 female'!AE60</f>
        <v>11.060451565914057</v>
      </c>
    </row>
    <row r="59" spans="1:4" x14ac:dyDescent="0.3">
      <c r="A59" s="47">
        <v>20602</v>
      </c>
      <c r="B59" s="45" t="s">
        <v>602</v>
      </c>
      <c r="C59" s="10">
        <v>8.4958979033728355</v>
      </c>
      <c r="D59" s="10">
        <f>'[1]25-35 female'!AE61</f>
        <v>11.38551724137931</v>
      </c>
    </row>
    <row r="60" spans="1:4" x14ac:dyDescent="0.3">
      <c r="A60" s="47">
        <v>20603</v>
      </c>
      <c r="B60" s="45" t="s">
        <v>499</v>
      </c>
      <c r="C60" s="10">
        <v>7.471061093247588</v>
      </c>
      <c r="D60" s="10">
        <f>'[1]25-35 female'!AE62</f>
        <v>11.101995565410199</v>
      </c>
    </row>
    <row r="61" spans="1:4" x14ac:dyDescent="0.3">
      <c r="A61" s="47">
        <v>20604</v>
      </c>
      <c r="B61" s="45" t="s">
        <v>445</v>
      </c>
      <c r="C61" s="10">
        <v>6.7763975155279503</v>
      </c>
      <c r="D61" s="10">
        <f>'[1]25-35 female'!AE63</f>
        <v>10.461956521739131</v>
      </c>
    </row>
    <row r="62" spans="1:4" x14ac:dyDescent="0.3">
      <c r="A62" s="47">
        <v>20605</v>
      </c>
      <c r="B62" s="45" t="s">
        <v>404</v>
      </c>
      <c r="C62" s="10">
        <v>7.7938144329896906</v>
      </c>
      <c r="D62" s="10">
        <f>'[1]25-35 female'!AE64</f>
        <v>11.395348837209303</v>
      </c>
    </row>
    <row r="63" spans="1:4" x14ac:dyDescent="0.3">
      <c r="A63" s="47">
        <v>20606</v>
      </c>
      <c r="B63" s="45" t="s">
        <v>638</v>
      </c>
      <c r="C63" s="10">
        <v>8.9608091024020222</v>
      </c>
      <c r="D63" s="10">
        <f>'[1]25-35 female'!AE65</f>
        <v>12.148203592814371</v>
      </c>
    </row>
    <row r="64" spans="1:4" x14ac:dyDescent="0.3">
      <c r="A64" s="47">
        <v>20607</v>
      </c>
      <c r="B64" s="45" t="s">
        <v>561</v>
      </c>
      <c r="C64" s="10">
        <v>8.4557438794726938</v>
      </c>
      <c r="D64" s="10">
        <f>'[1]25-35 female'!AE66</f>
        <v>11.362447454460533</v>
      </c>
    </row>
    <row r="65" spans="1:4" x14ac:dyDescent="0.3">
      <c r="A65" s="47">
        <v>20608</v>
      </c>
      <c r="B65" s="45" t="s">
        <v>594</v>
      </c>
      <c r="C65" s="10">
        <v>8.4710252600297178</v>
      </c>
      <c r="D65" s="10">
        <f>'[1]25-35 female'!AE67</f>
        <v>11.148058252427184</v>
      </c>
    </row>
    <row r="66" spans="1:4" x14ac:dyDescent="0.3">
      <c r="A66" s="47">
        <v>20701</v>
      </c>
      <c r="B66" s="45" t="s">
        <v>529</v>
      </c>
      <c r="C66" s="10">
        <v>8.0122605363984682</v>
      </c>
      <c r="D66" s="10">
        <f>'[1]25-35 female'!AE68</f>
        <v>11.01780415430267</v>
      </c>
    </row>
    <row r="67" spans="1:4" x14ac:dyDescent="0.3">
      <c r="A67" s="47">
        <v>20702</v>
      </c>
      <c r="B67" s="45" t="s">
        <v>389</v>
      </c>
      <c r="C67" s="10">
        <v>6.7453416149068319</v>
      </c>
      <c r="D67" s="10">
        <f>'[1]25-35 female'!AE69</f>
        <v>10.067430025445292</v>
      </c>
    </row>
    <row r="68" spans="1:4" x14ac:dyDescent="0.3">
      <c r="A68" s="47">
        <v>20801</v>
      </c>
      <c r="B68" s="45" t="s">
        <v>541</v>
      </c>
      <c r="C68" s="10">
        <v>9.730731294913344</v>
      </c>
      <c r="D68" s="10">
        <f>'[1]25-35 female'!AE70</f>
        <v>12.598163909343024</v>
      </c>
    </row>
    <row r="69" spans="1:4" x14ac:dyDescent="0.3">
      <c r="A69" s="47">
        <v>20802</v>
      </c>
      <c r="B69" s="45" t="s">
        <v>449</v>
      </c>
      <c r="C69" s="10">
        <v>8.9011764705882346</v>
      </c>
      <c r="D69" s="10">
        <f>'[1]25-35 female'!AE71</f>
        <v>12.133689839572192</v>
      </c>
    </row>
    <row r="70" spans="1:4" x14ac:dyDescent="0.3">
      <c r="A70" s="47">
        <v>20803</v>
      </c>
      <c r="B70" s="45" t="s">
        <v>444</v>
      </c>
      <c r="C70" s="10">
        <v>8.0817535545023702</v>
      </c>
      <c r="D70" s="10">
        <f>'[1]25-35 female'!AE72</f>
        <v>11.796279069767442</v>
      </c>
    </row>
    <row r="71" spans="1:4" x14ac:dyDescent="0.3">
      <c r="A71" s="47">
        <v>20804</v>
      </c>
      <c r="B71" s="45" t="s">
        <v>480</v>
      </c>
      <c r="C71" s="10">
        <v>8.6617375231053604</v>
      </c>
      <c r="D71" s="10">
        <f>'[1]25-35 female'!AE73</f>
        <v>12.112121212121211</v>
      </c>
    </row>
    <row r="72" spans="1:4" x14ac:dyDescent="0.3">
      <c r="A72" s="47">
        <v>20805</v>
      </c>
      <c r="B72" s="45" t="s">
        <v>458</v>
      </c>
      <c r="C72" s="10">
        <v>8.734375</v>
      </c>
      <c r="D72" s="10">
        <f>'[1]25-35 female'!AE74</f>
        <v>12.117171717171717</v>
      </c>
    </row>
    <row r="73" spans="1:4" x14ac:dyDescent="0.3">
      <c r="A73" s="47">
        <v>20806</v>
      </c>
      <c r="B73" s="45" t="s">
        <v>460</v>
      </c>
      <c r="C73" s="10">
        <v>9.037403740374037</v>
      </c>
      <c r="D73" s="10">
        <f>'[1]25-35 female'!AE75</f>
        <v>12.0091059602649</v>
      </c>
    </row>
    <row r="74" spans="1:4" x14ac:dyDescent="0.3">
      <c r="A74" s="47">
        <v>20807</v>
      </c>
      <c r="B74" s="45" t="s">
        <v>474</v>
      </c>
      <c r="C74" s="10">
        <v>8.1397849462365599</v>
      </c>
      <c r="D74" s="10">
        <f>'[1]25-35 female'!AE76</f>
        <v>11.7882096069869</v>
      </c>
    </row>
    <row r="75" spans="1:4" x14ac:dyDescent="0.3">
      <c r="A75" s="47">
        <v>20901</v>
      </c>
      <c r="B75" s="45" t="s">
        <v>464</v>
      </c>
      <c r="C75" s="10">
        <v>8.3909313725490193</v>
      </c>
      <c r="D75" s="10">
        <f>'[1]25-35 female'!AE77</f>
        <v>11.302045728038507</v>
      </c>
    </row>
    <row r="76" spans="1:4" x14ac:dyDescent="0.3">
      <c r="A76" s="47">
        <v>20902</v>
      </c>
      <c r="B76" s="45" t="s">
        <v>456</v>
      </c>
      <c r="C76" s="10">
        <v>7.0532741398446168</v>
      </c>
      <c r="D76" s="10">
        <f>'[1]25-35 female'!AE78</f>
        <v>11.189047261815453</v>
      </c>
    </row>
    <row r="77" spans="1:4" x14ac:dyDescent="0.3">
      <c r="A77" s="47">
        <v>20903</v>
      </c>
      <c r="B77" s="45" t="s">
        <v>550</v>
      </c>
      <c r="C77" s="10">
        <v>7.4507389162561575</v>
      </c>
      <c r="D77" s="10">
        <f>'[1]25-35 female'!AE79</f>
        <v>10.886917960088692</v>
      </c>
    </row>
    <row r="78" spans="1:4" x14ac:dyDescent="0.3">
      <c r="A78" s="47">
        <v>20904</v>
      </c>
      <c r="B78" s="45" t="s">
        <v>487</v>
      </c>
      <c r="C78" s="10">
        <v>7.9556786703601112</v>
      </c>
      <c r="D78" s="10">
        <f>'[1]25-35 female'!AE80</f>
        <v>11.022774327122153</v>
      </c>
    </row>
    <row r="79" spans="1:4" x14ac:dyDescent="0.3">
      <c r="A79" s="47">
        <v>20905</v>
      </c>
      <c r="B79" s="45" t="s">
        <v>440</v>
      </c>
      <c r="C79" s="10">
        <v>8.0104575163398692</v>
      </c>
      <c r="D79" s="10">
        <f>'[1]25-35 female'!AE81</f>
        <v>10.87279151943463</v>
      </c>
    </row>
    <row r="80" spans="1:4" x14ac:dyDescent="0.3">
      <c r="A80" s="47">
        <v>21001</v>
      </c>
      <c r="B80" s="45" t="s">
        <v>438</v>
      </c>
      <c r="C80" s="10">
        <v>6.7229381443298966</v>
      </c>
      <c r="D80" s="10">
        <f>'[1]25-35 female'!AE82</f>
        <v>10.083397683397683</v>
      </c>
    </row>
    <row r="81" spans="1:4" x14ac:dyDescent="0.3">
      <c r="A81" s="47">
        <v>21002</v>
      </c>
      <c r="B81" s="45" t="s">
        <v>508</v>
      </c>
      <c r="C81" s="10">
        <v>7.8290441176470589</v>
      </c>
      <c r="D81" s="10">
        <f>'[1]25-35 female'!AE83</f>
        <v>11.137485311398354</v>
      </c>
    </row>
    <row r="82" spans="1:4" x14ac:dyDescent="0.3">
      <c r="A82" s="47">
        <v>21003</v>
      </c>
      <c r="B82" s="45" t="s">
        <v>551</v>
      </c>
      <c r="C82" s="10">
        <v>7.9359605911330053</v>
      </c>
      <c r="D82" s="10">
        <f>'[1]25-35 female'!AE84</f>
        <v>10.452580195258019</v>
      </c>
    </row>
    <row r="83" spans="1:4" x14ac:dyDescent="0.3">
      <c r="A83" s="47">
        <v>21004</v>
      </c>
      <c r="B83" s="45" t="s">
        <v>473</v>
      </c>
      <c r="C83" s="10">
        <v>7.6837324525185799</v>
      </c>
      <c r="D83" s="10">
        <f>'[1]25-35 female'!AE85</f>
        <v>10.929885057471264</v>
      </c>
    </row>
    <row r="84" spans="1:4" x14ac:dyDescent="0.3">
      <c r="A84" s="47">
        <v>21005</v>
      </c>
      <c r="B84" s="45" t="s">
        <v>466</v>
      </c>
      <c r="C84" s="10">
        <v>7.7582846003898638</v>
      </c>
      <c r="D84" s="10">
        <f>'[1]25-35 female'!AE86</f>
        <v>10.682158920539731</v>
      </c>
    </row>
    <row r="85" spans="1:4" x14ac:dyDescent="0.3">
      <c r="A85" s="47">
        <v>21006</v>
      </c>
      <c r="B85" s="45" t="s">
        <v>563</v>
      </c>
      <c r="C85" s="10">
        <v>8.3542116630669554</v>
      </c>
      <c r="D85" s="10">
        <f>'[1]25-35 female'!AE87</f>
        <v>11.055757575757577</v>
      </c>
    </row>
    <row r="86" spans="1:4" x14ac:dyDescent="0.3">
      <c r="A86" s="47">
        <v>21101</v>
      </c>
      <c r="B86" s="45" t="s">
        <v>535</v>
      </c>
      <c r="C86" s="10">
        <v>9.0097465886939574</v>
      </c>
      <c r="D86" s="10">
        <f>'[1]25-35 female'!AE88</f>
        <v>11.485119047619047</v>
      </c>
    </row>
    <row r="87" spans="1:4" x14ac:dyDescent="0.3">
      <c r="A87" s="47">
        <v>21102</v>
      </c>
      <c r="B87" s="45" t="s">
        <v>446</v>
      </c>
      <c r="C87" s="10">
        <v>8.0611782477341389</v>
      </c>
      <c r="D87" s="10">
        <f>'[1]25-35 female'!AE89</f>
        <v>10.911867801702554</v>
      </c>
    </row>
    <row r="88" spans="1:4" x14ac:dyDescent="0.3">
      <c r="A88" s="47">
        <v>21103</v>
      </c>
      <c r="B88" s="45" t="s">
        <v>576</v>
      </c>
      <c r="C88" s="10">
        <v>9.4795221843003414</v>
      </c>
      <c r="D88" s="10">
        <f>'[1]25-35 female'!AE90</f>
        <v>11.858034321372855</v>
      </c>
    </row>
    <row r="89" spans="1:4" x14ac:dyDescent="0.3">
      <c r="A89" s="47">
        <v>21104</v>
      </c>
      <c r="B89" s="45" t="s">
        <v>546</v>
      </c>
      <c r="C89" s="10">
        <v>8.7972972972972965</v>
      </c>
      <c r="D89" s="10">
        <f>'[1]25-35 female'!AE91</f>
        <v>11.612505316886431</v>
      </c>
    </row>
    <row r="90" spans="1:4" x14ac:dyDescent="0.3">
      <c r="A90" s="47">
        <v>21105</v>
      </c>
      <c r="B90" s="45" t="s">
        <v>402</v>
      </c>
      <c r="C90" s="10">
        <v>7.0350427350427349</v>
      </c>
      <c r="D90" s="10">
        <f>'[1]25-35 female'!AE92</f>
        <v>9.646185010128292</v>
      </c>
    </row>
    <row r="91" spans="1:4" x14ac:dyDescent="0.3">
      <c r="A91" s="47">
        <v>21201</v>
      </c>
      <c r="B91" s="45" t="s">
        <v>407</v>
      </c>
      <c r="C91" s="10">
        <v>7.5580708661417324</v>
      </c>
      <c r="D91" s="10">
        <f>'[1]25-35 female'!AE93</f>
        <v>11.199817518248175</v>
      </c>
    </row>
    <row r="92" spans="1:4" x14ac:dyDescent="0.3">
      <c r="A92" s="47">
        <v>21202</v>
      </c>
      <c r="B92" s="45" t="s">
        <v>432</v>
      </c>
      <c r="C92" s="10">
        <v>7.8683035714285712</v>
      </c>
      <c r="D92" s="10">
        <f>'[1]25-35 female'!AE94</f>
        <v>11.448826008428657</v>
      </c>
    </row>
    <row r="93" spans="1:4" x14ac:dyDescent="0.3">
      <c r="A93" s="47">
        <v>21203</v>
      </c>
      <c r="B93" s="45" t="s">
        <v>430</v>
      </c>
      <c r="C93" s="10">
        <v>8.7059405940594061</v>
      </c>
      <c r="D93" s="10">
        <f>'[1]25-35 female'!AE95</f>
        <v>11.974565756823822</v>
      </c>
    </row>
    <row r="94" spans="1:4" x14ac:dyDescent="0.3">
      <c r="A94" s="47">
        <v>21204</v>
      </c>
      <c r="B94" s="45" t="s">
        <v>397</v>
      </c>
      <c r="C94" s="10">
        <v>7.2835820895522385</v>
      </c>
      <c r="D94" s="10">
        <f>'[1]25-35 female'!AE96</f>
        <v>11.160862354892206</v>
      </c>
    </row>
    <row r="95" spans="1:4" x14ac:dyDescent="0.3">
      <c r="A95" s="47">
        <v>21301</v>
      </c>
      <c r="B95" s="45" t="s">
        <v>484</v>
      </c>
      <c r="C95" s="10">
        <v>8.236538461538462</v>
      </c>
      <c r="D95" s="10">
        <f>'[1]25-35 female'!AE97</f>
        <v>11.689142857142857</v>
      </c>
    </row>
    <row r="96" spans="1:4" x14ac:dyDescent="0.3">
      <c r="A96" s="47">
        <v>21302</v>
      </c>
      <c r="B96" s="45" t="s">
        <v>392</v>
      </c>
      <c r="C96" s="10">
        <v>8.2882483370288256</v>
      </c>
      <c r="D96" s="10">
        <f>'[1]25-35 female'!AE98</f>
        <v>11.269938650306749</v>
      </c>
    </row>
    <row r="97" spans="1:4" x14ac:dyDescent="0.3">
      <c r="A97" s="47">
        <v>21303</v>
      </c>
      <c r="B97" s="45" t="s">
        <v>424</v>
      </c>
      <c r="C97" s="10">
        <v>6.964876033057851</v>
      </c>
      <c r="D97" s="10">
        <f>'[1]25-35 female'!AE99</f>
        <v>11.269916765755054</v>
      </c>
    </row>
    <row r="98" spans="1:4" x14ac:dyDescent="0.3">
      <c r="A98" s="47">
        <v>21304</v>
      </c>
      <c r="B98" s="45" t="s">
        <v>485</v>
      </c>
      <c r="C98" s="10">
        <v>7.7729032258064512</v>
      </c>
      <c r="D98" s="10">
        <f>'[1]25-35 female'!AE100</f>
        <v>11.277486910994764</v>
      </c>
    </row>
    <row r="99" spans="1:4" x14ac:dyDescent="0.3">
      <c r="A99" s="47">
        <v>21305</v>
      </c>
      <c r="B99" s="45" t="s">
        <v>437</v>
      </c>
      <c r="C99" s="10">
        <v>8.365315852205006</v>
      </c>
      <c r="D99" s="10">
        <f>'[1]25-35 female'!AE101</f>
        <v>11.642720306513411</v>
      </c>
    </row>
    <row r="100" spans="1:4" x14ac:dyDescent="0.3">
      <c r="A100" s="47">
        <v>21306</v>
      </c>
      <c r="B100" s="45" t="s">
        <v>528</v>
      </c>
      <c r="C100" s="10">
        <v>8.1502890173410396</v>
      </c>
      <c r="D100" s="10">
        <f>'[1]25-35 female'!AE102</f>
        <v>12.033488372093023</v>
      </c>
    </row>
    <row r="101" spans="1:4" x14ac:dyDescent="0.3">
      <c r="A101" s="47">
        <v>21307</v>
      </c>
      <c r="B101" s="45" t="s">
        <v>625</v>
      </c>
      <c r="C101" s="10">
        <v>9.5483091787439616</v>
      </c>
      <c r="D101" s="10">
        <f>'[1]25-35 female'!AE103</f>
        <v>12.833976833976834</v>
      </c>
    </row>
    <row r="102" spans="1:4" x14ac:dyDescent="0.3">
      <c r="A102" s="47">
        <v>21401</v>
      </c>
      <c r="B102" s="45" t="s">
        <v>503</v>
      </c>
      <c r="C102" s="10">
        <v>8.9378960709759188</v>
      </c>
      <c r="D102" s="10">
        <f>'[1]25-35 female'!AE104</f>
        <v>11.920615633859862</v>
      </c>
    </row>
    <row r="103" spans="1:4" x14ac:dyDescent="0.3">
      <c r="A103" s="47">
        <v>21402</v>
      </c>
      <c r="B103" s="45" t="s">
        <v>462</v>
      </c>
      <c r="C103" s="10">
        <v>8.4783477681545634</v>
      </c>
      <c r="D103" s="10">
        <f>'[1]25-35 female'!AE105</f>
        <v>11.086741573033708</v>
      </c>
    </row>
    <row r="104" spans="1:4" x14ac:dyDescent="0.3">
      <c r="A104" s="47">
        <v>21501</v>
      </c>
      <c r="B104" s="45" t="s">
        <v>543</v>
      </c>
      <c r="C104" s="10">
        <v>8.5954088952654235</v>
      </c>
      <c r="D104" s="10">
        <f>'[1]25-35 female'!AE106</f>
        <v>10.998963730569947</v>
      </c>
    </row>
    <row r="105" spans="1:4" x14ac:dyDescent="0.3">
      <c r="A105" s="47">
        <v>21502</v>
      </c>
      <c r="B105" s="45" t="s">
        <v>613</v>
      </c>
      <c r="C105" s="10">
        <v>9.3940740740740747</v>
      </c>
      <c r="D105" s="10">
        <f>'[1]25-35 female'!AE107</f>
        <v>12.042270531400966</v>
      </c>
    </row>
    <row r="106" spans="1:4" x14ac:dyDescent="0.3">
      <c r="A106" s="47">
        <v>21601</v>
      </c>
      <c r="B106" s="45" t="s">
        <v>382</v>
      </c>
      <c r="C106" s="10">
        <v>6.0703218116805724</v>
      </c>
      <c r="D106" s="10">
        <f>'[1]25-35 female'!AE108</f>
        <v>9.904132231404958</v>
      </c>
    </row>
    <row r="107" spans="1:4" x14ac:dyDescent="0.3">
      <c r="A107" s="47">
        <v>21602</v>
      </c>
      <c r="B107" s="45" t="s">
        <v>376</v>
      </c>
      <c r="C107" s="10">
        <v>5.4108527131782944</v>
      </c>
      <c r="D107" s="10">
        <f>'[1]25-35 female'!AE109</f>
        <v>9.1888888888888882</v>
      </c>
    </row>
    <row r="108" spans="1:4" x14ac:dyDescent="0.3">
      <c r="A108" s="47">
        <v>21701</v>
      </c>
      <c r="B108" s="45" t="s">
        <v>423</v>
      </c>
      <c r="C108" s="10">
        <v>8.2252851711026622</v>
      </c>
      <c r="D108" s="10">
        <f>'[1]25-35 female'!AE110</f>
        <v>11.698473282442748</v>
      </c>
    </row>
    <row r="109" spans="1:4" x14ac:dyDescent="0.3">
      <c r="A109" s="47">
        <v>21702</v>
      </c>
      <c r="B109" s="45" t="s">
        <v>476</v>
      </c>
      <c r="C109" s="10">
        <v>8.7659574468085104</v>
      </c>
      <c r="D109" s="10">
        <f>'[1]25-35 female'!AE111</f>
        <v>12.043993231810491</v>
      </c>
    </row>
    <row r="110" spans="1:4" x14ac:dyDescent="0.3">
      <c r="A110" s="47">
        <v>21703</v>
      </c>
      <c r="B110" s="45" t="s">
        <v>518</v>
      </c>
      <c r="C110" s="10">
        <v>8.7793103448275858</v>
      </c>
      <c r="D110" s="10">
        <f>'[1]25-35 female'!AE112</f>
        <v>11.689189189189189</v>
      </c>
    </row>
    <row r="111" spans="1:4" x14ac:dyDescent="0.3">
      <c r="A111" s="47">
        <v>21801</v>
      </c>
      <c r="B111" s="45" t="s">
        <v>496</v>
      </c>
      <c r="C111" s="10">
        <v>9.6076388888888893</v>
      </c>
      <c r="D111" s="10">
        <f>'[1]25-35 female'!AE113</f>
        <v>11.750380517503805</v>
      </c>
    </row>
    <row r="112" spans="1:4" x14ac:dyDescent="0.3">
      <c r="A112" s="47">
        <v>21802</v>
      </c>
      <c r="B112" s="45" t="s">
        <v>531</v>
      </c>
      <c r="C112" s="10">
        <v>8.7433628318584073</v>
      </c>
      <c r="D112" s="10">
        <f>'[1]25-35 female'!AE114</f>
        <v>11.985882352941177</v>
      </c>
    </row>
    <row r="113" spans="1:4" x14ac:dyDescent="0.3">
      <c r="A113" s="47">
        <v>21803</v>
      </c>
      <c r="B113" s="45" t="s">
        <v>395</v>
      </c>
      <c r="C113" s="10">
        <v>7.6428571428571432</v>
      </c>
      <c r="D113" s="10">
        <f>'[1]25-35 female'!AE115</f>
        <v>10.830769230769231</v>
      </c>
    </row>
    <row r="114" spans="1:4" x14ac:dyDescent="0.3">
      <c r="A114" s="47">
        <v>21901</v>
      </c>
      <c r="B114" s="45" t="s">
        <v>509</v>
      </c>
      <c r="C114" s="10">
        <v>8.5735849056603772</v>
      </c>
      <c r="D114" s="10">
        <f>'[1]25-35 female'!AE116</f>
        <v>11.955512572533848</v>
      </c>
    </row>
    <row r="115" spans="1:4" x14ac:dyDescent="0.3">
      <c r="A115" s="47">
        <v>21902</v>
      </c>
      <c r="B115" s="45" t="s">
        <v>417</v>
      </c>
      <c r="C115" s="10">
        <v>8.6962025316455698</v>
      </c>
      <c r="D115" s="10">
        <f>'[1]25-35 female'!AE117</f>
        <v>11.38076923076923</v>
      </c>
    </row>
    <row r="116" spans="1:4" x14ac:dyDescent="0.3">
      <c r="A116" s="47">
        <v>22001</v>
      </c>
      <c r="B116" s="45" t="s">
        <v>514</v>
      </c>
      <c r="C116" s="10">
        <v>8.5280144590756528</v>
      </c>
      <c r="D116" s="10">
        <f>'[1]25-35 female'!AE118</f>
        <v>11.9192190578542</v>
      </c>
    </row>
    <row r="117" spans="1:4" x14ac:dyDescent="0.3">
      <c r="A117" s="47">
        <v>22002</v>
      </c>
      <c r="B117" s="45" t="s">
        <v>479</v>
      </c>
      <c r="C117" s="10">
        <v>8.6009445100354185</v>
      </c>
      <c r="D117" s="10">
        <f>'[1]25-35 female'!AE119</f>
        <v>11.314960629921259</v>
      </c>
    </row>
    <row r="118" spans="1:4" x14ac:dyDescent="0.3">
      <c r="A118" s="47">
        <v>30101</v>
      </c>
      <c r="B118" s="45" t="s">
        <v>355</v>
      </c>
      <c r="C118" s="10">
        <v>11.586715433786891</v>
      </c>
      <c r="D118" s="10">
        <f>'[1]25-35 female'!AE120</f>
        <v>13.58384032447433</v>
      </c>
    </row>
    <row r="119" spans="1:4" x14ac:dyDescent="0.3">
      <c r="A119" s="47">
        <v>30201</v>
      </c>
      <c r="B119" s="45" t="s">
        <v>585</v>
      </c>
      <c r="C119" s="10">
        <v>7.0392912172573192</v>
      </c>
      <c r="D119" s="10">
        <f>'[1]25-35 female'!AE121</f>
        <v>11.160789001793185</v>
      </c>
    </row>
    <row r="120" spans="1:4" x14ac:dyDescent="0.3">
      <c r="A120" s="47">
        <v>30202</v>
      </c>
      <c r="B120" s="45" t="s">
        <v>684</v>
      </c>
      <c r="C120" s="10">
        <v>9.860424028268552</v>
      </c>
      <c r="D120" s="10">
        <f>'[1]25-35 female'!AE122</f>
        <v>12.346441947565543</v>
      </c>
    </row>
    <row r="121" spans="1:4" x14ac:dyDescent="0.3">
      <c r="A121" s="47">
        <v>30203</v>
      </c>
      <c r="B121" s="45" t="s">
        <v>679</v>
      </c>
      <c r="C121" s="10">
        <v>6.9291338582677167</v>
      </c>
      <c r="D121" s="10">
        <f>'[1]25-35 female'!AE123</f>
        <v>10.899317406143345</v>
      </c>
    </row>
    <row r="122" spans="1:4" x14ac:dyDescent="0.3">
      <c r="A122" s="47">
        <v>30301</v>
      </c>
      <c r="B122" s="45" t="s">
        <v>426</v>
      </c>
      <c r="C122" s="10">
        <v>5.7407942238267147</v>
      </c>
      <c r="D122" s="10">
        <f>'[1]25-35 female'!AE124</f>
        <v>9.1667930250189542</v>
      </c>
    </row>
    <row r="123" spans="1:4" x14ac:dyDescent="0.3">
      <c r="A123" s="47">
        <v>30302</v>
      </c>
      <c r="B123" s="45" t="s">
        <v>374</v>
      </c>
      <c r="C123" s="10">
        <v>4.0544217687074831</v>
      </c>
      <c r="D123" s="10">
        <f>'[1]25-35 female'!AE125</f>
        <v>7.9476495726495724</v>
      </c>
    </row>
    <row r="124" spans="1:4" x14ac:dyDescent="0.3">
      <c r="A124" s="47">
        <v>30303</v>
      </c>
      <c r="B124" s="45" t="s">
        <v>375</v>
      </c>
      <c r="C124" s="10">
        <v>4.5347043701799485</v>
      </c>
      <c r="D124" s="10">
        <f>'[1]25-35 female'!AE126</f>
        <v>8.0138568129330245</v>
      </c>
    </row>
    <row r="125" spans="1:4" x14ac:dyDescent="0.3">
      <c r="A125" s="47">
        <v>30401</v>
      </c>
      <c r="B125" s="45" t="s">
        <v>475</v>
      </c>
      <c r="C125" s="10">
        <v>7.916015625</v>
      </c>
      <c r="D125" s="10">
        <f>'[1]25-35 female'!AE127</f>
        <v>11.339285714285714</v>
      </c>
    </row>
    <row r="126" spans="1:4" x14ac:dyDescent="0.3">
      <c r="A126" s="47">
        <v>30402</v>
      </c>
      <c r="B126" s="45" t="s">
        <v>443</v>
      </c>
      <c r="C126" s="10">
        <v>5.4245283018867925</v>
      </c>
      <c r="D126" s="10">
        <f>'[1]25-35 female'!AE128</f>
        <v>9.8046709129511669</v>
      </c>
    </row>
    <row r="127" spans="1:4" x14ac:dyDescent="0.3">
      <c r="A127" s="47">
        <v>30403</v>
      </c>
      <c r="B127" s="45" t="s">
        <v>403</v>
      </c>
      <c r="C127" s="10">
        <v>7.5869415807560134</v>
      </c>
      <c r="D127" s="10">
        <f>'[1]25-35 female'!AE129</f>
        <v>10.199167244968772</v>
      </c>
    </row>
    <row r="128" spans="1:4" x14ac:dyDescent="0.3">
      <c r="A128" s="47">
        <v>30404</v>
      </c>
      <c r="B128" s="45" t="s">
        <v>406</v>
      </c>
      <c r="C128" s="10">
        <v>6.1368821292775664</v>
      </c>
      <c r="D128" s="10">
        <f>'[1]25-35 female'!AE130</f>
        <v>10.002732240437158</v>
      </c>
    </row>
    <row r="129" spans="1:4" x14ac:dyDescent="0.3">
      <c r="A129" s="47">
        <v>30501</v>
      </c>
      <c r="B129" s="45" t="s">
        <v>605</v>
      </c>
      <c r="C129" s="10">
        <v>9.2060390763765536</v>
      </c>
      <c r="D129" s="10">
        <f>'[1]25-35 female'!AE131</f>
        <v>12.599093997734995</v>
      </c>
    </row>
    <row r="130" spans="1:4" x14ac:dyDescent="0.3">
      <c r="A130" s="47">
        <v>30502</v>
      </c>
      <c r="B130" s="45" t="s">
        <v>393</v>
      </c>
      <c r="C130" s="10">
        <v>5.2889344262295079</v>
      </c>
      <c r="D130" s="10">
        <f>'[1]25-35 female'!AE132</f>
        <v>10.482222222222223</v>
      </c>
    </row>
    <row r="131" spans="1:4" x14ac:dyDescent="0.3">
      <c r="A131" s="47">
        <v>30601</v>
      </c>
      <c r="B131" s="45" t="s">
        <v>372</v>
      </c>
      <c r="C131" s="10">
        <v>3.0174326465927099</v>
      </c>
      <c r="D131" s="10">
        <f>'[1]25-35 female'!AE133</f>
        <v>7.7879282218597066</v>
      </c>
    </row>
    <row r="132" spans="1:4" x14ac:dyDescent="0.3">
      <c r="A132" s="47">
        <v>30602</v>
      </c>
      <c r="B132" s="45" t="s">
        <v>381</v>
      </c>
      <c r="C132" s="10">
        <v>3.9468503937007875</v>
      </c>
      <c r="D132" s="10">
        <f>'[1]25-35 female'!AE134</f>
        <v>8.484320557491289</v>
      </c>
    </row>
    <row r="133" spans="1:4" x14ac:dyDescent="0.3">
      <c r="A133" s="47">
        <v>30701</v>
      </c>
      <c r="B133" s="45" t="s">
        <v>537</v>
      </c>
      <c r="C133" s="10">
        <v>7.8363499245852184</v>
      </c>
      <c r="D133" s="10">
        <f>'[1]25-35 female'!AE135</f>
        <v>11.149625935162094</v>
      </c>
    </row>
    <row r="134" spans="1:4" x14ac:dyDescent="0.3">
      <c r="A134" s="47">
        <v>30702</v>
      </c>
      <c r="B134" s="45" t="s">
        <v>491</v>
      </c>
      <c r="C134" s="10">
        <v>7.5589743589743588</v>
      </c>
      <c r="D134" s="10">
        <f>'[1]25-35 female'!AE136</f>
        <v>11.583333333333334</v>
      </c>
    </row>
    <row r="135" spans="1:4" x14ac:dyDescent="0.3">
      <c r="A135" s="47">
        <v>30703</v>
      </c>
      <c r="B135" s="45" t="s">
        <v>394</v>
      </c>
      <c r="C135" s="10">
        <v>5.851694915254237</v>
      </c>
      <c r="D135" s="10">
        <f>'[1]25-35 female'!AE137</f>
        <v>9.1531249999999993</v>
      </c>
    </row>
    <row r="136" spans="1:4" x14ac:dyDescent="0.3">
      <c r="A136" s="47">
        <v>30801</v>
      </c>
      <c r="B136" s="45" t="s">
        <v>552</v>
      </c>
      <c r="C136" s="10">
        <v>10.312967581047381</v>
      </c>
      <c r="D136" s="10">
        <f>'[1]25-35 female'!AE138</f>
        <v>13.022674418604652</v>
      </c>
    </row>
    <row r="137" spans="1:4" x14ac:dyDescent="0.3">
      <c r="A137" s="47">
        <v>30802</v>
      </c>
      <c r="B137" s="45" t="s">
        <v>597</v>
      </c>
      <c r="C137" s="10">
        <v>7.6387434554973819</v>
      </c>
      <c r="D137" s="10">
        <f>'[1]25-35 female'!AE139</f>
        <v>11.612132352941176</v>
      </c>
    </row>
    <row r="138" spans="1:4" x14ac:dyDescent="0.3">
      <c r="A138" s="47">
        <v>30803</v>
      </c>
      <c r="B138" s="45" t="s">
        <v>434</v>
      </c>
      <c r="C138" s="10">
        <v>8.6870026525198938</v>
      </c>
      <c r="D138" s="10">
        <f>'[1]25-35 female'!AE140</f>
        <v>11.838509316770187</v>
      </c>
    </row>
    <row r="139" spans="1:4" x14ac:dyDescent="0.3">
      <c r="A139" s="47">
        <v>30901</v>
      </c>
      <c r="B139" s="45" t="s">
        <v>548</v>
      </c>
      <c r="C139" s="10">
        <v>10.763509114583334</v>
      </c>
      <c r="D139" s="10">
        <f>'[1]25-35 female'!AE141</f>
        <v>12.969393468118197</v>
      </c>
    </row>
    <row r="140" spans="1:4" x14ac:dyDescent="0.3">
      <c r="A140" s="47">
        <v>30902</v>
      </c>
      <c r="B140" s="45" t="s">
        <v>459</v>
      </c>
      <c r="C140" s="10">
        <v>7.5509768009768008</v>
      </c>
      <c r="D140" s="10">
        <f>'[1]25-35 female'!AE142</f>
        <v>10.990727002967359</v>
      </c>
    </row>
    <row r="141" spans="1:4" x14ac:dyDescent="0.3">
      <c r="A141" s="47">
        <v>30903</v>
      </c>
      <c r="B141" s="45" t="s">
        <v>621</v>
      </c>
      <c r="C141" s="10">
        <v>10.714947368421052</v>
      </c>
      <c r="D141" s="10">
        <f>'[1]25-35 female'!AE143</f>
        <v>13.48549126081792</v>
      </c>
    </row>
    <row r="142" spans="1:4" x14ac:dyDescent="0.3">
      <c r="A142" s="47">
        <v>30904</v>
      </c>
      <c r="B142" s="45" t="s">
        <v>498</v>
      </c>
      <c r="C142" s="10">
        <v>9.3674523007856347</v>
      </c>
      <c r="D142" s="10">
        <f>'[1]25-35 female'!AE144</f>
        <v>12.257443718228032</v>
      </c>
    </row>
    <row r="143" spans="1:4" x14ac:dyDescent="0.3">
      <c r="A143" s="47">
        <v>30905</v>
      </c>
      <c r="B143" s="45" t="s">
        <v>628</v>
      </c>
      <c r="C143" s="10">
        <v>12.017565359477125</v>
      </c>
      <c r="D143" s="10">
        <f>'[1]25-35 female'!AE145</f>
        <v>14.003725551071096</v>
      </c>
    </row>
    <row r="144" spans="1:4" x14ac:dyDescent="0.3">
      <c r="A144" s="47">
        <v>31001</v>
      </c>
      <c r="B144" s="45" t="s">
        <v>591</v>
      </c>
      <c r="C144" s="10">
        <v>10.378722002635046</v>
      </c>
      <c r="D144" s="10">
        <f>'[1]25-35 female'!AE146</f>
        <v>13.048043701559436</v>
      </c>
    </row>
    <row r="145" spans="1:4" x14ac:dyDescent="0.3">
      <c r="A145" s="47">
        <v>31002</v>
      </c>
      <c r="B145" s="45" t="s">
        <v>477</v>
      </c>
      <c r="C145" s="10">
        <v>5.693965517241379</v>
      </c>
      <c r="D145" s="10">
        <f>'[1]25-35 female'!AE147</f>
        <v>9.7904026475455055</v>
      </c>
    </row>
    <row r="146" spans="1:4" x14ac:dyDescent="0.3">
      <c r="A146" s="47">
        <v>31003</v>
      </c>
      <c r="B146" s="45" t="s">
        <v>439</v>
      </c>
      <c r="C146" s="10">
        <v>5.970875610672679</v>
      </c>
      <c r="D146" s="10">
        <f>'[1]25-35 female'!AE148</f>
        <v>9.8983809851877371</v>
      </c>
    </row>
    <row r="147" spans="1:4" x14ac:dyDescent="0.3">
      <c r="A147" s="47">
        <v>31101</v>
      </c>
      <c r="B147" s="45" t="s">
        <v>370</v>
      </c>
      <c r="C147" s="10">
        <v>4.0359999999999996</v>
      </c>
      <c r="D147" s="10">
        <f>'[1]25-35 female'!AE149</f>
        <v>8.1086820737039353</v>
      </c>
    </row>
    <row r="148" spans="1:4" x14ac:dyDescent="0.3">
      <c r="A148" s="47">
        <v>31201</v>
      </c>
      <c r="B148" s="45" t="s">
        <v>378</v>
      </c>
      <c r="C148" s="10">
        <v>4.8816964285714288</v>
      </c>
      <c r="D148" s="10">
        <f>'[1]25-35 female'!AE150</f>
        <v>8.1590909090909083</v>
      </c>
    </row>
    <row r="149" spans="1:4" x14ac:dyDescent="0.3">
      <c r="A149" s="47">
        <v>31202</v>
      </c>
      <c r="B149" s="45" t="s">
        <v>457</v>
      </c>
      <c r="C149" s="10">
        <v>4.9423393739703458</v>
      </c>
      <c r="D149" s="10">
        <f>'[1]25-35 female'!AE151</f>
        <v>8.8862343572241187</v>
      </c>
    </row>
    <row r="150" spans="1:4" x14ac:dyDescent="0.3">
      <c r="A150" s="47">
        <v>31203</v>
      </c>
      <c r="B150" s="45" t="s">
        <v>408</v>
      </c>
      <c r="C150" s="10">
        <v>5.5875796178343951</v>
      </c>
      <c r="D150" s="10">
        <f>'[1]25-35 female'!AE152</f>
        <v>9.6107142857142858</v>
      </c>
    </row>
    <row r="151" spans="1:4" x14ac:dyDescent="0.3">
      <c r="A151" s="47">
        <v>31204</v>
      </c>
      <c r="B151" s="45" t="s">
        <v>465</v>
      </c>
      <c r="C151" s="10">
        <v>7.7344701583434832</v>
      </c>
      <c r="D151" s="10">
        <f>'[1]25-35 female'!AE153</f>
        <v>10.750966744006186</v>
      </c>
    </row>
    <row r="152" spans="1:4" x14ac:dyDescent="0.3">
      <c r="A152" s="47">
        <v>31205</v>
      </c>
      <c r="B152" s="45" t="s">
        <v>452</v>
      </c>
      <c r="C152" s="10">
        <v>6.6811594202898554</v>
      </c>
      <c r="D152" s="10">
        <f>'[1]25-35 female'!AE154</f>
        <v>10.390220820189274</v>
      </c>
    </row>
    <row r="153" spans="1:4" x14ac:dyDescent="0.3">
      <c r="A153" s="47">
        <v>31206</v>
      </c>
      <c r="B153" s="45" t="s">
        <v>453</v>
      </c>
      <c r="C153" s="10">
        <v>6.4800156739811916</v>
      </c>
      <c r="D153" s="10">
        <f>'[1]25-35 female'!AE155</f>
        <v>10.355765109301329</v>
      </c>
    </row>
    <row r="154" spans="1:4" x14ac:dyDescent="0.3">
      <c r="A154" s="47">
        <v>31301</v>
      </c>
      <c r="B154" s="45" t="s">
        <v>534</v>
      </c>
      <c r="C154" s="10">
        <v>6.1401639344262291</v>
      </c>
      <c r="D154" s="10">
        <f>'[1]25-35 female'!AE156</f>
        <v>9.6537949400798944</v>
      </c>
    </row>
    <row r="155" spans="1:4" x14ac:dyDescent="0.3">
      <c r="A155" s="47">
        <v>31302</v>
      </c>
      <c r="B155" s="45" t="s">
        <v>398</v>
      </c>
      <c r="C155" s="10">
        <v>4.6095238095238091</v>
      </c>
      <c r="D155" s="10">
        <f>'[1]25-35 female'!AE157</f>
        <v>8.584905660377359</v>
      </c>
    </row>
    <row r="156" spans="1:4" x14ac:dyDescent="0.3">
      <c r="A156" s="47">
        <v>31303</v>
      </c>
      <c r="B156" s="45" t="s">
        <v>454</v>
      </c>
      <c r="C156" s="10">
        <v>4.1044776119402986</v>
      </c>
      <c r="D156" s="10">
        <f>'[1]25-35 female'!AE158</f>
        <v>8.662551440329219</v>
      </c>
    </row>
    <row r="157" spans="1:4" x14ac:dyDescent="0.3">
      <c r="A157" s="47">
        <v>31304</v>
      </c>
      <c r="B157" s="45" t="s">
        <v>369</v>
      </c>
      <c r="C157" s="10">
        <v>3.1231732776617953</v>
      </c>
      <c r="D157" s="10">
        <f>'[1]25-35 female'!AE159</f>
        <v>5.9979296066252585</v>
      </c>
    </row>
    <row r="158" spans="1:4" x14ac:dyDescent="0.3">
      <c r="A158" s="47">
        <v>31401</v>
      </c>
      <c r="B158" s="45" t="s">
        <v>542</v>
      </c>
      <c r="C158" s="10">
        <v>10.104801477377654</v>
      </c>
      <c r="D158" s="10">
        <f>'[1]25-35 female'!AE160</f>
        <v>12.740976645435245</v>
      </c>
    </row>
    <row r="159" spans="1:4" x14ac:dyDescent="0.3">
      <c r="A159" s="47">
        <v>31402</v>
      </c>
      <c r="B159" s="45" t="s">
        <v>507</v>
      </c>
      <c r="C159" s="10">
        <v>7.6877022653721685</v>
      </c>
      <c r="D159" s="10">
        <f>'[1]25-35 female'!AE161</f>
        <v>11.809395973154363</v>
      </c>
    </row>
    <row r="160" spans="1:4" x14ac:dyDescent="0.3">
      <c r="A160" s="47">
        <v>31403</v>
      </c>
      <c r="B160" s="45" t="s">
        <v>622</v>
      </c>
      <c r="C160" s="10">
        <v>9.3501483679525226</v>
      </c>
      <c r="D160" s="10">
        <f>'[1]25-35 female'!AE162</f>
        <v>12.967332123411978</v>
      </c>
    </row>
    <row r="161" spans="1:4" x14ac:dyDescent="0.3">
      <c r="A161" s="47">
        <v>31404</v>
      </c>
      <c r="B161" s="45" t="s">
        <v>617</v>
      </c>
      <c r="C161" s="10">
        <v>10.896907216494846</v>
      </c>
      <c r="D161" s="10">
        <f>'[1]25-35 female'!AE163</f>
        <v>12.777777777777779</v>
      </c>
    </row>
    <row r="162" spans="1:4" x14ac:dyDescent="0.3">
      <c r="A162" s="47">
        <v>31405</v>
      </c>
      <c r="B162" s="45" t="s">
        <v>471</v>
      </c>
      <c r="C162" s="10">
        <v>9.1666666666666661</v>
      </c>
      <c r="D162" s="10">
        <f>'[1]25-35 female'!AE164</f>
        <v>12.386666666666667</v>
      </c>
    </row>
    <row r="163" spans="1:4" x14ac:dyDescent="0.3">
      <c r="A163" s="47">
        <v>31501</v>
      </c>
      <c r="B163" s="45" t="s">
        <v>377</v>
      </c>
      <c r="C163" s="10">
        <v>4.56989247311828</v>
      </c>
      <c r="D163" s="10">
        <f>'[1]25-35 female'!AE165</f>
        <v>8.4968944099378874</v>
      </c>
    </row>
    <row r="164" spans="1:4" x14ac:dyDescent="0.3">
      <c r="A164" s="47">
        <v>31601</v>
      </c>
      <c r="B164" s="45" t="s">
        <v>447</v>
      </c>
      <c r="C164" s="10">
        <v>5.2362318840579709</v>
      </c>
      <c r="D164" s="10">
        <f>'[1]25-35 female'!AE166</f>
        <v>9.9189614476789938</v>
      </c>
    </row>
    <row r="165" spans="1:4" x14ac:dyDescent="0.3">
      <c r="A165" s="47">
        <v>31602</v>
      </c>
      <c r="B165" s="45" t="s">
        <v>482</v>
      </c>
      <c r="C165" s="10">
        <v>6.6501831501831505</v>
      </c>
      <c r="D165" s="10">
        <f>'[1]25-35 female'!AE167</f>
        <v>10.771844660194175</v>
      </c>
    </row>
    <row r="166" spans="1:4" x14ac:dyDescent="0.3">
      <c r="A166" s="47">
        <v>40101</v>
      </c>
      <c r="B166" s="45" t="s">
        <v>356</v>
      </c>
      <c r="C166" s="10">
        <v>12.056219771716</v>
      </c>
      <c r="D166" s="10">
        <f>'[1]25-35 female'!AE168</f>
        <v>13.643173105278679</v>
      </c>
    </row>
    <row r="167" spans="1:4" x14ac:dyDescent="0.3">
      <c r="A167" s="47">
        <v>40102</v>
      </c>
      <c r="B167" s="45" t="s">
        <v>515</v>
      </c>
      <c r="C167" s="10">
        <v>9.3279164248403941</v>
      </c>
      <c r="D167" s="10">
        <f>'[1]25-35 female'!AE169</f>
        <v>12.486633933442445</v>
      </c>
    </row>
    <row r="168" spans="1:4" x14ac:dyDescent="0.3">
      <c r="A168" s="47">
        <v>40103</v>
      </c>
      <c r="B168" s="45" t="s">
        <v>555</v>
      </c>
      <c r="C168" s="10">
        <v>8.1923076923076916</v>
      </c>
      <c r="D168" s="10">
        <f>'[1]25-35 female'!AE170</f>
        <v>11.847374847374848</v>
      </c>
    </row>
    <row r="169" spans="1:4" x14ac:dyDescent="0.3">
      <c r="A169" s="47">
        <v>40104</v>
      </c>
      <c r="B169" s="45" t="s">
        <v>478</v>
      </c>
      <c r="C169" s="10">
        <v>6.5263736263736263</v>
      </c>
      <c r="D169" s="10">
        <f>'[1]25-35 female'!AE171</f>
        <v>11.053501180173091</v>
      </c>
    </row>
    <row r="170" spans="1:4" x14ac:dyDescent="0.3">
      <c r="A170" s="47">
        <v>40201</v>
      </c>
      <c r="B170" s="45" t="s">
        <v>420</v>
      </c>
      <c r="C170" s="10">
        <v>7.5049976201808661</v>
      </c>
      <c r="D170" s="10">
        <f>'[1]25-35 female'!AE172</f>
        <v>10.982040229885058</v>
      </c>
    </row>
    <row r="171" spans="1:4" x14ac:dyDescent="0.3">
      <c r="A171" s="47">
        <v>40202</v>
      </c>
      <c r="B171" s="45" t="s">
        <v>513</v>
      </c>
      <c r="C171" s="10">
        <v>9.5507246376811601</v>
      </c>
      <c r="D171" s="10">
        <f>'[1]25-35 female'!AE173</f>
        <v>13.012853470437017</v>
      </c>
    </row>
    <row r="172" spans="1:4" x14ac:dyDescent="0.3">
      <c r="A172" s="47">
        <v>40301</v>
      </c>
      <c r="B172" s="45" t="s">
        <v>521</v>
      </c>
      <c r="C172" s="10">
        <v>9.7760141093474431</v>
      </c>
      <c r="D172" s="10">
        <f>'[1]25-35 female'!AE174</f>
        <v>12.638845553822152</v>
      </c>
    </row>
    <row r="173" spans="1:4" x14ac:dyDescent="0.3">
      <c r="A173" s="47">
        <v>40302</v>
      </c>
      <c r="B173" s="45" t="s">
        <v>492</v>
      </c>
      <c r="C173" s="10">
        <v>10.652482269503546</v>
      </c>
      <c r="D173" s="10">
        <f>'[1]25-35 female'!AE175</f>
        <v>12.975728155339805</v>
      </c>
    </row>
    <row r="174" spans="1:4" x14ac:dyDescent="0.3">
      <c r="A174" s="47">
        <v>40401</v>
      </c>
      <c r="B174" s="45" t="s">
        <v>483</v>
      </c>
      <c r="C174" s="10">
        <v>8.5589225589225588</v>
      </c>
      <c r="D174" s="10">
        <f>'[1]25-35 female'!AE176</f>
        <v>12.557522123893806</v>
      </c>
    </row>
    <row r="175" spans="1:4" x14ac:dyDescent="0.3">
      <c r="A175" s="47">
        <v>40402</v>
      </c>
      <c r="B175" s="45" t="s">
        <v>572</v>
      </c>
      <c r="C175" s="10">
        <v>9.5549597855227884</v>
      </c>
      <c r="D175" s="10">
        <f>'[1]25-35 female'!AE177</f>
        <v>12.804054054054054</v>
      </c>
    </row>
    <row r="176" spans="1:4" x14ac:dyDescent="0.3">
      <c r="A176" s="47">
        <v>40501</v>
      </c>
      <c r="B176" s="45" t="s">
        <v>573</v>
      </c>
      <c r="C176" s="10">
        <v>12.929577464788732</v>
      </c>
      <c r="D176" s="10">
        <f>'[1]25-35 female'!AE178</f>
        <v>12.988919667590027</v>
      </c>
    </row>
    <row r="177" spans="1:4" x14ac:dyDescent="0.3">
      <c r="A177" s="47">
        <v>40502</v>
      </c>
      <c r="B177" s="45" t="s">
        <v>571</v>
      </c>
      <c r="C177" s="10">
        <v>11.266355140186915</v>
      </c>
      <c r="D177" s="10">
        <f>'[1]25-35 female'!AE179</f>
        <v>13.168831168831169</v>
      </c>
    </row>
    <row r="178" spans="1:4" x14ac:dyDescent="0.3">
      <c r="A178" s="47">
        <v>40503</v>
      </c>
      <c r="B178" s="45" t="s">
        <v>678</v>
      </c>
      <c r="C178" s="10">
        <v>10.673469387755102</v>
      </c>
      <c r="D178" s="10">
        <f>'[1]25-35 female'!AE180</f>
        <v>13.23841059602649</v>
      </c>
    </row>
    <row r="179" spans="1:4" x14ac:dyDescent="0.3">
      <c r="A179" s="47">
        <v>40504</v>
      </c>
      <c r="B179" s="45" t="s">
        <v>603</v>
      </c>
      <c r="C179" s="10">
        <v>8.8474576271186436</v>
      </c>
      <c r="D179" s="10">
        <f>'[1]25-35 female'!AE181</f>
        <v>11.529411764705882</v>
      </c>
    </row>
    <row r="180" spans="1:4" x14ac:dyDescent="0.3">
      <c r="A180" s="47">
        <v>40505</v>
      </c>
      <c r="B180" s="45" t="s">
        <v>631</v>
      </c>
      <c r="C180" s="10">
        <v>10.616279069767442</v>
      </c>
      <c r="D180" s="10">
        <f>'[1]25-35 female'!AE182</f>
        <v>11.678983833718245</v>
      </c>
    </row>
    <row r="181" spans="1:4" x14ac:dyDescent="0.3">
      <c r="A181" s="47">
        <v>40601</v>
      </c>
      <c r="B181" s="45" t="s">
        <v>650</v>
      </c>
      <c r="C181" s="10">
        <v>9.9860139860139867</v>
      </c>
      <c r="D181" s="10">
        <f>'[1]25-35 female'!AE183</f>
        <v>12.96875</v>
      </c>
    </row>
    <row r="182" spans="1:4" x14ac:dyDescent="0.3">
      <c r="A182" s="47">
        <v>40602</v>
      </c>
      <c r="B182" s="45" t="s">
        <v>470</v>
      </c>
      <c r="C182" s="10">
        <v>10.373303167420815</v>
      </c>
      <c r="D182" s="10">
        <f>'[1]25-35 female'!AE184</f>
        <v>12.169014084507042</v>
      </c>
    </row>
    <row r="183" spans="1:4" x14ac:dyDescent="0.3">
      <c r="A183" s="47">
        <v>40603</v>
      </c>
      <c r="B183" s="45" t="s">
        <v>494</v>
      </c>
      <c r="C183" s="10">
        <v>10.762096774193548</v>
      </c>
      <c r="D183" s="10">
        <f>'[1]25-35 female'!AE185</f>
        <v>12.981549815498155</v>
      </c>
    </row>
    <row r="184" spans="1:4" x14ac:dyDescent="0.3">
      <c r="A184" s="47">
        <v>40701</v>
      </c>
      <c r="B184" s="45" t="s">
        <v>600</v>
      </c>
      <c r="C184" s="10">
        <v>10.351807228915662</v>
      </c>
      <c r="D184" s="10">
        <f>'[1]25-35 female'!AE186</f>
        <v>12.896486825595986</v>
      </c>
    </row>
    <row r="185" spans="1:4" x14ac:dyDescent="0.3">
      <c r="A185" s="47">
        <v>40702</v>
      </c>
      <c r="B185" s="45" t="s">
        <v>607</v>
      </c>
      <c r="C185" s="10">
        <v>11.011142061281337</v>
      </c>
      <c r="D185" s="10">
        <f>'[1]25-35 female'!AE187</f>
        <v>13.023706896551724</v>
      </c>
    </row>
    <row r="186" spans="1:4" x14ac:dyDescent="0.3">
      <c r="A186" s="47">
        <v>40801</v>
      </c>
      <c r="B186" s="45" t="s">
        <v>488</v>
      </c>
      <c r="C186" s="10">
        <v>9.6237864077669908</v>
      </c>
      <c r="D186" s="10">
        <f>'[1]25-35 female'!AE188</f>
        <v>12.296995708154506</v>
      </c>
    </row>
    <row r="187" spans="1:4" x14ac:dyDescent="0.3">
      <c r="A187" s="47">
        <v>40802</v>
      </c>
      <c r="B187" s="45" t="s">
        <v>429</v>
      </c>
      <c r="C187" s="10">
        <v>8.2736318407960194</v>
      </c>
      <c r="D187" s="10">
        <f>'[1]25-35 female'!AE189</f>
        <v>12.009478672985782</v>
      </c>
    </row>
    <row r="188" spans="1:4" x14ac:dyDescent="0.3">
      <c r="A188" s="47">
        <v>40901</v>
      </c>
      <c r="B188" s="45" t="s">
        <v>596</v>
      </c>
      <c r="C188" s="10">
        <v>10.511921458625526</v>
      </c>
      <c r="D188" s="10">
        <f>'[1]25-35 female'!AE190</f>
        <v>12.47843137254902</v>
      </c>
    </row>
    <row r="189" spans="1:4" x14ac:dyDescent="0.3">
      <c r="A189" s="47">
        <v>40902</v>
      </c>
      <c r="B189" s="45" t="s">
        <v>506</v>
      </c>
      <c r="C189" s="10">
        <v>10.971014492753623</v>
      </c>
      <c r="D189" s="10">
        <f>'[1]25-35 female'!AE191</f>
        <v>12.446043165467627</v>
      </c>
    </row>
    <row r="190" spans="1:4" x14ac:dyDescent="0.3">
      <c r="A190" s="47">
        <v>40903</v>
      </c>
      <c r="B190" s="45" t="s">
        <v>415</v>
      </c>
      <c r="C190" s="10">
        <v>7.2465753424657535</v>
      </c>
      <c r="D190" s="10">
        <f>'[1]25-35 female'!AE192</f>
        <v>10.502145922746781</v>
      </c>
    </row>
    <row r="191" spans="1:4" x14ac:dyDescent="0.3">
      <c r="A191" s="47">
        <v>41001</v>
      </c>
      <c r="B191" s="45" t="s">
        <v>486</v>
      </c>
      <c r="C191" s="10">
        <v>9.19489247311828</v>
      </c>
      <c r="D191" s="10">
        <f>'[1]25-35 female'!AE193</f>
        <v>11.892935982339957</v>
      </c>
    </row>
    <row r="192" spans="1:4" x14ac:dyDescent="0.3">
      <c r="A192" s="47">
        <v>41101</v>
      </c>
      <c r="B192" s="45" t="s">
        <v>405</v>
      </c>
      <c r="C192" s="10">
        <v>9.4878048780487809</v>
      </c>
      <c r="D192" s="10">
        <f>'[1]25-35 female'!AE194</f>
        <v>11.523456790123456</v>
      </c>
    </row>
    <row r="193" spans="1:4" x14ac:dyDescent="0.3">
      <c r="A193" s="47">
        <v>41201</v>
      </c>
      <c r="B193" s="45" t="s">
        <v>560</v>
      </c>
      <c r="C193" s="10">
        <v>10.115869017632242</v>
      </c>
      <c r="D193" s="10">
        <f>'[1]25-35 female'!AE195</f>
        <v>13.118721461187215</v>
      </c>
    </row>
    <row r="194" spans="1:4" x14ac:dyDescent="0.3">
      <c r="A194" s="47">
        <v>41202</v>
      </c>
      <c r="B194" s="45" t="s">
        <v>504</v>
      </c>
      <c r="C194" s="10">
        <v>9.7539682539682548</v>
      </c>
      <c r="D194" s="10">
        <f>'[1]25-35 female'!AE196</f>
        <v>13.114754098360656</v>
      </c>
    </row>
    <row r="195" spans="1:4" x14ac:dyDescent="0.3">
      <c r="A195" s="47">
        <v>41301</v>
      </c>
      <c r="B195" s="45" t="s">
        <v>378</v>
      </c>
      <c r="C195" s="10">
        <v>9.6676923076923078</v>
      </c>
      <c r="D195" s="10">
        <f>'[1]25-35 female'!AE197</f>
        <v>12.6983842010772</v>
      </c>
    </row>
    <row r="196" spans="1:4" x14ac:dyDescent="0.3">
      <c r="A196" s="47">
        <v>41401</v>
      </c>
      <c r="B196" s="45" t="s">
        <v>575</v>
      </c>
      <c r="C196" s="10">
        <v>9.8859198355601237</v>
      </c>
      <c r="D196" s="10">
        <f>'[1]25-35 female'!AE198</f>
        <v>12.352441613588111</v>
      </c>
    </row>
    <row r="197" spans="1:4" x14ac:dyDescent="0.3">
      <c r="A197" s="47">
        <v>41501</v>
      </c>
      <c r="B197" s="45" t="s">
        <v>530</v>
      </c>
      <c r="C197" s="10">
        <v>10.452830188679245</v>
      </c>
      <c r="D197" s="10">
        <f>'[1]25-35 female'!AE199</f>
        <v>11.774774774774775</v>
      </c>
    </row>
    <row r="198" spans="1:4" x14ac:dyDescent="0.3">
      <c r="A198" s="47">
        <v>41502</v>
      </c>
      <c r="B198" s="45" t="s">
        <v>610</v>
      </c>
      <c r="C198" s="10">
        <v>10.652173913043478</v>
      </c>
      <c r="D198" s="10">
        <f>'[1]25-35 female'!AE200</f>
        <v>12.63963963963964</v>
      </c>
    </row>
    <row r="199" spans="1:4" x14ac:dyDescent="0.3">
      <c r="A199" s="47">
        <v>41503</v>
      </c>
      <c r="B199" s="45" t="s">
        <v>533</v>
      </c>
      <c r="C199" s="10">
        <v>10.038961038961039</v>
      </c>
      <c r="D199" s="10">
        <f>'[1]25-35 female'!AE201</f>
        <v>12.196428571428571</v>
      </c>
    </row>
    <row r="200" spans="1:4" x14ac:dyDescent="0.3">
      <c r="A200" s="47">
        <v>41601</v>
      </c>
      <c r="B200" s="45" t="s">
        <v>502</v>
      </c>
      <c r="C200" s="10">
        <v>9.9774919614147901</v>
      </c>
      <c r="D200" s="10">
        <f>'[1]25-35 female'!AE202</f>
        <v>12.707042253521127</v>
      </c>
    </row>
    <row r="201" spans="1:4" x14ac:dyDescent="0.3">
      <c r="A201" s="47">
        <v>50101</v>
      </c>
      <c r="B201" s="45" t="s">
        <v>519</v>
      </c>
      <c r="C201" s="10">
        <v>11.307938648238665</v>
      </c>
      <c r="D201" s="10">
        <f>'[1]25-35 female'!AE203</f>
        <v>12.992870441850961</v>
      </c>
    </row>
    <row r="202" spans="1:4" x14ac:dyDescent="0.3">
      <c r="A202" s="47">
        <v>50102</v>
      </c>
      <c r="B202" s="45" t="s">
        <v>387</v>
      </c>
      <c r="C202" s="10">
        <v>3.7220744680851063</v>
      </c>
      <c r="D202" s="10">
        <f>'[1]25-35 female'!AE204</f>
        <v>7.3986970684039086</v>
      </c>
    </row>
    <row r="203" spans="1:4" x14ac:dyDescent="0.3">
      <c r="A203" s="47">
        <v>50103</v>
      </c>
      <c r="B203" s="45" t="s">
        <v>547</v>
      </c>
      <c r="C203" s="10">
        <v>8.7559633027522938</v>
      </c>
      <c r="D203" s="10">
        <f>'[1]25-35 female'!AE205</f>
        <v>12.220994475138122</v>
      </c>
    </row>
    <row r="204" spans="1:4" x14ac:dyDescent="0.3">
      <c r="A204" s="47">
        <v>50104</v>
      </c>
      <c r="B204" s="45" t="s">
        <v>416</v>
      </c>
      <c r="C204" s="10">
        <v>7.4171428571428573</v>
      </c>
      <c r="D204" s="10">
        <f>'[1]25-35 female'!AE206</f>
        <v>10.837209302325581</v>
      </c>
    </row>
    <row r="205" spans="1:4" x14ac:dyDescent="0.3">
      <c r="A205" s="47">
        <v>50201</v>
      </c>
      <c r="B205" s="45" t="s">
        <v>421</v>
      </c>
      <c r="C205" s="10">
        <v>8.1810228802153429</v>
      </c>
      <c r="D205" s="10">
        <f>'[1]25-35 female'!AE207</f>
        <v>11.599682707562136</v>
      </c>
    </row>
    <row r="206" spans="1:4" x14ac:dyDescent="0.3">
      <c r="A206" s="47">
        <v>50202</v>
      </c>
      <c r="B206" s="45" t="s">
        <v>467</v>
      </c>
      <c r="C206" s="10">
        <v>6.8754134509371552</v>
      </c>
      <c r="D206" s="10">
        <f>'[1]25-35 female'!AE208</f>
        <v>11.025169409486931</v>
      </c>
    </row>
    <row r="207" spans="1:4" x14ac:dyDescent="0.3">
      <c r="A207" s="47">
        <v>50203</v>
      </c>
      <c r="B207" s="45" t="s">
        <v>516</v>
      </c>
      <c r="C207" s="10">
        <v>10.685563816604709</v>
      </c>
      <c r="D207" s="10">
        <f>'[1]25-35 female'!AE209</f>
        <v>12.933990687482881</v>
      </c>
    </row>
    <row r="208" spans="1:4" x14ac:dyDescent="0.3">
      <c r="A208" s="47">
        <v>50204</v>
      </c>
      <c r="B208" s="45" t="s">
        <v>442</v>
      </c>
      <c r="C208" s="10">
        <v>5.4282982791586996</v>
      </c>
      <c r="D208" s="10">
        <f>'[1]25-35 female'!AE210</f>
        <v>9.6654740608228984</v>
      </c>
    </row>
    <row r="209" spans="1:4" x14ac:dyDescent="0.3">
      <c r="A209" s="47">
        <v>50301</v>
      </c>
      <c r="B209" s="45" t="s">
        <v>411</v>
      </c>
      <c r="C209" s="10">
        <v>5.7886597938144329</v>
      </c>
      <c r="D209" s="10">
        <f>'[1]25-35 female'!AE211</f>
        <v>10.119444444444444</v>
      </c>
    </row>
    <row r="210" spans="1:4" x14ac:dyDescent="0.3">
      <c r="A210" s="47">
        <v>50302</v>
      </c>
      <c r="B210" s="45" t="s">
        <v>427</v>
      </c>
      <c r="C210" s="10">
        <v>6.6567460317460316</v>
      </c>
      <c r="D210" s="10">
        <f>'[1]25-35 female'!AE212</f>
        <v>10.354679802955665</v>
      </c>
    </row>
    <row r="211" spans="1:4" x14ac:dyDescent="0.3">
      <c r="A211" s="47">
        <v>50303</v>
      </c>
      <c r="B211" s="45" t="s">
        <v>409</v>
      </c>
      <c r="C211" s="10">
        <v>4.34375</v>
      </c>
      <c r="D211" s="10">
        <f>'[1]25-35 female'!AE213</f>
        <v>8.3637454981992789</v>
      </c>
    </row>
    <row r="212" spans="1:4" x14ac:dyDescent="0.3">
      <c r="A212" s="47">
        <v>50401</v>
      </c>
      <c r="B212" s="45" t="s">
        <v>441</v>
      </c>
      <c r="C212" s="10">
        <v>5.4377777777777778</v>
      </c>
      <c r="D212" s="10">
        <f>'[1]25-35 female'!AE214</f>
        <v>8.7862356621480711</v>
      </c>
    </row>
    <row r="213" spans="1:4" x14ac:dyDescent="0.3">
      <c r="A213" s="47">
        <v>50402</v>
      </c>
      <c r="B213" s="45" t="s">
        <v>461</v>
      </c>
      <c r="C213" s="10">
        <v>4.2058823529411766</v>
      </c>
      <c r="D213" s="10">
        <f>'[1]25-35 female'!AE215</f>
        <v>8.8282950423216437</v>
      </c>
    </row>
    <row r="214" spans="1:4" x14ac:dyDescent="0.3">
      <c r="A214" s="47">
        <v>50403</v>
      </c>
      <c r="B214" s="45" t="s">
        <v>390</v>
      </c>
      <c r="C214" s="10">
        <v>5.7816804407713498</v>
      </c>
      <c r="D214" s="10">
        <f>'[1]25-35 female'!AE216</f>
        <v>9.480550284629981</v>
      </c>
    </row>
    <row r="215" spans="1:4" x14ac:dyDescent="0.3">
      <c r="A215" s="47">
        <v>50404</v>
      </c>
      <c r="B215" s="45" t="s">
        <v>388</v>
      </c>
      <c r="C215" s="10">
        <v>3.6812705366922236</v>
      </c>
      <c r="D215" s="10">
        <f>'[1]25-35 female'!AE217</f>
        <v>7.6313559322033901</v>
      </c>
    </row>
    <row r="216" spans="1:4" x14ac:dyDescent="0.3">
      <c r="A216" s="47">
        <v>50405</v>
      </c>
      <c r="B216" s="45" t="s">
        <v>367</v>
      </c>
      <c r="C216" s="10">
        <v>3.5499524262607043</v>
      </c>
      <c r="D216" s="10">
        <f>'[1]25-35 female'!AE218</f>
        <v>7.251203852327448</v>
      </c>
    </row>
    <row r="217" spans="1:4" x14ac:dyDescent="0.3">
      <c r="A217" s="47">
        <v>50501</v>
      </c>
      <c r="B217" s="45" t="s">
        <v>368</v>
      </c>
      <c r="C217" s="10">
        <v>4.9053287981859413</v>
      </c>
      <c r="D217" s="10">
        <f>'[1]25-35 female'!AE219</f>
        <v>7.585579514824798</v>
      </c>
    </row>
    <row r="218" spans="1:4" x14ac:dyDescent="0.3">
      <c r="A218" s="47">
        <v>50502</v>
      </c>
      <c r="B218" s="45" t="s">
        <v>385</v>
      </c>
      <c r="C218" s="10">
        <v>5.7458471760797343</v>
      </c>
      <c r="D218" s="10">
        <f>'[1]25-35 female'!AE220</f>
        <v>9.1544461778471131</v>
      </c>
    </row>
    <row r="219" spans="1:4" x14ac:dyDescent="0.3">
      <c r="A219" s="47">
        <v>50601</v>
      </c>
      <c r="B219" s="45" t="s">
        <v>538</v>
      </c>
      <c r="C219" s="10">
        <v>8.2560202788339669</v>
      </c>
      <c r="D219" s="10">
        <f>'[1]25-35 female'!AE221</f>
        <v>11.487906588824019</v>
      </c>
    </row>
    <row r="220" spans="1:4" x14ac:dyDescent="0.3">
      <c r="A220" s="47">
        <v>50602</v>
      </c>
      <c r="B220" s="45" t="s">
        <v>418</v>
      </c>
      <c r="C220" s="10">
        <v>7.5793650793650791</v>
      </c>
      <c r="D220" s="10">
        <f>'[1]25-35 female'!AE222</f>
        <v>11.192805755395684</v>
      </c>
    </row>
    <row r="221" spans="1:4" x14ac:dyDescent="0.3">
      <c r="A221" s="47">
        <v>50701</v>
      </c>
      <c r="B221" s="45" t="s">
        <v>371</v>
      </c>
      <c r="C221" s="10">
        <v>5.1186721991701241</v>
      </c>
      <c r="D221" s="10">
        <f>'[1]25-35 female'!AE223</f>
        <v>8.0021344717182501</v>
      </c>
    </row>
    <row r="222" spans="1:4" x14ac:dyDescent="0.3">
      <c r="A222" s="47">
        <v>50702</v>
      </c>
      <c r="B222" s="45" t="s">
        <v>384</v>
      </c>
      <c r="C222" s="10">
        <v>5.7400419287211744</v>
      </c>
      <c r="D222" s="10">
        <f>'[1]25-35 female'!AE224</f>
        <v>9.3666666666666671</v>
      </c>
    </row>
    <row r="223" spans="1:4" x14ac:dyDescent="0.3">
      <c r="A223" s="47">
        <v>50801</v>
      </c>
      <c r="B223" s="45" t="s">
        <v>612</v>
      </c>
      <c r="C223" s="10">
        <v>10.033759124087592</v>
      </c>
      <c r="D223" s="10">
        <f>'[1]25-35 female'!AE225</f>
        <v>12.555722891566266</v>
      </c>
    </row>
    <row r="224" spans="1:4" x14ac:dyDescent="0.3">
      <c r="A224" s="47">
        <v>50802</v>
      </c>
      <c r="B224" s="45" t="s">
        <v>680</v>
      </c>
      <c r="C224" s="10">
        <v>10.333333333333334</v>
      </c>
      <c r="D224" s="10">
        <f>'[1]25-35 female'!AE226</f>
        <v>12.646500593119811</v>
      </c>
    </row>
    <row r="225" spans="1:4" x14ac:dyDescent="0.3">
      <c r="A225" s="47">
        <v>50901</v>
      </c>
      <c r="B225" s="45" t="s">
        <v>539</v>
      </c>
      <c r="C225" s="10">
        <v>10.387995712754556</v>
      </c>
      <c r="D225" s="10">
        <f>'[1]25-35 female'!AE227</f>
        <v>12.868896925858952</v>
      </c>
    </row>
    <row r="226" spans="1:4" x14ac:dyDescent="0.3">
      <c r="A226" s="47">
        <v>50902</v>
      </c>
      <c r="B226" s="45" t="s">
        <v>545</v>
      </c>
      <c r="C226" s="10">
        <v>11.717948717948717</v>
      </c>
      <c r="D226" s="10">
        <f>'[1]25-35 female'!AE228</f>
        <v>13.131578947368421</v>
      </c>
    </row>
    <row r="227" spans="1:4" x14ac:dyDescent="0.3">
      <c r="A227" s="47">
        <v>51001</v>
      </c>
      <c r="B227" s="45" t="s">
        <v>565</v>
      </c>
      <c r="C227" s="10">
        <v>8.4805194805194812</v>
      </c>
      <c r="D227" s="10">
        <f>'[1]25-35 female'!AE229</f>
        <v>11.518248175182482</v>
      </c>
    </row>
    <row r="228" spans="1:4" x14ac:dyDescent="0.3">
      <c r="A228" s="47">
        <v>51002</v>
      </c>
      <c r="B228" s="45" t="s">
        <v>522</v>
      </c>
      <c r="C228" s="10">
        <v>8.0594059405940595</v>
      </c>
      <c r="D228" s="10">
        <f>'[1]25-35 female'!AE230</f>
        <v>11.24</v>
      </c>
    </row>
    <row r="229" spans="1:4" x14ac:dyDescent="0.3">
      <c r="A229" s="47">
        <v>51003</v>
      </c>
      <c r="B229" s="45" t="s">
        <v>618</v>
      </c>
      <c r="C229" s="10">
        <v>7.7936507936507935</v>
      </c>
      <c r="D229" s="10">
        <f>'[1]25-35 female'!AE231</f>
        <v>9.9704142011834325</v>
      </c>
    </row>
    <row r="230" spans="1:4" x14ac:dyDescent="0.3">
      <c r="A230" s="47">
        <v>51101</v>
      </c>
      <c r="B230" s="45" t="s">
        <v>422</v>
      </c>
      <c r="C230" s="10">
        <v>7.6020015396458813</v>
      </c>
      <c r="D230" s="10">
        <f>'[1]25-35 female'!AE232</f>
        <v>11.289108910891089</v>
      </c>
    </row>
    <row r="231" spans="1:4" x14ac:dyDescent="0.3">
      <c r="A231" s="47">
        <v>51102</v>
      </c>
      <c r="B231" s="45" t="s">
        <v>469</v>
      </c>
      <c r="C231" s="10">
        <v>8.10024154589372</v>
      </c>
      <c r="D231" s="10">
        <f>'[1]25-35 female'!AE233</f>
        <v>11.667641325536062</v>
      </c>
    </row>
    <row r="232" spans="1:4" x14ac:dyDescent="0.3">
      <c r="A232" s="47">
        <v>51103</v>
      </c>
      <c r="B232" s="45" t="s">
        <v>380</v>
      </c>
      <c r="C232" s="10">
        <v>4.9191343963553527</v>
      </c>
      <c r="D232" s="10">
        <f>'[1]25-35 female'!AE234</f>
        <v>8.4932844932844933</v>
      </c>
    </row>
    <row r="233" spans="1:4" x14ac:dyDescent="0.3">
      <c r="A233" s="47">
        <v>51201</v>
      </c>
      <c r="B233" s="45" t="s">
        <v>544</v>
      </c>
      <c r="C233" s="10">
        <v>10.860675039246468</v>
      </c>
      <c r="D233" s="10">
        <f>'[1]25-35 female'!AE235</f>
        <v>12.928378783338328</v>
      </c>
    </row>
    <row r="234" spans="1:4" x14ac:dyDescent="0.3">
      <c r="A234" s="47">
        <v>51202</v>
      </c>
      <c r="B234" s="45" t="s">
        <v>489</v>
      </c>
      <c r="C234" s="10">
        <v>8.6528776978417259</v>
      </c>
      <c r="D234" s="10">
        <f>'[1]25-35 female'!AE236</f>
        <v>12.037623762376237</v>
      </c>
    </row>
    <row r="235" spans="1:4" x14ac:dyDescent="0.3">
      <c r="A235" s="47">
        <v>51203</v>
      </c>
      <c r="B235" s="45" t="s">
        <v>637</v>
      </c>
      <c r="C235" s="10">
        <v>8.7518878101402375</v>
      </c>
      <c r="D235" s="10">
        <f>'[1]25-35 female'!AE237</f>
        <v>11.533333333333333</v>
      </c>
    </row>
    <row r="236" spans="1:4" x14ac:dyDescent="0.3">
      <c r="A236" s="47">
        <v>51204</v>
      </c>
      <c r="B236" s="45" t="s">
        <v>505</v>
      </c>
      <c r="C236" s="10">
        <v>7.67741935483871</v>
      </c>
      <c r="D236" s="10">
        <f>'[1]25-35 female'!AE238</f>
        <v>11.641646489104117</v>
      </c>
    </row>
    <row r="237" spans="1:4" x14ac:dyDescent="0.3">
      <c r="A237" s="47">
        <v>51301</v>
      </c>
      <c r="B237" s="45" t="s">
        <v>373</v>
      </c>
      <c r="C237" s="10">
        <v>6.2362869198312234</v>
      </c>
      <c r="D237" s="10">
        <f>'[1]25-35 female'!AE239</f>
        <v>7.8465608465608465</v>
      </c>
    </row>
    <row r="238" spans="1:4" x14ac:dyDescent="0.3">
      <c r="A238" s="47">
        <v>51302</v>
      </c>
      <c r="B238" s="45" t="s">
        <v>413</v>
      </c>
      <c r="C238" s="10">
        <v>6.7491961414791</v>
      </c>
      <c r="D238" s="10">
        <f>'[1]25-35 female'!AE240</f>
        <v>9.5374999999999996</v>
      </c>
    </row>
    <row r="239" spans="1:4" x14ac:dyDescent="0.3">
      <c r="A239" s="47">
        <v>51401</v>
      </c>
      <c r="B239" s="45" t="s">
        <v>517</v>
      </c>
      <c r="C239" s="10">
        <v>11.185964912280701</v>
      </c>
      <c r="D239" s="10">
        <f>'[1]25-35 female'!AE241</f>
        <v>13.045751633986928</v>
      </c>
    </row>
    <row r="240" spans="1:4" x14ac:dyDescent="0.3">
      <c r="A240" s="47">
        <v>51402</v>
      </c>
      <c r="B240" s="45" t="s">
        <v>520</v>
      </c>
      <c r="C240" s="10">
        <v>10.924528301886792</v>
      </c>
      <c r="D240" s="10">
        <f>'[1]25-35 female'!AE242</f>
        <v>13.094017094017094</v>
      </c>
    </row>
    <row r="241" spans="1:4" x14ac:dyDescent="0.3">
      <c r="A241" s="47">
        <v>51501</v>
      </c>
      <c r="B241" s="45" t="s">
        <v>559</v>
      </c>
      <c r="C241" s="10">
        <v>9.2564935064935057</v>
      </c>
      <c r="D241" s="10">
        <f>'[1]25-35 female'!AE243</f>
        <v>12.188390159689254</v>
      </c>
    </row>
    <row r="242" spans="1:4" x14ac:dyDescent="0.3">
      <c r="A242" s="47">
        <v>51601</v>
      </c>
      <c r="B242" s="45" t="s">
        <v>410</v>
      </c>
      <c r="C242" s="10">
        <v>8.9112903225806459</v>
      </c>
      <c r="D242" s="10">
        <f>'[1]25-35 female'!AE244</f>
        <v>11.923076923076923</v>
      </c>
    </row>
    <row r="243" spans="1:4" x14ac:dyDescent="0.3">
      <c r="A243" s="47">
        <v>60101</v>
      </c>
      <c r="B243" s="45" t="s">
        <v>358</v>
      </c>
      <c r="C243" s="10">
        <v>11.570728970055603</v>
      </c>
      <c r="D243" s="10">
        <f>'[1]25-35 female'!AE245</f>
        <v>13.555964622741314</v>
      </c>
    </row>
    <row r="244" spans="1:4" x14ac:dyDescent="0.3">
      <c r="A244" s="47">
        <v>60201</v>
      </c>
      <c r="B244" s="45" t="s">
        <v>667</v>
      </c>
      <c r="C244" s="10">
        <v>6.9589552238805972</v>
      </c>
      <c r="D244" s="10">
        <f>'[1]25-35 female'!AE246</f>
        <v>10.534031413612565</v>
      </c>
    </row>
    <row r="245" spans="1:4" x14ac:dyDescent="0.3">
      <c r="A245" s="47">
        <v>60202</v>
      </c>
      <c r="B245" s="45" t="s">
        <v>665</v>
      </c>
      <c r="C245" s="10">
        <v>9.8899112717712789</v>
      </c>
      <c r="D245" s="10">
        <f>'[1]25-35 female'!AE247</f>
        <v>12.308067757680162</v>
      </c>
    </row>
    <row r="246" spans="1:4" x14ac:dyDescent="0.3">
      <c r="A246" s="47">
        <v>60301</v>
      </c>
      <c r="B246" s="45" t="s">
        <v>653</v>
      </c>
      <c r="C246" s="10">
        <v>9.506664957703153</v>
      </c>
      <c r="D246" s="10">
        <f>'[1]25-35 female'!AE248</f>
        <v>12.284863851835519</v>
      </c>
    </row>
    <row r="247" spans="1:4" x14ac:dyDescent="0.3">
      <c r="A247" s="47">
        <v>60302</v>
      </c>
      <c r="B247" s="45" t="s">
        <v>683</v>
      </c>
      <c r="C247" s="10">
        <v>9.7299829642248721</v>
      </c>
      <c r="D247" s="10">
        <f>'[1]25-35 female'!AE249</f>
        <v>12.260775862068966</v>
      </c>
    </row>
    <row r="248" spans="1:4" x14ac:dyDescent="0.3">
      <c r="A248" s="47">
        <v>60303</v>
      </c>
      <c r="B248" s="45" t="s">
        <v>652</v>
      </c>
      <c r="C248" s="10">
        <v>9.9286749782545662</v>
      </c>
      <c r="D248" s="10">
        <f>'[1]25-35 female'!AE250</f>
        <v>12.102419544280009</v>
      </c>
    </row>
    <row r="249" spans="1:4" x14ac:dyDescent="0.3">
      <c r="A249" s="47">
        <v>60401</v>
      </c>
      <c r="B249" s="45" t="s">
        <v>691</v>
      </c>
      <c r="C249" s="10">
        <v>7.4841592201462221</v>
      </c>
      <c r="D249" s="10">
        <f>'[1]25-35 female'!AE251</f>
        <v>10.975626269465131</v>
      </c>
    </row>
    <row r="250" spans="1:4" x14ac:dyDescent="0.3">
      <c r="A250" s="47">
        <v>60402</v>
      </c>
      <c r="B250" s="45" t="s">
        <v>532</v>
      </c>
      <c r="C250" s="10">
        <v>6.3612565445026181</v>
      </c>
      <c r="D250" s="10">
        <f>'[1]25-35 female'!AE252</f>
        <v>9.6198347107438025</v>
      </c>
    </row>
    <row r="251" spans="1:4" x14ac:dyDescent="0.3">
      <c r="A251" s="47">
        <v>60501</v>
      </c>
      <c r="B251" s="45" t="s">
        <v>623</v>
      </c>
      <c r="C251" s="10">
        <v>8.6431095406360416</v>
      </c>
      <c r="D251" s="10">
        <f>'[1]25-35 female'!AE253</f>
        <v>11.519548872180451</v>
      </c>
    </row>
    <row r="252" spans="1:4" x14ac:dyDescent="0.3">
      <c r="A252" s="47">
        <v>60502</v>
      </c>
      <c r="B252" s="45" t="s">
        <v>630</v>
      </c>
      <c r="C252" s="10">
        <v>6.6215568862275447</v>
      </c>
      <c r="D252" s="10">
        <f>'[1]25-35 female'!AE254</f>
        <v>10.08904109589041</v>
      </c>
    </row>
    <row r="253" spans="1:4" x14ac:dyDescent="0.3">
      <c r="A253" s="47">
        <v>60601</v>
      </c>
      <c r="B253" s="45" t="s">
        <v>453</v>
      </c>
      <c r="C253" s="10">
        <v>8.124035989717223</v>
      </c>
      <c r="D253" s="10">
        <f>'[1]25-35 female'!AE255</f>
        <v>10.920492721164614</v>
      </c>
    </row>
    <row r="254" spans="1:4" x14ac:dyDescent="0.3">
      <c r="A254" s="47">
        <v>70101</v>
      </c>
      <c r="B254" s="45" t="s">
        <v>645</v>
      </c>
      <c r="C254" s="10">
        <v>11.470118392650789</v>
      </c>
      <c r="D254" s="10">
        <f>'[1]25-35 female'!AE256</f>
        <v>13.455791143804991</v>
      </c>
    </row>
    <row r="255" spans="1:4" x14ac:dyDescent="0.3">
      <c r="A255" s="47">
        <v>70102</v>
      </c>
      <c r="B255" s="45" t="s">
        <v>651</v>
      </c>
      <c r="C255" s="10">
        <v>8.7404580152671763</v>
      </c>
      <c r="D255" s="10">
        <f>'[1]25-35 female'!AE257</f>
        <v>11.856281118345462</v>
      </c>
    </row>
    <row r="256" spans="1:4" x14ac:dyDescent="0.3">
      <c r="A256" s="47">
        <v>70103</v>
      </c>
      <c r="B256" s="45" t="s">
        <v>675</v>
      </c>
      <c r="C256" s="10">
        <v>10.223894637817498</v>
      </c>
      <c r="D256" s="10">
        <f>'[1]25-35 female'!AE258</f>
        <v>13.209929843497031</v>
      </c>
    </row>
    <row r="257" spans="1:4" x14ac:dyDescent="0.3">
      <c r="A257" s="47">
        <v>70104</v>
      </c>
      <c r="B257" s="45" t="s">
        <v>626</v>
      </c>
      <c r="C257" s="10">
        <v>9.2538322269161135</v>
      </c>
      <c r="D257" s="10">
        <f>'[1]25-35 female'!AE259</f>
        <v>12.197342106960841</v>
      </c>
    </row>
    <row r="258" spans="1:4" x14ac:dyDescent="0.3">
      <c r="A258" s="47">
        <v>70105</v>
      </c>
      <c r="B258" s="45" t="s">
        <v>661</v>
      </c>
      <c r="C258" s="10">
        <v>8.5971241830065352</v>
      </c>
      <c r="D258" s="10">
        <f>'[1]25-35 female'!AE260</f>
        <v>11.959857437628962</v>
      </c>
    </row>
    <row r="259" spans="1:4" x14ac:dyDescent="0.3">
      <c r="A259" s="47">
        <v>70201</v>
      </c>
      <c r="B259" s="45" t="s">
        <v>592</v>
      </c>
      <c r="C259" s="10">
        <v>8.9683290002363503</v>
      </c>
      <c r="D259" s="10">
        <f>'[1]25-35 female'!AE261</f>
        <v>11.676969780598869</v>
      </c>
    </row>
    <row r="260" spans="1:4" x14ac:dyDescent="0.3">
      <c r="A260" s="47">
        <v>70202</v>
      </c>
      <c r="B260" s="45" t="s">
        <v>686</v>
      </c>
      <c r="C260" s="10">
        <v>8.9203640500568824</v>
      </c>
      <c r="D260" s="10">
        <f>'[1]25-35 female'!AE262</f>
        <v>11.892935982339957</v>
      </c>
    </row>
    <row r="261" spans="1:4" x14ac:dyDescent="0.3">
      <c r="A261" s="47">
        <v>70301</v>
      </c>
      <c r="B261" s="45" t="s">
        <v>586</v>
      </c>
      <c r="C261" s="10">
        <v>8.5553252137859541</v>
      </c>
      <c r="D261" s="10">
        <f>'[1]25-35 female'!AE263</f>
        <v>10.32725321888412</v>
      </c>
    </row>
    <row r="262" spans="1:4" x14ac:dyDescent="0.3">
      <c r="A262" s="47">
        <v>70302</v>
      </c>
      <c r="B262" s="45" t="s">
        <v>536</v>
      </c>
      <c r="C262" s="10">
        <v>8.2149292149292155</v>
      </c>
      <c r="D262" s="10">
        <f>'[1]25-35 female'!AE264</f>
        <v>10.624797406807131</v>
      </c>
    </row>
    <row r="263" spans="1:4" x14ac:dyDescent="0.3">
      <c r="A263" s="47">
        <v>70303</v>
      </c>
      <c r="B263" s="45" t="s">
        <v>589</v>
      </c>
      <c r="C263" s="10">
        <v>8.5424528301886795</v>
      </c>
      <c r="D263" s="10">
        <f>'[1]25-35 female'!AE265</f>
        <v>10.490092470277411</v>
      </c>
    </row>
    <row r="264" spans="1:4" x14ac:dyDescent="0.3">
      <c r="A264" s="47">
        <v>70401</v>
      </c>
      <c r="B264" s="45" t="s">
        <v>668</v>
      </c>
      <c r="C264" s="10">
        <v>8.5058823529411764</v>
      </c>
      <c r="D264" s="10">
        <f>'[1]25-35 female'!AE266</f>
        <v>11.906193078324225</v>
      </c>
    </row>
    <row r="265" spans="1:4" x14ac:dyDescent="0.3">
      <c r="A265" s="47">
        <v>70402</v>
      </c>
      <c r="B265" s="45" t="s">
        <v>641</v>
      </c>
      <c r="C265" s="10">
        <v>8.8523442967109869</v>
      </c>
      <c r="D265" s="10">
        <f>'[1]25-35 female'!AE267</f>
        <v>11.677824267782427</v>
      </c>
    </row>
    <row r="266" spans="1:4" x14ac:dyDescent="0.3">
      <c r="A266" s="47">
        <v>70403</v>
      </c>
      <c r="B266" s="45" t="s">
        <v>642</v>
      </c>
      <c r="C266" s="10">
        <v>8.3576530612244895</v>
      </c>
      <c r="D266" s="10">
        <f>'[1]25-35 female'!AE268</f>
        <v>11.825059974164976</v>
      </c>
    </row>
    <row r="267" spans="1:4" x14ac:dyDescent="0.3">
      <c r="A267" s="47">
        <v>70404</v>
      </c>
      <c r="B267" s="45" t="s">
        <v>662</v>
      </c>
      <c r="C267" s="10">
        <v>8.6661742983751839</v>
      </c>
      <c r="D267" s="10">
        <f>'[1]25-35 female'!AE269</f>
        <v>11.783132530120483</v>
      </c>
    </row>
    <row r="268" spans="1:4" x14ac:dyDescent="0.3">
      <c r="A268" s="47">
        <v>70501</v>
      </c>
      <c r="B268" s="45" t="s">
        <v>627</v>
      </c>
      <c r="C268" s="10">
        <v>8.2492070684186682</v>
      </c>
      <c r="D268" s="10">
        <f>'[1]25-35 female'!AE270</f>
        <v>9.7635622452179369</v>
      </c>
    </row>
    <row r="269" spans="1:4" x14ac:dyDescent="0.3">
      <c r="A269" s="47">
        <v>70502</v>
      </c>
      <c r="B269" s="45" t="s">
        <v>540</v>
      </c>
      <c r="C269" s="10">
        <v>7.2855018587360592</v>
      </c>
      <c r="D269" s="10">
        <f>'[1]25-35 female'!AE271</f>
        <v>9.3289588801399823</v>
      </c>
    </row>
    <row r="270" spans="1:4" x14ac:dyDescent="0.3">
      <c r="A270" s="47">
        <v>70503</v>
      </c>
      <c r="B270" s="45" t="s">
        <v>655</v>
      </c>
      <c r="C270" s="10">
        <v>10.471716203259827</v>
      </c>
      <c r="D270" s="10">
        <f>'[1]25-35 female'!AE272</f>
        <v>11.766756032171582</v>
      </c>
    </row>
    <row r="271" spans="1:4" x14ac:dyDescent="0.3">
      <c r="A271" s="47">
        <v>70601</v>
      </c>
      <c r="B271" s="45" t="s">
        <v>677</v>
      </c>
      <c r="C271" s="10">
        <v>10.254573170731707</v>
      </c>
      <c r="D271" s="10">
        <f>'[1]25-35 female'!AE273</f>
        <v>12.870249728555917</v>
      </c>
    </row>
    <row r="272" spans="1:4" x14ac:dyDescent="0.3">
      <c r="A272" s="47">
        <v>70602</v>
      </c>
      <c r="B272" s="45" t="s">
        <v>554</v>
      </c>
      <c r="C272" s="10">
        <v>7.7916992952231796</v>
      </c>
      <c r="D272" s="10">
        <f>'[1]25-35 female'!AE274</f>
        <v>10.911010558069382</v>
      </c>
    </row>
    <row r="273" spans="1:4" x14ac:dyDescent="0.3">
      <c r="A273" s="47">
        <v>70603</v>
      </c>
      <c r="B273" s="45" t="s">
        <v>609</v>
      </c>
      <c r="C273" s="10">
        <v>9.4835680751173701</v>
      </c>
      <c r="D273" s="10">
        <f>'[1]25-35 female'!AE275</f>
        <v>11.249063670411985</v>
      </c>
    </row>
    <row r="274" spans="1:4" x14ac:dyDescent="0.3">
      <c r="A274" s="47">
        <v>70701</v>
      </c>
      <c r="B274" s="45" t="s">
        <v>578</v>
      </c>
      <c r="C274" s="10">
        <v>8.3843843843843846</v>
      </c>
      <c r="D274" s="10">
        <f>'[1]25-35 female'!AE276</f>
        <v>11.321576763485478</v>
      </c>
    </row>
    <row r="275" spans="1:4" x14ac:dyDescent="0.3">
      <c r="A275" s="47">
        <v>70702</v>
      </c>
      <c r="B275" s="45" t="s">
        <v>568</v>
      </c>
      <c r="C275" s="10">
        <v>7.5011536686663591</v>
      </c>
      <c r="D275" s="10">
        <f>'[1]25-35 female'!AE277</f>
        <v>10.038310060866452</v>
      </c>
    </row>
    <row r="276" spans="1:4" x14ac:dyDescent="0.3">
      <c r="A276" s="47">
        <v>70703</v>
      </c>
      <c r="B276" s="45" t="s">
        <v>527</v>
      </c>
      <c r="C276" s="10">
        <v>6.7435475013728716</v>
      </c>
      <c r="D276" s="10">
        <f>'[1]25-35 female'!AE278</f>
        <v>9.5664047886270112</v>
      </c>
    </row>
    <row r="277" spans="1:4" x14ac:dyDescent="0.3">
      <c r="A277" s="47">
        <v>70704</v>
      </c>
      <c r="B277" s="45" t="s">
        <v>666</v>
      </c>
      <c r="C277" s="10">
        <v>9.2123893805309738</v>
      </c>
      <c r="D277" s="10">
        <f>'[1]25-35 female'!AE279</f>
        <v>12.641255605381167</v>
      </c>
    </row>
    <row r="278" spans="1:4" x14ac:dyDescent="0.3">
      <c r="A278" s="47">
        <v>70705</v>
      </c>
      <c r="B278" s="45" t="s">
        <v>587</v>
      </c>
      <c r="C278" s="10">
        <v>8.065947242206235</v>
      </c>
      <c r="D278" s="10">
        <f>'[1]25-35 female'!AE280</f>
        <v>11.363988383349467</v>
      </c>
    </row>
    <row r="279" spans="1:4" x14ac:dyDescent="0.3">
      <c r="A279" s="47">
        <v>70706</v>
      </c>
      <c r="B279" s="45" t="s">
        <v>659</v>
      </c>
      <c r="C279" s="10">
        <v>11.652303120356612</v>
      </c>
      <c r="D279" s="10">
        <f>'[1]25-35 female'!AE281</f>
        <v>13.640669515669515</v>
      </c>
    </row>
    <row r="280" spans="1:4" x14ac:dyDescent="0.3">
      <c r="A280" s="47">
        <v>70707</v>
      </c>
      <c r="B280" s="45" t="s">
        <v>688</v>
      </c>
      <c r="C280" s="10">
        <v>9.3284313725490193</v>
      </c>
      <c r="D280" s="10">
        <f>'[1]25-35 female'!AE282</f>
        <v>10.635555555555555</v>
      </c>
    </row>
    <row r="281" spans="1:4" x14ac:dyDescent="0.3">
      <c r="A281" s="47">
        <v>70801</v>
      </c>
      <c r="B281" s="45" t="s">
        <v>687</v>
      </c>
      <c r="C281" s="10">
        <v>9.7453781512605033</v>
      </c>
      <c r="D281" s="10">
        <f>'[1]25-35 female'!AE283</f>
        <v>12.756554307116104</v>
      </c>
    </row>
    <row r="282" spans="1:4" x14ac:dyDescent="0.3">
      <c r="A282" s="47">
        <v>70802</v>
      </c>
      <c r="B282" s="45" t="s">
        <v>593</v>
      </c>
      <c r="C282" s="10">
        <v>10.098765432098766</v>
      </c>
      <c r="D282" s="10">
        <f>'[1]25-35 female'!AE284</f>
        <v>12.453703703703704</v>
      </c>
    </row>
    <row r="283" spans="1:4" x14ac:dyDescent="0.3">
      <c r="A283" s="47">
        <v>70803</v>
      </c>
      <c r="B283" s="45" t="s">
        <v>694</v>
      </c>
      <c r="C283" s="10">
        <v>7.9267015706806285</v>
      </c>
      <c r="D283" s="10">
        <f>'[1]25-35 female'!AE285</f>
        <v>11.479452054794521</v>
      </c>
    </row>
    <row r="284" spans="1:4" x14ac:dyDescent="0.3">
      <c r="A284" s="47">
        <v>70804</v>
      </c>
      <c r="B284" s="45" t="s">
        <v>690</v>
      </c>
      <c r="C284" s="10">
        <v>9.0104166666666661</v>
      </c>
      <c r="D284" s="10">
        <f>'[1]25-35 female'!AE286</f>
        <v>11.752380952380953</v>
      </c>
    </row>
    <row r="285" spans="1:4" x14ac:dyDescent="0.3">
      <c r="A285" s="47">
        <v>70805</v>
      </c>
      <c r="B285" s="45" t="s">
        <v>685</v>
      </c>
      <c r="C285" s="10">
        <v>9.454545454545455</v>
      </c>
      <c r="D285" s="10">
        <f>'[1]25-35 female'!AE287</f>
        <v>12.53125</v>
      </c>
    </row>
    <row r="286" spans="1:4" x14ac:dyDescent="0.3">
      <c r="A286" s="47">
        <v>70901</v>
      </c>
      <c r="B286" s="45" t="s">
        <v>672</v>
      </c>
      <c r="C286" s="10">
        <v>8.8301630434782616</v>
      </c>
      <c r="D286" s="10">
        <f>'[1]25-35 female'!AE288</f>
        <v>12.046858359957401</v>
      </c>
    </row>
    <row r="287" spans="1:4" x14ac:dyDescent="0.3">
      <c r="A287" s="47">
        <v>70902</v>
      </c>
      <c r="B287" s="45" t="s">
        <v>588</v>
      </c>
      <c r="C287" s="10">
        <v>7.1846846846846848</v>
      </c>
      <c r="D287" s="10">
        <f>'[1]25-35 female'!AE289</f>
        <v>10.446998722860792</v>
      </c>
    </row>
    <row r="288" spans="1:4" x14ac:dyDescent="0.3">
      <c r="A288" s="47">
        <v>70903</v>
      </c>
      <c r="B288" s="45" t="s">
        <v>619</v>
      </c>
      <c r="C288" s="10">
        <v>8.0449871465295626</v>
      </c>
      <c r="D288" s="10">
        <f>'[1]25-35 female'!AE290</f>
        <v>11.151818181818182</v>
      </c>
    </row>
    <row r="289" spans="1:4" x14ac:dyDescent="0.3">
      <c r="A289" s="47">
        <v>70904</v>
      </c>
      <c r="B289" s="45" t="s">
        <v>673</v>
      </c>
      <c r="C289" s="10">
        <v>9.832740213523131</v>
      </c>
      <c r="D289" s="10">
        <f>'[1]25-35 female'!AE291</f>
        <v>12.125748502994012</v>
      </c>
    </row>
    <row r="290" spans="1:4" x14ac:dyDescent="0.3">
      <c r="A290" s="47">
        <v>71001</v>
      </c>
      <c r="B290" s="45" t="s">
        <v>669</v>
      </c>
      <c r="C290" s="10">
        <v>10.11558427799555</v>
      </c>
      <c r="D290" s="10">
        <f>'[1]25-35 female'!AE292</f>
        <v>12.776237782406666</v>
      </c>
    </row>
    <row r="291" spans="1:4" x14ac:dyDescent="0.3">
      <c r="A291" s="47">
        <v>71002</v>
      </c>
      <c r="B291" s="45" t="s">
        <v>671</v>
      </c>
      <c r="C291" s="10">
        <v>7.6481303930968361</v>
      </c>
      <c r="D291" s="10">
        <f>'[1]25-35 female'!AE293</f>
        <v>10.846047156726769</v>
      </c>
    </row>
    <row r="292" spans="1:4" x14ac:dyDescent="0.3">
      <c r="A292" s="47">
        <v>71003</v>
      </c>
      <c r="B292" s="45" t="s">
        <v>643</v>
      </c>
      <c r="C292" s="10">
        <v>8.835490830636461</v>
      </c>
      <c r="D292" s="10">
        <f>'[1]25-35 female'!AE294</f>
        <v>11.360120542440985</v>
      </c>
    </row>
    <row r="293" spans="1:4" x14ac:dyDescent="0.3">
      <c r="A293" s="47">
        <v>71004</v>
      </c>
      <c r="B293" s="45" t="s">
        <v>695</v>
      </c>
      <c r="C293" s="10">
        <v>8.6424134871339842</v>
      </c>
      <c r="D293" s="10">
        <f>'[1]25-35 female'!AE295</f>
        <v>11.288398692810457</v>
      </c>
    </row>
    <row r="294" spans="1:4" x14ac:dyDescent="0.3">
      <c r="A294" s="47">
        <v>71005</v>
      </c>
      <c r="B294" s="45" t="s">
        <v>368</v>
      </c>
      <c r="C294" s="10">
        <v>8.9302816901408448</v>
      </c>
      <c r="D294" s="10">
        <f>'[1]25-35 female'!AE296</f>
        <v>12.183734939759036</v>
      </c>
    </row>
    <row r="295" spans="1:4" x14ac:dyDescent="0.3">
      <c r="A295" s="47">
        <v>71101</v>
      </c>
      <c r="B295" s="45" t="s">
        <v>567</v>
      </c>
      <c r="C295" s="10">
        <v>8.3144171779141107</v>
      </c>
      <c r="D295" s="10">
        <f>'[1]25-35 female'!AE297</f>
        <v>10.863618752421543</v>
      </c>
    </row>
    <row r="296" spans="1:4" x14ac:dyDescent="0.3">
      <c r="A296" s="47">
        <v>71102</v>
      </c>
      <c r="B296" s="45" t="s">
        <v>455</v>
      </c>
      <c r="C296" s="10">
        <v>8.4084362139917701</v>
      </c>
      <c r="D296" s="10">
        <f>'[1]25-35 female'!AE298</f>
        <v>11.579984836997726</v>
      </c>
    </row>
    <row r="297" spans="1:4" x14ac:dyDescent="0.3">
      <c r="A297" s="47">
        <v>71103</v>
      </c>
      <c r="B297" s="45" t="s">
        <v>657</v>
      </c>
      <c r="C297" s="10">
        <v>7.8251706737904421</v>
      </c>
      <c r="D297" s="10">
        <f>'[1]25-35 female'!AE299</f>
        <v>11.812260536398467</v>
      </c>
    </row>
    <row r="298" spans="1:4" x14ac:dyDescent="0.3">
      <c r="A298" s="47">
        <v>71104</v>
      </c>
      <c r="B298" s="45" t="s">
        <v>615</v>
      </c>
      <c r="C298" s="10">
        <v>9.127472527472527</v>
      </c>
      <c r="D298" s="10">
        <f>'[1]25-35 female'!AE300</f>
        <v>11.594092424964268</v>
      </c>
    </row>
    <row r="299" spans="1:4" x14ac:dyDescent="0.3">
      <c r="A299" s="47">
        <v>71105</v>
      </c>
      <c r="B299" s="45" t="s">
        <v>580</v>
      </c>
      <c r="C299" s="10">
        <v>8.3904448105436575</v>
      </c>
      <c r="D299" s="10">
        <f>'[1]25-35 female'!AE301</f>
        <v>11.705494505494505</v>
      </c>
    </row>
    <row r="300" spans="1:4" x14ac:dyDescent="0.3">
      <c r="A300" s="47">
        <v>71106</v>
      </c>
      <c r="B300" s="45" t="s">
        <v>624</v>
      </c>
      <c r="C300" s="10">
        <v>7.1334488734835357</v>
      </c>
      <c r="D300" s="10">
        <f>'[1]25-35 female'!AE302</f>
        <v>10.551211219719507</v>
      </c>
    </row>
    <row r="301" spans="1:4" x14ac:dyDescent="0.3">
      <c r="A301" s="47">
        <v>71201</v>
      </c>
      <c r="B301" s="45" t="s">
        <v>599</v>
      </c>
      <c r="C301" s="10">
        <v>8.7344961240310077</v>
      </c>
      <c r="D301" s="10">
        <f>'[1]25-35 female'!AE303</f>
        <v>10.744811683320522</v>
      </c>
    </row>
    <row r="302" spans="1:4" x14ac:dyDescent="0.3">
      <c r="A302" s="47">
        <v>71301</v>
      </c>
      <c r="B302" s="45" t="s">
        <v>553</v>
      </c>
      <c r="C302" s="10">
        <v>7.2629382303839733</v>
      </c>
      <c r="D302" s="10">
        <f>'[1]25-35 female'!AE304</f>
        <v>10.733381502890174</v>
      </c>
    </row>
    <row r="303" spans="1:4" x14ac:dyDescent="0.3">
      <c r="A303" s="47">
        <v>71302</v>
      </c>
      <c r="B303" s="45" t="s">
        <v>644</v>
      </c>
      <c r="C303" s="10">
        <v>7.8061224489795915</v>
      </c>
      <c r="D303" s="10">
        <f>'[1]25-35 female'!AE305</f>
        <v>10.826086956521738</v>
      </c>
    </row>
    <row r="304" spans="1:4" x14ac:dyDescent="0.3">
      <c r="A304" s="47">
        <v>71401</v>
      </c>
      <c r="B304" s="45" t="s">
        <v>557</v>
      </c>
      <c r="C304" s="10">
        <v>10.477764423076923</v>
      </c>
      <c r="D304" s="10">
        <f>'[1]25-35 female'!AE306</f>
        <v>11.938095238095238</v>
      </c>
    </row>
    <row r="305" spans="1:4" x14ac:dyDescent="0.3">
      <c r="A305" s="47">
        <v>71402</v>
      </c>
      <c r="B305" s="45" t="s">
        <v>549</v>
      </c>
      <c r="C305" s="10">
        <v>9.8641975308641978</v>
      </c>
      <c r="D305" s="10">
        <f>'[1]25-35 female'!AE307</f>
        <v>12.874705882352941</v>
      </c>
    </row>
    <row r="306" spans="1:4" x14ac:dyDescent="0.3">
      <c r="A306" s="47">
        <v>71403</v>
      </c>
      <c r="B306" s="45" t="s">
        <v>558</v>
      </c>
      <c r="C306" s="10">
        <v>9.0993227990970649</v>
      </c>
      <c r="D306" s="10">
        <f>'[1]25-35 female'!AE308</f>
        <v>9.5935754189944138</v>
      </c>
    </row>
    <row r="307" spans="1:4" x14ac:dyDescent="0.3">
      <c r="A307" s="47">
        <v>71501</v>
      </c>
      <c r="B307" s="45" t="s">
        <v>601</v>
      </c>
      <c r="C307" s="10">
        <v>8.5106937923839325</v>
      </c>
      <c r="D307" s="10">
        <f>'[1]25-35 female'!AE309</f>
        <v>10.723883221948645</v>
      </c>
    </row>
    <row r="308" spans="1:4" x14ac:dyDescent="0.3">
      <c r="A308" s="47">
        <v>71502</v>
      </c>
      <c r="B308" s="45" t="s">
        <v>510</v>
      </c>
      <c r="C308" s="10">
        <v>8.6397515527950315</v>
      </c>
      <c r="D308" s="10">
        <f>'[1]25-35 female'!AE310</f>
        <v>11.306418219461698</v>
      </c>
    </row>
    <row r="309" spans="1:4" x14ac:dyDescent="0.3">
      <c r="A309" s="47">
        <v>71503</v>
      </c>
      <c r="B309" s="45" t="s">
        <v>630</v>
      </c>
      <c r="C309" s="10">
        <v>7.1168032786885247</v>
      </c>
      <c r="D309" s="10">
        <f>'[1]25-35 female'!AE311</f>
        <v>10.870676691729324</v>
      </c>
    </row>
    <row r="310" spans="1:4" x14ac:dyDescent="0.3">
      <c r="A310" s="47">
        <v>80101</v>
      </c>
      <c r="B310" s="45" t="s">
        <v>640</v>
      </c>
      <c r="C310" s="10">
        <v>11.627324518972374</v>
      </c>
      <c r="D310" s="10">
        <f>'[1]25-35 female'!AE312</f>
        <v>13.309058614564831</v>
      </c>
    </row>
    <row r="311" spans="1:4" x14ac:dyDescent="0.3">
      <c r="A311" s="47">
        <v>80102</v>
      </c>
      <c r="B311" s="45" t="s">
        <v>455</v>
      </c>
      <c r="C311" s="10">
        <v>8.3014492753623195</v>
      </c>
      <c r="D311" s="10">
        <f>'[1]25-35 female'!AE313</f>
        <v>10.04610492845787</v>
      </c>
    </row>
    <row r="312" spans="1:4" x14ac:dyDescent="0.3">
      <c r="A312" s="47">
        <v>80201</v>
      </c>
      <c r="B312" s="45" t="s">
        <v>616</v>
      </c>
      <c r="C312" s="10">
        <v>9.8642217245240769</v>
      </c>
      <c r="D312" s="10">
        <f>'[1]25-35 female'!AE314</f>
        <v>12.280135301353013</v>
      </c>
    </row>
    <row r="313" spans="1:4" x14ac:dyDescent="0.3">
      <c r="A313" s="47">
        <v>80202</v>
      </c>
      <c r="B313" s="45" t="s">
        <v>649</v>
      </c>
      <c r="C313" s="10">
        <v>10.326701896176562</v>
      </c>
      <c r="D313" s="10">
        <f>'[1]25-35 female'!AE315</f>
        <v>12.727117194183062</v>
      </c>
    </row>
    <row r="314" spans="1:4" x14ac:dyDescent="0.3">
      <c r="A314" s="47">
        <v>80301</v>
      </c>
      <c r="B314" s="45" t="s">
        <v>604</v>
      </c>
      <c r="C314" s="10">
        <v>9.5319371727748692</v>
      </c>
      <c r="D314" s="10">
        <f>'[1]25-35 female'!AE316</f>
        <v>11.091428571428571</v>
      </c>
    </row>
    <row r="315" spans="1:4" x14ac:dyDescent="0.3">
      <c r="A315" s="47">
        <v>80302</v>
      </c>
      <c r="B315" s="45" t="s">
        <v>595</v>
      </c>
      <c r="C315" s="10">
        <v>8.1095019427764043</v>
      </c>
      <c r="D315" s="10">
        <f>'[1]25-35 female'!AE317</f>
        <v>10.37912087912088</v>
      </c>
    </row>
    <row r="316" spans="1:4" x14ac:dyDescent="0.3">
      <c r="A316" s="47">
        <v>80303</v>
      </c>
      <c r="B316" s="45" t="s">
        <v>554</v>
      </c>
      <c r="C316" s="10">
        <v>8.814921090387374</v>
      </c>
      <c r="D316" s="10">
        <f>'[1]25-35 female'!AE318</f>
        <v>10.751748251748252</v>
      </c>
    </row>
    <row r="317" spans="1:4" x14ac:dyDescent="0.3">
      <c r="A317" s="47">
        <v>80304</v>
      </c>
      <c r="B317" s="45" t="s">
        <v>582</v>
      </c>
      <c r="C317" s="10">
        <v>9.8366013071895431</v>
      </c>
      <c r="D317" s="10">
        <f>'[1]25-35 female'!AE319</f>
        <v>11.693832599118943</v>
      </c>
    </row>
    <row r="318" spans="1:4" x14ac:dyDescent="0.3">
      <c r="A318" s="47">
        <v>80401</v>
      </c>
      <c r="B318" s="45" t="s">
        <v>562</v>
      </c>
      <c r="C318" s="10">
        <v>9.7318255250403869</v>
      </c>
      <c r="D318" s="10">
        <f>'[1]25-35 female'!AE320</f>
        <v>10.83581033262562</v>
      </c>
    </row>
    <row r="319" spans="1:4" x14ac:dyDescent="0.3">
      <c r="A319" s="47">
        <v>80402</v>
      </c>
      <c r="B319" s="45" t="s">
        <v>581</v>
      </c>
      <c r="C319" s="10">
        <v>7.6430107526881716</v>
      </c>
      <c r="D319" s="10">
        <f>'[1]25-35 female'!AE321</f>
        <v>10.533923303834808</v>
      </c>
    </row>
    <row r="320" spans="1:4" x14ac:dyDescent="0.3">
      <c r="A320" s="47">
        <v>80501</v>
      </c>
      <c r="B320" s="45" t="s">
        <v>586</v>
      </c>
      <c r="C320" s="10">
        <v>9.0015936254980087</v>
      </c>
      <c r="D320" s="10">
        <f>'[1]25-35 female'!AE322</f>
        <v>10.945431472081218</v>
      </c>
    </row>
    <row r="321" spans="1:4" x14ac:dyDescent="0.3">
      <c r="A321" s="47">
        <v>80601</v>
      </c>
      <c r="B321" s="45" t="s">
        <v>664</v>
      </c>
      <c r="C321" s="10">
        <v>8.1999999999999993</v>
      </c>
      <c r="D321" s="10">
        <f>'[1]25-35 female'!AE323</f>
        <v>10.252459016393443</v>
      </c>
    </row>
    <row r="322" spans="1:4" x14ac:dyDescent="0.3">
      <c r="A322" s="47">
        <v>80602</v>
      </c>
      <c r="B322" s="45" t="s">
        <v>583</v>
      </c>
      <c r="C322" s="10">
        <v>7.6554621848739499</v>
      </c>
      <c r="D322" s="10">
        <f>'[1]25-35 female'!AE324</f>
        <v>11.015209125475286</v>
      </c>
    </row>
    <row r="323" spans="1:4" x14ac:dyDescent="0.3">
      <c r="A323" s="47">
        <v>80701</v>
      </c>
      <c r="B323" s="45" t="s">
        <v>632</v>
      </c>
      <c r="C323" s="10">
        <v>9.7682672233820451</v>
      </c>
      <c r="D323" s="10">
        <f>'[1]25-35 female'!AE325</f>
        <v>11.71252204585538</v>
      </c>
    </row>
    <row r="324" spans="1:4" x14ac:dyDescent="0.3">
      <c r="A324" s="47">
        <v>80702</v>
      </c>
      <c r="B324" s="45" t="s">
        <v>657</v>
      </c>
      <c r="C324" s="10">
        <v>9.5485893416927894</v>
      </c>
      <c r="D324" s="10">
        <f>'[1]25-35 female'!AE326</f>
        <v>12.036117381489841</v>
      </c>
    </row>
    <row r="325" spans="1:4" x14ac:dyDescent="0.3">
      <c r="A325" s="47">
        <v>80703</v>
      </c>
      <c r="B325" s="45" t="s">
        <v>526</v>
      </c>
      <c r="C325" s="10">
        <v>8.5081967213114762</v>
      </c>
      <c r="D325" s="10">
        <f>'[1]25-35 female'!AE327</f>
        <v>11.154761904761905</v>
      </c>
    </row>
    <row r="326" spans="1:4" x14ac:dyDescent="0.3">
      <c r="A326" s="47">
        <v>80801</v>
      </c>
      <c r="B326" s="45" t="s">
        <v>611</v>
      </c>
      <c r="C326" s="10">
        <v>9.9576379974326059</v>
      </c>
      <c r="D326" s="10">
        <f>'[1]25-35 female'!AE328</f>
        <v>12.109</v>
      </c>
    </row>
    <row r="327" spans="1:4" x14ac:dyDescent="0.3">
      <c r="A327" s="47">
        <v>80802</v>
      </c>
      <c r="B327" s="45" t="s">
        <v>648</v>
      </c>
      <c r="C327" s="10">
        <v>9.5746268656716413</v>
      </c>
      <c r="D327" s="10">
        <f>'[1]25-35 female'!AE329</f>
        <v>11.582758620689654</v>
      </c>
    </row>
    <row r="328" spans="1:4" x14ac:dyDescent="0.3">
      <c r="A328" s="47">
        <v>80803</v>
      </c>
      <c r="B328" s="45" t="s">
        <v>660</v>
      </c>
      <c r="C328" s="10">
        <v>9.6466165413533833</v>
      </c>
      <c r="D328" s="10">
        <f>'[1]25-35 female'!AE330</f>
        <v>11.797260273972602</v>
      </c>
    </row>
    <row r="329" spans="1:4" x14ac:dyDescent="0.3">
      <c r="A329" s="47">
        <v>80901</v>
      </c>
      <c r="B329" s="45" t="s">
        <v>414</v>
      </c>
      <c r="C329" s="10">
        <v>7.2176165803108807</v>
      </c>
      <c r="D329" s="10">
        <f>'[1]25-35 female'!AE331</f>
        <v>9.4597701149425291</v>
      </c>
    </row>
    <row r="330" spans="1:4" x14ac:dyDescent="0.3">
      <c r="A330" s="47">
        <v>90101</v>
      </c>
      <c r="B330" s="45" t="s">
        <v>647</v>
      </c>
      <c r="C330" s="10">
        <v>11.386031042128604</v>
      </c>
      <c r="D330" s="10">
        <f>'[1]25-35 female'!AE332</f>
        <v>13.482326538245745</v>
      </c>
    </row>
    <row r="331" spans="1:4" x14ac:dyDescent="0.3">
      <c r="A331" s="47">
        <v>90102</v>
      </c>
      <c r="B331" s="45" t="s">
        <v>639</v>
      </c>
      <c r="C331" s="10">
        <v>9.6562986003110414</v>
      </c>
      <c r="D331" s="10">
        <f>'[1]25-35 female'!AE333</f>
        <v>12.243743199129488</v>
      </c>
    </row>
    <row r="332" spans="1:4" x14ac:dyDescent="0.3">
      <c r="A332" s="47">
        <v>90103</v>
      </c>
      <c r="B332" s="45" t="s">
        <v>692</v>
      </c>
      <c r="C332" s="10">
        <v>8.6</v>
      </c>
      <c r="D332" s="10">
        <f>'[1]25-35 female'!AE334</f>
        <v>11.87912087912088</v>
      </c>
    </row>
    <row r="333" spans="1:4" x14ac:dyDescent="0.3">
      <c r="A333" s="47">
        <v>90104</v>
      </c>
      <c r="B333" s="45" t="s">
        <v>614</v>
      </c>
      <c r="C333" s="10">
        <v>8.5169811320754718</v>
      </c>
      <c r="D333" s="10">
        <f>'[1]25-35 female'!AE335</f>
        <v>11.379746835443038</v>
      </c>
    </row>
    <row r="334" spans="1:4" x14ac:dyDescent="0.3">
      <c r="A334" s="47">
        <v>90201</v>
      </c>
      <c r="B334" s="45" t="s">
        <v>634</v>
      </c>
      <c r="C334" s="10">
        <v>9.0136054421768712</v>
      </c>
      <c r="D334" s="10">
        <f>'[1]25-35 female'!AE336</f>
        <v>12.006849315068493</v>
      </c>
    </row>
    <row r="335" spans="1:4" x14ac:dyDescent="0.3">
      <c r="A335" s="47">
        <v>90202</v>
      </c>
      <c r="B335" s="45" t="s">
        <v>368</v>
      </c>
      <c r="C335" s="10">
        <v>7.037558685446009</v>
      </c>
      <c r="D335" s="10">
        <f>'[1]25-35 female'!AE337</f>
        <v>10.850909090909092</v>
      </c>
    </row>
    <row r="336" spans="1:4" x14ac:dyDescent="0.3">
      <c r="A336" s="47">
        <v>90203</v>
      </c>
      <c r="B336" s="45" t="s">
        <v>670</v>
      </c>
      <c r="C336" s="10">
        <v>8.2169576059850371</v>
      </c>
      <c r="D336" s="10">
        <f>'[1]25-35 female'!AE338</f>
        <v>11.05229793977813</v>
      </c>
    </row>
    <row r="337" spans="1:4" x14ac:dyDescent="0.3">
      <c r="A337" s="47">
        <v>90301</v>
      </c>
      <c r="B337" s="45" t="s">
        <v>633</v>
      </c>
      <c r="C337" s="10">
        <v>9.0564971751412422</v>
      </c>
      <c r="D337" s="10">
        <f>'[1]25-35 female'!AE339</f>
        <v>12.041666666666666</v>
      </c>
    </row>
    <row r="338" spans="1:4" x14ac:dyDescent="0.3">
      <c r="A338" s="47">
        <v>90302</v>
      </c>
      <c r="B338" s="45" t="s">
        <v>623</v>
      </c>
      <c r="C338" s="10">
        <v>8.1796200345423138</v>
      </c>
      <c r="D338" s="10">
        <f>'[1]25-35 female'!AE340</f>
        <v>11.323220536756127</v>
      </c>
    </row>
    <row r="339" spans="1:4" x14ac:dyDescent="0.3">
      <c r="A339" s="47">
        <v>90303</v>
      </c>
      <c r="B339" s="45" t="s">
        <v>646</v>
      </c>
      <c r="C339" s="10">
        <v>7.4056761268781299</v>
      </c>
      <c r="D339" s="10">
        <f>'[1]25-35 female'!AE341</f>
        <v>11</v>
      </c>
    </row>
    <row r="340" spans="1:4" x14ac:dyDescent="0.3">
      <c r="A340" s="47">
        <v>90401</v>
      </c>
      <c r="B340" s="45" t="s">
        <v>554</v>
      </c>
      <c r="C340" s="10">
        <v>8.48</v>
      </c>
      <c r="D340" s="10">
        <f>'[1]25-35 female'!AE342</f>
        <v>11.048979591836735</v>
      </c>
    </row>
    <row r="341" spans="1:4" x14ac:dyDescent="0.3">
      <c r="A341" s="47">
        <v>90402</v>
      </c>
      <c r="B341" s="45" t="s">
        <v>450</v>
      </c>
      <c r="C341" s="10">
        <v>7.6018518518518521</v>
      </c>
      <c r="D341" s="10">
        <f>'[1]25-35 female'!AE343</f>
        <v>9.8911917098445592</v>
      </c>
    </row>
    <row r="342" spans="1:4" x14ac:dyDescent="0.3">
      <c r="A342" s="47">
        <v>90501</v>
      </c>
      <c r="B342" s="45" t="s">
        <v>620</v>
      </c>
      <c r="C342" s="10">
        <v>8.75</v>
      </c>
      <c r="D342" s="10">
        <f>'[1]25-35 female'!AE344</f>
        <v>11.992125984251969</v>
      </c>
    </row>
    <row r="343" spans="1:4" x14ac:dyDescent="0.3">
      <c r="A343" s="47">
        <v>90502</v>
      </c>
      <c r="B343" s="45" t="s">
        <v>635</v>
      </c>
      <c r="C343" s="10">
        <v>7.6363636363636367</v>
      </c>
      <c r="D343" s="10">
        <f>'[1]25-35 female'!AE345</f>
        <v>10.983957219251337</v>
      </c>
    </row>
    <row r="344" spans="1:4" x14ac:dyDescent="0.3">
      <c r="A344" s="47">
        <v>90503</v>
      </c>
      <c r="B344" s="45" t="s">
        <v>681</v>
      </c>
      <c r="C344" s="16">
        <v>6.9241379310344824</v>
      </c>
      <c r="D344" s="16">
        <f>'[1]25-35 female'!AE346</f>
        <v>11.523809523809524</v>
      </c>
    </row>
    <row r="345" spans="1:4" x14ac:dyDescent="0.3">
      <c r="B345" s="31"/>
      <c r="C345" s="31"/>
      <c r="D345" s="18"/>
    </row>
    <row r="347" spans="1:4" x14ac:dyDescent="0.3">
      <c r="B347"/>
      <c r="C347"/>
      <c r="D347"/>
    </row>
    <row r="348" spans="1:4" x14ac:dyDescent="0.3">
      <c r="B348"/>
      <c r="C348"/>
      <c r="D348"/>
    </row>
    <row r="349" spans="1:4" x14ac:dyDescent="0.3">
      <c r="B349"/>
      <c r="C349"/>
      <c r="D349"/>
    </row>
    <row r="350" spans="1:4" x14ac:dyDescent="0.3">
      <c r="B350"/>
      <c r="C350"/>
      <c r="D350"/>
    </row>
    <row r="351" spans="1:4" x14ac:dyDescent="0.3">
      <c r="B351"/>
      <c r="C351"/>
      <c r="D351"/>
    </row>
    <row r="352" spans="1:4" x14ac:dyDescent="0.3">
      <c r="B352"/>
      <c r="C352"/>
      <c r="D352"/>
    </row>
    <row r="353" spans="2:4" x14ac:dyDescent="0.3">
      <c r="B353"/>
      <c r="C353"/>
      <c r="D353"/>
    </row>
    <row r="354" spans="2:4" x14ac:dyDescent="0.3">
      <c r="B354"/>
      <c r="C354"/>
      <c r="D354"/>
    </row>
  </sheetData>
  <autoFilter ref="A1:D1" xr:uid="{DFD6D665-1FB3-421E-A9AA-F062476A66C3}">
    <sortState xmlns:xlrd2="http://schemas.microsoft.com/office/spreadsheetml/2017/richdata2" ref="A2:D344">
      <sortCondition ref="A1"/>
    </sortState>
  </autoFilter>
  <sortState xmlns:xlrd2="http://schemas.microsoft.com/office/spreadsheetml/2017/richdata2" ref="A2:D355">
    <sortCondition ref="D2:D3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20DC-7F1C-4D79-9B27-0373CE35E307}">
  <sheetPr>
    <tabColor rgb="FFE24532"/>
  </sheetPr>
  <dimension ref="A1:D344"/>
  <sheetViews>
    <sheetView workbookViewId="0">
      <selection activeCell="G11" sqref="G11"/>
    </sheetView>
  </sheetViews>
  <sheetFormatPr baseColWidth="10" defaultColWidth="11.5546875" defaultRowHeight="14.4" x14ac:dyDescent="0.3"/>
  <cols>
    <col min="1" max="1" width="6.5546875" style="1" bestFit="1" customWidth="1"/>
    <col min="2" max="2" width="73.6640625" style="1" bestFit="1" customWidth="1"/>
    <col min="3" max="4" width="16.5546875" style="1" bestFit="1" customWidth="1"/>
    <col min="5" max="16384" width="11.5546875" style="1"/>
  </cols>
  <sheetData>
    <row r="1" spans="1:4" ht="29.4" thickBot="1" x14ac:dyDescent="0.35">
      <c r="A1" s="44" t="s">
        <v>365</v>
      </c>
      <c r="B1" s="40" t="s">
        <v>366</v>
      </c>
      <c r="C1" s="5" t="s">
        <v>711</v>
      </c>
      <c r="D1" s="5" t="s">
        <v>712</v>
      </c>
    </row>
    <row r="2" spans="1:4" x14ac:dyDescent="0.3">
      <c r="A2" s="41">
        <v>10101</v>
      </c>
      <c r="B2" s="45" t="s">
        <v>584</v>
      </c>
      <c r="C2" s="10">
        <v>11.310806723415288</v>
      </c>
      <c r="D2" s="10">
        <f>'[1]25-35 female'!AE4</f>
        <v>13.706313993174062</v>
      </c>
    </row>
    <row r="3" spans="1:4" x14ac:dyDescent="0.3">
      <c r="A3" s="41">
        <v>10102</v>
      </c>
      <c r="B3" s="45" t="s">
        <v>566</v>
      </c>
      <c r="C3" s="10">
        <v>7.9951534733441036</v>
      </c>
      <c r="D3" s="10">
        <f>'[1]25-35 female'!AE5</f>
        <v>12.271966527196653</v>
      </c>
    </row>
    <row r="4" spans="1:4" x14ac:dyDescent="0.3">
      <c r="A4" s="41">
        <v>10103</v>
      </c>
      <c r="B4" s="45" t="s">
        <v>391</v>
      </c>
      <c r="C4" s="10">
        <v>4.1668311944718655</v>
      </c>
      <c r="D4" s="10">
        <f>'[1]25-35 female'!AE6</f>
        <v>8.1765498652291111</v>
      </c>
    </row>
    <row r="5" spans="1:4" x14ac:dyDescent="0.3">
      <c r="A5" s="41">
        <v>10201</v>
      </c>
      <c r="B5" s="45" t="s">
        <v>525</v>
      </c>
      <c r="C5" s="10">
        <v>5.1266766020864383</v>
      </c>
      <c r="D5" s="10">
        <f>'[1]25-35 female'!AE7</f>
        <v>9.8138075313807533</v>
      </c>
    </row>
    <row r="6" spans="1:4" x14ac:dyDescent="0.3">
      <c r="A6" s="41">
        <v>10202</v>
      </c>
      <c r="B6" s="45" t="s">
        <v>569</v>
      </c>
      <c r="C6" s="10">
        <v>5.0780619111709289</v>
      </c>
      <c r="D6" s="10">
        <f>'[1]25-35 female'!AE8</f>
        <v>9.6146645865834639</v>
      </c>
    </row>
    <row r="7" spans="1:4" x14ac:dyDescent="0.3">
      <c r="A7" s="41">
        <v>10301</v>
      </c>
      <c r="B7" s="45" t="s">
        <v>501</v>
      </c>
      <c r="C7" s="10">
        <v>7.0773881499395408</v>
      </c>
      <c r="D7" s="10">
        <f>'[1]25-35 female'!AE9</f>
        <v>10.168421052631579</v>
      </c>
    </row>
    <row r="8" spans="1:4" x14ac:dyDescent="0.3">
      <c r="A8" s="41">
        <v>10302</v>
      </c>
      <c r="B8" s="45" t="s">
        <v>435</v>
      </c>
      <c r="C8" s="10">
        <v>5.3995815899581592</v>
      </c>
      <c r="D8" s="10">
        <f>'[1]25-35 female'!AE10</f>
        <v>8.7318271119842823</v>
      </c>
    </row>
    <row r="9" spans="1:4" x14ac:dyDescent="0.3">
      <c r="A9" s="41">
        <v>10303</v>
      </c>
      <c r="B9" s="45" t="s">
        <v>590</v>
      </c>
      <c r="C9" s="10">
        <v>6.4256198347107434</v>
      </c>
      <c r="D9" s="10">
        <f>'[1]25-35 female'!AE11</f>
        <v>10.624407582938389</v>
      </c>
    </row>
    <row r="10" spans="1:4" x14ac:dyDescent="0.3">
      <c r="A10" s="41">
        <v>10304</v>
      </c>
      <c r="B10" s="45" t="s">
        <v>497</v>
      </c>
      <c r="C10" s="10">
        <v>5.7711670480549202</v>
      </c>
      <c r="D10" s="10">
        <f>'[1]25-35 female'!AE12</f>
        <v>10.193055555555556</v>
      </c>
    </row>
    <row r="11" spans="1:4" x14ac:dyDescent="0.3">
      <c r="A11" s="41">
        <v>10401</v>
      </c>
      <c r="B11" s="45" t="s">
        <v>689</v>
      </c>
      <c r="C11" s="10">
        <v>7.2141843971631205</v>
      </c>
      <c r="D11" s="10">
        <f>'[1]25-35 female'!AE13</f>
        <v>11.2768</v>
      </c>
    </row>
    <row r="12" spans="1:4" x14ac:dyDescent="0.3">
      <c r="A12" s="41">
        <v>10402</v>
      </c>
      <c r="B12" s="45" t="s">
        <v>606</v>
      </c>
      <c r="C12" s="10">
        <v>5.7871198568872986</v>
      </c>
      <c r="D12" s="10">
        <f>'[1]25-35 female'!AE14</f>
        <v>9.964757709251101</v>
      </c>
    </row>
    <row r="13" spans="1:4" x14ac:dyDescent="0.3">
      <c r="A13" s="41">
        <v>10403</v>
      </c>
      <c r="B13" s="45" t="s">
        <v>500</v>
      </c>
      <c r="C13" s="10">
        <v>5.732394366197183</v>
      </c>
      <c r="D13" s="10">
        <f>'[1]25-35 female'!AE15</f>
        <v>9.3041666666666671</v>
      </c>
    </row>
    <row r="14" spans="1:4" x14ac:dyDescent="0.3">
      <c r="A14" s="41">
        <v>10404</v>
      </c>
      <c r="B14" s="45" t="s">
        <v>682</v>
      </c>
      <c r="C14" s="10">
        <v>8.6579572446555826</v>
      </c>
      <c r="D14" s="10">
        <f>'[1]25-35 female'!AE16</f>
        <v>13.193650793650793</v>
      </c>
    </row>
    <row r="15" spans="1:4" x14ac:dyDescent="0.3">
      <c r="A15" s="41">
        <v>10405</v>
      </c>
      <c r="B15" s="45" t="s">
        <v>693</v>
      </c>
      <c r="C15" s="10">
        <v>6.9022801302931596</v>
      </c>
      <c r="D15" s="10">
        <f>'[1]25-35 female'!AE17</f>
        <v>11.842391304347826</v>
      </c>
    </row>
    <row r="16" spans="1:4" x14ac:dyDescent="0.3">
      <c r="A16" s="41">
        <v>10501</v>
      </c>
      <c r="B16" s="45" t="s">
        <v>674</v>
      </c>
      <c r="C16" s="10">
        <v>8.7535799522673035</v>
      </c>
      <c r="D16" s="10">
        <f>'[1]25-35 female'!AE18</f>
        <v>12.534883720930232</v>
      </c>
    </row>
    <row r="17" spans="1:4" x14ac:dyDescent="0.3">
      <c r="A17" s="41">
        <v>10502</v>
      </c>
      <c r="B17" s="45" t="s">
        <v>579</v>
      </c>
      <c r="C17" s="10">
        <v>7.2380038387715935</v>
      </c>
      <c r="D17" s="10">
        <f>'[1]25-35 female'!AE19</f>
        <v>11.004166666666666</v>
      </c>
    </row>
    <row r="18" spans="1:4" x14ac:dyDescent="0.3">
      <c r="A18" s="41">
        <v>10601</v>
      </c>
      <c r="B18" s="45" t="s">
        <v>436</v>
      </c>
      <c r="C18" s="10">
        <v>5.5634920634920633</v>
      </c>
      <c r="D18" s="10">
        <f>'[1]25-35 female'!AE20</f>
        <v>9.9184993531694694</v>
      </c>
    </row>
    <row r="19" spans="1:4" x14ac:dyDescent="0.3">
      <c r="A19" s="41">
        <v>10602</v>
      </c>
      <c r="B19" s="45" t="s">
        <v>493</v>
      </c>
      <c r="C19" s="10">
        <v>6.977739726027397</v>
      </c>
      <c r="D19" s="10">
        <f>'[1]25-35 female'!AE21</f>
        <v>10.306306306306306</v>
      </c>
    </row>
    <row r="20" spans="1:4" x14ac:dyDescent="0.3">
      <c r="A20" s="41">
        <v>10701</v>
      </c>
      <c r="B20" s="45" t="s">
        <v>676</v>
      </c>
      <c r="C20" s="10">
        <v>8.3656195462478191</v>
      </c>
      <c r="D20" s="10">
        <f>'[1]25-35 female'!AE22</f>
        <v>11.078726968174204</v>
      </c>
    </row>
    <row r="21" spans="1:4" x14ac:dyDescent="0.3">
      <c r="A21" s="41">
        <v>10702</v>
      </c>
      <c r="B21" s="45" t="s">
        <v>419</v>
      </c>
      <c r="C21" s="10">
        <v>5.7678476996298258</v>
      </c>
      <c r="D21" s="10">
        <f>'[1]25-35 female'!AE23</f>
        <v>9.9294532627865966</v>
      </c>
    </row>
    <row r="22" spans="1:4" x14ac:dyDescent="0.3">
      <c r="A22" s="41">
        <v>10703</v>
      </c>
      <c r="B22" s="45" t="s">
        <v>472</v>
      </c>
      <c r="C22" s="10">
        <v>6.138427464008859</v>
      </c>
      <c r="D22" s="10">
        <f>'[1]25-35 female'!AE24</f>
        <v>9.2788161993769478</v>
      </c>
    </row>
    <row r="23" spans="1:4" x14ac:dyDescent="0.3">
      <c r="A23" s="41">
        <v>10704</v>
      </c>
      <c r="B23" s="45" t="s">
        <v>512</v>
      </c>
      <c r="C23" s="10">
        <v>5.5109361329833773</v>
      </c>
      <c r="D23" s="10">
        <f>'[1]25-35 female'!AE25</f>
        <v>9.2751371115173669</v>
      </c>
    </row>
    <row r="24" spans="1:4" x14ac:dyDescent="0.3">
      <c r="A24" s="41">
        <v>10801</v>
      </c>
      <c r="B24" s="45" t="s">
        <v>598</v>
      </c>
      <c r="C24" s="10">
        <v>6.9351851851851851</v>
      </c>
      <c r="D24" s="10">
        <f>'[1]25-35 female'!AE26</f>
        <v>11.336252189141856</v>
      </c>
    </row>
    <row r="25" spans="1:4" x14ac:dyDescent="0.3">
      <c r="A25" s="41">
        <v>10901</v>
      </c>
      <c r="B25" s="45" t="s">
        <v>636</v>
      </c>
      <c r="C25" s="10">
        <v>7.6290909090909089</v>
      </c>
      <c r="D25" s="10">
        <f>'[1]25-35 female'!AE27</f>
        <v>11.422131147540984</v>
      </c>
    </row>
    <row r="26" spans="1:4" x14ac:dyDescent="0.3">
      <c r="A26" s="41">
        <v>10902</v>
      </c>
      <c r="B26" s="45" t="s">
        <v>608</v>
      </c>
      <c r="C26" s="10">
        <v>6.1672473867595823</v>
      </c>
      <c r="D26" s="10">
        <f>'[1]25-35 female'!AE28</f>
        <v>9.6610837438423651</v>
      </c>
    </row>
    <row r="27" spans="1:4" x14ac:dyDescent="0.3">
      <c r="A27" s="41">
        <v>10903</v>
      </c>
      <c r="B27" s="45" t="s">
        <v>658</v>
      </c>
      <c r="C27" s="10">
        <v>8.140575079872205</v>
      </c>
      <c r="D27" s="10">
        <f>'[1]25-35 female'!AE29</f>
        <v>11.359728506787331</v>
      </c>
    </row>
    <row r="28" spans="1:4" x14ac:dyDescent="0.3">
      <c r="A28" s="41">
        <v>11001</v>
      </c>
      <c r="B28" s="45" t="s">
        <v>663</v>
      </c>
      <c r="C28" s="10">
        <v>8.1932515337423322</v>
      </c>
      <c r="D28" s="10">
        <f>'[1]25-35 female'!AE30</f>
        <v>12.205076142131979</v>
      </c>
    </row>
    <row r="29" spans="1:4" x14ac:dyDescent="0.3">
      <c r="A29" s="41">
        <v>11002</v>
      </c>
      <c r="B29" s="45" t="s">
        <v>656</v>
      </c>
      <c r="C29" s="10">
        <v>8.5070422535211261</v>
      </c>
      <c r="D29" s="10">
        <f>'[1]25-35 female'!AE31</f>
        <v>11.155913978494624</v>
      </c>
    </row>
    <row r="30" spans="1:4" x14ac:dyDescent="0.3">
      <c r="A30" s="41">
        <v>11003</v>
      </c>
      <c r="B30" s="45" t="s">
        <v>654</v>
      </c>
      <c r="C30" s="10">
        <v>8.7561436672967865</v>
      </c>
      <c r="D30" s="10">
        <f>'[1]25-35 female'!AE32</f>
        <v>11.406438631790744</v>
      </c>
    </row>
    <row r="31" spans="1:4" x14ac:dyDescent="0.3">
      <c r="A31" s="41">
        <v>20101</v>
      </c>
      <c r="B31" s="45" t="s">
        <v>629</v>
      </c>
      <c r="C31" s="10">
        <v>13.181874763219136</v>
      </c>
      <c r="D31" s="10">
        <f>'[1]25-35 female'!AE33</f>
        <v>14.855876449598572</v>
      </c>
    </row>
    <row r="32" spans="1:4" x14ac:dyDescent="0.3">
      <c r="A32" s="41">
        <v>20102</v>
      </c>
      <c r="B32" s="45" t="s">
        <v>431</v>
      </c>
      <c r="C32" s="10">
        <v>6.2200532386867788</v>
      </c>
      <c r="D32" s="10">
        <f>'[1]25-35 female'!AE34</f>
        <v>10.358974358974359</v>
      </c>
    </row>
    <row r="33" spans="1:4" x14ac:dyDescent="0.3">
      <c r="A33" s="41">
        <v>20103</v>
      </c>
      <c r="B33" s="45" t="s">
        <v>524</v>
      </c>
      <c r="C33" s="10">
        <v>8.8119658119658126</v>
      </c>
      <c r="D33" s="10">
        <f>'[1]25-35 female'!AE35</f>
        <v>12.269565217391305</v>
      </c>
    </row>
    <row r="34" spans="1:4" x14ac:dyDescent="0.3">
      <c r="A34" s="41">
        <v>20104</v>
      </c>
      <c r="B34" s="45" t="s">
        <v>495</v>
      </c>
      <c r="C34" s="10">
        <v>8.6933560477001706</v>
      </c>
      <c r="D34" s="10">
        <f>'[1]25-35 female'!AE36</f>
        <v>12.345785876993165</v>
      </c>
    </row>
    <row r="35" spans="1:4" x14ac:dyDescent="0.3">
      <c r="A35" s="41">
        <v>20105</v>
      </c>
      <c r="B35" s="45" t="s">
        <v>574</v>
      </c>
      <c r="C35" s="10">
        <v>10.523937370809476</v>
      </c>
      <c r="D35" s="10">
        <f>'[1]25-35 female'!AE37</f>
        <v>13.465656544236152</v>
      </c>
    </row>
    <row r="36" spans="1:4" x14ac:dyDescent="0.3">
      <c r="A36" s="41">
        <v>20201</v>
      </c>
      <c r="B36" s="45" t="s">
        <v>433</v>
      </c>
      <c r="C36" s="10">
        <v>8.7494267933180474</v>
      </c>
      <c r="D36" s="10">
        <f>'[1]25-35 female'!AE38</f>
        <v>12.300416088765603</v>
      </c>
    </row>
    <row r="37" spans="1:4" x14ac:dyDescent="0.3">
      <c r="A37" s="41">
        <v>20202</v>
      </c>
      <c r="B37" s="45" t="s">
        <v>401</v>
      </c>
      <c r="C37" s="10">
        <v>6.9985507246376812</v>
      </c>
      <c r="D37" s="10">
        <f>'[1]25-35 female'!AE39</f>
        <v>11.087533156498674</v>
      </c>
    </row>
    <row r="38" spans="1:4" x14ac:dyDescent="0.3">
      <c r="A38" s="41">
        <v>20203</v>
      </c>
      <c r="B38" s="45" t="s">
        <v>511</v>
      </c>
      <c r="C38" s="10">
        <v>8.8933901918976552</v>
      </c>
      <c r="D38" s="10">
        <f>'[1]25-35 female'!AE40</f>
        <v>12.77626459143969</v>
      </c>
    </row>
    <row r="39" spans="1:4" x14ac:dyDescent="0.3">
      <c r="A39" s="41">
        <v>20204</v>
      </c>
      <c r="B39" s="45" t="s">
        <v>428</v>
      </c>
      <c r="C39" s="10">
        <v>9.9781553398058254</v>
      </c>
      <c r="D39" s="10">
        <f>'[1]25-35 female'!AE41</f>
        <v>12.472949389179755</v>
      </c>
    </row>
    <row r="40" spans="1:4" x14ac:dyDescent="0.3">
      <c r="A40" s="41">
        <v>20205</v>
      </c>
      <c r="B40" s="45" t="s">
        <v>463</v>
      </c>
      <c r="C40" s="10">
        <v>12.172794117647058</v>
      </c>
      <c r="D40" s="10">
        <f>'[1]25-35 female'!AE42</f>
        <v>12.608303249097473</v>
      </c>
    </row>
    <row r="41" spans="1:4" x14ac:dyDescent="0.3">
      <c r="A41" s="41">
        <v>20206</v>
      </c>
      <c r="B41" s="45" t="s">
        <v>523</v>
      </c>
      <c r="C41" s="10">
        <v>9.522875816993464</v>
      </c>
      <c r="D41" s="10">
        <f>'[1]25-35 female'!AE43</f>
        <v>13.853293413173652</v>
      </c>
    </row>
    <row r="42" spans="1:4" x14ac:dyDescent="0.3">
      <c r="A42" s="41">
        <v>20301</v>
      </c>
      <c r="B42" s="45" t="s">
        <v>564</v>
      </c>
      <c r="C42" s="10">
        <v>8.6</v>
      </c>
      <c r="D42" s="10">
        <f>'[1]25-35 female'!AE44</f>
        <v>12.024915062287656</v>
      </c>
    </row>
    <row r="43" spans="1:4" x14ac:dyDescent="0.3">
      <c r="A43" s="41">
        <v>20302</v>
      </c>
      <c r="B43" s="45" t="s">
        <v>468</v>
      </c>
      <c r="C43" s="10">
        <v>8.5335731414868103</v>
      </c>
      <c r="D43" s="10">
        <f>'[1]25-35 female'!AE45</f>
        <v>12.090539165818921</v>
      </c>
    </row>
    <row r="44" spans="1:4" x14ac:dyDescent="0.3">
      <c r="A44" s="41">
        <v>20303</v>
      </c>
      <c r="B44" s="45" t="s">
        <v>570</v>
      </c>
      <c r="C44" s="10">
        <v>8.3149171270718227</v>
      </c>
      <c r="D44" s="10">
        <f>'[1]25-35 female'!AE46</f>
        <v>11.989974937343359</v>
      </c>
    </row>
    <row r="45" spans="1:4" x14ac:dyDescent="0.3">
      <c r="A45" s="41">
        <v>20304</v>
      </c>
      <c r="B45" s="45" t="s">
        <v>577</v>
      </c>
      <c r="C45" s="10">
        <v>8.4174757281553401</v>
      </c>
      <c r="D45" s="10">
        <f>'[1]25-35 female'!AE47</f>
        <v>11.531855955678671</v>
      </c>
    </row>
    <row r="46" spans="1:4" x14ac:dyDescent="0.3">
      <c r="A46" s="41">
        <v>20305</v>
      </c>
      <c r="B46" s="45" t="s">
        <v>490</v>
      </c>
      <c r="C46" s="10">
        <v>8.8508771929824555</v>
      </c>
      <c r="D46" s="10">
        <f>'[1]25-35 female'!AE48</f>
        <v>12.427397260273972</v>
      </c>
    </row>
    <row r="47" spans="1:4" x14ac:dyDescent="0.3">
      <c r="A47" s="41">
        <v>20306</v>
      </c>
      <c r="B47" s="45" t="s">
        <v>556</v>
      </c>
      <c r="C47" s="10">
        <v>8.9768518518518512</v>
      </c>
      <c r="D47" s="10">
        <f>'[1]25-35 female'!AE49</f>
        <v>12.1741214057508</v>
      </c>
    </row>
    <row r="48" spans="1:4" x14ac:dyDescent="0.3">
      <c r="A48" s="41">
        <v>20307</v>
      </c>
      <c r="B48" s="45" t="s">
        <v>425</v>
      </c>
      <c r="C48" s="10">
        <v>9.1739130434782616</v>
      </c>
      <c r="D48" s="10">
        <f>'[1]25-35 female'!AE50</f>
        <v>11.802721088435375</v>
      </c>
    </row>
    <row r="49" spans="1:4" x14ac:dyDescent="0.3">
      <c r="A49" s="41">
        <v>20308</v>
      </c>
      <c r="B49" s="45" t="s">
        <v>481</v>
      </c>
      <c r="C49" s="10">
        <v>7.5801526717557248</v>
      </c>
      <c r="D49" s="10">
        <f>'[1]25-35 female'!AE51</f>
        <v>11.56113537117904</v>
      </c>
    </row>
    <row r="50" spans="1:4" x14ac:dyDescent="0.3">
      <c r="A50" s="41">
        <v>20401</v>
      </c>
      <c r="B50" s="45" t="s">
        <v>396</v>
      </c>
      <c r="C50" s="10">
        <v>6.8908045977011492</v>
      </c>
      <c r="D50" s="10">
        <f>'[1]25-35 female'!AE52</f>
        <v>10.756363636363636</v>
      </c>
    </row>
    <row r="51" spans="1:4" x14ac:dyDescent="0.3">
      <c r="A51" s="41">
        <v>20402</v>
      </c>
      <c r="B51" s="45" t="s">
        <v>399</v>
      </c>
      <c r="C51" s="10">
        <v>5.5518102372034956</v>
      </c>
      <c r="D51" s="10">
        <f>'[1]25-35 female'!AE53</f>
        <v>10.455482661668229</v>
      </c>
    </row>
    <row r="52" spans="1:4" x14ac:dyDescent="0.3">
      <c r="A52" s="41">
        <v>20403</v>
      </c>
      <c r="B52" s="45" t="s">
        <v>412</v>
      </c>
      <c r="C52" s="10">
        <v>7.4033290653008965</v>
      </c>
      <c r="D52" s="10">
        <f>'[1]25-35 female'!AE54</f>
        <v>11.273921200750468</v>
      </c>
    </row>
    <row r="53" spans="1:4" x14ac:dyDescent="0.3">
      <c r="A53" s="41">
        <v>20404</v>
      </c>
      <c r="B53" s="45" t="s">
        <v>383</v>
      </c>
      <c r="C53" s="10">
        <v>5.3210332103321036</v>
      </c>
      <c r="D53" s="10">
        <f>'[1]25-35 female'!AE55</f>
        <v>10.00287356321839</v>
      </c>
    </row>
    <row r="54" spans="1:4" x14ac:dyDescent="0.3">
      <c r="A54" s="41">
        <v>20405</v>
      </c>
      <c r="B54" s="45" t="s">
        <v>400</v>
      </c>
      <c r="C54" s="10">
        <v>8.3300492610837438</v>
      </c>
      <c r="D54" s="10">
        <f>'[1]25-35 female'!AE56</f>
        <v>12.134686346863468</v>
      </c>
    </row>
    <row r="55" spans="1:4" x14ac:dyDescent="0.3">
      <c r="A55" s="41">
        <v>20501</v>
      </c>
      <c r="B55" s="45" t="s">
        <v>451</v>
      </c>
      <c r="C55" s="10">
        <v>6.7692307692307692</v>
      </c>
      <c r="D55" s="10">
        <f>'[1]25-35 female'!AE57</f>
        <v>10.745677233429396</v>
      </c>
    </row>
    <row r="56" spans="1:4" x14ac:dyDescent="0.3">
      <c r="A56" s="41">
        <v>20502</v>
      </c>
      <c r="B56" s="45" t="s">
        <v>379</v>
      </c>
      <c r="C56" s="10">
        <v>4.9207708779443253</v>
      </c>
      <c r="D56" s="10">
        <f>'[1]25-35 female'!AE58</f>
        <v>9.4385113268608407</v>
      </c>
    </row>
    <row r="57" spans="1:4" x14ac:dyDescent="0.3">
      <c r="A57" s="41">
        <v>20503</v>
      </c>
      <c r="B57" s="45" t="s">
        <v>386</v>
      </c>
      <c r="C57" s="10">
        <v>5.5612903225806454</v>
      </c>
      <c r="D57" s="10">
        <f>'[1]25-35 female'!AE59</f>
        <v>9.6103896103896105</v>
      </c>
    </row>
    <row r="58" spans="1:4" x14ac:dyDescent="0.3">
      <c r="A58" s="41">
        <v>20601</v>
      </c>
      <c r="B58" s="45" t="s">
        <v>448</v>
      </c>
      <c r="C58" s="10">
        <v>7.1862980769230766</v>
      </c>
      <c r="D58" s="10">
        <f>'[1]25-35 female'!AE60</f>
        <v>11.060451565914057</v>
      </c>
    </row>
    <row r="59" spans="1:4" x14ac:dyDescent="0.3">
      <c r="A59" s="41">
        <v>20602</v>
      </c>
      <c r="B59" s="45" t="s">
        <v>602</v>
      </c>
      <c r="C59" s="10">
        <v>8.4958979033728355</v>
      </c>
      <c r="D59" s="10">
        <f>'[1]25-35 female'!AE61</f>
        <v>11.38551724137931</v>
      </c>
    </row>
    <row r="60" spans="1:4" x14ac:dyDescent="0.3">
      <c r="A60" s="41">
        <v>20603</v>
      </c>
      <c r="B60" s="45" t="s">
        <v>499</v>
      </c>
      <c r="C60" s="10">
        <v>7.471061093247588</v>
      </c>
      <c r="D60" s="10">
        <f>'[1]25-35 female'!AE62</f>
        <v>11.101995565410199</v>
      </c>
    </row>
    <row r="61" spans="1:4" x14ac:dyDescent="0.3">
      <c r="A61" s="41">
        <v>20604</v>
      </c>
      <c r="B61" s="45" t="s">
        <v>445</v>
      </c>
      <c r="C61" s="10">
        <v>6.7763975155279503</v>
      </c>
      <c r="D61" s="10">
        <f>'[1]25-35 female'!AE63</f>
        <v>10.461956521739131</v>
      </c>
    </row>
    <row r="62" spans="1:4" x14ac:dyDescent="0.3">
      <c r="A62" s="41">
        <v>20605</v>
      </c>
      <c r="B62" s="45" t="s">
        <v>404</v>
      </c>
      <c r="C62" s="10">
        <v>7.7938144329896906</v>
      </c>
      <c r="D62" s="10">
        <f>'[1]25-35 female'!AE64</f>
        <v>11.395348837209303</v>
      </c>
    </row>
    <row r="63" spans="1:4" x14ac:dyDescent="0.3">
      <c r="A63" s="41">
        <v>20606</v>
      </c>
      <c r="B63" s="45" t="s">
        <v>638</v>
      </c>
      <c r="C63" s="10">
        <v>8.9608091024020222</v>
      </c>
      <c r="D63" s="10">
        <f>'[1]25-35 female'!AE65</f>
        <v>12.148203592814371</v>
      </c>
    </row>
    <row r="64" spans="1:4" x14ac:dyDescent="0.3">
      <c r="A64" s="41">
        <v>20607</v>
      </c>
      <c r="B64" s="45" t="s">
        <v>561</v>
      </c>
      <c r="C64" s="10">
        <v>8.4557438794726938</v>
      </c>
      <c r="D64" s="10">
        <f>'[1]25-35 female'!AE66</f>
        <v>11.362447454460533</v>
      </c>
    </row>
    <row r="65" spans="1:4" x14ac:dyDescent="0.3">
      <c r="A65" s="41">
        <v>20608</v>
      </c>
      <c r="B65" s="45" t="s">
        <v>594</v>
      </c>
      <c r="C65" s="10">
        <v>8.4710252600297178</v>
      </c>
      <c r="D65" s="10">
        <f>'[1]25-35 female'!AE67</f>
        <v>11.148058252427184</v>
      </c>
    </row>
    <row r="66" spans="1:4" x14ac:dyDescent="0.3">
      <c r="A66" s="41">
        <v>20701</v>
      </c>
      <c r="B66" s="45" t="s">
        <v>529</v>
      </c>
      <c r="C66" s="10">
        <v>8.0122605363984682</v>
      </c>
      <c r="D66" s="10">
        <f>'[1]25-35 female'!AE68</f>
        <v>11.01780415430267</v>
      </c>
    </row>
    <row r="67" spans="1:4" x14ac:dyDescent="0.3">
      <c r="A67" s="41">
        <v>20702</v>
      </c>
      <c r="B67" s="45" t="s">
        <v>389</v>
      </c>
      <c r="C67" s="10">
        <v>6.7453416149068319</v>
      </c>
      <c r="D67" s="10">
        <f>'[1]25-35 female'!AE69</f>
        <v>10.067430025445292</v>
      </c>
    </row>
    <row r="68" spans="1:4" x14ac:dyDescent="0.3">
      <c r="A68" s="41">
        <v>20801</v>
      </c>
      <c r="B68" s="45" t="s">
        <v>541</v>
      </c>
      <c r="C68" s="10">
        <v>9.730731294913344</v>
      </c>
      <c r="D68" s="10">
        <f>'[1]25-35 female'!AE70</f>
        <v>12.598163909343024</v>
      </c>
    </row>
    <row r="69" spans="1:4" x14ac:dyDescent="0.3">
      <c r="A69" s="41">
        <v>20802</v>
      </c>
      <c r="B69" s="45" t="s">
        <v>449</v>
      </c>
      <c r="C69" s="10">
        <v>8.9011764705882346</v>
      </c>
      <c r="D69" s="10">
        <f>'[1]25-35 female'!AE71</f>
        <v>12.133689839572192</v>
      </c>
    </row>
    <row r="70" spans="1:4" x14ac:dyDescent="0.3">
      <c r="A70" s="41">
        <v>20803</v>
      </c>
      <c r="B70" s="45" t="s">
        <v>444</v>
      </c>
      <c r="C70" s="10">
        <v>8.0817535545023702</v>
      </c>
      <c r="D70" s="10">
        <f>'[1]25-35 female'!AE72</f>
        <v>11.796279069767442</v>
      </c>
    </row>
    <row r="71" spans="1:4" x14ac:dyDescent="0.3">
      <c r="A71" s="41">
        <v>20804</v>
      </c>
      <c r="B71" s="45" t="s">
        <v>480</v>
      </c>
      <c r="C71" s="10">
        <v>8.6617375231053604</v>
      </c>
      <c r="D71" s="10">
        <f>'[1]25-35 female'!AE73</f>
        <v>12.112121212121211</v>
      </c>
    </row>
    <row r="72" spans="1:4" x14ac:dyDescent="0.3">
      <c r="A72" s="41">
        <v>20805</v>
      </c>
      <c r="B72" s="45" t="s">
        <v>458</v>
      </c>
      <c r="C72" s="10">
        <v>8.734375</v>
      </c>
      <c r="D72" s="10">
        <f>'[1]25-35 female'!AE74</f>
        <v>12.117171717171717</v>
      </c>
    </row>
    <row r="73" spans="1:4" x14ac:dyDescent="0.3">
      <c r="A73" s="41">
        <v>20806</v>
      </c>
      <c r="B73" s="45" t="s">
        <v>460</v>
      </c>
      <c r="C73" s="10">
        <v>9.037403740374037</v>
      </c>
      <c r="D73" s="10">
        <f>'[1]25-35 female'!AE75</f>
        <v>12.0091059602649</v>
      </c>
    </row>
    <row r="74" spans="1:4" x14ac:dyDescent="0.3">
      <c r="A74" s="41">
        <v>20807</v>
      </c>
      <c r="B74" s="45" t="s">
        <v>474</v>
      </c>
      <c r="C74" s="10">
        <v>8.1397849462365599</v>
      </c>
      <c r="D74" s="10">
        <f>'[1]25-35 female'!AE76</f>
        <v>11.7882096069869</v>
      </c>
    </row>
    <row r="75" spans="1:4" x14ac:dyDescent="0.3">
      <c r="A75" s="41">
        <v>20901</v>
      </c>
      <c r="B75" s="45" t="s">
        <v>464</v>
      </c>
      <c r="C75" s="10">
        <v>8.3909313725490193</v>
      </c>
      <c r="D75" s="10">
        <f>'[1]25-35 female'!AE77</f>
        <v>11.302045728038507</v>
      </c>
    </row>
    <row r="76" spans="1:4" x14ac:dyDescent="0.3">
      <c r="A76" s="41">
        <v>20902</v>
      </c>
      <c r="B76" s="45" t="s">
        <v>456</v>
      </c>
      <c r="C76" s="10">
        <v>7.0532741398446168</v>
      </c>
      <c r="D76" s="10">
        <f>'[1]25-35 female'!AE78</f>
        <v>11.189047261815453</v>
      </c>
    </row>
    <row r="77" spans="1:4" x14ac:dyDescent="0.3">
      <c r="A77" s="41">
        <v>20903</v>
      </c>
      <c r="B77" s="45" t="s">
        <v>550</v>
      </c>
      <c r="C77" s="10">
        <v>7.4507389162561575</v>
      </c>
      <c r="D77" s="10">
        <f>'[1]25-35 female'!AE79</f>
        <v>10.886917960088692</v>
      </c>
    </row>
    <row r="78" spans="1:4" x14ac:dyDescent="0.3">
      <c r="A78" s="41">
        <v>20904</v>
      </c>
      <c r="B78" s="45" t="s">
        <v>487</v>
      </c>
      <c r="C78" s="10">
        <v>7.9556786703601112</v>
      </c>
      <c r="D78" s="10">
        <f>'[1]25-35 female'!AE80</f>
        <v>11.022774327122153</v>
      </c>
    </row>
    <row r="79" spans="1:4" x14ac:dyDescent="0.3">
      <c r="A79" s="41">
        <v>20905</v>
      </c>
      <c r="B79" s="45" t="s">
        <v>440</v>
      </c>
      <c r="C79" s="10">
        <v>8.0104575163398692</v>
      </c>
      <c r="D79" s="10">
        <f>'[1]25-35 female'!AE81</f>
        <v>10.87279151943463</v>
      </c>
    </row>
    <row r="80" spans="1:4" x14ac:dyDescent="0.3">
      <c r="A80" s="41">
        <v>21001</v>
      </c>
      <c r="B80" s="45" t="s">
        <v>438</v>
      </c>
      <c r="C80" s="10">
        <v>6.7229381443298966</v>
      </c>
      <c r="D80" s="10">
        <f>'[1]25-35 female'!AE82</f>
        <v>10.083397683397683</v>
      </c>
    </row>
    <row r="81" spans="1:4" x14ac:dyDescent="0.3">
      <c r="A81" s="41">
        <v>21002</v>
      </c>
      <c r="B81" s="45" t="s">
        <v>508</v>
      </c>
      <c r="C81" s="10">
        <v>7.8290441176470589</v>
      </c>
      <c r="D81" s="10">
        <f>'[1]25-35 female'!AE83</f>
        <v>11.137485311398354</v>
      </c>
    </row>
    <row r="82" spans="1:4" x14ac:dyDescent="0.3">
      <c r="A82" s="41">
        <v>21003</v>
      </c>
      <c r="B82" s="45" t="s">
        <v>551</v>
      </c>
      <c r="C82" s="10">
        <v>7.9359605911330053</v>
      </c>
      <c r="D82" s="10">
        <f>'[1]25-35 female'!AE84</f>
        <v>10.452580195258019</v>
      </c>
    </row>
    <row r="83" spans="1:4" x14ac:dyDescent="0.3">
      <c r="A83" s="41">
        <v>21004</v>
      </c>
      <c r="B83" s="45" t="s">
        <v>473</v>
      </c>
      <c r="C83" s="10">
        <v>7.6837324525185799</v>
      </c>
      <c r="D83" s="10">
        <f>'[1]25-35 female'!AE85</f>
        <v>10.929885057471264</v>
      </c>
    </row>
    <row r="84" spans="1:4" x14ac:dyDescent="0.3">
      <c r="A84" s="41">
        <v>21005</v>
      </c>
      <c r="B84" s="45" t="s">
        <v>466</v>
      </c>
      <c r="C84" s="10">
        <v>7.7582846003898638</v>
      </c>
      <c r="D84" s="10">
        <f>'[1]25-35 female'!AE86</f>
        <v>10.682158920539731</v>
      </c>
    </row>
    <row r="85" spans="1:4" x14ac:dyDescent="0.3">
      <c r="A85" s="41">
        <v>21006</v>
      </c>
      <c r="B85" s="45" t="s">
        <v>563</v>
      </c>
      <c r="C85" s="10">
        <v>8.3542116630669554</v>
      </c>
      <c r="D85" s="10">
        <f>'[1]25-35 female'!AE87</f>
        <v>11.055757575757577</v>
      </c>
    </row>
    <row r="86" spans="1:4" x14ac:dyDescent="0.3">
      <c r="A86" s="41">
        <v>21101</v>
      </c>
      <c r="B86" s="45" t="s">
        <v>535</v>
      </c>
      <c r="C86" s="10">
        <v>9.0097465886939574</v>
      </c>
      <c r="D86" s="10">
        <f>'[1]25-35 female'!AE88</f>
        <v>11.485119047619047</v>
      </c>
    </row>
    <row r="87" spans="1:4" x14ac:dyDescent="0.3">
      <c r="A87" s="41">
        <v>21102</v>
      </c>
      <c r="B87" s="45" t="s">
        <v>446</v>
      </c>
      <c r="C87" s="10">
        <v>8.0611782477341389</v>
      </c>
      <c r="D87" s="10">
        <f>'[1]25-35 female'!AE89</f>
        <v>10.911867801702554</v>
      </c>
    </row>
    <row r="88" spans="1:4" x14ac:dyDescent="0.3">
      <c r="A88" s="41">
        <v>21103</v>
      </c>
      <c r="B88" s="45" t="s">
        <v>576</v>
      </c>
      <c r="C88" s="10">
        <v>9.4795221843003414</v>
      </c>
      <c r="D88" s="10">
        <f>'[1]25-35 female'!AE90</f>
        <v>11.858034321372855</v>
      </c>
    </row>
    <row r="89" spans="1:4" x14ac:dyDescent="0.3">
      <c r="A89" s="41">
        <v>21104</v>
      </c>
      <c r="B89" s="45" t="s">
        <v>546</v>
      </c>
      <c r="C89" s="10">
        <v>8.7972972972972965</v>
      </c>
      <c r="D89" s="10">
        <f>'[1]25-35 female'!AE91</f>
        <v>11.612505316886431</v>
      </c>
    </row>
    <row r="90" spans="1:4" x14ac:dyDescent="0.3">
      <c r="A90" s="41">
        <v>21105</v>
      </c>
      <c r="B90" s="45" t="s">
        <v>402</v>
      </c>
      <c r="C90" s="10">
        <v>7.0350427350427349</v>
      </c>
      <c r="D90" s="10">
        <f>'[1]25-35 female'!AE92</f>
        <v>9.646185010128292</v>
      </c>
    </row>
    <row r="91" spans="1:4" x14ac:dyDescent="0.3">
      <c r="A91" s="41">
        <v>21201</v>
      </c>
      <c r="B91" s="45" t="s">
        <v>407</v>
      </c>
      <c r="C91" s="10">
        <v>7.5580708661417324</v>
      </c>
      <c r="D91" s="10">
        <f>'[1]25-35 female'!AE93</f>
        <v>11.199817518248175</v>
      </c>
    </row>
    <row r="92" spans="1:4" x14ac:dyDescent="0.3">
      <c r="A92" s="41">
        <v>21202</v>
      </c>
      <c r="B92" s="45" t="s">
        <v>432</v>
      </c>
      <c r="C92" s="10">
        <v>7.8683035714285712</v>
      </c>
      <c r="D92" s="10">
        <f>'[1]25-35 female'!AE94</f>
        <v>11.448826008428657</v>
      </c>
    </row>
    <row r="93" spans="1:4" x14ac:dyDescent="0.3">
      <c r="A93" s="41">
        <v>21203</v>
      </c>
      <c r="B93" s="45" t="s">
        <v>430</v>
      </c>
      <c r="C93" s="10">
        <v>8.7059405940594061</v>
      </c>
      <c r="D93" s="10">
        <f>'[1]25-35 female'!AE95</f>
        <v>11.974565756823822</v>
      </c>
    </row>
    <row r="94" spans="1:4" x14ac:dyDescent="0.3">
      <c r="A94" s="41">
        <v>21204</v>
      </c>
      <c r="B94" s="45" t="s">
        <v>397</v>
      </c>
      <c r="C94" s="10">
        <v>7.2835820895522385</v>
      </c>
      <c r="D94" s="10">
        <f>'[1]25-35 female'!AE96</f>
        <v>11.160862354892206</v>
      </c>
    </row>
    <row r="95" spans="1:4" x14ac:dyDescent="0.3">
      <c r="A95" s="41">
        <v>21301</v>
      </c>
      <c r="B95" s="45" t="s">
        <v>484</v>
      </c>
      <c r="C95" s="10">
        <v>8.236538461538462</v>
      </c>
      <c r="D95" s="10">
        <f>'[1]25-35 female'!AE97</f>
        <v>11.689142857142857</v>
      </c>
    </row>
    <row r="96" spans="1:4" x14ac:dyDescent="0.3">
      <c r="A96" s="41">
        <v>21302</v>
      </c>
      <c r="B96" s="45" t="s">
        <v>392</v>
      </c>
      <c r="C96" s="10">
        <v>8.2882483370288256</v>
      </c>
      <c r="D96" s="10">
        <f>'[1]25-35 female'!AE98</f>
        <v>11.269938650306749</v>
      </c>
    </row>
    <row r="97" spans="1:4" x14ac:dyDescent="0.3">
      <c r="A97" s="41">
        <v>21303</v>
      </c>
      <c r="B97" s="45" t="s">
        <v>424</v>
      </c>
      <c r="C97" s="10">
        <v>6.964876033057851</v>
      </c>
      <c r="D97" s="10">
        <f>'[1]25-35 female'!AE99</f>
        <v>11.269916765755054</v>
      </c>
    </row>
    <row r="98" spans="1:4" x14ac:dyDescent="0.3">
      <c r="A98" s="41">
        <v>21304</v>
      </c>
      <c r="B98" s="45" t="s">
        <v>485</v>
      </c>
      <c r="C98" s="10">
        <v>7.7729032258064512</v>
      </c>
      <c r="D98" s="10">
        <f>'[1]25-35 female'!AE100</f>
        <v>11.277486910994764</v>
      </c>
    </row>
    <row r="99" spans="1:4" x14ac:dyDescent="0.3">
      <c r="A99" s="41">
        <v>21305</v>
      </c>
      <c r="B99" s="45" t="s">
        <v>437</v>
      </c>
      <c r="C99" s="10">
        <v>8.365315852205006</v>
      </c>
      <c r="D99" s="10">
        <f>'[1]25-35 female'!AE101</f>
        <v>11.642720306513411</v>
      </c>
    </row>
    <row r="100" spans="1:4" x14ac:dyDescent="0.3">
      <c r="A100" s="41">
        <v>21306</v>
      </c>
      <c r="B100" s="45" t="s">
        <v>528</v>
      </c>
      <c r="C100" s="10">
        <v>8.1502890173410396</v>
      </c>
      <c r="D100" s="10">
        <f>'[1]25-35 female'!AE102</f>
        <v>12.033488372093023</v>
      </c>
    </row>
    <row r="101" spans="1:4" x14ac:dyDescent="0.3">
      <c r="A101" s="41">
        <v>21307</v>
      </c>
      <c r="B101" s="45" t="s">
        <v>625</v>
      </c>
      <c r="C101" s="10">
        <v>9.5483091787439616</v>
      </c>
      <c r="D101" s="10">
        <f>'[1]25-35 female'!AE103</f>
        <v>12.833976833976834</v>
      </c>
    </row>
    <row r="102" spans="1:4" x14ac:dyDescent="0.3">
      <c r="A102" s="41">
        <v>21401</v>
      </c>
      <c r="B102" s="45" t="s">
        <v>503</v>
      </c>
      <c r="C102" s="10">
        <v>8.9378960709759188</v>
      </c>
      <c r="D102" s="10">
        <f>'[1]25-35 female'!AE104</f>
        <v>11.920615633859862</v>
      </c>
    </row>
    <row r="103" spans="1:4" x14ac:dyDescent="0.3">
      <c r="A103" s="41">
        <v>21402</v>
      </c>
      <c r="B103" s="45" t="s">
        <v>462</v>
      </c>
      <c r="C103" s="10">
        <v>8.4783477681545634</v>
      </c>
      <c r="D103" s="10">
        <f>'[1]25-35 female'!AE105</f>
        <v>11.086741573033708</v>
      </c>
    </row>
    <row r="104" spans="1:4" x14ac:dyDescent="0.3">
      <c r="A104" s="41">
        <v>21501</v>
      </c>
      <c r="B104" s="45" t="s">
        <v>543</v>
      </c>
      <c r="C104" s="10">
        <v>8.5954088952654235</v>
      </c>
      <c r="D104" s="10">
        <f>'[1]25-35 female'!AE106</f>
        <v>10.998963730569947</v>
      </c>
    </row>
    <row r="105" spans="1:4" x14ac:dyDescent="0.3">
      <c r="A105" s="41">
        <v>21502</v>
      </c>
      <c r="B105" s="45" t="s">
        <v>613</v>
      </c>
      <c r="C105" s="10">
        <v>9.3940740740740747</v>
      </c>
      <c r="D105" s="10">
        <f>'[1]25-35 female'!AE107</f>
        <v>12.042270531400966</v>
      </c>
    </row>
    <row r="106" spans="1:4" x14ac:dyDescent="0.3">
      <c r="A106" s="41">
        <v>21601</v>
      </c>
      <c r="B106" s="45" t="s">
        <v>382</v>
      </c>
      <c r="C106" s="10">
        <v>6.0703218116805724</v>
      </c>
      <c r="D106" s="10">
        <f>'[1]25-35 female'!AE108</f>
        <v>9.904132231404958</v>
      </c>
    </row>
    <row r="107" spans="1:4" x14ac:dyDescent="0.3">
      <c r="A107" s="41">
        <v>21602</v>
      </c>
      <c r="B107" s="45" t="s">
        <v>376</v>
      </c>
      <c r="C107" s="10">
        <v>5.4108527131782944</v>
      </c>
      <c r="D107" s="10">
        <f>'[1]25-35 female'!AE109</f>
        <v>9.1888888888888882</v>
      </c>
    </row>
    <row r="108" spans="1:4" x14ac:dyDescent="0.3">
      <c r="A108" s="41">
        <v>21701</v>
      </c>
      <c r="B108" s="45" t="s">
        <v>423</v>
      </c>
      <c r="C108" s="10">
        <v>8.2252851711026622</v>
      </c>
      <c r="D108" s="10">
        <f>'[1]25-35 female'!AE110</f>
        <v>11.698473282442748</v>
      </c>
    </row>
    <row r="109" spans="1:4" x14ac:dyDescent="0.3">
      <c r="A109" s="41">
        <v>21702</v>
      </c>
      <c r="B109" s="45" t="s">
        <v>476</v>
      </c>
      <c r="C109" s="10">
        <v>8.7659574468085104</v>
      </c>
      <c r="D109" s="10">
        <f>'[1]25-35 female'!AE111</f>
        <v>12.043993231810491</v>
      </c>
    </row>
    <row r="110" spans="1:4" x14ac:dyDescent="0.3">
      <c r="A110" s="41">
        <v>21703</v>
      </c>
      <c r="B110" s="45" t="s">
        <v>518</v>
      </c>
      <c r="C110" s="10">
        <v>8.7793103448275858</v>
      </c>
      <c r="D110" s="10">
        <f>'[1]25-35 female'!AE112</f>
        <v>11.689189189189189</v>
      </c>
    </row>
    <row r="111" spans="1:4" x14ac:dyDescent="0.3">
      <c r="A111" s="41">
        <v>21801</v>
      </c>
      <c r="B111" s="45" t="s">
        <v>496</v>
      </c>
      <c r="C111" s="10">
        <v>9.6076388888888893</v>
      </c>
      <c r="D111" s="10">
        <f>'[1]25-35 female'!AE113</f>
        <v>11.750380517503805</v>
      </c>
    </row>
    <row r="112" spans="1:4" x14ac:dyDescent="0.3">
      <c r="A112" s="41">
        <v>21802</v>
      </c>
      <c r="B112" s="45" t="s">
        <v>531</v>
      </c>
      <c r="C112" s="10">
        <v>8.7433628318584073</v>
      </c>
      <c r="D112" s="10">
        <f>'[1]25-35 female'!AE114</f>
        <v>11.985882352941177</v>
      </c>
    </row>
    <row r="113" spans="1:4" x14ac:dyDescent="0.3">
      <c r="A113" s="41">
        <v>21803</v>
      </c>
      <c r="B113" s="45" t="s">
        <v>395</v>
      </c>
      <c r="C113" s="10">
        <v>7.6428571428571432</v>
      </c>
      <c r="D113" s="10">
        <f>'[1]25-35 female'!AE115</f>
        <v>10.830769230769231</v>
      </c>
    </row>
    <row r="114" spans="1:4" x14ac:dyDescent="0.3">
      <c r="A114" s="41">
        <v>21901</v>
      </c>
      <c r="B114" s="45" t="s">
        <v>509</v>
      </c>
      <c r="C114" s="10">
        <v>8.5735849056603772</v>
      </c>
      <c r="D114" s="10">
        <f>'[1]25-35 female'!AE116</f>
        <v>11.955512572533848</v>
      </c>
    </row>
    <row r="115" spans="1:4" x14ac:dyDescent="0.3">
      <c r="A115" s="41">
        <v>21902</v>
      </c>
      <c r="B115" s="45" t="s">
        <v>417</v>
      </c>
      <c r="C115" s="10">
        <v>8.6962025316455698</v>
      </c>
      <c r="D115" s="10">
        <f>'[1]25-35 female'!AE117</f>
        <v>11.38076923076923</v>
      </c>
    </row>
    <row r="116" spans="1:4" x14ac:dyDescent="0.3">
      <c r="A116" s="41">
        <v>22001</v>
      </c>
      <c r="B116" s="45" t="s">
        <v>514</v>
      </c>
      <c r="C116" s="10">
        <v>8.5280144590756528</v>
      </c>
      <c r="D116" s="10">
        <f>'[1]25-35 female'!AE118</f>
        <v>11.9192190578542</v>
      </c>
    </row>
    <row r="117" spans="1:4" x14ac:dyDescent="0.3">
      <c r="A117" s="41">
        <v>22002</v>
      </c>
      <c r="B117" s="45" t="s">
        <v>479</v>
      </c>
      <c r="C117" s="10">
        <v>8.6009445100354185</v>
      </c>
      <c r="D117" s="10">
        <f>'[1]25-35 female'!AE119</f>
        <v>11.314960629921259</v>
      </c>
    </row>
    <row r="118" spans="1:4" x14ac:dyDescent="0.3">
      <c r="A118" s="41">
        <v>30101</v>
      </c>
      <c r="B118" s="45" t="s">
        <v>355</v>
      </c>
      <c r="C118" s="10">
        <v>11.586715433786891</v>
      </c>
      <c r="D118" s="10">
        <f>'[1]25-35 female'!AE120</f>
        <v>13.58384032447433</v>
      </c>
    </row>
    <row r="119" spans="1:4" x14ac:dyDescent="0.3">
      <c r="A119" s="41">
        <v>30201</v>
      </c>
      <c r="B119" s="45" t="s">
        <v>585</v>
      </c>
      <c r="C119" s="10">
        <v>7.0392912172573192</v>
      </c>
      <c r="D119" s="10">
        <f>'[1]25-35 female'!AE121</f>
        <v>11.160789001793185</v>
      </c>
    </row>
    <row r="120" spans="1:4" x14ac:dyDescent="0.3">
      <c r="A120" s="41">
        <v>30202</v>
      </c>
      <c r="B120" s="45" t="s">
        <v>684</v>
      </c>
      <c r="C120" s="10">
        <v>9.860424028268552</v>
      </c>
      <c r="D120" s="10">
        <f>'[1]25-35 female'!AE122</f>
        <v>12.346441947565543</v>
      </c>
    </row>
    <row r="121" spans="1:4" x14ac:dyDescent="0.3">
      <c r="A121" s="41">
        <v>30203</v>
      </c>
      <c r="B121" s="45" t="s">
        <v>679</v>
      </c>
      <c r="C121" s="10">
        <v>6.9291338582677167</v>
      </c>
      <c r="D121" s="10">
        <f>'[1]25-35 female'!AE123</f>
        <v>10.899317406143345</v>
      </c>
    </row>
    <row r="122" spans="1:4" x14ac:dyDescent="0.3">
      <c r="A122" s="41">
        <v>30301</v>
      </c>
      <c r="B122" s="45" t="s">
        <v>426</v>
      </c>
      <c r="C122" s="10">
        <v>5.7407942238267147</v>
      </c>
      <c r="D122" s="10">
        <f>'[1]25-35 female'!AE124</f>
        <v>9.1667930250189542</v>
      </c>
    </row>
    <row r="123" spans="1:4" x14ac:dyDescent="0.3">
      <c r="A123" s="41">
        <v>30302</v>
      </c>
      <c r="B123" s="45" t="s">
        <v>374</v>
      </c>
      <c r="C123" s="10">
        <v>4.0544217687074831</v>
      </c>
      <c r="D123" s="10">
        <f>'[1]25-35 female'!AE125</f>
        <v>7.9476495726495724</v>
      </c>
    </row>
    <row r="124" spans="1:4" x14ac:dyDescent="0.3">
      <c r="A124" s="41">
        <v>30303</v>
      </c>
      <c r="B124" s="45" t="s">
        <v>375</v>
      </c>
      <c r="C124" s="10">
        <v>4.5347043701799485</v>
      </c>
      <c r="D124" s="10">
        <f>'[1]25-35 female'!AE126</f>
        <v>8.0138568129330245</v>
      </c>
    </row>
    <row r="125" spans="1:4" x14ac:dyDescent="0.3">
      <c r="A125" s="41">
        <v>30401</v>
      </c>
      <c r="B125" s="45" t="s">
        <v>475</v>
      </c>
      <c r="C125" s="10">
        <v>7.916015625</v>
      </c>
      <c r="D125" s="10">
        <f>'[1]25-35 female'!AE127</f>
        <v>11.339285714285714</v>
      </c>
    </row>
    <row r="126" spans="1:4" x14ac:dyDescent="0.3">
      <c r="A126" s="41">
        <v>30402</v>
      </c>
      <c r="B126" s="45" t="s">
        <v>443</v>
      </c>
      <c r="C126" s="10">
        <v>5.4245283018867925</v>
      </c>
      <c r="D126" s="10">
        <f>'[1]25-35 female'!AE128</f>
        <v>9.8046709129511669</v>
      </c>
    </row>
    <row r="127" spans="1:4" x14ac:dyDescent="0.3">
      <c r="A127" s="41">
        <v>30403</v>
      </c>
      <c r="B127" s="45" t="s">
        <v>403</v>
      </c>
      <c r="C127" s="10">
        <v>7.5869415807560134</v>
      </c>
      <c r="D127" s="10">
        <f>'[1]25-35 female'!AE129</f>
        <v>10.199167244968772</v>
      </c>
    </row>
    <row r="128" spans="1:4" x14ac:dyDescent="0.3">
      <c r="A128" s="41">
        <v>30404</v>
      </c>
      <c r="B128" s="45" t="s">
        <v>406</v>
      </c>
      <c r="C128" s="10">
        <v>6.1368821292775664</v>
      </c>
      <c r="D128" s="10">
        <f>'[1]25-35 female'!AE130</f>
        <v>10.002732240437158</v>
      </c>
    </row>
    <row r="129" spans="1:4" x14ac:dyDescent="0.3">
      <c r="A129" s="41">
        <v>30501</v>
      </c>
      <c r="B129" s="45" t="s">
        <v>605</v>
      </c>
      <c r="C129" s="10">
        <v>9.2060390763765536</v>
      </c>
      <c r="D129" s="10">
        <f>'[1]25-35 female'!AE131</f>
        <v>12.599093997734995</v>
      </c>
    </row>
    <row r="130" spans="1:4" x14ac:dyDescent="0.3">
      <c r="A130" s="41">
        <v>30502</v>
      </c>
      <c r="B130" s="45" t="s">
        <v>393</v>
      </c>
      <c r="C130" s="10">
        <v>5.2889344262295079</v>
      </c>
      <c r="D130" s="10">
        <f>'[1]25-35 female'!AE132</f>
        <v>10.482222222222223</v>
      </c>
    </row>
    <row r="131" spans="1:4" x14ac:dyDescent="0.3">
      <c r="A131" s="41">
        <v>30601</v>
      </c>
      <c r="B131" s="45" t="s">
        <v>372</v>
      </c>
      <c r="C131" s="10">
        <v>3.0174326465927099</v>
      </c>
      <c r="D131" s="10">
        <f>'[1]25-35 female'!AE133</f>
        <v>7.7879282218597066</v>
      </c>
    </row>
    <row r="132" spans="1:4" x14ac:dyDescent="0.3">
      <c r="A132" s="41">
        <v>30602</v>
      </c>
      <c r="B132" s="45" t="s">
        <v>381</v>
      </c>
      <c r="C132" s="10">
        <v>3.9468503937007875</v>
      </c>
      <c r="D132" s="10">
        <f>'[1]25-35 female'!AE134</f>
        <v>8.484320557491289</v>
      </c>
    </row>
    <row r="133" spans="1:4" x14ac:dyDescent="0.3">
      <c r="A133" s="41">
        <v>30701</v>
      </c>
      <c r="B133" s="45" t="s">
        <v>537</v>
      </c>
      <c r="C133" s="10">
        <v>7.8363499245852184</v>
      </c>
      <c r="D133" s="10">
        <f>'[1]25-35 female'!AE135</f>
        <v>11.149625935162094</v>
      </c>
    </row>
    <row r="134" spans="1:4" x14ac:dyDescent="0.3">
      <c r="A134" s="41">
        <v>30702</v>
      </c>
      <c r="B134" s="45" t="s">
        <v>491</v>
      </c>
      <c r="C134" s="10">
        <v>7.5589743589743588</v>
      </c>
      <c r="D134" s="10">
        <f>'[1]25-35 female'!AE136</f>
        <v>11.583333333333334</v>
      </c>
    </row>
    <row r="135" spans="1:4" x14ac:dyDescent="0.3">
      <c r="A135" s="41">
        <v>30703</v>
      </c>
      <c r="B135" s="45" t="s">
        <v>394</v>
      </c>
      <c r="C135" s="10">
        <v>5.851694915254237</v>
      </c>
      <c r="D135" s="10">
        <f>'[1]25-35 female'!AE137</f>
        <v>9.1531249999999993</v>
      </c>
    </row>
    <row r="136" spans="1:4" x14ac:dyDescent="0.3">
      <c r="A136" s="41">
        <v>30801</v>
      </c>
      <c r="B136" s="45" t="s">
        <v>552</v>
      </c>
      <c r="C136" s="10">
        <v>10.312967581047381</v>
      </c>
      <c r="D136" s="10">
        <f>'[1]25-35 female'!AE138</f>
        <v>13.022674418604652</v>
      </c>
    </row>
    <row r="137" spans="1:4" x14ac:dyDescent="0.3">
      <c r="A137" s="41">
        <v>30802</v>
      </c>
      <c r="B137" s="45" t="s">
        <v>597</v>
      </c>
      <c r="C137" s="10">
        <v>7.6387434554973819</v>
      </c>
      <c r="D137" s="10">
        <f>'[1]25-35 female'!AE139</f>
        <v>11.612132352941176</v>
      </c>
    </row>
    <row r="138" spans="1:4" x14ac:dyDescent="0.3">
      <c r="A138" s="41">
        <v>30803</v>
      </c>
      <c r="B138" s="45" t="s">
        <v>434</v>
      </c>
      <c r="C138" s="10">
        <v>8.6870026525198938</v>
      </c>
      <c r="D138" s="10">
        <f>'[1]25-35 female'!AE140</f>
        <v>11.838509316770187</v>
      </c>
    </row>
    <row r="139" spans="1:4" x14ac:dyDescent="0.3">
      <c r="A139" s="41">
        <v>30901</v>
      </c>
      <c r="B139" s="45" t="s">
        <v>548</v>
      </c>
      <c r="C139" s="10">
        <v>10.763509114583334</v>
      </c>
      <c r="D139" s="10">
        <f>'[1]25-35 female'!AE141</f>
        <v>12.969393468118197</v>
      </c>
    </row>
    <row r="140" spans="1:4" x14ac:dyDescent="0.3">
      <c r="A140" s="41">
        <v>30902</v>
      </c>
      <c r="B140" s="45" t="s">
        <v>459</v>
      </c>
      <c r="C140" s="10">
        <v>7.5509768009768008</v>
      </c>
      <c r="D140" s="10">
        <f>'[1]25-35 female'!AE142</f>
        <v>10.990727002967359</v>
      </c>
    </row>
    <row r="141" spans="1:4" x14ac:dyDescent="0.3">
      <c r="A141" s="41">
        <v>30903</v>
      </c>
      <c r="B141" s="45" t="s">
        <v>621</v>
      </c>
      <c r="C141" s="10">
        <v>10.714947368421052</v>
      </c>
      <c r="D141" s="10">
        <f>'[1]25-35 female'!AE143</f>
        <v>13.48549126081792</v>
      </c>
    </row>
    <row r="142" spans="1:4" x14ac:dyDescent="0.3">
      <c r="A142" s="41">
        <v>30904</v>
      </c>
      <c r="B142" s="45" t="s">
        <v>498</v>
      </c>
      <c r="C142" s="10">
        <v>9.3674523007856347</v>
      </c>
      <c r="D142" s="10">
        <f>'[1]25-35 female'!AE144</f>
        <v>12.257443718228032</v>
      </c>
    </row>
    <row r="143" spans="1:4" x14ac:dyDescent="0.3">
      <c r="A143" s="41">
        <v>30905</v>
      </c>
      <c r="B143" s="45" t="s">
        <v>628</v>
      </c>
      <c r="C143" s="10">
        <v>12.017565359477125</v>
      </c>
      <c r="D143" s="10">
        <f>'[1]25-35 female'!AE145</f>
        <v>14.003725551071096</v>
      </c>
    </row>
    <row r="144" spans="1:4" x14ac:dyDescent="0.3">
      <c r="A144" s="41">
        <v>31001</v>
      </c>
      <c r="B144" s="45" t="s">
        <v>591</v>
      </c>
      <c r="C144" s="10">
        <v>10.378722002635046</v>
      </c>
      <c r="D144" s="10">
        <f>'[1]25-35 female'!AE146</f>
        <v>13.048043701559436</v>
      </c>
    </row>
    <row r="145" spans="1:4" x14ac:dyDescent="0.3">
      <c r="A145" s="41">
        <v>31002</v>
      </c>
      <c r="B145" s="45" t="s">
        <v>477</v>
      </c>
      <c r="C145" s="10">
        <v>5.693965517241379</v>
      </c>
      <c r="D145" s="10">
        <f>'[1]25-35 female'!AE147</f>
        <v>9.7904026475455055</v>
      </c>
    </row>
    <row r="146" spans="1:4" x14ac:dyDescent="0.3">
      <c r="A146" s="41">
        <v>31003</v>
      </c>
      <c r="B146" s="45" t="s">
        <v>439</v>
      </c>
      <c r="C146" s="10">
        <v>5.970875610672679</v>
      </c>
      <c r="D146" s="10">
        <f>'[1]25-35 female'!AE148</f>
        <v>9.8983809851877371</v>
      </c>
    </row>
    <row r="147" spans="1:4" x14ac:dyDescent="0.3">
      <c r="A147" s="41">
        <v>31101</v>
      </c>
      <c r="B147" s="45" t="s">
        <v>370</v>
      </c>
      <c r="C147" s="10">
        <v>4.0359999999999996</v>
      </c>
      <c r="D147" s="10">
        <f>'[1]25-35 female'!AE149</f>
        <v>8.1086820737039353</v>
      </c>
    </row>
    <row r="148" spans="1:4" x14ac:dyDescent="0.3">
      <c r="A148" s="41">
        <v>31201</v>
      </c>
      <c r="B148" s="45" t="s">
        <v>378</v>
      </c>
      <c r="C148" s="10">
        <v>4.8816964285714288</v>
      </c>
      <c r="D148" s="10">
        <f>'[1]25-35 female'!AE150</f>
        <v>8.1590909090909083</v>
      </c>
    </row>
    <row r="149" spans="1:4" x14ac:dyDescent="0.3">
      <c r="A149" s="41">
        <v>31202</v>
      </c>
      <c r="B149" s="45" t="s">
        <v>457</v>
      </c>
      <c r="C149" s="10">
        <v>4.9423393739703458</v>
      </c>
      <c r="D149" s="10">
        <f>'[1]25-35 female'!AE151</f>
        <v>8.8862343572241187</v>
      </c>
    </row>
    <row r="150" spans="1:4" x14ac:dyDescent="0.3">
      <c r="A150" s="41">
        <v>31203</v>
      </c>
      <c r="B150" s="45" t="s">
        <v>408</v>
      </c>
      <c r="C150" s="10">
        <v>5.5875796178343951</v>
      </c>
      <c r="D150" s="10">
        <f>'[1]25-35 female'!AE152</f>
        <v>9.6107142857142858</v>
      </c>
    </row>
    <row r="151" spans="1:4" x14ac:dyDescent="0.3">
      <c r="A151" s="41">
        <v>31204</v>
      </c>
      <c r="B151" s="45" t="s">
        <v>465</v>
      </c>
      <c r="C151" s="10">
        <v>7.7344701583434832</v>
      </c>
      <c r="D151" s="10">
        <f>'[1]25-35 female'!AE153</f>
        <v>10.750966744006186</v>
      </c>
    </row>
    <row r="152" spans="1:4" x14ac:dyDescent="0.3">
      <c r="A152" s="41">
        <v>31205</v>
      </c>
      <c r="B152" s="45" t="s">
        <v>452</v>
      </c>
      <c r="C152" s="10">
        <v>6.6811594202898554</v>
      </c>
      <c r="D152" s="10">
        <f>'[1]25-35 female'!AE154</f>
        <v>10.390220820189274</v>
      </c>
    </row>
    <row r="153" spans="1:4" x14ac:dyDescent="0.3">
      <c r="A153" s="41">
        <v>31206</v>
      </c>
      <c r="B153" s="45" t="s">
        <v>453</v>
      </c>
      <c r="C153" s="10">
        <v>6.4800156739811916</v>
      </c>
      <c r="D153" s="10">
        <f>'[1]25-35 female'!AE155</f>
        <v>10.355765109301329</v>
      </c>
    </row>
    <row r="154" spans="1:4" x14ac:dyDescent="0.3">
      <c r="A154" s="41">
        <v>31301</v>
      </c>
      <c r="B154" s="45" t="s">
        <v>534</v>
      </c>
      <c r="C154" s="10">
        <v>6.1401639344262291</v>
      </c>
      <c r="D154" s="10">
        <f>'[1]25-35 female'!AE156</f>
        <v>9.6537949400798944</v>
      </c>
    </row>
    <row r="155" spans="1:4" x14ac:dyDescent="0.3">
      <c r="A155" s="41">
        <v>31302</v>
      </c>
      <c r="B155" s="45" t="s">
        <v>398</v>
      </c>
      <c r="C155" s="10">
        <v>4.6095238095238091</v>
      </c>
      <c r="D155" s="10">
        <f>'[1]25-35 female'!AE157</f>
        <v>8.584905660377359</v>
      </c>
    </row>
    <row r="156" spans="1:4" x14ac:dyDescent="0.3">
      <c r="A156" s="41">
        <v>31303</v>
      </c>
      <c r="B156" s="45" t="s">
        <v>454</v>
      </c>
      <c r="C156" s="10">
        <v>4.1044776119402986</v>
      </c>
      <c r="D156" s="10">
        <f>'[1]25-35 female'!AE158</f>
        <v>8.662551440329219</v>
      </c>
    </row>
    <row r="157" spans="1:4" x14ac:dyDescent="0.3">
      <c r="A157" s="41">
        <v>31304</v>
      </c>
      <c r="B157" s="45" t="s">
        <v>369</v>
      </c>
      <c r="C157" s="10">
        <v>3.1231732776617953</v>
      </c>
      <c r="D157" s="10">
        <f>'[1]25-35 female'!AE159</f>
        <v>5.9979296066252585</v>
      </c>
    </row>
    <row r="158" spans="1:4" x14ac:dyDescent="0.3">
      <c r="A158" s="41">
        <v>31401</v>
      </c>
      <c r="B158" s="45" t="s">
        <v>542</v>
      </c>
      <c r="C158" s="10">
        <v>10.104801477377654</v>
      </c>
      <c r="D158" s="10">
        <f>'[1]25-35 female'!AE160</f>
        <v>12.740976645435245</v>
      </c>
    </row>
    <row r="159" spans="1:4" x14ac:dyDescent="0.3">
      <c r="A159" s="41">
        <v>31402</v>
      </c>
      <c r="B159" s="45" t="s">
        <v>507</v>
      </c>
      <c r="C159" s="10">
        <v>7.6877022653721685</v>
      </c>
      <c r="D159" s="10">
        <f>'[1]25-35 female'!AE161</f>
        <v>11.809395973154363</v>
      </c>
    </row>
    <row r="160" spans="1:4" x14ac:dyDescent="0.3">
      <c r="A160" s="41">
        <v>31403</v>
      </c>
      <c r="B160" s="45" t="s">
        <v>622</v>
      </c>
      <c r="C160" s="10">
        <v>9.3501483679525226</v>
      </c>
      <c r="D160" s="10">
        <f>'[1]25-35 female'!AE162</f>
        <v>12.967332123411978</v>
      </c>
    </row>
    <row r="161" spans="1:4" x14ac:dyDescent="0.3">
      <c r="A161" s="41">
        <v>31404</v>
      </c>
      <c r="B161" s="45" t="s">
        <v>617</v>
      </c>
      <c r="C161" s="10">
        <v>10.896907216494846</v>
      </c>
      <c r="D161" s="10">
        <f>'[1]25-35 female'!AE163</f>
        <v>12.777777777777779</v>
      </c>
    </row>
    <row r="162" spans="1:4" x14ac:dyDescent="0.3">
      <c r="A162" s="41">
        <v>31405</v>
      </c>
      <c r="B162" s="45" t="s">
        <v>471</v>
      </c>
      <c r="C162" s="10">
        <v>9.1666666666666661</v>
      </c>
      <c r="D162" s="10">
        <f>'[1]25-35 female'!AE164</f>
        <v>12.386666666666667</v>
      </c>
    </row>
    <row r="163" spans="1:4" x14ac:dyDescent="0.3">
      <c r="A163" s="41">
        <v>31501</v>
      </c>
      <c r="B163" s="45" t="s">
        <v>377</v>
      </c>
      <c r="C163" s="10">
        <v>4.56989247311828</v>
      </c>
      <c r="D163" s="10">
        <f>'[1]25-35 female'!AE165</f>
        <v>8.4968944099378874</v>
      </c>
    </row>
    <row r="164" spans="1:4" x14ac:dyDescent="0.3">
      <c r="A164" s="41">
        <v>31601</v>
      </c>
      <c r="B164" s="45" t="s">
        <v>447</v>
      </c>
      <c r="C164" s="10">
        <v>5.2362318840579709</v>
      </c>
      <c r="D164" s="10">
        <f>'[1]25-35 female'!AE166</f>
        <v>9.9189614476789938</v>
      </c>
    </row>
    <row r="165" spans="1:4" x14ac:dyDescent="0.3">
      <c r="A165" s="41">
        <v>31602</v>
      </c>
      <c r="B165" s="45" t="s">
        <v>482</v>
      </c>
      <c r="C165" s="10">
        <v>6.6501831501831505</v>
      </c>
      <c r="D165" s="10">
        <f>'[1]25-35 female'!AE167</f>
        <v>10.771844660194175</v>
      </c>
    </row>
    <row r="166" spans="1:4" x14ac:dyDescent="0.3">
      <c r="A166" s="41">
        <v>40101</v>
      </c>
      <c r="B166" s="45" t="s">
        <v>356</v>
      </c>
      <c r="C166" s="10">
        <v>12.056219771716</v>
      </c>
      <c r="D166" s="10">
        <f>'[1]25-35 female'!AE168</f>
        <v>13.643173105278679</v>
      </c>
    </row>
    <row r="167" spans="1:4" x14ac:dyDescent="0.3">
      <c r="A167" s="41">
        <v>40102</v>
      </c>
      <c r="B167" s="45" t="s">
        <v>515</v>
      </c>
      <c r="C167" s="10">
        <v>9.3279164248403941</v>
      </c>
      <c r="D167" s="10">
        <f>'[1]25-35 female'!AE169</f>
        <v>12.486633933442445</v>
      </c>
    </row>
    <row r="168" spans="1:4" x14ac:dyDescent="0.3">
      <c r="A168" s="41">
        <v>40103</v>
      </c>
      <c r="B168" s="45" t="s">
        <v>555</v>
      </c>
      <c r="C168" s="10">
        <v>8.1923076923076916</v>
      </c>
      <c r="D168" s="10">
        <f>'[1]25-35 female'!AE170</f>
        <v>11.847374847374848</v>
      </c>
    </row>
    <row r="169" spans="1:4" x14ac:dyDescent="0.3">
      <c r="A169" s="41">
        <v>40104</v>
      </c>
      <c r="B169" s="45" t="s">
        <v>478</v>
      </c>
      <c r="C169" s="10">
        <v>6.5263736263736263</v>
      </c>
      <c r="D169" s="10">
        <f>'[1]25-35 female'!AE171</f>
        <v>11.053501180173091</v>
      </c>
    </row>
    <row r="170" spans="1:4" x14ac:dyDescent="0.3">
      <c r="A170" s="41">
        <v>40201</v>
      </c>
      <c r="B170" s="45" t="s">
        <v>420</v>
      </c>
      <c r="C170" s="10">
        <v>7.5049976201808661</v>
      </c>
      <c r="D170" s="10">
        <f>'[1]25-35 female'!AE172</f>
        <v>10.982040229885058</v>
      </c>
    </row>
    <row r="171" spans="1:4" x14ac:dyDescent="0.3">
      <c r="A171" s="41">
        <v>40202</v>
      </c>
      <c r="B171" s="45" t="s">
        <v>513</v>
      </c>
      <c r="C171" s="10">
        <v>9.5507246376811601</v>
      </c>
      <c r="D171" s="10">
        <f>'[1]25-35 female'!AE173</f>
        <v>13.012853470437017</v>
      </c>
    </row>
    <row r="172" spans="1:4" x14ac:dyDescent="0.3">
      <c r="A172" s="41">
        <v>40301</v>
      </c>
      <c r="B172" s="45" t="s">
        <v>521</v>
      </c>
      <c r="C172" s="10">
        <v>9.7760141093474431</v>
      </c>
      <c r="D172" s="10">
        <f>'[1]25-35 female'!AE174</f>
        <v>12.638845553822152</v>
      </c>
    </row>
    <row r="173" spans="1:4" x14ac:dyDescent="0.3">
      <c r="A173" s="41">
        <v>40302</v>
      </c>
      <c r="B173" s="45" t="s">
        <v>492</v>
      </c>
      <c r="C173" s="10">
        <v>10.652482269503546</v>
      </c>
      <c r="D173" s="10">
        <f>'[1]25-35 female'!AE175</f>
        <v>12.975728155339805</v>
      </c>
    </row>
    <row r="174" spans="1:4" x14ac:dyDescent="0.3">
      <c r="A174" s="41">
        <v>40401</v>
      </c>
      <c r="B174" s="45" t="s">
        <v>483</v>
      </c>
      <c r="C174" s="10">
        <v>8.5589225589225588</v>
      </c>
      <c r="D174" s="10">
        <f>'[1]25-35 female'!AE176</f>
        <v>12.557522123893806</v>
      </c>
    </row>
    <row r="175" spans="1:4" x14ac:dyDescent="0.3">
      <c r="A175" s="41">
        <v>40402</v>
      </c>
      <c r="B175" s="45" t="s">
        <v>572</v>
      </c>
      <c r="C175" s="10">
        <v>9.5549597855227884</v>
      </c>
      <c r="D175" s="10">
        <f>'[1]25-35 female'!AE177</f>
        <v>12.804054054054054</v>
      </c>
    </row>
    <row r="176" spans="1:4" x14ac:dyDescent="0.3">
      <c r="A176" s="41">
        <v>40501</v>
      </c>
      <c r="B176" s="45" t="s">
        <v>573</v>
      </c>
      <c r="C176" s="10">
        <v>12.929577464788732</v>
      </c>
      <c r="D176" s="10">
        <f>'[1]25-35 female'!AE178</f>
        <v>12.988919667590027</v>
      </c>
    </row>
    <row r="177" spans="1:4" x14ac:dyDescent="0.3">
      <c r="A177" s="41">
        <v>40502</v>
      </c>
      <c r="B177" s="45" t="s">
        <v>571</v>
      </c>
      <c r="C177" s="10">
        <v>11.266355140186915</v>
      </c>
      <c r="D177" s="10">
        <f>'[1]25-35 female'!AE179</f>
        <v>13.168831168831169</v>
      </c>
    </row>
    <row r="178" spans="1:4" x14ac:dyDescent="0.3">
      <c r="A178" s="41">
        <v>40503</v>
      </c>
      <c r="B178" s="45" t="s">
        <v>678</v>
      </c>
      <c r="C178" s="10">
        <v>10.673469387755102</v>
      </c>
      <c r="D178" s="10">
        <f>'[1]25-35 female'!AE180</f>
        <v>13.23841059602649</v>
      </c>
    </row>
    <row r="179" spans="1:4" x14ac:dyDescent="0.3">
      <c r="A179" s="41">
        <v>40504</v>
      </c>
      <c r="B179" s="45" t="s">
        <v>603</v>
      </c>
      <c r="C179" s="10">
        <v>8.8474576271186436</v>
      </c>
      <c r="D179" s="10">
        <f>'[1]25-35 female'!AE181</f>
        <v>11.529411764705882</v>
      </c>
    </row>
    <row r="180" spans="1:4" x14ac:dyDescent="0.3">
      <c r="A180" s="41">
        <v>40505</v>
      </c>
      <c r="B180" s="45" t="s">
        <v>631</v>
      </c>
      <c r="C180" s="10">
        <v>10.616279069767442</v>
      </c>
      <c r="D180" s="10">
        <f>'[1]25-35 female'!AE182</f>
        <v>11.678983833718245</v>
      </c>
    </row>
    <row r="181" spans="1:4" x14ac:dyDescent="0.3">
      <c r="A181" s="41">
        <v>40601</v>
      </c>
      <c r="B181" s="45" t="s">
        <v>650</v>
      </c>
      <c r="C181" s="10">
        <v>9.9860139860139867</v>
      </c>
      <c r="D181" s="10">
        <f>'[1]25-35 female'!AE183</f>
        <v>12.96875</v>
      </c>
    </row>
    <row r="182" spans="1:4" x14ac:dyDescent="0.3">
      <c r="A182" s="41">
        <v>40602</v>
      </c>
      <c r="B182" s="45" t="s">
        <v>470</v>
      </c>
      <c r="C182" s="10">
        <v>10.373303167420815</v>
      </c>
      <c r="D182" s="10">
        <f>'[1]25-35 female'!AE184</f>
        <v>12.169014084507042</v>
      </c>
    </row>
    <row r="183" spans="1:4" x14ac:dyDescent="0.3">
      <c r="A183" s="41">
        <v>40603</v>
      </c>
      <c r="B183" s="45" t="s">
        <v>494</v>
      </c>
      <c r="C183" s="10">
        <v>10.762096774193548</v>
      </c>
      <c r="D183" s="10">
        <f>'[1]25-35 female'!AE185</f>
        <v>12.981549815498155</v>
      </c>
    </row>
    <row r="184" spans="1:4" x14ac:dyDescent="0.3">
      <c r="A184" s="41">
        <v>40701</v>
      </c>
      <c r="B184" s="45" t="s">
        <v>600</v>
      </c>
      <c r="C184" s="10">
        <v>10.351807228915662</v>
      </c>
      <c r="D184" s="10">
        <f>'[1]25-35 female'!AE186</f>
        <v>12.896486825595986</v>
      </c>
    </row>
    <row r="185" spans="1:4" x14ac:dyDescent="0.3">
      <c r="A185" s="41">
        <v>40702</v>
      </c>
      <c r="B185" s="45" t="s">
        <v>607</v>
      </c>
      <c r="C185" s="10">
        <v>11.011142061281337</v>
      </c>
      <c r="D185" s="10">
        <f>'[1]25-35 female'!AE187</f>
        <v>13.023706896551724</v>
      </c>
    </row>
    <row r="186" spans="1:4" x14ac:dyDescent="0.3">
      <c r="A186" s="41">
        <v>40801</v>
      </c>
      <c r="B186" s="45" t="s">
        <v>488</v>
      </c>
      <c r="C186" s="10">
        <v>9.6237864077669908</v>
      </c>
      <c r="D186" s="10">
        <f>'[1]25-35 female'!AE188</f>
        <v>12.296995708154506</v>
      </c>
    </row>
    <row r="187" spans="1:4" x14ac:dyDescent="0.3">
      <c r="A187" s="41">
        <v>40802</v>
      </c>
      <c r="B187" s="45" t="s">
        <v>429</v>
      </c>
      <c r="C187" s="10">
        <v>8.2736318407960194</v>
      </c>
      <c r="D187" s="10">
        <f>'[1]25-35 female'!AE189</f>
        <v>12.009478672985782</v>
      </c>
    </row>
    <row r="188" spans="1:4" x14ac:dyDescent="0.3">
      <c r="A188" s="41">
        <v>40901</v>
      </c>
      <c r="B188" s="45" t="s">
        <v>596</v>
      </c>
      <c r="C188" s="10">
        <v>10.511921458625526</v>
      </c>
      <c r="D188" s="10">
        <f>'[1]25-35 female'!AE190</f>
        <v>12.47843137254902</v>
      </c>
    </row>
    <row r="189" spans="1:4" x14ac:dyDescent="0.3">
      <c r="A189" s="41">
        <v>40902</v>
      </c>
      <c r="B189" s="45" t="s">
        <v>506</v>
      </c>
      <c r="C189" s="10">
        <v>10.971014492753623</v>
      </c>
      <c r="D189" s="10">
        <f>'[1]25-35 female'!AE191</f>
        <v>12.446043165467627</v>
      </c>
    </row>
    <row r="190" spans="1:4" x14ac:dyDescent="0.3">
      <c r="A190" s="41">
        <v>40903</v>
      </c>
      <c r="B190" s="45" t="s">
        <v>415</v>
      </c>
      <c r="C190" s="10">
        <v>7.2465753424657535</v>
      </c>
      <c r="D190" s="10">
        <f>'[1]25-35 female'!AE192</f>
        <v>10.502145922746781</v>
      </c>
    </row>
    <row r="191" spans="1:4" x14ac:dyDescent="0.3">
      <c r="A191" s="41">
        <v>41001</v>
      </c>
      <c r="B191" s="45" t="s">
        <v>486</v>
      </c>
      <c r="C191" s="10">
        <v>9.19489247311828</v>
      </c>
      <c r="D191" s="10">
        <f>'[1]25-35 female'!AE193</f>
        <v>11.892935982339957</v>
      </c>
    </row>
    <row r="192" spans="1:4" x14ac:dyDescent="0.3">
      <c r="A192" s="41">
        <v>41101</v>
      </c>
      <c r="B192" s="45" t="s">
        <v>405</v>
      </c>
      <c r="C192" s="10">
        <v>9.4878048780487809</v>
      </c>
      <c r="D192" s="10">
        <f>'[1]25-35 female'!AE194</f>
        <v>11.523456790123456</v>
      </c>
    </row>
    <row r="193" spans="1:4" x14ac:dyDescent="0.3">
      <c r="A193" s="41">
        <v>41201</v>
      </c>
      <c r="B193" s="45" t="s">
        <v>560</v>
      </c>
      <c r="C193" s="10">
        <v>10.115869017632242</v>
      </c>
      <c r="D193" s="10">
        <f>'[1]25-35 female'!AE195</f>
        <v>13.118721461187215</v>
      </c>
    </row>
    <row r="194" spans="1:4" x14ac:dyDescent="0.3">
      <c r="A194" s="41">
        <v>41202</v>
      </c>
      <c r="B194" s="45" t="s">
        <v>504</v>
      </c>
      <c r="C194" s="10">
        <v>9.7539682539682548</v>
      </c>
      <c r="D194" s="10">
        <f>'[1]25-35 female'!AE196</f>
        <v>13.114754098360656</v>
      </c>
    </row>
    <row r="195" spans="1:4" x14ac:dyDescent="0.3">
      <c r="A195" s="41">
        <v>41301</v>
      </c>
      <c r="B195" s="45" t="s">
        <v>378</v>
      </c>
      <c r="C195" s="10">
        <v>9.6676923076923078</v>
      </c>
      <c r="D195" s="10">
        <f>'[1]25-35 female'!AE197</f>
        <v>12.6983842010772</v>
      </c>
    </row>
    <row r="196" spans="1:4" x14ac:dyDescent="0.3">
      <c r="A196" s="41">
        <v>41401</v>
      </c>
      <c r="B196" s="45" t="s">
        <v>575</v>
      </c>
      <c r="C196" s="10">
        <v>9.8859198355601237</v>
      </c>
      <c r="D196" s="10">
        <f>'[1]25-35 female'!AE198</f>
        <v>12.352441613588111</v>
      </c>
    </row>
    <row r="197" spans="1:4" x14ac:dyDescent="0.3">
      <c r="A197" s="41">
        <v>41501</v>
      </c>
      <c r="B197" s="45" t="s">
        <v>530</v>
      </c>
      <c r="C197" s="10">
        <v>10.452830188679245</v>
      </c>
      <c r="D197" s="10">
        <f>'[1]25-35 female'!AE199</f>
        <v>11.774774774774775</v>
      </c>
    </row>
    <row r="198" spans="1:4" x14ac:dyDescent="0.3">
      <c r="A198" s="41">
        <v>41502</v>
      </c>
      <c r="B198" s="45" t="s">
        <v>610</v>
      </c>
      <c r="C198" s="10">
        <v>10.652173913043478</v>
      </c>
      <c r="D198" s="10">
        <f>'[1]25-35 female'!AE200</f>
        <v>12.63963963963964</v>
      </c>
    </row>
    <row r="199" spans="1:4" x14ac:dyDescent="0.3">
      <c r="A199" s="41">
        <v>41503</v>
      </c>
      <c r="B199" s="45" t="s">
        <v>533</v>
      </c>
      <c r="C199" s="10">
        <v>10.038961038961039</v>
      </c>
      <c r="D199" s="10">
        <f>'[1]25-35 female'!AE201</f>
        <v>12.196428571428571</v>
      </c>
    </row>
    <row r="200" spans="1:4" x14ac:dyDescent="0.3">
      <c r="A200" s="41">
        <v>41601</v>
      </c>
      <c r="B200" s="45" t="s">
        <v>502</v>
      </c>
      <c r="C200" s="10">
        <v>9.9774919614147901</v>
      </c>
      <c r="D200" s="10">
        <f>'[1]25-35 female'!AE202</f>
        <v>12.707042253521127</v>
      </c>
    </row>
    <row r="201" spans="1:4" x14ac:dyDescent="0.3">
      <c r="A201" s="41">
        <v>50101</v>
      </c>
      <c r="B201" s="45" t="s">
        <v>519</v>
      </c>
      <c r="C201" s="10">
        <v>11.307938648238665</v>
      </c>
      <c r="D201" s="10">
        <f>'[1]25-35 female'!AE203</f>
        <v>12.992870441850961</v>
      </c>
    </row>
    <row r="202" spans="1:4" x14ac:dyDescent="0.3">
      <c r="A202" s="41">
        <v>50102</v>
      </c>
      <c r="B202" s="45" t="s">
        <v>387</v>
      </c>
      <c r="C202" s="10">
        <v>3.7220744680851063</v>
      </c>
      <c r="D202" s="10">
        <f>'[1]25-35 female'!AE204</f>
        <v>7.3986970684039086</v>
      </c>
    </row>
    <row r="203" spans="1:4" x14ac:dyDescent="0.3">
      <c r="A203" s="41">
        <v>50103</v>
      </c>
      <c r="B203" s="45" t="s">
        <v>547</v>
      </c>
      <c r="C203" s="10">
        <v>8.7559633027522938</v>
      </c>
      <c r="D203" s="10">
        <f>'[1]25-35 female'!AE205</f>
        <v>12.220994475138122</v>
      </c>
    </row>
    <row r="204" spans="1:4" x14ac:dyDescent="0.3">
      <c r="A204" s="41">
        <v>50104</v>
      </c>
      <c r="B204" s="45" t="s">
        <v>416</v>
      </c>
      <c r="C204" s="10">
        <v>7.4171428571428573</v>
      </c>
      <c r="D204" s="10">
        <f>'[1]25-35 female'!AE206</f>
        <v>10.837209302325581</v>
      </c>
    </row>
    <row r="205" spans="1:4" x14ac:dyDescent="0.3">
      <c r="A205" s="41">
        <v>50201</v>
      </c>
      <c r="B205" s="45" t="s">
        <v>421</v>
      </c>
      <c r="C205" s="10">
        <v>8.1810228802153429</v>
      </c>
      <c r="D205" s="10">
        <f>'[1]25-35 female'!AE207</f>
        <v>11.599682707562136</v>
      </c>
    </row>
    <row r="206" spans="1:4" x14ac:dyDescent="0.3">
      <c r="A206" s="41">
        <v>50202</v>
      </c>
      <c r="B206" s="45" t="s">
        <v>467</v>
      </c>
      <c r="C206" s="10">
        <v>6.8754134509371552</v>
      </c>
      <c r="D206" s="10">
        <f>'[1]25-35 female'!AE208</f>
        <v>11.025169409486931</v>
      </c>
    </row>
    <row r="207" spans="1:4" x14ac:dyDescent="0.3">
      <c r="A207" s="41">
        <v>50203</v>
      </c>
      <c r="B207" s="45" t="s">
        <v>516</v>
      </c>
      <c r="C207" s="10">
        <v>10.685563816604709</v>
      </c>
      <c r="D207" s="10">
        <f>'[1]25-35 female'!AE209</f>
        <v>12.933990687482881</v>
      </c>
    </row>
    <row r="208" spans="1:4" x14ac:dyDescent="0.3">
      <c r="A208" s="41">
        <v>50204</v>
      </c>
      <c r="B208" s="45" t="s">
        <v>442</v>
      </c>
      <c r="C208" s="10">
        <v>5.4282982791586996</v>
      </c>
      <c r="D208" s="10">
        <f>'[1]25-35 female'!AE210</f>
        <v>9.6654740608228984</v>
      </c>
    </row>
    <row r="209" spans="1:4" x14ac:dyDescent="0.3">
      <c r="A209" s="41">
        <v>50301</v>
      </c>
      <c r="B209" s="45" t="s">
        <v>411</v>
      </c>
      <c r="C209" s="10">
        <v>5.7886597938144329</v>
      </c>
      <c r="D209" s="10">
        <f>'[1]25-35 female'!AE211</f>
        <v>10.119444444444444</v>
      </c>
    </row>
    <row r="210" spans="1:4" x14ac:dyDescent="0.3">
      <c r="A210" s="41">
        <v>50302</v>
      </c>
      <c r="B210" s="45" t="s">
        <v>427</v>
      </c>
      <c r="C210" s="10">
        <v>6.6567460317460316</v>
      </c>
      <c r="D210" s="10">
        <f>'[1]25-35 female'!AE212</f>
        <v>10.354679802955665</v>
      </c>
    </row>
    <row r="211" spans="1:4" x14ac:dyDescent="0.3">
      <c r="A211" s="41">
        <v>50303</v>
      </c>
      <c r="B211" s="45" t="s">
        <v>409</v>
      </c>
      <c r="C211" s="10">
        <v>4.34375</v>
      </c>
      <c r="D211" s="10">
        <f>'[1]25-35 female'!AE213</f>
        <v>8.3637454981992789</v>
      </c>
    </row>
    <row r="212" spans="1:4" x14ac:dyDescent="0.3">
      <c r="A212" s="41">
        <v>50401</v>
      </c>
      <c r="B212" s="45" t="s">
        <v>441</v>
      </c>
      <c r="C212" s="10">
        <v>5.4377777777777778</v>
      </c>
      <c r="D212" s="10">
        <f>'[1]25-35 female'!AE214</f>
        <v>8.7862356621480711</v>
      </c>
    </row>
    <row r="213" spans="1:4" x14ac:dyDescent="0.3">
      <c r="A213" s="41">
        <v>50402</v>
      </c>
      <c r="B213" s="45" t="s">
        <v>461</v>
      </c>
      <c r="C213" s="10">
        <v>4.2058823529411766</v>
      </c>
      <c r="D213" s="10">
        <f>'[1]25-35 female'!AE215</f>
        <v>8.8282950423216437</v>
      </c>
    </row>
    <row r="214" spans="1:4" x14ac:dyDescent="0.3">
      <c r="A214" s="41">
        <v>50403</v>
      </c>
      <c r="B214" s="45" t="s">
        <v>390</v>
      </c>
      <c r="C214" s="10">
        <v>5.7816804407713498</v>
      </c>
      <c r="D214" s="10">
        <f>'[1]25-35 female'!AE216</f>
        <v>9.480550284629981</v>
      </c>
    </row>
    <row r="215" spans="1:4" x14ac:dyDescent="0.3">
      <c r="A215" s="41">
        <v>50404</v>
      </c>
      <c r="B215" s="45" t="s">
        <v>388</v>
      </c>
      <c r="C215" s="10">
        <v>3.6812705366922236</v>
      </c>
      <c r="D215" s="10">
        <f>'[1]25-35 female'!AE217</f>
        <v>7.6313559322033901</v>
      </c>
    </row>
    <row r="216" spans="1:4" x14ac:dyDescent="0.3">
      <c r="A216" s="41">
        <v>50405</v>
      </c>
      <c r="B216" s="45" t="s">
        <v>367</v>
      </c>
      <c r="C216" s="10">
        <v>3.5499524262607043</v>
      </c>
      <c r="D216" s="10">
        <f>'[1]25-35 female'!AE218</f>
        <v>7.251203852327448</v>
      </c>
    </row>
    <row r="217" spans="1:4" x14ac:dyDescent="0.3">
      <c r="A217" s="41">
        <v>50501</v>
      </c>
      <c r="B217" s="45" t="s">
        <v>368</v>
      </c>
      <c r="C217" s="10">
        <v>4.9053287981859413</v>
      </c>
      <c r="D217" s="10">
        <f>'[1]25-35 female'!AE219</f>
        <v>7.585579514824798</v>
      </c>
    </row>
    <row r="218" spans="1:4" x14ac:dyDescent="0.3">
      <c r="A218" s="41">
        <v>50502</v>
      </c>
      <c r="B218" s="45" t="s">
        <v>385</v>
      </c>
      <c r="C218" s="10">
        <v>5.7458471760797343</v>
      </c>
      <c r="D218" s="10">
        <f>'[1]25-35 female'!AE220</f>
        <v>9.1544461778471131</v>
      </c>
    </row>
    <row r="219" spans="1:4" x14ac:dyDescent="0.3">
      <c r="A219" s="41">
        <v>50601</v>
      </c>
      <c r="B219" s="45" t="s">
        <v>538</v>
      </c>
      <c r="C219" s="10">
        <v>8.2560202788339669</v>
      </c>
      <c r="D219" s="10">
        <f>'[1]25-35 female'!AE221</f>
        <v>11.487906588824019</v>
      </c>
    </row>
    <row r="220" spans="1:4" x14ac:dyDescent="0.3">
      <c r="A220" s="41">
        <v>50602</v>
      </c>
      <c r="B220" s="45" t="s">
        <v>418</v>
      </c>
      <c r="C220" s="10">
        <v>7.5793650793650791</v>
      </c>
      <c r="D220" s="10">
        <f>'[1]25-35 female'!AE222</f>
        <v>11.192805755395684</v>
      </c>
    </row>
    <row r="221" spans="1:4" x14ac:dyDescent="0.3">
      <c r="A221" s="41">
        <v>50701</v>
      </c>
      <c r="B221" s="45" t="s">
        <v>371</v>
      </c>
      <c r="C221" s="10">
        <v>5.1186721991701241</v>
      </c>
      <c r="D221" s="10">
        <f>'[1]25-35 female'!AE223</f>
        <v>8.0021344717182501</v>
      </c>
    </row>
    <row r="222" spans="1:4" x14ac:dyDescent="0.3">
      <c r="A222" s="41">
        <v>50702</v>
      </c>
      <c r="B222" s="45" t="s">
        <v>384</v>
      </c>
      <c r="C222" s="10">
        <v>5.7400419287211744</v>
      </c>
      <c r="D222" s="10">
        <f>'[1]25-35 female'!AE224</f>
        <v>9.3666666666666671</v>
      </c>
    </row>
    <row r="223" spans="1:4" x14ac:dyDescent="0.3">
      <c r="A223" s="41">
        <v>50801</v>
      </c>
      <c r="B223" s="45" t="s">
        <v>612</v>
      </c>
      <c r="C223" s="10">
        <v>10.033759124087592</v>
      </c>
      <c r="D223" s="10">
        <f>'[1]25-35 female'!AE225</f>
        <v>12.555722891566266</v>
      </c>
    </row>
    <row r="224" spans="1:4" x14ac:dyDescent="0.3">
      <c r="A224" s="41">
        <v>50802</v>
      </c>
      <c r="B224" s="45" t="s">
        <v>680</v>
      </c>
      <c r="C224" s="10">
        <v>10.333333333333334</v>
      </c>
      <c r="D224" s="10">
        <f>'[1]25-35 female'!AE226</f>
        <v>12.646500593119811</v>
      </c>
    </row>
    <row r="225" spans="1:4" x14ac:dyDescent="0.3">
      <c r="A225" s="41">
        <v>50901</v>
      </c>
      <c r="B225" s="45" t="s">
        <v>539</v>
      </c>
      <c r="C225" s="10">
        <v>10.387995712754556</v>
      </c>
      <c r="D225" s="10">
        <f>'[1]25-35 female'!AE227</f>
        <v>12.868896925858952</v>
      </c>
    </row>
    <row r="226" spans="1:4" x14ac:dyDescent="0.3">
      <c r="A226" s="41">
        <v>50902</v>
      </c>
      <c r="B226" s="45" t="s">
        <v>545</v>
      </c>
      <c r="C226" s="10">
        <v>11.717948717948717</v>
      </c>
      <c r="D226" s="10">
        <f>'[1]25-35 female'!AE228</f>
        <v>13.131578947368421</v>
      </c>
    </row>
    <row r="227" spans="1:4" x14ac:dyDescent="0.3">
      <c r="A227" s="41">
        <v>51001</v>
      </c>
      <c r="B227" s="45" t="s">
        <v>565</v>
      </c>
      <c r="C227" s="10">
        <v>8.4805194805194812</v>
      </c>
      <c r="D227" s="10">
        <f>'[1]25-35 female'!AE229</f>
        <v>11.518248175182482</v>
      </c>
    </row>
    <row r="228" spans="1:4" x14ac:dyDescent="0.3">
      <c r="A228" s="41">
        <v>51002</v>
      </c>
      <c r="B228" s="45" t="s">
        <v>522</v>
      </c>
      <c r="C228" s="10">
        <v>8.0594059405940595</v>
      </c>
      <c r="D228" s="10">
        <f>'[1]25-35 female'!AE230</f>
        <v>11.24</v>
      </c>
    </row>
    <row r="229" spans="1:4" x14ac:dyDescent="0.3">
      <c r="A229" s="41">
        <v>51003</v>
      </c>
      <c r="B229" s="45" t="s">
        <v>618</v>
      </c>
      <c r="C229" s="10">
        <v>7.7936507936507935</v>
      </c>
      <c r="D229" s="10">
        <f>'[1]25-35 female'!AE231</f>
        <v>9.9704142011834325</v>
      </c>
    </row>
    <row r="230" spans="1:4" x14ac:dyDescent="0.3">
      <c r="A230" s="41">
        <v>51101</v>
      </c>
      <c r="B230" s="45" t="s">
        <v>422</v>
      </c>
      <c r="C230" s="10">
        <v>7.6020015396458813</v>
      </c>
      <c r="D230" s="10">
        <f>'[1]25-35 female'!AE232</f>
        <v>11.289108910891089</v>
      </c>
    </row>
    <row r="231" spans="1:4" x14ac:dyDescent="0.3">
      <c r="A231" s="41">
        <v>51102</v>
      </c>
      <c r="B231" s="45" t="s">
        <v>469</v>
      </c>
      <c r="C231" s="10">
        <v>8.10024154589372</v>
      </c>
      <c r="D231" s="10">
        <f>'[1]25-35 female'!AE233</f>
        <v>11.667641325536062</v>
      </c>
    </row>
    <row r="232" spans="1:4" x14ac:dyDescent="0.3">
      <c r="A232" s="41">
        <v>51103</v>
      </c>
      <c r="B232" s="45" t="s">
        <v>380</v>
      </c>
      <c r="C232" s="10">
        <v>4.9191343963553527</v>
      </c>
      <c r="D232" s="10">
        <f>'[1]25-35 female'!AE234</f>
        <v>8.4932844932844933</v>
      </c>
    </row>
    <row r="233" spans="1:4" x14ac:dyDescent="0.3">
      <c r="A233" s="41">
        <v>51201</v>
      </c>
      <c r="B233" s="45" t="s">
        <v>544</v>
      </c>
      <c r="C233" s="10">
        <v>10.860675039246468</v>
      </c>
      <c r="D233" s="10">
        <f>'[1]25-35 female'!AE235</f>
        <v>12.928378783338328</v>
      </c>
    </row>
    <row r="234" spans="1:4" x14ac:dyDescent="0.3">
      <c r="A234" s="41">
        <v>51202</v>
      </c>
      <c r="B234" s="45" t="s">
        <v>489</v>
      </c>
      <c r="C234" s="10">
        <v>8.6528776978417259</v>
      </c>
      <c r="D234" s="10">
        <f>'[1]25-35 female'!AE236</f>
        <v>12.037623762376237</v>
      </c>
    </row>
    <row r="235" spans="1:4" x14ac:dyDescent="0.3">
      <c r="A235" s="41">
        <v>51203</v>
      </c>
      <c r="B235" s="45" t="s">
        <v>637</v>
      </c>
      <c r="C235" s="10">
        <v>8.7518878101402375</v>
      </c>
      <c r="D235" s="10">
        <f>'[1]25-35 female'!AE237</f>
        <v>11.533333333333333</v>
      </c>
    </row>
    <row r="236" spans="1:4" x14ac:dyDescent="0.3">
      <c r="A236" s="41">
        <v>51204</v>
      </c>
      <c r="B236" s="45" t="s">
        <v>505</v>
      </c>
      <c r="C236" s="10">
        <v>7.67741935483871</v>
      </c>
      <c r="D236" s="10">
        <f>'[1]25-35 female'!AE238</f>
        <v>11.641646489104117</v>
      </c>
    </row>
    <row r="237" spans="1:4" x14ac:dyDescent="0.3">
      <c r="A237" s="41">
        <v>51301</v>
      </c>
      <c r="B237" s="45" t="s">
        <v>373</v>
      </c>
      <c r="C237" s="10">
        <v>6.2362869198312234</v>
      </c>
      <c r="D237" s="10">
        <f>'[1]25-35 female'!AE239</f>
        <v>7.8465608465608465</v>
      </c>
    </row>
    <row r="238" spans="1:4" x14ac:dyDescent="0.3">
      <c r="A238" s="41">
        <v>51302</v>
      </c>
      <c r="B238" s="45" t="s">
        <v>413</v>
      </c>
      <c r="C238" s="10">
        <v>6.7491961414791</v>
      </c>
      <c r="D238" s="10">
        <f>'[1]25-35 female'!AE240</f>
        <v>9.5374999999999996</v>
      </c>
    </row>
    <row r="239" spans="1:4" x14ac:dyDescent="0.3">
      <c r="A239" s="41">
        <v>51401</v>
      </c>
      <c r="B239" s="45" t="s">
        <v>517</v>
      </c>
      <c r="C239" s="10">
        <v>11.185964912280701</v>
      </c>
      <c r="D239" s="10">
        <f>'[1]25-35 female'!AE241</f>
        <v>13.045751633986928</v>
      </c>
    </row>
    <row r="240" spans="1:4" x14ac:dyDescent="0.3">
      <c r="A240" s="41">
        <v>51402</v>
      </c>
      <c r="B240" s="45" t="s">
        <v>520</v>
      </c>
      <c r="C240" s="10">
        <v>10.924528301886792</v>
      </c>
      <c r="D240" s="10">
        <f>'[1]25-35 female'!AE242</f>
        <v>13.094017094017094</v>
      </c>
    </row>
    <row r="241" spans="1:4" x14ac:dyDescent="0.3">
      <c r="A241" s="41">
        <v>51501</v>
      </c>
      <c r="B241" s="45" t="s">
        <v>559</v>
      </c>
      <c r="C241" s="10">
        <v>9.2564935064935057</v>
      </c>
      <c r="D241" s="10">
        <f>'[1]25-35 female'!AE243</f>
        <v>12.188390159689254</v>
      </c>
    </row>
    <row r="242" spans="1:4" x14ac:dyDescent="0.3">
      <c r="A242" s="41">
        <v>51601</v>
      </c>
      <c r="B242" s="45" t="s">
        <v>410</v>
      </c>
      <c r="C242" s="10">
        <v>8.9112903225806459</v>
      </c>
      <c r="D242" s="10">
        <f>'[1]25-35 female'!AE244</f>
        <v>11.923076923076923</v>
      </c>
    </row>
    <row r="243" spans="1:4" x14ac:dyDescent="0.3">
      <c r="A243" s="41">
        <v>60101</v>
      </c>
      <c r="B243" s="45" t="s">
        <v>358</v>
      </c>
      <c r="C243" s="10">
        <v>11.570728970055603</v>
      </c>
      <c r="D243" s="10">
        <f>'[1]25-35 female'!AE245</f>
        <v>13.555964622741314</v>
      </c>
    </row>
    <row r="244" spans="1:4" x14ac:dyDescent="0.3">
      <c r="A244" s="41">
        <v>60201</v>
      </c>
      <c r="B244" s="45" t="s">
        <v>667</v>
      </c>
      <c r="C244" s="10">
        <v>6.9589552238805972</v>
      </c>
      <c r="D244" s="10">
        <f>'[1]25-35 female'!AE246</f>
        <v>10.534031413612565</v>
      </c>
    </row>
    <row r="245" spans="1:4" x14ac:dyDescent="0.3">
      <c r="A245" s="41">
        <v>60202</v>
      </c>
      <c r="B245" s="45" t="s">
        <v>665</v>
      </c>
      <c r="C245" s="10">
        <v>9.8899112717712789</v>
      </c>
      <c r="D245" s="10">
        <f>'[1]25-35 female'!AE247</f>
        <v>12.308067757680162</v>
      </c>
    </row>
    <row r="246" spans="1:4" x14ac:dyDescent="0.3">
      <c r="A246" s="41">
        <v>60301</v>
      </c>
      <c r="B246" s="45" t="s">
        <v>653</v>
      </c>
      <c r="C246" s="10">
        <v>9.506664957703153</v>
      </c>
      <c r="D246" s="10">
        <f>'[1]25-35 female'!AE248</f>
        <v>12.284863851835519</v>
      </c>
    </row>
    <row r="247" spans="1:4" x14ac:dyDescent="0.3">
      <c r="A247" s="41">
        <v>60302</v>
      </c>
      <c r="B247" s="45" t="s">
        <v>683</v>
      </c>
      <c r="C247" s="10">
        <v>9.7299829642248721</v>
      </c>
      <c r="D247" s="10">
        <f>'[1]25-35 female'!AE249</f>
        <v>12.260775862068966</v>
      </c>
    </row>
    <row r="248" spans="1:4" x14ac:dyDescent="0.3">
      <c r="A248" s="41">
        <v>60303</v>
      </c>
      <c r="B248" s="45" t="s">
        <v>652</v>
      </c>
      <c r="C248" s="10">
        <v>9.9286749782545662</v>
      </c>
      <c r="D248" s="10">
        <f>'[1]25-35 female'!AE250</f>
        <v>12.102419544280009</v>
      </c>
    </row>
    <row r="249" spans="1:4" x14ac:dyDescent="0.3">
      <c r="A249" s="41">
        <v>60401</v>
      </c>
      <c r="B249" s="45" t="s">
        <v>691</v>
      </c>
      <c r="C249" s="10">
        <v>7.4841592201462221</v>
      </c>
      <c r="D249" s="10">
        <f>'[1]25-35 female'!AE251</f>
        <v>10.975626269465131</v>
      </c>
    </row>
    <row r="250" spans="1:4" x14ac:dyDescent="0.3">
      <c r="A250" s="41">
        <v>60402</v>
      </c>
      <c r="B250" s="45" t="s">
        <v>532</v>
      </c>
      <c r="C250" s="10">
        <v>6.3612565445026181</v>
      </c>
      <c r="D250" s="10">
        <f>'[1]25-35 female'!AE252</f>
        <v>9.6198347107438025</v>
      </c>
    </row>
    <row r="251" spans="1:4" x14ac:dyDescent="0.3">
      <c r="A251" s="41">
        <v>60501</v>
      </c>
      <c r="B251" s="45" t="s">
        <v>623</v>
      </c>
      <c r="C251" s="10">
        <v>8.6431095406360416</v>
      </c>
      <c r="D251" s="10">
        <f>'[1]25-35 female'!AE253</f>
        <v>11.519548872180451</v>
      </c>
    </row>
    <row r="252" spans="1:4" x14ac:dyDescent="0.3">
      <c r="A252" s="41">
        <v>60502</v>
      </c>
      <c r="B252" s="45" t="s">
        <v>630</v>
      </c>
      <c r="C252" s="10">
        <v>6.6215568862275447</v>
      </c>
      <c r="D252" s="10">
        <f>'[1]25-35 female'!AE254</f>
        <v>10.08904109589041</v>
      </c>
    </row>
    <row r="253" spans="1:4" x14ac:dyDescent="0.3">
      <c r="A253" s="41">
        <v>60601</v>
      </c>
      <c r="B253" s="45" t="s">
        <v>453</v>
      </c>
      <c r="C253" s="10">
        <v>8.124035989717223</v>
      </c>
      <c r="D253" s="10">
        <f>'[1]25-35 female'!AE255</f>
        <v>10.920492721164614</v>
      </c>
    </row>
    <row r="254" spans="1:4" x14ac:dyDescent="0.3">
      <c r="A254" s="41">
        <v>70101</v>
      </c>
      <c r="B254" s="45" t="s">
        <v>645</v>
      </c>
      <c r="C254" s="10">
        <v>11.470118392650789</v>
      </c>
      <c r="D254" s="10">
        <f>'[1]25-35 female'!AE256</f>
        <v>13.455791143804991</v>
      </c>
    </row>
    <row r="255" spans="1:4" x14ac:dyDescent="0.3">
      <c r="A255" s="41">
        <v>70102</v>
      </c>
      <c r="B255" s="45" t="s">
        <v>651</v>
      </c>
      <c r="C255" s="10">
        <v>8.7404580152671763</v>
      </c>
      <c r="D255" s="10">
        <f>'[1]25-35 female'!AE257</f>
        <v>11.856281118345462</v>
      </c>
    </row>
    <row r="256" spans="1:4" x14ac:dyDescent="0.3">
      <c r="A256" s="41">
        <v>70103</v>
      </c>
      <c r="B256" s="45" t="s">
        <v>675</v>
      </c>
      <c r="C256" s="10">
        <v>10.223894637817498</v>
      </c>
      <c r="D256" s="10">
        <f>'[1]25-35 female'!AE258</f>
        <v>13.209929843497031</v>
      </c>
    </row>
    <row r="257" spans="1:4" x14ac:dyDescent="0.3">
      <c r="A257" s="41">
        <v>70104</v>
      </c>
      <c r="B257" s="45" t="s">
        <v>626</v>
      </c>
      <c r="C257" s="10">
        <v>9.2538322269161135</v>
      </c>
      <c r="D257" s="10">
        <f>'[1]25-35 female'!AE259</f>
        <v>12.197342106960841</v>
      </c>
    </row>
    <row r="258" spans="1:4" x14ac:dyDescent="0.3">
      <c r="A258" s="41">
        <v>70105</v>
      </c>
      <c r="B258" s="45" t="s">
        <v>661</v>
      </c>
      <c r="C258" s="10">
        <v>8.5971241830065352</v>
      </c>
      <c r="D258" s="10">
        <f>'[1]25-35 female'!AE260</f>
        <v>11.959857437628962</v>
      </c>
    </row>
    <row r="259" spans="1:4" x14ac:dyDescent="0.3">
      <c r="A259" s="41">
        <v>70201</v>
      </c>
      <c r="B259" s="45" t="s">
        <v>592</v>
      </c>
      <c r="C259" s="10">
        <v>8.9683290002363503</v>
      </c>
      <c r="D259" s="10">
        <f>'[1]25-35 female'!AE261</f>
        <v>11.676969780598869</v>
      </c>
    </row>
    <row r="260" spans="1:4" x14ac:dyDescent="0.3">
      <c r="A260" s="41">
        <v>70202</v>
      </c>
      <c r="B260" s="45" t="s">
        <v>686</v>
      </c>
      <c r="C260" s="10">
        <v>8.9203640500568824</v>
      </c>
      <c r="D260" s="10">
        <f>'[1]25-35 female'!AE262</f>
        <v>11.892935982339957</v>
      </c>
    </row>
    <row r="261" spans="1:4" x14ac:dyDescent="0.3">
      <c r="A261" s="41">
        <v>70301</v>
      </c>
      <c r="B261" s="45" t="s">
        <v>586</v>
      </c>
      <c r="C261" s="10">
        <v>8.5553252137859541</v>
      </c>
      <c r="D261" s="10">
        <f>'[1]25-35 female'!AE263</f>
        <v>10.32725321888412</v>
      </c>
    </row>
    <row r="262" spans="1:4" x14ac:dyDescent="0.3">
      <c r="A262" s="41">
        <v>70302</v>
      </c>
      <c r="B262" s="45" t="s">
        <v>536</v>
      </c>
      <c r="C262" s="10">
        <v>8.2149292149292155</v>
      </c>
      <c r="D262" s="10">
        <f>'[1]25-35 female'!AE264</f>
        <v>10.624797406807131</v>
      </c>
    </row>
    <row r="263" spans="1:4" x14ac:dyDescent="0.3">
      <c r="A263" s="41">
        <v>70303</v>
      </c>
      <c r="B263" s="45" t="s">
        <v>589</v>
      </c>
      <c r="C263" s="10">
        <v>8.5424528301886795</v>
      </c>
      <c r="D263" s="10">
        <f>'[1]25-35 female'!AE265</f>
        <v>10.490092470277411</v>
      </c>
    </row>
    <row r="264" spans="1:4" x14ac:dyDescent="0.3">
      <c r="A264" s="41">
        <v>70401</v>
      </c>
      <c r="B264" s="45" t="s">
        <v>668</v>
      </c>
      <c r="C264" s="10">
        <v>8.5058823529411764</v>
      </c>
      <c r="D264" s="10">
        <f>'[1]25-35 female'!AE266</f>
        <v>11.906193078324225</v>
      </c>
    </row>
    <row r="265" spans="1:4" x14ac:dyDescent="0.3">
      <c r="A265" s="41">
        <v>70402</v>
      </c>
      <c r="B265" s="45" t="s">
        <v>641</v>
      </c>
      <c r="C265" s="10">
        <v>8.8523442967109869</v>
      </c>
      <c r="D265" s="10">
        <f>'[1]25-35 female'!AE267</f>
        <v>11.677824267782427</v>
      </c>
    </row>
    <row r="266" spans="1:4" x14ac:dyDescent="0.3">
      <c r="A266" s="41">
        <v>70403</v>
      </c>
      <c r="B266" s="45" t="s">
        <v>642</v>
      </c>
      <c r="C266" s="10">
        <v>8.3576530612244895</v>
      </c>
      <c r="D266" s="10">
        <f>'[1]25-35 female'!AE268</f>
        <v>11.825059974164976</v>
      </c>
    </row>
    <row r="267" spans="1:4" x14ac:dyDescent="0.3">
      <c r="A267" s="41">
        <v>70404</v>
      </c>
      <c r="B267" s="45" t="s">
        <v>662</v>
      </c>
      <c r="C267" s="10">
        <v>8.6661742983751839</v>
      </c>
      <c r="D267" s="10">
        <f>'[1]25-35 female'!AE269</f>
        <v>11.783132530120483</v>
      </c>
    </row>
    <row r="268" spans="1:4" x14ac:dyDescent="0.3">
      <c r="A268" s="41">
        <v>70501</v>
      </c>
      <c r="B268" s="45" t="s">
        <v>627</v>
      </c>
      <c r="C268" s="10">
        <v>8.2492070684186682</v>
      </c>
      <c r="D268" s="10">
        <f>'[1]25-35 female'!AE270</f>
        <v>9.7635622452179369</v>
      </c>
    </row>
    <row r="269" spans="1:4" x14ac:dyDescent="0.3">
      <c r="A269" s="41">
        <v>70502</v>
      </c>
      <c r="B269" s="45" t="s">
        <v>540</v>
      </c>
      <c r="C269" s="10">
        <v>7.2855018587360592</v>
      </c>
      <c r="D269" s="10">
        <f>'[1]25-35 female'!AE271</f>
        <v>9.3289588801399823</v>
      </c>
    </row>
    <row r="270" spans="1:4" x14ac:dyDescent="0.3">
      <c r="A270" s="41">
        <v>70503</v>
      </c>
      <c r="B270" s="45" t="s">
        <v>655</v>
      </c>
      <c r="C270" s="10">
        <v>10.471716203259827</v>
      </c>
      <c r="D270" s="10">
        <f>'[1]25-35 female'!AE272</f>
        <v>11.766756032171582</v>
      </c>
    </row>
    <row r="271" spans="1:4" x14ac:dyDescent="0.3">
      <c r="A271" s="41">
        <v>70601</v>
      </c>
      <c r="B271" s="45" t="s">
        <v>677</v>
      </c>
      <c r="C271" s="10">
        <v>10.254573170731707</v>
      </c>
      <c r="D271" s="10">
        <f>'[1]25-35 female'!AE273</f>
        <v>12.870249728555917</v>
      </c>
    </row>
    <row r="272" spans="1:4" x14ac:dyDescent="0.3">
      <c r="A272" s="41">
        <v>70602</v>
      </c>
      <c r="B272" s="45" t="s">
        <v>554</v>
      </c>
      <c r="C272" s="10">
        <v>7.7916992952231796</v>
      </c>
      <c r="D272" s="10">
        <f>'[1]25-35 female'!AE274</f>
        <v>10.911010558069382</v>
      </c>
    </row>
    <row r="273" spans="1:4" x14ac:dyDescent="0.3">
      <c r="A273" s="41">
        <v>70603</v>
      </c>
      <c r="B273" s="45" t="s">
        <v>609</v>
      </c>
      <c r="C273" s="10">
        <v>9.4835680751173701</v>
      </c>
      <c r="D273" s="10">
        <f>'[1]25-35 female'!AE275</f>
        <v>11.249063670411985</v>
      </c>
    </row>
    <row r="274" spans="1:4" x14ac:dyDescent="0.3">
      <c r="A274" s="41">
        <v>70701</v>
      </c>
      <c r="B274" s="45" t="s">
        <v>578</v>
      </c>
      <c r="C274" s="10">
        <v>8.3843843843843846</v>
      </c>
      <c r="D274" s="10">
        <f>'[1]25-35 female'!AE276</f>
        <v>11.321576763485478</v>
      </c>
    </row>
    <row r="275" spans="1:4" x14ac:dyDescent="0.3">
      <c r="A275" s="41">
        <v>70702</v>
      </c>
      <c r="B275" s="45" t="s">
        <v>568</v>
      </c>
      <c r="C275" s="10">
        <v>7.5011536686663591</v>
      </c>
      <c r="D275" s="10">
        <f>'[1]25-35 female'!AE277</f>
        <v>10.038310060866452</v>
      </c>
    </row>
    <row r="276" spans="1:4" x14ac:dyDescent="0.3">
      <c r="A276" s="41">
        <v>70703</v>
      </c>
      <c r="B276" s="45" t="s">
        <v>527</v>
      </c>
      <c r="C276" s="10">
        <v>6.7435475013728716</v>
      </c>
      <c r="D276" s="10">
        <f>'[1]25-35 female'!AE278</f>
        <v>9.5664047886270112</v>
      </c>
    </row>
    <row r="277" spans="1:4" x14ac:dyDescent="0.3">
      <c r="A277" s="41">
        <v>70704</v>
      </c>
      <c r="B277" s="45" t="s">
        <v>666</v>
      </c>
      <c r="C277" s="10">
        <v>9.2123893805309738</v>
      </c>
      <c r="D277" s="10">
        <f>'[1]25-35 female'!AE279</f>
        <v>12.641255605381167</v>
      </c>
    </row>
    <row r="278" spans="1:4" x14ac:dyDescent="0.3">
      <c r="A278" s="41">
        <v>70705</v>
      </c>
      <c r="B278" s="45" t="s">
        <v>587</v>
      </c>
      <c r="C278" s="10">
        <v>8.065947242206235</v>
      </c>
      <c r="D278" s="10">
        <f>'[1]25-35 female'!AE280</f>
        <v>11.363988383349467</v>
      </c>
    </row>
    <row r="279" spans="1:4" x14ac:dyDescent="0.3">
      <c r="A279" s="41">
        <v>70706</v>
      </c>
      <c r="B279" s="45" t="s">
        <v>659</v>
      </c>
      <c r="C279" s="10">
        <v>11.652303120356612</v>
      </c>
      <c r="D279" s="10">
        <f>'[1]25-35 female'!AE281</f>
        <v>13.640669515669515</v>
      </c>
    </row>
    <row r="280" spans="1:4" x14ac:dyDescent="0.3">
      <c r="A280" s="41">
        <v>70707</v>
      </c>
      <c r="B280" s="45" t="s">
        <v>688</v>
      </c>
      <c r="C280" s="10">
        <v>9.3284313725490193</v>
      </c>
      <c r="D280" s="10">
        <f>'[1]25-35 female'!AE282</f>
        <v>10.635555555555555</v>
      </c>
    </row>
    <row r="281" spans="1:4" x14ac:dyDescent="0.3">
      <c r="A281" s="41">
        <v>70801</v>
      </c>
      <c r="B281" s="45" t="s">
        <v>687</v>
      </c>
      <c r="C281" s="10">
        <v>9.7453781512605033</v>
      </c>
      <c r="D281" s="10">
        <f>'[1]25-35 female'!AE283</f>
        <v>12.756554307116104</v>
      </c>
    </row>
    <row r="282" spans="1:4" x14ac:dyDescent="0.3">
      <c r="A282" s="41">
        <v>70802</v>
      </c>
      <c r="B282" s="45" t="s">
        <v>593</v>
      </c>
      <c r="C282" s="10">
        <v>10.098765432098766</v>
      </c>
      <c r="D282" s="10">
        <f>'[1]25-35 female'!AE284</f>
        <v>12.453703703703704</v>
      </c>
    </row>
    <row r="283" spans="1:4" x14ac:dyDescent="0.3">
      <c r="A283" s="41">
        <v>70803</v>
      </c>
      <c r="B283" s="45" t="s">
        <v>694</v>
      </c>
      <c r="C283" s="10">
        <v>7.9267015706806285</v>
      </c>
      <c r="D283" s="10">
        <f>'[1]25-35 female'!AE285</f>
        <v>11.479452054794521</v>
      </c>
    </row>
    <row r="284" spans="1:4" x14ac:dyDescent="0.3">
      <c r="A284" s="41">
        <v>70804</v>
      </c>
      <c r="B284" s="45" t="s">
        <v>690</v>
      </c>
      <c r="C284" s="10">
        <v>9.0104166666666661</v>
      </c>
      <c r="D284" s="10">
        <f>'[1]25-35 female'!AE286</f>
        <v>11.752380952380953</v>
      </c>
    </row>
    <row r="285" spans="1:4" x14ac:dyDescent="0.3">
      <c r="A285" s="41">
        <v>70805</v>
      </c>
      <c r="B285" s="45" t="s">
        <v>685</v>
      </c>
      <c r="C285" s="10">
        <v>9.454545454545455</v>
      </c>
      <c r="D285" s="10">
        <f>'[1]25-35 female'!AE287</f>
        <v>12.53125</v>
      </c>
    </row>
    <row r="286" spans="1:4" x14ac:dyDescent="0.3">
      <c r="A286" s="41">
        <v>70901</v>
      </c>
      <c r="B286" s="45" t="s">
        <v>672</v>
      </c>
      <c r="C286" s="10">
        <v>8.8301630434782616</v>
      </c>
      <c r="D286" s="10">
        <f>'[1]25-35 female'!AE288</f>
        <v>12.046858359957401</v>
      </c>
    </row>
    <row r="287" spans="1:4" x14ac:dyDescent="0.3">
      <c r="A287" s="41">
        <v>70902</v>
      </c>
      <c r="B287" s="45" t="s">
        <v>588</v>
      </c>
      <c r="C287" s="10">
        <v>7.1846846846846848</v>
      </c>
      <c r="D287" s="10">
        <f>'[1]25-35 female'!AE289</f>
        <v>10.446998722860792</v>
      </c>
    </row>
    <row r="288" spans="1:4" x14ac:dyDescent="0.3">
      <c r="A288" s="41">
        <v>70903</v>
      </c>
      <c r="B288" s="45" t="s">
        <v>619</v>
      </c>
      <c r="C288" s="10">
        <v>8.0449871465295626</v>
      </c>
      <c r="D288" s="10">
        <f>'[1]25-35 female'!AE290</f>
        <v>11.151818181818182</v>
      </c>
    </row>
    <row r="289" spans="1:4" x14ac:dyDescent="0.3">
      <c r="A289" s="41">
        <v>70904</v>
      </c>
      <c r="B289" s="45" t="s">
        <v>673</v>
      </c>
      <c r="C289" s="10">
        <v>9.832740213523131</v>
      </c>
      <c r="D289" s="10">
        <f>'[1]25-35 female'!AE291</f>
        <v>12.125748502994012</v>
      </c>
    </row>
    <row r="290" spans="1:4" x14ac:dyDescent="0.3">
      <c r="A290" s="41">
        <v>71001</v>
      </c>
      <c r="B290" s="45" t="s">
        <v>669</v>
      </c>
      <c r="C290" s="10">
        <v>10.11558427799555</v>
      </c>
      <c r="D290" s="10">
        <f>'[1]25-35 female'!AE292</f>
        <v>12.776237782406666</v>
      </c>
    </row>
    <row r="291" spans="1:4" x14ac:dyDescent="0.3">
      <c r="A291" s="41">
        <v>71002</v>
      </c>
      <c r="B291" s="45" t="s">
        <v>671</v>
      </c>
      <c r="C291" s="10">
        <v>7.6481303930968361</v>
      </c>
      <c r="D291" s="10">
        <f>'[1]25-35 female'!AE293</f>
        <v>10.846047156726769</v>
      </c>
    </row>
    <row r="292" spans="1:4" x14ac:dyDescent="0.3">
      <c r="A292" s="41">
        <v>71003</v>
      </c>
      <c r="B292" s="45" t="s">
        <v>643</v>
      </c>
      <c r="C292" s="10">
        <v>8.835490830636461</v>
      </c>
      <c r="D292" s="10">
        <f>'[1]25-35 female'!AE294</f>
        <v>11.360120542440985</v>
      </c>
    </row>
    <row r="293" spans="1:4" x14ac:dyDescent="0.3">
      <c r="A293" s="41">
        <v>71004</v>
      </c>
      <c r="B293" s="45" t="s">
        <v>695</v>
      </c>
      <c r="C293" s="10">
        <v>8.6424134871339842</v>
      </c>
      <c r="D293" s="10">
        <f>'[1]25-35 female'!AE295</f>
        <v>11.288398692810457</v>
      </c>
    </row>
    <row r="294" spans="1:4" x14ac:dyDescent="0.3">
      <c r="A294" s="41">
        <v>71005</v>
      </c>
      <c r="B294" s="45" t="s">
        <v>368</v>
      </c>
      <c r="C294" s="10">
        <v>8.9302816901408448</v>
      </c>
      <c r="D294" s="10">
        <f>'[1]25-35 female'!AE296</f>
        <v>12.183734939759036</v>
      </c>
    </row>
    <row r="295" spans="1:4" x14ac:dyDescent="0.3">
      <c r="A295" s="41">
        <v>71101</v>
      </c>
      <c r="B295" s="45" t="s">
        <v>567</v>
      </c>
      <c r="C295" s="10">
        <v>8.3144171779141107</v>
      </c>
      <c r="D295" s="10">
        <f>'[1]25-35 female'!AE297</f>
        <v>10.863618752421543</v>
      </c>
    </row>
    <row r="296" spans="1:4" x14ac:dyDescent="0.3">
      <c r="A296" s="41">
        <v>71102</v>
      </c>
      <c r="B296" s="45" t="s">
        <v>455</v>
      </c>
      <c r="C296" s="10">
        <v>8.4084362139917701</v>
      </c>
      <c r="D296" s="10">
        <f>'[1]25-35 female'!AE298</f>
        <v>11.579984836997726</v>
      </c>
    </row>
    <row r="297" spans="1:4" x14ac:dyDescent="0.3">
      <c r="A297" s="41">
        <v>71103</v>
      </c>
      <c r="B297" s="45" t="s">
        <v>657</v>
      </c>
      <c r="C297" s="10">
        <v>7.8251706737904421</v>
      </c>
      <c r="D297" s="10">
        <f>'[1]25-35 female'!AE299</f>
        <v>11.812260536398467</v>
      </c>
    </row>
    <row r="298" spans="1:4" x14ac:dyDescent="0.3">
      <c r="A298" s="41">
        <v>71104</v>
      </c>
      <c r="B298" s="45" t="s">
        <v>615</v>
      </c>
      <c r="C298" s="10">
        <v>9.127472527472527</v>
      </c>
      <c r="D298" s="10">
        <f>'[1]25-35 female'!AE300</f>
        <v>11.594092424964268</v>
      </c>
    </row>
    <row r="299" spans="1:4" x14ac:dyDescent="0.3">
      <c r="A299" s="41">
        <v>71105</v>
      </c>
      <c r="B299" s="45" t="s">
        <v>580</v>
      </c>
      <c r="C299" s="10">
        <v>8.3904448105436575</v>
      </c>
      <c r="D299" s="10">
        <f>'[1]25-35 female'!AE301</f>
        <v>11.705494505494505</v>
      </c>
    </row>
    <row r="300" spans="1:4" x14ac:dyDescent="0.3">
      <c r="A300" s="41">
        <v>71106</v>
      </c>
      <c r="B300" s="45" t="s">
        <v>624</v>
      </c>
      <c r="C300" s="10">
        <v>7.1334488734835357</v>
      </c>
      <c r="D300" s="10">
        <f>'[1]25-35 female'!AE302</f>
        <v>10.551211219719507</v>
      </c>
    </row>
    <row r="301" spans="1:4" x14ac:dyDescent="0.3">
      <c r="A301" s="41">
        <v>71201</v>
      </c>
      <c r="B301" s="45" t="s">
        <v>599</v>
      </c>
      <c r="C301" s="10">
        <v>8.7344961240310077</v>
      </c>
      <c r="D301" s="10">
        <f>'[1]25-35 female'!AE303</f>
        <v>10.744811683320522</v>
      </c>
    </row>
    <row r="302" spans="1:4" x14ac:dyDescent="0.3">
      <c r="A302" s="41">
        <v>71301</v>
      </c>
      <c r="B302" s="45" t="s">
        <v>553</v>
      </c>
      <c r="C302" s="10">
        <v>7.2629382303839733</v>
      </c>
      <c r="D302" s="10">
        <f>'[1]25-35 female'!AE304</f>
        <v>10.733381502890174</v>
      </c>
    </row>
    <row r="303" spans="1:4" x14ac:dyDescent="0.3">
      <c r="A303" s="41">
        <v>71302</v>
      </c>
      <c r="B303" s="45" t="s">
        <v>644</v>
      </c>
      <c r="C303" s="10">
        <v>7.8061224489795915</v>
      </c>
      <c r="D303" s="10">
        <f>'[1]25-35 female'!AE305</f>
        <v>10.826086956521738</v>
      </c>
    </row>
    <row r="304" spans="1:4" x14ac:dyDescent="0.3">
      <c r="A304" s="41">
        <v>71401</v>
      </c>
      <c r="B304" s="45" t="s">
        <v>557</v>
      </c>
      <c r="C304" s="10">
        <v>10.477764423076923</v>
      </c>
      <c r="D304" s="10">
        <f>'[1]25-35 female'!AE306</f>
        <v>11.938095238095238</v>
      </c>
    </row>
    <row r="305" spans="1:4" x14ac:dyDescent="0.3">
      <c r="A305" s="41">
        <v>71402</v>
      </c>
      <c r="B305" s="45" t="s">
        <v>549</v>
      </c>
      <c r="C305" s="10">
        <v>9.8641975308641978</v>
      </c>
      <c r="D305" s="10">
        <f>'[1]25-35 female'!AE307</f>
        <v>12.874705882352941</v>
      </c>
    </row>
    <row r="306" spans="1:4" x14ac:dyDescent="0.3">
      <c r="A306" s="41">
        <v>71403</v>
      </c>
      <c r="B306" s="45" t="s">
        <v>558</v>
      </c>
      <c r="C306" s="10">
        <v>9.0993227990970649</v>
      </c>
      <c r="D306" s="10">
        <f>'[1]25-35 female'!AE308</f>
        <v>9.5935754189944138</v>
      </c>
    </row>
    <row r="307" spans="1:4" x14ac:dyDescent="0.3">
      <c r="A307" s="41">
        <v>71501</v>
      </c>
      <c r="B307" s="45" t="s">
        <v>601</v>
      </c>
      <c r="C307" s="10">
        <v>8.5106937923839325</v>
      </c>
      <c r="D307" s="10">
        <f>'[1]25-35 female'!AE309</f>
        <v>10.723883221948645</v>
      </c>
    </row>
    <row r="308" spans="1:4" x14ac:dyDescent="0.3">
      <c r="A308" s="41">
        <v>71502</v>
      </c>
      <c r="B308" s="45" t="s">
        <v>510</v>
      </c>
      <c r="C308" s="10">
        <v>8.6397515527950315</v>
      </c>
      <c r="D308" s="10">
        <f>'[1]25-35 female'!AE310</f>
        <v>11.306418219461698</v>
      </c>
    </row>
    <row r="309" spans="1:4" x14ac:dyDescent="0.3">
      <c r="A309" s="41">
        <v>71503</v>
      </c>
      <c r="B309" s="45" t="s">
        <v>630</v>
      </c>
      <c r="C309" s="10">
        <v>7.1168032786885247</v>
      </c>
      <c r="D309" s="10">
        <f>'[1]25-35 female'!AE311</f>
        <v>10.870676691729324</v>
      </c>
    </row>
    <row r="310" spans="1:4" x14ac:dyDescent="0.3">
      <c r="A310" s="41">
        <v>80101</v>
      </c>
      <c r="B310" s="45" t="s">
        <v>640</v>
      </c>
      <c r="C310" s="10">
        <v>11.627324518972374</v>
      </c>
      <c r="D310" s="10">
        <f>'[1]25-35 female'!AE312</f>
        <v>13.309058614564831</v>
      </c>
    </row>
    <row r="311" spans="1:4" x14ac:dyDescent="0.3">
      <c r="A311" s="41">
        <v>80102</v>
      </c>
      <c r="B311" s="45" t="s">
        <v>455</v>
      </c>
      <c r="C311" s="10">
        <v>8.3014492753623195</v>
      </c>
      <c r="D311" s="10">
        <f>'[1]25-35 female'!AE313</f>
        <v>10.04610492845787</v>
      </c>
    </row>
    <row r="312" spans="1:4" x14ac:dyDescent="0.3">
      <c r="A312" s="41">
        <v>80201</v>
      </c>
      <c r="B312" s="45" t="s">
        <v>616</v>
      </c>
      <c r="C312" s="10">
        <v>9.8642217245240769</v>
      </c>
      <c r="D312" s="10">
        <f>'[1]25-35 female'!AE314</f>
        <v>12.280135301353013</v>
      </c>
    </row>
    <row r="313" spans="1:4" x14ac:dyDescent="0.3">
      <c r="A313" s="41">
        <v>80202</v>
      </c>
      <c r="B313" s="45" t="s">
        <v>649</v>
      </c>
      <c r="C313" s="10">
        <v>10.326701896176562</v>
      </c>
      <c r="D313" s="10">
        <f>'[1]25-35 female'!AE315</f>
        <v>12.727117194183062</v>
      </c>
    </row>
    <row r="314" spans="1:4" x14ac:dyDescent="0.3">
      <c r="A314" s="41">
        <v>80301</v>
      </c>
      <c r="B314" s="45" t="s">
        <v>604</v>
      </c>
      <c r="C314" s="10">
        <v>9.5319371727748692</v>
      </c>
      <c r="D314" s="10">
        <f>'[1]25-35 female'!AE316</f>
        <v>11.091428571428571</v>
      </c>
    </row>
    <row r="315" spans="1:4" x14ac:dyDescent="0.3">
      <c r="A315" s="41">
        <v>80302</v>
      </c>
      <c r="B315" s="45" t="s">
        <v>595</v>
      </c>
      <c r="C315" s="10">
        <v>8.1095019427764043</v>
      </c>
      <c r="D315" s="10">
        <f>'[1]25-35 female'!AE317</f>
        <v>10.37912087912088</v>
      </c>
    </row>
    <row r="316" spans="1:4" x14ac:dyDescent="0.3">
      <c r="A316" s="41">
        <v>80303</v>
      </c>
      <c r="B316" s="45" t="s">
        <v>554</v>
      </c>
      <c r="C316" s="10">
        <v>8.814921090387374</v>
      </c>
      <c r="D316" s="10">
        <f>'[1]25-35 female'!AE318</f>
        <v>10.751748251748252</v>
      </c>
    </row>
    <row r="317" spans="1:4" x14ac:dyDescent="0.3">
      <c r="A317" s="41">
        <v>80304</v>
      </c>
      <c r="B317" s="45" t="s">
        <v>582</v>
      </c>
      <c r="C317" s="10">
        <v>9.8366013071895431</v>
      </c>
      <c r="D317" s="10">
        <f>'[1]25-35 female'!AE319</f>
        <v>11.693832599118943</v>
      </c>
    </row>
    <row r="318" spans="1:4" x14ac:dyDescent="0.3">
      <c r="A318" s="41">
        <v>80401</v>
      </c>
      <c r="B318" s="45" t="s">
        <v>562</v>
      </c>
      <c r="C318" s="10">
        <v>9.7318255250403869</v>
      </c>
      <c r="D318" s="10">
        <f>'[1]25-35 female'!AE320</f>
        <v>10.83581033262562</v>
      </c>
    </row>
    <row r="319" spans="1:4" x14ac:dyDescent="0.3">
      <c r="A319" s="41">
        <v>80402</v>
      </c>
      <c r="B319" s="45" t="s">
        <v>581</v>
      </c>
      <c r="C319" s="10">
        <v>7.6430107526881716</v>
      </c>
      <c r="D319" s="10">
        <f>'[1]25-35 female'!AE321</f>
        <v>10.533923303834808</v>
      </c>
    </row>
    <row r="320" spans="1:4" x14ac:dyDescent="0.3">
      <c r="A320" s="41">
        <v>80501</v>
      </c>
      <c r="B320" s="45" t="s">
        <v>586</v>
      </c>
      <c r="C320" s="10">
        <v>9.0015936254980087</v>
      </c>
      <c r="D320" s="10">
        <f>'[1]25-35 female'!AE322</f>
        <v>10.945431472081218</v>
      </c>
    </row>
    <row r="321" spans="1:4" x14ac:dyDescent="0.3">
      <c r="A321" s="41">
        <v>80601</v>
      </c>
      <c r="B321" s="45" t="s">
        <v>664</v>
      </c>
      <c r="C321" s="10">
        <v>8.1999999999999993</v>
      </c>
      <c r="D321" s="10">
        <f>'[1]25-35 female'!AE323</f>
        <v>10.252459016393443</v>
      </c>
    </row>
    <row r="322" spans="1:4" x14ac:dyDescent="0.3">
      <c r="A322" s="41">
        <v>80602</v>
      </c>
      <c r="B322" s="45" t="s">
        <v>583</v>
      </c>
      <c r="C322" s="10">
        <v>7.6554621848739499</v>
      </c>
      <c r="D322" s="10">
        <f>'[1]25-35 female'!AE324</f>
        <v>11.015209125475286</v>
      </c>
    </row>
    <row r="323" spans="1:4" x14ac:dyDescent="0.3">
      <c r="A323" s="41">
        <v>80701</v>
      </c>
      <c r="B323" s="45" t="s">
        <v>632</v>
      </c>
      <c r="C323" s="10">
        <v>9.7682672233820451</v>
      </c>
      <c r="D323" s="10">
        <f>'[1]25-35 female'!AE325</f>
        <v>11.71252204585538</v>
      </c>
    </row>
    <row r="324" spans="1:4" x14ac:dyDescent="0.3">
      <c r="A324" s="41">
        <v>80702</v>
      </c>
      <c r="B324" s="45" t="s">
        <v>657</v>
      </c>
      <c r="C324" s="10">
        <v>9.5485893416927894</v>
      </c>
      <c r="D324" s="10">
        <f>'[1]25-35 female'!AE326</f>
        <v>12.036117381489841</v>
      </c>
    </row>
    <row r="325" spans="1:4" x14ac:dyDescent="0.3">
      <c r="A325" s="41">
        <v>80703</v>
      </c>
      <c r="B325" s="45" t="s">
        <v>526</v>
      </c>
      <c r="C325" s="10">
        <v>8.5081967213114762</v>
      </c>
      <c r="D325" s="10">
        <f>'[1]25-35 female'!AE327</f>
        <v>11.154761904761905</v>
      </c>
    </row>
    <row r="326" spans="1:4" x14ac:dyDescent="0.3">
      <c r="A326" s="41">
        <v>80801</v>
      </c>
      <c r="B326" s="45" t="s">
        <v>611</v>
      </c>
      <c r="C326" s="10">
        <v>9.9576379974326059</v>
      </c>
      <c r="D326" s="10">
        <f>'[1]25-35 female'!AE328</f>
        <v>12.109</v>
      </c>
    </row>
    <row r="327" spans="1:4" x14ac:dyDescent="0.3">
      <c r="A327" s="41">
        <v>80802</v>
      </c>
      <c r="B327" s="45" t="s">
        <v>648</v>
      </c>
      <c r="C327" s="10">
        <v>9.5746268656716413</v>
      </c>
      <c r="D327" s="10">
        <f>'[1]25-35 female'!AE329</f>
        <v>11.582758620689654</v>
      </c>
    </row>
    <row r="328" spans="1:4" x14ac:dyDescent="0.3">
      <c r="A328" s="41">
        <v>80803</v>
      </c>
      <c r="B328" s="45" t="s">
        <v>660</v>
      </c>
      <c r="C328" s="10">
        <v>9.6466165413533833</v>
      </c>
      <c r="D328" s="10">
        <f>'[1]25-35 female'!AE330</f>
        <v>11.797260273972602</v>
      </c>
    </row>
    <row r="329" spans="1:4" x14ac:dyDescent="0.3">
      <c r="A329" s="41">
        <v>80901</v>
      </c>
      <c r="B329" s="45" t="s">
        <v>414</v>
      </c>
      <c r="C329" s="10">
        <v>7.2176165803108807</v>
      </c>
      <c r="D329" s="10">
        <f>'[1]25-35 female'!AE331</f>
        <v>9.4597701149425291</v>
      </c>
    </row>
    <row r="330" spans="1:4" x14ac:dyDescent="0.3">
      <c r="A330" s="41">
        <v>90101</v>
      </c>
      <c r="B330" s="45" t="s">
        <v>647</v>
      </c>
      <c r="C330" s="10">
        <v>11.386031042128604</v>
      </c>
      <c r="D330" s="10">
        <f>'[1]25-35 female'!AE332</f>
        <v>13.482326538245745</v>
      </c>
    </row>
    <row r="331" spans="1:4" x14ac:dyDescent="0.3">
      <c r="A331" s="41">
        <v>90102</v>
      </c>
      <c r="B331" s="45" t="s">
        <v>639</v>
      </c>
      <c r="C331" s="10">
        <v>9.6562986003110414</v>
      </c>
      <c r="D331" s="10">
        <f>'[1]25-35 female'!AE333</f>
        <v>12.243743199129488</v>
      </c>
    </row>
    <row r="332" spans="1:4" x14ac:dyDescent="0.3">
      <c r="A332" s="41">
        <v>90103</v>
      </c>
      <c r="B332" s="45" t="s">
        <v>692</v>
      </c>
      <c r="C332" s="10">
        <v>8.6</v>
      </c>
      <c r="D332" s="10">
        <f>'[1]25-35 female'!AE334</f>
        <v>11.87912087912088</v>
      </c>
    </row>
    <row r="333" spans="1:4" x14ac:dyDescent="0.3">
      <c r="A333" s="41">
        <v>90104</v>
      </c>
      <c r="B333" s="45" t="s">
        <v>614</v>
      </c>
      <c r="C333" s="10">
        <v>8.5169811320754718</v>
      </c>
      <c r="D333" s="10">
        <f>'[1]25-35 female'!AE335</f>
        <v>11.379746835443038</v>
      </c>
    </row>
    <row r="334" spans="1:4" x14ac:dyDescent="0.3">
      <c r="A334" s="41">
        <v>90201</v>
      </c>
      <c r="B334" s="45" t="s">
        <v>634</v>
      </c>
      <c r="C334" s="10">
        <v>9.0136054421768712</v>
      </c>
      <c r="D334" s="10">
        <f>'[1]25-35 female'!AE336</f>
        <v>12.006849315068493</v>
      </c>
    </row>
    <row r="335" spans="1:4" x14ac:dyDescent="0.3">
      <c r="A335" s="41">
        <v>90202</v>
      </c>
      <c r="B335" s="45" t="s">
        <v>368</v>
      </c>
      <c r="C335" s="10">
        <v>7.037558685446009</v>
      </c>
      <c r="D335" s="10">
        <f>'[1]25-35 female'!AE337</f>
        <v>10.850909090909092</v>
      </c>
    </row>
    <row r="336" spans="1:4" x14ac:dyDescent="0.3">
      <c r="A336" s="41">
        <v>90203</v>
      </c>
      <c r="B336" s="45" t="s">
        <v>670</v>
      </c>
      <c r="C336" s="10">
        <v>8.2169576059850371</v>
      </c>
      <c r="D336" s="10">
        <f>'[1]25-35 female'!AE338</f>
        <v>11.05229793977813</v>
      </c>
    </row>
    <row r="337" spans="1:4" x14ac:dyDescent="0.3">
      <c r="A337" s="41">
        <v>90301</v>
      </c>
      <c r="B337" s="45" t="s">
        <v>633</v>
      </c>
      <c r="C337" s="10">
        <v>9.0564971751412422</v>
      </c>
      <c r="D337" s="10">
        <f>'[1]25-35 female'!AE339</f>
        <v>12.041666666666666</v>
      </c>
    </row>
    <row r="338" spans="1:4" x14ac:dyDescent="0.3">
      <c r="A338" s="41">
        <v>90302</v>
      </c>
      <c r="B338" s="45" t="s">
        <v>623</v>
      </c>
      <c r="C338" s="10">
        <v>8.1796200345423138</v>
      </c>
      <c r="D338" s="10">
        <f>'[1]25-35 female'!AE340</f>
        <v>11.323220536756127</v>
      </c>
    </row>
    <row r="339" spans="1:4" x14ac:dyDescent="0.3">
      <c r="A339" s="41">
        <v>90303</v>
      </c>
      <c r="B339" s="45" t="s">
        <v>646</v>
      </c>
      <c r="C339" s="10">
        <v>7.4056761268781299</v>
      </c>
      <c r="D339" s="10">
        <f>'[1]25-35 female'!AE341</f>
        <v>11</v>
      </c>
    </row>
    <row r="340" spans="1:4" x14ac:dyDescent="0.3">
      <c r="A340" s="41">
        <v>90401</v>
      </c>
      <c r="B340" s="45" t="s">
        <v>554</v>
      </c>
      <c r="C340" s="10">
        <v>8.48</v>
      </c>
      <c r="D340" s="10">
        <f>'[1]25-35 female'!AE342</f>
        <v>11.048979591836735</v>
      </c>
    </row>
    <row r="341" spans="1:4" x14ac:dyDescent="0.3">
      <c r="A341" s="41">
        <v>90402</v>
      </c>
      <c r="B341" s="45" t="s">
        <v>450</v>
      </c>
      <c r="C341" s="10">
        <v>7.6018518518518521</v>
      </c>
      <c r="D341" s="10">
        <f>'[1]25-35 female'!AE343</f>
        <v>9.8911917098445592</v>
      </c>
    </row>
    <row r="342" spans="1:4" x14ac:dyDescent="0.3">
      <c r="A342" s="41">
        <v>90501</v>
      </c>
      <c r="B342" s="45" t="s">
        <v>620</v>
      </c>
      <c r="C342" s="10">
        <v>8.75</v>
      </c>
      <c r="D342" s="10">
        <f>'[1]25-35 female'!AE344</f>
        <v>11.992125984251969</v>
      </c>
    </row>
    <row r="343" spans="1:4" x14ac:dyDescent="0.3">
      <c r="A343" s="41">
        <v>90502</v>
      </c>
      <c r="B343" s="45" t="s">
        <v>635</v>
      </c>
      <c r="C343" s="10">
        <v>7.6363636363636367</v>
      </c>
      <c r="D343" s="10">
        <f>'[1]25-35 female'!AE345</f>
        <v>10.983957219251337</v>
      </c>
    </row>
    <row r="344" spans="1:4" x14ac:dyDescent="0.3">
      <c r="A344" s="41">
        <v>90503</v>
      </c>
      <c r="B344" s="45" t="s">
        <v>681</v>
      </c>
      <c r="C344" s="16">
        <v>6.9241379310344824</v>
      </c>
      <c r="D344" s="16">
        <f>'[1]25-35 female'!AE346</f>
        <v>11.523809523809524</v>
      </c>
    </row>
  </sheetData>
  <autoFilter ref="A1:D1" xr:uid="{0A9820DC-7F1C-4D79-9B27-0373CE35E307}">
    <sortState xmlns:xlrd2="http://schemas.microsoft.com/office/spreadsheetml/2017/richdata2" ref="A2:D344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649F-FD12-444A-9624-BF0582544B73}">
  <sheetPr>
    <tabColor rgb="FFE24532"/>
  </sheetPr>
  <dimension ref="A1:D344"/>
  <sheetViews>
    <sheetView workbookViewId="0">
      <selection activeCell="H13" sqref="H13"/>
    </sheetView>
  </sheetViews>
  <sheetFormatPr baseColWidth="10" defaultColWidth="11.5546875" defaultRowHeight="14.4" x14ac:dyDescent="0.3"/>
  <cols>
    <col min="1" max="1" width="6.5546875" style="1" bestFit="1" customWidth="1"/>
    <col min="2" max="2" width="73.6640625" style="1" bestFit="1" customWidth="1"/>
    <col min="3" max="4" width="16.5546875" style="1" bestFit="1" customWidth="1"/>
    <col min="5" max="16384" width="11.5546875" style="1"/>
  </cols>
  <sheetData>
    <row r="1" spans="1:4" x14ac:dyDescent="0.3">
      <c r="A1" s="44" t="s">
        <v>365</v>
      </c>
      <c r="B1" s="40" t="s">
        <v>366</v>
      </c>
      <c r="C1" s="40" t="s">
        <v>707</v>
      </c>
      <c r="D1" s="40" t="s">
        <v>708</v>
      </c>
    </row>
    <row r="2" spans="1:4" x14ac:dyDescent="0.3">
      <c r="A2" s="41">
        <v>10101</v>
      </c>
      <c r="B2" s="45" t="s">
        <v>584</v>
      </c>
      <c r="C2" s="45"/>
      <c r="D2" s="45"/>
    </row>
    <row r="3" spans="1:4" x14ac:dyDescent="0.3">
      <c r="A3" s="41">
        <v>10102</v>
      </c>
      <c r="B3" s="45" t="s">
        <v>566</v>
      </c>
      <c r="C3" s="45"/>
      <c r="D3" s="45"/>
    </row>
    <row r="4" spans="1:4" x14ac:dyDescent="0.3">
      <c r="A4" s="41">
        <v>10103</v>
      </c>
      <c r="B4" s="45" t="s">
        <v>391</v>
      </c>
      <c r="C4" s="45"/>
      <c r="D4" s="45"/>
    </row>
    <row r="5" spans="1:4" x14ac:dyDescent="0.3">
      <c r="A5" s="41">
        <v>10201</v>
      </c>
      <c r="B5" s="45" t="s">
        <v>525</v>
      </c>
      <c r="C5" s="45"/>
      <c r="D5" s="45"/>
    </row>
    <row r="6" spans="1:4" x14ac:dyDescent="0.3">
      <c r="A6" s="41">
        <v>10202</v>
      </c>
      <c r="B6" s="45" t="s">
        <v>569</v>
      </c>
      <c r="C6" s="45"/>
      <c r="D6" s="45"/>
    </row>
    <row r="7" spans="1:4" x14ac:dyDescent="0.3">
      <c r="A7" s="41">
        <v>10301</v>
      </c>
      <c r="B7" s="45" t="s">
        <v>501</v>
      </c>
      <c r="C7" s="45"/>
      <c r="D7" s="45"/>
    </row>
    <row r="8" spans="1:4" x14ac:dyDescent="0.3">
      <c r="A8" s="41">
        <v>10302</v>
      </c>
      <c r="B8" s="45" t="s">
        <v>435</v>
      </c>
      <c r="C8" s="45"/>
      <c r="D8" s="45"/>
    </row>
    <row r="9" spans="1:4" x14ac:dyDescent="0.3">
      <c r="A9" s="41">
        <v>10303</v>
      </c>
      <c r="B9" s="45" t="s">
        <v>590</v>
      </c>
      <c r="C9" s="45"/>
      <c r="D9" s="45"/>
    </row>
    <row r="10" spans="1:4" x14ac:dyDescent="0.3">
      <c r="A10" s="41">
        <v>10304</v>
      </c>
      <c r="B10" s="45" t="s">
        <v>497</v>
      </c>
      <c r="C10" s="45"/>
      <c r="D10" s="45"/>
    </row>
    <row r="11" spans="1:4" x14ac:dyDescent="0.3">
      <c r="A11" s="41">
        <v>10401</v>
      </c>
      <c r="B11" s="45" t="s">
        <v>689</v>
      </c>
      <c r="C11" s="45"/>
      <c r="D11" s="45"/>
    </row>
    <row r="12" spans="1:4" x14ac:dyDescent="0.3">
      <c r="A12" s="41">
        <v>10402</v>
      </c>
      <c r="B12" s="45" t="s">
        <v>606</v>
      </c>
      <c r="C12" s="45"/>
      <c r="D12" s="45"/>
    </row>
    <row r="13" spans="1:4" x14ac:dyDescent="0.3">
      <c r="A13" s="41">
        <v>10403</v>
      </c>
      <c r="B13" s="45" t="s">
        <v>500</v>
      </c>
      <c r="C13" s="45"/>
      <c r="D13" s="45"/>
    </row>
    <row r="14" spans="1:4" x14ac:dyDescent="0.3">
      <c r="A14" s="41">
        <v>10404</v>
      </c>
      <c r="B14" s="45" t="s">
        <v>682</v>
      </c>
      <c r="C14" s="45"/>
      <c r="D14" s="45"/>
    </row>
    <row r="15" spans="1:4" x14ac:dyDescent="0.3">
      <c r="A15" s="41">
        <v>10405</v>
      </c>
      <c r="B15" s="45" t="s">
        <v>693</v>
      </c>
      <c r="C15" s="45"/>
      <c r="D15" s="45"/>
    </row>
    <row r="16" spans="1:4" x14ac:dyDescent="0.3">
      <c r="A16" s="41">
        <v>10501</v>
      </c>
      <c r="B16" s="45" t="s">
        <v>674</v>
      </c>
      <c r="C16" s="45"/>
      <c r="D16" s="45"/>
    </row>
    <row r="17" spans="1:4" x14ac:dyDescent="0.3">
      <c r="A17" s="41">
        <v>10502</v>
      </c>
      <c r="B17" s="45" t="s">
        <v>579</v>
      </c>
      <c r="C17" s="45"/>
      <c r="D17" s="45"/>
    </row>
    <row r="18" spans="1:4" x14ac:dyDescent="0.3">
      <c r="A18" s="41">
        <v>10601</v>
      </c>
      <c r="B18" s="45" t="s">
        <v>436</v>
      </c>
      <c r="C18" s="45"/>
      <c r="D18" s="45"/>
    </row>
    <row r="19" spans="1:4" x14ac:dyDescent="0.3">
      <c r="A19" s="41">
        <v>10602</v>
      </c>
      <c r="B19" s="45" t="s">
        <v>493</v>
      </c>
      <c r="C19" s="45"/>
      <c r="D19" s="45"/>
    </row>
    <row r="20" spans="1:4" x14ac:dyDescent="0.3">
      <c r="A20" s="41">
        <v>10701</v>
      </c>
      <c r="B20" s="45" t="s">
        <v>676</v>
      </c>
      <c r="C20" s="45"/>
      <c r="D20" s="45"/>
    </row>
    <row r="21" spans="1:4" x14ac:dyDescent="0.3">
      <c r="A21" s="41">
        <v>10702</v>
      </c>
      <c r="B21" s="45" t="s">
        <v>419</v>
      </c>
      <c r="C21" s="45"/>
      <c r="D21" s="45"/>
    </row>
    <row r="22" spans="1:4" x14ac:dyDescent="0.3">
      <c r="A22" s="41">
        <v>10703</v>
      </c>
      <c r="B22" s="45" t="s">
        <v>472</v>
      </c>
      <c r="C22" s="45"/>
      <c r="D22" s="45"/>
    </row>
    <row r="23" spans="1:4" x14ac:dyDescent="0.3">
      <c r="A23" s="41">
        <v>10704</v>
      </c>
      <c r="B23" s="45" t="s">
        <v>512</v>
      </c>
      <c r="C23" s="45"/>
      <c r="D23" s="45"/>
    </row>
    <row r="24" spans="1:4" x14ac:dyDescent="0.3">
      <c r="A24" s="41">
        <v>10801</v>
      </c>
      <c r="B24" s="45" t="s">
        <v>598</v>
      </c>
      <c r="C24" s="45"/>
      <c r="D24" s="45"/>
    </row>
    <row r="25" spans="1:4" x14ac:dyDescent="0.3">
      <c r="A25" s="41">
        <v>10901</v>
      </c>
      <c r="B25" s="45" t="s">
        <v>636</v>
      </c>
      <c r="C25" s="45"/>
      <c r="D25" s="45"/>
    </row>
    <row r="26" spans="1:4" x14ac:dyDescent="0.3">
      <c r="A26" s="41">
        <v>10902</v>
      </c>
      <c r="B26" s="45" t="s">
        <v>608</v>
      </c>
      <c r="C26" s="45"/>
      <c r="D26" s="45"/>
    </row>
    <row r="27" spans="1:4" x14ac:dyDescent="0.3">
      <c r="A27" s="41">
        <v>10903</v>
      </c>
      <c r="B27" s="45" t="s">
        <v>658</v>
      </c>
      <c r="C27" s="45"/>
      <c r="D27" s="45"/>
    </row>
    <row r="28" spans="1:4" x14ac:dyDescent="0.3">
      <c r="A28" s="41">
        <v>11001</v>
      </c>
      <c r="B28" s="45" t="s">
        <v>663</v>
      </c>
      <c r="C28" s="45"/>
      <c r="D28" s="45"/>
    </row>
    <row r="29" spans="1:4" x14ac:dyDescent="0.3">
      <c r="A29" s="41">
        <v>11002</v>
      </c>
      <c r="B29" s="45" t="s">
        <v>656</v>
      </c>
      <c r="C29" s="45"/>
      <c r="D29" s="45"/>
    </row>
    <row r="30" spans="1:4" x14ac:dyDescent="0.3">
      <c r="A30" s="41">
        <v>11003</v>
      </c>
      <c r="B30" s="45" t="s">
        <v>654</v>
      </c>
      <c r="C30" s="45"/>
      <c r="D30" s="45"/>
    </row>
    <row r="31" spans="1:4" x14ac:dyDescent="0.3">
      <c r="A31" s="41">
        <v>20101</v>
      </c>
      <c r="B31" s="45" t="s">
        <v>629</v>
      </c>
      <c r="C31" s="45"/>
      <c r="D31" s="45"/>
    </row>
    <row r="32" spans="1:4" x14ac:dyDescent="0.3">
      <c r="A32" s="41">
        <v>20102</v>
      </c>
      <c r="B32" s="45" t="s">
        <v>431</v>
      </c>
      <c r="C32" s="45"/>
      <c r="D32" s="45"/>
    </row>
    <row r="33" spans="1:4" x14ac:dyDescent="0.3">
      <c r="A33" s="41">
        <v>20103</v>
      </c>
      <c r="B33" s="45" t="s">
        <v>524</v>
      </c>
      <c r="C33" s="45"/>
      <c r="D33" s="45"/>
    </row>
    <row r="34" spans="1:4" x14ac:dyDescent="0.3">
      <c r="A34" s="41">
        <v>20104</v>
      </c>
      <c r="B34" s="45" t="s">
        <v>495</v>
      </c>
      <c r="C34" s="45"/>
      <c r="D34" s="45"/>
    </row>
    <row r="35" spans="1:4" x14ac:dyDescent="0.3">
      <c r="A35" s="41">
        <v>20105</v>
      </c>
      <c r="B35" s="45" t="s">
        <v>574</v>
      </c>
      <c r="C35" s="45"/>
      <c r="D35" s="45"/>
    </row>
    <row r="36" spans="1:4" x14ac:dyDescent="0.3">
      <c r="A36" s="41">
        <v>20201</v>
      </c>
      <c r="B36" s="45" t="s">
        <v>433</v>
      </c>
      <c r="C36" s="45"/>
      <c r="D36" s="45"/>
    </row>
    <row r="37" spans="1:4" x14ac:dyDescent="0.3">
      <c r="A37" s="41">
        <v>20202</v>
      </c>
      <c r="B37" s="45" t="s">
        <v>401</v>
      </c>
      <c r="C37" s="45"/>
      <c r="D37" s="45"/>
    </row>
    <row r="38" spans="1:4" x14ac:dyDescent="0.3">
      <c r="A38" s="41">
        <v>20203</v>
      </c>
      <c r="B38" s="45" t="s">
        <v>511</v>
      </c>
      <c r="C38" s="45"/>
      <c r="D38" s="45"/>
    </row>
    <row r="39" spans="1:4" x14ac:dyDescent="0.3">
      <c r="A39" s="41">
        <v>20204</v>
      </c>
      <c r="B39" s="45" t="s">
        <v>428</v>
      </c>
      <c r="C39" s="45"/>
      <c r="D39" s="45"/>
    </row>
    <row r="40" spans="1:4" x14ac:dyDescent="0.3">
      <c r="A40" s="41">
        <v>20205</v>
      </c>
      <c r="B40" s="45" t="s">
        <v>463</v>
      </c>
      <c r="C40" s="45"/>
      <c r="D40" s="45"/>
    </row>
    <row r="41" spans="1:4" x14ac:dyDescent="0.3">
      <c r="A41" s="41">
        <v>20206</v>
      </c>
      <c r="B41" s="45" t="s">
        <v>523</v>
      </c>
      <c r="C41" s="45"/>
      <c r="D41" s="45"/>
    </row>
    <row r="42" spans="1:4" x14ac:dyDescent="0.3">
      <c r="A42" s="41">
        <v>20301</v>
      </c>
      <c r="B42" s="45" t="s">
        <v>564</v>
      </c>
      <c r="C42" s="45"/>
      <c r="D42" s="45"/>
    </row>
    <row r="43" spans="1:4" x14ac:dyDescent="0.3">
      <c r="A43" s="41">
        <v>20302</v>
      </c>
      <c r="B43" s="45" t="s">
        <v>468</v>
      </c>
      <c r="C43" s="45"/>
      <c r="D43" s="45"/>
    </row>
    <row r="44" spans="1:4" x14ac:dyDescent="0.3">
      <c r="A44" s="41">
        <v>20303</v>
      </c>
      <c r="B44" s="45" t="s">
        <v>570</v>
      </c>
      <c r="C44" s="45"/>
      <c r="D44" s="45"/>
    </row>
    <row r="45" spans="1:4" x14ac:dyDescent="0.3">
      <c r="A45" s="41">
        <v>20304</v>
      </c>
      <c r="B45" s="45" t="s">
        <v>577</v>
      </c>
      <c r="C45" s="45"/>
      <c r="D45" s="45"/>
    </row>
    <row r="46" spans="1:4" x14ac:dyDescent="0.3">
      <c r="A46" s="41">
        <v>20305</v>
      </c>
      <c r="B46" s="45" t="s">
        <v>490</v>
      </c>
      <c r="C46" s="45"/>
      <c r="D46" s="45"/>
    </row>
    <row r="47" spans="1:4" x14ac:dyDescent="0.3">
      <c r="A47" s="41">
        <v>20306</v>
      </c>
      <c r="B47" s="45" t="s">
        <v>556</v>
      </c>
      <c r="C47" s="45"/>
      <c r="D47" s="45"/>
    </row>
    <row r="48" spans="1:4" x14ac:dyDescent="0.3">
      <c r="A48" s="41">
        <v>20307</v>
      </c>
      <c r="B48" s="45" t="s">
        <v>425</v>
      </c>
      <c r="C48" s="45"/>
      <c r="D48" s="45"/>
    </row>
    <row r="49" spans="1:4" x14ac:dyDescent="0.3">
      <c r="A49" s="41">
        <v>20308</v>
      </c>
      <c r="B49" s="45" t="s">
        <v>481</v>
      </c>
      <c r="C49" s="45"/>
      <c r="D49" s="45"/>
    </row>
    <row r="50" spans="1:4" x14ac:dyDescent="0.3">
      <c r="A50" s="41">
        <v>20401</v>
      </c>
      <c r="B50" s="45" t="s">
        <v>396</v>
      </c>
      <c r="C50" s="45"/>
      <c r="D50" s="45"/>
    </row>
    <row r="51" spans="1:4" x14ac:dyDescent="0.3">
      <c r="A51" s="41">
        <v>20402</v>
      </c>
      <c r="B51" s="45" t="s">
        <v>399</v>
      </c>
      <c r="C51" s="45"/>
      <c r="D51" s="45"/>
    </row>
    <row r="52" spans="1:4" x14ac:dyDescent="0.3">
      <c r="A52" s="41">
        <v>20403</v>
      </c>
      <c r="B52" s="45" t="s">
        <v>412</v>
      </c>
      <c r="C52" s="45"/>
      <c r="D52" s="45"/>
    </row>
    <row r="53" spans="1:4" x14ac:dyDescent="0.3">
      <c r="A53" s="41">
        <v>20404</v>
      </c>
      <c r="B53" s="45" t="s">
        <v>383</v>
      </c>
      <c r="C53" s="45"/>
      <c r="D53" s="45"/>
    </row>
    <row r="54" spans="1:4" x14ac:dyDescent="0.3">
      <c r="A54" s="41">
        <v>20405</v>
      </c>
      <c r="B54" s="45" t="s">
        <v>400</v>
      </c>
      <c r="C54" s="45"/>
      <c r="D54" s="45"/>
    </row>
    <row r="55" spans="1:4" x14ac:dyDescent="0.3">
      <c r="A55" s="41">
        <v>20501</v>
      </c>
      <c r="B55" s="45" t="s">
        <v>451</v>
      </c>
      <c r="C55" s="45"/>
      <c r="D55" s="45"/>
    </row>
    <row r="56" spans="1:4" x14ac:dyDescent="0.3">
      <c r="A56" s="41">
        <v>20502</v>
      </c>
      <c r="B56" s="45" t="s">
        <v>379</v>
      </c>
      <c r="C56" s="45"/>
      <c r="D56" s="45"/>
    </row>
    <row r="57" spans="1:4" x14ac:dyDescent="0.3">
      <c r="A57" s="41">
        <v>20503</v>
      </c>
      <c r="B57" s="45" t="s">
        <v>386</v>
      </c>
      <c r="C57" s="45"/>
      <c r="D57" s="45"/>
    </row>
    <row r="58" spans="1:4" x14ac:dyDescent="0.3">
      <c r="A58" s="41">
        <v>20601</v>
      </c>
      <c r="B58" s="45" t="s">
        <v>448</v>
      </c>
      <c r="C58" s="45"/>
      <c r="D58" s="45"/>
    </row>
    <row r="59" spans="1:4" x14ac:dyDescent="0.3">
      <c r="A59" s="41">
        <v>20602</v>
      </c>
      <c r="B59" s="45" t="s">
        <v>602</v>
      </c>
      <c r="C59" s="45"/>
      <c r="D59" s="45"/>
    </row>
    <row r="60" spans="1:4" x14ac:dyDescent="0.3">
      <c r="A60" s="41">
        <v>20603</v>
      </c>
      <c r="B60" s="45" t="s">
        <v>499</v>
      </c>
      <c r="C60" s="45"/>
      <c r="D60" s="45"/>
    </row>
    <row r="61" spans="1:4" x14ac:dyDescent="0.3">
      <c r="A61" s="41">
        <v>20604</v>
      </c>
      <c r="B61" s="45" t="s">
        <v>445</v>
      </c>
      <c r="C61" s="45"/>
      <c r="D61" s="45"/>
    </row>
    <row r="62" spans="1:4" x14ac:dyDescent="0.3">
      <c r="A62" s="41">
        <v>20605</v>
      </c>
      <c r="B62" s="45" t="s">
        <v>404</v>
      </c>
      <c r="C62" s="45"/>
      <c r="D62" s="45"/>
    </row>
    <row r="63" spans="1:4" x14ac:dyDescent="0.3">
      <c r="A63" s="41">
        <v>20606</v>
      </c>
      <c r="B63" s="45" t="s">
        <v>638</v>
      </c>
      <c r="C63" s="45"/>
      <c r="D63" s="45"/>
    </row>
    <row r="64" spans="1:4" x14ac:dyDescent="0.3">
      <c r="A64" s="41">
        <v>20607</v>
      </c>
      <c r="B64" s="45" t="s">
        <v>561</v>
      </c>
      <c r="C64" s="45"/>
      <c r="D64" s="45"/>
    </row>
    <row r="65" spans="1:4" x14ac:dyDescent="0.3">
      <c r="A65" s="41">
        <v>20608</v>
      </c>
      <c r="B65" s="45" t="s">
        <v>594</v>
      </c>
      <c r="C65" s="45"/>
      <c r="D65" s="45"/>
    </row>
    <row r="66" spans="1:4" x14ac:dyDescent="0.3">
      <c r="A66" s="41">
        <v>20701</v>
      </c>
      <c r="B66" s="45" t="s">
        <v>529</v>
      </c>
      <c r="C66" s="45"/>
      <c r="D66" s="45"/>
    </row>
    <row r="67" spans="1:4" x14ac:dyDescent="0.3">
      <c r="A67" s="41">
        <v>20702</v>
      </c>
      <c r="B67" s="45" t="s">
        <v>389</v>
      </c>
      <c r="C67" s="45"/>
      <c r="D67" s="45"/>
    </row>
    <row r="68" spans="1:4" x14ac:dyDescent="0.3">
      <c r="A68" s="41">
        <v>20801</v>
      </c>
      <c r="B68" s="45" t="s">
        <v>541</v>
      </c>
      <c r="C68" s="45"/>
      <c r="D68" s="45"/>
    </row>
    <row r="69" spans="1:4" x14ac:dyDescent="0.3">
      <c r="A69" s="41">
        <v>20802</v>
      </c>
      <c r="B69" s="45" t="s">
        <v>449</v>
      </c>
      <c r="C69" s="45"/>
      <c r="D69" s="45"/>
    </row>
    <row r="70" spans="1:4" x14ac:dyDescent="0.3">
      <c r="A70" s="41">
        <v>20803</v>
      </c>
      <c r="B70" s="45" t="s">
        <v>444</v>
      </c>
      <c r="C70" s="45"/>
      <c r="D70" s="45"/>
    </row>
    <row r="71" spans="1:4" x14ac:dyDescent="0.3">
      <c r="A71" s="41">
        <v>20804</v>
      </c>
      <c r="B71" s="45" t="s">
        <v>480</v>
      </c>
      <c r="C71" s="45"/>
      <c r="D71" s="45"/>
    </row>
    <row r="72" spans="1:4" x14ac:dyDescent="0.3">
      <c r="A72" s="41">
        <v>20805</v>
      </c>
      <c r="B72" s="45" t="s">
        <v>458</v>
      </c>
      <c r="C72" s="45"/>
      <c r="D72" s="45"/>
    </row>
    <row r="73" spans="1:4" x14ac:dyDescent="0.3">
      <c r="A73" s="41">
        <v>20806</v>
      </c>
      <c r="B73" s="45" t="s">
        <v>460</v>
      </c>
      <c r="C73" s="45"/>
      <c r="D73" s="45"/>
    </row>
    <row r="74" spans="1:4" x14ac:dyDescent="0.3">
      <c r="A74" s="41">
        <v>20807</v>
      </c>
      <c r="B74" s="45" t="s">
        <v>474</v>
      </c>
      <c r="C74" s="45"/>
      <c r="D74" s="45"/>
    </row>
    <row r="75" spans="1:4" x14ac:dyDescent="0.3">
      <c r="A75" s="41">
        <v>20901</v>
      </c>
      <c r="B75" s="45" t="s">
        <v>464</v>
      </c>
      <c r="C75" s="45"/>
      <c r="D75" s="45"/>
    </row>
    <row r="76" spans="1:4" x14ac:dyDescent="0.3">
      <c r="A76" s="41">
        <v>20902</v>
      </c>
      <c r="B76" s="45" t="s">
        <v>456</v>
      </c>
      <c r="C76" s="45"/>
      <c r="D76" s="45"/>
    </row>
    <row r="77" spans="1:4" x14ac:dyDescent="0.3">
      <c r="A77" s="41">
        <v>20903</v>
      </c>
      <c r="B77" s="45" t="s">
        <v>550</v>
      </c>
      <c r="C77" s="45"/>
      <c r="D77" s="45"/>
    </row>
    <row r="78" spans="1:4" x14ac:dyDescent="0.3">
      <c r="A78" s="41">
        <v>20904</v>
      </c>
      <c r="B78" s="45" t="s">
        <v>487</v>
      </c>
      <c r="C78" s="45"/>
      <c r="D78" s="45"/>
    </row>
    <row r="79" spans="1:4" x14ac:dyDescent="0.3">
      <c r="A79" s="41">
        <v>20905</v>
      </c>
      <c r="B79" s="45" t="s">
        <v>440</v>
      </c>
      <c r="C79" s="45"/>
      <c r="D79" s="45"/>
    </row>
    <row r="80" spans="1:4" x14ac:dyDescent="0.3">
      <c r="A80" s="41">
        <v>21001</v>
      </c>
      <c r="B80" s="45" t="s">
        <v>438</v>
      </c>
      <c r="C80" s="45"/>
      <c r="D80" s="45"/>
    </row>
    <row r="81" spans="1:4" x14ac:dyDescent="0.3">
      <c r="A81" s="41">
        <v>21002</v>
      </c>
      <c r="B81" s="45" t="s">
        <v>508</v>
      </c>
      <c r="C81" s="45"/>
      <c r="D81" s="45"/>
    </row>
    <row r="82" spans="1:4" x14ac:dyDescent="0.3">
      <c r="A82" s="41">
        <v>21003</v>
      </c>
      <c r="B82" s="45" t="s">
        <v>551</v>
      </c>
      <c r="C82" s="45"/>
      <c r="D82" s="45"/>
    </row>
    <row r="83" spans="1:4" x14ac:dyDescent="0.3">
      <c r="A83" s="41">
        <v>21004</v>
      </c>
      <c r="B83" s="45" t="s">
        <v>473</v>
      </c>
      <c r="C83" s="45"/>
      <c r="D83" s="45"/>
    </row>
    <row r="84" spans="1:4" x14ac:dyDescent="0.3">
      <c r="A84" s="41">
        <v>21005</v>
      </c>
      <c r="B84" s="45" t="s">
        <v>466</v>
      </c>
      <c r="C84" s="45"/>
      <c r="D84" s="45"/>
    </row>
    <row r="85" spans="1:4" x14ac:dyDescent="0.3">
      <c r="A85" s="41">
        <v>21006</v>
      </c>
      <c r="B85" s="45" t="s">
        <v>563</v>
      </c>
      <c r="C85" s="45"/>
      <c r="D85" s="45"/>
    </row>
    <row r="86" spans="1:4" x14ac:dyDescent="0.3">
      <c r="A86" s="41">
        <v>21101</v>
      </c>
      <c r="B86" s="45" t="s">
        <v>535</v>
      </c>
      <c r="C86" s="45"/>
      <c r="D86" s="45"/>
    </row>
    <row r="87" spans="1:4" x14ac:dyDescent="0.3">
      <c r="A87" s="41">
        <v>21102</v>
      </c>
      <c r="B87" s="45" t="s">
        <v>446</v>
      </c>
      <c r="C87" s="45"/>
      <c r="D87" s="45"/>
    </row>
    <row r="88" spans="1:4" x14ac:dyDescent="0.3">
      <c r="A88" s="41">
        <v>21103</v>
      </c>
      <c r="B88" s="45" t="s">
        <v>576</v>
      </c>
      <c r="C88" s="45"/>
      <c r="D88" s="45"/>
    </row>
    <row r="89" spans="1:4" x14ac:dyDescent="0.3">
      <c r="A89" s="41">
        <v>21104</v>
      </c>
      <c r="B89" s="45" t="s">
        <v>546</v>
      </c>
      <c r="C89" s="45"/>
      <c r="D89" s="45"/>
    </row>
    <row r="90" spans="1:4" x14ac:dyDescent="0.3">
      <c r="A90" s="41">
        <v>21105</v>
      </c>
      <c r="B90" s="45" t="s">
        <v>402</v>
      </c>
      <c r="C90" s="45"/>
      <c r="D90" s="45"/>
    </row>
    <row r="91" spans="1:4" x14ac:dyDescent="0.3">
      <c r="A91" s="41">
        <v>21201</v>
      </c>
      <c r="B91" s="45" t="s">
        <v>407</v>
      </c>
      <c r="C91" s="45"/>
      <c r="D91" s="45"/>
    </row>
    <row r="92" spans="1:4" x14ac:dyDescent="0.3">
      <c r="A92" s="41">
        <v>21202</v>
      </c>
      <c r="B92" s="45" t="s">
        <v>432</v>
      </c>
      <c r="C92" s="45"/>
      <c r="D92" s="45"/>
    </row>
    <row r="93" spans="1:4" x14ac:dyDescent="0.3">
      <c r="A93" s="41">
        <v>21203</v>
      </c>
      <c r="B93" s="45" t="s">
        <v>430</v>
      </c>
      <c r="C93" s="45"/>
      <c r="D93" s="45"/>
    </row>
    <row r="94" spans="1:4" x14ac:dyDescent="0.3">
      <c r="A94" s="41">
        <v>21204</v>
      </c>
      <c r="B94" s="45" t="s">
        <v>397</v>
      </c>
      <c r="C94" s="45"/>
      <c r="D94" s="45"/>
    </row>
    <row r="95" spans="1:4" x14ac:dyDescent="0.3">
      <c r="A95" s="41">
        <v>21301</v>
      </c>
      <c r="B95" s="45" t="s">
        <v>484</v>
      </c>
      <c r="C95" s="45"/>
      <c r="D95" s="45"/>
    </row>
    <row r="96" spans="1:4" x14ac:dyDescent="0.3">
      <c r="A96" s="41">
        <v>21302</v>
      </c>
      <c r="B96" s="45" t="s">
        <v>392</v>
      </c>
      <c r="C96" s="45"/>
      <c r="D96" s="45"/>
    </row>
    <row r="97" spans="1:4" x14ac:dyDescent="0.3">
      <c r="A97" s="41">
        <v>21303</v>
      </c>
      <c r="B97" s="45" t="s">
        <v>424</v>
      </c>
      <c r="C97" s="45"/>
      <c r="D97" s="45"/>
    </row>
    <row r="98" spans="1:4" x14ac:dyDescent="0.3">
      <c r="A98" s="41">
        <v>21304</v>
      </c>
      <c r="B98" s="45" t="s">
        <v>485</v>
      </c>
      <c r="C98" s="45"/>
      <c r="D98" s="45"/>
    </row>
    <row r="99" spans="1:4" x14ac:dyDescent="0.3">
      <c r="A99" s="41">
        <v>21305</v>
      </c>
      <c r="B99" s="45" t="s">
        <v>437</v>
      </c>
      <c r="C99" s="45"/>
      <c r="D99" s="45"/>
    </row>
    <row r="100" spans="1:4" x14ac:dyDescent="0.3">
      <c r="A100" s="41">
        <v>21306</v>
      </c>
      <c r="B100" s="45" t="s">
        <v>528</v>
      </c>
      <c r="C100" s="45"/>
      <c r="D100" s="45"/>
    </row>
    <row r="101" spans="1:4" x14ac:dyDescent="0.3">
      <c r="A101" s="41">
        <v>21307</v>
      </c>
      <c r="B101" s="45" t="s">
        <v>625</v>
      </c>
      <c r="C101" s="45"/>
      <c r="D101" s="45"/>
    </row>
    <row r="102" spans="1:4" x14ac:dyDescent="0.3">
      <c r="A102" s="41">
        <v>21401</v>
      </c>
      <c r="B102" s="45" t="s">
        <v>503</v>
      </c>
      <c r="C102" s="45"/>
      <c r="D102" s="45"/>
    </row>
    <row r="103" spans="1:4" x14ac:dyDescent="0.3">
      <c r="A103" s="41">
        <v>21402</v>
      </c>
      <c r="B103" s="45" t="s">
        <v>462</v>
      </c>
      <c r="C103" s="45"/>
      <c r="D103" s="45"/>
    </row>
    <row r="104" spans="1:4" x14ac:dyDescent="0.3">
      <c r="A104" s="41">
        <v>21501</v>
      </c>
      <c r="B104" s="45" t="s">
        <v>543</v>
      </c>
      <c r="C104" s="45"/>
      <c r="D104" s="45"/>
    </row>
    <row r="105" spans="1:4" x14ac:dyDescent="0.3">
      <c r="A105" s="41">
        <v>21502</v>
      </c>
      <c r="B105" s="45" t="s">
        <v>613</v>
      </c>
      <c r="C105" s="45"/>
      <c r="D105" s="45"/>
    </row>
    <row r="106" spans="1:4" x14ac:dyDescent="0.3">
      <c r="A106" s="41">
        <v>21601</v>
      </c>
      <c r="B106" s="45" t="s">
        <v>382</v>
      </c>
      <c r="C106" s="45"/>
      <c r="D106" s="45"/>
    </row>
    <row r="107" spans="1:4" x14ac:dyDescent="0.3">
      <c r="A107" s="41">
        <v>21602</v>
      </c>
      <c r="B107" s="45" t="s">
        <v>376</v>
      </c>
      <c r="C107" s="45"/>
      <c r="D107" s="45"/>
    </row>
    <row r="108" spans="1:4" x14ac:dyDescent="0.3">
      <c r="A108" s="41">
        <v>21701</v>
      </c>
      <c r="B108" s="45" t="s">
        <v>423</v>
      </c>
      <c r="C108" s="45"/>
      <c r="D108" s="45"/>
    </row>
    <row r="109" spans="1:4" x14ac:dyDescent="0.3">
      <c r="A109" s="41">
        <v>21702</v>
      </c>
      <c r="B109" s="45" t="s">
        <v>476</v>
      </c>
      <c r="C109" s="45"/>
      <c r="D109" s="45"/>
    </row>
    <row r="110" spans="1:4" x14ac:dyDescent="0.3">
      <c r="A110" s="41">
        <v>21703</v>
      </c>
      <c r="B110" s="45" t="s">
        <v>518</v>
      </c>
      <c r="C110" s="45"/>
      <c r="D110" s="45"/>
    </row>
    <row r="111" spans="1:4" x14ac:dyDescent="0.3">
      <c r="A111" s="41">
        <v>21801</v>
      </c>
      <c r="B111" s="45" t="s">
        <v>496</v>
      </c>
      <c r="C111" s="45"/>
      <c r="D111" s="45"/>
    </row>
    <row r="112" spans="1:4" x14ac:dyDescent="0.3">
      <c r="A112" s="41">
        <v>21802</v>
      </c>
      <c r="B112" s="45" t="s">
        <v>531</v>
      </c>
      <c r="C112" s="45"/>
      <c r="D112" s="45"/>
    </row>
    <row r="113" spans="1:4" x14ac:dyDescent="0.3">
      <c r="A113" s="41">
        <v>21803</v>
      </c>
      <c r="B113" s="45" t="s">
        <v>395</v>
      </c>
      <c r="C113" s="45"/>
      <c r="D113" s="45"/>
    </row>
    <row r="114" spans="1:4" x14ac:dyDescent="0.3">
      <c r="A114" s="41">
        <v>21901</v>
      </c>
      <c r="B114" s="45" t="s">
        <v>509</v>
      </c>
      <c r="C114" s="45"/>
      <c r="D114" s="45"/>
    </row>
    <row r="115" spans="1:4" x14ac:dyDescent="0.3">
      <c r="A115" s="41">
        <v>21902</v>
      </c>
      <c r="B115" s="45" t="s">
        <v>417</v>
      </c>
      <c r="C115" s="45"/>
      <c r="D115" s="45"/>
    </row>
    <row r="116" spans="1:4" x14ac:dyDescent="0.3">
      <c r="A116" s="41">
        <v>22001</v>
      </c>
      <c r="B116" s="45" t="s">
        <v>514</v>
      </c>
      <c r="C116" s="45"/>
      <c r="D116" s="45"/>
    </row>
    <row r="117" spans="1:4" x14ac:dyDescent="0.3">
      <c r="A117" s="41">
        <v>22002</v>
      </c>
      <c r="B117" s="45" t="s">
        <v>479</v>
      </c>
      <c r="C117" s="45"/>
      <c r="D117" s="45"/>
    </row>
    <row r="118" spans="1:4" x14ac:dyDescent="0.3">
      <c r="A118" s="41">
        <v>30101</v>
      </c>
      <c r="B118" s="45" t="s">
        <v>355</v>
      </c>
      <c r="C118" s="45"/>
      <c r="D118" s="45"/>
    </row>
    <row r="119" spans="1:4" x14ac:dyDescent="0.3">
      <c r="A119" s="41">
        <v>30201</v>
      </c>
      <c r="B119" s="45" t="s">
        <v>585</v>
      </c>
      <c r="C119" s="45"/>
      <c r="D119" s="45"/>
    </row>
    <row r="120" spans="1:4" x14ac:dyDescent="0.3">
      <c r="A120" s="41">
        <v>30202</v>
      </c>
      <c r="B120" s="45" t="s">
        <v>684</v>
      </c>
      <c r="C120" s="45"/>
      <c r="D120" s="45"/>
    </row>
    <row r="121" spans="1:4" x14ac:dyDescent="0.3">
      <c r="A121" s="41">
        <v>30203</v>
      </c>
      <c r="B121" s="45" t="s">
        <v>679</v>
      </c>
      <c r="C121" s="45"/>
      <c r="D121" s="45"/>
    </row>
    <row r="122" spans="1:4" x14ac:dyDescent="0.3">
      <c r="A122" s="41">
        <v>30301</v>
      </c>
      <c r="B122" s="45" t="s">
        <v>426</v>
      </c>
      <c r="C122" s="45"/>
      <c r="D122" s="45"/>
    </row>
    <row r="123" spans="1:4" x14ac:dyDescent="0.3">
      <c r="A123" s="41">
        <v>30302</v>
      </c>
      <c r="B123" s="45" t="s">
        <v>374</v>
      </c>
      <c r="C123" s="45"/>
      <c r="D123" s="45"/>
    </row>
    <row r="124" spans="1:4" x14ac:dyDescent="0.3">
      <c r="A124" s="41">
        <v>30303</v>
      </c>
      <c r="B124" s="45" t="s">
        <v>375</v>
      </c>
      <c r="C124" s="45"/>
      <c r="D124" s="45"/>
    </row>
    <row r="125" spans="1:4" x14ac:dyDescent="0.3">
      <c r="A125" s="41">
        <v>30401</v>
      </c>
      <c r="B125" s="45" t="s">
        <v>475</v>
      </c>
      <c r="C125" s="45"/>
      <c r="D125" s="45"/>
    </row>
    <row r="126" spans="1:4" x14ac:dyDescent="0.3">
      <c r="A126" s="41">
        <v>30402</v>
      </c>
      <c r="B126" s="45" t="s">
        <v>443</v>
      </c>
      <c r="C126" s="45"/>
      <c r="D126" s="45"/>
    </row>
    <row r="127" spans="1:4" x14ac:dyDescent="0.3">
      <c r="A127" s="41">
        <v>30403</v>
      </c>
      <c r="B127" s="45" t="s">
        <v>403</v>
      </c>
      <c r="C127" s="45"/>
      <c r="D127" s="45"/>
    </row>
    <row r="128" spans="1:4" x14ac:dyDescent="0.3">
      <c r="A128" s="41">
        <v>30404</v>
      </c>
      <c r="B128" s="45" t="s">
        <v>406</v>
      </c>
      <c r="C128" s="45"/>
      <c r="D128" s="45"/>
    </row>
    <row r="129" spans="1:4" x14ac:dyDescent="0.3">
      <c r="A129" s="41">
        <v>30501</v>
      </c>
      <c r="B129" s="45" t="s">
        <v>605</v>
      </c>
      <c r="C129" s="45"/>
      <c r="D129" s="45"/>
    </row>
    <row r="130" spans="1:4" x14ac:dyDescent="0.3">
      <c r="A130" s="41">
        <v>30502</v>
      </c>
      <c r="B130" s="45" t="s">
        <v>393</v>
      </c>
      <c r="C130" s="45"/>
      <c r="D130" s="45"/>
    </row>
    <row r="131" spans="1:4" x14ac:dyDescent="0.3">
      <c r="A131" s="41">
        <v>30601</v>
      </c>
      <c r="B131" s="45" t="s">
        <v>372</v>
      </c>
      <c r="C131" s="45"/>
      <c r="D131" s="45"/>
    </row>
    <row r="132" spans="1:4" x14ac:dyDescent="0.3">
      <c r="A132" s="41">
        <v>30602</v>
      </c>
      <c r="B132" s="45" t="s">
        <v>381</v>
      </c>
      <c r="C132" s="45"/>
      <c r="D132" s="45"/>
    </row>
    <row r="133" spans="1:4" x14ac:dyDescent="0.3">
      <c r="A133" s="41">
        <v>30701</v>
      </c>
      <c r="B133" s="45" t="s">
        <v>537</v>
      </c>
      <c r="C133" s="45"/>
      <c r="D133" s="45"/>
    </row>
    <row r="134" spans="1:4" x14ac:dyDescent="0.3">
      <c r="A134" s="41">
        <v>30702</v>
      </c>
      <c r="B134" s="45" t="s">
        <v>491</v>
      </c>
      <c r="C134" s="45"/>
      <c r="D134" s="45"/>
    </row>
    <row r="135" spans="1:4" x14ac:dyDescent="0.3">
      <c r="A135" s="41">
        <v>30703</v>
      </c>
      <c r="B135" s="45" t="s">
        <v>394</v>
      </c>
      <c r="C135" s="45"/>
      <c r="D135" s="45"/>
    </row>
    <row r="136" spans="1:4" x14ac:dyDescent="0.3">
      <c r="A136" s="41">
        <v>30801</v>
      </c>
      <c r="B136" s="45" t="s">
        <v>552</v>
      </c>
      <c r="C136" s="45"/>
      <c r="D136" s="45"/>
    </row>
    <row r="137" spans="1:4" x14ac:dyDescent="0.3">
      <c r="A137" s="41">
        <v>30802</v>
      </c>
      <c r="B137" s="45" t="s">
        <v>597</v>
      </c>
      <c r="C137" s="45"/>
      <c r="D137" s="45"/>
    </row>
    <row r="138" spans="1:4" x14ac:dyDescent="0.3">
      <c r="A138" s="41">
        <v>30803</v>
      </c>
      <c r="B138" s="45" t="s">
        <v>434</v>
      </c>
      <c r="C138" s="45"/>
      <c r="D138" s="45"/>
    </row>
    <row r="139" spans="1:4" x14ac:dyDescent="0.3">
      <c r="A139" s="41">
        <v>30901</v>
      </c>
      <c r="B139" s="45" t="s">
        <v>548</v>
      </c>
      <c r="C139" s="45"/>
      <c r="D139" s="45"/>
    </row>
    <row r="140" spans="1:4" x14ac:dyDescent="0.3">
      <c r="A140" s="41">
        <v>30902</v>
      </c>
      <c r="B140" s="45" t="s">
        <v>459</v>
      </c>
      <c r="C140" s="45"/>
      <c r="D140" s="45"/>
    </row>
    <row r="141" spans="1:4" x14ac:dyDescent="0.3">
      <c r="A141" s="41">
        <v>30903</v>
      </c>
      <c r="B141" s="45" t="s">
        <v>621</v>
      </c>
      <c r="C141" s="45"/>
      <c r="D141" s="45"/>
    </row>
    <row r="142" spans="1:4" x14ac:dyDescent="0.3">
      <c r="A142" s="41">
        <v>30904</v>
      </c>
      <c r="B142" s="45" t="s">
        <v>498</v>
      </c>
      <c r="C142" s="45"/>
      <c r="D142" s="45"/>
    </row>
    <row r="143" spans="1:4" x14ac:dyDescent="0.3">
      <c r="A143" s="41">
        <v>30905</v>
      </c>
      <c r="B143" s="45" t="s">
        <v>628</v>
      </c>
      <c r="C143" s="45"/>
      <c r="D143" s="45"/>
    </row>
    <row r="144" spans="1:4" x14ac:dyDescent="0.3">
      <c r="A144" s="41">
        <v>31001</v>
      </c>
      <c r="B144" s="45" t="s">
        <v>591</v>
      </c>
      <c r="C144" s="45"/>
      <c r="D144" s="45"/>
    </row>
    <row r="145" spans="1:4" x14ac:dyDescent="0.3">
      <c r="A145" s="41">
        <v>31002</v>
      </c>
      <c r="B145" s="45" t="s">
        <v>477</v>
      </c>
      <c r="C145" s="45"/>
      <c r="D145" s="45"/>
    </row>
    <row r="146" spans="1:4" x14ac:dyDescent="0.3">
      <c r="A146" s="41">
        <v>31003</v>
      </c>
      <c r="B146" s="45" t="s">
        <v>439</v>
      </c>
      <c r="C146" s="45"/>
      <c r="D146" s="45"/>
    </row>
    <row r="147" spans="1:4" x14ac:dyDescent="0.3">
      <c r="A147" s="41">
        <v>31101</v>
      </c>
      <c r="B147" s="45" t="s">
        <v>370</v>
      </c>
      <c r="C147" s="45"/>
      <c r="D147" s="45"/>
    </row>
    <row r="148" spans="1:4" x14ac:dyDescent="0.3">
      <c r="A148" s="41">
        <v>31201</v>
      </c>
      <c r="B148" s="45" t="s">
        <v>378</v>
      </c>
      <c r="C148" s="45"/>
      <c r="D148" s="45"/>
    </row>
    <row r="149" spans="1:4" x14ac:dyDescent="0.3">
      <c r="A149" s="41">
        <v>31202</v>
      </c>
      <c r="B149" s="45" t="s">
        <v>457</v>
      </c>
      <c r="C149" s="45"/>
      <c r="D149" s="45"/>
    </row>
    <row r="150" spans="1:4" x14ac:dyDescent="0.3">
      <c r="A150" s="41">
        <v>31203</v>
      </c>
      <c r="B150" s="45" t="s">
        <v>408</v>
      </c>
      <c r="C150" s="45"/>
      <c r="D150" s="45"/>
    </row>
    <row r="151" spans="1:4" x14ac:dyDescent="0.3">
      <c r="A151" s="41">
        <v>31204</v>
      </c>
      <c r="B151" s="45" t="s">
        <v>465</v>
      </c>
      <c r="C151" s="45"/>
      <c r="D151" s="45"/>
    </row>
    <row r="152" spans="1:4" x14ac:dyDescent="0.3">
      <c r="A152" s="41">
        <v>31205</v>
      </c>
      <c r="B152" s="45" t="s">
        <v>452</v>
      </c>
      <c r="C152" s="45"/>
      <c r="D152" s="45"/>
    </row>
    <row r="153" spans="1:4" x14ac:dyDescent="0.3">
      <c r="A153" s="41">
        <v>31206</v>
      </c>
      <c r="B153" s="45" t="s">
        <v>453</v>
      </c>
      <c r="C153" s="45"/>
      <c r="D153" s="45"/>
    </row>
    <row r="154" spans="1:4" x14ac:dyDescent="0.3">
      <c r="A154" s="41">
        <v>31301</v>
      </c>
      <c r="B154" s="45" t="s">
        <v>534</v>
      </c>
      <c r="C154" s="45"/>
      <c r="D154" s="45"/>
    </row>
    <row r="155" spans="1:4" x14ac:dyDescent="0.3">
      <c r="A155" s="41">
        <v>31302</v>
      </c>
      <c r="B155" s="45" t="s">
        <v>398</v>
      </c>
      <c r="C155" s="45"/>
      <c r="D155" s="45"/>
    </row>
    <row r="156" spans="1:4" x14ac:dyDescent="0.3">
      <c r="A156" s="41">
        <v>31303</v>
      </c>
      <c r="B156" s="45" t="s">
        <v>454</v>
      </c>
      <c r="C156" s="45"/>
      <c r="D156" s="45"/>
    </row>
    <row r="157" spans="1:4" x14ac:dyDescent="0.3">
      <c r="A157" s="41">
        <v>31304</v>
      </c>
      <c r="B157" s="45" t="s">
        <v>369</v>
      </c>
      <c r="C157" s="45"/>
      <c r="D157" s="45"/>
    </row>
    <row r="158" spans="1:4" x14ac:dyDescent="0.3">
      <c r="A158" s="41">
        <v>31401</v>
      </c>
      <c r="B158" s="45" t="s">
        <v>542</v>
      </c>
      <c r="C158" s="45"/>
      <c r="D158" s="45"/>
    </row>
    <row r="159" spans="1:4" x14ac:dyDescent="0.3">
      <c r="A159" s="41">
        <v>31402</v>
      </c>
      <c r="B159" s="45" t="s">
        <v>507</v>
      </c>
      <c r="C159" s="45"/>
      <c r="D159" s="45"/>
    </row>
    <row r="160" spans="1:4" x14ac:dyDescent="0.3">
      <c r="A160" s="41">
        <v>31403</v>
      </c>
      <c r="B160" s="45" t="s">
        <v>622</v>
      </c>
      <c r="C160" s="45"/>
      <c r="D160" s="45"/>
    </row>
    <row r="161" spans="1:4" x14ac:dyDescent="0.3">
      <c r="A161" s="41">
        <v>31404</v>
      </c>
      <c r="B161" s="45" t="s">
        <v>617</v>
      </c>
      <c r="C161" s="45"/>
      <c r="D161" s="45"/>
    </row>
    <row r="162" spans="1:4" x14ac:dyDescent="0.3">
      <c r="A162" s="41">
        <v>31405</v>
      </c>
      <c r="B162" s="45" t="s">
        <v>471</v>
      </c>
      <c r="C162" s="45"/>
      <c r="D162" s="45"/>
    </row>
    <row r="163" spans="1:4" x14ac:dyDescent="0.3">
      <c r="A163" s="41">
        <v>31501</v>
      </c>
      <c r="B163" s="45" t="s">
        <v>377</v>
      </c>
      <c r="C163" s="45"/>
      <c r="D163" s="45"/>
    </row>
    <row r="164" spans="1:4" x14ac:dyDescent="0.3">
      <c r="A164" s="41">
        <v>31601</v>
      </c>
      <c r="B164" s="45" t="s">
        <v>447</v>
      </c>
      <c r="C164" s="45"/>
      <c r="D164" s="45"/>
    </row>
    <row r="165" spans="1:4" x14ac:dyDescent="0.3">
      <c r="A165" s="41">
        <v>31602</v>
      </c>
      <c r="B165" s="45" t="s">
        <v>482</v>
      </c>
      <c r="C165" s="45"/>
      <c r="D165" s="45"/>
    </row>
    <row r="166" spans="1:4" x14ac:dyDescent="0.3">
      <c r="A166" s="41">
        <v>40101</v>
      </c>
      <c r="B166" s="45" t="s">
        <v>356</v>
      </c>
      <c r="C166" s="45"/>
      <c r="D166" s="45"/>
    </row>
    <row r="167" spans="1:4" x14ac:dyDescent="0.3">
      <c r="A167" s="41">
        <v>40102</v>
      </c>
      <c r="B167" s="45" t="s">
        <v>515</v>
      </c>
      <c r="C167" s="45"/>
      <c r="D167" s="45"/>
    </row>
    <row r="168" spans="1:4" x14ac:dyDescent="0.3">
      <c r="A168" s="41">
        <v>40103</v>
      </c>
      <c r="B168" s="45" t="s">
        <v>555</v>
      </c>
      <c r="C168" s="45"/>
      <c r="D168" s="45"/>
    </row>
    <row r="169" spans="1:4" x14ac:dyDescent="0.3">
      <c r="A169" s="41">
        <v>40104</v>
      </c>
      <c r="B169" s="45" t="s">
        <v>478</v>
      </c>
      <c r="C169" s="45"/>
      <c r="D169" s="45"/>
    </row>
    <row r="170" spans="1:4" x14ac:dyDescent="0.3">
      <c r="A170" s="41">
        <v>40201</v>
      </c>
      <c r="B170" s="45" t="s">
        <v>420</v>
      </c>
      <c r="C170" s="45"/>
      <c r="D170" s="45"/>
    </row>
    <row r="171" spans="1:4" x14ac:dyDescent="0.3">
      <c r="A171" s="41">
        <v>40202</v>
      </c>
      <c r="B171" s="45" t="s">
        <v>513</v>
      </c>
      <c r="C171" s="45"/>
      <c r="D171" s="45"/>
    </row>
    <row r="172" spans="1:4" x14ac:dyDescent="0.3">
      <c r="A172" s="41">
        <v>40301</v>
      </c>
      <c r="B172" s="45" t="s">
        <v>521</v>
      </c>
      <c r="C172" s="45"/>
      <c r="D172" s="45"/>
    </row>
    <row r="173" spans="1:4" x14ac:dyDescent="0.3">
      <c r="A173" s="41">
        <v>40302</v>
      </c>
      <c r="B173" s="45" t="s">
        <v>492</v>
      </c>
      <c r="C173" s="45"/>
      <c r="D173" s="45"/>
    </row>
    <row r="174" spans="1:4" x14ac:dyDescent="0.3">
      <c r="A174" s="41">
        <v>40401</v>
      </c>
      <c r="B174" s="45" t="s">
        <v>483</v>
      </c>
      <c r="C174" s="45"/>
      <c r="D174" s="45"/>
    </row>
    <row r="175" spans="1:4" x14ac:dyDescent="0.3">
      <c r="A175" s="41">
        <v>40402</v>
      </c>
      <c r="B175" s="45" t="s">
        <v>572</v>
      </c>
      <c r="C175" s="45"/>
      <c r="D175" s="45"/>
    </row>
    <row r="176" spans="1:4" x14ac:dyDescent="0.3">
      <c r="A176" s="41">
        <v>40501</v>
      </c>
      <c r="B176" s="45" t="s">
        <v>573</v>
      </c>
      <c r="C176" s="45"/>
      <c r="D176" s="45"/>
    </row>
    <row r="177" spans="1:4" x14ac:dyDescent="0.3">
      <c r="A177" s="41">
        <v>40502</v>
      </c>
      <c r="B177" s="45" t="s">
        <v>571</v>
      </c>
      <c r="C177" s="45"/>
      <c r="D177" s="45"/>
    </row>
    <row r="178" spans="1:4" x14ac:dyDescent="0.3">
      <c r="A178" s="41">
        <v>40503</v>
      </c>
      <c r="B178" s="45" t="s">
        <v>678</v>
      </c>
      <c r="C178" s="45"/>
      <c r="D178" s="45"/>
    </row>
    <row r="179" spans="1:4" x14ac:dyDescent="0.3">
      <c r="A179" s="41">
        <v>40504</v>
      </c>
      <c r="B179" s="45" t="s">
        <v>603</v>
      </c>
      <c r="C179" s="45"/>
      <c r="D179" s="45"/>
    </row>
    <row r="180" spans="1:4" x14ac:dyDescent="0.3">
      <c r="A180" s="41">
        <v>40505</v>
      </c>
      <c r="B180" s="45" t="s">
        <v>631</v>
      </c>
      <c r="C180" s="45"/>
      <c r="D180" s="45"/>
    </row>
    <row r="181" spans="1:4" x14ac:dyDescent="0.3">
      <c r="A181" s="41">
        <v>40601</v>
      </c>
      <c r="B181" s="45" t="s">
        <v>650</v>
      </c>
      <c r="C181" s="45"/>
      <c r="D181" s="45"/>
    </row>
    <row r="182" spans="1:4" x14ac:dyDescent="0.3">
      <c r="A182" s="41">
        <v>40602</v>
      </c>
      <c r="B182" s="45" t="s">
        <v>470</v>
      </c>
      <c r="C182" s="45"/>
      <c r="D182" s="45"/>
    </row>
    <row r="183" spans="1:4" x14ac:dyDescent="0.3">
      <c r="A183" s="41">
        <v>40603</v>
      </c>
      <c r="B183" s="45" t="s">
        <v>494</v>
      </c>
      <c r="C183" s="45"/>
      <c r="D183" s="45"/>
    </row>
    <row r="184" spans="1:4" x14ac:dyDescent="0.3">
      <c r="A184" s="41">
        <v>40701</v>
      </c>
      <c r="B184" s="45" t="s">
        <v>600</v>
      </c>
      <c r="C184" s="45"/>
      <c r="D184" s="45"/>
    </row>
    <row r="185" spans="1:4" x14ac:dyDescent="0.3">
      <c r="A185" s="41">
        <v>40702</v>
      </c>
      <c r="B185" s="45" t="s">
        <v>607</v>
      </c>
      <c r="C185" s="45"/>
      <c r="D185" s="45"/>
    </row>
    <row r="186" spans="1:4" x14ac:dyDescent="0.3">
      <c r="A186" s="41">
        <v>40801</v>
      </c>
      <c r="B186" s="45" t="s">
        <v>488</v>
      </c>
      <c r="C186" s="45"/>
      <c r="D186" s="45"/>
    </row>
    <row r="187" spans="1:4" x14ac:dyDescent="0.3">
      <c r="A187" s="41">
        <v>40802</v>
      </c>
      <c r="B187" s="45" t="s">
        <v>429</v>
      </c>
      <c r="C187" s="45"/>
      <c r="D187" s="45"/>
    </row>
    <row r="188" spans="1:4" x14ac:dyDescent="0.3">
      <c r="A188" s="41">
        <v>40901</v>
      </c>
      <c r="B188" s="45" t="s">
        <v>596</v>
      </c>
      <c r="C188" s="45"/>
      <c r="D188" s="45"/>
    </row>
    <row r="189" spans="1:4" x14ac:dyDescent="0.3">
      <c r="A189" s="41">
        <v>40902</v>
      </c>
      <c r="B189" s="45" t="s">
        <v>506</v>
      </c>
      <c r="C189" s="45"/>
      <c r="D189" s="45"/>
    </row>
    <row r="190" spans="1:4" x14ac:dyDescent="0.3">
      <c r="A190" s="41">
        <v>40903</v>
      </c>
      <c r="B190" s="45" t="s">
        <v>415</v>
      </c>
      <c r="C190" s="45"/>
      <c r="D190" s="45"/>
    </row>
    <row r="191" spans="1:4" x14ac:dyDescent="0.3">
      <c r="A191" s="41">
        <v>41001</v>
      </c>
      <c r="B191" s="45" t="s">
        <v>486</v>
      </c>
      <c r="C191" s="45"/>
      <c r="D191" s="45"/>
    </row>
    <row r="192" spans="1:4" x14ac:dyDescent="0.3">
      <c r="A192" s="41">
        <v>41101</v>
      </c>
      <c r="B192" s="45" t="s">
        <v>405</v>
      </c>
      <c r="C192" s="45"/>
      <c r="D192" s="45"/>
    </row>
    <row r="193" spans="1:4" x14ac:dyDescent="0.3">
      <c r="A193" s="41">
        <v>41201</v>
      </c>
      <c r="B193" s="45" t="s">
        <v>560</v>
      </c>
      <c r="C193" s="45"/>
      <c r="D193" s="45"/>
    </row>
    <row r="194" spans="1:4" x14ac:dyDescent="0.3">
      <c r="A194" s="41">
        <v>41202</v>
      </c>
      <c r="B194" s="45" t="s">
        <v>504</v>
      </c>
      <c r="C194" s="45"/>
      <c r="D194" s="45"/>
    </row>
    <row r="195" spans="1:4" x14ac:dyDescent="0.3">
      <c r="A195" s="41">
        <v>41301</v>
      </c>
      <c r="B195" s="45" t="s">
        <v>378</v>
      </c>
      <c r="C195" s="45"/>
      <c r="D195" s="45"/>
    </row>
    <row r="196" spans="1:4" x14ac:dyDescent="0.3">
      <c r="A196" s="41">
        <v>41401</v>
      </c>
      <c r="B196" s="45" t="s">
        <v>575</v>
      </c>
      <c r="C196" s="45"/>
      <c r="D196" s="45"/>
    </row>
    <row r="197" spans="1:4" x14ac:dyDescent="0.3">
      <c r="A197" s="41">
        <v>41501</v>
      </c>
      <c r="B197" s="45" t="s">
        <v>530</v>
      </c>
      <c r="C197" s="45"/>
      <c r="D197" s="45"/>
    </row>
    <row r="198" spans="1:4" x14ac:dyDescent="0.3">
      <c r="A198" s="41">
        <v>41502</v>
      </c>
      <c r="B198" s="45" t="s">
        <v>610</v>
      </c>
      <c r="C198" s="45"/>
      <c r="D198" s="45"/>
    </row>
    <row r="199" spans="1:4" x14ac:dyDescent="0.3">
      <c r="A199" s="41">
        <v>41503</v>
      </c>
      <c r="B199" s="45" t="s">
        <v>533</v>
      </c>
      <c r="C199" s="45"/>
      <c r="D199" s="45"/>
    </row>
    <row r="200" spans="1:4" x14ac:dyDescent="0.3">
      <c r="A200" s="41">
        <v>41601</v>
      </c>
      <c r="B200" s="45" t="s">
        <v>502</v>
      </c>
      <c r="C200" s="45"/>
      <c r="D200" s="45"/>
    </row>
    <row r="201" spans="1:4" x14ac:dyDescent="0.3">
      <c r="A201" s="41">
        <v>50101</v>
      </c>
      <c r="B201" s="45" t="s">
        <v>519</v>
      </c>
      <c r="C201" s="45"/>
      <c r="D201" s="45"/>
    </row>
    <row r="202" spans="1:4" x14ac:dyDescent="0.3">
      <c r="A202" s="41">
        <v>50102</v>
      </c>
      <c r="B202" s="45" t="s">
        <v>387</v>
      </c>
      <c r="C202" s="45"/>
      <c r="D202" s="45"/>
    </row>
    <row r="203" spans="1:4" x14ac:dyDescent="0.3">
      <c r="A203" s="41">
        <v>50103</v>
      </c>
      <c r="B203" s="45" t="s">
        <v>547</v>
      </c>
      <c r="C203" s="45"/>
      <c r="D203" s="45"/>
    </row>
    <row r="204" spans="1:4" x14ac:dyDescent="0.3">
      <c r="A204" s="41">
        <v>50104</v>
      </c>
      <c r="B204" s="45" t="s">
        <v>416</v>
      </c>
      <c r="C204" s="45"/>
      <c r="D204" s="45"/>
    </row>
    <row r="205" spans="1:4" x14ac:dyDescent="0.3">
      <c r="A205" s="41">
        <v>50201</v>
      </c>
      <c r="B205" s="45" t="s">
        <v>421</v>
      </c>
      <c r="C205" s="45"/>
      <c r="D205" s="45"/>
    </row>
    <row r="206" spans="1:4" x14ac:dyDescent="0.3">
      <c r="A206" s="41">
        <v>50202</v>
      </c>
      <c r="B206" s="45" t="s">
        <v>467</v>
      </c>
      <c r="C206" s="45"/>
      <c r="D206" s="45"/>
    </row>
    <row r="207" spans="1:4" x14ac:dyDescent="0.3">
      <c r="A207" s="41">
        <v>50203</v>
      </c>
      <c r="B207" s="45" t="s">
        <v>516</v>
      </c>
      <c r="C207" s="45"/>
      <c r="D207" s="45"/>
    </row>
    <row r="208" spans="1:4" x14ac:dyDescent="0.3">
      <c r="A208" s="41">
        <v>50204</v>
      </c>
      <c r="B208" s="45" t="s">
        <v>442</v>
      </c>
      <c r="C208" s="45"/>
      <c r="D208" s="45"/>
    </row>
    <row r="209" spans="1:4" x14ac:dyDescent="0.3">
      <c r="A209" s="41">
        <v>50301</v>
      </c>
      <c r="B209" s="45" t="s">
        <v>411</v>
      </c>
      <c r="C209" s="45"/>
      <c r="D209" s="45"/>
    </row>
    <row r="210" spans="1:4" x14ac:dyDescent="0.3">
      <c r="A210" s="41">
        <v>50302</v>
      </c>
      <c r="B210" s="45" t="s">
        <v>427</v>
      </c>
      <c r="C210" s="45"/>
      <c r="D210" s="45"/>
    </row>
    <row r="211" spans="1:4" x14ac:dyDescent="0.3">
      <c r="A211" s="41">
        <v>50303</v>
      </c>
      <c r="B211" s="45" t="s">
        <v>409</v>
      </c>
      <c r="C211" s="45"/>
      <c r="D211" s="45"/>
    </row>
    <row r="212" spans="1:4" x14ac:dyDescent="0.3">
      <c r="A212" s="41">
        <v>50401</v>
      </c>
      <c r="B212" s="45" t="s">
        <v>441</v>
      </c>
      <c r="C212" s="45"/>
      <c r="D212" s="45"/>
    </row>
    <row r="213" spans="1:4" x14ac:dyDescent="0.3">
      <c r="A213" s="41">
        <v>50402</v>
      </c>
      <c r="B213" s="45" t="s">
        <v>461</v>
      </c>
      <c r="C213" s="45"/>
      <c r="D213" s="45"/>
    </row>
    <row r="214" spans="1:4" x14ac:dyDescent="0.3">
      <c r="A214" s="41">
        <v>50403</v>
      </c>
      <c r="B214" s="45" t="s">
        <v>390</v>
      </c>
      <c r="C214" s="45"/>
      <c r="D214" s="45"/>
    </row>
    <row r="215" spans="1:4" x14ac:dyDescent="0.3">
      <c r="A215" s="41">
        <v>50404</v>
      </c>
      <c r="B215" s="45" t="s">
        <v>388</v>
      </c>
      <c r="C215" s="45"/>
      <c r="D215" s="45"/>
    </row>
    <row r="216" spans="1:4" x14ac:dyDescent="0.3">
      <c r="A216" s="41">
        <v>50405</v>
      </c>
      <c r="B216" s="45" t="s">
        <v>367</v>
      </c>
      <c r="C216" s="45"/>
      <c r="D216" s="45"/>
    </row>
    <row r="217" spans="1:4" x14ac:dyDescent="0.3">
      <c r="A217" s="41">
        <v>50501</v>
      </c>
      <c r="B217" s="45" t="s">
        <v>368</v>
      </c>
      <c r="C217" s="45"/>
      <c r="D217" s="45"/>
    </row>
    <row r="218" spans="1:4" x14ac:dyDescent="0.3">
      <c r="A218" s="41">
        <v>50502</v>
      </c>
      <c r="B218" s="45" t="s">
        <v>385</v>
      </c>
      <c r="C218" s="45"/>
      <c r="D218" s="45"/>
    </row>
    <row r="219" spans="1:4" x14ac:dyDescent="0.3">
      <c r="A219" s="41">
        <v>50601</v>
      </c>
      <c r="B219" s="45" t="s">
        <v>538</v>
      </c>
      <c r="C219" s="45"/>
      <c r="D219" s="45"/>
    </row>
    <row r="220" spans="1:4" x14ac:dyDescent="0.3">
      <c r="A220" s="41">
        <v>50602</v>
      </c>
      <c r="B220" s="45" t="s">
        <v>418</v>
      </c>
      <c r="C220" s="45"/>
      <c r="D220" s="45"/>
    </row>
    <row r="221" spans="1:4" x14ac:dyDescent="0.3">
      <c r="A221" s="41">
        <v>50701</v>
      </c>
      <c r="B221" s="45" t="s">
        <v>371</v>
      </c>
      <c r="C221" s="45"/>
      <c r="D221" s="45"/>
    </row>
    <row r="222" spans="1:4" x14ac:dyDescent="0.3">
      <c r="A222" s="41">
        <v>50702</v>
      </c>
      <c r="B222" s="45" t="s">
        <v>384</v>
      </c>
      <c r="C222" s="45"/>
      <c r="D222" s="45"/>
    </row>
    <row r="223" spans="1:4" x14ac:dyDescent="0.3">
      <c r="A223" s="41">
        <v>50801</v>
      </c>
      <c r="B223" s="45" t="s">
        <v>612</v>
      </c>
      <c r="C223" s="45"/>
      <c r="D223" s="45"/>
    </row>
    <row r="224" spans="1:4" x14ac:dyDescent="0.3">
      <c r="A224" s="41">
        <v>50802</v>
      </c>
      <c r="B224" s="45" t="s">
        <v>680</v>
      </c>
      <c r="C224" s="45"/>
      <c r="D224" s="45"/>
    </row>
    <row r="225" spans="1:4" x14ac:dyDescent="0.3">
      <c r="A225" s="41">
        <v>50901</v>
      </c>
      <c r="B225" s="45" t="s">
        <v>539</v>
      </c>
      <c r="C225" s="45"/>
      <c r="D225" s="45"/>
    </row>
    <row r="226" spans="1:4" x14ac:dyDescent="0.3">
      <c r="A226" s="41">
        <v>50902</v>
      </c>
      <c r="B226" s="45" t="s">
        <v>545</v>
      </c>
      <c r="C226" s="45"/>
      <c r="D226" s="45"/>
    </row>
    <row r="227" spans="1:4" x14ac:dyDescent="0.3">
      <c r="A227" s="41">
        <v>51001</v>
      </c>
      <c r="B227" s="45" t="s">
        <v>565</v>
      </c>
      <c r="C227" s="45"/>
      <c r="D227" s="45"/>
    </row>
    <row r="228" spans="1:4" x14ac:dyDescent="0.3">
      <c r="A228" s="41">
        <v>51002</v>
      </c>
      <c r="B228" s="45" t="s">
        <v>522</v>
      </c>
      <c r="C228" s="45"/>
      <c r="D228" s="45"/>
    </row>
    <row r="229" spans="1:4" x14ac:dyDescent="0.3">
      <c r="A229" s="41">
        <v>51003</v>
      </c>
      <c r="B229" s="45" t="s">
        <v>618</v>
      </c>
      <c r="C229" s="45"/>
      <c r="D229" s="45"/>
    </row>
    <row r="230" spans="1:4" x14ac:dyDescent="0.3">
      <c r="A230" s="41">
        <v>51101</v>
      </c>
      <c r="B230" s="45" t="s">
        <v>422</v>
      </c>
      <c r="C230" s="45"/>
      <c r="D230" s="45"/>
    </row>
    <row r="231" spans="1:4" x14ac:dyDescent="0.3">
      <c r="A231" s="41">
        <v>51102</v>
      </c>
      <c r="B231" s="45" t="s">
        <v>469</v>
      </c>
      <c r="C231" s="45"/>
      <c r="D231" s="45"/>
    </row>
    <row r="232" spans="1:4" x14ac:dyDescent="0.3">
      <c r="A232" s="41">
        <v>51103</v>
      </c>
      <c r="B232" s="45" t="s">
        <v>380</v>
      </c>
      <c r="C232" s="45"/>
      <c r="D232" s="45"/>
    </row>
    <row r="233" spans="1:4" x14ac:dyDescent="0.3">
      <c r="A233" s="41">
        <v>51201</v>
      </c>
      <c r="B233" s="45" t="s">
        <v>544</v>
      </c>
      <c r="C233" s="45"/>
      <c r="D233" s="45"/>
    </row>
    <row r="234" spans="1:4" x14ac:dyDescent="0.3">
      <c r="A234" s="41">
        <v>51202</v>
      </c>
      <c r="B234" s="45" t="s">
        <v>489</v>
      </c>
      <c r="C234" s="45"/>
      <c r="D234" s="45"/>
    </row>
    <row r="235" spans="1:4" x14ac:dyDescent="0.3">
      <c r="A235" s="41">
        <v>51203</v>
      </c>
      <c r="B235" s="45" t="s">
        <v>637</v>
      </c>
      <c r="C235" s="45"/>
      <c r="D235" s="45"/>
    </row>
    <row r="236" spans="1:4" x14ac:dyDescent="0.3">
      <c r="A236" s="41">
        <v>51204</v>
      </c>
      <c r="B236" s="45" t="s">
        <v>505</v>
      </c>
      <c r="C236" s="45"/>
      <c r="D236" s="45"/>
    </row>
    <row r="237" spans="1:4" x14ac:dyDescent="0.3">
      <c r="A237" s="41">
        <v>51301</v>
      </c>
      <c r="B237" s="45" t="s">
        <v>373</v>
      </c>
      <c r="C237" s="45"/>
      <c r="D237" s="45"/>
    </row>
    <row r="238" spans="1:4" x14ac:dyDescent="0.3">
      <c r="A238" s="41">
        <v>51302</v>
      </c>
      <c r="B238" s="45" t="s">
        <v>413</v>
      </c>
      <c r="C238" s="45"/>
      <c r="D238" s="45"/>
    </row>
    <row r="239" spans="1:4" x14ac:dyDescent="0.3">
      <c r="A239" s="41">
        <v>51401</v>
      </c>
      <c r="B239" s="45" t="s">
        <v>517</v>
      </c>
      <c r="C239" s="45"/>
      <c r="D239" s="45"/>
    </row>
    <row r="240" spans="1:4" x14ac:dyDescent="0.3">
      <c r="A240" s="41">
        <v>51402</v>
      </c>
      <c r="B240" s="45" t="s">
        <v>520</v>
      </c>
      <c r="C240" s="45"/>
      <c r="D240" s="45"/>
    </row>
    <row r="241" spans="1:4" x14ac:dyDescent="0.3">
      <c r="A241" s="41">
        <v>51501</v>
      </c>
      <c r="B241" s="45" t="s">
        <v>559</v>
      </c>
      <c r="C241" s="45"/>
      <c r="D241" s="45"/>
    </row>
    <row r="242" spans="1:4" x14ac:dyDescent="0.3">
      <c r="A242" s="41">
        <v>51601</v>
      </c>
      <c r="B242" s="45" t="s">
        <v>410</v>
      </c>
      <c r="C242" s="45"/>
      <c r="D242" s="45"/>
    </row>
    <row r="243" spans="1:4" x14ac:dyDescent="0.3">
      <c r="A243" s="41">
        <v>60101</v>
      </c>
      <c r="B243" s="45" t="s">
        <v>358</v>
      </c>
      <c r="C243" s="45"/>
      <c r="D243" s="45"/>
    </row>
    <row r="244" spans="1:4" x14ac:dyDescent="0.3">
      <c r="A244" s="41">
        <v>60201</v>
      </c>
      <c r="B244" s="45" t="s">
        <v>667</v>
      </c>
      <c r="C244" s="45"/>
      <c r="D244" s="45"/>
    </row>
    <row r="245" spans="1:4" x14ac:dyDescent="0.3">
      <c r="A245" s="41">
        <v>60202</v>
      </c>
      <c r="B245" s="45" t="s">
        <v>665</v>
      </c>
      <c r="C245" s="45"/>
      <c r="D245" s="45"/>
    </row>
    <row r="246" spans="1:4" x14ac:dyDescent="0.3">
      <c r="A246" s="41">
        <v>60301</v>
      </c>
      <c r="B246" s="45" t="s">
        <v>653</v>
      </c>
      <c r="C246" s="45"/>
      <c r="D246" s="45"/>
    </row>
    <row r="247" spans="1:4" x14ac:dyDescent="0.3">
      <c r="A247" s="41">
        <v>60302</v>
      </c>
      <c r="B247" s="45" t="s">
        <v>683</v>
      </c>
      <c r="C247" s="45"/>
      <c r="D247" s="45"/>
    </row>
    <row r="248" spans="1:4" x14ac:dyDescent="0.3">
      <c r="A248" s="41">
        <v>60303</v>
      </c>
      <c r="B248" s="45" t="s">
        <v>652</v>
      </c>
      <c r="C248" s="45"/>
      <c r="D248" s="45"/>
    </row>
    <row r="249" spans="1:4" x14ac:dyDescent="0.3">
      <c r="A249" s="41">
        <v>60401</v>
      </c>
      <c r="B249" s="45" t="s">
        <v>691</v>
      </c>
      <c r="C249" s="45"/>
      <c r="D249" s="45"/>
    </row>
    <row r="250" spans="1:4" x14ac:dyDescent="0.3">
      <c r="A250" s="41">
        <v>60402</v>
      </c>
      <c r="B250" s="45" t="s">
        <v>532</v>
      </c>
      <c r="C250" s="45"/>
      <c r="D250" s="45"/>
    </row>
    <row r="251" spans="1:4" x14ac:dyDescent="0.3">
      <c r="A251" s="41">
        <v>60501</v>
      </c>
      <c r="B251" s="45" t="s">
        <v>623</v>
      </c>
      <c r="C251" s="45"/>
      <c r="D251" s="45"/>
    </row>
    <row r="252" spans="1:4" x14ac:dyDescent="0.3">
      <c r="A252" s="41">
        <v>60502</v>
      </c>
      <c r="B252" s="45" t="s">
        <v>630</v>
      </c>
      <c r="C252" s="45"/>
      <c r="D252" s="45"/>
    </row>
    <row r="253" spans="1:4" x14ac:dyDescent="0.3">
      <c r="A253" s="41">
        <v>60601</v>
      </c>
      <c r="B253" s="45" t="s">
        <v>453</v>
      </c>
      <c r="C253" s="45"/>
      <c r="D253" s="45"/>
    </row>
    <row r="254" spans="1:4" x14ac:dyDescent="0.3">
      <c r="A254" s="41">
        <v>70101</v>
      </c>
      <c r="B254" s="45" t="s">
        <v>645</v>
      </c>
      <c r="C254" s="45"/>
      <c r="D254" s="45"/>
    </row>
    <row r="255" spans="1:4" x14ac:dyDescent="0.3">
      <c r="A255" s="41">
        <v>70102</v>
      </c>
      <c r="B255" s="45" t="s">
        <v>651</v>
      </c>
      <c r="C255" s="45"/>
      <c r="D255" s="45"/>
    </row>
    <row r="256" spans="1:4" x14ac:dyDescent="0.3">
      <c r="A256" s="41">
        <v>70103</v>
      </c>
      <c r="B256" s="45" t="s">
        <v>675</v>
      </c>
      <c r="C256" s="45"/>
      <c r="D256" s="45"/>
    </row>
    <row r="257" spans="1:4" x14ac:dyDescent="0.3">
      <c r="A257" s="41">
        <v>70104</v>
      </c>
      <c r="B257" s="45" t="s">
        <v>626</v>
      </c>
      <c r="C257" s="45"/>
      <c r="D257" s="45"/>
    </row>
    <row r="258" spans="1:4" x14ac:dyDescent="0.3">
      <c r="A258" s="41">
        <v>70105</v>
      </c>
      <c r="B258" s="45" t="s">
        <v>661</v>
      </c>
      <c r="C258" s="45"/>
      <c r="D258" s="45"/>
    </row>
    <row r="259" spans="1:4" x14ac:dyDescent="0.3">
      <c r="A259" s="41">
        <v>70201</v>
      </c>
      <c r="B259" s="45" t="s">
        <v>592</v>
      </c>
      <c r="C259" s="45"/>
      <c r="D259" s="45"/>
    </row>
    <row r="260" spans="1:4" x14ac:dyDescent="0.3">
      <c r="A260" s="41">
        <v>70202</v>
      </c>
      <c r="B260" s="45" t="s">
        <v>686</v>
      </c>
      <c r="C260" s="45"/>
      <c r="D260" s="45"/>
    </row>
    <row r="261" spans="1:4" x14ac:dyDescent="0.3">
      <c r="A261" s="41">
        <v>70301</v>
      </c>
      <c r="B261" s="45" t="s">
        <v>586</v>
      </c>
      <c r="C261" s="45"/>
      <c r="D261" s="45"/>
    </row>
    <row r="262" spans="1:4" x14ac:dyDescent="0.3">
      <c r="A262" s="41">
        <v>70302</v>
      </c>
      <c r="B262" s="45" t="s">
        <v>536</v>
      </c>
      <c r="C262" s="45"/>
      <c r="D262" s="45"/>
    </row>
    <row r="263" spans="1:4" x14ac:dyDescent="0.3">
      <c r="A263" s="41">
        <v>70303</v>
      </c>
      <c r="B263" s="45" t="s">
        <v>589</v>
      </c>
      <c r="C263" s="45"/>
      <c r="D263" s="45"/>
    </row>
    <row r="264" spans="1:4" x14ac:dyDescent="0.3">
      <c r="A264" s="41">
        <v>70401</v>
      </c>
      <c r="B264" s="45" t="s">
        <v>668</v>
      </c>
      <c r="C264" s="45"/>
      <c r="D264" s="45"/>
    </row>
    <row r="265" spans="1:4" x14ac:dyDescent="0.3">
      <c r="A265" s="41">
        <v>70402</v>
      </c>
      <c r="B265" s="45" t="s">
        <v>641</v>
      </c>
      <c r="C265" s="45"/>
      <c r="D265" s="45"/>
    </row>
    <row r="266" spans="1:4" x14ac:dyDescent="0.3">
      <c r="A266" s="41">
        <v>70403</v>
      </c>
      <c r="B266" s="45" t="s">
        <v>642</v>
      </c>
      <c r="C266" s="45"/>
      <c r="D266" s="45"/>
    </row>
    <row r="267" spans="1:4" x14ac:dyDescent="0.3">
      <c r="A267" s="41">
        <v>70404</v>
      </c>
      <c r="B267" s="45" t="s">
        <v>662</v>
      </c>
      <c r="C267" s="45"/>
      <c r="D267" s="45"/>
    </row>
    <row r="268" spans="1:4" x14ac:dyDescent="0.3">
      <c r="A268" s="41">
        <v>70501</v>
      </c>
      <c r="B268" s="45" t="s">
        <v>627</v>
      </c>
      <c r="C268" s="45"/>
      <c r="D268" s="45"/>
    </row>
    <row r="269" spans="1:4" x14ac:dyDescent="0.3">
      <c r="A269" s="41">
        <v>70502</v>
      </c>
      <c r="B269" s="45" t="s">
        <v>540</v>
      </c>
      <c r="C269" s="45"/>
      <c r="D269" s="45"/>
    </row>
    <row r="270" spans="1:4" x14ac:dyDescent="0.3">
      <c r="A270" s="41">
        <v>70503</v>
      </c>
      <c r="B270" s="45" t="s">
        <v>655</v>
      </c>
      <c r="C270" s="45"/>
      <c r="D270" s="45"/>
    </row>
    <row r="271" spans="1:4" x14ac:dyDescent="0.3">
      <c r="A271" s="41">
        <v>70601</v>
      </c>
      <c r="B271" s="45" t="s">
        <v>677</v>
      </c>
      <c r="C271" s="45"/>
      <c r="D271" s="45"/>
    </row>
    <row r="272" spans="1:4" x14ac:dyDescent="0.3">
      <c r="A272" s="41">
        <v>70602</v>
      </c>
      <c r="B272" s="45" t="s">
        <v>554</v>
      </c>
      <c r="C272" s="45"/>
      <c r="D272" s="45"/>
    </row>
    <row r="273" spans="1:4" x14ac:dyDescent="0.3">
      <c r="A273" s="41">
        <v>70603</v>
      </c>
      <c r="B273" s="45" t="s">
        <v>609</v>
      </c>
      <c r="C273" s="45"/>
      <c r="D273" s="45"/>
    </row>
    <row r="274" spans="1:4" x14ac:dyDescent="0.3">
      <c r="A274" s="41">
        <v>70701</v>
      </c>
      <c r="B274" s="45" t="s">
        <v>578</v>
      </c>
      <c r="C274" s="45"/>
      <c r="D274" s="45"/>
    </row>
    <row r="275" spans="1:4" x14ac:dyDescent="0.3">
      <c r="A275" s="41">
        <v>70702</v>
      </c>
      <c r="B275" s="45" t="s">
        <v>568</v>
      </c>
      <c r="C275" s="45"/>
      <c r="D275" s="45"/>
    </row>
    <row r="276" spans="1:4" x14ac:dyDescent="0.3">
      <c r="A276" s="41">
        <v>70703</v>
      </c>
      <c r="B276" s="45" t="s">
        <v>527</v>
      </c>
      <c r="C276" s="45"/>
      <c r="D276" s="45"/>
    </row>
    <row r="277" spans="1:4" x14ac:dyDescent="0.3">
      <c r="A277" s="41">
        <v>70704</v>
      </c>
      <c r="B277" s="45" t="s">
        <v>666</v>
      </c>
      <c r="C277" s="45"/>
      <c r="D277" s="45"/>
    </row>
    <row r="278" spans="1:4" x14ac:dyDescent="0.3">
      <c r="A278" s="41">
        <v>70705</v>
      </c>
      <c r="B278" s="45" t="s">
        <v>587</v>
      </c>
      <c r="C278" s="45"/>
      <c r="D278" s="45"/>
    </row>
    <row r="279" spans="1:4" x14ac:dyDescent="0.3">
      <c r="A279" s="41">
        <v>70706</v>
      </c>
      <c r="B279" s="45" t="s">
        <v>659</v>
      </c>
      <c r="C279" s="45"/>
      <c r="D279" s="45"/>
    </row>
    <row r="280" spans="1:4" x14ac:dyDescent="0.3">
      <c r="A280" s="41">
        <v>70707</v>
      </c>
      <c r="B280" s="45" t="s">
        <v>688</v>
      </c>
      <c r="C280" s="45"/>
      <c r="D280" s="45"/>
    </row>
    <row r="281" spans="1:4" x14ac:dyDescent="0.3">
      <c r="A281" s="41">
        <v>70801</v>
      </c>
      <c r="B281" s="45" t="s">
        <v>687</v>
      </c>
      <c r="C281" s="45"/>
      <c r="D281" s="45"/>
    </row>
    <row r="282" spans="1:4" x14ac:dyDescent="0.3">
      <c r="A282" s="41">
        <v>70802</v>
      </c>
      <c r="B282" s="45" t="s">
        <v>593</v>
      </c>
      <c r="C282" s="45"/>
      <c r="D282" s="45"/>
    </row>
    <row r="283" spans="1:4" x14ac:dyDescent="0.3">
      <c r="A283" s="41">
        <v>70803</v>
      </c>
      <c r="B283" s="45" t="s">
        <v>694</v>
      </c>
      <c r="C283" s="45"/>
      <c r="D283" s="45"/>
    </row>
    <row r="284" spans="1:4" x14ac:dyDescent="0.3">
      <c r="A284" s="41">
        <v>70804</v>
      </c>
      <c r="B284" s="45" t="s">
        <v>690</v>
      </c>
      <c r="C284" s="45"/>
      <c r="D284" s="45"/>
    </row>
    <row r="285" spans="1:4" x14ac:dyDescent="0.3">
      <c r="A285" s="41">
        <v>70805</v>
      </c>
      <c r="B285" s="45" t="s">
        <v>685</v>
      </c>
      <c r="C285" s="45"/>
      <c r="D285" s="45"/>
    </row>
    <row r="286" spans="1:4" x14ac:dyDescent="0.3">
      <c r="A286" s="41">
        <v>70901</v>
      </c>
      <c r="B286" s="45" t="s">
        <v>672</v>
      </c>
      <c r="C286" s="45"/>
      <c r="D286" s="45"/>
    </row>
    <row r="287" spans="1:4" x14ac:dyDescent="0.3">
      <c r="A287" s="41">
        <v>70902</v>
      </c>
      <c r="B287" s="45" t="s">
        <v>588</v>
      </c>
      <c r="C287" s="45"/>
      <c r="D287" s="45"/>
    </row>
    <row r="288" spans="1:4" x14ac:dyDescent="0.3">
      <c r="A288" s="41">
        <v>70903</v>
      </c>
      <c r="B288" s="45" t="s">
        <v>619</v>
      </c>
      <c r="C288" s="45"/>
      <c r="D288" s="45"/>
    </row>
    <row r="289" spans="1:4" x14ac:dyDescent="0.3">
      <c r="A289" s="41">
        <v>70904</v>
      </c>
      <c r="B289" s="45" t="s">
        <v>673</v>
      </c>
      <c r="C289" s="45"/>
      <c r="D289" s="45"/>
    </row>
    <row r="290" spans="1:4" x14ac:dyDescent="0.3">
      <c r="A290" s="41">
        <v>71001</v>
      </c>
      <c r="B290" s="45" t="s">
        <v>669</v>
      </c>
      <c r="C290" s="45"/>
      <c r="D290" s="45"/>
    </row>
    <row r="291" spans="1:4" x14ac:dyDescent="0.3">
      <c r="A291" s="41">
        <v>71002</v>
      </c>
      <c r="B291" s="45" t="s">
        <v>671</v>
      </c>
      <c r="C291" s="45"/>
      <c r="D291" s="45"/>
    </row>
    <row r="292" spans="1:4" x14ac:dyDescent="0.3">
      <c r="A292" s="41">
        <v>71003</v>
      </c>
      <c r="B292" s="45" t="s">
        <v>643</v>
      </c>
      <c r="C292" s="45"/>
      <c r="D292" s="45"/>
    </row>
    <row r="293" spans="1:4" x14ac:dyDescent="0.3">
      <c r="A293" s="41">
        <v>71004</v>
      </c>
      <c r="B293" s="45" t="s">
        <v>695</v>
      </c>
      <c r="C293" s="45"/>
      <c r="D293" s="45"/>
    </row>
    <row r="294" spans="1:4" x14ac:dyDescent="0.3">
      <c r="A294" s="41">
        <v>71005</v>
      </c>
      <c r="B294" s="45" t="s">
        <v>368</v>
      </c>
      <c r="C294" s="45"/>
      <c r="D294" s="45"/>
    </row>
    <row r="295" spans="1:4" x14ac:dyDescent="0.3">
      <c r="A295" s="41">
        <v>71101</v>
      </c>
      <c r="B295" s="45" t="s">
        <v>567</v>
      </c>
      <c r="C295" s="45"/>
      <c r="D295" s="45"/>
    </row>
    <row r="296" spans="1:4" x14ac:dyDescent="0.3">
      <c r="A296" s="41">
        <v>71102</v>
      </c>
      <c r="B296" s="45" t="s">
        <v>455</v>
      </c>
      <c r="C296" s="45"/>
      <c r="D296" s="45"/>
    </row>
    <row r="297" spans="1:4" x14ac:dyDescent="0.3">
      <c r="A297" s="41">
        <v>71103</v>
      </c>
      <c r="B297" s="45" t="s">
        <v>657</v>
      </c>
      <c r="C297" s="45"/>
      <c r="D297" s="45"/>
    </row>
    <row r="298" spans="1:4" x14ac:dyDescent="0.3">
      <c r="A298" s="41">
        <v>71104</v>
      </c>
      <c r="B298" s="45" t="s">
        <v>615</v>
      </c>
      <c r="C298" s="45"/>
      <c r="D298" s="45"/>
    </row>
    <row r="299" spans="1:4" x14ac:dyDescent="0.3">
      <c r="A299" s="41">
        <v>71105</v>
      </c>
      <c r="B299" s="45" t="s">
        <v>580</v>
      </c>
      <c r="C299" s="45"/>
      <c r="D299" s="45"/>
    </row>
    <row r="300" spans="1:4" x14ac:dyDescent="0.3">
      <c r="A300" s="41">
        <v>71106</v>
      </c>
      <c r="B300" s="45" t="s">
        <v>624</v>
      </c>
      <c r="C300" s="45"/>
      <c r="D300" s="45"/>
    </row>
    <row r="301" spans="1:4" x14ac:dyDescent="0.3">
      <c r="A301" s="41">
        <v>71201</v>
      </c>
      <c r="B301" s="45" t="s">
        <v>599</v>
      </c>
      <c r="C301" s="45"/>
      <c r="D301" s="45"/>
    </row>
    <row r="302" spans="1:4" x14ac:dyDescent="0.3">
      <c r="A302" s="41">
        <v>71301</v>
      </c>
      <c r="B302" s="45" t="s">
        <v>553</v>
      </c>
      <c r="C302" s="45"/>
      <c r="D302" s="45"/>
    </row>
    <row r="303" spans="1:4" x14ac:dyDescent="0.3">
      <c r="A303" s="41">
        <v>71302</v>
      </c>
      <c r="B303" s="45" t="s">
        <v>644</v>
      </c>
      <c r="C303" s="45"/>
      <c r="D303" s="45"/>
    </row>
    <row r="304" spans="1:4" x14ac:dyDescent="0.3">
      <c r="A304" s="41">
        <v>71401</v>
      </c>
      <c r="B304" s="45" t="s">
        <v>557</v>
      </c>
      <c r="C304" s="45"/>
      <c r="D304" s="45"/>
    </row>
    <row r="305" spans="1:4" x14ac:dyDescent="0.3">
      <c r="A305" s="41">
        <v>71402</v>
      </c>
      <c r="B305" s="45" t="s">
        <v>549</v>
      </c>
      <c r="C305" s="45"/>
      <c r="D305" s="45"/>
    </row>
    <row r="306" spans="1:4" x14ac:dyDescent="0.3">
      <c r="A306" s="41">
        <v>71403</v>
      </c>
      <c r="B306" s="45" t="s">
        <v>558</v>
      </c>
      <c r="C306" s="45"/>
      <c r="D306" s="45"/>
    </row>
    <row r="307" spans="1:4" x14ac:dyDescent="0.3">
      <c r="A307" s="41">
        <v>71501</v>
      </c>
      <c r="B307" s="45" t="s">
        <v>601</v>
      </c>
      <c r="C307" s="45"/>
      <c r="D307" s="45"/>
    </row>
    <row r="308" spans="1:4" x14ac:dyDescent="0.3">
      <c r="A308" s="41">
        <v>71502</v>
      </c>
      <c r="B308" s="45" t="s">
        <v>510</v>
      </c>
      <c r="C308" s="45"/>
      <c r="D308" s="45"/>
    </row>
    <row r="309" spans="1:4" x14ac:dyDescent="0.3">
      <c r="A309" s="41">
        <v>71503</v>
      </c>
      <c r="B309" s="45" t="s">
        <v>630</v>
      </c>
      <c r="C309" s="45"/>
      <c r="D309" s="45"/>
    </row>
    <row r="310" spans="1:4" x14ac:dyDescent="0.3">
      <c r="A310" s="41">
        <v>80101</v>
      </c>
      <c r="B310" s="45" t="s">
        <v>640</v>
      </c>
      <c r="C310" s="45"/>
      <c r="D310" s="45"/>
    </row>
    <row r="311" spans="1:4" x14ac:dyDescent="0.3">
      <c r="A311" s="41">
        <v>80102</v>
      </c>
      <c r="B311" s="45" t="s">
        <v>455</v>
      </c>
      <c r="C311" s="45"/>
      <c r="D311" s="45"/>
    </row>
    <row r="312" spans="1:4" x14ac:dyDescent="0.3">
      <c r="A312" s="41">
        <v>80201</v>
      </c>
      <c r="B312" s="45" t="s">
        <v>616</v>
      </c>
      <c r="C312" s="45"/>
      <c r="D312" s="45"/>
    </row>
    <row r="313" spans="1:4" x14ac:dyDescent="0.3">
      <c r="A313" s="41">
        <v>80202</v>
      </c>
      <c r="B313" s="45" t="s">
        <v>649</v>
      </c>
      <c r="C313" s="45"/>
      <c r="D313" s="45"/>
    </row>
    <row r="314" spans="1:4" x14ac:dyDescent="0.3">
      <c r="A314" s="41">
        <v>80301</v>
      </c>
      <c r="B314" s="45" t="s">
        <v>604</v>
      </c>
      <c r="C314" s="45"/>
      <c r="D314" s="45"/>
    </row>
    <row r="315" spans="1:4" x14ac:dyDescent="0.3">
      <c r="A315" s="41">
        <v>80302</v>
      </c>
      <c r="B315" s="45" t="s">
        <v>595</v>
      </c>
      <c r="C315" s="45"/>
      <c r="D315" s="45"/>
    </row>
    <row r="316" spans="1:4" x14ac:dyDescent="0.3">
      <c r="A316" s="41">
        <v>80303</v>
      </c>
      <c r="B316" s="45" t="s">
        <v>554</v>
      </c>
      <c r="C316" s="45"/>
      <c r="D316" s="45"/>
    </row>
    <row r="317" spans="1:4" x14ac:dyDescent="0.3">
      <c r="A317" s="41">
        <v>80304</v>
      </c>
      <c r="B317" s="45" t="s">
        <v>582</v>
      </c>
      <c r="C317" s="45"/>
      <c r="D317" s="45"/>
    </row>
    <row r="318" spans="1:4" x14ac:dyDescent="0.3">
      <c r="A318" s="41">
        <v>80401</v>
      </c>
      <c r="B318" s="45" t="s">
        <v>562</v>
      </c>
      <c r="C318" s="45"/>
      <c r="D318" s="45"/>
    </row>
    <row r="319" spans="1:4" x14ac:dyDescent="0.3">
      <c r="A319" s="41">
        <v>80402</v>
      </c>
      <c r="B319" s="45" t="s">
        <v>581</v>
      </c>
      <c r="C319" s="45"/>
      <c r="D319" s="45"/>
    </row>
    <row r="320" spans="1:4" x14ac:dyDescent="0.3">
      <c r="A320" s="41">
        <v>80501</v>
      </c>
      <c r="B320" s="45" t="s">
        <v>586</v>
      </c>
      <c r="C320" s="45"/>
      <c r="D320" s="45"/>
    </row>
    <row r="321" spans="1:4" x14ac:dyDescent="0.3">
      <c r="A321" s="41">
        <v>80601</v>
      </c>
      <c r="B321" s="45" t="s">
        <v>664</v>
      </c>
      <c r="C321" s="45"/>
      <c r="D321" s="45"/>
    </row>
    <row r="322" spans="1:4" x14ac:dyDescent="0.3">
      <c r="A322" s="41">
        <v>80602</v>
      </c>
      <c r="B322" s="45" t="s">
        <v>583</v>
      </c>
      <c r="C322" s="45"/>
      <c r="D322" s="45"/>
    </row>
    <row r="323" spans="1:4" x14ac:dyDescent="0.3">
      <c r="A323" s="41">
        <v>80701</v>
      </c>
      <c r="B323" s="45" t="s">
        <v>632</v>
      </c>
      <c r="C323" s="45"/>
      <c r="D323" s="45"/>
    </row>
    <row r="324" spans="1:4" x14ac:dyDescent="0.3">
      <c r="A324" s="41">
        <v>80702</v>
      </c>
      <c r="B324" s="45" t="s">
        <v>657</v>
      </c>
      <c r="C324" s="45"/>
      <c r="D324" s="45"/>
    </row>
    <row r="325" spans="1:4" x14ac:dyDescent="0.3">
      <c r="A325" s="41">
        <v>80703</v>
      </c>
      <c r="B325" s="45" t="s">
        <v>526</v>
      </c>
      <c r="C325" s="45"/>
      <c r="D325" s="45"/>
    </row>
    <row r="326" spans="1:4" x14ac:dyDescent="0.3">
      <c r="A326" s="41">
        <v>80801</v>
      </c>
      <c r="B326" s="45" t="s">
        <v>611</v>
      </c>
      <c r="C326" s="45"/>
      <c r="D326" s="45"/>
    </row>
    <row r="327" spans="1:4" x14ac:dyDescent="0.3">
      <c r="A327" s="41">
        <v>80802</v>
      </c>
      <c r="B327" s="45" t="s">
        <v>648</v>
      </c>
      <c r="C327" s="45"/>
      <c r="D327" s="45"/>
    </row>
    <row r="328" spans="1:4" x14ac:dyDescent="0.3">
      <c r="A328" s="41">
        <v>80803</v>
      </c>
      <c r="B328" s="45" t="s">
        <v>660</v>
      </c>
      <c r="C328" s="45"/>
      <c r="D328" s="45"/>
    </row>
    <row r="329" spans="1:4" x14ac:dyDescent="0.3">
      <c r="A329" s="41">
        <v>80901</v>
      </c>
      <c r="B329" s="45" t="s">
        <v>414</v>
      </c>
      <c r="C329" s="45"/>
      <c r="D329" s="45"/>
    </row>
    <row r="330" spans="1:4" x14ac:dyDescent="0.3">
      <c r="A330" s="41">
        <v>90101</v>
      </c>
      <c r="B330" s="45" t="s">
        <v>647</v>
      </c>
      <c r="C330" s="45"/>
      <c r="D330" s="45"/>
    </row>
    <row r="331" spans="1:4" x14ac:dyDescent="0.3">
      <c r="A331" s="41">
        <v>90102</v>
      </c>
      <c r="B331" s="45" t="s">
        <v>639</v>
      </c>
      <c r="C331" s="45"/>
      <c r="D331" s="45"/>
    </row>
    <row r="332" spans="1:4" x14ac:dyDescent="0.3">
      <c r="A332" s="41">
        <v>90103</v>
      </c>
      <c r="B332" s="45" t="s">
        <v>692</v>
      </c>
      <c r="C332" s="45"/>
      <c r="D332" s="45"/>
    </row>
    <row r="333" spans="1:4" x14ac:dyDescent="0.3">
      <c r="A333" s="41">
        <v>90104</v>
      </c>
      <c r="B333" s="45" t="s">
        <v>614</v>
      </c>
      <c r="C333" s="45"/>
      <c r="D333" s="45"/>
    </row>
    <row r="334" spans="1:4" x14ac:dyDescent="0.3">
      <c r="A334" s="41">
        <v>90201</v>
      </c>
      <c r="B334" s="45" t="s">
        <v>634</v>
      </c>
      <c r="C334" s="45"/>
      <c r="D334" s="45"/>
    </row>
    <row r="335" spans="1:4" x14ac:dyDescent="0.3">
      <c r="A335" s="41">
        <v>90202</v>
      </c>
      <c r="B335" s="45" t="s">
        <v>368</v>
      </c>
      <c r="C335" s="45"/>
      <c r="D335" s="45"/>
    </row>
    <row r="336" spans="1:4" x14ac:dyDescent="0.3">
      <c r="A336" s="41">
        <v>90203</v>
      </c>
      <c r="B336" s="45" t="s">
        <v>670</v>
      </c>
      <c r="C336" s="45"/>
      <c r="D336" s="45"/>
    </row>
    <row r="337" spans="1:4" x14ac:dyDescent="0.3">
      <c r="A337" s="41">
        <v>90301</v>
      </c>
      <c r="B337" s="45" t="s">
        <v>633</v>
      </c>
      <c r="C337" s="45"/>
      <c r="D337" s="45"/>
    </row>
    <row r="338" spans="1:4" x14ac:dyDescent="0.3">
      <c r="A338" s="41">
        <v>90302</v>
      </c>
      <c r="B338" s="45" t="s">
        <v>623</v>
      </c>
      <c r="C338" s="45"/>
      <c r="D338" s="45"/>
    </row>
    <row r="339" spans="1:4" x14ac:dyDescent="0.3">
      <c r="A339" s="41">
        <v>90303</v>
      </c>
      <c r="B339" s="45" t="s">
        <v>646</v>
      </c>
      <c r="C339" s="45"/>
      <c r="D339" s="45"/>
    </row>
    <row r="340" spans="1:4" x14ac:dyDescent="0.3">
      <c r="A340" s="41">
        <v>90401</v>
      </c>
      <c r="B340" s="45" t="s">
        <v>554</v>
      </c>
      <c r="C340" s="45"/>
      <c r="D340" s="45"/>
    </row>
    <row r="341" spans="1:4" x14ac:dyDescent="0.3">
      <c r="A341" s="41">
        <v>90402</v>
      </c>
      <c r="B341" s="45" t="s">
        <v>450</v>
      </c>
      <c r="C341" s="45"/>
      <c r="D341" s="45"/>
    </row>
    <row r="342" spans="1:4" x14ac:dyDescent="0.3">
      <c r="A342" s="41">
        <v>90501</v>
      </c>
      <c r="B342" s="45" t="s">
        <v>620</v>
      </c>
      <c r="C342" s="45"/>
      <c r="D342" s="45"/>
    </row>
    <row r="343" spans="1:4" x14ac:dyDescent="0.3">
      <c r="A343" s="41">
        <v>90502</v>
      </c>
      <c r="B343" s="45" t="s">
        <v>635</v>
      </c>
      <c r="C343" s="45"/>
      <c r="D343" s="45"/>
    </row>
    <row r="344" spans="1:4" x14ac:dyDescent="0.3">
      <c r="A344" s="41">
        <v>90503</v>
      </c>
      <c r="B344" s="45" t="s">
        <v>681</v>
      </c>
      <c r="C344" s="45"/>
      <c r="D344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C52-0F3E-4D95-BC27-71A6595F690C}">
  <sheetPr>
    <tabColor rgb="FFE24532"/>
  </sheetPr>
  <dimension ref="A1:D12"/>
  <sheetViews>
    <sheetView workbookViewId="0">
      <selection activeCell="H7" sqref="H7"/>
    </sheetView>
  </sheetViews>
  <sheetFormatPr baseColWidth="10" defaultColWidth="11.5546875" defaultRowHeight="14.4" x14ac:dyDescent="0.3"/>
  <cols>
    <col min="1" max="1" width="16.6640625" style="1" bestFit="1" customWidth="1"/>
    <col min="2" max="2" width="14.33203125" style="1" bestFit="1" customWidth="1"/>
    <col min="3" max="4" width="16.5546875" style="1" bestFit="1" customWidth="1"/>
    <col min="5" max="16384" width="11.5546875" style="1"/>
  </cols>
  <sheetData>
    <row r="1" spans="1:4" ht="29.4" thickBot="1" x14ac:dyDescent="0.35">
      <c r="A1" s="40" t="s">
        <v>696</v>
      </c>
      <c r="B1" s="40" t="s">
        <v>349</v>
      </c>
      <c r="C1" s="5" t="s">
        <v>711</v>
      </c>
      <c r="D1" s="5" t="s">
        <v>712</v>
      </c>
    </row>
    <row r="2" spans="1:4" x14ac:dyDescent="0.3">
      <c r="A2" s="41">
        <v>1</v>
      </c>
      <c r="B2" s="42" t="s">
        <v>353</v>
      </c>
      <c r="C2" s="21">
        <v>9.0998517166647659</v>
      </c>
      <c r="D2" s="21">
        <f>'[1]25-35 female'!AJ4</f>
        <v>12.301387667724301</v>
      </c>
    </row>
    <row r="3" spans="1:4" x14ac:dyDescent="0.3">
      <c r="A3" s="41">
        <v>2</v>
      </c>
      <c r="B3" s="42" t="s">
        <v>354</v>
      </c>
      <c r="C3" s="21">
        <v>10.606144824718472</v>
      </c>
      <c r="D3" s="21">
        <f>'[1]25-35 female'!AJ5</f>
        <v>13.019397947825963</v>
      </c>
    </row>
    <row r="4" spans="1:4" x14ac:dyDescent="0.3">
      <c r="A4" s="41">
        <v>3</v>
      </c>
      <c r="B4" s="42" t="s">
        <v>355</v>
      </c>
      <c r="C4" s="21">
        <v>9.7851497998817631</v>
      </c>
      <c r="D4" s="21">
        <f>'[1]25-35 female'!AJ6</f>
        <v>12.324628125753799</v>
      </c>
    </row>
    <row r="5" spans="1:4" x14ac:dyDescent="0.3">
      <c r="A5" s="41">
        <v>4</v>
      </c>
      <c r="B5" s="42" t="s">
        <v>356</v>
      </c>
      <c r="C5" s="21">
        <v>10.983861979287605</v>
      </c>
      <c r="D5" s="21">
        <f>'[1]25-35 female'!AJ7</f>
        <v>13.051703046752552</v>
      </c>
    </row>
    <row r="6" spans="1:4" x14ac:dyDescent="0.3">
      <c r="A6" s="41">
        <v>5</v>
      </c>
      <c r="B6" s="42" t="s">
        <v>357</v>
      </c>
      <c r="C6" s="21">
        <v>8.7396215663599648</v>
      </c>
      <c r="D6" s="21">
        <f>'[1]25-35 female'!AJ8</f>
        <v>11.614500919627478</v>
      </c>
    </row>
    <row r="7" spans="1:4" x14ac:dyDescent="0.3">
      <c r="A7" s="41">
        <v>6</v>
      </c>
      <c r="B7" s="42" t="s">
        <v>358</v>
      </c>
      <c r="C7" s="21">
        <v>10.224111319545033</v>
      </c>
      <c r="D7" s="21">
        <f>'[1]25-35 female'!AJ9</f>
        <v>12.635336853388385</v>
      </c>
    </row>
    <row r="8" spans="1:4" x14ac:dyDescent="0.3">
      <c r="A8" s="41">
        <v>7</v>
      </c>
      <c r="B8" s="42" t="s">
        <v>359</v>
      </c>
      <c r="C8" s="21">
        <v>10.404724878832646</v>
      </c>
      <c r="D8" s="21">
        <f>'[1]25-35 female'!AJ10</f>
        <v>12.611800399677081</v>
      </c>
    </row>
    <row r="9" spans="1:4" x14ac:dyDescent="0.3">
      <c r="A9" s="41">
        <v>8</v>
      </c>
      <c r="B9" s="42" t="s">
        <v>360</v>
      </c>
      <c r="C9" s="21">
        <v>10.046165187210123</v>
      </c>
      <c r="D9" s="21">
        <f>'[1]25-35 female'!AJ11</f>
        <v>12.119984715322889</v>
      </c>
    </row>
    <row r="10" spans="1:4" x14ac:dyDescent="0.3">
      <c r="A10" s="41">
        <v>9</v>
      </c>
      <c r="B10" s="42" t="s">
        <v>361</v>
      </c>
      <c r="C10" s="21">
        <v>9.8793065613342108</v>
      </c>
      <c r="D10" s="21">
        <f>'[1]25-35 female'!AJ12</f>
        <v>12.394022189104156</v>
      </c>
    </row>
    <row r="11" spans="1:4" x14ac:dyDescent="0.3">
      <c r="A11" s="39">
        <v>10</v>
      </c>
      <c r="B11" s="39" t="s">
        <v>709</v>
      </c>
      <c r="C11" s="21">
        <v>9.644909456740443</v>
      </c>
      <c r="D11" s="21">
        <f>'[1]25-35 female'!AJ14</f>
        <v>12.229823369565217</v>
      </c>
    </row>
    <row r="12" spans="1:4" x14ac:dyDescent="0.3">
      <c r="A12" s="39">
        <v>11</v>
      </c>
      <c r="B12" s="39" t="s">
        <v>362</v>
      </c>
      <c r="C12" s="25">
        <v>10.168678250389787</v>
      </c>
      <c r="D12" s="25">
        <f>'[1]25-35 female'!AJ13</f>
        <v>12.58954651518629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3A2A-491C-49A9-94B7-A5C49AB2DBC0}">
  <sheetPr>
    <tabColor rgb="FFE24532"/>
  </sheetPr>
  <dimension ref="A1:D12"/>
  <sheetViews>
    <sheetView workbookViewId="0">
      <selection activeCell="A2" sqref="A2:B12"/>
    </sheetView>
  </sheetViews>
  <sheetFormatPr baseColWidth="10" defaultColWidth="11.5546875" defaultRowHeight="14.4" x14ac:dyDescent="0.3"/>
  <cols>
    <col min="1" max="1" width="16.6640625" style="1" bestFit="1" customWidth="1"/>
    <col min="2" max="2" width="14.33203125" style="1" bestFit="1" customWidth="1"/>
    <col min="3" max="4" width="16.5546875" style="1" bestFit="1" customWidth="1"/>
    <col min="5" max="16384" width="11.5546875" style="1"/>
  </cols>
  <sheetData>
    <row r="1" spans="1:4" ht="28.8" x14ac:dyDescent="0.3">
      <c r="A1" s="40" t="s">
        <v>696</v>
      </c>
      <c r="B1" s="40" t="s">
        <v>349</v>
      </c>
      <c r="C1" s="40" t="s">
        <v>707</v>
      </c>
      <c r="D1" s="40" t="s">
        <v>708</v>
      </c>
    </row>
    <row r="2" spans="1:4" x14ac:dyDescent="0.3">
      <c r="A2" s="41">
        <v>1</v>
      </c>
      <c r="B2" s="42" t="s">
        <v>353</v>
      </c>
      <c r="C2" s="43"/>
      <c r="D2" s="43"/>
    </row>
    <row r="3" spans="1:4" x14ac:dyDescent="0.3">
      <c r="A3" s="41">
        <v>2</v>
      </c>
      <c r="B3" s="42" t="s">
        <v>354</v>
      </c>
      <c r="C3" s="43"/>
      <c r="D3" s="43"/>
    </row>
    <row r="4" spans="1:4" x14ac:dyDescent="0.3">
      <c r="A4" s="41">
        <v>3</v>
      </c>
      <c r="B4" s="42" t="s">
        <v>355</v>
      </c>
      <c r="C4" s="43"/>
      <c r="D4" s="43"/>
    </row>
    <row r="5" spans="1:4" x14ac:dyDescent="0.3">
      <c r="A5" s="41">
        <v>4</v>
      </c>
      <c r="B5" s="42" t="s">
        <v>356</v>
      </c>
      <c r="C5" s="43"/>
      <c r="D5" s="43"/>
    </row>
    <row r="6" spans="1:4" x14ac:dyDescent="0.3">
      <c r="A6" s="41">
        <v>5</v>
      </c>
      <c r="B6" s="42" t="s">
        <v>357</v>
      </c>
      <c r="C6" s="43"/>
      <c r="D6" s="43"/>
    </row>
    <row r="7" spans="1:4" x14ac:dyDescent="0.3">
      <c r="A7" s="41">
        <v>6</v>
      </c>
      <c r="B7" s="42" t="s">
        <v>358</v>
      </c>
      <c r="C7" s="43"/>
      <c r="D7" s="43"/>
    </row>
    <row r="8" spans="1:4" x14ac:dyDescent="0.3">
      <c r="A8" s="41">
        <v>7</v>
      </c>
      <c r="B8" s="42" t="s">
        <v>359</v>
      </c>
      <c r="C8" s="43"/>
      <c r="D8" s="43"/>
    </row>
    <row r="9" spans="1:4" x14ac:dyDescent="0.3">
      <c r="A9" s="41">
        <v>8</v>
      </c>
      <c r="B9" s="42" t="s">
        <v>360</v>
      </c>
      <c r="C9" s="43"/>
      <c r="D9" s="43"/>
    </row>
    <row r="10" spans="1:4" x14ac:dyDescent="0.3">
      <c r="A10" s="41">
        <v>9</v>
      </c>
      <c r="B10" s="42" t="s">
        <v>361</v>
      </c>
      <c r="C10" s="43"/>
      <c r="D10" s="43"/>
    </row>
    <row r="11" spans="1:4" x14ac:dyDescent="0.3">
      <c r="A11" s="39">
        <v>10</v>
      </c>
      <c r="B11" s="39" t="s">
        <v>709</v>
      </c>
      <c r="C11" s="39"/>
      <c r="D11" s="39"/>
    </row>
    <row r="12" spans="1:4" x14ac:dyDescent="0.3">
      <c r="A12" s="39">
        <v>11</v>
      </c>
      <c r="B12" s="39" t="s">
        <v>362</v>
      </c>
      <c r="C12" s="39"/>
      <c r="D12" s="39"/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6935-6AE6-4C37-AA50-B7D347EF7C03}">
  <sheetPr>
    <tabColor rgb="FFE24532"/>
  </sheetPr>
  <dimension ref="A1:J6"/>
  <sheetViews>
    <sheetView tabSelected="1" zoomScale="98" workbookViewId="0">
      <selection activeCell="A2" sqref="A2"/>
    </sheetView>
  </sheetViews>
  <sheetFormatPr baseColWidth="10" defaultColWidth="11.5546875" defaultRowHeight="14.4" x14ac:dyDescent="0.3"/>
  <cols>
    <col min="1" max="1" width="15.109375" style="1" customWidth="1"/>
    <col min="2" max="2" width="36.33203125" style="1" bestFit="1" customWidth="1"/>
    <col min="3" max="3" width="16.109375" style="1" customWidth="1"/>
    <col min="4" max="8" width="18.6640625" style="1" customWidth="1"/>
    <col min="9" max="16384" width="11.5546875" style="1"/>
  </cols>
  <sheetData>
    <row r="1" spans="1:10" ht="24" x14ac:dyDescent="0.3">
      <c r="A1" s="32" t="s">
        <v>697</v>
      </c>
      <c r="B1" s="32" t="s">
        <v>698</v>
      </c>
      <c r="C1" s="33" t="s">
        <v>699</v>
      </c>
      <c r="D1" s="33" t="s">
        <v>700</v>
      </c>
      <c r="E1" s="34" t="s">
        <v>701</v>
      </c>
      <c r="F1" s="34" t="s">
        <v>702</v>
      </c>
      <c r="G1" s="35" t="s">
        <v>703</v>
      </c>
      <c r="H1" s="35" t="s">
        <v>704</v>
      </c>
      <c r="I1" s="36" t="s">
        <v>705</v>
      </c>
      <c r="J1" s="36" t="s">
        <v>706</v>
      </c>
    </row>
    <row r="2" spans="1:10" ht="28.8" x14ac:dyDescent="0.3">
      <c r="A2" s="56">
        <v>4</v>
      </c>
      <c r="B2" s="37" t="s">
        <v>710</v>
      </c>
      <c r="C2" s="48">
        <v>20</v>
      </c>
      <c r="D2" s="3">
        <v>12</v>
      </c>
      <c r="E2" s="3">
        <v>12</v>
      </c>
      <c r="F2" s="3">
        <v>9</v>
      </c>
      <c r="G2" s="3">
        <v>9</v>
      </c>
      <c r="H2" s="38">
        <v>6</v>
      </c>
      <c r="I2" s="38">
        <v>6</v>
      </c>
      <c r="J2" s="3">
        <v>0</v>
      </c>
    </row>
    <row r="4" spans="1:10" x14ac:dyDescent="0.3">
      <c r="B4"/>
    </row>
    <row r="5" spans="1:10" x14ac:dyDescent="0.3">
      <c r="B5"/>
    </row>
    <row r="6" spans="1:10" x14ac:dyDescent="0.3">
      <c r="B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25-35 all_2012</vt:lpstr>
      <vt:lpstr>25-35 female_2012</vt:lpstr>
      <vt:lpstr>25-35 all_2024</vt:lpstr>
      <vt:lpstr>25-35 female_2024</vt:lpstr>
      <vt:lpstr>Datos ordenados</vt:lpstr>
      <vt:lpstr>Indicador_MUN</vt:lpstr>
      <vt:lpstr>Absoluto_MUN</vt:lpstr>
      <vt:lpstr>Indicador_DEP</vt:lpstr>
      <vt:lpstr>Absoluto_DEP</vt:lpstr>
      <vt:lpstr>Umbral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ISAIAS  ESCOBAR ALIAGA</dc:creator>
  <cp:keywords/>
  <dc:description/>
  <cp:lastModifiedBy>Karina</cp:lastModifiedBy>
  <cp:revision/>
  <dcterms:created xsi:type="dcterms:W3CDTF">2026-04-11T08:42:11Z</dcterms:created>
  <dcterms:modified xsi:type="dcterms:W3CDTF">2026-06-05T05:33:36Z</dcterms:modified>
  <cp:category/>
  <cp:contentStatus/>
</cp:coreProperties>
</file>