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Calculos absolutos" sheetId="3" r:id="rId6"/>
    <sheet state="visible" name="Indicador_MUN" sheetId="4" r:id="rId7"/>
    <sheet state="visible" name="Absoluto_MUN" sheetId="5" r:id="rId8"/>
    <sheet state="visible" name="Indicador_DEP" sheetId="6" r:id="rId9"/>
    <sheet state="visible" name="Absoluto_DEP" sheetId="7" r:id="rId10"/>
    <sheet state="visible" name="Umbral" sheetId="8" r:id="rId11"/>
    <sheet state="visible" name="Mapa" sheetId="9" r:id="rId12"/>
  </sheets>
  <definedNames>
    <definedName hidden="1" localSheetId="1" name="_xlnm._FilterDatabase">'Datos procesados'!$A$1:$H$344</definedName>
    <definedName hidden="1" localSheetId="3" name="_xlnm._FilterDatabase">Indicador_MUN!$A$1:$D$346</definedName>
    <definedName hidden="1" localSheetId="4" name="_xlnm._FilterDatabase">Absoluto_MUN!$A$1:$D$344</definedName>
  </definedNames>
  <calcPr/>
  <extLst>
    <ext uri="GoogleSheetsCustomDataVersion2">
      <go:sheetsCustomData xmlns:go="http://customooxmlschemas.google.com/" r:id="rId13" roundtripDataChecksum="gjM7PlgRf1dkRxdmkl5w3ciIIyw+DDzszD5RKb8bfaU="/>
    </ext>
  </extLst>
</workbook>
</file>

<file path=xl/sharedStrings.xml><?xml version="1.0" encoding="utf-8"?>
<sst xmlns="http://schemas.openxmlformats.org/spreadsheetml/2006/main" count="1932" uniqueCount="416">
  <si>
    <t xml:space="preserve">Codigo </t>
  </si>
  <si>
    <t>Municipio</t>
  </si>
  <si>
    <t>Índice de tratamiento de agua residual 2013 %</t>
  </si>
  <si>
    <t>Vol. Tratado de aguas residuales 2013 (m3/período)</t>
  </si>
  <si>
    <t>Índice de tratamiento de agua residual 2024 %</t>
  </si>
  <si>
    <t>Vol. Tratado de aguas residuales 2024 (m3/período)</t>
  </si>
  <si>
    <t>Sucre</t>
  </si>
  <si>
    <t>SANTA CRUZ</t>
  </si>
  <si>
    <t>Yotala</t>
  </si>
  <si>
    <t>Santa Cruz de la Sierra (SAGUAPAC)</t>
  </si>
  <si>
    <t>Villa 1ro de Mayo</t>
  </si>
  <si>
    <t>Santa Cruz de la Sierra (COSPAIL)</t>
  </si>
  <si>
    <t>Plan 3000</t>
  </si>
  <si>
    <t>Santa Cruz de la Sierra (COOPAPPI)</t>
  </si>
  <si>
    <t>Santa Cruz de la Sierra (SAJUBA)</t>
  </si>
  <si>
    <t>Santa Cruz de la Sierra (COSPHUL R.L.)</t>
  </si>
  <si>
    <t>Santa Cruz de la Sierra (COSCHAL)</t>
  </si>
  <si>
    <t>Poroma</t>
  </si>
  <si>
    <t>Vol. Tratado de aguas residuales</t>
  </si>
  <si>
    <t>Azurduy</t>
  </si>
  <si>
    <t>Vol. De AP facturado</t>
  </si>
  <si>
    <t>Tarvita</t>
  </si>
  <si>
    <t>Total Vol Tratado</t>
  </si>
  <si>
    <t>Zudáñez</t>
  </si>
  <si>
    <t>Total Vol AP facturado</t>
  </si>
  <si>
    <t>Presto</t>
  </si>
  <si>
    <t>ITAR</t>
  </si>
  <si>
    <t>Mojocoya</t>
  </si>
  <si>
    <t>Icla</t>
  </si>
  <si>
    <t>EL TORNO</t>
  </si>
  <si>
    <t>Padilla</t>
  </si>
  <si>
    <t>El Torno (SEAPAS)</t>
  </si>
  <si>
    <t>El Torno (COOPLIM)</t>
  </si>
  <si>
    <t>Tomina</t>
  </si>
  <si>
    <t>Sopachuy</t>
  </si>
  <si>
    <t>Alcalá</t>
  </si>
  <si>
    <t>El Villar</t>
  </si>
  <si>
    <t>Monteagudo</t>
  </si>
  <si>
    <t>Huacareta</t>
  </si>
  <si>
    <t>Tarabuco</t>
  </si>
  <si>
    <t>MONTERO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</si>
  <si>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</si>
  <si>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</si>
  <si>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</si>
  <si>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</si>
  <si>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</si>
  <si>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</si>
  <si>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</si>
  <si>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</si>
  <si>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</si>
  <si>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</si>
  <si>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</si>
  <si>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Santa Cruz de la Sierra (COOPAARE R.L.)</t>
  </si>
  <si>
    <t>Santa Cruz de la Sierra (COOVIG)</t>
  </si>
  <si>
    <t>Santa Cruz de la Sierra (Aguas de colinas del Urubó)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</si>
  <si>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</si>
  <si>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</si>
  <si>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</si>
  <si>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</si>
  <si>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</si>
  <si>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</si>
  <si>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</si>
  <si>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</si>
  <si>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Huarina</t>
  </si>
  <si>
    <t>Santiago de Huata</t>
  </si>
  <si>
    <t>Huatajata</t>
  </si>
  <si>
    <t>Chua Cocani</t>
  </si>
  <si>
    <t>Corocoro</t>
  </si>
  <si>
    <t>Caquiaviri</t>
  </si>
  <si>
    <t>Calacoto</t>
  </si>
  <si>
    <t>LA GUARDIA</t>
  </si>
  <si>
    <t>Comanche</t>
  </si>
  <si>
    <t>La Guardia (COOSPELCAR R.L.)</t>
  </si>
  <si>
    <t>La Guardia (COSIMBO R.L.)</t>
  </si>
  <si>
    <t>La Guardia (COSPLAG R.L.)</t>
  </si>
  <si>
    <t>La Guardia (COOSAJOSAM R.L.)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</si>
  <si>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</si>
  <si>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</si>
  <si>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</si>
  <si>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</si>
  <si>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</si>
  <si>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</si>
  <si>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</si>
  <si>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SAN CARLOS</t>
  </si>
  <si>
    <t>Humanata</t>
  </si>
  <si>
    <t>San Carlos (COSPUSFE R.L.)</t>
  </si>
  <si>
    <t>San Carlos (COSPUSAN R.L.)</t>
  </si>
  <si>
    <t>Escoma</t>
  </si>
  <si>
    <t>Chuma</t>
  </si>
  <si>
    <t>Ayata</t>
  </si>
  <si>
    <t>Aucapata</t>
  </si>
  <si>
    <t>Sorata</t>
  </si>
  <si>
    <t>Guanay</t>
  </si>
  <si>
    <t>Tacacoma</t>
  </si>
  <si>
    <t>FERNÁNDEZ ALONSO</t>
  </si>
  <si>
    <t>Quiabaya</t>
  </si>
  <si>
    <t>Fernández Alonso (COSEPFA)</t>
  </si>
  <si>
    <t xml:space="preserve">Fernández Alonso (CAPCHI R.L.) 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</si>
  <si>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</si>
  <si>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</si>
  <si>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</si>
  <si>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</si>
  <si>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</si>
  <si>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</si>
  <si>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</si>
  <si>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</si>
  <si>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ID</t>
  </si>
  <si>
    <t>Departamento</t>
  </si>
  <si>
    <t>Tiahuanacu</t>
  </si>
  <si>
    <t>Chuquisaca</t>
  </si>
  <si>
    <t>Desaguadero</t>
  </si>
  <si>
    <t>La Paz</t>
  </si>
  <si>
    <t>La (Marka) San Andrés de Machaca</t>
  </si>
  <si>
    <t>Cochabamba</t>
  </si>
  <si>
    <t>Jesús de Machaka</t>
  </si>
  <si>
    <t>Oruro</t>
  </si>
  <si>
    <t>Taraco</t>
  </si>
  <si>
    <t>Potosí</t>
  </si>
  <si>
    <t>Luribay</t>
  </si>
  <si>
    <t>Tarija</t>
  </si>
  <si>
    <t>Sapahaqui</t>
  </si>
  <si>
    <t>Santa Cruz</t>
  </si>
  <si>
    <t>Yaco</t>
  </si>
  <si>
    <t>Beni</t>
  </si>
  <si>
    <t>Malla</t>
  </si>
  <si>
    <t>Pando</t>
  </si>
  <si>
    <t>Cairoma</t>
  </si>
  <si>
    <t>Bolivia</t>
  </si>
  <si>
    <t>Inquisivi</t>
  </si>
  <si>
    <t>Gran Chaco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</si>
  <si>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</si>
  <si>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</si>
  <si>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</si>
  <si>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</si>
  <si>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</si>
  <si>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</si>
  <si>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</si>
  <si>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</si>
  <si>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</si>
  <si>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</si>
  <si>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</si>
  <si>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</si>
  <si>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</si>
  <si>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</si>
  <si>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</si>
  <si>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</si>
  <si>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</si>
  <si>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</si>
  <si>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</si>
  <si>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</si>
  <si>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</si>
  <si>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</si>
  <si>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</si>
  <si>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</si>
  <si>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</si>
  <si>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</si>
  <si>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</si>
  <si>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</si>
  <si>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</si>
  <si>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</si>
  <si>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</si>
  <si>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</si>
  <si>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</si>
  <si>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</si>
  <si>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</si>
  <si>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</si>
  <si>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</si>
  <si>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</si>
  <si>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</si>
  <si>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</si>
  <si>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</si>
  <si>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</si>
  <si>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</si>
  <si>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</si>
  <si>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</si>
  <si>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</si>
  <si>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</si>
  <si>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</si>
  <si>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</si>
  <si>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</si>
  <si>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</si>
  <si>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</si>
  <si>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</si>
  <si>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</si>
  <si>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</si>
  <si>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</si>
  <si>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</si>
  <si>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</si>
  <si>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</si>
  <si>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</si>
  <si>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</si>
  <si>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</si>
  <si>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</si>
  <si>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</si>
  <si>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</si>
  <si>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</si>
  <si>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</si>
  <si>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</si>
  <si>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</si>
  <si>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</si>
  <si>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</si>
  <si>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</si>
  <si>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</si>
  <si>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</si>
  <si>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</si>
  <si>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</si>
  <si>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</si>
  <si>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</si>
  <si>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</si>
  <si>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</si>
  <si>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</si>
  <si>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</si>
  <si>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</si>
  <si>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</si>
  <si>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</si>
  <si>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</si>
  <si>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</si>
  <si>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</si>
  <si>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</si>
  <si>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</si>
  <si>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</si>
  <si>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</si>
  <si>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</si>
  <si>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</si>
  <si>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</si>
  <si>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</si>
  <si>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</si>
  <si>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</si>
  <si>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</si>
  <si>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</si>
  <si>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</si>
  <si>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</si>
  <si>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</si>
  <si>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</si>
  <si>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</si>
  <si>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</si>
  <si>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</si>
  <si>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</si>
  <si>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</si>
  <si>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</si>
  <si>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</si>
  <si>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</si>
  <si>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</si>
  <si>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</si>
  <si>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</si>
  <si>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</si>
  <si>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</si>
  <si>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</si>
  <si>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</si>
  <si>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</si>
  <si>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</si>
  <si>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</si>
  <si>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</si>
  <si>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</si>
  <si>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</si>
  <si>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</si>
  <si>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</si>
  <si>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</si>
  <si>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</si>
  <si>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</si>
  <si>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</si>
  <si>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</si>
  <si>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</si>
  <si>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</si>
  <si>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</si>
  <si>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</si>
  <si>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</si>
  <si>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</si>
  <si>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</si>
  <si>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</si>
  <si>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</si>
  <si>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</si>
  <si>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</si>
  <si>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</si>
  <si>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</si>
  <si>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</si>
  <si>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</si>
  <si>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</si>
  <si>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</si>
  <si>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</si>
  <si>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</si>
  <si>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</si>
  <si>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</si>
  <si>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</si>
  <si>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</si>
  <si>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</si>
  <si>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</si>
  <si>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</si>
  <si>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</si>
  <si>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</si>
  <si>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</si>
  <si>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</si>
  <si>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</si>
  <si>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</si>
  <si>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</si>
  <si>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</si>
  <si>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</si>
  <si>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Vol. 2012</t>
  </si>
  <si>
    <t>Vol.2024</t>
  </si>
  <si>
    <t>Villa 1ro de Mayo (COOPAGUAS)</t>
  </si>
  <si>
    <t>Plan 3000 (COOPLAN R.L.)</t>
  </si>
  <si>
    <t>Cotoca</t>
  </si>
  <si>
    <t>Porongo</t>
  </si>
  <si>
    <t>El Carmen (COOSPELCAR R.L.)</t>
  </si>
  <si>
    <t>Warnes</t>
  </si>
  <si>
    <t>Okinawa Uno</t>
  </si>
  <si>
    <t>San Ignacio</t>
  </si>
  <si>
    <t>San Miguel</t>
  </si>
  <si>
    <t>San Rafael</t>
  </si>
  <si>
    <t>Buena Vista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</si>
  <si>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</si>
  <si>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</si>
  <si>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</si>
  <si>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</si>
  <si>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</si>
  <si>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</si>
  <si>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</si>
  <si>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</si>
  <si>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</si>
  <si>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</si>
  <si>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</si>
  <si>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</si>
  <si>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</si>
  <si>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</si>
  <si>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</si>
  <si>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</si>
  <si>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</si>
  <si>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</si>
  <si>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</si>
  <si>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</si>
  <si>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</si>
  <si>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</si>
  <si>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</si>
  <si>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</si>
  <si>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</si>
  <si>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NSD</t>
  </si>
  <si>
    <t>General Saavedra</t>
  </si>
  <si>
    <t>Mineros</t>
  </si>
  <si>
    <t>Concepción</t>
  </si>
  <si>
    <t>San Javier</t>
  </si>
  <si>
    <t>San Julián</t>
  </si>
  <si>
    <t>San Antonio de Lomerio</t>
  </si>
  <si>
    <t>San Ramón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</si>
  <si>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</si>
  <si>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</si>
  <si>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</si>
  <si>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</si>
  <si>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</si>
  <si>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</si>
  <si>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</si>
  <si>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</si>
  <si>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</si>
  <si>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</si>
  <si>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</si>
  <si>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</si>
  <si>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</si>
  <si>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</si>
  <si>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</si>
  <si>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</si>
  <si>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</si>
  <si>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</si>
  <si>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</si>
  <si>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</si>
  <si>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</si>
  <si>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</si>
  <si>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</si>
  <si>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</si>
  <si>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</si>
  <si>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</si>
  <si>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</si>
  <si>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</si>
  <si>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</si>
  <si>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</si>
  <si>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</si>
  <si>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</si>
  <si>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</si>
  <si>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</si>
  <si>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</si>
  <si>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</si>
  <si>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</si>
  <si>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Numerador (Sumatoria de (indice de tratamiento de agua por población)) 2013</t>
  </si>
  <si>
    <t>Numerador (Sumatoria de (indice de tratamiento de agua por población)) 2024</t>
  </si>
  <si>
    <t>Numerador (Sumatoria de (indice de tratamiento de agua por población)) 2012</t>
  </si>
  <si>
    <t>Índice de tratamiento de agua residual 2012 %</t>
  </si>
  <si>
    <t>Santa Cruz de la Sierra</t>
  </si>
  <si>
    <t>La Guardia</t>
  </si>
  <si>
    <t>El Torno</t>
  </si>
  <si>
    <t>San Carlos</t>
  </si>
  <si>
    <t>Fernández Alonso</t>
  </si>
  <si>
    <t>sdg6_3_tratamiento_agua_residual_abs_2013</t>
  </si>
  <si>
    <t>sdg6_3_tratamiento_agua_residual_abs_2024</t>
  </si>
  <si>
    <t>Poblacion 2013</t>
  </si>
  <si>
    <t>Poblacion 2024</t>
  </si>
  <si>
    <t>Volumen de agua residual no tratada generadas en m3 2013</t>
  </si>
  <si>
    <t>Volumen de agua residual no tratada en m3 2024</t>
  </si>
  <si>
    <t>Volumen de agua residual no tratada en m3 2013</t>
  </si>
  <si>
    <t>Vol. Tratado de aguas residuales no tratadas 2013 (m3/período)</t>
  </si>
  <si>
    <t>Vol. Tratado de aguas residuales no tratadas 2024 (m3/período)</t>
  </si>
  <si>
    <t>sdg6_3_tratamiento_agua_residual_2013</t>
  </si>
  <si>
    <t>sdg6_3_tratamiento_agua_residual_2024</t>
  </si>
  <si>
    <t>id_departamento</t>
  </si>
  <si>
    <t>Volumen de agua residual no tratada m3 2013</t>
  </si>
  <si>
    <t>Volumen de agua residual no tratada m3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</si>
  <si>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</si>
  <si>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</si>
  <si>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</si>
  <si>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</si>
  <si>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</si>
  <si>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</si>
  <si>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</si>
  <si>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</si>
  <si>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</si>
  <si>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</si>
  <si>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</si>
  <si>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Índice de tratamiento de agua residual</t>
  </si>
  <si>
    <t>SDG Index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</si>
</sst>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0.000"/>
    <numFmt numFmtId="166" formatCode="_(* #,##0_);_(* \(#,##0\);_(* &quot;-&quot;??_);_(@_)"/>
    <numFmt numFmtId="167" formatCode="_(* #,##0.00_);_(* \(#,##0.00\);_(* &quot;-&quot;??_);_(@_)"/>
    <numFmt numFmtId="168" formatCode="0.0"/>
    <numFmt numFmtId="169" formatCode="_-* #,##0_-;\-* #,##0_-;_-* &quot;-&quot;??_-;_-@"/>
    <numFmt numFmtId="170" formatCode="_(* #,##0.0_);_(* \(#,##0.0\);_(* &quot;-&quot;??_);_(@_)"/>
  </numFmts>
  <fonts count="11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sz val="10.0"/>
      <color rgb="FF000000"/>
      <name val="Arial"/>
    </font>
    <font/>
    <font>
      <b/>
      <sz val="11.0"/>
      <color rgb="FFFFFFFF"/>
      <name val="Arial"/>
    </font>
    <font>
      <sz val="11.0"/>
      <color theme="1"/>
      <name val="Arial"/>
    </font>
    <font>
      <b/>
      <sz val="9.0"/>
      <color theme="1"/>
      <name val="Play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17375D"/>
        <bgColor rgb="FF17375D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vertical="center"/>
    </xf>
    <xf borderId="2" fillId="2" fontId="1" numFmtId="0" xfId="0" applyAlignment="1" applyBorder="1" applyFill="1" applyFont="1">
      <alignment vertical="center"/>
    </xf>
    <xf borderId="0" fillId="0" fontId="1" numFmtId="0" xfId="0" applyFont="1"/>
    <xf borderId="1" fillId="0" fontId="2" numFmtId="0" xfId="0" applyAlignment="1" applyBorder="1" applyFont="1">
      <alignment vertical="center"/>
    </xf>
    <xf borderId="1" fillId="0" fontId="2" numFmtId="0" xfId="0" applyBorder="1" applyFont="1"/>
    <xf borderId="1" fillId="0" fontId="2" numFmtId="4" xfId="0" applyBorder="1" applyFont="1" applyNumberFormat="1"/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2" numFmtId="0" xfId="0" applyFont="1"/>
    <xf borderId="0" fillId="0" fontId="4" numFmtId="0" xfId="0" applyAlignment="1" applyFont="1">
      <alignment vertical="center"/>
    </xf>
    <xf borderId="0" fillId="0" fontId="4" numFmtId="4" xfId="0" applyFont="1" applyNumberFormat="1"/>
    <xf borderId="0" fillId="0" fontId="4" numFmtId="4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borderId="0" fillId="0" fontId="5" numFmtId="0" xfId="0" applyAlignment="1" applyFont="1">
      <alignment vertical="center"/>
    </xf>
    <xf borderId="2" fillId="2" fontId="5" numFmtId="0" xfId="0" applyAlignment="1" applyBorder="1" applyFont="1">
      <alignment vertical="center"/>
    </xf>
    <xf borderId="0" fillId="0" fontId="2" numFmtId="4" xfId="0" applyFont="1" applyNumberFormat="1"/>
    <xf borderId="1" fillId="0" fontId="1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3" fillId="0" fontId="4" numFmtId="0" xfId="0" applyBorder="1" applyFont="1"/>
    <xf borderId="3" fillId="0" fontId="2" numFmtId="4" xfId="0" applyBorder="1" applyFont="1" applyNumberFormat="1"/>
    <xf borderId="1" fillId="0" fontId="6" numFmtId="4" xfId="0" applyBorder="1" applyFont="1" applyNumberFormat="1"/>
    <xf borderId="0" fillId="0" fontId="2" numFmtId="4" xfId="0" applyAlignment="1" applyFont="1" applyNumberFormat="1">
      <alignment vertical="center"/>
    </xf>
    <xf borderId="3" fillId="0" fontId="2" numFmtId="0" xfId="0" applyBorder="1" applyFont="1"/>
    <xf borderId="4" fillId="0" fontId="2" numFmtId="0" xfId="0" applyBorder="1" applyFont="1"/>
    <xf borderId="5" fillId="3" fontId="5" numFmtId="0" xfId="0" applyAlignment="1" applyBorder="1" applyFill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8" fillId="0" fontId="2" numFmtId="0" xfId="0" applyBorder="1" applyFont="1"/>
    <xf borderId="8" fillId="0" fontId="2" numFmtId="4" xfId="0" applyBorder="1" applyFont="1" applyNumberFormat="1"/>
    <xf borderId="8" fillId="0" fontId="4" numFmtId="4" xfId="0" applyBorder="1" applyFont="1" applyNumberFormat="1"/>
    <xf borderId="9" fillId="0" fontId="2" numFmtId="4" xfId="0" applyAlignment="1" applyBorder="1" applyFont="1" applyNumberFormat="1">
      <alignment vertical="center"/>
    </xf>
    <xf borderId="10" fillId="0" fontId="2" numFmtId="4" xfId="0" applyAlignment="1" applyBorder="1" applyFont="1" applyNumberFormat="1">
      <alignment vertical="center"/>
    </xf>
    <xf borderId="11" fillId="0" fontId="7" numFmtId="0" xfId="0" applyBorder="1" applyFont="1"/>
    <xf borderId="1" fillId="0" fontId="4" numFmtId="4" xfId="0" applyAlignment="1" applyBorder="1" applyFont="1" applyNumberFormat="1">
      <alignment horizontal="right"/>
    </xf>
    <xf borderId="12" fillId="0" fontId="7" numFmtId="0" xfId="0" applyBorder="1" applyFont="1"/>
    <xf borderId="1" fillId="0" fontId="4" numFmtId="0" xfId="0" applyAlignment="1" applyBorder="1" applyFont="1">
      <alignment horizontal="right"/>
    </xf>
    <xf borderId="13" fillId="0" fontId="7" numFmtId="0" xfId="0" applyBorder="1" applyFont="1"/>
    <xf borderId="14" fillId="0" fontId="2" numFmtId="0" xfId="0" applyAlignment="1" applyBorder="1" applyFont="1">
      <alignment vertical="center"/>
    </xf>
    <xf borderId="14" fillId="0" fontId="2" numFmtId="0" xfId="0" applyBorder="1" applyFont="1"/>
    <xf borderId="14" fillId="0" fontId="2" numFmtId="4" xfId="0" applyBorder="1" applyFont="1" applyNumberFormat="1"/>
    <xf borderId="15" fillId="0" fontId="7" numFmtId="0" xfId="0" applyBorder="1" applyFont="1"/>
    <xf borderId="16" fillId="0" fontId="7" numFmtId="0" xfId="0" applyBorder="1" applyFont="1"/>
    <xf borderId="17" fillId="0" fontId="2" numFmtId="0" xfId="0" applyAlignment="1" applyBorder="1" applyFont="1">
      <alignment vertical="center"/>
    </xf>
    <xf borderId="17" fillId="0" fontId="2" numFmtId="0" xfId="0" applyBorder="1" applyFont="1"/>
    <xf borderId="17" fillId="0" fontId="2" numFmtId="4" xfId="0" applyBorder="1" applyFont="1" applyNumberFormat="1"/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0" fillId="0" fontId="2" numFmtId="165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4" fontId="8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2" numFmtId="3" xfId="0" applyBorder="1" applyFont="1" applyNumberFormat="1"/>
    <xf borderId="1" fillId="0" fontId="9" numFmtId="0" xfId="0" applyBorder="1" applyFont="1"/>
    <xf borderId="0" fillId="0" fontId="9" numFmtId="0" xfId="0" applyFont="1"/>
    <xf borderId="1" fillId="0" fontId="2" numFmtId="2" xfId="0" applyBorder="1" applyFont="1" applyNumberFormat="1"/>
    <xf borderId="3" fillId="0" fontId="4" numFmtId="166" xfId="0" applyAlignment="1" applyBorder="1" applyFont="1" applyNumberFormat="1">
      <alignment horizontal="right"/>
    </xf>
    <xf borderId="3" fillId="0" fontId="4" numFmtId="167" xfId="0" applyAlignment="1" applyBorder="1" applyFont="1" applyNumberFormat="1">
      <alignment horizontal="right"/>
    </xf>
    <xf borderId="1" fillId="0" fontId="6" numFmtId="3" xfId="0" applyBorder="1" applyFont="1" applyNumberFormat="1"/>
    <xf borderId="1" fillId="0" fontId="4" numFmtId="167" xfId="0" applyAlignment="1" applyBorder="1" applyFont="1" applyNumberFormat="1">
      <alignment horizontal="right"/>
    </xf>
    <xf borderId="0" fillId="0" fontId="2" numFmtId="2" xfId="0" applyFont="1" applyNumberFormat="1"/>
    <xf borderId="1" fillId="0" fontId="5" numFmtId="0" xfId="0" applyAlignment="1" applyBorder="1" applyFont="1">
      <alignment shrinkToFit="0" vertical="center" wrapText="1"/>
    </xf>
    <xf borderId="1" fillId="0" fontId="5" numFmtId="168" xfId="0" applyAlignment="1" applyBorder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0" fontId="2" numFmtId="169" xfId="0" applyBorder="1" applyFont="1" applyNumberFormat="1"/>
    <xf borderId="1" fillId="0" fontId="6" numFmtId="169" xfId="0" applyBorder="1" applyFont="1" applyNumberFormat="1"/>
    <xf borderId="0" fillId="0" fontId="2" numFmtId="3" xfId="0" applyFont="1" applyNumberFormat="1"/>
    <xf borderId="1" fillId="0" fontId="2" numFmtId="168" xfId="0" applyBorder="1" applyFont="1" applyNumberFormat="1"/>
    <xf borderId="0" fillId="0" fontId="2" numFmtId="168" xfId="0" applyFont="1" applyNumberFormat="1"/>
    <xf borderId="3" fillId="0" fontId="2" numFmtId="168" xfId="0" applyBorder="1" applyFont="1" applyNumberFormat="1"/>
    <xf borderId="1" fillId="0" fontId="6" numFmtId="170" xfId="0" applyBorder="1" applyFont="1" applyNumberFormat="1"/>
    <xf borderId="1" fillId="5" fontId="3" numFmtId="0" xfId="0" applyAlignment="1" applyBorder="1" applyFill="1" applyFont="1">
      <alignment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534150" cy="4410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5"/>
    <col customWidth="1" min="10" max="11" width="14.5"/>
    <col customWidth="1" min="12" max="26" width="12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>
        <v>2012.0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15.75" customHeight="1">
      <c r="A2" s="6">
        <v>10101.0</v>
      </c>
      <c r="B2" s="6" t="s">
        <v>6</v>
      </c>
      <c r="C2" s="7">
        <v>63.57</v>
      </c>
      <c r="D2" s="8">
        <v>3995786.4</v>
      </c>
      <c r="E2" s="7">
        <v>53.82</v>
      </c>
      <c r="F2" s="8">
        <v>4203191.3</v>
      </c>
      <c r="G2" s="9"/>
      <c r="H2" s="10" t="s">
        <v>7</v>
      </c>
      <c r="I2" s="11"/>
      <c r="J2" s="11"/>
      <c r="K2" s="11"/>
      <c r="L2" s="11"/>
      <c r="M2" s="11"/>
      <c r="N2" s="11"/>
      <c r="O2" s="11"/>
      <c r="P2" s="11"/>
    </row>
    <row r="3" ht="15.75" customHeight="1">
      <c r="A3" s="6">
        <v>10102.0</v>
      </c>
      <c r="B3" s="6" t="s">
        <v>8</v>
      </c>
      <c r="C3" s="7">
        <v>0.0</v>
      </c>
      <c r="D3" s="7">
        <v>0.0</v>
      </c>
      <c r="E3" s="7">
        <v>0.0</v>
      </c>
      <c r="F3" s="7">
        <v>0.0</v>
      </c>
      <c r="G3" s="9"/>
      <c r="H3" s="9"/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</row>
    <row r="4" ht="15.75" customHeight="1">
      <c r="A4" s="6">
        <v>10103.0</v>
      </c>
      <c r="B4" s="6" t="s">
        <v>17</v>
      </c>
      <c r="C4" s="7">
        <v>0.0</v>
      </c>
      <c r="D4" s="7">
        <v>0.0</v>
      </c>
      <c r="E4" s="7">
        <v>0.0</v>
      </c>
      <c r="F4" s="7">
        <v>0.0</v>
      </c>
      <c r="G4" s="9"/>
      <c r="H4" s="13" t="s">
        <v>18</v>
      </c>
      <c r="I4" s="14">
        <v>4.3078729E7</v>
      </c>
      <c r="J4" s="15">
        <v>5489856.0</v>
      </c>
      <c r="K4" s="15">
        <v>1358724.0</v>
      </c>
      <c r="L4" s="16">
        <v>0.0</v>
      </c>
      <c r="M4" s="16">
        <v>0.0</v>
      </c>
      <c r="N4" s="16">
        <v>0.0</v>
      </c>
      <c r="O4" s="16">
        <v>0.0</v>
      </c>
      <c r="P4" s="15">
        <v>397419.0</v>
      </c>
    </row>
    <row r="5" ht="15.75" customHeight="1">
      <c r="A5" s="6">
        <v>10201.0</v>
      </c>
      <c r="B5" s="6" t="s">
        <v>19</v>
      </c>
      <c r="C5" s="7">
        <v>0.0</v>
      </c>
      <c r="D5" s="7">
        <v>0.0</v>
      </c>
      <c r="E5" s="7">
        <v>0.0</v>
      </c>
      <c r="F5" s="7">
        <v>0.0</v>
      </c>
      <c r="G5" s="9"/>
      <c r="H5" s="13" t="s">
        <v>20</v>
      </c>
      <c r="I5" s="14">
        <v>5.4383598E7</v>
      </c>
      <c r="J5" s="15">
        <v>5620065.0</v>
      </c>
      <c r="K5" s="15">
        <v>3046323.0</v>
      </c>
      <c r="L5" s="15">
        <v>5464822.0</v>
      </c>
      <c r="M5" s="15">
        <v>3383543.0</v>
      </c>
      <c r="N5" s="15">
        <v>2526017.0</v>
      </c>
      <c r="O5" s="15">
        <v>847715.0</v>
      </c>
      <c r="P5" s="15">
        <v>781677.0</v>
      </c>
    </row>
    <row r="6" ht="15.75" customHeight="1">
      <c r="A6" s="6">
        <v>10202.0</v>
      </c>
      <c r="B6" s="6" t="s">
        <v>21</v>
      </c>
      <c r="C6" s="7">
        <v>0.0</v>
      </c>
      <c r="D6" s="7">
        <v>0.0</v>
      </c>
      <c r="E6" s="7">
        <v>0.0</v>
      </c>
      <c r="F6" s="7">
        <v>0.0</v>
      </c>
      <c r="G6" s="9"/>
      <c r="H6" s="13" t="s">
        <v>22</v>
      </c>
      <c r="I6" s="15">
        <f t="shared" ref="I6:I7" si="1">+SUM(I4:P4)</f>
        <v>50324728</v>
      </c>
      <c r="J6" s="11"/>
      <c r="K6" s="11"/>
      <c r="L6" s="11"/>
      <c r="M6" s="11"/>
      <c r="N6" s="11"/>
      <c r="O6" s="11"/>
      <c r="P6" s="11"/>
    </row>
    <row r="7" ht="15.75" customHeight="1">
      <c r="A7" s="6">
        <v>10301.0</v>
      </c>
      <c r="B7" s="6" t="s">
        <v>23</v>
      </c>
      <c r="C7" s="7">
        <v>0.0</v>
      </c>
      <c r="D7" s="7">
        <v>0.0</v>
      </c>
      <c r="E7" s="7">
        <v>0.0</v>
      </c>
      <c r="F7" s="7">
        <v>0.0</v>
      </c>
      <c r="G7" s="9"/>
      <c r="H7" s="13" t="s">
        <v>24</v>
      </c>
      <c r="I7" s="15">
        <f t="shared" si="1"/>
        <v>76053760</v>
      </c>
      <c r="J7" s="16">
        <f>+I7*0.8</f>
        <v>60843008</v>
      </c>
      <c r="K7" s="11"/>
      <c r="L7" s="11"/>
      <c r="M7" s="11"/>
      <c r="N7" s="11"/>
      <c r="O7" s="11"/>
      <c r="P7" s="11"/>
    </row>
    <row r="8" ht="15.75" customHeight="1">
      <c r="A8" s="6">
        <v>10302.0</v>
      </c>
      <c r="B8" s="6" t="s">
        <v>25</v>
      </c>
      <c r="C8" s="7">
        <v>0.0</v>
      </c>
      <c r="D8" s="7">
        <v>0.0</v>
      </c>
      <c r="E8" s="7">
        <v>0.0</v>
      </c>
      <c r="F8" s="7">
        <v>0.0</v>
      </c>
      <c r="G8" s="9"/>
      <c r="H8" s="13" t="s">
        <v>26</v>
      </c>
      <c r="I8" s="17">
        <f>+I6/J7</f>
        <v>0.8271242605</v>
      </c>
      <c r="J8" s="11"/>
      <c r="K8" s="11"/>
      <c r="L8" s="11"/>
      <c r="M8" s="11"/>
      <c r="N8" s="11"/>
      <c r="O8" s="11"/>
      <c r="P8" s="11"/>
    </row>
    <row r="9" ht="15.75" customHeight="1">
      <c r="A9" s="6">
        <v>10303.0</v>
      </c>
      <c r="B9" s="6" t="s">
        <v>27</v>
      </c>
      <c r="C9" s="7">
        <v>0.0</v>
      </c>
      <c r="D9" s="7">
        <v>0.0</v>
      </c>
      <c r="E9" s="7">
        <v>0.0</v>
      </c>
      <c r="F9" s="7">
        <v>0.0</v>
      </c>
      <c r="G9" s="9"/>
      <c r="H9" s="9"/>
    </row>
    <row r="10" ht="15.75" customHeight="1">
      <c r="A10" s="6">
        <v>10304.0</v>
      </c>
      <c r="B10" s="6" t="s">
        <v>28</v>
      </c>
      <c r="C10" s="7">
        <v>0.0</v>
      </c>
      <c r="D10" s="7">
        <v>0.0</v>
      </c>
      <c r="E10" s="7">
        <v>0.0</v>
      </c>
      <c r="F10" s="7">
        <v>0.0</v>
      </c>
      <c r="G10" s="9"/>
      <c r="H10" s="18" t="s">
        <v>29</v>
      </c>
      <c r="I10" s="12"/>
      <c r="J10" s="12"/>
      <c r="K10" s="12"/>
      <c r="L10" s="12"/>
      <c r="M10" s="12"/>
      <c r="N10" s="12"/>
      <c r="O10" s="12"/>
      <c r="P10" s="12"/>
    </row>
    <row r="11" ht="15.75" customHeight="1">
      <c r="A11" s="6">
        <v>10401.0</v>
      </c>
      <c r="B11" s="6" t="s">
        <v>30</v>
      </c>
      <c r="C11" s="7">
        <v>0.0</v>
      </c>
      <c r="D11" s="7">
        <v>0.0</v>
      </c>
      <c r="E11" s="7">
        <v>0.0</v>
      </c>
      <c r="F11" s="7">
        <v>0.0</v>
      </c>
      <c r="G11" s="9"/>
      <c r="H11" s="9"/>
      <c r="I11" s="12" t="s">
        <v>31</v>
      </c>
      <c r="J11" s="12" t="s">
        <v>32</v>
      </c>
    </row>
    <row r="12" ht="15.75" customHeight="1">
      <c r="A12" s="6">
        <v>10402.0</v>
      </c>
      <c r="B12" s="6" t="s">
        <v>33</v>
      </c>
      <c r="C12" s="7">
        <v>0.0</v>
      </c>
      <c r="D12" s="7">
        <v>0.0</v>
      </c>
      <c r="E12" s="7">
        <v>0.0</v>
      </c>
      <c r="F12" s="7">
        <v>0.0</v>
      </c>
      <c r="G12" s="9"/>
      <c r="H12" s="13" t="s">
        <v>18</v>
      </c>
      <c r="I12" s="14">
        <v>404422.0</v>
      </c>
      <c r="J12" s="15">
        <v>0.0</v>
      </c>
      <c r="K12" s="15"/>
      <c r="L12" s="16"/>
      <c r="M12" s="16"/>
      <c r="N12" s="16"/>
      <c r="O12" s="16"/>
      <c r="P12" s="15"/>
    </row>
    <row r="13" ht="15.75" customHeight="1">
      <c r="A13" s="6">
        <v>10403.0</v>
      </c>
      <c r="B13" s="6" t="s">
        <v>34</v>
      </c>
      <c r="C13" s="7">
        <v>0.0</v>
      </c>
      <c r="D13" s="7">
        <v>0.0</v>
      </c>
      <c r="E13" s="7">
        <v>0.0</v>
      </c>
      <c r="F13" s="7">
        <v>0.0</v>
      </c>
      <c r="G13" s="9"/>
      <c r="H13" s="13" t="s">
        <v>20</v>
      </c>
      <c r="I13" s="14">
        <v>713321.0</v>
      </c>
      <c r="J13" s="15">
        <v>332442.0</v>
      </c>
      <c r="K13" s="15"/>
      <c r="L13" s="15"/>
      <c r="M13" s="15"/>
      <c r="N13" s="15"/>
      <c r="O13" s="15"/>
      <c r="P13" s="15"/>
    </row>
    <row r="14" ht="15.75" customHeight="1">
      <c r="A14" s="6">
        <v>10404.0</v>
      </c>
      <c r="B14" s="6" t="s">
        <v>35</v>
      </c>
      <c r="C14" s="7">
        <v>0.0</v>
      </c>
      <c r="D14" s="7">
        <v>0.0</v>
      </c>
      <c r="E14" s="7">
        <v>0.0</v>
      </c>
      <c r="F14" s="7">
        <v>0.0</v>
      </c>
      <c r="G14" s="9"/>
      <c r="H14" s="13" t="s">
        <v>22</v>
      </c>
      <c r="I14" s="15">
        <f t="shared" ref="I14:I15" si="2">+SUM(I12:J12)</f>
        <v>404422</v>
      </c>
      <c r="J14" s="11"/>
      <c r="K14" s="11"/>
      <c r="L14" s="11"/>
      <c r="M14" s="11"/>
      <c r="N14" s="11"/>
      <c r="O14" s="11"/>
      <c r="P14" s="11"/>
    </row>
    <row r="15" ht="15.75" customHeight="1">
      <c r="A15" s="6">
        <v>10405.0</v>
      </c>
      <c r="B15" s="6" t="s">
        <v>36</v>
      </c>
      <c r="C15" s="7">
        <v>0.0</v>
      </c>
      <c r="D15" s="7">
        <v>0.0</v>
      </c>
      <c r="E15" s="7">
        <v>0.0</v>
      </c>
      <c r="F15" s="7">
        <v>0.0</v>
      </c>
      <c r="G15" s="9"/>
      <c r="H15" s="13" t="s">
        <v>24</v>
      </c>
      <c r="I15" s="15">
        <f t="shared" si="2"/>
        <v>1045763</v>
      </c>
      <c r="J15" s="16">
        <f>+I15*0.8</f>
        <v>836610.4</v>
      </c>
      <c r="K15" s="11"/>
      <c r="L15" s="11"/>
      <c r="M15" s="11"/>
      <c r="N15" s="11"/>
      <c r="O15" s="11"/>
      <c r="P15" s="11"/>
    </row>
    <row r="16" ht="15.75" customHeight="1">
      <c r="A16" s="6">
        <v>10501.0</v>
      </c>
      <c r="B16" s="6" t="s">
        <v>37</v>
      </c>
      <c r="C16" s="7">
        <v>0.0</v>
      </c>
      <c r="D16" s="7">
        <v>0.0</v>
      </c>
      <c r="E16" s="7">
        <v>0.0</v>
      </c>
      <c r="F16" s="7">
        <v>0.0</v>
      </c>
      <c r="G16" s="9"/>
      <c r="H16" s="13" t="s">
        <v>26</v>
      </c>
      <c r="I16" s="17">
        <f>+I14/J15</f>
        <v>0.4834054179</v>
      </c>
      <c r="J16" s="11"/>
      <c r="K16" s="11"/>
      <c r="L16" s="11"/>
      <c r="M16" s="11"/>
      <c r="N16" s="11"/>
      <c r="O16" s="11"/>
      <c r="P16" s="11"/>
    </row>
    <row r="17" ht="15.75" customHeight="1">
      <c r="A17" s="6">
        <v>10502.0</v>
      </c>
      <c r="B17" s="6" t="s">
        <v>38</v>
      </c>
      <c r="C17" s="7">
        <v>0.0</v>
      </c>
      <c r="D17" s="7">
        <v>0.0</v>
      </c>
      <c r="E17" s="7">
        <v>0.0</v>
      </c>
      <c r="F17" s="7">
        <v>0.0</v>
      </c>
      <c r="G17" s="9"/>
      <c r="H17" s="9"/>
    </row>
    <row r="18" ht="15.75" customHeight="1">
      <c r="A18" s="6">
        <v>10601.0</v>
      </c>
      <c r="B18" s="6" t="s">
        <v>39</v>
      </c>
      <c r="C18" s="7">
        <v>0.0</v>
      </c>
      <c r="D18" s="7">
        <v>0.0</v>
      </c>
      <c r="E18" s="7">
        <v>0.0</v>
      </c>
      <c r="F18" s="7">
        <v>0.0</v>
      </c>
      <c r="G18" s="9"/>
      <c r="H18" s="18" t="s">
        <v>40</v>
      </c>
      <c r="I18" s="12"/>
      <c r="J18" s="12"/>
    </row>
    <row r="19" ht="15.75" customHeight="1">
      <c r="A19" s="6">
        <v>10602.0</v>
      </c>
      <c r="B19" s="6" t="s">
        <v>41</v>
      </c>
      <c r="C19" s="7">
        <v>0.0</v>
      </c>
      <c r="D19" s="7">
        <v>0.0</v>
      </c>
      <c r="E19" s="7">
        <v>0.0</v>
      </c>
      <c r="F19" s="7">
        <v>0.0</v>
      </c>
      <c r="G19" s="9"/>
      <c r="H19" s="9"/>
      <c r="I19" s="12" t="s">
        <v>31</v>
      </c>
    </row>
    <row r="20" ht="15.75" customHeight="1">
      <c r="A20" s="6">
        <v>10701.0</v>
      </c>
      <c r="B20" s="6" t="s">
        <v>42</v>
      </c>
      <c r="C20" s="7">
        <v>0.0</v>
      </c>
      <c r="D20" s="7">
        <v>0.0</v>
      </c>
      <c r="E20" s="7">
        <v>0.0</v>
      </c>
      <c r="F20" s="7">
        <v>0.0</v>
      </c>
      <c r="G20" s="9"/>
      <c r="H20" s="13" t="s">
        <v>18</v>
      </c>
      <c r="I20" s="14">
        <v>4573543.3</v>
      </c>
      <c r="J20" s="15"/>
    </row>
    <row r="21" ht="15.75" customHeight="1">
      <c r="A21" s="6">
        <v>10702.0</v>
      </c>
      <c r="B21" s="6" t="s">
        <v>43</v>
      </c>
      <c r="C21" s="7">
        <v>0.0</v>
      </c>
      <c r="D21" s="7">
        <v>0.0</v>
      </c>
      <c r="E21" s="7">
        <v>0.0</v>
      </c>
      <c r="F21" s="7">
        <v>0.0</v>
      </c>
      <c r="G21" s="9"/>
      <c r="H21" s="13" t="s">
        <v>20</v>
      </c>
      <c r="I21" s="14">
        <v>4392528.0</v>
      </c>
      <c r="J21" s="16">
        <f>+I21*0.8</f>
        <v>3514022.4</v>
      </c>
    </row>
    <row r="22" ht="15.75" customHeight="1">
      <c r="A22" s="6">
        <v>10703.0</v>
      </c>
      <c r="B22" s="6" t="s">
        <v>44</v>
      </c>
      <c r="C22" s="7">
        <v>0.0</v>
      </c>
      <c r="D22" s="7">
        <v>0.0</v>
      </c>
      <c r="E22" s="7">
        <v>0.0</v>
      </c>
      <c r="F22" s="7">
        <v>0.0</v>
      </c>
      <c r="G22" s="9"/>
      <c r="H22" s="13" t="s">
        <v>26</v>
      </c>
      <c r="I22" s="17">
        <f>+I20/J21</f>
        <v>1.301512278</v>
      </c>
      <c r="J22" s="11"/>
    </row>
    <row r="23" ht="15.75" customHeight="1">
      <c r="A23" s="6">
        <v>10704.0</v>
      </c>
      <c r="B23" s="6" t="s">
        <v>45</v>
      </c>
      <c r="C23" s="7">
        <v>0.0</v>
      </c>
      <c r="D23" s="7">
        <v>0.0</v>
      </c>
      <c r="E23" s="7">
        <v>0.0</v>
      </c>
      <c r="F23" s="7">
        <v>0.0</v>
      </c>
      <c r="G23" s="9"/>
      <c r="H23" s="13"/>
      <c r="I23" s="16"/>
    </row>
    <row r="24" ht="15.75" customHeight="1">
      <c r="A24" s="6">
        <v>10801.0</v>
      </c>
      <c r="B24" s="6" t="s">
        <v>46</v>
      </c>
      <c r="C24" s="7">
        <v>0.0</v>
      </c>
      <c r="D24" s="7">
        <v>0.0</v>
      </c>
      <c r="E24" s="7">
        <v>0.0</v>
      </c>
      <c r="F24" s="7">
        <v>0.0</v>
      </c>
      <c r="G24" s="9"/>
      <c r="H24" s="9"/>
      <c r="J24" s="11"/>
    </row>
    <row r="25" ht="15.75" customHeight="1">
      <c r="A25" s="6">
        <v>10901.0</v>
      </c>
      <c r="B25" s="6" t="s">
        <v>47</v>
      </c>
      <c r="C25" s="7">
        <v>0.0</v>
      </c>
      <c r="D25" s="7">
        <v>0.0</v>
      </c>
      <c r="E25" s="7">
        <v>0.0</v>
      </c>
      <c r="F25" s="7">
        <v>0.0</v>
      </c>
      <c r="G25" s="9"/>
      <c r="H25" s="9"/>
    </row>
    <row r="26" ht="15.75" customHeight="1">
      <c r="A26" s="6">
        <v>10902.0</v>
      </c>
      <c r="B26" s="6" t="s">
        <v>48</v>
      </c>
      <c r="C26" s="7">
        <v>0.0</v>
      </c>
      <c r="D26" s="7">
        <v>0.0</v>
      </c>
      <c r="E26" s="7">
        <v>0.0</v>
      </c>
      <c r="F26" s="7">
        <v>0.0</v>
      </c>
      <c r="G26" s="9"/>
      <c r="H26" s="9"/>
    </row>
    <row r="27" ht="15.75" customHeight="1">
      <c r="A27" s="6">
        <v>10903.0</v>
      </c>
      <c r="B27" s="6" t="s">
        <v>49</v>
      </c>
      <c r="C27" s="7">
        <v>0.0</v>
      </c>
      <c r="D27" s="7">
        <v>0.0</v>
      </c>
      <c r="E27" s="7">
        <v>0.0</v>
      </c>
      <c r="F27" s="7">
        <v>0.0</v>
      </c>
      <c r="G27" s="9"/>
      <c r="H27" s="19">
        <v>2024.0</v>
      </c>
    </row>
    <row r="28" ht="15.75" customHeight="1">
      <c r="A28" s="6">
        <v>11001.0</v>
      </c>
      <c r="B28" s="6" t="s">
        <v>50</v>
      </c>
      <c r="C28" s="7">
        <v>0.0</v>
      </c>
      <c r="D28" s="7">
        <v>0.0</v>
      </c>
      <c r="E28" s="7">
        <v>0.0</v>
      </c>
      <c r="F28" s="7">
        <v>0.0</v>
      </c>
      <c r="G28" s="9"/>
      <c r="H28" s="10" t="s">
        <v>7</v>
      </c>
      <c r="I28" s="11"/>
      <c r="J28" s="11"/>
      <c r="K28" s="11"/>
      <c r="L28" s="11"/>
      <c r="M28" s="11"/>
      <c r="N28" s="11"/>
      <c r="O28" s="11"/>
      <c r="P28" s="11"/>
    </row>
    <row r="29" ht="15.75" customHeight="1">
      <c r="A29" s="6">
        <v>11002.0</v>
      </c>
      <c r="B29" s="6" t="s">
        <v>51</v>
      </c>
      <c r="C29" s="7">
        <v>0.0</v>
      </c>
      <c r="D29" s="7">
        <v>0.0</v>
      </c>
      <c r="E29" s="7">
        <v>0.0</v>
      </c>
      <c r="F29" s="7">
        <v>0.0</v>
      </c>
      <c r="G29" s="9"/>
      <c r="H29" s="9"/>
      <c r="I29" s="12" t="s">
        <v>9</v>
      </c>
      <c r="J29" s="12" t="s">
        <v>10</v>
      </c>
      <c r="K29" s="12" t="s">
        <v>11</v>
      </c>
      <c r="L29" s="12" t="s">
        <v>12</v>
      </c>
      <c r="M29" s="12" t="s">
        <v>13</v>
      </c>
      <c r="N29" s="12" t="s">
        <v>14</v>
      </c>
      <c r="O29" s="12" t="s">
        <v>15</v>
      </c>
      <c r="P29" s="12" t="s">
        <v>16</v>
      </c>
      <c r="Q29" s="12" t="s">
        <v>52</v>
      </c>
      <c r="R29" s="12" t="s">
        <v>53</v>
      </c>
      <c r="S29" s="12" t="s">
        <v>54</v>
      </c>
    </row>
    <row r="30" ht="15.75" customHeight="1">
      <c r="A30" s="6">
        <v>11003.0</v>
      </c>
      <c r="B30" s="6" t="s">
        <v>55</v>
      </c>
      <c r="C30" s="7">
        <v>0.0</v>
      </c>
      <c r="D30" s="7">
        <v>0.0</v>
      </c>
      <c r="E30" s="7">
        <v>0.0</v>
      </c>
      <c r="F30" s="7">
        <v>0.0</v>
      </c>
      <c r="G30" s="9"/>
      <c r="H30" s="13" t="s">
        <v>18</v>
      </c>
      <c r="I30" s="14">
        <v>6.189217344E7</v>
      </c>
      <c r="J30" s="15">
        <v>6710239.0</v>
      </c>
      <c r="K30" s="15">
        <v>1762052.0</v>
      </c>
      <c r="L30" s="15">
        <v>5010756.48</v>
      </c>
      <c r="M30" s="16">
        <v>0.0</v>
      </c>
      <c r="N30" s="16">
        <v>0.0</v>
      </c>
      <c r="O30" s="16">
        <v>0.0</v>
      </c>
      <c r="P30" s="15">
        <v>625228.0</v>
      </c>
      <c r="Q30" s="12">
        <v>0.0</v>
      </c>
      <c r="R30" s="12">
        <v>0.0</v>
      </c>
      <c r="S30" s="20">
        <v>281894.0</v>
      </c>
    </row>
    <row r="31" ht="15.75" customHeight="1">
      <c r="A31" s="6">
        <v>20101.0</v>
      </c>
      <c r="B31" s="6" t="s">
        <v>56</v>
      </c>
      <c r="C31" s="7">
        <v>0.0</v>
      </c>
      <c r="D31" s="7">
        <v>0.0</v>
      </c>
      <c r="E31" s="7">
        <v>0.0</v>
      </c>
      <c r="F31" s="8">
        <v>0.0</v>
      </c>
      <c r="G31" s="9"/>
      <c r="H31" s="13" t="s">
        <v>20</v>
      </c>
      <c r="I31" s="14">
        <v>7.060753E7</v>
      </c>
      <c r="J31" s="15">
        <v>7055510.0</v>
      </c>
      <c r="K31" s="15">
        <v>3919373.0</v>
      </c>
      <c r="L31" s="15">
        <v>6720886.0</v>
      </c>
      <c r="M31" s="15">
        <v>0.0</v>
      </c>
      <c r="N31" s="15">
        <v>4688004.0</v>
      </c>
      <c r="O31" s="15">
        <v>1094338.0</v>
      </c>
      <c r="P31" s="15">
        <v>983286.0</v>
      </c>
      <c r="Q31" s="20">
        <v>424762.0</v>
      </c>
      <c r="R31" s="20">
        <v>171960.0</v>
      </c>
      <c r="S31" s="20">
        <v>696797.0</v>
      </c>
    </row>
    <row r="32" ht="15.75" customHeight="1">
      <c r="A32" s="6">
        <v>20102.0</v>
      </c>
      <c r="B32" s="6" t="s">
        <v>57</v>
      </c>
      <c r="C32" s="7">
        <v>0.0</v>
      </c>
      <c r="D32" s="7">
        <v>0.0</v>
      </c>
      <c r="E32" s="7">
        <v>0.0</v>
      </c>
      <c r="F32" s="7">
        <v>0.0</v>
      </c>
      <c r="G32" s="9"/>
      <c r="H32" s="13" t="s">
        <v>22</v>
      </c>
      <c r="I32" s="15">
        <f t="shared" ref="I32:I33" si="3">+SUM(I30:S30)</f>
        <v>76282342.92</v>
      </c>
      <c r="J32" s="11"/>
      <c r="K32" s="11"/>
      <c r="L32" s="11"/>
      <c r="M32" s="11"/>
      <c r="N32" s="11"/>
      <c r="O32" s="11"/>
      <c r="P32" s="11"/>
    </row>
    <row r="33" ht="15.75" customHeight="1">
      <c r="A33" s="6">
        <v>20103.0</v>
      </c>
      <c r="B33" s="6" t="s">
        <v>58</v>
      </c>
      <c r="C33" s="7">
        <v>0.0</v>
      </c>
      <c r="D33" s="7">
        <v>0.0</v>
      </c>
      <c r="E33" s="7">
        <v>0.0</v>
      </c>
      <c r="F33" s="7">
        <v>0.0</v>
      </c>
      <c r="G33" s="9"/>
      <c r="H33" s="13" t="s">
        <v>24</v>
      </c>
      <c r="I33" s="15">
        <f t="shared" si="3"/>
        <v>96362446</v>
      </c>
      <c r="J33" s="16">
        <f>+I33*0.8</f>
        <v>77089956.8</v>
      </c>
      <c r="K33" s="11"/>
      <c r="L33" s="11"/>
      <c r="M33" s="11"/>
      <c r="N33" s="11"/>
      <c r="O33" s="11"/>
      <c r="P33" s="11"/>
    </row>
    <row r="34" ht="15.75" customHeight="1">
      <c r="A34" s="6">
        <v>20104.0</v>
      </c>
      <c r="B34" s="6" t="s">
        <v>59</v>
      </c>
      <c r="C34" s="7">
        <v>0.0</v>
      </c>
      <c r="D34" s="7">
        <v>0.0</v>
      </c>
      <c r="E34" s="7">
        <v>0.0</v>
      </c>
      <c r="F34" s="7">
        <v>0.0</v>
      </c>
      <c r="G34" s="9"/>
      <c r="H34" s="13" t="s">
        <v>26</v>
      </c>
      <c r="I34" s="17">
        <f>+I32/J33</f>
        <v>0.9895237471</v>
      </c>
      <c r="J34" s="11"/>
      <c r="K34" s="11"/>
      <c r="L34" s="11"/>
      <c r="M34" s="11"/>
      <c r="N34" s="11"/>
      <c r="O34" s="11"/>
      <c r="P34" s="11"/>
    </row>
    <row r="35" ht="15.75" customHeight="1">
      <c r="A35" s="6">
        <v>20105.0</v>
      </c>
      <c r="B35" s="6" t="s">
        <v>60</v>
      </c>
      <c r="C35" s="7">
        <v>26.44</v>
      </c>
      <c r="D35" s="8">
        <v>1.0911456E7</v>
      </c>
      <c r="E35" s="7">
        <v>39.62</v>
      </c>
      <c r="F35" s="8">
        <v>1.965129178E7</v>
      </c>
      <c r="G35" s="9"/>
      <c r="H35" s="9"/>
    </row>
    <row r="36" ht="15.75" customHeight="1">
      <c r="A36" s="6">
        <v>20201.0</v>
      </c>
      <c r="B36" s="6" t="s">
        <v>61</v>
      </c>
      <c r="C36" s="7">
        <v>0.0</v>
      </c>
      <c r="D36" s="7">
        <v>0.0</v>
      </c>
      <c r="E36" s="7">
        <v>0.0</v>
      </c>
      <c r="F36" s="7">
        <v>0.0</v>
      </c>
      <c r="G36" s="9"/>
      <c r="H36" s="18" t="s">
        <v>29</v>
      </c>
      <c r="I36" s="12"/>
      <c r="J36" s="12"/>
      <c r="K36" s="12"/>
    </row>
    <row r="37" ht="15.75" customHeight="1">
      <c r="A37" s="6">
        <v>20202.0</v>
      </c>
      <c r="B37" s="6" t="s">
        <v>62</v>
      </c>
      <c r="C37" s="7">
        <v>0.0</v>
      </c>
      <c r="D37" s="7">
        <v>0.0</v>
      </c>
      <c r="E37" s="7">
        <v>0.0</v>
      </c>
      <c r="F37" s="7">
        <v>0.0</v>
      </c>
      <c r="G37" s="9"/>
      <c r="H37" s="9"/>
      <c r="I37" s="12" t="s">
        <v>31</v>
      </c>
      <c r="J37" s="12" t="s">
        <v>32</v>
      </c>
    </row>
    <row r="38" ht="15.75" customHeight="1">
      <c r="A38" s="6">
        <v>20204.0</v>
      </c>
      <c r="B38" s="6" t="s">
        <v>63</v>
      </c>
      <c r="C38" s="7">
        <v>0.0</v>
      </c>
      <c r="D38" s="7">
        <v>0.0</v>
      </c>
      <c r="E38" s="7">
        <v>0.0</v>
      </c>
      <c r="F38" s="7">
        <v>0.0</v>
      </c>
      <c r="G38" s="9"/>
      <c r="H38" s="13" t="s">
        <v>18</v>
      </c>
      <c r="I38" s="14">
        <v>303487.0</v>
      </c>
      <c r="J38" s="15">
        <v>0.0</v>
      </c>
      <c r="K38" s="15"/>
    </row>
    <row r="39" ht="15.75" customHeight="1">
      <c r="A39" s="6">
        <v>20205.0</v>
      </c>
      <c r="B39" s="6" t="s">
        <v>64</v>
      </c>
      <c r="C39" s="7">
        <v>0.0</v>
      </c>
      <c r="D39" s="7">
        <v>0.0</v>
      </c>
      <c r="E39" s="7">
        <v>0.0</v>
      </c>
      <c r="F39" s="7">
        <v>0.0</v>
      </c>
      <c r="G39" s="9"/>
      <c r="H39" s="13" t="s">
        <v>20</v>
      </c>
      <c r="I39" s="14">
        <v>1009875.0</v>
      </c>
      <c r="J39" s="15">
        <v>540613.0</v>
      </c>
      <c r="K39" s="15"/>
    </row>
    <row r="40" ht="15.75" customHeight="1">
      <c r="A40" s="6">
        <v>20206.0</v>
      </c>
      <c r="B40" s="6" t="s">
        <v>65</v>
      </c>
      <c r="C40" s="7">
        <v>0.0</v>
      </c>
      <c r="D40" s="7">
        <v>0.0</v>
      </c>
      <c r="E40" s="7">
        <v>0.0</v>
      </c>
      <c r="F40" s="7">
        <v>0.0</v>
      </c>
      <c r="G40" s="9"/>
      <c r="H40" s="13" t="s">
        <v>22</v>
      </c>
      <c r="I40" s="15">
        <f t="shared" ref="I40:I41" si="4">+SUM(I38:J38)</f>
        <v>303487</v>
      </c>
      <c r="J40" s="11"/>
      <c r="K40" s="11"/>
    </row>
    <row r="41" ht="15.75" customHeight="1">
      <c r="A41" s="6">
        <v>20203.0</v>
      </c>
      <c r="B41" s="6" t="s">
        <v>66</v>
      </c>
      <c r="C41" s="7">
        <v>0.0</v>
      </c>
      <c r="D41" s="7">
        <v>0.0</v>
      </c>
      <c r="E41" s="7">
        <v>0.0</v>
      </c>
      <c r="F41" s="7">
        <v>0.0</v>
      </c>
      <c r="G41" s="9"/>
      <c r="H41" s="13" t="s">
        <v>24</v>
      </c>
      <c r="I41" s="15">
        <f t="shared" si="4"/>
        <v>1550488</v>
      </c>
      <c r="J41" s="16">
        <f>+I41*0.8</f>
        <v>1240390.4</v>
      </c>
      <c r="K41" s="11"/>
    </row>
    <row r="42" ht="15.75" customHeight="1">
      <c r="A42" s="6">
        <v>20301.0</v>
      </c>
      <c r="B42" s="6" t="s">
        <v>67</v>
      </c>
      <c r="C42" s="7">
        <v>0.0</v>
      </c>
      <c r="D42" s="7">
        <v>0.0</v>
      </c>
      <c r="E42" s="7">
        <v>0.0</v>
      </c>
      <c r="F42" s="7">
        <v>0.0</v>
      </c>
      <c r="G42" s="9"/>
      <c r="H42" s="13" t="s">
        <v>26</v>
      </c>
      <c r="I42" s="17">
        <f>+I40/J41</f>
        <v>0.2446705489</v>
      </c>
      <c r="J42" s="11"/>
      <c r="K42" s="11"/>
    </row>
    <row r="43" ht="15.75" customHeight="1">
      <c r="A43" s="6">
        <v>20302.0</v>
      </c>
      <c r="B43" s="6" t="s">
        <v>68</v>
      </c>
      <c r="C43" s="7">
        <v>0.0</v>
      </c>
      <c r="D43" s="7">
        <v>0.0</v>
      </c>
      <c r="E43" s="7">
        <v>0.0</v>
      </c>
      <c r="F43" s="7">
        <v>0.0</v>
      </c>
      <c r="G43" s="9"/>
      <c r="H43" s="9"/>
    </row>
    <row r="44" ht="15.75" customHeight="1">
      <c r="A44" s="6">
        <v>20303.0</v>
      </c>
      <c r="B44" s="6" t="s">
        <v>69</v>
      </c>
      <c r="C44" s="7">
        <v>0.0</v>
      </c>
      <c r="D44" s="7">
        <v>0.0</v>
      </c>
      <c r="E44" s="7">
        <v>0.0</v>
      </c>
      <c r="F44" s="7">
        <v>0.0</v>
      </c>
      <c r="G44" s="9"/>
      <c r="H44" s="18" t="s">
        <v>70</v>
      </c>
      <c r="I44" s="12"/>
      <c r="J44" s="12"/>
      <c r="K44" s="12"/>
    </row>
    <row r="45" ht="15.75" customHeight="1">
      <c r="A45" s="6">
        <v>20304.0</v>
      </c>
      <c r="B45" s="6" t="s">
        <v>71</v>
      </c>
      <c r="C45" s="7">
        <v>0.0</v>
      </c>
      <c r="D45" s="7">
        <v>0.0</v>
      </c>
      <c r="E45" s="7">
        <v>0.0</v>
      </c>
      <c r="F45" s="7">
        <v>0.0</v>
      </c>
      <c r="G45" s="9"/>
      <c r="H45" s="9"/>
      <c r="I45" s="12" t="s">
        <v>72</v>
      </c>
      <c r="J45" s="12" t="s">
        <v>73</v>
      </c>
      <c r="K45" s="12" t="s">
        <v>74</v>
      </c>
      <c r="L45" s="12" t="s">
        <v>75</v>
      </c>
    </row>
    <row r="46" ht="15.75" customHeight="1">
      <c r="A46" s="6">
        <v>20305.0</v>
      </c>
      <c r="B46" s="6" t="s">
        <v>76</v>
      </c>
      <c r="C46" s="7">
        <v>0.0</v>
      </c>
      <c r="D46" s="7">
        <v>0.0</v>
      </c>
      <c r="E46" s="7">
        <v>0.0</v>
      </c>
      <c r="F46" s="7">
        <v>0.0</v>
      </c>
      <c r="G46" s="9"/>
      <c r="H46" s="13" t="s">
        <v>18</v>
      </c>
      <c r="I46" s="14">
        <v>0.0</v>
      </c>
      <c r="J46" s="15">
        <v>0.0</v>
      </c>
      <c r="K46" s="20">
        <v>414846.0</v>
      </c>
      <c r="L46" s="12">
        <v>0.0</v>
      </c>
    </row>
    <row r="47" ht="15.75" customHeight="1">
      <c r="A47" s="6">
        <v>20306.0</v>
      </c>
      <c r="B47" s="6" t="s">
        <v>77</v>
      </c>
      <c r="C47" s="7">
        <v>0.0</v>
      </c>
      <c r="D47" s="7">
        <v>0.0</v>
      </c>
      <c r="E47" s="7">
        <v>0.0</v>
      </c>
      <c r="F47" s="7">
        <v>0.0</v>
      </c>
      <c r="G47" s="9"/>
      <c r="H47" s="13" t="s">
        <v>20</v>
      </c>
      <c r="I47" s="14">
        <v>3023897.0</v>
      </c>
      <c r="J47" s="15">
        <v>990894.0</v>
      </c>
      <c r="K47" s="20">
        <v>912643.0</v>
      </c>
      <c r="L47" s="20">
        <v>137852.0</v>
      </c>
    </row>
    <row r="48" ht="15.75" customHeight="1">
      <c r="A48" s="6">
        <v>20307.0</v>
      </c>
      <c r="B48" s="6" t="s">
        <v>78</v>
      </c>
      <c r="C48" s="7">
        <v>0.0</v>
      </c>
      <c r="D48" s="7">
        <v>0.0</v>
      </c>
      <c r="E48" s="7">
        <v>0.0</v>
      </c>
      <c r="F48" s="7">
        <v>0.0</v>
      </c>
      <c r="G48" s="9"/>
      <c r="H48" s="13" t="s">
        <v>22</v>
      </c>
      <c r="I48" s="15">
        <f t="shared" ref="I48:I49" si="5">+SUM(I46:L46)</f>
        <v>414846</v>
      </c>
      <c r="J48" s="11"/>
      <c r="K48" s="11"/>
    </row>
    <row r="49" ht="15.75" customHeight="1">
      <c r="A49" s="6">
        <v>20308.0</v>
      </c>
      <c r="B49" s="6" t="s">
        <v>79</v>
      </c>
      <c r="C49" s="7">
        <v>0.0</v>
      </c>
      <c r="D49" s="7">
        <v>0.0</v>
      </c>
      <c r="E49" s="7">
        <v>0.0</v>
      </c>
      <c r="F49" s="7">
        <v>0.0</v>
      </c>
      <c r="G49" s="9"/>
      <c r="H49" s="13" t="s">
        <v>24</v>
      </c>
      <c r="I49" s="15">
        <f t="shared" si="5"/>
        <v>5065286</v>
      </c>
      <c r="J49" s="16">
        <f>+I49*0.8</f>
        <v>4052228.8</v>
      </c>
      <c r="K49" s="11"/>
    </row>
    <row r="50" ht="15.75" customHeight="1">
      <c r="A50" s="6">
        <v>20401.0</v>
      </c>
      <c r="B50" s="6" t="s">
        <v>80</v>
      </c>
      <c r="C50" s="7">
        <v>0.0</v>
      </c>
      <c r="D50" s="7">
        <v>0.0</v>
      </c>
      <c r="E50" s="7">
        <v>0.0</v>
      </c>
      <c r="F50" s="7">
        <v>0.0</v>
      </c>
      <c r="G50" s="9"/>
      <c r="H50" s="13" t="s">
        <v>26</v>
      </c>
      <c r="I50" s="17">
        <f>+I48/J49</f>
        <v>0.1023747721</v>
      </c>
      <c r="J50" s="11"/>
      <c r="K50" s="11"/>
    </row>
    <row r="51" ht="15.75" customHeight="1">
      <c r="A51" s="6">
        <v>20402.0</v>
      </c>
      <c r="B51" s="6" t="s">
        <v>81</v>
      </c>
      <c r="C51" s="7">
        <v>0.0</v>
      </c>
      <c r="D51" s="7">
        <v>0.0</v>
      </c>
      <c r="E51" s="7">
        <v>0.0</v>
      </c>
      <c r="F51" s="7">
        <v>0.0</v>
      </c>
      <c r="G51" s="9"/>
      <c r="H51" s="9"/>
    </row>
    <row r="52" ht="15.75" customHeight="1">
      <c r="A52" s="6">
        <v>20403.0</v>
      </c>
      <c r="B52" s="6" t="s">
        <v>82</v>
      </c>
      <c r="C52" s="7">
        <v>0.0</v>
      </c>
      <c r="D52" s="7">
        <v>0.0</v>
      </c>
      <c r="E52" s="7">
        <v>0.0</v>
      </c>
      <c r="F52" s="7">
        <v>0.0</v>
      </c>
      <c r="G52" s="9"/>
      <c r="H52" s="18" t="s">
        <v>83</v>
      </c>
    </row>
    <row r="53" ht="15.75" customHeight="1">
      <c r="A53" s="6">
        <v>20404.0</v>
      </c>
      <c r="B53" s="6" t="s">
        <v>84</v>
      </c>
      <c r="C53" s="7">
        <v>0.0</v>
      </c>
      <c r="D53" s="7">
        <v>0.0</v>
      </c>
      <c r="E53" s="7">
        <v>0.0</v>
      </c>
      <c r="F53" s="7">
        <v>0.0</v>
      </c>
      <c r="G53" s="9"/>
      <c r="H53" s="9"/>
      <c r="I53" s="12" t="s">
        <v>85</v>
      </c>
      <c r="J53" s="12" t="s">
        <v>86</v>
      </c>
    </row>
    <row r="54" ht="15.75" customHeight="1">
      <c r="A54" s="6">
        <v>20405.0</v>
      </c>
      <c r="B54" s="6" t="s">
        <v>87</v>
      </c>
      <c r="C54" s="7">
        <v>0.0</v>
      </c>
      <c r="D54" s="7">
        <v>0.0</v>
      </c>
      <c r="E54" s="7">
        <v>0.0</v>
      </c>
      <c r="F54" s="7">
        <v>0.0</v>
      </c>
      <c r="G54" s="9"/>
      <c r="H54" s="13" t="s">
        <v>18</v>
      </c>
      <c r="I54" s="14">
        <v>257218.0</v>
      </c>
      <c r="J54" s="15">
        <v>0.0</v>
      </c>
      <c r="K54" s="20"/>
    </row>
    <row r="55" ht="15.75" customHeight="1">
      <c r="A55" s="6">
        <v>20501.0</v>
      </c>
      <c r="B55" s="6" t="s">
        <v>88</v>
      </c>
      <c r="C55" s="7">
        <v>0.0</v>
      </c>
      <c r="D55" s="7">
        <v>0.0</v>
      </c>
      <c r="E55" s="7">
        <v>0.0</v>
      </c>
      <c r="F55" s="7">
        <v>0.0</v>
      </c>
      <c r="G55" s="9"/>
      <c r="H55" s="13" t="s">
        <v>20</v>
      </c>
      <c r="I55" s="14">
        <v>367356.0</v>
      </c>
      <c r="J55" s="15">
        <v>205800.0</v>
      </c>
      <c r="K55" s="20"/>
    </row>
    <row r="56" ht="15.75" customHeight="1">
      <c r="A56" s="6">
        <v>20502.0</v>
      </c>
      <c r="B56" s="6" t="s">
        <v>89</v>
      </c>
      <c r="C56" s="7">
        <v>0.0</v>
      </c>
      <c r="D56" s="7">
        <v>0.0</v>
      </c>
      <c r="E56" s="7">
        <v>0.0</v>
      </c>
      <c r="F56" s="7">
        <v>0.0</v>
      </c>
      <c r="G56" s="9"/>
      <c r="H56" s="13" t="s">
        <v>22</v>
      </c>
      <c r="I56" s="15">
        <f t="shared" ref="I56:I57" si="6">+SUM(I54:J54)</f>
        <v>257218</v>
      </c>
      <c r="J56" s="11"/>
      <c r="K56" s="11"/>
    </row>
    <row r="57" ht="15.75" customHeight="1">
      <c r="A57" s="6">
        <v>20503.0</v>
      </c>
      <c r="B57" s="6" t="s">
        <v>90</v>
      </c>
      <c r="C57" s="7">
        <v>0.0</v>
      </c>
      <c r="D57" s="7">
        <v>0.0</v>
      </c>
      <c r="E57" s="7">
        <v>0.0</v>
      </c>
      <c r="F57" s="7">
        <v>0.0</v>
      </c>
      <c r="G57" s="9"/>
      <c r="H57" s="13" t="s">
        <v>24</v>
      </c>
      <c r="I57" s="15">
        <f t="shared" si="6"/>
        <v>573156</v>
      </c>
      <c r="J57" s="16">
        <f>+I57*0.8</f>
        <v>458524.8</v>
      </c>
      <c r="K57" s="11"/>
    </row>
    <row r="58" ht="15.75" customHeight="1">
      <c r="A58" s="6">
        <v>20601.0</v>
      </c>
      <c r="B58" s="6" t="s">
        <v>91</v>
      </c>
      <c r="C58" s="7">
        <v>0.0</v>
      </c>
      <c r="D58" s="7">
        <v>0.0</v>
      </c>
      <c r="E58" s="7">
        <v>0.0</v>
      </c>
      <c r="F58" s="7">
        <v>0.0</v>
      </c>
      <c r="G58" s="9"/>
      <c r="H58" s="13" t="s">
        <v>26</v>
      </c>
      <c r="I58" s="17">
        <f>+I56/J57</f>
        <v>0.560968567</v>
      </c>
      <c r="J58" s="11"/>
      <c r="K58" s="11"/>
    </row>
    <row r="59" ht="15.75" customHeight="1">
      <c r="A59" s="6">
        <v>20602.0</v>
      </c>
      <c r="B59" s="6" t="s">
        <v>92</v>
      </c>
      <c r="C59" s="7">
        <v>0.0</v>
      </c>
      <c r="D59" s="7">
        <v>0.0</v>
      </c>
      <c r="E59" s="7">
        <v>0.0</v>
      </c>
      <c r="F59" s="7">
        <v>0.0</v>
      </c>
      <c r="G59" s="9"/>
      <c r="H59" s="9"/>
    </row>
    <row r="60" ht="15.75" customHeight="1">
      <c r="A60" s="6">
        <v>20603.0</v>
      </c>
      <c r="B60" s="6" t="s">
        <v>93</v>
      </c>
      <c r="C60" s="7">
        <v>0.0</v>
      </c>
      <c r="D60" s="7">
        <v>0.0</v>
      </c>
      <c r="E60" s="7">
        <v>0.0</v>
      </c>
      <c r="F60" s="7">
        <v>0.0</v>
      </c>
      <c r="G60" s="9"/>
      <c r="H60" s="18" t="s">
        <v>94</v>
      </c>
    </row>
    <row r="61" ht="15.75" customHeight="1">
      <c r="A61" s="6">
        <v>20604.0</v>
      </c>
      <c r="B61" s="6" t="s">
        <v>95</v>
      </c>
      <c r="C61" s="7">
        <v>0.0</v>
      </c>
      <c r="D61" s="7">
        <v>0.0</v>
      </c>
      <c r="E61" s="7">
        <v>0.0</v>
      </c>
      <c r="F61" s="7">
        <v>0.0</v>
      </c>
      <c r="G61" s="9"/>
      <c r="H61" s="9"/>
      <c r="I61" s="12" t="s">
        <v>96</v>
      </c>
      <c r="J61" s="12" t="s">
        <v>97</v>
      </c>
    </row>
    <row r="62" ht="15.75" customHeight="1">
      <c r="A62" s="6">
        <v>20605.0</v>
      </c>
      <c r="B62" s="6" t="s">
        <v>98</v>
      </c>
      <c r="C62" s="7">
        <v>0.0</v>
      </c>
      <c r="D62" s="7">
        <v>0.0</v>
      </c>
      <c r="E62" s="7">
        <v>0.0</v>
      </c>
      <c r="F62" s="7">
        <v>0.0</v>
      </c>
      <c r="G62" s="9"/>
      <c r="H62" s="13" t="s">
        <v>18</v>
      </c>
      <c r="I62" s="14">
        <v>143088.0</v>
      </c>
      <c r="J62" s="15">
        <v>0.0</v>
      </c>
    </row>
    <row r="63" ht="15.75" customHeight="1">
      <c r="A63" s="6">
        <v>20606.0</v>
      </c>
      <c r="B63" s="6" t="s">
        <v>99</v>
      </c>
      <c r="C63" s="7">
        <v>0.0</v>
      </c>
      <c r="D63" s="7">
        <v>0.0</v>
      </c>
      <c r="E63" s="7">
        <v>0.0</v>
      </c>
      <c r="F63" s="7">
        <v>0.0</v>
      </c>
      <c r="G63" s="9"/>
      <c r="H63" s="13" t="s">
        <v>20</v>
      </c>
      <c r="I63" s="14">
        <v>198171.0</v>
      </c>
      <c r="J63" s="15">
        <v>164837.0</v>
      </c>
    </row>
    <row r="64" ht="15.75" customHeight="1">
      <c r="A64" s="6">
        <v>20607.0</v>
      </c>
      <c r="B64" s="6" t="s">
        <v>100</v>
      </c>
      <c r="C64" s="7">
        <v>0.0</v>
      </c>
      <c r="D64" s="7">
        <v>0.0</v>
      </c>
      <c r="E64" s="7">
        <v>0.0</v>
      </c>
      <c r="F64" s="7">
        <v>0.0</v>
      </c>
      <c r="G64" s="9"/>
      <c r="H64" s="13" t="s">
        <v>22</v>
      </c>
      <c r="I64" s="15">
        <f t="shared" ref="I64:I65" si="7">+SUM(I62:J62)</f>
        <v>143088</v>
      </c>
      <c r="J64" s="11"/>
    </row>
    <row r="65" ht="15.75" customHeight="1">
      <c r="A65" s="6">
        <v>20608.0</v>
      </c>
      <c r="B65" s="6" t="s">
        <v>101</v>
      </c>
      <c r="C65" s="7">
        <v>0.0</v>
      </c>
      <c r="D65" s="7">
        <v>0.0</v>
      </c>
      <c r="E65" s="7">
        <v>0.0</v>
      </c>
      <c r="F65" s="7">
        <v>0.0</v>
      </c>
      <c r="G65" s="9"/>
      <c r="H65" s="13" t="s">
        <v>24</v>
      </c>
      <c r="I65" s="15">
        <f t="shared" si="7"/>
        <v>363008</v>
      </c>
      <c r="J65" s="16">
        <f>+I65*0.8</f>
        <v>290406.4</v>
      </c>
    </row>
    <row r="66" ht="15.75" customHeight="1">
      <c r="A66" s="6">
        <v>20701.0</v>
      </c>
      <c r="B66" s="6" t="s">
        <v>102</v>
      </c>
      <c r="C66" s="7">
        <v>0.0</v>
      </c>
      <c r="D66" s="7">
        <v>0.0</v>
      </c>
      <c r="E66" s="7">
        <v>0.0</v>
      </c>
      <c r="F66" s="7">
        <v>0.0</v>
      </c>
      <c r="G66" s="9"/>
      <c r="H66" s="13" t="s">
        <v>26</v>
      </c>
      <c r="I66" s="17">
        <f>+I64/J65</f>
        <v>0.492716414</v>
      </c>
      <c r="J66" s="11"/>
    </row>
    <row r="67" ht="15.75" customHeight="1">
      <c r="A67" s="6">
        <v>20702.0</v>
      </c>
      <c r="B67" s="6" t="s">
        <v>103</v>
      </c>
      <c r="C67" s="7">
        <v>0.0</v>
      </c>
      <c r="D67" s="7">
        <v>0.0</v>
      </c>
      <c r="E67" s="7">
        <v>0.0</v>
      </c>
      <c r="F67" s="7">
        <v>0.0</v>
      </c>
      <c r="G67" s="9"/>
      <c r="H67" s="9"/>
    </row>
    <row r="68" ht="15.75" customHeight="1">
      <c r="A68" s="6">
        <v>20801.0</v>
      </c>
      <c r="B68" s="6" t="s">
        <v>104</v>
      </c>
      <c r="C68" s="7">
        <v>0.0</v>
      </c>
      <c r="D68" s="7">
        <v>0.0</v>
      </c>
      <c r="E68" s="7">
        <v>117.07</v>
      </c>
      <c r="F68" s="8">
        <v>1069850.0</v>
      </c>
      <c r="G68" s="9"/>
      <c r="H68" s="9"/>
    </row>
    <row r="69" ht="15.75" customHeight="1">
      <c r="A69" s="6">
        <v>20802.0</v>
      </c>
      <c r="B69" s="6" t="s">
        <v>105</v>
      </c>
      <c r="C69" s="7">
        <v>0.0</v>
      </c>
      <c r="D69" s="7">
        <v>0.0</v>
      </c>
      <c r="E69" s="7">
        <v>0.0</v>
      </c>
      <c r="F69" s="7">
        <v>0.0</v>
      </c>
      <c r="G69" s="9"/>
      <c r="H69" s="21" t="s">
        <v>106</v>
      </c>
      <c r="I69" s="21" t="s">
        <v>107</v>
      </c>
      <c r="J69" s="2" t="s">
        <v>3</v>
      </c>
      <c r="K69" s="2" t="s">
        <v>5</v>
      </c>
    </row>
    <row r="70" ht="15.75" customHeight="1">
      <c r="A70" s="6">
        <v>20803.0</v>
      </c>
      <c r="B70" s="6" t="s">
        <v>108</v>
      </c>
      <c r="C70" s="7">
        <v>0.0</v>
      </c>
      <c r="D70" s="7">
        <v>0.0</v>
      </c>
      <c r="E70" s="7">
        <v>0.0</v>
      </c>
      <c r="F70" s="7">
        <v>0.0</v>
      </c>
      <c r="G70" s="9"/>
      <c r="H70" s="6">
        <v>1.0</v>
      </c>
      <c r="I70" s="7" t="s">
        <v>109</v>
      </c>
      <c r="J70" s="8">
        <f>SUM(D2:D30)</f>
        <v>3995786.4</v>
      </c>
      <c r="K70" s="8">
        <f>SUM(F2:F30)</f>
        <v>4203191.3</v>
      </c>
    </row>
    <row r="71" ht="15.75" customHeight="1">
      <c r="A71" s="6">
        <v>20804.0</v>
      </c>
      <c r="B71" s="6" t="s">
        <v>110</v>
      </c>
      <c r="C71" s="7">
        <v>0.0</v>
      </c>
      <c r="D71" s="7">
        <v>0.0</v>
      </c>
      <c r="E71" s="7">
        <v>0.0</v>
      </c>
      <c r="F71" s="7">
        <v>0.0</v>
      </c>
      <c r="G71" s="9"/>
      <c r="H71" s="6">
        <v>2.0</v>
      </c>
      <c r="I71" s="7" t="s">
        <v>111</v>
      </c>
      <c r="J71" s="7">
        <f>SUM(D31:D117)</f>
        <v>10911456</v>
      </c>
      <c r="K71" s="8">
        <f>SUM(F31:F117)</f>
        <v>20721141.78</v>
      </c>
    </row>
    <row r="72" ht="15.75" customHeight="1">
      <c r="A72" s="6">
        <v>20805.0</v>
      </c>
      <c r="B72" s="6" t="s">
        <v>112</v>
      </c>
      <c r="C72" s="7">
        <v>0.0</v>
      </c>
      <c r="D72" s="7">
        <v>0.0</v>
      </c>
      <c r="E72" s="7">
        <v>0.0</v>
      </c>
      <c r="F72" s="7">
        <v>0.0</v>
      </c>
      <c r="G72" s="9"/>
      <c r="H72" s="6">
        <v>3.0</v>
      </c>
      <c r="I72" s="7" t="s">
        <v>113</v>
      </c>
      <c r="J72" s="8">
        <f>SUM(D118:D165)</f>
        <v>15822263.22</v>
      </c>
      <c r="K72" s="8">
        <f>SUM(F118:F165)</f>
        <v>11857658.72</v>
      </c>
    </row>
    <row r="73" ht="15.75" customHeight="1">
      <c r="A73" s="6">
        <v>20806.0</v>
      </c>
      <c r="B73" s="6" t="s">
        <v>114</v>
      </c>
      <c r="C73" s="7">
        <v>0.0</v>
      </c>
      <c r="D73" s="7">
        <v>0.0</v>
      </c>
      <c r="E73" s="7">
        <v>0.0</v>
      </c>
      <c r="F73" s="7">
        <v>0.0</v>
      </c>
      <c r="G73" s="9"/>
      <c r="H73" s="6">
        <v>4.0</v>
      </c>
      <c r="I73" s="7" t="s">
        <v>115</v>
      </c>
      <c r="J73" s="7">
        <f>SUM(D166:D200)</f>
        <v>0</v>
      </c>
      <c r="K73" s="7">
        <f>SUM(F166:F200)</f>
        <v>496929.6</v>
      </c>
    </row>
    <row r="74" ht="15.75" customHeight="1">
      <c r="A74" s="6">
        <v>20807.0</v>
      </c>
      <c r="B74" s="6" t="s">
        <v>116</v>
      </c>
      <c r="C74" s="7">
        <v>0.0</v>
      </c>
      <c r="D74" s="7">
        <v>0.0</v>
      </c>
      <c r="E74" s="7">
        <v>0.0</v>
      </c>
      <c r="F74" s="7">
        <v>0.0</v>
      </c>
      <c r="G74" s="9"/>
      <c r="H74" s="6">
        <v>5.0</v>
      </c>
      <c r="I74" s="7" t="s">
        <v>117</v>
      </c>
      <c r="J74" s="7">
        <f>SUM(D201:D242)</f>
        <v>0</v>
      </c>
      <c r="K74" s="7">
        <f>SUM(F201:F242)</f>
        <v>247977.34</v>
      </c>
    </row>
    <row r="75" ht="15.75" customHeight="1">
      <c r="A75" s="6">
        <v>20901.0</v>
      </c>
      <c r="B75" s="6" t="s">
        <v>118</v>
      </c>
      <c r="C75" s="7">
        <v>0.0</v>
      </c>
      <c r="D75" s="7">
        <v>0.0</v>
      </c>
      <c r="E75" s="7">
        <v>0.0</v>
      </c>
      <c r="F75" s="7">
        <v>0.0</v>
      </c>
      <c r="G75" s="9"/>
      <c r="H75" s="6">
        <v>6.0</v>
      </c>
      <c r="I75" s="7" t="s">
        <v>119</v>
      </c>
      <c r="J75" s="8">
        <f>SUM(D243:D253)</f>
        <v>11074063</v>
      </c>
      <c r="K75" s="8">
        <f>SUM(F243:F253)</f>
        <v>14771763.6</v>
      </c>
    </row>
    <row r="76" ht="15.75" customHeight="1">
      <c r="A76" s="6">
        <v>20902.0</v>
      </c>
      <c r="B76" s="6" t="s">
        <v>120</v>
      </c>
      <c r="C76" s="7">
        <v>0.0</v>
      </c>
      <c r="D76" s="7">
        <v>0.0</v>
      </c>
      <c r="E76" s="7">
        <v>0.0</v>
      </c>
      <c r="F76" s="7">
        <v>0.0</v>
      </c>
      <c r="G76" s="9"/>
      <c r="H76" s="6">
        <v>7.0</v>
      </c>
      <c r="I76" s="7" t="s">
        <v>121</v>
      </c>
      <c r="J76" s="8">
        <f>SUM(D254:D325)</f>
        <v>56854412.9</v>
      </c>
      <c r="K76" s="8">
        <f>SUM(F254:F325)</f>
        <v>81886861.22</v>
      </c>
    </row>
    <row r="77" ht="15.75" customHeight="1">
      <c r="A77" s="6">
        <v>20903.0</v>
      </c>
      <c r="B77" s="6" t="s">
        <v>122</v>
      </c>
      <c r="C77" s="7">
        <v>0.0</v>
      </c>
      <c r="D77" s="7">
        <v>0.0</v>
      </c>
      <c r="E77" s="7">
        <v>0.0</v>
      </c>
      <c r="F77" s="7">
        <v>0.0</v>
      </c>
      <c r="G77" s="9"/>
      <c r="H77" s="6">
        <v>8.0</v>
      </c>
      <c r="I77" s="7" t="s">
        <v>123</v>
      </c>
      <c r="J77" s="8">
        <f>SUM(D326:D345)</f>
        <v>2786112</v>
      </c>
      <c r="K77" s="8">
        <f>SUM(F326:F345)</f>
        <v>2289998</v>
      </c>
    </row>
    <row r="78" ht="15.75" customHeight="1">
      <c r="A78" s="6">
        <v>20904.0</v>
      </c>
      <c r="B78" s="6" t="s">
        <v>124</v>
      </c>
      <c r="C78" s="7">
        <v>0.0</v>
      </c>
      <c r="D78" s="7">
        <v>0.0</v>
      </c>
      <c r="E78" s="7">
        <v>0.0</v>
      </c>
      <c r="F78" s="7">
        <v>0.0</v>
      </c>
      <c r="G78" s="9"/>
      <c r="H78" s="6">
        <v>9.0</v>
      </c>
      <c r="I78" s="7" t="s">
        <v>125</v>
      </c>
      <c r="J78" s="7">
        <f>SUM(D346:D360)</f>
        <v>0</v>
      </c>
      <c r="K78" s="7">
        <f>SUM(F346:F360)</f>
        <v>0</v>
      </c>
    </row>
    <row r="79" ht="15.75" customHeight="1">
      <c r="A79" s="6">
        <v>20905.0</v>
      </c>
      <c r="B79" s="6" t="s">
        <v>126</v>
      </c>
      <c r="C79" s="7">
        <v>0.0</v>
      </c>
      <c r="D79" s="7">
        <v>0.0</v>
      </c>
      <c r="E79" s="7">
        <v>0.0</v>
      </c>
      <c r="F79" s="7">
        <v>0.0</v>
      </c>
      <c r="G79" s="9"/>
      <c r="H79" s="22">
        <v>11.0</v>
      </c>
      <c r="I79" s="23" t="s">
        <v>127</v>
      </c>
      <c r="J79" s="24">
        <f t="shared" ref="J79:K79" si="8">SUM(J70:J78)</f>
        <v>101444093.5</v>
      </c>
      <c r="K79" s="24">
        <f t="shared" si="8"/>
        <v>136475521.6</v>
      </c>
    </row>
    <row r="80" ht="15.75" customHeight="1">
      <c r="A80" s="6">
        <v>21001.0</v>
      </c>
      <c r="B80" s="6" t="s">
        <v>128</v>
      </c>
      <c r="C80" s="7">
        <v>0.0</v>
      </c>
      <c r="D80" s="7">
        <v>0.0</v>
      </c>
      <c r="E80" s="7">
        <v>0.0</v>
      </c>
      <c r="F80" s="7">
        <v>0.0</v>
      </c>
      <c r="G80" s="9"/>
      <c r="H80" s="6">
        <v>10.0</v>
      </c>
      <c r="I80" s="7" t="s">
        <v>129</v>
      </c>
      <c r="J80" s="25">
        <f>SUM(D246:D248)</f>
        <v>2049840</v>
      </c>
      <c r="K80" s="25">
        <f>SUM(F246:F248)</f>
        <v>2176947.6</v>
      </c>
    </row>
    <row r="81" ht="15.75" customHeight="1">
      <c r="A81" s="6">
        <v>21002.0</v>
      </c>
      <c r="B81" s="6" t="s">
        <v>130</v>
      </c>
      <c r="C81" s="7">
        <v>0.0</v>
      </c>
      <c r="D81" s="7">
        <v>0.0</v>
      </c>
      <c r="E81" s="7">
        <v>0.0</v>
      </c>
      <c r="F81" s="7">
        <v>0.0</v>
      </c>
      <c r="G81" s="9"/>
      <c r="H81" s="9"/>
    </row>
    <row r="82" ht="15.75" customHeight="1">
      <c r="A82" s="6">
        <v>21003.0</v>
      </c>
      <c r="B82" s="6" t="s">
        <v>131</v>
      </c>
      <c r="C82" s="7">
        <v>0.0</v>
      </c>
      <c r="D82" s="7">
        <v>0.0</v>
      </c>
      <c r="E82" s="7">
        <v>0.0</v>
      </c>
      <c r="F82" s="7">
        <v>0.0</v>
      </c>
      <c r="G82" s="9"/>
      <c r="H82" s="9"/>
    </row>
    <row r="83" ht="15.75" customHeight="1">
      <c r="A83" s="6">
        <v>21004.0</v>
      </c>
      <c r="B83" s="6" t="s">
        <v>132</v>
      </c>
      <c r="C83" s="7">
        <v>0.0</v>
      </c>
      <c r="D83" s="7">
        <v>0.0</v>
      </c>
      <c r="E83" s="7">
        <v>0.0</v>
      </c>
      <c r="F83" s="7">
        <v>0.0</v>
      </c>
      <c r="G83" s="9"/>
      <c r="H83" s="9"/>
    </row>
    <row r="84" ht="15.75" customHeight="1">
      <c r="A84" s="6">
        <v>21005.0</v>
      </c>
      <c r="B84" s="6" t="s">
        <v>133</v>
      </c>
      <c r="C84" s="7">
        <v>0.0</v>
      </c>
      <c r="D84" s="7">
        <v>0.0</v>
      </c>
      <c r="E84" s="7">
        <v>0.0</v>
      </c>
      <c r="F84" s="7">
        <v>0.0</v>
      </c>
      <c r="G84" s="9"/>
      <c r="H84" s="9"/>
    </row>
    <row r="85" ht="15.75" customHeight="1">
      <c r="A85" s="6">
        <v>21006.0</v>
      </c>
      <c r="B85" s="6" t="s">
        <v>134</v>
      </c>
      <c r="C85" s="7">
        <v>0.0</v>
      </c>
      <c r="D85" s="7">
        <v>0.0</v>
      </c>
      <c r="E85" s="7">
        <v>0.0</v>
      </c>
      <c r="F85" s="7">
        <v>0.0</v>
      </c>
      <c r="G85" s="9"/>
      <c r="H85" s="9"/>
    </row>
    <row r="86" ht="15.75" customHeight="1">
      <c r="A86" s="6">
        <v>21101.0</v>
      </c>
      <c r="B86" s="6" t="s">
        <v>135</v>
      </c>
      <c r="C86" s="7">
        <v>0.0</v>
      </c>
      <c r="D86" s="7">
        <v>0.0</v>
      </c>
      <c r="E86" s="7">
        <v>0.0</v>
      </c>
      <c r="F86" s="7">
        <v>0.0</v>
      </c>
      <c r="G86" s="9"/>
      <c r="H86" s="9"/>
    </row>
    <row r="87" ht="15.75" customHeight="1">
      <c r="A87" s="6">
        <v>21102.0</v>
      </c>
      <c r="B87" s="6" t="s">
        <v>136</v>
      </c>
      <c r="C87" s="7">
        <v>0.0</v>
      </c>
      <c r="D87" s="7">
        <v>0.0</v>
      </c>
      <c r="E87" s="7">
        <v>0.0</v>
      </c>
      <c r="F87" s="7">
        <v>0.0</v>
      </c>
      <c r="G87" s="9"/>
      <c r="H87" s="9"/>
    </row>
    <row r="88" ht="15.75" customHeight="1">
      <c r="A88" s="6">
        <v>21103.0</v>
      </c>
      <c r="B88" s="6" t="s">
        <v>137</v>
      </c>
      <c r="C88" s="7">
        <v>0.0</v>
      </c>
      <c r="D88" s="7">
        <v>0.0</v>
      </c>
      <c r="E88" s="7">
        <v>0.0</v>
      </c>
      <c r="F88" s="7">
        <v>0.0</v>
      </c>
      <c r="G88" s="9"/>
      <c r="H88" s="9"/>
    </row>
    <row r="89" ht="15.75" customHeight="1">
      <c r="A89" s="6">
        <v>21104.0</v>
      </c>
      <c r="B89" s="6" t="s">
        <v>138</v>
      </c>
      <c r="C89" s="7">
        <v>0.0</v>
      </c>
      <c r="D89" s="7">
        <v>0.0</v>
      </c>
      <c r="E89" s="7">
        <v>0.0</v>
      </c>
      <c r="F89" s="7">
        <v>0.0</v>
      </c>
      <c r="G89" s="9"/>
      <c r="H89" s="9"/>
    </row>
    <row r="90" ht="15.75" customHeight="1">
      <c r="A90" s="6">
        <v>21105.0</v>
      </c>
      <c r="B90" s="6" t="s">
        <v>139</v>
      </c>
      <c r="C90" s="7">
        <v>0.0</v>
      </c>
      <c r="D90" s="7">
        <v>0.0</v>
      </c>
      <c r="E90" s="7">
        <v>0.0</v>
      </c>
      <c r="F90" s="7">
        <v>0.0</v>
      </c>
      <c r="G90" s="9"/>
      <c r="H90" s="9"/>
    </row>
    <row r="91" ht="15.75" customHeight="1">
      <c r="A91" s="6">
        <v>21201.0</v>
      </c>
      <c r="B91" s="6" t="s">
        <v>140</v>
      </c>
      <c r="C91" s="7">
        <v>0.0</v>
      </c>
      <c r="D91" s="7">
        <v>0.0</v>
      </c>
      <c r="E91" s="7">
        <v>0.0</v>
      </c>
      <c r="F91" s="7">
        <v>0.0</v>
      </c>
      <c r="G91" s="9"/>
      <c r="H91" s="9"/>
    </row>
    <row r="92" ht="15.75" customHeight="1">
      <c r="A92" s="6">
        <v>21202.0</v>
      </c>
      <c r="B92" s="6" t="s">
        <v>141</v>
      </c>
      <c r="C92" s="7">
        <v>0.0</v>
      </c>
      <c r="D92" s="7">
        <v>0.0</v>
      </c>
      <c r="E92" s="7">
        <v>0.0</v>
      </c>
      <c r="F92" s="7">
        <v>0.0</v>
      </c>
      <c r="G92" s="9"/>
      <c r="H92" s="9"/>
    </row>
    <row r="93" ht="15.75" customHeight="1">
      <c r="A93" s="6">
        <v>21203.0</v>
      </c>
      <c r="B93" s="6" t="s">
        <v>142</v>
      </c>
      <c r="C93" s="7">
        <v>0.0</v>
      </c>
      <c r="D93" s="7">
        <v>0.0</v>
      </c>
      <c r="E93" s="7">
        <v>0.0</v>
      </c>
      <c r="F93" s="7">
        <v>0.0</v>
      </c>
      <c r="G93" s="9"/>
      <c r="H93" s="9"/>
    </row>
    <row r="94" ht="15.75" customHeight="1">
      <c r="A94" s="6">
        <v>21204.0</v>
      </c>
      <c r="B94" s="6" t="s">
        <v>143</v>
      </c>
      <c r="C94" s="7">
        <v>0.0</v>
      </c>
      <c r="D94" s="7">
        <v>0.0</v>
      </c>
      <c r="E94" s="7">
        <v>0.0</v>
      </c>
      <c r="F94" s="7">
        <v>0.0</v>
      </c>
      <c r="G94" s="9"/>
      <c r="H94" s="9"/>
    </row>
    <row r="95" ht="15.75" customHeight="1">
      <c r="A95" s="6">
        <v>21301.0</v>
      </c>
      <c r="B95" s="6" t="s">
        <v>144</v>
      </c>
      <c r="C95" s="7">
        <v>0.0</v>
      </c>
      <c r="D95" s="7">
        <v>0.0</v>
      </c>
      <c r="E95" s="7">
        <v>0.0</v>
      </c>
      <c r="F95" s="7">
        <v>0.0</v>
      </c>
      <c r="G95" s="9"/>
      <c r="H95" s="9"/>
    </row>
    <row r="96" ht="15.75" customHeight="1">
      <c r="A96" s="6">
        <v>21302.0</v>
      </c>
      <c r="B96" s="6" t="s">
        <v>145</v>
      </c>
      <c r="C96" s="7">
        <v>0.0</v>
      </c>
      <c r="D96" s="7">
        <v>0.0</v>
      </c>
      <c r="E96" s="7">
        <v>0.0</v>
      </c>
      <c r="F96" s="7">
        <v>0.0</v>
      </c>
      <c r="G96" s="9"/>
      <c r="H96" s="9"/>
    </row>
    <row r="97" ht="15.75" customHeight="1">
      <c r="A97" s="6">
        <v>21303.0</v>
      </c>
      <c r="B97" s="6" t="s">
        <v>146</v>
      </c>
      <c r="C97" s="7">
        <v>0.0</v>
      </c>
      <c r="D97" s="7">
        <v>0.0</v>
      </c>
      <c r="E97" s="7">
        <v>0.0</v>
      </c>
      <c r="F97" s="7">
        <v>0.0</v>
      </c>
      <c r="G97" s="9"/>
      <c r="H97" s="9"/>
    </row>
    <row r="98" ht="15.75" customHeight="1">
      <c r="A98" s="6">
        <v>21304.0</v>
      </c>
      <c r="B98" s="6" t="s">
        <v>147</v>
      </c>
      <c r="C98" s="7">
        <v>0.0</v>
      </c>
      <c r="D98" s="7">
        <v>0.0</v>
      </c>
      <c r="E98" s="7">
        <v>0.0</v>
      </c>
      <c r="F98" s="7">
        <v>0.0</v>
      </c>
      <c r="G98" s="9"/>
      <c r="H98" s="9"/>
    </row>
    <row r="99" ht="15.75" customHeight="1">
      <c r="A99" s="6">
        <v>21305.0</v>
      </c>
      <c r="B99" s="6" t="s">
        <v>148</v>
      </c>
      <c r="C99" s="7">
        <v>0.0</v>
      </c>
      <c r="D99" s="7">
        <v>0.0</v>
      </c>
      <c r="E99" s="7">
        <v>0.0</v>
      </c>
      <c r="F99" s="7">
        <v>0.0</v>
      </c>
      <c r="G99" s="9"/>
      <c r="H99" s="9"/>
    </row>
    <row r="100" ht="15.75" customHeight="1">
      <c r="A100" s="6">
        <v>21306.0</v>
      </c>
      <c r="B100" s="6" t="s">
        <v>149</v>
      </c>
      <c r="C100" s="7">
        <v>0.0</v>
      </c>
      <c r="D100" s="7">
        <v>0.0</v>
      </c>
      <c r="E100" s="7">
        <v>0.0</v>
      </c>
      <c r="F100" s="7">
        <v>0.0</v>
      </c>
      <c r="G100" s="9"/>
      <c r="H100" s="9"/>
    </row>
    <row r="101" ht="15.75" customHeight="1">
      <c r="A101" s="6">
        <v>21307.0</v>
      </c>
      <c r="B101" s="6" t="s">
        <v>150</v>
      </c>
      <c r="C101" s="7">
        <v>0.0</v>
      </c>
      <c r="D101" s="7">
        <v>0.0</v>
      </c>
      <c r="E101" s="7">
        <v>0.0</v>
      </c>
      <c r="F101" s="7">
        <v>0.0</v>
      </c>
      <c r="G101" s="9"/>
      <c r="H101" s="9"/>
    </row>
    <row r="102" ht="15.75" customHeight="1">
      <c r="A102" s="6">
        <v>21401.0</v>
      </c>
      <c r="B102" s="6" t="s">
        <v>151</v>
      </c>
      <c r="C102" s="7">
        <v>0.0</v>
      </c>
      <c r="D102" s="7">
        <v>0.0</v>
      </c>
      <c r="E102" s="7">
        <v>0.0</v>
      </c>
      <c r="F102" s="7">
        <v>0.0</v>
      </c>
      <c r="G102" s="9"/>
      <c r="H102" s="9"/>
    </row>
    <row r="103" ht="15.75" customHeight="1">
      <c r="A103" s="6">
        <v>21402.0</v>
      </c>
      <c r="B103" s="6" t="s">
        <v>152</v>
      </c>
      <c r="C103" s="7">
        <v>0.0</v>
      </c>
      <c r="D103" s="7">
        <v>0.0</v>
      </c>
      <c r="E103" s="7">
        <v>0.0</v>
      </c>
      <c r="F103" s="7">
        <v>0.0</v>
      </c>
      <c r="G103" s="9"/>
      <c r="H103" s="9"/>
    </row>
    <row r="104" ht="15.75" customHeight="1">
      <c r="A104" s="6">
        <v>21501.0</v>
      </c>
      <c r="B104" s="6" t="s">
        <v>153</v>
      </c>
      <c r="C104" s="7">
        <v>0.0</v>
      </c>
      <c r="D104" s="7">
        <v>0.0</v>
      </c>
      <c r="E104" s="7">
        <v>0.0</v>
      </c>
      <c r="F104" s="7">
        <v>0.0</v>
      </c>
      <c r="G104" s="9"/>
      <c r="H104" s="9"/>
    </row>
    <row r="105" ht="15.75" customHeight="1">
      <c r="A105" s="6">
        <v>21502.0</v>
      </c>
      <c r="B105" s="6" t="s">
        <v>154</v>
      </c>
      <c r="C105" s="7">
        <v>0.0</v>
      </c>
      <c r="D105" s="7">
        <v>0.0</v>
      </c>
      <c r="E105" s="7">
        <v>0.0</v>
      </c>
      <c r="F105" s="7">
        <v>0.0</v>
      </c>
      <c r="G105" s="9"/>
      <c r="H105" s="9"/>
    </row>
    <row r="106" ht="15.75" customHeight="1">
      <c r="A106" s="6">
        <v>21601.0</v>
      </c>
      <c r="B106" s="6" t="s">
        <v>155</v>
      </c>
      <c r="C106" s="7">
        <v>0.0</v>
      </c>
      <c r="D106" s="7">
        <v>0.0</v>
      </c>
      <c r="E106" s="7">
        <v>0.0</v>
      </c>
      <c r="F106" s="7">
        <v>0.0</v>
      </c>
      <c r="G106" s="9"/>
      <c r="H106" s="9"/>
    </row>
    <row r="107" ht="15.75" customHeight="1">
      <c r="A107" s="6">
        <v>21602.0</v>
      </c>
      <c r="B107" s="6" t="s">
        <v>156</v>
      </c>
      <c r="C107" s="7">
        <v>0.0</v>
      </c>
      <c r="D107" s="7">
        <v>0.0</v>
      </c>
      <c r="E107" s="7">
        <v>0.0</v>
      </c>
      <c r="F107" s="7">
        <v>0.0</v>
      </c>
      <c r="G107" s="9"/>
      <c r="H107" s="9"/>
    </row>
    <row r="108" ht="15.75" customHeight="1">
      <c r="A108" s="6">
        <v>21701.0</v>
      </c>
      <c r="B108" s="6" t="s">
        <v>157</v>
      </c>
      <c r="C108" s="7">
        <v>0.0</v>
      </c>
      <c r="D108" s="7">
        <v>0.0</v>
      </c>
      <c r="E108" s="7">
        <v>0.0</v>
      </c>
      <c r="F108" s="7">
        <v>0.0</v>
      </c>
      <c r="G108" s="9"/>
      <c r="H108" s="9"/>
    </row>
    <row r="109" ht="15.75" customHeight="1">
      <c r="A109" s="6">
        <v>21702.0</v>
      </c>
      <c r="B109" s="6" t="s">
        <v>158</v>
      </c>
      <c r="C109" s="7">
        <v>0.0</v>
      </c>
      <c r="D109" s="7">
        <v>0.0</v>
      </c>
      <c r="E109" s="7">
        <v>0.0</v>
      </c>
      <c r="F109" s="7">
        <v>0.0</v>
      </c>
      <c r="G109" s="9"/>
      <c r="H109" s="9"/>
    </row>
    <row r="110" ht="15.75" customHeight="1">
      <c r="A110" s="6">
        <v>21703.0</v>
      </c>
      <c r="B110" s="6" t="s">
        <v>159</v>
      </c>
      <c r="C110" s="7">
        <v>0.0</v>
      </c>
      <c r="D110" s="7">
        <v>0.0</v>
      </c>
      <c r="E110" s="7">
        <v>0.0</v>
      </c>
      <c r="F110" s="7">
        <v>0.0</v>
      </c>
      <c r="G110" s="9"/>
      <c r="H110" s="9"/>
    </row>
    <row r="111" ht="15.75" customHeight="1">
      <c r="A111" s="6">
        <v>21801.0</v>
      </c>
      <c r="B111" s="6" t="s">
        <v>160</v>
      </c>
      <c r="C111" s="7">
        <v>0.0</v>
      </c>
      <c r="D111" s="7">
        <v>0.0</v>
      </c>
      <c r="E111" s="7">
        <v>0.0</v>
      </c>
      <c r="F111" s="7">
        <v>0.0</v>
      </c>
      <c r="G111" s="9"/>
      <c r="H111" s="9"/>
    </row>
    <row r="112" ht="15.75" customHeight="1">
      <c r="A112" s="6">
        <v>21802.0</v>
      </c>
      <c r="B112" s="6" t="s">
        <v>161</v>
      </c>
      <c r="C112" s="7">
        <v>0.0</v>
      </c>
      <c r="D112" s="7">
        <v>0.0</v>
      </c>
      <c r="E112" s="7">
        <v>0.0</v>
      </c>
      <c r="F112" s="7">
        <v>0.0</v>
      </c>
      <c r="G112" s="9"/>
      <c r="H112" s="9"/>
    </row>
    <row r="113" ht="15.75" customHeight="1">
      <c r="A113" s="6">
        <v>21803.0</v>
      </c>
      <c r="B113" s="6" t="s">
        <v>162</v>
      </c>
      <c r="C113" s="7">
        <v>0.0</v>
      </c>
      <c r="D113" s="7">
        <v>0.0</v>
      </c>
      <c r="E113" s="7">
        <v>0.0</v>
      </c>
      <c r="F113" s="7">
        <v>0.0</v>
      </c>
      <c r="G113" s="9"/>
      <c r="H113" s="9"/>
    </row>
    <row r="114" ht="15.75" customHeight="1">
      <c r="A114" s="6">
        <v>21901.0</v>
      </c>
      <c r="B114" s="6" t="s">
        <v>163</v>
      </c>
      <c r="C114" s="7">
        <v>0.0</v>
      </c>
      <c r="D114" s="7">
        <v>0.0</v>
      </c>
      <c r="E114" s="7">
        <v>0.0</v>
      </c>
      <c r="F114" s="7">
        <v>0.0</v>
      </c>
      <c r="G114" s="9"/>
      <c r="H114" s="9"/>
    </row>
    <row r="115" ht="15.75" customHeight="1">
      <c r="A115" s="6">
        <v>21902.0</v>
      </c>
      <c r="B115" s="6" t="s">
        <v>164</v>
      </c>
      <c r="C115" s="7">
        <v>0.0</v>
      </c>
      <c r="D115" s="7">
        <v>0.0</v>
      </c>
      <c r="E115" s="7">
        <v>0.0</v>
      </c>
      <c r="F115" s="7">
        <v>0.0</v>
      </c>
      <c r="G115" s="9"/>
      <c r="H115" s="9"/>
    </row>
    <row r="116" ht="15.75" customHeight="1">
      <c r="A116" s="6">
        <v>22001.0</v>
      </c>
      <c r="B116" s="6" t="s">
        <v>165</v>
      </c>
      <c r="C116" s="7">
        <v>0.0</v>
      </c>
      <c r="D116" s="7">
        <v>0.0</v>
      </c>
      <c r="E116" s="7">
        <v>0.0</v>
      </c>
      <c r="F116" s="7">
        <v>0.0</v>
      </c>
      <c r="G116" s="9"/>
      <c r="H116" s="9"/>
    </row>
    <row r="117" ht="15.75" customHeight="1">
      <c r="A117" s="6">
        <v>22002.0</v>
      </c>
      <c r="B117" s="6" t="s">
        <v>166</v>
      </c>
      <c r="C117" s="7">
        <v>0.0</v>
      </c>
      <c r="D117" s="7">
        <v>0.0</v>
      </c>
      <c r="E117" s="7">
        <v>0.0</v>
      </c>
      <c r="F117" s="7">
        <v>0.0</v>
      </c>
      <c r="G117" s="9"/>
      <c r="H117" s="9"/>
    </row>
    <row r="118" ht="15.75" customHeight="1">
      <c r="A118" s="6">
        <v>30101.0</v>
      </c>
      <c r="B118" s="6" t="s">
        <v>113</v>
      </c>
      <c r="C118" s="7">
        <v>120.5</v>
      </c>
      <c r="D118" s="8">
        <v>1.582226322E7</v>
      </c>
      <c r="E118" s="7">
        <v>56.02</v>
      </c>
      <c r="F118" s="8">
        <v>8870156.64</v>
      </c>
      <c r="G118" s="9"/>
      <c r="H118" s="9"/>
    </row>
    <row r="119" ht="15.75" customHeight="1">
      <c r="A119" s="6">
        <v>30201.0</v>
      </c>
      <c r="B119" s="6" t="s">
        <v>167</v>
      </c>
      <c r="C119" s="7">
        <v>0.0</v>
      </c>
      <c r="D119" s="7">
        <v>0.0</v>
      </c>
      <c r="E119" s="7">
        <v>0.0</v>
      </c>
      <c r="F119" s="7">
        <v>0.0</v>
      </c>
      <c r="G119" s="9"/>
      <c r="H119" s="9"/>
    </row>
    <row r="120" ht="15.75" customHeight="1">
      <c r="A120" s="6">
        <v>30202.0</v>
      </c>
      <c r="B120" s="6" t="s">
        <v>168</v>
      </c>
      <c r="C120" s="7">
        <v>0.0</v>
      </c>
      <c r="D120" s="7">
        <v>0.0</v>
      </c>
      <c r="E120" s="7">
        <v>0.0</v>
      </c>
      <c r="F120" s="7">
        <v>0.0</v>
      </c>
      <c r="G120" s="9"/>
      <c r="H120" s="9"/>
    </row>
    <row r="121" ht="15.75" customHeight="1">
      <c r="A121" s="6">
        <v>30203.0</v>
      </c>
      <c r="B121" s="6" t="s">
        <v>169</v>
      </c>
      <c r="C121" s="7">
        <v>0.0</v>
      </c>
      <c r="D121" s="7">
        <v>0.0</v>
      </c>
      <c r="E121" s="7">
        <v>0.0</v>
      </c>
      <c r="F121" s="7">
        <v>0.0</v>
      </c>
      <c r="G121" s="9"/>
      <c r="H121" s="9"/>
    </row>
    <row r="122" ht="15.75" customHeight="1">
      <c r="A122" s="6">
        <v>30301.0</v>
      </c>
      <c r="B122" s="6" t="s">
        <v>170</v>
      </c>
      <c r="C122" s="7">
        <v>0.0</v>
      </c>
      <c r="D122" s="7">
        <v>0.0</v>
      </c>
      <c r="E122" s="7">
        <v>0.0</v>
      </c>
      <c r="F122" s="7">
        <v>0.0</v>
      </c>
      <c r="G122" s="9"/>
      <c r="H122" s="9"/>
    </row>
    <row r="123" ht="15.75" customHeight="1">
      <c r="A123" s="6">
        <v>30302.0</v>
      </c>
      <c r="B123" s="6" t="s">
        <v>171</v>
      </c>
      <c r="C123" s="7">
        <v>0.0</v>
      </c>
      <c r="D123" s="7">
        <v>0.0</v>
      </c>
      <c r="E123" s="7">
        <v>0.0</v>
      </c>
      <c r="F123" s="7">
        <v>0.0</v>
      </c>
      <c r="G123" s="9"/>
      <c r="H123" s="9"/>
    </row>
    <row r="124" ht="15.75" customHeight="1">
      <c r="A124" s="6">
        <v>30303.0</v>
      </c>
      <c r="B124" s="6" t="s">
        <v>172</v>
      </c>
      <c r="C124" s="7">
        <v>0.0</v>
      </c>
      <c r="D124" s="7">
        <v>0.0</v>
      </c>
      <c r="E124" s="7">
        <v>0.0</v>
      </c>
      <c r="F124" s="7">
        <v>0.0</v>
      </c>
      <c r="G124" s="9"/>
      <c r="H124" s="9"/>
    </row>
    <row r="125" ht="15.75" customHeight="1">
      <c r="A125" s="6">
        <v>30401.0</v>
      </c>
      <c r="B125" s="6" t="s">
        <v>173</v>
      </c>
      <c r="C125" s="7">
        <v>0.0</v>
      </c>
      <c r="D125" s="7">
        <v>0.0</v>
      </c>
      <c r="E125" s="7">
        <v>0.0</v>
      </c>
      <c r="F125" s="7">
        <v>0.0</v>
      </c>
      <c r="G125" s="9"/>
      <c r="H125" s="9"/>
    </row>
    <row r="126" ht="15.75" customHeight="1">
      <c r="A126" s="6">
        <v>30402.0</v>
      </c>
      <c r="B126" s="6" t="s">
        <v>174</v>
      </c>
      <c r="C126" s="7">
        <v>0.0</v>
      </c>
      <c r="D126" s="7">
        <v>0.0</v>
      </c>
      <c r="E126" s="7">
        <v>0.0</v>
      </c>
      <c r="F126" s="7">
        <v>0.0</v>
      </c>
      <c r="G126" s="9"/>
      <c r="H126" s="9"/>
    </row>
    <row r="127" ht="15.75" customHeight="1">
      <c r="A127" s="6">
        <v>30403.0</v>
      </c>
      <c r="B127" s="6" t="s">
        <v>175</v>
      </c>
      <c r="C127" s="7">
        <v>0.0</v>
      </c>
      <c r="D127" s="7">
        <v>0.0</v>
      </c>
      <c r="E127" s="7">
        <v>0.0</v>
      </c>
      <c r="F127" s="7">
        <v>0.0</v>
      </c>
      <c r="G127" s="9"/>
      <c r="H127" s="9"/>
    </row>
    <row r="128" ht="15.75" customHeight="1">
      <c r="A128" s="6">
        <v>30404.0</v>
      </c>
      <c r="B128" s="6" t="s">
        <v>176</v>
      </c>
      <c r="C128" s="7">
        <v>0.0</v>
      </c>
      <c r="D128" s="7">
        <v>0.0</v>
      </c>
      <c r="E128" s="7">
        <v>0.0</v>
      </c>
      <c r="F128" s="7">
        <v>0.0</v>
      </c>
      <c r="G128" s="9"/>
      <c r="H128" s="9"/>
    </row>
    <row r="129" ht="15.75" customHeight="1">
      <c r="A129" s="6">
        <v>30501.0</v>
      </c>
      <c r="B129" s="6" t="s">
        <v>177</v>
      </c>
      <c r="C129" s="7">
        <v>0.0</v>
      </c>
      <c r="D129" s="7">
        <v>0.0</v>
      </c>
      <c r="E129" s="7">
        <v>0.0</v>
      </c>
      <c r="F129" s="7">
        <v>0.0</v>
      </c>
      <c r="G129" s="9"/>
      <c r="H129" s="9"/>
    </row>
    <row r="130" ht="15.75" customHeight="1">
      <c r="A130" s="6">
        <v>30502.0</v>
      </c>
      <c r="B130" s="6" t="s">
        <v>178</v>
      </c>
      <c r="C130" s="7">
        <v>0.0</v>
      </c>
      <c r="D130" s="7">
        <v>0.0</v>
      </c>
      <c r="E130" s="7">
        <v>0.0</v>
      </c>
      <c r="F130" s="7">
        <v>0.0</v>
      </c>
      <c r="G130" s="9"/>
      <c r="H130" s="9"/>
    </row>
    <row r="131" ht="15.75" customHeight="1">
      <c r="A131" s="6">
        <v>30601.0</v>
      </c>
      <c r="B131" s="6" t="s">
        <v>179</v>
      </c>
      <c r="C131" s="7">
        <v>0.0</v>
      </c>
      <c r="D131" s="7">
        <v>0.0</v>
      </c>
      <c r="E131" s="7">
        <v>0.0</v>
      </c>
      <c r="F131" s="7">
        <v>0.0</v>
      </c>
      <c r="G131" s="9"/>
      <c r="H131" s="9"/>
    </row>
    <row r="132" ht="15.75" customHeight="1">
      <c r="A132" s="6">
        <v>30602.0</v>
      </c>
      <c r="B132" s="6" t="s">
        <v>180</v>
      </c>
      <c r="C132" s="7">
        <v>0.0</v>
      </c>
      <c r="D132" s="7">
        <v>0.0</v>
      </c>
      <c r="E132" s="7">
        <v>0.0</v>
      </c>
      <c r="F132" s="7">
        <v>0.0</v>
      </c>
      <c r="G132" s="9"/>
      <c r="H132" s="9"/>
    </row>
    <row r="133" ht="15.75" customHeight="1">
      <c r="A133" s="6">
        <v>30701.0</v>
      </c>
      <c r="B133" s="6" t="s">
        <v>181</v>
      </c>
      <c r="C133" s="7">
        <v>0.0</v>
      </c>
      <c r="D133" s="7">
        <v>0.0</v>
      </c>
      <c r="E133" s="7">
        <v>0.0</v>
      </c>
      <c r="F133" s="7">
        <v>0.0</v>
      </c>
      <c r="G133" s="9"/>
      <c r="H133" s="9"/>
    </row>
    <row r="134" ht="15.75" customHeight="1">
      <c r="A134" s="6">
        <v>30702.0</v>
      </c>
      <c r="B134" s="6" t="s">
        <v>182</v>
      </c>
      <c r="C134" s="7">
        <v>0.0</v>
      </c>
      <c r="D134" s="7">
        <v>0.0</v>
      </c>
      <c r="E134" s="7">
        <v>0.0</v>
      </c>
      <c r="F134" s="7">
        <v>0.0</v>
      </c>
      <c r="G134" s="9"/>
      <c r="H134" s="9"/>
    </row>
    <row r="135" ht="15.75" customHeight="1">
      <c r="A135" s="6">
        <v>30703.0</v>
      </c>
      <c r="B135" s="6" t="s">
        <v>183</v>
      </c>
      <c r="C135" s="7">
        <v>0.0</v>
      </c>
      <c r="D135" s="7">
        <v>0.0</v>
      </c>
      <c r="E135" s="7">
        <v>0.0</v>
      </c>
      <c r="F135" s="7">
        <v>0.0</v>
      </c>
      <c r="G135" s="9"/>
      <c r="H135" s="9"/>
    </row>
    <row r="136" ht="15.75" customHeight="1">
      <c r="A136" s="6">
        <v>30801.0</v>
      </c>
      <c r="B136" s="6" t="s">
        <v>184</v>
      </c>
      <c r="C136" s="7">
        <v>0.0</v>
      </c>
      <c r="D136" s="7">
        <v>0.0</v>
      </c>
      <c r="E136" s="7">
        <v>0.0</v>
      </c>
      <c r="F136" s="7">
        <v>0.0</v>
      </c>
      <c r="G136" s="9"/>
      <c r="H136" s="9"/>
    </row>
    <row r="137" ht="15.75" customHeight="1">
      <c r="A137" s="6">
        <v>30802.0</v>
      </c>
      <c r="B137" s="6" t="s">
        <v>185</v>
      </c>
      <c r="C137" s="7">
        <v>0.0</v>
      </c>
      <c r="D137" s="7">
        <v>0.0</v>
      </c>
      <c r="E137" s="7">
        <v>0.0</v>
      </c>
      <c r="F137" s="7">
        <v>0.0</v>
      </c>
      <c r="G137" s="9"/>
      <c r="H137" s="9"/>
    </row>
    <row r="138" ht="15.75" customHeight="1">
      <c r="A138" s="6">
        <v>30803.0</v>
      </c>
      <c r="B138" s="6" t="s">
        <v>186</v>
      </c>
      <c r="C138" s="7">
        <v>0.0</v>
      </c>
      <c r="D138" s="7">
        <v>0.0</v>
      </c>
      <c r="E138" s="7">
        <v>0.0</v>
      </c>
      <c r="F138" s="7">
        <v>0.0</v>
      </c>
      <c r="G138" s="9"/>
      <c r="H138" s="9"/>
    </row>
    <row r="139" ht="15.75" customHeight="1">
      <c r="A139" s="6">
        <v>30901.0</v>
      </c>
      <c r="B139" s="6" t="s">
        <v>187</v>
      </c>
      <c r="C139" s="7">
        <v>0.0</v>
      </c>
      <c r="D139" s="7">
        <v>0.0</v>
      </c>
      <c r="E139" s="7">
        <v>0.0</v>
      </c>
      <c r="F139" s="7">
        <v>0.0</v>
      </c>
      <c r="G139" s="9"/>
      <c r="H139" s="9"/>
    </row>
    <row r="140" ht="15.75" customHeight="1">
      <c r="A140" s="6">
        <v>30902.0</v>
      </c>
      <c r="B140" s="6" t="s">
        <v>188</v>
      </c>
      <c r="C140" s="7">
        <v>0.0</v>
      </c>
      <c r="D140" s="7">
        <v>0.0</v>
      </c>
      <c r="E140" s="7">
        <v>0.0</v>
      </c>
      <c r="F140" s="7">
        <v>0.0</v>
      </c>
      <c r="G140" s="9"/>
      <c r="H140" s="9"/>
    </row>
    <row r="141" ht="15.75" customHeight="1">
      <c r="A141" s="6">
        <v>30903.0</v>
      </c>
      <c r="B141" s="6" t="s">
        <v>189</v>
      </c>
      <c r="C141" s="7">
        <v>0.0</v>
      </c>
      <c r="D141" s="7">
        <v>0.0</v>
      </c>
      <c r="E141" s="7">
        <v>0.0</v>
      </c>
      <c r="F141" s="7">
        <v>0.0</v>
      </c>
      <c r="G141" s="9"/>
      <c r="H141" s="9"/>
    </row>
    <row r="142" ht="15.75" customHeight="1">
      <c r="A142" s="6">
        <v>30904.0</v>
      </c>
      <c r="B142" s="6" t="s">
        <v>190</v>
      </c>
      <c r="C142" s="7">
        <v>0.0</v>
      </c>
      <c r="D142" s="7">
        <v>0.0</v>
      </c>
      <c r="E142" s="7">
        <v>0.0</v>
      </c>
      <c r="F142" s="7">
        <v>0.0</v>
      </c>
      <c r="G142" s="9"/>
      <c r="H142" s="9"/>
    </row>
    <row r="143" ht="15.75" customHeight="1">
      <c r="A143" s="6">
        <v>30905.0</v>
      </c>
      <c r="B143" s="6" t="s">
        <v>191</v>
      </c>
      <c r="C143" s="7">
        <v>0.0</v>
      </c>
      <c r="D143" s="7">
        <v>0.0</v>
      </c>
      <c r="E143" s="7">
        <v>0.0</v>
      </c>
      <c r="F143" s="7">
        <v>0.0</v>
      </c>
      <c r="G143" s="9"/>
      <c r="H143" s="9"/>
    </row>
    <row r="144" ht="15.75" customHeight="1">
      <c r="A144" s="6">
        <v>31001.0</v>
      </c>
      <c r="B144" s="6" t="s">
        <v>192</v>
      </c>
      <c r="C144" s="7">
        <v>0.0</v>
      </c>
      <c r="D144" s="7">
        <v>0.0</v>
      </c>
      <c r="E144" s="7">
        <v>401.38</v>
      </c>
      <c r="F144" s="8">
        <v>2585353.28</v>
      </c>
      <c r="G144" s="9"/>
      <c r="H144" s="9"/>
    </row>
    <row r="145" ht="15.75" customHeight="1">
      <c r="A145" s="6">
        <v>31002.0</v>
      </c>
      <c r="B145" s="6" t="s">
        <v>193</v>
      </c>
      <c r="C145" s="7">
        <v>0.0</v>
      </c>
      <c r="D145" s="7">
        <v>0.0</v>
      </c>
      <c r="E145" s="7">
        <v>0.0</v>
      </c>
      <c r="F145" s="7">
        <v>0.0</v>
      </c>
      <c r="G145" s="9"/>
      <c r="H145" s="9"/>
    </row>
    <row r="146" ht="15.75" customHeight="1">
      <c r="A146" s="6">
        <v>31003.0</v>
      </c>
      <c r="B146" s="6" t="s">
        <v>194</v>
      </c>
      <c r="C146" s="7">
        <v>0.0</v>
      </c>
      <c r="D146" s="7">
        <v>0.0</v>
      </c>
      <c r="E146" s="7">
        <v>0.0</v>
      </c>
      <c r="F146" s="7">
        <v>0.0</v>
      </c>
      <c r="G146" s="9"/>
      <c r="H146" s="9"/>
    </row>
    <row r="147" ht="15.75" customHeight="1">
      <c r="A147" s="6">
        <v>31101.0</v>
      </c>
      <c r="B147" s="6" t="s">
        <v>195</v>
      </c>
      <c r="C147" s="7">
        <v>0.0</v>
      </c>
      <c r="D147" s="7">
        <v>0.0</v>
      </c>
      <c r="E147" s="7">
        <v>0.0</v>
      </c>
      <c r="F147" s="7">
        <v>0.0</v>
      </c>
      <c r="G147" s="9"/>
      <c r="H147" s="9"/>
    </row>
    <row r="148" ht="15.75" customHeight="1">
      <c r="A148" s="6">
        <v>31201.0</v>
      </c>
      <c r="B148" s="6" t="s">
        <v>196</v>
      </c>
      <c r="C148" s="7">
        <v>0.0</v>
      </c>
      <c r="D148" s="7">
        <v>0.0</v>
      </c>
      <c r="E148" s="7">
        <v>0.0</v>
      </c>
      <c r="F148" s="7">
        <v>0.0</v>
      </c>
      <c r="G148" s="9"/>
      <c r="H148" s="9"/>
    </row>
    <row r="149" ht="15.75" customHeight="1">
      <c r="A149" s="6">
        <v>31202.0</v>
      </c>
      <c r="B149" s="6" t="s">
        <v>197</v>
      </c>
      <c r="C149" s="7">
        <v>0.0</v>
      </c>
      <c r="D149" s="7">
        <v>0.0</v>
      </c>
      <c r="E149" s="7">
        <v>0.0</v>
      </c>
      <c r="F149" s="7">
        <v>0.0</v>
      </c>
      <c r="G149" s="9"/>
      <c r="H149" s="9"/>
    </row>
    <row r="150" ht="15.75" customHeight="1">
      <c r="A150" s="6">
        <v>31203.0</v>
      </c>
      <c r="B150" s="6" t="s">
        <v>198</v>
      </c>
      <c r="C150" s="7">
        <v>0.0</v>
      </c>
      <c r="D150" s="7">
        <v>0.0</v>
      </c>
      <c r="E150" s="7">
        <v>0.0</v>
      </c>
      <c r="F150" s="7">
        <v>0.0</v>
      </c>
      <c r="G150" s="9"/>
      <c r="H150" s="9"/>
    </row>
    <row r="151" ht="15.75" customHeight="1">
      <c r="A151" s="6">
        <v>31204.0</v>
      </c>
      <c r="B151" s="6" t="s">
        <v>199</v>
      </c>
      <c r="C151" s="7">
        <v>0.0</v>
      </c>
      <c r="D151" s="7">
        <v>0.0</v>
      </c>
      <c r="E151" s="7">
        <v>0.0</v>
      </c>
      <c r="F151" s="7">
        <v>0.0</v>
      </c>
      <c r="G151" s="9"/>
      <c r="H151" s="9"/>
    </row>
    <row r="152" ht="15.75" customHeight="1">
      <c r="A152" s="6">
        <v>31205.0</v>
      </c>
      <c r="B152" s="6" t="s">
        <v>200</v>
      </c>
      <c r="C152" s="7">
        <v>0.0</v>
      </c>
      <c r="D152" s="7">
        <v>0.0</v>
      </c>
      <c r="E152" s="7">
        <v>0.0</v>
      </c>
      <c r="F152" s="7">
        <v>0.0</v>
      </c>
      <c r="G152" s="9"/>
      <c r="H152" s="9"/>
    </row>
    <row r="153" ht="15.75" customHeight="1">
      <c r="A153" s="6">
        <v>31206.0</v>
      </c>
      <c r="B153" s="6" t="s">
        <v>201</v>
      </c>
      <c r="C153" s="7">
        <v>0.0</v>
      </c>
      <c r="D153" s="7">
        <v>0.0</v>
      </c>
      <c r="E153" s="7">
        <v>0.0</v>
      </c>
      <c r="F153" s="7">
        <v>0.0</v>
      </c>
      <c r="G153" s="9"/>
      <c r="H153" s="9"/>
    </row>
    <row r="154" ht="15.75" customHeight="1">
      <c r="A154" s="6">
        <v>31301.0</v>
      </c>
      <c r="B154" s="6" t="s">
        <v>202</v>
      </c>
      <c r="C154" s="7">
        <v>0.0</v>
      </c>
      <c r="D154" s="7">
        <v>0.0</v>
      </c>
      <c r="E154" s="7">
        <v>0.0</v>
      </c>
      <c r="F154" s="7">
        <v>0.0</v>
      </c>
      <c r="G154" s="9"/>
      <c r="H154" s="9"/>
    </row>
    <row r="155" ht="15.75" customHeight="1">
      <c r="A155" s="6">
        <v>31302.0</v>
      </c>
      <c r="B155" s="6" t="s">
        <v>203</v>
      </c>
      <c r="C155" s="7">
        <v>0.0</v>
      </c>
      <c r="D155" s="7">
        <v>0.0</v>
      </c>
      <c r="E155" s="7">
        <v>0.0</v>
      </c>
      <c r="F155" s="7">
        <v>0.0</v>
      </c>
      <c r="G155" s="9"/>
      <c r="H155" s="9"/>
    </row>
    <row r="156" ht="15.75" customHeight="1">
      <c r="A156" s="6">
        <v>31303.0</v>
      </c>
      <c r="B156" s="6" t="s">
        <v>204</v>
      </c>
      <c r="C156" s="7">
        <v>0.0</v>
      </c>
      <c r="D156" s="7">
        <v>0.0</v>
      </c>
      <c r="E156" s="7">
        <v>0.0</v>
      </c>
      <c r="F156" s="7">
        <v>0.0</v>
      </c>
      <c r="G156" s="9"/>
      <c r="H156" s="9"/>
    </row>
    <row r="157" ht="15.75" customHeight="1">
      <c r="A157" s="6">
        <v>31304.0</v>
      </c>
      <c r="B157" s="6" t="s">
        <v>205</v>
      </c>
      <c r="C157" s="7">
        <v>0.0</v>
      </c>
      <c r="D157" s="7">
        <v>0.0</v>
      </c>
      <c r="E157" s="7">
        <v>0.0</v>
      </c>
      <c r="F157" s="7">
        <v>0.0</v>
      </c>
      <c r="G157" s="9"/>
      <c r="H157" s="9"/>
    </row>
    <row r="158" ht="15.75" customHeight="1">
      <c r="A158" s="6">
        <v>31401.0</v>
      </c>
      <c r="B158" s="6" t="s">
        <v>206</v>
      </c>
      <c r="C158" s="7">
        <v>0.0</v>
      </c>
      <c r="D158" s="7">
        <v>0.0</v>
      </c>
      <c r="E158" s="7">
        <v>0.0</v>
      </c>
      <c r="F158" s="7">
        <v>0.0</v>
      </c>
      <c r="G158" s="9"/>
      <c r="H158" s="9"/>
    </row>
    <row r="159" ht="15.75" customHeight="1">
      <c r="A159" s="6">
        <v>31402.0</v>
      </c>
      <c r="B159" s="6" t="s">
        <v>207</v>
      </c>
      <c r="C159" s="7">
        <v>0.0</v>
      </c>
      <c r="D159" s="7">
        <v>0.0</v>
      </c>
      <c r="E159" s="7">
        <v>0.0</v>
      </c>
      <c r="F159" s="7">
        <v>0.0</v>
      </c>
      <c r="G159" s="9"/>
      <c r="H159" s="9"/>
    </row>
    <row r="160" ht="15.75" customHeight="1">
      <c r="A160" s="6">
        <v>31403.0</v>
      </c>
      <c r="B160" s="6" t="s">
        <v>208</v>
      </c>
      <c r="C160" s="7">
        <v>0.0</v>
      </c>
      <c r="D160" s="7">
        <v>0.0</v>
      </c>
      <c r="E160" s="7">
        <v>0.0</v>
      </c>
      <c r="F160" s="7">
        <v>0.0</v>
      </c>
      <c r="G160" s="9"/>
      <c r="H160" s="9"/>
    </row>
    <row r="161" ht="15.75" customHeight="1">
      <c r="A161" s="6">
        <v>31404.0</v>
      </c>
      <c r="B161" s="6" t="s">
        <v>209</v>
      </c>
      <c r="C161" s="7">
        <v>0.0</v>
      </c>
      <c r="D161" s="7">
        <v>0.0</v>
      </c>
      <c r="E161" s="7">
        <v>0.0</v>
      </c>
      <c r="F161" s="7">
        <v>0.0</v>
      </c>
      <c r="G161" s="9"/>
      <c r="H161" s="9"/>
    </row>
    <row r="162" ht="15.75" customHeight="1">
      <c r="A162" s="6">
        <v>31405.0</v>
      </c>
      <c r="B162" s="6" t="s">
        <v>210</v>
      </c>
      <c r="C162" s="7">
        <v>0.0</v>
      </c>
      <c r="D162" s="7">
        <v>0.0</v>
      </c>
      <c r="E162" s="7">
        <v>0.0</v>
      </c>
      <c r="F162" s="7">
        <v>0.0</v>
      </c>
      <c r="G162" s="9"/>
      <c r="H162" s="9"/>
    </row>
    <row r="163" ht="15.75" customHeight="1">
      <c r="A163" s="6">
        <v>31501.0</v>
      </c>
      <c r="B163" s="6" t="s">
        <v>211</v>
      </c>
      <c r="C163" s="7">
        <v>0.0</v>
      </c>
      <c r="D163" s="7">
        <v>0.0</v>
      </c>
      <c r="E163" s="7">
        <v>0.0</v>
      </c>
      <c r="F163" s="7">
        <v>0.0</v>
      </c>
      <c r="G163" s="9"/>
      <c r="H163" s="9"/>
    </row>
    <row r="164" ht="15.75" customHeight="1">
      <c r="A164" s="6">
        <v>31601.0</v>
      </c>
      <c r="B164" s="6" t="s">
        <v>212</v>
      </c>
      <c r="C164" s="7">
        <v>0.0</v>
      </c>
      <c r="D164" s="7">
        <v>0.0</v>
      </c>
      <c r="E164" s="7">
        <v>100.0</v>
      </c>
      <c r="F164" s="8">
        <v>107142.4</v>
      </c>
      <c r="G164" s="26"/>
      <c r="H164" s="9"/>
    </row>
    <row r="165" ht="15.75" customHeight="1">
      <c r="A165" s="6">
        <v>31602.0</v>
      </c>
      <c r="B165" s="6" t="s">
        <v>213</v>
      </c>
      <c r="C165" s="7">
        <v>0.0</v>
      </c>
      <c r="D165" s="7">
        <v>0.0</v>
      </c>
      <c r="E165" s="7">
        <v>57.26</v>
      </c>
      <c r="F165" s="8">
        <v>295006.4</v>
      </c>
      <c r="G165" s="9"/>
      <c r="H165" s="9"/>
    </row>
    <row r="166" ht="15.75" customHeight="1">
      <c r="A166" s="6">
        <v>40101.0</v>
      </c>
      <c r="B166" s="6" t="s">
        <v>115</v>
      </c>
      <c r="C166" s="7">
        <v>0.0</v>
      </c>
      <c r="D166" s="7">
        <v>0.0</v>
      </c>
      <c r="E166" s="7">
        <v>0.0</v>
      </c>
      <c r="F166" s="7">
        <v>0.0</v>
      </c>
      <c r="G166" s="9"/>
      <c r="H166" s="9"/>
    </row>
    <row r="167" ht="15.75" customHeight="1">
      <c r="A167" s="6">
        <v>40102.0</v>
      </c>
      <c r="B167" s="6" t="s">
        <v>214</v>
      </c>
      <c r="C167" s="7">
        <v>0.0</v>
      </c>
      <c r="D167" s="7">
        <v>0.0</v>
      </c>
      <c r="E167" s="7">
        <v>0.0</v>
      </c>
      <c r="F167" s="7">
        <v>0.0</v>
      </c>
      <c r="G167" s="9"/>
      <c r="H167" s="9"/>
    </row>
    <row r="168" ht="15.75" customHeight="1">
      <c r="A168" s="6">
        <v>40103.0</v>
      </c>
      <c r="B168" s="6" t="s">
        <v>215</v>
      </c>
      <c r="C168" s="7">
        <v>0.0</v>
      </c>
      <c r="D168" s="7">
        <v>0.0</v>
      </c>
      <c r="E168" s="7">
        <v>0.0</v>
      </c>
      <c r="F168" s="7">
        <v>0.0</v>
      </c>
      <c r="G168" s="9"/>
      <c r="H168" s="9"/>
    </row>
    <row r="169" ht="15.75" customHeight="1">
      <c r="A169" s="6">
        <v>40104.0</v>
      </c>
      <c r="B169" s="6" t="s">
        <v>216</v>
      </c>
      <c r="C169" s="7">
        <v>0.0</v>
      </c>
      <c r="D169" s="7">
        <v>0.0</v>
      </c>
      <c r="E169" s="7">
        <v>0.0</v>
      </c>
      <c r="F169" s="7">
        <v>0.0</v>
      </c>
      <c r="G169" s="9"/>
      <c r="H169" s="9"/>
    </row>
    <row r="170" ht="15.75" customHeight="1">
      <c r="A170" s="6">
        <v>40201.0</v>
      </c>
      <c r="B170" s="6" t="s">
        <v>217</v>
      </c>
      <c r="C170" s="7">
        <v>0.0</v>
      </c>
      <c r="D170" s="7">
        <v>0.0</v>
      </c>
      <c r="E170" s="7">
        <v>123.41</v>
      </c>
      <c r="F170" s="8">
        <v>496929.6</v>
      </c>
      <c r="G170" s="9"/>
      <c r="H170" s="9"/>
    </row>
    <row r="171" ht="15.75" customHeight="1">
      <c r="A171" s="6">
        <v>40202.0</v>
      </c>
      <c r="B171" s="6" t="s">
        <v>218</v>
      </c>
      <c r="C171" s="7">
        <v>0.0</v>
      </c>
      <c r="D171" s="7">
        <v>0.0</v>
      </c>
      <c r="E171" s="7">
        <v>0.0</v>
      </c>
      <c r="F171" s="7">
        <v>0.0</v>
      </c>
      <c r="G171" s="9"/>
      <c r="H171" s="9"/>
    </row>
    <row r="172" ht="15.75" customHeight="1">
      <c r="A172" s="6">
        <v>40301.0</v>
      </c>
      <c r="B172" s="6" t="s">
        <v>219</v>
      </c>
      <c r="C172" s="7">
        <v>0.0</v>
      </c>
      <c r="D172" s="7">
        <v>0.0</v>
      </c>
      <c r="E172" s="7">
        <v>0.0</v>
      </c>
      <c r="F172" s="7">
        <v>0.0</v>
      </c>
      <c r="G172" s="9"/>
      <c r="H172" s="9"/>
    </row>
    <row r="173" ht="15.75" customHeight="1">
      <c r="A173" s="6">
        <v>40302.0</v>
      </c>
      <c r="B173" s="6" t="s">
        <v>220</v>
      </c>
      <c r="C173" s="7">
        <v>0.0</v>
      </c>
      <c r="D173" s="7">
        <v>0.0</v>
      </c>
      <c r="E173" s="7">
        <v>0.0</v>
      </c>
      <c r="F173" s="7">
        <v>0.0</v>
      </c>
      <c r="G173" s="9"/>
      <c r="H173" s="9"/>
    </row>
    <row r="174" ht="15.75" customHeight="1">
      <c r="A174" s="6">
        <v>40401.0</v>
      </c>
      <c r="B174" s="6" t="s">
        <v>221</v>
      </c>
      <c r="C174" s="7">
        <v>0.0</v>
      </c>
      <c r="D174" s="7">
        <v>0.0</v>
      </c>
      <c r="E174" s="7">
        <v>0.0</v>
      </c>
      <c r="F174" s="7">
        <v>0.0</v>
      </c>
      <c r="G174" s="9"/>
      <c r="H174" s="9"/>
    </row>
    <row r="175" ht="15.75" customHeight="1">
      <c r="A175" s="6">
        <v>40402.0</v>
      </c>
      <c r="B175" s="6" t="s">
        <v>222</v>
      </c>
      <c r="C175" s="7">
        <v>0.0</v>
      </c>
      <c r="D175" s="7">
        <v>0.0</v>
      </c>
      <c r="E175" s="7">
        <v>0.0</v>
      </c>
      <c r="F175" s="7">
        <v>0.0</v>
      </c>
      <c r="G175" s="9"/>
      <c r="H175" s="9"/>
    </row>
    <row r="176" ht="15.75" customHeight="1">
      <c r="A176" s="6">
        <v>40501.0</v>
      </c>
      <c r="B176" s="6" t="s">
        <v>223</v>
      </c>
      <c r="C176" s="7">
        <v>0.0</v>
      </c>
      <c r="D176" s="7">
        <v>0.0</v>
      </c>
      <c r="E176" s="7">
        <v>0.0</v>
      </c>
      <c r="F176" s="7">
        <v>0.0</v>
      </c>
      <c r="G176" s="9"/>
      <c r="H176" s="9"/>
    </row>
    <row r="177" ht="15.75" customHeight="1">
      <c r="A177" s="6">
        <v>40502.0</v>
      </c>
      <c r="B177" s="6" t="s">
        <v>224</v>
      </c>
      <c r="C177" s="7">
        <v>0.0</v>
      </c>
      <c r="D177" s="7">
        <v>0.0</v>
      </c>
      <c r="E177" s="7">
        <v>0.0</v>
      </c>
      <c r="F177" s="7">
        <v>0.0</v>
      </c>
      <c r="G177" s="9"/>
      <c r="H177" s="9"/>
    </row>
    <row r="178" ht="15.75" customHeight="1">
      <c r="A178" s="6">
        <v>40503.0</v>
      </c>
      <c r="B178" s="6" t="s">
        <v>225</v>
      </c>
      <c r="C178" s="7">
        <v>0.0</v>
      </c>
      <c r="D178" s="7">
        <v>0.0</v>
      </c>
      <c r="E178" s="7">
        <v>0.0</v>
      </c>
      <c r="F178" s="7">
        <v>0.0</v>
      </c>
      <c r="G178" s="9"/>
      <c r="H178" s="9"/>
    </row>
    <row r="179" ht="15.75" customHeight="1">
      <c r="A179" s="6">
        <v>40504.0</v>
      </c>
      <c r="B179" s="6" t="s">
        <v>226</v>
      </c>
      <c r="C179" s="7">
        <v>0.0</v>
      </c>
      <c r="D179" s="7">
        <v>0.0</v>
      </c>
      <c r="E179" s="7">
        <v>0.0</v>
      </c>
      <c r="F179" s="7">
        <v>0.0</v>
      </c>
      <c r="G179" s="9"/>
      <c r="H179" s="9"/>
    </row>
    <row r="180" ht="15.75" customHeight="1">
      <c r="A180" s="6">
        <v>40505.0</v>
      </c>
      <c r="B180" s="6" t="s">
        <v>227</v>
      </c>
      <c r="C180" s="7">
        <v>0.0</v>
      </c>
      <c r="D180" s="7">
        <v>0.0</v>
      </c>
      <c r="E180" s="7">
        <v>0.0</v>
      </c>
      <c r="F180" s="7">
        <v>0.0</v>
      </c>
      <c r="G180" s="9"/>
      <c r="H180" s="9"/>
    </row>
    <row r="181" ht="15.75" customHeight="1">
      <c r="A181" s="6">
        <v>40601.0</v>
      </c>
      <c r="B181" s="6" t="s">
        <v>228</v>
      </c>
      <c r="C181" s="7">
        <v>0.0</v>
      </c>
      <c r="D181" s="7">
        <v>0.0</v>
      </c>
      <c r="E181" s="7">
        <v>0.0</v>
      </c>
      <c r="F181" s="7">
        <v>0.0</v>
      </c>
      <c r="G181" s="9"/>
      <c r="H181" s="9"/>
    </row>
    <row r="182" ht="15.75" customHeight="1">
      <c r="A182" s="6">
        <v>40602.0</v>
      </c>
      <c r="B182" s="6" t="s">
        <v>229</v>
      </c>
      <c r="C182" s="7">
        <v>0.0</v>
      </c>
      <c r="D182" s="7">
        <v>0.0</v>
      </c>
      <c r="E182" s="7">
        <v>0.0</v>
      </c>
      <c r="F182" s="7">
        <v>0.0</v>
      </c>
      <c r="G182" s="9"/>
      <c r="H182" s="9"/>
    </row>
    <row r="183" ht="15.75" customHeight="1">
      <c r="A183" s="6">
        <v>40603.0</v>
      </c>
      <c r="B183" s="6" t="s">
        <v>230</v>
      </c>
      <c r="C183" s="7">
        <v>0.0</v>
      </c>
      <c r="D183" s="7">
        <v>0.0</v>
      </c>
      <c r="E183" s="7">
        <v>0.0</v>
      </c>
      <c r="F183" s="7">
        <v>0.0</v>
      </c>
      <c r="G183" s="9"/>
      <c r="H183" s="9"/>
    </row>
    <row r="184" ht="15.75" customHeight="1">
      <c r="A184" s="6">
        <v>40701.0</v>
      </c>
      <c r="B184" s="6" t="s">
        <v>231</v>
      </c>
      <c r="C184" s="7">
        <v>0.0</v>
      </c>
      <c r="D184" s="7">
        <v>0.0</v>
      </c>
      <c r="E184" s="7">
        <v>0.0</v>
      </c>
      <c r="F184" s="7">
        <v>0.0</v>
      </c>
      <c r="G184" s="9"/>
      <c r="H184" s="9"/>
    </row>
    <row r="185" ht="15.75" customHeight="1">
      <c r="A185" s="6">
        <v>40702.0</v>
      </c>
      <c r="B185" s="6" t="s">
        <v>232</v>
      </c>
      <c r="C185" s="7">
        <v>0.0</v>
      </c>
      <c r="D185" s="7">
        <v>0.0</v>
      </c>
      <c r="E185" s="7">
        <v>0.0</v>
      </c>
      <c r="F185" s="7">
        <v>0.0</v>
      </c>
      <c r="G185" s="9"/>
      <c r="H185" s="9"/>
    </row>
    <row r="186" ht="15.75" customHeight="1">
      <c r="A186" s="6">
        <v>40801.0</v>
      </c>
      <c r="B186" s="6" t="s">
        <v>233</v>
      </c>
      <c r="C186" s="7">
        <v>0.0</v>
      </c>
      <c r="D186" s="7">
        <v>0.0</v>
      </c>
      <c r="E186" s="7">
        <v>0.0</v>
      </c>
      <c r="F186" s="7">
        <v>0.0</v>
      </c>
      <c r="G186" s="9"/>
      <c r="H186" s="9"/>
    </row>
    <row r="187" ht="15.75" customHeight="1">
      <c r="A187" s="6">
        <v>40802.0</v>
      </c>
      <c r="B187" s="6" t="s">
        <v>234</v>
      </c>
      <c r="C187" s="7">
        <v>0.0</v>
      </c>
      <c r="D187" s="7">
        <v>0.0</v>
      </c>
      <c r="E187" s="7">
        <v>0.0</v>
      </c>
      <c r="F187" s="7">
        <v>0.0</v>
      </c>
      <c r="G187" s="9"/>
      <c r="H187" s="9"/>
    </row>
    <row r="188" ht="15.75" customHeight="1">
      <c r="A188" s="6">
        <v>40901.0</v>
      </c>
      <c r="B188" s="6" t="s">
        <v>235</v>
      </c>
      <c r="C188" s="7">
        <v>0.0</v>
      </c>
      <c r="D188" s="7">
        <v>0.0</v>
      </c>
      <c r="E188" s="7">
        <v>0.0</v>
      </c>
      <c r="F188" s="7">
        <v>0.0</v>
      </c>
      <c r="G188" s="9"/>
      <c r="H188" s="9"/>
    </row>
    <row r="189" ht="15.75" customHeight="1">
      <c r="A189" s="6">
        <v>40902.0</v>
      </c>
      <c r="B189" s="6" t="s">
        <v>236</v>
      </c>
      <c r="C189" s="7">
        <v>0.0</v>
      </c>
      <c r="D189" s="7">
        <v>0.0</v>
      </c>
      <c r="E189" s="7">
        <v>0.0</v>
      </c>
      <c r="F189" s="7">
        <v>0.0</v>
      </c>
      <c r="G189" s="9"/>
      <c r="H189" s="9"/>
    </row>
    <row r="190" ht="15.75" customHeight="1">
      <c r="A190" s="6">
        <v>40903.0</v>
      </c>
      <c r="B190" s="6" t="s">
        <v>237</v>
      </c>
      <c r="C190" s="7">
        <v>0.0</v>
      </c>
      <c r="D190" s="7">
        <v>0.0</v>
      </c>
      <c r="E190" s="7">
        <v>0.0</v>
      </c>
      <c r="F190" s="7">
        <v>0.0</v>
      </c>
      <c r="G190" s="9"/>
      <c r="H190" s="9"/>
    </row>
    <row r="191" ht="15.75" customHeight="1">
      <c r="A191" s="6">
        <v>41001.0</v>
      </c>
      <c r="B191" s="6" t="s">
        <v>238</v>
      </c>
      <c r="C191" s="7">
        <v>0.0</v>
      </c>
      <c r="D191" s="7">
        <v>0.0</v>
      </c>
      <c r="E191" s="7">
        <v>0.0</v>
      </c>
      <c r="F191" s="7">
        <v>0.0</v>
      </c>
      <c r="G191" s="9"/>
      <c r="H191" s="9"/>
    </row>
    <row r="192" ht="15.75" customHeight="1">
      <c r="A192" s="6">
        <v>41101.0</v>
      </c>
      <c r="B192" s="6" t="s">
        <v>239</v>
      </c>
      <c r="C192" s="7">
        <v>0.0</v>
      </c>
      <c r="D192" s="7">
        <v>0.0</v>
      </c>
      <c r="E192" s="7">
        <v>0.0</v>
      </c>
      <c r="F192" s="7">
        <v>0.0</v>
      </c>
      <c r="G192" s="9"/>
      <c r="H192" s="9"/>
    </row>
    <row r="193" ht="15.75" customHeight="1">
      <c r="A193" s="6">
        <v>41201.0</v>
      </c>
      <c r="B193" s="6" t="s">
        <v>240</v>
      </c>
      <c r="C193" s="7">
        <v>0.0</v>
      </c>
      <c r="D193" s="7">
        <v>0.0</v>
      </c>
      <c r="E193" s="7">
        <v>0.0</v>
      </c>
      <c r="F193" s="7">
        <v>0.0</v>
      </c>
      <c r="G193" s="9"/>
      <c r="H193" s="9"/>
    </row>
    <row r="194" ht="15.75" customHeight="1">
      <c r="A194" s="6">
        <v>41202.0</v>
      </c>
      <c r="B194" s="6" t="s">
        <v>241</v>
      </c>
      <c r="C194" s="7">
        <v>0.0</v>
      </c>
      <c r="D194" s="7">
        <v>0.0</v>
      </c>
      <c r="E194" s="7">
        <v>0.0</v>
      </c>
      <c r="F194" s="7">
        <v>0.0</v>
      </c>
      <c r="G194" s="9"/>
      <c r="H194" s="9"/>
    </row>
    <row r="195" ht="15.75" customHeight="1">
      <c r="A195" s="6">
        <v>41301.0</v>
      </c>
      <c r="B195" s="6" t="s">
        <v>196</v>
      </c>
      <c r="C195" s="7">
        <v>0.0</v>
      </c>
      <c r="D195" s="7">
        <v>0.0</v>
      </c>
      <c r="E195" s="7">
        <v>0.0</v>
      </c>
      <c r="F195" s="7">
        <v>0.0</v>
      </c>
      <c r="G195" s="9"/>
      <c r="H195" s="9"/>
    </row>
    <row r="196" ht="15.75" customHeight="1">
      <c r="A196" s="6">
        <v>41401.0</v>
      </c>
      <c r="B196" s="6" t="s">
        <v>242</v>
      </c>
      <c r="C196" s="7">
        <v>0.0</v>
      </c>
      <c r="D196" s="7">
        <v>0.0</v>
      </c>
      <c r="E196" s="7">
        <v>0.0</v>
      </c>
      <c r="F196" s="7">
        <v>0.0</v>
      </c>
      <c r="G196" s="9"/>
      <c r="H196" s="9"/>
    </row>
    <row r="197" ht="15.75" customHeight="1">
      <c r="A197" s="6">
        <v>41501.0</v>
      </c>
      <c r="B197" s="6" t="s">
        <v>243</v>
      </c>
      <c r="C197" s="7">
        <v>0.0</v>
      </c>
      <c r="D197" s="7">
        <v>0.0</v>
      </c>
      <c r="E197" s="7">
        <v>0.0</v>
      </c>
      <c r="F197" s="7">
        <v>0.0</v>
      </c>
      <c r="G197" s="9"/>
      <c r="H197" s="9"/>
    </row>
    <row r="198" ht="15.75" customHeight="1">
      <c r="A198" s="6">
        <v>41502.0</v>
      </c>
      <c r="B198" s="6" t="s">
        <v>244</v>
      </c>
      <c r="C198" s="7">
        <v>0.0</v>
      </c>
      <c r="D198" s="7">
        <v>0.0</v>
      </c>
      <c r="E198" s="7">
        <v>0.0</v>
      </c>
      <c r="F198" s="7">
        <v>0.0</v>
      </c>
      <c r="G198" s="9"/>
      <c r="H198" s="9"/>
    </row>
    <row r="199" ht="15.75" customHeight="1">
      <c r="A199" s="6">
        <v>41503.0</v>
      </c>
      <c r="B199" s="6" t="s">
        <v>245</v>
      </c>
      <c r="C199" s="7">
        <v>0.0</v>
      </c>
      <c r="D199" s="7">
        <v>0.0</v>
      </c>
      <c r="E199" s="7">
        <v>0.0</v>
      </c>
      <c r="F199" s="7">
        <v>0.0</v>
      </c>
      <c r="G199" s="9"/>
      <c r="H199" s="9"/>
    </row>
    <row r="200" ht="15.75" customHeight="1">
      <c r="A200" s="6">
        <v>41601.0</v>
      </c>
      <c r="B200" s="6" t="s">
        <v>246</v>
      </c>
      <c r="C200" s="7">
        <v>0.0</v>
      </c>
      <c r="D200" s="7">
        <v>0.0</v>
      </c>
      <c r="E200" s="7">
        <v>0.0</v>
      </c>
      <c r="F200" s="7">
        <v>0.0</v>
      </c>
      <c r="G200" s="9"/>
      <c r="H200" s="9"/>
    </row>
    <row r="201" ht="15.75" customHeight="1">
      <c r="A201" s="6">
        <v>50101.0</v>
      </c>
      <c r="B201" s="6" t="s">
        <v>117</v>
      </c>
      <c r="C201" s="7">
        <v>0.0</v>
      </c>
      <c r="D201" s="7">
        <v>0.0</v>
      </c>
      <c r="E201" s="7">
        <v>0.0</v>
      </c>
      <c r="F201" s="7">
        <v>0.0</v>
      </c>
      <c r="G201" s="9"/>
      <c r="H201" s="9"/>
    </row>
    <row r="202" ht="15.75" customHeight="1">
      <c r="A202" s="6">
        <v>50102.0</v>
      </c>
      <c r="B202" s="6" t="s">
        <v>247</v>
      </c>
      <c r="C202" s="7">
        <v>0.0</v>
      </c>
      <c r="D202" s="7">
        <v>0.0</v>
      </c>
      <c r="E202" s="7">
        <v>0.0</v>
      </c>
      <c r="F202" s="7">
        <v>0.0</v>
      </c>
      <c r="G202" s="9"/>
      <c r="H202" s="9"/>
    </row>
    <row r="203" ht="15.75" customHeight="1">
      <c r="A203" s="6">
        <v>50103.0</v>
      </c>
      <c r="B203" s="6" t="s">
        <v>248</v>
      </c>
      <c r="C203" s="7">
        <v>0.0</v>
      </c>
      <c r="D203" s="7">
        <v>0.0</v>
      </c>
      <c r="E203" s="7">
        <v>0.0</v>
      </c>
      <c r="F203" s="7">
        <v>0.0</v>
      </c>
      <c r="G203" s="9"/>
      <c r="H203" s="9"/>
    </row>
    <row r="204" ht="15.75" customHeight="1">
      <c r="A204" s="6">
        <v>50104.0</v>
      </c>
      <c r="B204" s="6" t="s">
        <v>249</v>
      </c>
      <c r="C204" s="7">
        <v>0.0</v>
      </c>
      <c r="D204" s="7">
        <v>0.0</v>
      </c>
      <c r="E204" s="7">
        <v>0.0</v>
      </c>
      <c r="F204" s="7">
        <v>0.0</v>
      </c>
      <c r="G204" s="9"/>
      <c r="H204" s="9"/>
    </row>
    <row r="205" ht="15.75" customHeight="1">
      <c r="A205" s="6">
        <v>50201.0</v>
      </c>
      <c r="B205" s="6" t="s">
        <v>250</v>
      </c>
      <c r="C205" s="7">
        <v>0.0</v>
      </c>
      <c r="D205" s="7">
        <v>0.0</v>
      </c>
      <c r="E205" s="7">
        <v>0.0</v>
      </c>
      <c r="F205" s="7">
        <v>0.0</v>
      </c>
      <c r="G205" s="9"/>
      <c r="H205" s="9"/>
    </row>
    <row r="206" ht="15.75" customHeight="1">
      <c r="A206" s="6">
        <v>50202.0</v>
      </c>
      <c r="B206" s="6" t="s">
        <v>251</v>
      </c>
      <c r="C206" s="7">
        <v>0.0</v>
      </c>
      <c r="D206" s="7">
        <v>0.0</v>
      </c>
      <c r="E206" s="7">
        <v>0.0</v>
      </c>
      <c r="F206" s="7">
        <v>0.0</v>
      </c>
      <c r="G206" s="9"/>
      <c r="H206" s="9"/>
    </row>
    <row r="207" ht="15.75" customHeight="1">
      <c r="A207" s="6">
        <v>50203.0</v>
      </c>
      <c r="B207" s="6" t="s">
        <v>252</v>
      </c>
      <c r="C207" s="7">
        <v>0.0</v>
      </c>
      <c r="D207" s="7">
        <v>0.0</v>
      </c>
      <c r="E207" s="7">
        <v>0.0</v>
      </c>
      <c r="F207" s="7">
        <v>0.0</v>
      </c>
      <c r="G207" s="9"/>
      <c r="H207" s="9"/>
    </row>
    <row r="208" ht="15.75" customHeight="1">
      <c r="A208" s="6">
        <v>50204.0</v>
      </c>
      <c r="B208" s="6" t="s">
        <v>253</v>
      </c>
      <c r="C208" s="7">
        <v>0.0</v>
      </c>
      <c r="D208" s="7">
        <v>0.0</v>
      </c>
      <c r="E208" s="7">
        <v>0.0</v>
      </c>
      <c r="F208" s="7">
        <v>0.0</v>
      </c>
      <c r="G208" s="9"/>
      <c r="H208" s="9"/>
    </row>
    <row r="209" ht="15.75" customHeight="1">
      <c r="A209" s="6">
        <v>50301.0</v>
      </c>
      <c r="B209" s="6" t="s">
        <v>254</v>
      </c>
      <c r="C209" s="7">
        <v>0.0</v>
      </c>
      <c r="D209" s="7">
        <v>0.0</v>
      </c>
      <c r="E209" s="7">
        <v>0.0</v>
      </c>
      <c r="F209" s="7">
        <v>0.0</v>
      </c>
      <c r="G209" s="9"/>
      <c r="H209" s="9"/>
    </row>
    <row r="210" ht="15.75" customHeight="1">
      <c r="A210" s="6">
        <v>50302.0</v>
      </c>
      <c r="B210" s="6" t="s">
        <v>255</v>
      </c>
      <c r="C210" s="7">
        <v>0.0</v>
      </c>
      <c r="D210" s="7">
        <v>0.0</v>
      </c>
      <c r="E210" s="7">
        <v>0.0</v>
      </c>
      <c r="F210" s="7">
        <v>0.0</v>
      </c>
      <c r="G210" s="9"/>
      <c r="H210" s="9"/>
    </row>
    <row r="211" ht="15.75" customHeight="1">
      <c r="A211" s="6">
        <v>50303.0</v>
      </c>
      <c r="B211" s="6" t="s">
        <v>256</v>
      </c>
      <c r="C211" s="7">
        <v>0.0</v>
      </c>
      <c r="D211" s="7">
        <v>0.0</v>
      </c>
      <c r="E211" s="7">
        <v>0.0</v>
      </c>
      <c r="F211" s="7">
        <v>0.0</v>
      </c>
      <c r="G211" s="9"/>
      <c r="H211" s="9"/>
    </row>
    <row r="212" ht="15.75" customHeight="1">
      <c r="A212" s="6">
        <v>50401.0</v>
      </c>
      <c r="B212" s="6" t="s">
        <v>257</v>
      </c>
      <c r="C212" s="7">
        <v>0.0</v>
      </c>
      <c r="D212" s="7">
        <v>0.0</v>
      </c>
      <c r="E212" s="7">
        <v>0.0</v>
      </c>
      <c r="F212" s="7">
        <v>0.0</v>
      </c>
      <c r="G212" s="9"/>
      <c r="H212" s="9"/>
    </row>
    <row r="213" ht="15.75" customHeight="1">
      <c r="A213" s="6">
        <v>50402.0</v>
      </c>
      <c r="B213" s="6" t="s">
        <v>258</v>
      </c>
      <c r="C213" s="7">
        <v>0.0</v>
      </c>
      <c r="D213" s="7">
        <v>0.0</v>
      </c>
      <c r="E213" s="7">
        <v>0.0</v>
      </c>
      <c r="F213" s="7">
        <v>0.0</v>
      </c>
      <c r="G213" s="9"/>
      <c r="H213" s="9"/>
    </row>
    <row r="214" ht="15.75" customHeight="1">
      <c r="A214" s="6">
        <v>50403.0</v>
      </c>
      <c r="B214" s="6" t="s">
        <v>259</v>
      </c>
      <c r="C214" s="7">
        <v>0.0</v>
      </c>
      <c r="D214" s="7">
        <v>0.0</v>
      </c>
      <c r="E214" s="7">
        <v>0.0</v>
      </c>
      <c r="F214" s="7">
        <v>0.0</v>
      </c>
      <c r="G214" s="9"/>
      <c r="H214" s="9"/>
    </row>
    <row r="215" ht="15.75" customHeight="1">
      <c r="A215" s="6">
        <v>50404.0</v>
      </c>
      <c r="B215" s="6" t="s">
        <v>260</v>
      </c>
      <c r="C215" s="7">
        <v>0.0</v>
      </c>
      <c r="D215" s="7">
        <v>0.0</v>
      </c>
      <c r="E215" s="7">
        <v>0.0</v>
      </c>
      <c r="F215" s="7">
        <v>0.0</v>
      </c>
      <c r="G215" s="9"/>
      <c r="H215" s="9"/>
    </row>
    <row r="216" ht="15.75" customHeight="1">
      <c r="A216" s="6">
        <v>50405.0</v>
      </c>
      <c r="B216" s="6" t="s">
        <v>261</v>
      </c>
      <c r="C216" s="7">
        <v>0.0</v>
      </c>
      <c r="D216" s="7">
        <v>0.0</v>
      </c>
      <c r="E216" s="7">
        <v>0.0</v>
      </c>
      <c r="F216" s="7">
        <v>0.0</v>
      </c>
      <c r="G216" s="9"/>
      <c r="H216" s="9"/>
    </row>
    <row r="217" ht="15.75" customHeight="1">
      <c r="A217" s="6">
        <v>50501.0</v>
      </c>
      <c r="B217" s="6" t="s">
        <v>262</v>
      </c>
      <c r="C217" s="7">
        <v>0.0</v>
      </c>
      <c r="D217" s="7">
        <v>0.0</v>
      </c>
      <c r="E217" s="7">
        <v>0.0</v>
      </c>
      <c r="F217" s="7">
        <v>0.0</v>
      </c>
      <c r="G217" s="9"/>
      <c r="H217" s="9"/>
    </row>
    <row r="218" ht="15.75" customHeight="1">
      <c r="A218" s="6">
        <v>50502.0</v>
      </c>
      <c r="B218" s="6" t="s">
        <v>263</v>
      </c>
      <c r="C218" s="7">
        <v>0.0</v>
      </c>
      <c r="D218" s="7">
        <v>0.0</v>
      </c>
      <c r="E218" s="7">
        <v>0.0</v>
      </c>
      <c r="F218" s="7">
        <v>0.0</v>
      </c>
      <c r="G218" s="9"/>
      <c r="H218" s="9"/>
    </row>
    <row r="219" ht="15.75" customHeight="1">
      <c r="A219" s="6">
        <v>50601.0</v>
      </c>
      <c r="B219" s="6" t="s">
        <v>264</v>
      </c>
      <c r="C219" s="7">
        <v>0.0</v>
      </c>
      <c r="D219" s="7">
        <v>0.0</v>
      </c>
      <c r="E219" s="7">
        <v>0.0</v>
      </c>
      <c r="F219" s="7">
        <v>0.0</v>
      </c>
      <c r="G219" s="9"/>
      <c r="H219" s="9"/>
    </row>
    <row r="220" ht="15.75" customHeight="1">
      <c r="A220" s="6">
        <v>50602.0</v>
      </c>
      <c r="B220" s="6" t="s">
        <v>265</v>
      </c>
      <c r="C220" s="7">
        <v>0.0</v>
      </c>
      <c r="D220" s="7">
        <v>0.0</v>
      </c>
      <c r="E220" s="7">
        <v>0.0</v>
      </c>
      <c r="F220" s="7">
        <v>0.0</v>
      </c>
      <c r="G220" s="9"/>
      <c r="H220" s="9"/>
    </row>
    <row r="221" ht="15.75" customHeight="1">
      <c r="A221" s="6">
        <v>50701.0</v>
      </c>
      <c r="B221" s="6" t="s">
        <v>266</v>
      </c>
      <c r="C221" s="7">
        <v>0.0</v>
      </c>
      <c r="D221" s="7">
        <v>0.0</v>
      </c>
      <c r="E221" s="7">
        <v>0.0</v>
      </c>
      <c r="F221" s="7">
        <v>0.0</v>
      </c>
      <c r="G221" s="9"/>
      <c r="H221" s="9"/>
    </row>
    <row r="222" ht="15.75" customHeight="1">
      <c r="A222" s="6">
        <v>50702.0</v>
      </c>
      <c r="B222" s="6" t="s">
        <v>267</v>
      </c>
      <c r="C222" s="7">
        <v>0.0</v>
      </c>
      <c r="D222" s="7">
        <v>0.0</v>
      </c>
      <c r="E222" s="7">
        <v>0.0</v>
      </c>
      <c r="F222" s="7">
        <v>0.0</v>
      </c>
      <c r="G222" s="9"/>
      <c r="H222" s="9"/>
    </row>
    <row r="223" ht="15.75" customHeight="1">
      <c r="A223" s="6">
        <v>50801.0</v>
      </c>
      <c r="B223" s="6" t="s">
        <v>268</v>
      </c>
      <c r="C223" s="7">
        <v>0.0</v>
      </c>
      <c r="D223" s="7">
        <v>0.0</v>
      </c>
      <c r="E223" s="7">
        <v>0.0</v>
      </c>
      <c r="F223" s="7">
        <v>0.0</v>
      </c>
      <c r="G223" s="9"/>
      <c r="H223" s="9"/>
    </row>
    <row r="224" ht="15.75" customHeight="1">
      <c r="A224" s="6">
        <v>50802.0</v>
      </c>
      <c r="B224" s="6" t="s">
        <v>269</v>
      </c>
      <c r="C224" s="7">
        <v>0.0</v>
      </c>
      <c r="D224" s="7">
        <v>0.0</v>
      </c>
      <c r="E224" s="7">
        <v>0.0</v>
      </c>
      <c r="F224" s="7">
        <v>0.0</v>
      </c>
      <c r="G224" s="9"/>
      <c r="H224" s="9"/>
    </row>
    <row r="225" ht="15.75" customHeight="1">
      <c r="A225" s="6">
        <v>50901.0</v>
      </c>
      <c r="B225" s="6" t="s">
        <v>270</v>
      </c>
      <c r="C225" s="7">
        <v>0.0</v>
      </c>
      <c r="D225" s="7">
        <v>0.0</v>
      </c>
      <c r="E225" s="7">
        <v>0.0</v>
      </c>
      <c r="F225" s="7">
        <v>0.0</v>
      </c>
      <c r="G225" s="9"/>
      <c r="H225" s="9"/>
    </row>
    <row r="226" ht="15.75" customHeight="1">
      <c r="A226" s="6">
        <v>50902.0</v>
      </c>
      <c r="B226" s="6" t="s">
        <v>271</v>
      </c>
      <c r="C226" s="7">
        <v>0.0</v>
      </c>
      <c r="D226" s="7">
        <v>0.0</v>
      </c>
      <c r="E226" s="7">
        <v>0.0</v>
      </c>
      <c r="F226" s="7">
        <v>0.0</v>
      </c>
      <c r="G226" s="9"/>
      <c r="H226" s="9"/>
    </row>
    <row r="227" ht="15.75" customHeight="1">
      <c r="A227" s="6">
        <v>51001.0</v>
      </c>
      <c r="B227" s="6" t="s">
        <v>272</v>
      </c>
      <c r="C227" s="7">
        <v>0.0</v>
      </c>
      <c r="D227" s="7">
        <v>0.0</v>
      </c>
      <c r="E227" s="7">
        <v>0.0</v>
      </c>
      <c r="F227" s="7">
        <v>0.0</v>
      </c>
      <c r="G227" s="9"/>
      <c r="H227" s="9"/>
    </row>
    <row r="228" ht="15.75" customHeight="1">
      <c r="A228" s="6">
        <v>51002.0</v>
      </c>
      <c r="B228" s="6" t="s">
        <v>273</v>
      </c>
      <c r="C228" s="7">
        <v>0.0</v>
      </c>
      <c r="D228" s="7">
        <v>0.0</v>
      </c>
      <c r="E228" s="7">
        <v>0.0</v>
      </c>
      <c r="F228" s="7">
        <v>0.0</v>
      </c>
      <c r="G228" s="9"/>
      <c r="H228" s="9"/>
    </row>
    <row r="229" ht="15.75" customHeight="1">
      <c r="A229" s="6">
        <v>51003.0</v>
      </c>
      <c r="B229" s="6" t="s">
        <v>274</v>
      </c>
      <c r="C229" s="7">
        <v>0.0</v>
      </c>
      <c r="D229" s="7">
        <v>0.0</v>
      </c>
      <c r="E229" s="7">
        <v>0.0</v>
      </c>
      <c r="F229" s="7">
        <v>0.0</v>
      </c>
      <c r="G229" s="9"/>
      <c r="H229" s="9"/>
    </row>
    <row r="230" ht="15.75" customHeight="1">
      <c r="A230" s="6">
        <v>51101.0</v>
      </c>
      <c r="B230" s="6" t="s">
        <v>275</v>
      </c>
      <c r="C230" s="7">
        <v>0.0</v>
      </c>
      <c r="D230" s="7">
        <v>0.0</v>
      </c>
      <c r="E230" s="7">
        <v>0.0</v>
      </c>
      <c r="F230" s="7">
        <v>0.0</v>
      </c>
      <c r="G230" s="9"/>
      <c r="H230" s="9"/>
    </row>
    <row r="231" ht="15.75" customHeight="1">
      <c r="A231" s="6">
        <v>51102.0</v>
      </c>
      <c r="B231" s="6" t="s">
        <v>276</v>
      </c>
      <c r="C231" s="7">
        <v>0.0</v>
      </c>
      <c r="D231" s="7">
        <v>0.0</v>
      </c>
      <c r="E231" s="7">
        <v>0.0</v>
      </c>
      <c r="F231" s="7">
        <v>0.0</v>
      </c>
      <c r="G231" s="9"/>
      <c r="H231" s="9"/>
    </row>
    <row r="232" ht="15.75" customHeight="1">
      <c r="A232" s="6">
        <v>51103.0</v>
      </c>
      <c r="B232" s="6" t="s">
        <v>277</v>
      </c>
      <c r="C232" s="7">
        <v>0.0</v>
      </c>
      <c r="D232" s="7">
        <v>0.0</v>
      </c>
      <c r="E232" s="7">
        <v>0.0</v>
      </c>
      <c r="F232" s="7">
        <v>0.0</v>
      </c>
      <c r="G232" s="9"/>
      <c r="H232" s="9"/>
    </row>
    <row r="233" ht="15.75" customHeight="1">
      <c r="A233" s="6">
        <v>51201.0</v>
      </c>
      <c r="B233" s="6" t="s">
        <v>278</v>
      </c>
      <c r="C233" s="7">
        <v>0.0</v>
      </c>
      <c r="D233" s="7">
        <v>0.0</v>
      </c>
      <c r="E233" s="7">
        <v>0.0</v>
      </c>
      <c r="F233" s="7">
        <v>0.0</v>
      </c>
      <c r="G233" s="9"/>
      <c r="H233" s="9"/>
    </row>
    <row r="234" ht="15.75" customHeight="1">
      <c r="A234" s="6">
        <v>51202.0</v>
      </c>
      <c r="B234" s="6" t="s">
        <v>279</v>
      </c>
      <c r="C234" s="7">
        <v>0.0</v>
      </c>
      <c r="D234" s="7">
        <v>0.0</v>
      </c>
      <c r="E234" s="7">
        <v>0.0</v>
      </c>
      <c r="F234" s="7">
        <v>0.0</v>
      </c>
      <c r="G234" s="9"/>
      <c r="H234" s="9"/>
    </row>
    <row r="235" ht="15.75" customHeight="1">
      <c r="A235" s="6">
        <v>51203.0</v>
      </c>
      <c r="B235" s="6" t="s">
        <v>280</v>
      </c>
      <c r="C235" s="7">
        <v>0.0</v>
      </c>
      <c r="D235" s="7">
        <v>0.0</v>
      </c>
      <c r="E235" s="7">
        <v>0.0</v>
      </c>
      <c r="F235" s="7">
        <v>0.0</v>
      </c>
      <c r="G235" s="9"/>
      <c r="H235" s="9"/>
    </row>
    <row r="236" ht="15.75" customHeight="1">
      <c r="A236" s="6">
        <v>51204.0</v>
      </c>
      <c r="B236" s="6" t="s">
        <v>281</v>
      </c>
      <c r="C236" s="7">
        <v>0.0</v>
      </c>
      <c r="D236" s="7">
        <v>0.0</v>
      </c>
      <c r="E236" s="7">
        <v>0.0</v>
      </c>
      <c r="F236" s="7">
        <v>0.0</v>
      </c>
      <c r="G236" s="9"/>
      <c r="H236" s="9"/>
    </row>
    <row r="237" ht="15.75" customHeight="1">
      <c r="A237" s="6">
        <v>51301.0</v>
      </c>
      <c r="B237" s="6" t="s">
        <v>282</v>
      </c>
      <c r="C237" s="7">
        <v>0.0</v>
      </c>
      <c r="D237" s="7">
        <v>0.0</v>
      </c>
      <c r="E237" s="7">
        <v>0.0</v>
      </c>
      <c r="F237" s="7">
        <v>0.0</v>
      </c>
      <c r="G237" s="9"/>
      <c r="H237" s="9"/>
    </row>
    <row r="238" ht="15.75" customHeight="1">
      <c r="A238" s="6">
        <v>51302.0</v>
      </c>
      <c r="B238" s="6" t="s">
        <v>283</v>
      </c>
      <c r="C238" s="7">
        <v>0.0</v>
      </c>
      <c r="D238" s="7">
        <v>0.0</v>
      </c>
      <c r="E238" s="7">
        <v>0.0</v>
      </c>
      <c r="F238" s="7">
        <v>0.0</v>
      </c>
      <c r="G238" s="9"/>
      <c r="H238" s="9"/>
    </row>
    <row r="239" ht="15.75" customHeight="1">
      <c r="A239" s="6">
        <v>51401.0</v>
      </c>
      <c r="B239" s="6" t="s">
        <v>284</v>
      </c>
      <c r="C239" s="7">
        <v>0.0</v>
      </c>
      <c r="D239" s="7">
        <v>0.0</v>
      </c>
      <c r="E239" s="7">
        <v>0.0</v>
      </c>
      <c r="F239" s="7">
        <v>0.0</v>
      </c>
      <c r="G239" s="9"/>
      <c r="H239" s="9"/>
    </row>
    <row r="240" ht="15.75" customHeight="1">
      <c r="A240" s="6">
        <v>51402.0</v>
      </c>
      <c r="B240" s="6" t="s">
        <v>285</v>
      </c>
      <c r="C240" s="7">
        <v>0.0</v>
      </c>
      <c r="D240" s="7">
        <v>0.0</v>
      </c>
      <c r="E240" s="7">
        <v>0.0</v>
      </c>
      <c r="F240" s="7">
        <v>0.0</v>
      </c>
      <c r="G240" s="9"/>
      <c r="H240" s="9"/>
    </row>
    <row r="241" ht="15.75" customHeight="1">
      <c r="A241" s="6">
        <v>51501.0</v>
      </c>
      <c r="B241" s="6" t="s">
        <v>286</v>
      </c>
      <c r="C241" s="7">
        <v>0.0</v>
      </c>
      <c r="D241" s="7">
        <v>0.0</v>
      </c>
      <c r="E241" s="7">
        <v>32.9</v>
      </c>
      <c r="F241" s="8">
        <v>247977.34</v>
      </c>
      <c r="G241" s="9"/>
      <c r="H241" s="9"/>
    </row>
    <row r="242" ht="15.75" customHeight="1">
      <c r="A242" s="6">
        <v>51601.0</v>
      </c>
      <c r="B242" s="6" t="s">
        <v>287</v>
      </c>
      <c r="C242" s="7">
        <v>0.0</v>
      </c>
      <c r="D242" s="7">
        <v>0.0</v>
      </c>
      <c r="E242" s="7">
        <v>0.0</v>
      </c>
      <c r="F242" s="7">
        <v>0.0</v>
      </c>
      <c r="G242" s="9"/>
      <c r="H242" s="9"/>
    </row>
    <row r="243" ht="15.75" customHeight="1">
      <c r="A243" s="6">
        <v>60101.0</v>
      </c>
      <c r="B243" s="6" t="s">
        <v>119</v>
      </c>
      <c r="C243" s="7">
        <v>104.6</v>
      </c>
      <c r="D243" s="8">
        <v>7647480.0</v>
      </c>
      <c r="E243" s="7">
        <v>119.4</v>
      </c>
      <c r="F243" s="8">
        <v>1.1416032E7</v>
      </c>
      <c r="G243" s="9"/>
      <c r="H243" s="9"/>
    </row>
    <row r="244" ht="15.75" customHeight="1">
      <c r="A244" s="6">
        <v>60201.0</v>
      </c>
      <c r="B244" s="6" t="s">
        <v>288</v>
      </c>
      <c r="C244" s="7">
        <v>0.0</v>
      </c>
      <c r="D244" s="7">
        <v>0.0</v>
      </c>
      <c r="E244" s="7">
        <v>0.0</v>
      </c>
      <c r="F244" s="7">
        <v>0.0</v>
      </c>
      <c r="G244" s="9"/>
      <c r="H244" s="9"/>
    </row>
    <row r="245" ht="15.75" customHeight="1">
      <c r="A245" s="6">
        <v>60202.0</v>
      </c>
      <c r="B245" s="6" t="s">
        <v>289</v>
      </c>
      <c r="C245" s="7">
        <v>87.5</v>
      </c>
      <c r="D245" s="8">
        <v>1376743.0</v>
      </c>
      <c r="E245" s="7">
        <v>52.5</v>
      </c>
      <c r="F245" s="8">
        <v>1178784.0</v>
      </c>
      <c r="G245" s="9"/>
      <c r="H245" s="9"/>
    </row>
    <row r="246" ht="15.75" customHeight="1">
      <c r="A246" s="6">
        <v>60301.0</v>
      </c>
      <c r="B246" s="6" t="s">
        <v>290</v>
      </c>
      <c r="C246" s="7">
        <v>126.13</v>
      </c>
      <c r="D246" s="8">
        <v>2049840.0</v>
      </c>
      <c r="E246" s="7">
        <v>116.53</v>
      </c>
      <c r="F246" s="8">
        <v>2176947.6</v>
      </c>
      <c r="G246" s="9"/>
      <c r="H246" s="9"/>
    </row>
    <row r="247" ht="15.75" customHeight="1">
      <c r="A247" s="6">
        <v>60302.0</v>
      </c>
      <c r="B247" s="6" t="s">
        <v>291</v>
      </c>
      <c r="C247" s="7">
        <v>0.0</v>
      </c>
      <c r="D247" s="7">
        <v>0.0</v>
      </c>
      <c r="E247" s="7">
        <v>0.0</v>
      </c>
      <c r="F247" s="7">
        <v>0.0</v>
      </c>
      <c r="G247" s="9"/>
      <c r="H247" s="9"/>
    </row>
    <row r="248" ht="15.75" customHeight="1">
      <c r="A248" s="6">
        <v>60303.0</v>
      </c>
      <c r="B248" s="6" t="s">
        <v>292</v>
      </c>
      <c r="C248" s="7">
        <v>0.0</v>
      </c>
      <c r="D248" s="7">
        <v>0.0</v>
      </c>
      <c r="E248" s="7">
        <v>0.0</v>
      </c>
      <c r="F248" s="7">
        <v>0.0</v>
      </c>
      <c r="G248" s="9"/>
      <c r="H248" s="9"/>
    </row>
    <row r="249" ht="15.75" customHeight="1">
      <c r="A249" s="6">
        <v>60401.0</v>
      </c>
      <c r="B249" s="6" t="s">
        <v>293</v>
      </c>
      <c r="C249" s="7">
        <v>0.0</v>
      </c>
      <c r="D249" s="7">
        <v>0.0</v>
      </c>
      <c r="E249" s="7">
        <v>0.0</v>
      </c>
      <c r="F249" s="7">
        <v>0.0</v>
      </c>
      <c r="G249" s="9"/>
      <c r="H249" s="9"/>
    </row>
    <row r="250" ht="15.75" customHeight="1">
      <c r="A250" s="6">
        <v>60402.0</v>
      </c>
      <c r="B250" s="6" t="s">
        <v>294</v>
      </c>
      <c r="C250" s="7">
        <v>0.0</v>
      </c>
      <c r="D250" s="7">
        <v>0.0</v>
      </c>
      <c r="E250" s="7">
        <v>0.0</v>
      </c>
      <c r="F250" s="7">
        <v>0.0</v>
      </c>
      <c r="G250" s="9"/>
      <c r="H250" s="9"/>
    </row>
    <row r="251" ht="15.75" customHeight="1">
      <c r="A251" s="6">
        <v>60501.0</v>
      </c>
      <c r="B251" s="6" t="s">
        <v>295</v>
      </c>
      <c r="C251" s="7">
        <v>0.0</v>
      </c>
      <c r="D251" s="7">
        <v>0.0</v>
      </c>
      <c r="E251" s="7">
        <v>0.0</v>
      </c>
      <c r="F251" s="7">
        <v>0.0</v>
      </c>
      <c r="G251" s="9"/>
      <c r="H251" s="9"/>
    </row>
    <row r="252" ht="15.75" customHeight="1">
      <c r="A252" s="6">
        <v>60502.0</v>
      </c>
      <c r="B252" s="6" t="s">
        <v>296</v>
      </c>
      <c r="C252" s="7">
        <v>0.0</v>
      </c>
      <c r="D252" s="7">
        <v>0.0</v>
      </c>
      <c r="E252" s="7">
        <v>0.0</v>
      </c>
      <c r="F252" s="7">
        <v>0.0</v>
      </c>
      <c r="G252" s="9"/>
      <c r="H252" s="9"/>
    </row>
    <row r="253" ht="15.75" customHeight="1">
      <c r="A253" s="22">
        <v>60601.0</v>
      </c>
      <c r="B253" s="22" t="s">
        <v>201</v>
      </c>
      <c r="C253" s="27">
        <v>0.0</v>
      </c>
      <c r="D253" s="27">
        <v>0.0</v>
      </c>
      <c r="E253" s="27">
        <v>0.0</v>
      </c>
      <c r="F253" s="28">
        <v>0.0</v>
      </c>
      <c r="G253" s="29" t="s">
        <v>297</v>
      </c>
      <c r="H253" s="30" t="s">
        <v>298</v>
      </c>
    </row>
    <row r="254" ht="15.75" customHeight="1">
      <c r="A254" s="31">
        <v>70101.0</v>
      </c>
      <c r="B254" s="32" t="s">
        <v>9</v>
      </c>
      <c r="C254" s="33">
        <v>99.02</v>
      </c>
      <c r="D254" s="34">
        <v>4.3078729E7</v>
      </c>
      <c r="E254" s="33">
        <v>109.57</v>
      </c>
      <c r="F254" s="35">
        <v>6.189217344E7</v>
      </c>
      <c r="G254" s="36">
        <f>SUM(D254:D264)</f>
        <v>50324728</v>
      </c>
      <c r="H254" s="37">
        <f>SUM(F254:F264)</f>
        <v>76282342.92</v>
      </c>
    </row>
    <row r="255" ht="15.75" customHeight="1">
      <c r="A255" s="38"/>
      <c r="B255" s="6" t="s">
        <v>299</v>
      </c>
      <c r="C255" s="7">
        <v>122.1</v>
      </c>
      <c r="D255" s="8">
        <v>5489856.0</v>
      </c>
      <c r="E255" s="7">
        <v>118.88</v>
      </c>
      <c r="F255" s="39">
        <v>6710239.0</v>
      </c>
      <c r="H255" s="40"/>
    </row>
    <row r="256" ht="15.75" customHeight="1">
      <c r="A256" s="38"/>
      <c r="B256" s="6" t="s">
        <v>11</v>
      </c>
      <c r="C256" s="7">
        <v>55.75</v>
      </c>
      <c r="D256" s="8">
        <v>1358724.0</v>
      </c>
      <c r="E256" s="7">
        <v>56.2</v>
      </c>
      <c r="F256" s="39">
        <v>1762052.0</v>
      </c>
      <c r="H256" s="40"/>
    </row>
    <row r="257" ht="15.75" customHeight="1">
      <c r="A257" s="38"/>
      <c r="B257" s="6" t="s">
        <v>300</v>
      </c>
      <c r="C257" s="7">
        <v>0.0</v>
      </c>
      <c r="D257" s="7">
        <v>0.0</v>
      </c>
      <c r="E257" s="7">
        <v>93.19</v>
      </c>
      <c r="F257" s="39">
        <v>5010756.48</v>
      </c>
      <c r="H257" s="40"/>
    </row>
    <row r="258" ht="15.75" customHeight="1">
      <c r="A258" s="38"/>
      <c r="B258" s="6" t="s">
        <v>13</v>
      </c>
      <c r="C258" s="7">
        <v>0.0</v>
      </c>
      <c r="D258" s="7">
        <v>0.0</v>
      </c>
      <c r="E258" s="7">
        <v>0.0</v>
      </c>
      <c r="F258" s="41">
        <v>0.0</v>
      </c>
      <c r="H258" s="40"/>
    </row>
    <row r="259" ht="15.75" customHeight="1">
      <c r="A259" s="38"/>
      <c r="B259" s="6" t="s">
        <v>14</v>
      </c>
      <c r="C259" s="7">
        <v>0.0</v>
      </c>
      <c r="D259" s="7">
        <v>0.0</v>
      </c>
      <c r="E259" s="7">
        <v>0.0</v>
      </c>
      <c r="F259" s="41">
        <v>0.0</v>
      </c>
      <c r="H259" s="40"/>
    </row>
    <row r="260" ht="15.75" customHeight="1">
      <c r="A260" s="38"/>
      <c r="B260" s="6" t="s">
        <v>15</v>
      </c>
      <c r="C260" s="7">
        <v>0.0</v>
      </c>
      <c r="D260" s="7">
        <v>0.0</v>
      </c>
      <c r="E260" s="7">
        <v>0.0</v>
      </c>
      <c r="F260" s="41">
        <v>0.0</v>
      </c>
      <c r="H260" s="40"/>
    </row>
    <row r="261" ht="15.75" customHeight="1">
      <c r="A261" s="38"/>
      <c r="B261" s="6" t="s">
        <v>16</v>
      </c>
      <c r="C261" s="7">
        <v>63.55</v>
      </c>
      <c r="D261" s="8">
        <v>397419.0</v>
      </c>
      <c r="E261" s="7">
        <v>79.48</v>
      </c>
      <c r="F261" s="39">
        <v>625228.0</v>
      </c>
      <c r="H261" s="40"/>
    </row>
    <row r="262" ht="15.75" customHeight="1">
      <c r="A262" s="38"/>
      <c r="B262" s="6" t="s">
        <v>52</v>
      </c>
      <c r="C262" s="7">
        <v>0.0</v>
      </c>
      <c r="D262" s="7">
        <v>0.0</v>
      </c>
      <c r="E262" s="7">
        <v>0.0</v>
      </c>
      <c r="F262" s="7">
        <v>0.0</v>
      </c>
      <c r="H262" s="40"/>
    </row>
    <row r="263" ht="15.75" customHeight="1">
      <c r="A263" s="38"/>
      <c r="B263" s="6" t="s">
        <v>53</v>
      </c>
      <c r="C263" s="7">
        <v>0.0</v>
      </c>
      <c r="D263" s="7">
        <v>0.0</v>
      </c>
      <c r="E263" s="7">
        <v>0.0</v>
      </c>
      <c r="F263" s="7">
        <v>0.0</v>
      </c>
      <c r="H263" s="40"/>
    </row>
    <row r="264" ht="15.75" customHeight="1">
      <c r="A264" s="42"/>
      <c r="B264" s="43" t="s">
        <v>54</v>
      </c>
      <c r="C264" s="44">
        <v>0.0</v>
      </c>
      <c r="D264" s="44">
        <v>0.0</v>
      </c>
      <c r="E264" s="44">
        <v>50.57</v>
      </c>
      <c r="F264" s="45">
        <v>281894.0</v>
      </c>
      <c r="G264" s="46"/>
      <c r="H264" s="47"/>
    </row>
    <row r="265" ht="15.75" customHeight="1">
      <c r="A265" s="48">
        <v>70102.0</v>
      </c>
      <c r="B265" s="48" t="s">
        <v>301</v>
      </c>
      <c r="C265" s="49">
        <v>75.0</v>
      </c>
      <c r="D265" s="50">
        <v>446811.6</v>
      </c>
      <c r="E265" s="49">
        <v>26.76</v>
      </c>
      <c r="F265" s="50">
        <v>343796.98</v>
      </c>
      <c r="G265" s="9"/>
      <c r="H265" s="9"/>
    </row>
    <row r="266" ht="15.75" customHeight="1">
      <c r="A266" s="22">
        <v>70103.0</v>
      </c>
      <c r="B266" s="22" t="s">
        <v>302</v>
      </c>
      <c r="C266" s="27">
        <v>0.0</v>
      </c>
      <c r="D266" s="27">
        <v>0.0</v>
      </c>
      <c r="E266" s="27">
        <v>108.71</v>
      </c>
      <c r="F266" s="24">
        <v>147063.06</v>
      </c>
      <c r="G266" s="9"/>
      <c r="H266" s="9"/>
    </row>
    <row r="267" ht="15.75" customHeight="1">
      <c r="A267" s="31">
        <v>70104.0</v>
      </c>
      <c r="B267" s="32" t="s">
        <v>303</v>
      </c>
      <c r="C267" s="33">
        <v>0.0</v>
      </c>
      <c r="D267" s="33">
        <v>0.0</v>
      </c>
      <c r="E267" s="33">
        <v>0.0</v>
      </c>
      <c r="F267" s="33">
        <v>0.0</v>
      </c>
      <c r="G267" s="51">
        <f>SUM(D267:D270)</f>
        <v>0</v>
      </c>
      <c r="H267" s="52">
        <f>SUM(F267:F270)</f>
        <v>414846</v>
      </c>
    </row>
    <row r="268" ht="15.75" customHeight="1">
      <c r="A268" s="38"/>
      <c r="B268" s="6" t="s">
        <v>73</v>
      </c>
      <c r="C268" s="7">
        <v>0.0</v>
      </c>
      <c r="D268" s="7">
        <v>0.0</v>
      </c>
      <c r="E268" s="7">
        <v>0.0</v>
      </c>
      <c r="F268" s="7">
        <v>0.0</v>
      </c>
      <c r="H268" s="40"/>
    </row>
    <row r="269" ht="15.75" customHeight="1">
      <c r="A269" s="38"/>
      <c r="B269" s="6" t="s">
        <v>74</v>
      </c>
      <c r="C269" s="7">
        <v>0.0</v>
      </c>
      <c r="D269" s="7">
        <v>0.0</v>
      </c>
      <c r="E269" s="7">
        <v>56.82</v>
      </c>
      <c r="F269" s="8">
        <v>414846.0</v>
      </c>
      <c r="H269" s="40"/>
    </row>
    <row r="270" ht="15.75" customHeight="1">
      <c r="A270" s="42"/>
      <c r="B270" s="43" t="s">
        <v>75</v>
      </c>
      <c r="C270" s="44">
        <v>0.0</v>
      </c>
      <c r="D270" s="44">
        <v>0.0</v>
      </c>
      <c r="E270" s="44">
        <v>0.0</v>
      </c>
      <c r="F270" s="44">
        <v>0.0</v>
      </c>
      <c r="G270" s="46"/>
      <c r="H270" s="47"/>
    </row>
    <row r="271" ht="15.75" customHeight="1">
      <c r="A271" s="31">
        <v>70105.0</v>
      </c>
      <c r="B271" s="32" t="s">
        <v>31</v>
      </c>
      <c r="C271" s="33">
        <v>70.87</v>
      </c>
      <c r="D271" s="34">
        <v>404422.0</v>
      </c>
      <c r="E271" s="33">
        <v>37.56</v>
      </c>
      <c r="F271" s="34">
        <v>303487.0</v>
      </c>
      <c r="G271" s="36">
        <f>SUM(D271:D272)</f>
        <v>404422</v>
      </c>
      <c r="H271" s="37">
        <f>SUM(F271:F272)</f>
        <v>303487</v>
      </c>
    </row>
    <row r="272" ht="15.75" customHeight="1">
      <c r="A272" s="42"/>
      <c r="B272" s="43" t="s">
        <v>32</v>
      </c>
      <c r="C272" s="44">
        <v>0.0</v>
      </c>
      <c r="D272" s="44">
        <v>0.0</v>
      </c>
      <c r="E272" s="44">
        <v>0.0</v>
      </c>
      <c r="F272" s="44">
        <v>0.0</v>
      </c>
      <c r="G272" s="46"/>
      <c r="H272" s="47"/>
    </row>
    <row r="273" ht="15.75" customHeight="1">
      <c r="A273" s="48">
        <v>70201.0</v>
      </c>
      <c r="B273" s="48" t="s">
        <v>304</v>
      </c>
      <c r="C273" s="49">
        <v>77.25</v>
      </c>
      <c r="D273" s="50">
        <v>614952.0</v>
      </c>
      <c r="E273" s="49">
        <v>48.96</v>
      </c>
      <c r="F273" s="50">
        <v>585080.0</v>
      </c>
      <c r="G273" s="9"/>
      <c r="H273" s="9"/>
    </row>
    <row r="274" ht="15.75" customHeight="1">
      <c r="A274" s="6">
        <v>70202.0</v>
      </c>
      <c r="B274" s="6" t="s">
        <v>305</v>
      </c>
      <c r="C274" s="7">
        <v>0.0</v>
      </c>
      <c r="D274" s="7">
        <v>0.0</v>
      </c>
      <c r="E274" s="7">
        <v>0.0</v>
      </c>
      <c r="F274" s="7">
        <v>0.0</v>
      </c>
      <c r="G274" s="9"/>
      <c r="H274" s="9"/>
    </row>
    <row r="275" ht="15.75" customHeight="1">
      <c r="A275" s="6">
        <v>70301.0</v>
      </c>
      <c r="B275" s="6" t="s">
        <v>306</v>
      </c>
      <c r="C275" s="7">
        <v>33.94</v>
      </c>
      <c r="D275" s="8">
        <v>291236.0</v>
      </c>
      <c r="E275" s="7">
        <v>19.74</v>
      </c>
      <c r="F275" s="8">
        <v>214104.0</v>
      </c>
      <c r="G275" s="9"/>
      <c r="H275" s="9"/>
    </row>
    <row r="276" ht="15.75" customHeight="1">
      <c r="A276" s="6">
        <v>70302.0</v>
      </c>
      <c r="B276" s="6" t="s">
        <v>307</v>
      </c>
      <c r="C276" s="7">
        <v>0.0</v>
      </c>
      <c r="D276" s="7">
        <v>0.0</v>
      </c>
      <c r="E276" s="7">
        <v>0.0</v>
      </c>
      <c r="F276" s="7">
        <v>0.0</v>
      </c>
      <c r="G276" s="9"/>
      <c r="H276" s="9"/>
    </row>
    <row r="277" ht="15.75" customHeight="1">
      <c r="A277" s="6">
        <v>70303.0</v>
      </c>
      <c r="B277" s="6" t="s">
        <v>308</v>
      </c>
      <c r="C277" s="7">
        <v>0.0</v>
      </c>
      <c r="D277" s="7">
        <v>0.0</v>
      </c>
      <c r="E277" s="7">
        <v>0.0</v>
      </c>
      <c r="F277" s="7">
        <v>0.0</v>
      </c>
      <c r="G277" s="9"/>
      <c r="H277" s="9"/>
    </row>
    <row r="278" ht="15.75" customHeight="1">
      <c r="A278" s="22">
        <v>70401.0</v>
      </c>
      <c r="B278" s="22" t="s">
        <v>309</v>
      </c>
      <c r="C278" s="27">
        <v>0.0</v>
      </c>
      <c r="D278" s="27">
        <v>0.0</v>
      </c>
      <c r="E278" s="27">
        <v>0.0</v>
      </c>
      <c r="F278" s="27">
        <v>0.0</v>
      </c>
      <c r="G278" s="9"/>
      <c r="H278" s="9"/>
    </row>
    <row r="279" ht="15.75" customHeight="1">
      <c r="A279" s="31">
        <v>70402.0</v>
      </c>
      <c r="B279" s="32" t="s">
        <v>85</v>
      </c>
      <c r="C279" s="33">
        <v>0.0</v>
      </c>
      <c r="D279" s="33">
        <v>0.0</v>
      </c>
      <c r="E279" s="33">
        <v>87.52</v>
      </c>
      <c r="F279" s="34">
        <v>257218.0</v>
      </c>
      <c r="G279" s="51">
        <f>SUM(D279:D280)</f>
        <v>0</v>
      </c>
      <c r="H279" s="37">
        <f>SUM(F279:F280)</f>
        <v>257218</v>
      </c>
    </row>
    <row r="280" ht="15.75" customHeight="1">
      <c r="A280" s="42"/>
      <c r="B280" s="43" t="s">
        <v>86</v>
      </c>
      <c r="C280" s="44">
        <v>0.0</v>
      </c>
      <c r="D280" s="44">
        <v>0.0</v>
      </c>
      <c r="E280" s="44">
        <v>0.0</v>
      </c>
      <c r="F280" s="44">
        <v>0.0</v>
      </c>
      <c r="G280" s="46"/>
      <c r="H280" s="47"/>
    </row>
    <row r="281" ht="15.75" customHeight="1">
      <c r="A281" s="48">
        <v>70403.0</v>
      </c>
      <c r="B281" s="48" t="s">
        <v>310</v>
      </c>
      <c r="C281" s="49">
        <v>27.82</v>
      </c>
      <c r="D281" s="50">
        <v>198720.0</v>
      </c>
      <c r="E281" s="49">
        <v>25.4</v>
      </c>
      <c r="F281" s="50">
        <v>305519.2</v>
      </c>
      <c r="G281" s="9"/>
      <c r="H281" s="9"/>
    </row>
    <row r="282" ht="15.75" customHeight="1">
      <c r="A282" s="6">
        <v>70404.0</v>
      </c>
      <c r="B282" s="6" t="s">
        <v>311</v>
      </c>
      <c r="C282" s="7">
        <v>0.0</v>
      </c>
      <c r="D282" s="7">
        <v>0.0</v>
      </c>
      <c r="E282" s="7">
        <v>0.0</v>
      </c>
      <c r="F282" s="7">
        <v>0.0</v>
      </c>
      <c r="G282" s="9"/>
      <c r="H282" s="9"/>
    </row>
    <row r="283" ht="15.75" customHeight="1">
      <c r="A283" s="6">
        <v>70501.0</v>
      </c>
      <c r="B283" s="6" t="s">
        <v>312</v>
      </c>
      <c r="C283" s="7">
        <v>0.0</v>
      </c>
      <c r="D283" s="7">
        <v>0.0</v>
      </c>
      <c r="E283" s="7">
        <v>0.0</v>
      </c>
      <c r="F283" s="7">
        <v>0.0</v>
      </c>
      <c r="G283" s="9"/>
      <c r="H283" s="9"/>
    </row>
    <row r="284" ht="15.75" customHeight="1">
      <c r="A284" s="6">
        <v>70502.0</v>
      </c>
      <c r="B284" s="6" t="s">
        <v>313</v>
      </c>
      <c r="C284" s="7">
        <v>0.0</v>
      </c>
      <c r="D284" s="7">
        <v>0.0</v>
      </c>
      <c r="E284" s="7">
        <v>0.0</v>
      </c>
      <c r="F284" s="7">
        <v>0.0</v>
      </c>
      <c r="G284" s="9"/>
      <c r="H284" s="9"/>
    </row>
    <row r="285" ht="15.75" customHeight="1">
      <c r="A285" s="6">
        <v>70503.0</v>
      </c>
      <c r="B285" s="6" t="s">
        <v>314</v>
      </c>
      <c r="C285" s="7">
        <v>0.0</v>
      </c>
      <c r="D285" s="7">
        <v>0.0</v>
      </c>
      <c r="E285" s="7">
        <v>65.89</v>
      </c>
      <c r="F285" s="8">
        <v>403044.1</v>
      </c>
      <c r="G285" s="9"/>
      <c r="H285" s="9"/>
    </row>
    <row r="286" ht="15.75" customHeight="1">
      <c r="A286" s="6">
        <v>70601.0</v>
      </c>
      <c r="B286" s="6" t="s">
        <v>315</v>
      </c>
      <c r="C286" s="7">
        <v>0.0</v>
      </c>
      <c r="D286" s="7">
        <v>0.0</v>
      </c>
      <c r="E286" s="7">
        <v>84.61</v>
      </c>
      <c r="F286" s="8">
        <v>586388.0</v>
      </c>
      <c r="G286" s="9"/>
      <c r="H286" s="9"/>
    </row>
    <row r="287" ht="15.75" customHeight="1">
      <c r="A287" s="6">
        <v>70602.0</v>
      </c>
      <c r="B287" s="6" t="s">
        <v>316</v>
      </c>
      <c r="C287" s="7">
        <v>0.0</v>
      </c>
      <c r="D287" s="7">
        <v>0.0</v>
      </c>
      <c r="E287" s="7">
        <v>0.0</v>
      </c>
      <c r="F287" s="7">
        <v>0.0</v>
      </c>
      <c r="G287" s="9"/>
      <c r="H287" s="9"/>
    </row>
    <row r="288" ht="15.75" customHeight="1">
      <c r="A288" s="6">
        <v>70603.0</v>
      </c>
      <c r="B288" s="6" t="s">
        <v>317</v>
      </c>
      <c r="C288" s="7">
        <v>0.0</v>
      </c>
      <c r="D288" s="7">
        <v>0.0</v>
      </c>
      <c r="E288" s="7">
        <v>0.0</v>
      </c>
      <c r="F288" s="7">
        <v>0.0</v>
      </c>
      <c r="G288" s="9"/>
      <c r="H288" s="9"/>
    </row>
    <row r="289" ht="15.75" customHeight="1">
      <c r="A289" s="6">
        <v>70701.0</v>
      </c>
      <c r="B289" s="6" t="s">
        <v>318</v>
      </c>
      <c r="C289" s="7">
        <v>0.0</v>
      </c>
      <c r="D289" s="7">
        <v>0.0</v>
      </c>
      <c r="E289" s="7">
        <v>0.0</v>
      </c>
      <c r="F289" s="7">
        <v>0.0</v>
      </c>
      <c r="G289" s="9"/>
      <c r="H289" s="9"/>
    </row>
    <row r="290" ht="15.75" customHeight="1">
      <c r="A290" s="6">
        <v>70702.0</v>
      </c>
      <c r="B290" s="6" t="s">
        <v>319</v>
      </c>
      <c r="C290" s="7">
        <v>0.0</v>
      </c>
      <c r="D290" s="7">
        <v>0.0</v>
      </c>
      <c r="E290" s="7">
        <v>0.0</v>
      </c>
      <c r="F290" s="7">
        <v>0.0</v>
      </c>
      <c r="G290" s="9"/>
      <c r="H290" s="9"/>
    </row>
    <row r="291" ht="15.75" customHeight="1">
      <c r="A291" s="6">
        <v>70703.0</v>
      </c>
      <c r="B291" s="6" t="s">
        <v>320</v>
      </c>
      <c r="C291" s="7">
        <v>0.0</v>
      </c>
      <c r="D291" s="7">
        <v>0.0</v>
      </c>
      <c r="E291" s="7">
        <v>0.0</v>
      </c>
      <c r="F291" s="7">
        <v>0.0</v>
      </c>
      <c r="G291" s="9"/>
      <c r="H291" s="9"/>
    </row>
    <row r="292" ht="15.75" customHeight="1">
      <c r="A292" s="6">
        <v>70704.0</v>
      </c>
      <c r="B292" s="6" t="s">
        <v>321</v>
      </c>
      <c r="C292" s="7">
        <v>0.0</v>
      </c>
      <c r="D292" s="7">
        <v>0.0</v>
      </c>
      <c r="E292" s="7">
        <v>0.0</v>
      </c>
      <c r="F292" s="7">
        <v>0.0</v>
      </c>
      <c r="G292" s="9"/>
      <c r="H292" s="9"/>
    </row>
    <row r="293" ht="15.75" customHeight="1">
      <c r="A293" s="6">
        <v>70705.0</v>
      </c>
      <c r="B293" s="6" t="s">
        <v>322</v>
      </c>
      <c r="C293" s="7">
        <v>0.0</v>
      </c>
      <c r="D293" s="7">
        <v>0.0</v>
      </c>
      <c r="E293" s="7">
        <v>0.0</v>
      </c>
      <c r="F293" s="7">
        <v>0.0</v>
      </c>
      <c r="G293" s="9"/>
      <c r="H293" s="9"/>
    </row>
    <row r="294" ht="15.75" customHeight="1">
      <c r="A294" s="6">
        <v>70706.0</v>
      </c>
      <c r="B294" s="6" t="s">
        <v>323</v>
      </c>
      <c r="C294" s="7">
        <v>0.0</v>
      </c>
      <c r="D294" s="7">
        <v>0.0</v>
      </c>
      <c r="E294" s="7">
        <v>0.0</v>
      </c>
      <c r="F294" s="7">
        <v>0.0</v>
      </c>
      <c r="G294" s="9"/>
      <c r="H294" s="9"/>
    </row>
    <row r="295" ht="15.75" customHeight="1">
      <c r="A295" s="6">
        <v>70707.0</v>
      </c>
      <c r="B295" s="6" t="s">
        <v>324</v>
      </c>
      <c r="C295" s="7">
        <v>0.0</v>
      </c>
      <c r="D295" s="7">
        <v>0.0</v>
      </c>
      <c r="E295" s="7">
        <v>0.0</v>
      </c>
      <c r="F295" s="7">
        <v>0.0</v>
      </c>
      <c r="G295" s="9"/>
      <c r="H295" s="9"/>
    </row>
    <row r="296" ht="15.75" customHeight="1">
      <c r="A296" s="6">
        <v>70801.0</v>
      </c>
      <c r="B296" s="6" t="s">
        <v>325</v>
      </c>
      <c r="C296" s="7">
        <v>0.0</v>
      </c>
      <c r="D296" s="7">
        <v>0.0</v>
      </c>
      <c r="E296" s="7">
        <v>107.31</v>
      </c>
      <c r="F296" s="8">
        <v>505522.08</v>
      </c>
      <c r="G296" s="9"/>
      <c r="H296" s="9"/>
    </row>
    <row r="297" ht="15.75" customHeight="1">
      <c r="A297" s="6">
        <v>70802.0</v>
      </c>
      <c r="B297" s="6" t="s">
        <v>326</v>
      </c>
      <c r="C297" s="7">
        <v>0.0</v>
      </c>
      <c r="D297" s="7">
        <v>0.0</v>
      </c>
      <c r="E297" s="7">
        <v>0.0</v>
      </c>
      <c r="F297" s="7">
        <v>0.0</v>
      </c>
      <c r="G297" s="9"/>
      <c r="H297" s="9"/>
    </row>
    <row r="298" ht="15.75" customHeight="1">
      <c r="A298" s="6">
        <v>70803.0</v>
      </c>
      <c r="B298" s="6" t="s">
        <v>327</v>
      </c>
      <c r="C298" s="7">
        <v>0.0</v>
      </c>
      <c r="D298" s="7">
        <v>0.0</v>
      </c>
      <c r="E298" s="7">
        <v>0.0</v>
      </c>
      <c r="F298" s="7">
        <v>0.0</v>
      </c>
      <c r="G298" s="9"/>
      <c r="H298" s="9"/>
    </row>
    <row r="299" ht="15.75" customHeight="1">
      <c r="A299" s="6">
        <v>70804.0</v>
      </c>
      <c r="B299" s="6" t="s">
        <v>328</v>
      </c>
      <c r="C299" s="7">
        <v>0.0</v>
      </c>
      <c r="D299" s="7">
        <v>0.0</v>
      </c>
      <c r="E299" s="7">
        <v>0.0</v>
      </c>
      <c r="F299" s="7">
        <v>0.0</v>
      </c>
      <c r="G299" s="26"/>
      <c r="H299" s="9"/>
    </row>
    <row r="300" ht="15.75" customHeight="1">
      <c r="A300" s="6">
        <v>70805.0</v>
      </c>
      <c r="B300" s="6" t="s">
        <v>329</v>
      </c>
      <c r="C300" s="7">
        <v>0.0</v>
      </c>
      <c r="D300" s="7">
        <v>0.0</v>
      </c>
      <c r="E300" s="7">
        <v>0.0</v>
      </c>
      <c r="F300" s="7">
        <v>0.0</v>
      </c>
      <c r="G300" s="26"/>
      <c r="H300" s="9"/>
    </row>
    <row r="301" ht="15.75" customHeight="1">
      <c r="A301" s="6">
        <v>70901.0</v>
      </c>
      <c r="B301" s="6" t="s">
        <v>330</v>
      </c>
      <c r="C301" s="7">
        <v>0.0</v>
      </c>
      <c r="D301" s="7">
        <v>0.0</v>
      </c>
      <c r="E301" s="7">
        <v>0.0</v>
      </c>
      <c r="F301" s="7">
        <v>0.0</v>
      </c>
      <c r="G301" s="9"/>
      <c r="H301" s="53"/>
    </row>
    <row r="302" ht="15.75" customHeight="1">
      <c r="A302" s="6">
        <v>70902.0</v>
      </c>
      <c r="B302" s="6" t="s">
        <v>331</v>
      </c>
      <c r="C302" s="7">
        <v>0.0</v>
      </c>
      <c r="D302" s="7">
        <v>0.0</v>
      </c>
      <c r="E302" s="7">
        <v>0.0</v>
      </c>
      <c r="F302" s="7">
        <v>0.0</v>
      </c>
      <c r="G302" s="9"/>
      <c r="H302" s="9"/>
    </row>
    <row r="303" ht="15.75" customHeight="1">
      <c r="A303" s="6">
        <v>70903.0</v>
      </c>
      <c r="B303" s="6" t="s">
        <v>332</v>
      </c>
      <c r="C303" s="7">
        <v>0.0</v>
      </c>
      <c r="D303" s="7">
        <v>0.0</v>
      </c>
      <c r="E303" s="7">
        <v>22.65</v>
      </c>
      <c r="F303" s="8">
        <v>67955.0</v>
      </c>
      <c r="G303" s="9"/>
      <c r="H303" s="9"/>
    </row>
    <row r="304" ht="15.75" customHeight="1">
      <c r="A304" s="6">
        <v>70904.0</v>
      </c>
      <c r="B304" s="6" t="s">
        <v>333</v>
      </c>
      <c r="C304" s="7">
        <v>0.0</v>
      </c>
      <c r="D304" s="7">
        <v>0.0</v>
      </c>
      <c r="E304" s="7">
        <v>0.0</v>
      </c>
      <c r="F304" s="7">
        <v>0.0</v>
      </c>
      <c r="G304" s="9"/>
      <c r="H304" s="9"/>
    </row>
    <row r="305" ht="15.75" customHeight="1">
      <c r="A305" s="6">
        <v>71001.0</v>
      </c>
      <c r="B305" s="6" t="s">
        <v>334</v>
      </c>
      <c r="C305" s="7" t="s">
        <v>335</v>
      </c>
      <c r="D305" s="8">
        <v>4573543.3</v>
      </c>
      <c r="E305" s="7">
        <v>8.99</v>
      </c>
      <c r="F305" s="8">
        <v>426674.88</v>
      </c>
      <c r="G305" s="9"/>
      <c r="H305" s="9"/>
    </row>
    <row r="306" ht="15.75" customHeight="1">
      <c r="A306" s="6">
        <v>71002.0</v>
      </c>
      <c r="B306" s="6" t="s">
        <v>336</v>
      </c>
      <c r="C306" s="7">
        <v>0.0</v>
      </c>
      <c r="D306" s="7">
        <v>0.0</v>
      </c>
      <c r="E306" s="7">
        <v>0.0</v>
      </c>
      <c r="F306" s="7">
        <v>0.0</v>
      </c>
      <c r="G306" s="9"/>
      <c r="H306" s="9"/>
    </row>
    <row r="307" ht="15.75" customHeight="1">
      <c r="A307" s="22">
        <v>71003.0</v>
      </c>
      <c r="B307" s="22" t="s">
        <v>337</v>
      </c>
      <c r="C307" s="27">
        <v>0.0</v>
      </c>
      <c r="D307" s="27">
        <v>0.0</v>
      </c>
      <c r="E307" s="27">
        <v>74.72</v>
      </c>
      <c r="F307" s="24">
        <v>515196.0</v>
      </c>
      <c r="G307" s="9"/>
      <c r="H307" s="9"/>
    </row>
    <row r="308" ht="15.75" customHeight="1">
      <c r="A308" s="31">
        <v>71004.0</v>
      </c>
      <c r="B308" s="32" t="s">
        <v>96</v>
      </c>
      <c r="C308" s="33">
        <v>0.0</v>
      </c>
      <c r="D308" s="33">
        <v>0.0</v>
      </c>
      <c r="E308" s="33">
        <v>90.26</v>
      </c>
      <c r="F308" s="34">
        <v>143088.0</v>
      </c>
      <c r="G308" s="51">
        <v>0.0</v>
      </c>
      <c r="H308" s="37">
        <f>F308</f>
        <v>143088</v>
      </c>
    </row>
    <row r="309" ht="15.75" customHeight="1">
      <c r="A309" s="42"/>
      <c r="B309" s="43" t="s">
        <v>97</v>
      </c>
      <c r="C309" s="44">
        <v>0.0</v>
      </c>
      <c r="D309" s="44">
        <v>0.0</v>
      </c>
      <c r="E309" s="44">
        <v>0.0</v>
      </c>
      <c r="F309" s="44">
        <v>0.0</v>
      </c>
      <c r="G309" s="46"/>
      <c r="H309" s="47"/>
    </row>
    <row r="310" ht="15.75" customHeight="1">
      <c r="A310" s="48">
        <v>71005.0</v>
      </c>
      <c r="B310" s="48" t="s">
        <v>262</v>
      </c>
      <c r="C310" s="49">
        <v>0.0</v>
      </c>
      <c r="D310" s="49">
        <v>0.0</v>
      </c>
      <c r="E310" s="49">
        <v>0.0</v>
      </c>
      <c r="F310" s="49">
        <v>0.0</v>
      </c>
      <c r="G310" s="9"/>
      <c r="H310" s="9"/>
    </row>
    <row r="311" ht="15.75" customHeight="1">
      <c r="A311" s="6">
        <v>71101.0</v>
      </c>
      <c r="B311" s="6" t="s">
        <v>338</v>
      </c>
      <c r="C311" s="7">
        <v>0.0</v>
      </c>
      <c r="D311" s="7">
        <v>0.0</v>
      </c>
      <c r="E311" s="7">
        <v>0.0</v>
      </c>
      <c r="F311" s="7">
        <v>0.0</v>
      </c>
      <c r="G311" s="9"/>
      <c r="H311" s="9"/>
    </row>
    <row r="312" ht="15.75" customHeight="1">
      <c r="A312" s="6">
        <v>71102.0</v>
      </c>
      <c r="B312" s="6" t="s">
        <v>339</v>
      </c>
      <c r="C312" s="7">
        <v>0.0</v>
      </c>
      <c r="D312" s="7">
        <v>0.0</v>
      </c>
      <c r="E312" s="7">
        <v>0.0</v>
      </c>
      <c r="F312" s="7">
        <v>0.0</v>
      </c>
      <c r="G312" s="9"/>
      <c r="H312" s="9"/>
    </row>
    <row r="313" ht="15.75" customHeight="1">
      <c r="A313" s="6">
        <v>71104.0</v>
      </c>
      <c r="B313" s="6" t="s">
        <v>340</v>
      </c>
      <c r="C313" s="7">
        <v>0.0</v>
      </c>
      <c r="D313" s="7">
        <v>0.0</v>
      </c>
      <c r="E313" s="7">
        <v>0.0</v>
      </c>
      <c r="F313" s="7">
        <v>0.0</v>
      </c>
      <c r="G313" s="9"/>
      <c r="H313" s="9"/>
    </row>
    <row r="314" ht="15.75" customHeight="1">
      <c r="A314" s="6">
        <v>71105.0</v>
      </c>
      <c r="B314" s="6" t="s">
        <v>341</v>
      </c>
      <c r="C314" s="7">
        <v>0.0</v>
      </c>
      <c r="D314" s="7">
        <v>0.0</v>
      </c>
      <c r="E314" s="7">
        <v>0.0</v>
      </c>
      <c r="F314" s="7">
        <v>0.0</v>
      </c>
      <c r="G314" s="9"/>
      <c r="H314" s="9"/>
    </row>
    <row r="315" ht="15.75" customHeight="1">
      <c r="A315" s="6">
        <v>71103.0</v>
      </c>
      <c r="B315" s="6" t="s">
        <v>342</v>
      </c>
      <c r="C315" s="7">
        <v>0.0</v>
      </c>
      <c r="D315" s="7">
        <v>0.0</v>
      </c>
      <c r="E315" s="7">
        <v>0.0</v>
      </c>
      <c r="F315" s="7">
        <v>0.0</v>
      </c>
      <c r="G315" s="9"/>
      <c r="H315" s="9"/>
    </row>
    <row r="316" ht="15.75" customHeight="1">
      <c r="A316" s="6">
        <v>71106.0</v>
      </c>
      <c r="B316" s="6" t="s">
        <v>343</v>
      </c>
      <c r="C316" s="7">
        <v>0.0</v>
      </c>
      <c r="D316" s="7">
        <v>0.0</v>
      </c>
      <c r="E316" s="7">
        <v>87.19</v>
      </c>
      <c r="F316" s="8">
        <v>385536.0</v>
      </c>
      <c r="G316" s="9"/>
      <c r="H316" s="9"/>
    </row>
    <row r="317" ht="15.75" customHeight="1">
      <c r="A317" s="6">
        <v>71201.0</v>
      </c>
      <c r="B317" s="6" t="s">
        <v>344</v>
      </c>
      <c r="C317" s="7">
        <v>0.0</v>
      </c>
      <c r="D317" s="7">
        <v>0.0</v>
      </c>
      <c r="E317" s="7">
        <v>0.0</v>
      </c>
      <c r="F317" s="7">
        <v>0.0</v>
      </c>
      <c r="G317" s="9"/>
      <c r="H317" s="9"/>
    </row>
    <row r="318" ht="15.75" customHeight="1">
      <c r="A318" s="6">
        <v>71301.0</v>
      </c>
      <c r="B318" s="6" t="s">
        <v>345</v>
      </c>
      <c r="C318" s="7">
        <v>0.0</v>
      </c>
      <c r="D318" s="7">
        <v>0.0</v>
      </c>
      <c r="E318" s="7">
        <v>0.0</v>
      </c>
      <c r="F318" s="7">
        <v>0.0</v>
      </c>
      <c r="G318" s="9"/>
      <c r="H318" s="9"/>
    </row>
    <row r="319" ht="15.75" customHeight="1">
      <c r="A319" s="6">
        <v>71302.0</v>
      </c>
      <c r="B319" s="6" t="s">
        <v>346</v>
      </c>
      <c r="C319" s="7">
        <v>0.0</v>
      </c>
      <c r="D319" s="7">
        <v>0.0</v>
      </c>
      <c r="E319" s="7">
        <v>0.0</v>
      </c>
      <c r="F319" s="7">
        <v>0.0</v>
      </c>
      <c r="G319" s="9"/>
      <c r="H319" s="9"/>
    </row>
    <row r="320" ht="15.75" customHeight="1">
      <c r="A320" s="6">
        <v>71401.0</v>
      </c>
      <c r="B320" s="6" t="s">
        <v>347</v>
      </c>
      <c r="C320" s="7">
        <v>0.0</v>
      </c>
      <c r="D320" s="7">
        <v>0.0</v>
      </c>
      <c r="E320" s="7">
        <v>0.0</v>
      </c>
      <c r="F320" s="7">
        <v>0.0</v>
      </c>
      <c r="G320" s="9"/>
      <c r="H320" s="9"/>
    </row>
    <row r="321" ht="15.75" customHeight="1">
      <c r="A321" s="6">
        <v>71402.0</v>
      </c>
      <c r="B321" s="6" t="s">
        <v>348</v>
      </c>
      <c r="C321" s="7">
        <v>0.0</v>
      </c>
      <c r="D321" s="7">
        <v>0.0</v>
      </c>
      <c r="E321" s="7">
        <v>0.0</v>
      </c>
      <c r="F321" s="7">
        <v>0.0</v>
      </c>
      <c r="G321" s="9"/>
      <c r="H321" s="9"/>
    </row>
    <row r="322" ht="15.75" customHeight="1">
      <c r="A322" s="6">
        <v>71403.0</v>
      </c>
      <c r="B322" s="6" t="s">
        <v>349</v>
      </c>
      <c r="C322" s="7">
        <v>0.0</v>
      </c>
      <c r="D322" s="7">
        <v>0.0</v>
      </c>
      <c r="E322" s="7">
        <v>0.0</v>
      </c>
      <c r="F322" s="7">
        <v>0.0</v>
      </c>
      <c r="G322" s="9"/>
      <c r="H322" s="9"/>
    </row>
    <row r="323" ht="15.75" customHeight="1">
      <c r="A323" s="6">
        <v>71501.0</v>
      </c>
      <c r="B323" s="6" t="s">
        <v>350</v>
      </c>
      <c r="C323" s="7">
        <v>0.0</v>
      </c>
      <c r="D323" s="7">
        <v>0.0</v>
      </c>
      <c r="E323" s="7">
        <v>0.0</v>
      </c>
      <c r="F323" s="7">
        <v>0.0</v>
      </c>
      <c r="G323" s="9"/>
      <c r="H323" s="9"/>
    </row>
    <row r="324" ht="15.75" customHeight="1">
      <c r="A324" s="6">
        <v>71502.0</v>
      </c>
      <c r="B324" s="6" t="s">
        <v>351</v>
      </c>
      <c r="C324" s="7">
        <v>0.0</v>
      </c>
      <c r="D324" s="7">
        <v>0.0</v>
      </c>
      <c r="E324" s="7">
        <v>0.0</v>
      </c>
      <c r="F324" s="7">
        <v>0.0</v>
      </c>
      <c r="G324" s="9"/>
      <c r="H324" s="9"/>
    </row>
    <row r="325" ht="15.75" customHeight="1">
      <c r="A325" s="6">
        <v>71503.0</v>
      </c>
      <c r="B325" s="6" t="s">
        <v>296</v>
      </c>
      <c r="C325" s="7">
        <v>0.0</v>
      </c>
      <c r="D325" s="7">
        <v>0.0</v>
      </c>
      <c r="E325" s="7">
        <v>0.0</v>
      </c>
      <c r="F325" s="7">
        <v>0.0</v>
      </c>
      <c r="G325" s="9"/>
      <c r="H325" s="9"/>
    </row>
    <row r="326" ht="15.75" customHeight="1">
      <c r="A326" s="6">
        <v>80101.0</v>
      </c>
      <c r="B326" s="6" t="s">
        <v>352</v>
      </c>
      <c r="C326" s="7">
        <v>170.49</v>
      </c>
      <c r="D326" s="8">
        <v>2786112.0</v>
      </c>
      <c r="E326" s="7">
        <v>198.04</v>
      </c>
      <c r="F326" s="8">
        <v>2289998.0</v>
      </c>
      <c r="G326" s="9"/>
      <c r="H326" s="9"/>
    </row>
    <row r="327" ht="15.75" customHeight="1">
      <c r="A327" s="6">
        <v>80102.0</v>
      </c>
      <c r="B327" s="6" t="s">
        <v>339</v>
      </c>
      <c r="C327" s="7">
        <v>0.0</v>
      </c>
      <c r="D327" s="7">
        <v>0.0</v>
      </c>
      <c r="E327" s="7">
        <v>0.0</v>
      </c>
      <c r="F327" s="7">
        <v>0.0</v>
      </c>
      <c r="G327" s="9"/>
      <c r="H327" s="9"/>
    </row>
    <row r="328" ht="15.75" customHeight="1">
      <c r="A328" s="6">
        <v>80201.0</v>
      </c>
      <c r="B328" s="6" t="s">
        <v>353</v>
      </c>
      <c r="C328" s="7">
        <v>0.0</v>
      </c>
      <c r="D328" s="7">
        <v>0.0</v>
      </c>
      <c r="E328" s="7">
        <v>0.0</v>
      </c>
      <c r="F328" s="7">
        <v>0.0</v>
      </c>
      <c r="G328" s="9"/>
      <c r="H328" s="9"/>
    </row>
    <row r="329" ht="15.75" customHeight="1">
      <c r="A329" s="6">
        <v>80202.0</v>
      </c>
      <c r="B329" s="6" t="s">
        <v>354</v>
      </c>
      <c r="C329" s="7">
        <v>0.0</v>
      </c>
      <c r="D329" s="7">
        <v>0.0</v>
      </c>
      <c r="E329" s="7">
        <v>0.0</v>
      </c>
      <c r="F329" s="7">
        <v>0.0</v>
      </c>
      <c r="G329" s="9"/>
      <c r="H329" s="9"/>
    </row>
    <row r="330" ht="15.75" customHeight="1">
      <c r="A330" s="6">
        <v>80301.0</v>
      </c>
      <c r="B330" s="6" t="s">
        <v>355</v>
      </c>
      <c r="C330" s="7">
        <v>0.0</v>
      </c>
      <c r="D330" s="7">
        <v>0.0</v>
      </c>
      <c r="E330" s="7">
        <v>0.0</v>
      </c>
      <c r="F330" s="7">
        <v>0.0</v>
      </c>
      <c r="G330" s="9"/>
      <c r="H330" s="9"/>
    </row>
    <row r="331" ht="15.75" customHeight="1">
      <c r="A331" s="6">
        <v>80302.0</v>
      </c>
      <c r="B331" s="6" t="s">
        <v>356</v>
      </c>
      <c r="C331" s="7">
        <v>0.0</v>
      </c>
      <c r="D331" s="7">
        <v>0.0</v>
      </c>
      <c r="E331" s="7">
        <v>0.0</v>
      </c>
      <c r="F331" s="7">
        <v>0.0</v>
      </c>
      <c r="G331" s="9"/>
      <c r="H331" s="9"/>
    </row>
    <row r="332" ht="15.75" customHeight="1">
      <c r="A332" s="6">
        <v>80303.0</v>
      </c>
      <c r="B332" s="6" t="s">
        <v>316</v>
      </c>
      <c r="C332" s="7">
        <v>0.0</v>
      </c>
      <c r="D332" s="7">
        <v>0.0</v>
      </c>
      <c r="E332" s="7">
        <v>0.0</v>
      </c>
      <c r="F332" s="7">
        <v>0.0</v>
      </c>
      <c r="G332" s="9"/>
      <c r="H332" s="9"/>
    </row>
    <row r="333" ht="15.75" customHeight="1">
      <c r="A333" s="6">
        <v>80304.0</v>
      </c>
      <c r="B333" s="6" t="s">
        <v>357</v>
      </c>
      <c r="C333" s="7">
        <v>0.0</v>
      </c>
      <c r="D333" s="7">
        <v>0.0</v>
      </c>
      <c r="E333" s="7">
        <v>0.0</v>
      </c>
      <c r="F333" s="7">
        <v>0.0</v>
      </c>
      <c r="G333" s="9"/>
      <c r="H333" s="9"/>
    </row>
    <row r="334" ht="15.75" customHeight="1">
      <c r="A334" s="6">
        <v>80401.0</v>
      </c>
      <c r="B334" s="6" t="s">
        <v>358</v>
      </c>
      <c r="C334" s="7">
        <v>0.0</v>
      </c>
      <c r="D334" s="7">
        <v>0.0</v>
      </c>
      <c r="E334" s="7">
        <v>0.0</v>
      </c>
      <c r="F334" s="7">
        <v>0.0</v>
      </c>
      <c r="G334" s="9"/>
      <c r="H334" s="9"/>
    </row>
    <row r="335" ht="15.75" customHeight="1">
      <c r="A335" s="6">
        <v>80402.0</v>
      </c>
      <c r="B335" s="6" t="s">
        <v>359</v>
      </c>
      <c r="C335" s="7">
        <v>0.0</v>
      </c>
      <c r="D335" s="7">
        <v>0.0</v>
      </c>
      <c r="E335" s="7">
        <v>0.0</v>
      </c>
      <c r="F335" s="7">
        <v>0.0</v>
      </c>
      <c r="G335" s="9"/>
      <c r="H335" s="9"/>
    </row>
    <row r="336" ht="15.75" customHeight="1">
      <c r="A336" s="6">
        <v>80501.0</v>
      </c>
      <c r="B336" s="6" t="s">
        <v>306</v>
      </c>
      <c r="C336" s="7">
        <v>0.0</v>
      </c>
      <c r="D336" s="7">
        <v>0.0</v>
      </c>
      <c r="E336" s="7">
        <v>0.0</v>
      </c>
      <c r="F336" s="7">
        <v>0.0</v>
      </c>
      <c r="G336" s="9"/>
      <c r="H336" s="9"/>
    </row>
    <row r="337" ht="15.75" customHeight="1">
      <c r="A337" s="6">
        <v>80601.0</v>
      </c>
      <c r="B337" s="6" t="s">
        <v>360</v>
      </c>
      <c r="C337" s="7">
        <v>0.0</v>
      </c>
      <c r="D337" s="7">
        <v>0.0</v>
      </c>
      <c r="E337" s="7">
        <v>0.0</v>
      </c>
      <c r="F337" s="7">
        <v>0.0</v>
      </c>
      <c r="G337" s="9"/>
      <c r="H337" s="9"/>
    </row>
    <row r="338" ht="15.75" customHeight="1">
      <c r="A338" s="6">
        <v>80602.0</v>
      </c>
      <c r="B338" s="6" t="s">
        <v>361</v>
      </c>
      <c r="C338" s="7">
        <v>0.0</v>
      </c>
      <c r="D338" s="7">
        <v>0.0</v>
      </c>
      <c r="E338" s="7">
        <v>0.0</v>
      </c>
      <c r="F338" s="7">
        <v>0.0</v>
      </c>
      <c r="G338" s="9"/>
      <c r="H338" s="9"/>
    </row>
    <row r="339" ht="15.75" customHeight="1">
      <c r="A339" s="6">
        <v>80701.0</v>
      </c>
      <c r="B339" s="6" t="s">
        <v>362</v>
      </c>
      <c r="C339" s="7">
        <v>0.0</v>
      </c>
      <c r="D339" s="7">
        <v>0.0</v>
      </c>
      <c r="E339" s="7">
        <v>0.0</v>
      </c>
      <c r="F339" s="7">
        <v>0.0</v>
      </c>
      <c r="G339" s="9"/>
      <c r="H339" s="9"/>
    </row>
    <row r="340" ht="15.75" customHeight="1">
      <c r="A340" s="6">
        <v>80702.0</v>
      </c>
      <c r="B340" s="6" t="s">
        <v>342</v>
      </c>
      <c r="C340" s="7">
        <v>0.0</v>
      </c>
      <c r="D340" s="7">
        <v>0.0</v>
      </c>
      <c r="E340" s="7">
        <v>0.0</v>
      </c>
      <c r="F340" s="7">
        <v>0.0</v>
      </c>
      <c r="G340" s="9"/>
      <c r="H340" s="9"/>
    </row>
    <row r="341" ht="15.75" customHeight="1">
      <c r="A341" s="6">
        <v>80703.0</v>
      </c>
      <c r="B341" s="6" t="s">
        <v>363</v>
      </c>
      <c r="C341" s="7">
        <v>0.0</v>
      </c>
      <c r="D341" s="7">
        <v>0.0</v>
      </c>
      <c r="E341" s="7">
        <v>0.0</v>
      </c>
      <c r="F341" s="7">
        <v>0.0</v>
      </c>
      <c r="G341" s="9"/>
      <c r="H341" s="9"/>
    </row>
    <row r="342" ht="15.75" customHeight="1">
      <c r="A342" s="6">
        <v>80801.0</v>
      </c>
      <c r="B342" s="6" t="s">
        <v>364</v>
      </c>
      <c r="C342" s="7">
        <v>0.0</v>
      </c>
      <c r="D342" s="7">
        <v>0.0</v>
      </c>
      <c r="E342" s="7">
        <v>0.0</v>
      </c>
      <c r="F342" s="7">
        <v>0.0</v>
      </c>
      <c r="G342" s="9"/>
      <c r="H342" s="9"/>
    </row>
    <row r="343" ht="15.75" customHeight="1">
      <c r="A343" s="6">
        <v>80802.0</v>
      </c>
      <c r="B343" s="6" t="s">
        <v>365</v>
      </c>
      <c r="C343" s="7">
        <v>0.0</v>
      </c>
      <c r="D343" s="7">
        <v>0.0</v>
      </c>
      <c r="E343" s="7">
        <v>0.0</v>
      </c>
      <c r="F343" s="7">
        <v>0.0</v>
      </c>
      <c r="G343" s="9"/>
      <c r="H343" s="9"/>
    </row>
    <row r="344" ht="15.75" customHeight="1">
      <c r="A344" s="6">
        <v>80803.0</v>
      </c>
      <c r="B344" s="6" t="s">
        <v>366</v>
      </c>
      <c r="C344" s="7">
        <v>0.0</v>
      </c>
      <c r="D344" s="7">
        <v>0.0</v>
      </c>
      <c r="E344" s="7">
        <v>0.0</v>
      </c>
      <c r="F344" s="7">
        <v>0.0</v>
      </c>
      <c r="G344" s="9"/>
      <c r="H344" s="9"/>
    </row>
    <row r="345" ht="15.75" customHeight="1">
      <c r="A345" s="6">
        <v>80901.0</v>
      </c>
      <c r="B345" s="6" t="s">
        <v>367</v>
      </c>
      <c r="C345" s="7">
        <v>0.0</v>
      </c>
      <c r="D345" s="7">
        <v>0.0</v>
      </c>
      <c r="E345" s="7">
        <v>0.0</v>
      </c>
      <c r="F345" s="7">
        <v>0.0</v>
      </c>
      <c r="G345" s="9"/>
      <c r="H345" s="9"/>
    </row>
    <row r="346" ht="15.75" customHeight="1">
      <c r="A346" s="6">
        <v>90101.0</v>
      </c>
      <c r="B346" s="6" t="s">
        <v>368</v>
      </c>
      <c r="C346" s="7">
        <v>0.0</v>
      </c>
      <c r="D346" s="7">
        <v>0.0</v>
      </c>
      <c r="E346" s="7">
        <v>0.0</v>
      </c>
      <c r="F346" s="7">
        <v>0.0</v>
      </c>
      <c r="G346" s="9"/>
      <c r="H346" s="9"/>
    </row>
    <row r="347" ht="15.75" customHeight="1">
      <c r="A347" s="6">
        <v>90102.0</v>
      </c>
      <c r="B347" s="6" t="s">
        <v>369</v>
      </c>
      <c r="C347" s="7">
        <v>0.0</v>
      </c>
      <c r="D347" s="7">
        <v>0.0</v>
      </c>
      <c r="E347" s="7">
        <v>0.0</v>
      </c>
      <c r="F347" s="7">
        <v>0.0</v>
      </c>
      <c r="G347" s="9"/>
      <c r="H347" s="9"/>
    </row>
    <row r="348" ht="15.75" customHeight="1">
      <c r="A348" s="6">
        <v>90103.0</v>
      </c>
      <c r="B348" s="6" t="s">
        <v>370</v>
      </c>
      <c r="C348" s="7">
        <v>0.0</v>
      </c>
      <c r="D348" s="7">
        <v>0.0</v>
      </c>
      <c r="E348" s="7">
        <v>0.0</v>
      </c>
      <c r="F348" s="7">
        <v>0.0</v>
      </c>
      <c r="G348" s="9"/>
      <c r="H348" s="9"/>
    </row>
    <row r="349" ht="15.75" customHeight="1">
      <c r="A349" s="6">
        <v>90104.0</v>
      </c>
      <c r="B349" s="6" t="s">
        <v>371</v>
      </c>
      <c r="C349" s="7">
        <v>0.0</v>
      </c>
      <c r="D349" s="7">
        <v>0.0</v>
      </c>
      <c r="E349" s="7">
        <v>0.0</v>
      </c>
      <c r="F349" s="7">
        <v>0.0</v>
      </c>
      <c r="G349" s="9"/>
      <c r="H349" s="9"/>
    </row>
    <row r="350" ht="15.75" customHeight="1">
      <c r="A350" s="6">
        <v>90201.0</v>
      </c>
      <c r="B350" s="6" t="s">
        <v>372</v>
      </c>
      <c r="C350" s="7">
        <v>0.0</v>
      </c>
      <c r="D350" s="7">
        <v>0.0</v>
      </c>
      <c r="E350" s="7">
        <v>0.0</v>
      </c>
      <c r="F350" s="7">
        <v>0.0</v>
      </c>
      <c r="G350" s="9"/>
      <c r="H350" s="9"/>
    </row>
    <row r="351" ht="15.75" customHeight="1">
      <c r="A351" s="6">
        <v>90202.0</v>
      </c>
      <c r="B351" s="6" t="s">
        <v>262</v>
      </c>
      <c r="C351" s="7">
        <v>0.0</v>
      </c>
      <c r="D351" s="7">
        <v>0.0</v>
      </c>
      <c r="E351" s="7">
        <v>0.0</v>
      </c>
      <c r="F351" s="7">
        <v>0.0</v>
      </c>
      <c r="G351" s="9"/>
      <c r="H351" s="9"/>
    </row>
    <row r="352" ht="15.75" customHeight="1">
      <c r="A352" s="6">
        <v>90203.0</v>
      </c>
      <c r="B352" s="6" t="s">
        <v>373</v>
      </c>
      <c r="C352" s="7">
        <v>0.0</v>
      </c>
      <c r="D352" s="7">
        <v>0.0</v>
      </c>
      <c r="E352" s="7">
        <v>0.0</v>
      </c>
      <c r="F352" s="7">
        <v>0.0</v>
      </c>
      <c r="G352" s="9"/>
      <c r="H352" s="9"/>
    </row>
    <row r="353" ht="15.75" customHeight="1">
      <c r="A353" s="6">
        <v>90301.0</v>
      </c>
      <c r="B353" s="6" t="s">
        <v>374</v>
      </c>
      <c r="C353" s="7">
        <v>0.0</v>
      </c>
      <c r="D353" s="7">
        <v>0.0</v>
      </c>
      <c r="E353" s="7">
        <v>0.0</v>
      </c>
      <c r="F353" s="7">
        <v>0.0</v>
      </c>
      <c r="G353" s="9"/>
      <c r="H353" s="9"/>
    </row>
    <row r="354" ht="15.75" customHeight="1">
      <c r="A354" s="6">
        <v>90302.0</v>
      </c>
      <c r="B354" s="6" t="s">
        <v>295</v>
      </c>
      <c r="C354" s="7">
        <v>0.0</v>
      </c>
      <c r="D354" s="7">
        <v>0.0</v>
      </c>
      <c r="E354" s="7">
        <v>0.0</v>
      </c>
      <c r="F354" s="7">
        <v>0.0</v>
      </c>
      <c r="G354" s="9"/>
      <c r="H354" s="9"/>
    </row>
    <row r="355" ht="15.75" customHeight="1">
      <c r="A355" s="6">
        <v>90303.0</v>
      </c>
      <c r="B355" s="6" t="s">
        <v>375</v>
      </c>
      <c r="C355" s="7">
        <v>0.0</v>
      </c>
      <c r="D355" s="7">
        <v>0.0</v>
      </c>
      <c r="E355" s="7">
        <v>0.0</v>
      </c>
      <c r="F355" s="7">
        <v>0.0</v>
      </c>
      <c r="G355" s="9"/>
      <c r="H355" s="9"/>
    </row>
    <row r="356" ht="15.75" customHeight="1">
      <c r="A356" s="6">
        <v>90401.0</v>
      </c>
      <c r="B356" s="6" t="s">
        <v>316</v>
      </c>
      <c r="C356" s="7">
        <v>0.0</v>
      </c>
      <c r="D356" s="7">
        <v>0.0</v>
      </c>
      <c r="E356" s="7">
        <v>0.0</v>
      </c>
      <c r="F356" s="7">
        <v>0.0</v>
      </c>
      <c r="G356" s="9"/>
      <c r="H356" s="9"/>
    </row>
    <row r="357" ht="15.75" customHeight="1">
      <c r="A357" s="6">
        <v>90402.0</v>
      </c>
      <c r="B357" s="6" t="s">
        <v>376</v>
      </c>
      <c r="C357" s="7">
        <v>0.0</v>
      </c>
      <c r="D357" s="7">
        <v>0.0</v>
      </c>
      <c r="E357" s="7">
        <v>0.0</v>
      </c>
      <c r="F357" s="7">
        <v>0.0</v>
      </c>
      <c r="G357" s="9"/>
      <c r="H357" s="9"/>
    </row>
    <row r="358" ht="15.75" customHeight="1">
      <c r="A358" s="6">
        <v>90501.0</v>
      </c>
      <c r="B358" s="6" t="s">
        <v>377</v>
      </c>
      <c r="C358" s="7">
        <v>0.0</v>
      </c>
      <c r="D358" s="7">
        <v>0.0</v>
      </c>
      <c r="E358" s="7">
        <v>0.0</v>
      </c>
      <c r="F358" s="7">
        <v>0.0</v>
      </c>
      <c r="G358" s="9"/>
      <c r="H358" s="9"/>
    </row>
    <row r="359" ht="15.75" customHeight="1">
      <c r="A359" s="6">
        <v>90502.0</v>
      </c>
      <c r="B359" s="6" t="s">
        <v>378</v>
      </c>
      <c r="C359" s="7">
        <v>0.0</v>
      </c>
      <c r="D359" s="7">
        <v>0.0</v>
      </c>
      <c r="E359" s="7">
        <v>0.0</v>
      </c>
      <c r="F359" s="7">
        <v>0.0</v>
      </c>
      <c r="G359" s="9"/>
      <c r="H359" s="9"/>
    </row>
    <row r="360" ht="15.75" customHeight="1">
      <c r="A360" s="6">
        <v>90503.0</v>
      </c>
      <c r="B360" s="6" t="s">
        <v>379</v>
      </c>
      <c r="C360" s="7">
        <v>0.0</v>
      </c>
      <c r="D360" s="7">
        <v>0.0</v>
      </c>
      <c r="E360" s="7">
        <v>0.0</v>
      </c>
      <c r="F360" s="7">
        <v>0.0</v>
      </c>
      <c r="G360" s="9"/>
      <c r="H360" s="9"/>
    </row>
    <row r="361" ht="15.75" customHeight="1">
      <c r="A361" s="9"/>
      <c r="B361" s="9"/>
      <c r="G361" s="9"/>
      <c r="H361" s="9"/>
    </row>
    <row r="362" ht="15.75" customHeight="1">
      <c r="A362" s="9"/>
      <c r="B362" s="9"/>
      <c r="G362" s="9"/>
      <c r="H362" s="9"/>
    </row>
    <row r="363" ht="15.75" customHeight="1">
      <c r="A363" s="9"/>
      <c r="B363" s="9"/>
      <c r="G363" s="9"/>
      <c r="H363" s="9"/>
    </row>
    <row r="364" ht="15.75" customHeight="1">
      <c r="A364" s="9"/>
      <c r="B364" s="9"/>
      <c r="G364" s="9"/>
      <c r="H364" s="9"/>
    </row>
    <row r="365" ht="15.75" customHeight="1">
      <c r="A365" s="9"/>
      <c r="B365" s="9"/>
      <c r="G365" s="9"/>
      <c r="H365" s="9"/>
    </row>
    <row r="366" ht="15.75" customHeight="1">
      <c r="A366" s="9"/>
      <c r="B366" s="9"/>
      <c r="G366" s="9"/>
      <c r="H366" s="9"/>
    </row>
    <row r="367" ht="15.75" customHeight="1">
      <c r="A367" s="9"/>
      <c r="B367" s="9"/>
      <c r="G367" s="9"/>
      <c r="H367" s="9"/>
    </row>
    <row r="368" ht="15.75" customHeight="1">
      <c r="A368" s="9"/>
      <c r="B368" s="9"/>
      <c r="G368" s="9"/>
      <c r="H368" s="9"/>
    </row>
    <row r="369" ht="15.75" customHeight="1">
      <c r="A369" s="9"/>
      <c r="B369" s="9"/>
      <c r="G369" s="9"/>
      <c r="H369" s="9"/>
    </row>
    <row r="370" ht="15.75" customHeight="1">
      <c r="A370" s="9"/>
      <c r="B370" s="9"/>
      <c r="G370" s="9"/>
      <c r="H370" s="9"/>
    </row>
    <row r="371" ht="15.75" customHeight="1">
      <c r="A371" s="9"/>
      <c r="B371" s="9"/>
      <c r="G371" s="9"/>
      <c r="H371" s="9"/>
    </row>
    <row r="372" ht="15.75" customHeight="1">
      <c r="A372" s="9"/>
      <c r="B372" s="9"/>
      <c r="G372" s="9"/>
      <c r="H372" s="9"/>
    </row>
    <row r="373" ht="15.75" customHeight="1">
      <c r="A373" s="9"/>
      <c r="B373" s="9"/>
      <c r="G373" s="9"/>
      <c r="H373" s="9"/>
    </row>
    <row r="374" ht="15.75" customHeight="1">
      <c r="A374" s="9"/>
      <c r="B374" s="9"/>
      <c r="G374" s="9"/>
      <c r="H374" s="9"/>
    </row>
    <row r="375" ht="15.75" customHeight="1">
      <c r="A375" s="9"/>
      <c r="B375" s="9"/>
      <c r="G375" s="9"/>
      <c r="H375" s="9"/>
    </row>
    <row r="376" ht="15.75" customHeight="1">
      <c r="A376" s="9"/>
      <c r="B376" s="9"/>
      <c r="G376" s="9"/>
      <c r="H376" s="9"/>
    </row>
    <row r="377" ht="15.75" customHeight="1">
      <c r="A377" s="9"/>
      <c r="B377" s="9"/>
      <c r="G377" s="9"/>
      <c r="H377" s="9"/>
    </row>
    <row r="378" ht="15.75" customHeight="1">
      <c r="A378" s="9"/>
      <c r="B378" s="9"/>
      <c r="G378" s="9"/>
      <c r="H378" s="9"/>
    </row>
    <row r="379" ht="15.75" customHeight="1">
      <c r="A379" s="9"/>
      <c r="B379" s="9"/>
      <c r="G379" s="9"/>
      <c r="H379" s="9"/>
    </row>
    <row r="380" ht="15.75" customHeight="1">
      <c r="A380" s="9"/>
      <c r="B380" s="9"/>
      <c r="G380" s="9"/>
      <c r="H380" s="9"/>
    </row>
    <row r="381" ht="15.75" customHeight="1">
      <c r="A381" s="9"/>
      <c r="B381" s="9"/>
      <c r="G381" s="9"/>
      <c r="H381" s="9"/>
    </row>
    <row r="382" ht="15.75" customHeight="1">
      <c r="A382" s="9"/>
      <c r="B382" s="9"/>
      <c r="G382" s="9"/>
      <c r="H382" s="9"/>
    </row>
    <row r="383" ht="15.75" customHeight="1">
      <c r="A383" s="9"/>
      <c r="B383" s="9"/>
      <c r="G383" s="9"/>
      <c r="H383" s="9"/>
    </row>
    <row r="384" ht="15.75" customHeight="1">
      <c r="A384" s="9"/>
      <c r="B384" s="9"/>
      <c r="G384" s="9"/>
      <c r="H384" s="9"/>
    </row>
    <row r="385" ht="15.75" customHeight="1">
      <c r="A385" s="9"/>
      <c r="B385" s="9"/>
      <c r="G385" s="9"/>
      <c r="H385" s="9"/>
    </row>
    <row r="386" ht="15.75" customHeight="1">
      <c r="A386" s="9"/>
      <c r="B386" s="9"/>
      <c r="G386" s="9"/>
      <c r="H386" s="9"/>
    </row>
    <row r="387" ht="15.75" customHeight="1">
      <c r="A387" s="9"/>
      <c r="B387" s="9"/>
      <c r="G387" s="9"/>
      <c r="H387" s="9"/>
    </row>
    <row r="388" ht="15.75" customHeight="1">
      <c r="A388" s="9"/>
      <c r="B388" s="9"/>
      <c r="G388" s="9"/>
      <c r="H388" s="9"/>
    </row>
    <row r="389" ht="15.75" customHeight="1">
      <c r="A389" s="9"/>
      <c r="B389" s="9"/>
      <c r="G389" s="9"/>
      <c r="H389" s="9"/>
    </row>
    <row r="390" ht="15.75" customHeight="1">
      <c r="A390" s="9"/>
      <c r="B390" s="9"/>
      <c r="G390" s="9"/>
      <c r="H390" s="9"/>
    </row>
    <row r="391" ht="15.75" customHeight="1">
      <c r="A391" s="9"/>
      <c r="B391" s="9"/>
      <c r="G391" s="9"/>
      <c r="H391" s="9"/>
    </row>
    <row r="392" ht="15.75" customHeight="1">
      <c r="A392" s="9"/>
      <c r="B392" s="9"/>
      <c r="G392" s="9"/>
      <c r="H392" s="9"/>
    </row>
    <row r="393" ht="15.75" customHeight="1">
      <c r="A393" s="9"/>
      <c r="B393" s="9"/>
      <c r="G393" s="9"/>
      <c r="H393" s="9"/>
    </row>
    <row r="394" ht="15.75" customHeight="1">
      <c r="A394" s="9"/>
      <c r="B394" s="9"/>
      <c r="G394" s="9"/>
      <c r="H394" s="9"/>
    </row>
    <row r="395" ht="15.75" customHeight="1">
      <c r="A395" s="9"/>
      <c r="B395" s="9"/>
      <c r="G395" s="9"/>
      <c r="H395" s="9"/>
    </row>
    <row r="396" ht="15.75" customHeight="1">
      <c r="A396" s="9"/>
      <c r="B396" s="9"/>
      <c r="G396" s="9"/>
      <c r="H396" s="9"/>
    </row>
    <row r="397" ht="15.75" customHeight="1">
      <c r="A397" s="9"/>
      <c r="B397" s="9"/>
      <c r="G397" s="9"/>
      <c r="H397" s="9"/>
    </row>
    <row r="398" ht="15.75" customHeight="1">
      <c r="A398" s="9"/>
      <c r="B398" s="9"/>
      <c r="G398" s="9"/>
      <c r="H398" s="9"/>
    </row>
    <row r="399" ht="15.75" customHeight="1">
      <c r="A399" s="9"/>
      <c r="B399" s="9"/>
      <c r="G399" s="9"/>
      <c r="H399" s="9"/>
    </row>
    <row r="400" ht="15.75" customHeight="1">
      <c r="A400" s="9"/>
      <c r="B400" s="9"/>
      <c r="G400" s="9"/>
      <c r="H400" s="9"/>
    </row>
    <row r="401" ht="15.75" customHeight="1">
      <c r="A401" s="9"/>
      <c r="B401" s="9"/>
      <c r="G401" s="9"/>
      <c r="H401" s="9"/>
    </row>
    <row r="402" ht="15.75" customHeight="1">
      <c r="A402" s="9"/>
      <c r="B402" s="9"/>
      <c r="G402" s="9"/>
      <c r="H402" s="9"/>
    </row>
    <row r="403" ht="15.75" customHeight="1">
      <c r="A403" s="9"/>
      <c r="B403" s="9"/>
      <c r="G403" s="9"/>
      <c r="H403" s="9"/>
    </row>
    <row r="404" ht="15.75" customHeight="1">
      <c r="A404" s="9"/>
      <c r="B404" s="9"/>
      <c r="G404" s="9"/>
      <c r="H404" s="9"/>
    </row>
    <row r="405" ht="15.75" customHeight="1">
      <c r="A405" s="9"/>
      <c r="B405" s="9"/>
      <c r="G405" s="9"/>
      <c r="H405" s="9"/>
    </row>
    <row r="406" ht="15.75" customHeight="1">
      <c r="A406" s="9"/>
      <c r="B406" s="9"/>
      <c r="G406" s="9"/>
      <c r="H406" s="9"/>
    </row>
    <row r="407" ht="15.75" customHeight="1">
      <c r="A407" s="9"/>
      <c r="B407" s="9"/>
      <c r="G407" s="9"/>
      <c r="H407" s="9"/>
    </row>
    <row r="408" ht="15.75" customHeight="1">
      <c r="A408" s="9"/>
      <c r="B408" s="9"/>
      <c r="G408" s="9"/>
      <c r="H408" s="9"/>
    </row>
    <row r="409" ht="15.75" customHeight="1">
      <c r="A409" s="9"/>
      <c r="B409" s="9"/>
      <c r="G409" s="9"/>
      <c r="H409" s="9"/>
    </row>
    <row r="410" ht="15.75" customHeight="1">
      <c r="A410" s="9"/>
      <c r="B410" s="9"/>
      <c r="G410" s="9"/>
      <c r="H410" s="9"/>
    </row>
    <row r="411" ht="15.75" customHeight="1">
      <c r="A411" s="9"/>
      <c r="B411" s="9"/>
      <c r="G411" s="9"/>
      <c r="H411" s="9"/>
    </row>
    <row r="412" ht="15.75" customHeight="1">
      <c r="A412" s="9"/>
      <c r="B412" s="9"/>
      <c r="G412" s="9"/>
      <c r="H412" s="9"/>
    </row>
    <row r="413" ht="15.75" customHeight="1">
      <c r="A413" s="9"/>
      <c r="B413" s="9"/>
      <c r="G413" s="9"/>
      <c r="H413" s="9"/>
    </row>
    <row r="414" ht="15.75" customHeight="1">
      <c r="A414" s="9"/>
      <c r="B414" s="9"/>
      <c r="G414" s="9"/>
      <c r="H414" s="9"/>
    </row>
    <row r="415" ht="15.75" customHeight="1">
      <c r="A415" s="9"/>
      <c r="B415" s="9"/>
      <c r="G415" s="9"/>
      <c r="H415" s="9"/>
    </row>
    <row r="416" ht="15.75" customHeight="1">
      <c r="A416" s="9"/>
      <c r="B416" s="9"/>
      <c r="G416" s="9"/>
      <c r="H416" s="9"/>
    </row>
    <row r="417" ht="15.75" customHeight="1">
      <c r="A417" s="9"/>
      <c r="B417" s="9"/>
      <c r="G417" s="9"/>
      <c r="H417" s="9"/>
    </row>
    <row r="418" ht="15.75" customHeight="1">
      <c r="A418" s="9"/>
      <c r="B418" s="9"/>
      <c r="G418" s="9"/>
      <c r="H418" s="9"/>
    </row>
    <row r="419" ht="15.75" customHeight="1">
      <c r="A419" s="9"/>
      <c r="B419" s="9"/>
      <c r="G419" s="9"/>
      <c r="H419" s="9"/>
    </row>
    <row r="420" ht="15.75" customHeight="1">
      <c r="A420" s="9"/>
      <c r="B420" s="9"/>
      <c r="G420" s="9"/>
      <c r="H420" s="9"/>
    </row>
    <row r="421" ht="15.75" customHeight="1">
      <c r="A421" s="9"/>
      <c r="B421" s="9"/>
      <c r="G421" s="9"/>
      <c r="H421" s="9"/>
    </row>
    <row r="422" ht="15.75" customHeight="1">
      <c r="A422" s="9"/>
      <c r="B422" s="9"/>
      <c r="G422" s="9"/>
      <c r="H422" s="9"/>
    </row>
    <row r="423" ht="15.75" customHeight="1">
      <c r="A423" s="9"/>
      <c r="B423" s="9"/>
      <c r="G423" s="9"/>
      <c r="H423" s="9"/>
    </row>
    <row r="424" ht="15.75" customHeight="1">
      <c r="A424" s="9"/>
      <c r="B424" s="9"/>
      <c r="G424" s="9"/>
      <c r="H424" s="9"/>
    </row>
    <row r="425" ht="15.75" customHeight="1">
      <c r="A425" s="9"/>
      <c r="B425" s="9"/>
      <c r="G425" s="9"/>
      <c r="H425" s="9"/>
    </row>
    <row r="426" ht="15.75" customHeight="1">
      <c r="A426" s="9"/>
      <c r="B426" s="9"/>
      <c r="G426" s="9"/>
      <c r="H426" s="9"/>
    </row>
    <row r="427" ht="15.75" customHeight="1">
      <c r="A427" s="9"/>
      <c r="B427" s="9"/>
      <c r="G427" s="9"/>
      <c r="H427" s="9"/>
    </row>
    <row r="428" ht="15.75" customHeight="1">
      <c r="A428" s="9"/>
      <c r="B428" s="9"/>
      <c r="G428" s="9"/>
      <c r="H428" s="9"/>
    </row>
    <row r="429" ht="15.75" customHeight="1">
      <c r="A429" s="9"/>
      <c r="B429" s="9"/>
      <c r="G429" s="9"/>
      <c r="H429" s="9"/>
    </row>
    <row r="430" ht="15.75" customHeight="1">
      <c r="A430" s="9"/>
      <c r="B430" s="9"/>
      <c r="G430" s="9"/>
      <c r="H430" s="9"/>
    </row>
    <row r="431" ht="15.75" customHeight="1">
      <c r="A431" s="9"/>
      <c r="B431" s="9"/>
      <c r="G431" s="9"/>
      <c r="H431" s="9"/>
    </row>
    <row r="432" ht="15.75" customHeight="1">
      <c r="A432" s="9"/>
      <c r="B432" s="9"/>
      <c r="G432" s="9"/>
      <c r="H432" s="9"/>
    </row>
    <row r="433" ht="15.75" customHeight="1">
      <c r="A433" s="9"/>
      <c r="B433" s="9"/>
      <c r="G433" s="9"/>
      <c r="H433" s="9"/>
    </row>
    <row r="434" ht="15.75" customHeight="1">
      <c r="A434" s="9"/>
      <c r="B434" s="9"/>
      <c r="G434" s="9"/>
      <c r="H434" s="9"/>
    </row>
    <row r="435" ht="15.75" customHeight="1">
      <c r="A435" s="9"/>
      <c r="B435" s="9"/>
      <c r="G435" s="9"/>
      <c r="H435" s="9"/>
    </row>
    <row r="436" ht="15.75" customHeight="1">
      <c r="A436" s="9"/>
      <c r="B436" s="9"/>
      <c r="G436" s="9"/>
      <c r="H436" s="9"/>
    </row>
    <row r="437" ht="15.75" customHeight="1">
      <c r="A437" s="9"/>
      <c r="B437" s="9"/>
      <c r="G437" s="9"/>
      <c r="H437" s="9"/>
    </row>
    <row r="438" ht="15.75" customHeight="1">
      <c r="A438" s="9"/>
      <c r="B438" s="9"/>
      <c r="G438" s="9"/>
      <c r="H438" s="9"/>
    </row>
    <row r="439" ht="15.75" customHeight="1">
      <c r="A439" s="9"/>
      <c r="B439" s="9"/>
      <c r="G439" s="9"/>
      <c r="H439" s="9"/>
    </row>
    <row r="440" ht="15.75" customHeight="1">
      <c r="A440" s="9"/>
      <c r="B440" s="9"/>
      <c r="G440" s="9"/>
      <c r="H440" s="9"/>
    </row>
    <row r="441" ht="15.75" customHeight="1">
      <c r="A441" s="9"/>
      <c r="B441" s="9"/>
      <c r="G441" s="9"/>
      <c r="H441" s="9"/>
    </row>
    <row r="442" ht="15.75" customHeight="1">
      <c r="A442" s="9"/>
      <c r="B442" s="9"/>
      <c r="G442" s="9"/>
      <c r="H442" s="9"/>
    </row>
    <row r="443" ht="15.75" customHeight="1">
      <c r="A443" s="9"/>
      <c r="B443" s="9"/>
      <c r="G443" s="9"/>
      <c r="H443" s="9"/>
    </row>
    <row r="444" ht="15.75" customHeight="1">
      <c r="A444" s="9"/>
      <c r="B444" s="9"/>
      <c r="G444" s="9"/>
      <c r="H444" s="9"/>
    </row>
    <row r="445" ht="15.75" customHeight="1">
      <c r="A445" s="9"/>
      <c r="B445" s="9"/>
      <c r="G445" s="9"/>
      <c r="H445" s="9"/>
    </row>
    <row r="446" ht="15.75" customHeight="1">
      <c r="A446" s="9"/>
      <c r="B446" s="9"/>
      <c r="G446" s="9"/>
      <c r="H446" s="9"/>
    </row>
    <row r="447" ht="15.75" customHeight="1">
      <c r="A447" s="9"/>
      <c r="B447" s="9"/>
      <c r="G447" s="9"/>
      <c r="H447" s="9"/>
    </row>
    <row r="448" ht="15.75" customHeight="1">
      <c r="A448" s="9"/>
      <c r="B448" s="9"/>
      <c r="G448" s="9"/>
      <c r="H448" s="9"/>
    </row>
    <row r="449" ht="15.75" customHeight="1">
      <c r="A449" s="9"/>
      <c r="B449" s="9"/>
      <c r="G449" s="9"/>
      <c r="H449" s="9"/>
    </row>
    <row r="450" ht="15.75" customHeight="1">
      <c r="A450" s="9"/>
      <c r="B450" s="9"/>
      <c r="G450" s="9"/>
      <c r="H450" s="9"/>
    </row>
    <row r="451" ht="15.75" customHeight="1">
      <c r="A451" s="9"/>
      <c r="B451" s="9"/>
      <c r="G451" s="9"/>
      <c r="H451" s="9"/>
    </row>
    <row r="452" ht="15.75" customHeight="1">
      <c r="A452" s="9"/>
      <c r="B452" s="9"/>
      <c r="G452" s="9"/>
      <c r="H452" s="9"/>
    </row>
    <row r="453" ht="15.75" customHeight="1">
      <c r="A453" s="9"/>
      <c r="B453" s="9"/>
      <c r="G453" s="9"/>
      <c r="H453" s="9"/>
    </row>
    <row r="454" ht="15.75" customHeight="1">
      <c r="A454" s="9"/>
      <c r="B454" s="9"/>
      <c r="G454" s="9"/>
      <c r="H454" s="9"/>
    </row>
    <row r="455" ht="15.75" customHeight="1">
      <c r="A455" s="9"/>
      <c r="B455" s="9"/>
      <c r="G455" s="9"/>
      <c r="H455" s="9"/>
    </row>
    <row r="456" ht="15.75" customHeight="1">
      <c r="A456" s="9"/>
      <c r="B456" s="9"/>
      <c r="G456" s="9"/>
      <c r="H456" s="9"/>
    </row>
    <row r="457" ht="15.75" customHeight="1">
      <c r="A457" s="9"/>
      <c r="B457" s="9"/>
      <c r="G457" s="9"/>
      <c r="H457" s="9"/>
    </row>
    <row r="458" ht="15.75" customHeight="1">
      <c r="A458" s="9"/>
      <c r="B458" s="9"/>
      <c r="G458" s="9"/>
      <c r="H458" s="9"/>
    </row>
    <row r="459" ht="15.75" customHeight="1">
      <c r="A459" s="9"/>
      <c r="B459" s="9"/>
      <c r="G459" s="9"/>
      <c r="H459" s="9"/>
    </row>
    <row r="460" ht="15.75" customHeight="1">
      <c r="A460" s="9"/>
      <c r="B460" s="9"/>
      <c r="G460" s="9"/>
      <c r="H460" s="9"/>
    </row>
    <row r="461" ht="15.75" customHeight="1">
      <c r="A461" s="9"/>
      <c r="B461" s="9"/>
      <c r="G461" s="9"/>
      <c r="H461" s="9"/>
    </row>
    <row r="462" ht="15.75" customHeight="1">
      <c r="A462" s="9"/>
      <c r="B462" s="9"/>
      <c r="G462" s="9"/>
      <c r="H462" s="9"/>
    </row>
    <row r="463" ht="15.75" customHeight="1">
      <c r="A463" s="9"/>
      <c r="B463" s="9"/>
      <c r="G463" s="9"/>
      <c r="H463" s="9"/>
    </row>
    <row r="464" ht="15.75" customHeight="1">
      <c r="A464" s="9"/>
      <c r="B464" s="9"/>
      <c r="G464" s="9"/>
      <c r="H464" s="9"/>
    </row>
    <row r="465" ht="15.75" customHeight="1">
      <c r="A465" s="9"/>
      <c r="B465" s="9"/>
      <c r="G465" s="9"/>
      <c r="H465" s="9"/>
    </row>
    <row r="466" ht="15.75" customHeight="1">
      <c r="A466" s="9"/>
      <c r="B466" s="9"/>
      <c r="G466" s="9"/>
      <c r="H466" s="9"/>
    </row>
    <row r="467" ht="15.75" customHeight="1">
      <c r="A467" s="9"/>
      <c r="B467" s="9"/>
      <c r="G467" s="9"/>
      <c r="H467" s="9"/>
    </row>
    <row r="468" ht="15.75" customHeight="1">
      <c r="A468" s="9"/>
      <c r="B468" s="9"/>
      <c r="G468" s="9"/>
      <c r="H468" s="9"/>
    </row>
    <row r="469" ht="15.75" customHeight="1">
      <c r="A469" s="9"/>
      <c r="B469" s="9"/>
      <c r="G469" s="9"/>
      <c r="H469" s="9"/>
    </row>
    <row r="470" ht="15.75" customHeight="1">
      <c r="A470" s="9"/>
      <c r="B470" s="9"/>
      <c r="G470" s="9"/>
      <c r="H470" s="9"/>
    </row>
    <row r="471" ht="15.75" customHeight="1">
      <c r="A471" s="9"/>
      <c r="B471" s="9"/>
      <c r="G471" s="9"/>
      <c r="H471" s="9"/>
    </row>
    <row r="472" ht="15.75" customHeight="1">
      <c r="A472" s="9"/>
      <c r="B472" s="9"/>
      <c r="G472" s="9"/>
      <c r="H472" s="9"/>
    </row>
    <row r="473" ht="15.75" customHeight="1">
      <c r="A473" s="9"/>
      <c r="B473" s="9"/>
      <c r="G473" s="9"/>
      <c r="H473" s="9"/>
    </row>
    <row r="474" ht="15.75" customHeight="1">
      <c r="A474" s="9"/>
      <c r="B474" s="9"/>
      <c r="G474" s="9"/>
      <c r="H474" s="9"/>
    </row>
    <row r="475" ht="15.75" customHeight="1">
      <c r="A475" s="9"/>
      <c r="B475" s="9"/>
      <c r="G475" s="9"/>
      <c r="H475" s="9"/>
    </row>
    <row r="476" ht="15.75" customHeight="1">
      <c r="A476" s="9"/>
      <c r="B476" s="9"/>
      <c r="G476" s="9"/>
      <c r="H476" s="9"/>
    </row>
    <row r="477" ht="15.75" customHeight="1">
      <c r="A477" s="9"/>
      <c r="B477" s="9"/>
      <c r="G477" s="9"/>
      <c r="H477" s="9"/>
    </row>
    <row r="478" ht="15.75" customHeight="1">
      <c r="A478" s="9"/>
      <c r="B478" s="9"/>
      <c r="G478" s="9"/>
      <c r="H478" s="9"/>
    </row>
    <row r="479" ht="15.75" customHeight="1">
      <c r="A479" s="9"/>
      <c r="B479" s="9"/>
      <c r="G479" s="9"/>
      <c r="H479" s="9"/>
    </row>
    <row r="480" ht="15.75" customHeight="1">
      <c r="A480" s="9"/>
      <c r="B480" s="9"/>
      <c r="G480" s="9"/>
      <c r="H480" s="9"/>
    </row>
    <row r="481" ht="15.75" customHeight="1">
      <c r="A481" s="9"/>
      <c r="B481" s="9"/>
      <c r="G481" s="9"/>
      <c r="H481" s="9"/>
    </row>
    <row r="482" ht="15.75" customHeight="1">
      <c r="A482" s="9"/>
      <c r="B482" s="9"/>
      <c r="G482" s="9"/>
      <c r="H482" s="9"/>
    </row>
    <row r="483" ht="15.75" customHeight="1">
      <c r="A483" s="9"/>
      <c r="B483" s="9"/>
      <c r="G483" s="9"/>
      <c r="H483" s="9"/>
    </row>
    <row r="484" ht="15.75" customHeight="1">
      <c r="A484" s="9"/>
      <c r="B484" s="9"/>
      <c r="G484" s="9"/>
      <c r="H484" s="9"/>
    </row>
    <row r="485" ht="15.75" customHeight="1">
      <c r="A485" s="9"/>
      <c r="B485" s="9"/>
      <c r="G485" s="9"/>
      <c r="H485" s="9"/>
    </row>
    <row r="486" ht="15.75" customHeight="1">
      <c r="A486" s="9"/>
      <c r="B486" s="9"/>
      <c r="G486" s="9"/>
      <c r="H486" s="9"/>
    </row>
    <row r="487" ht="15.75" customHeight="1">
      <c r="A487" s="9"/>
      <c r="B487" s="9"/>
      <c r="G487" s="9"/>
      <c r="H487" s="9"/>
    </row>
    <row r="488" ht="15.75" customHeight="1">
      <c r="A488" s="9"/>
      <c r="B488" s="9"/>
      <c r="G488" s="9"/>
      <c r="H488" s="9"/>
    </row>
    <row r="489" ht="15.75" customHeight="1">
      <c r="A489" s="9"/>
      <c r="B489" s="9"/>
      <c r="G489" s="9"/>
      <c r="H489" s="9"/>
    </row>
    <row r="490" ht="15.75" customHeight="1">
      <c r="A490" s="9"/>
      <c r="B490" s="9"/>
      <c r="G490" s="9"/>
      <c r="H490" s="9"/>
    </row>
    <row r="491" ht="15.75" customHeight="1">
      <c r="A491" s="9"/>
      <c r="B491" s="9"/>
      <c r="G491" s="9"/>
      <c r="H491" s="9"/>
    </row>
    <row r="492" ht="15.75" customHeight="1">
      <c r="A492" s="9"/>
      <c r="B492" s="9"/>
      <c r="G492" s="9"/>
      <c r="H492" s="9"/>
    </row>
    <row r="493" ht="15.75" customHeight="1">
      <c r="A493" s="9"/>
      <c r="B493" s="9"/>
      <c r="G493" s="9"/>
      <c r="H493" s="9"/>
    </row>
    <row r="494" ht="15.75" customHeight="1">
      <c r="A494" s="9"/>
      <c r="B494" s="9"/>
      <c r="G494" s="9"/>
      <c r="H494" s="9"/>
    </row>
    <row r="495" ht="15.75" customHeight="1">
      <c r="A495" s="9"/>
      <c r="B495" s="9"/>
      <c r="G495" s="9"/>
      <c r="H495" s="9"/>
    </row>
    <row r="496" ht="15.75" customHeight="1">
      <c r="A496" s="9"/>
      <c r="B496" s="9"/>
      <c r="G496" s="9"/>
      <c r="H496" s="9"/>
    </row>
    <row r="497" ht="15.75" customHeight="1">
      <c r="A497" s="9"/>
      <c r="B497" s="9"/>
      <c r="G497" s="9"/>
      <c r="H497" s="9"/>
    </row>
    <row r="498" ht="15.75" customHeight="1">
      <c r="A498" s="9"/>
      <c r="B498" s="9"/>
      <c r="G498" s="9"/>
      <c r="H498" s="9"/>
    </row>
    <row r="499" ht="15.75" customHeight="1">
      <c r="A499" s="9"/>
      <c r="B499" s="9"/>
      <c r="G499" s="9"/>
      <c r="H499" s="9"/>
    </row>
    <row r="500" ht="15.75" customHeight="1">
      <c r="A500" s="9"/>
      <c r="B500" s="9"/>
      <c r="G500" s="9"/>
      <c r="H500" s="9"/>
    </row>
    <row r="501" ht="15.75" customHeight="1">
      <c r="A501" s="9"/>
      <c r="B501" s="9"/>
      <c r="G501" s="9"/>
      <c r="H501" s="9"/>
    </row>
    <row r="502" ht="15.75" customHeight="1">
      <c r="A502" s="9"/>
      <c r="B502" s="9"/>
      <c r="G502" s="9"/>
      <c r="H502" s="9"/>
    </row>
    <row r="503" ht="15.75" customHeight="1">
      <c r="A503" s="9"/>
      <c r="B503" s="9"/>
      <c r="G503" s="9"/>
      <c r="H503" s="9"/>
    </row>
    <row r="504" ht="15.75" customHeight="1">
      <c r="A504" s="9"/>
      <c r="B504" s="9"/>
      <c r="G504" s="9"/>
      <c r="H504" s="9"/>
    </row>
    <row r="505" ht="15.75" customHeight="1">
      <c r="A505" s="9"/>
      <c r="B505" s="9"/>
      <c r="G505" s="9"/>
      <c r="H505" s="9"/>
    </row>
    <row r="506" ht="15.75" customHeight="1">
      <c r="A506" s="9"/>
      <c r="B506" s="9"/>
      <c r="G506" s="9"/>
      <c r="H506" s="9"/>
    </row>
    <row r="507" ht="15.75" customHeight="1">
      <c r="A507" s="9"/>
      <c r="B507" s="9"/>
      <c r="G507" s="9"/>
      <c r="H507" s="9"/>
    </row>
    <row r="508" ht="15.75" customHeight="1">
      <c r="A508" s="9"/>
      <c r="B508" s="9"/>
      <c r="G508" s="9"/>
      <c r="H508" s="9"/>
    </row>
    <row r="509" ht="15.75" customHeight="1">
      <c r="A509" s="9"/>
      <c r="B509" s="9"/>
      <c r="G509" s="9"/>
      <c r="H509" s="9"/>
    </row>
    <row r="510" ht="15.75" customHeight="1">
      <c r="A510" s="9"/>
      <c r="B510" s="9"/>
      <c r="G510" s="9"/>
      <c r="H510" s="9"/>
    </row>
    <row r="511" ht="15.75" customHeight="1">
      <c r="A511" s="9"/>
      <c r="B511" s="9"/>
      <c r="G511" s="9"/>
      <c r="H511" s="9"/>
    </row>
    <row r="512" ht="15.75" customHeight="1">
      <c r="A512" s="9"/>
      <c r="B512" s="9"/>
      <c r="G512" s="9"/>
      <c r="H512" s="9"/>
    </row>
    <row r="513" ht="15.75" customHeight="1">
      <c r="A513" s="9"/>
      <c r="B513" s="9"/>
      <c r="G513" s="9"/>
      <c r="H513" s="9"/>
    </row>
    <row r="514" ht="15.75" customHeight="1">
      <c r="A514" s="9"/>
      <c r="B514" s="9"/>
      <c r="G514" s="9"/>
      <c r="H514" s="9"/>
    </row>
    <row r="515" ht="15.75" customHeight="1">
      <c r="A515" s="9"/>
      <c r="B515" s="9"/>
      <c r="G515" s="9"/>
      <c r="H515" s="9"/>
    </row>
    <row r="516" ht="15.75" customHeight="1">
      <c r="A516" s="9"/>
      <c r="B516" s="9"/>
      <c r="G516" s="9"/>
      <c r="H516" s="9"/>
    </row>
    <row r="517" ht="15.75" customHeight="1">
      <c r="A517" s="9"/>
      <c r="B517" s="9"/>
      <c r="G517" s="9"/>
      <c r="H517" s="9"/>
    </row>
    <row r="518" ht="15.75" customHeight="1">
      <c r="A518" s="9"/>
      <c r="B518" s="9"/>
      <c r="G518" s="9"/>
      <c r="H518" s="9"/>
    </row>
    <row r="519" ht="15.75" customHeight="1">
      <c r="A519" s="9"/>
      <c r="B519" s="9"/>
      <c r="G519" s="9"/>
      <c r="H519" s="9"/>
    </row>
    <row r="520" ht="15.75" customHeight="1">
      <c r="A520" s="9"/>
      <c r="B520" s="9"/>
      <c r="G520" s="9"/>
      <c r="H520" s="9"/>
    </row>
    <row r="521" ht="15.75" customHeight="1">
      <c r="A521" s="9"/>
      <c r="B521" s="9"/>
      <c r="G521" s="9"/>
      <c r="H521" s="9"/>
    </row>
    <row r="522" ht="15.75" customHeight="1">
      <c r="A522" s="9"/>
      <c r="B522" s="9"/>
      <c r="G522" s="9"/>
      <c r="H522" s="9"/>
    </row>
    <row r="523" ht="15.75" customHeight="1">
      <c r="A523" s="9"/>
      <c r="B523" s="9"/>
      <c r="G523" s="9"/>
      <c r="H523" s="9"/>
    </row>
    <row r="524" ht="15.75" customHeight="1">
      <c r="A524" s="9"/>
      <c r="B524" s="9"/>
      <c r="G524" s="9"/>
      <c r="H524" s="9"/>
    </row>
    <row r="525" ht="15.75" customHeight="1">
      <c r="A525" s="9"/>
      <c r="B525" s="9"/>
      <c r="G525" s="9"/>
      <c r="H525" s="9"/>
    </row>
    <row r="526" ht="15.75" customHeight="1">
      <c r="A526" s="9"/>
      <c r="B526" s="9"/>
      <c r="G526" s="9"/>
      <c r="H526" s="9"/>
    </row>
    <row r="527" ht="15.75" customHeight="1">
      <c r="A527" s="9"/>
      <c r="B527" s="9"/>
      <c r="G527" s="9"/>
      <c r="H527" s="9"/>
    </row>
    <row r="528" ht="15.75" customHeight="1">
      <c r="A528" s="9"/>
      <c r="B528" s="9"/>
      <c r="G528" s="9"/>
      <c r="H528" s="9"/>
    </row>
    <row r="529" ht="15.75" customHeight="1">
      <c r="A529" s="9"/>
      <c r="B529" s="9"/>
      <c r="G529" s="9"/>
      <c r="H529" s="9"/>
    </row>
    <row r="530" ht="15.75" customHeight="1">
      <c r="A530" s="9"/>
      <c r="B530" s="9"/>
      <c r="G530" s="9"/>
      <c r="H530" s="9"/>
    </row>
    <row r="531" ht="15.75" customHeight="1">
      <c r="A531" s="9"/>
      <c r="B531" s="9"/>
      <c r="G531" s="9"/>
      <c r="H531" s="9"/>
    </row>
    <row r="532" ht="15.75" customHeight="1">
      <c r="A532" s="9"/>
      <c r="B532" s="9"/>
      <c r="G532" s="9"/>
      <c r="H532" s="9"/>
    </row>
    <row r="533" ht="15.75" customHeight="1">
      <c r="A533" s="9"/>
      <c r="B533" s="9"/>
      <c r="G533" s="9"/>
      <c r="H533" s="9"/>
    </row>
    <row r="534" ht="15.75" customHeight="1">
      <c r="A534" s="9"/>
      <c r="B534" s="9"/>
      <c r="G534" s="9"/>
      <c r="H534" s="9"/>
    </row>
    <row r="535" ht="15.75" customHeight="1">
      <c r="A535" s="9"/>
      <c r="B535" s="9"/>
      <c r="G535" s="9"/>
      <c r="H535" s="9"/>
    </row>
    <row r="536" ht="15.75" customHeight="1">
      <c r="A536" s="9"/>
      <c r="B536" s="9"/>
      <c r="G536" s="9"/>
      <c r="H536" s="9"/>
    </row>
    <row r="537" ht="15.75" customHeight="1">
      <c r="A537" s="9"/>
      <c r="B537" s="9"/>
      <c r="G537" s="9"/>
      <c r="H537" s="9"/>
    </row>
    <row r="538" ht="15.75" customHeight="1">
      <c r="A538" s="9"/>
      <c r="B538" s="9"/>
      <c r="G538" s="9"/>
      <c r="H538" s="9"/>
    </row>
    <row r="539" ht="15.75" customHeight="1">
      <c r="A539" s="9"/>
      <c r="B539" s="9"/>
      <c r="G539" s="9"/>
      <c r="H539" s="9"/>
    </row>
    <row r="540" ht="15.75" customHeight="1">
      <c r="A540" s="9"/>
      <c r="B540" s="9"/>
      <c r="G540" s="9"/>
      <c r="H540" s="9"/>
    </row>
    <row r="541" ht="15.75" customHeight="1">
      <c r="A541" s="9"/>
      <c r="B541" s="9"/>
      <c r="G541" s="9"/>
      <c r="H541" s="9"/>
    </row>
    <row r="542" ht="15.75" customHeight="1">
      <c r="A542" s="9"/>
      <c r="B542" s="9"/>
      <c r="G542" s="9"/>
      <c r="H542" s="9"/>
    </row>
    <row r="543" ht="15.75" customHeight="1">
      <c r="A543" s="9"/>
      <c r="B543" s="9"/>
      <c r="G543" s="9"/>
      <c r="H543" s="9"/>
    </row>
    <row r="544" ht="15.75" customHeight="1">
      <c r="A544" s="9"/>
      <c r="B544" s="9"/>
      <c r="G544" s="9"/>
      <c r="H544" s="9"/>
    </row>
    <row r="545" ht="15.75" customHeight="1">
      <c r="A545" s="9"/>
      <c r="B545" s="9"/>
      <c r="G545" s="9"/>
      <c r="H545" s="9"/>
    </row>
    <row r="546" ht="15.75" customHeight="1">
      <c r="A546" s="9"/>
      <c r="B546" s="9"/>
      <c r="G546" s="9"/>
      <c r="H546" s="9"/>
    </row>
    <row r="547" ht="15.75" customHeight="1">
      <c r="A547" s="9"/>
      <c r="B547" s="9"/>
      <c r="G547" s="9"/>
      <c r="H547" s="9"/>
    </row>
    <row r="548" ht="15.75" customHeight="1">
      <c r="A548" s="9"/>
      <c r="B548" s="9"/>
      <c r="G548" s="9"/>
      <c r="H548" s="9"/>
    </row>
    <row r="549" ht="15.75" customHeight="1">
      <c r="A549" s="9"/>
      <c r="B549" s="9"/>
      <c r="G549" s="9"/>
      <c r="H549" s="9"/>
    </row>
    <row r="550" ht="15.75" customHeight="1">
      <c r="A550" s="9"/>
      <c r="B550" s="9"/>
      <c r="G550" s="9"/>
      <c r="H550" s="9"/>
    </row>
    <row r="551" ht="15.75" customHeight="1">
      <c r="A551" s="9"/>
      <c r="B551" s="9"/>
      <c r="G551" s="9"/>
      <c r="H551" s="9"/>
    </row>
    <row r="552" ht="15.75" customHeight="1">
      <c r="A552" s="9"/>
      <c r="B552" s="9"/>
      <c r="G552" s="9"/>
      <c r="H552" s="9"/>
    </row>
    <row r="553" ht="15.75" customHeight="1">
      <c r="A553" s="9"/>
      <c r="B553" s="9"/>
      <c r="G553" s="9"/>
      <c r="H553" s="9"/>
    </row>
    <row r="554" ht="15.75" customHeight="1">
      <c r="A554" s="9"/>
      <c r="B554" s="9"/>
      <c r="G554" s="9"/>
      <c r="H554" s="9"/>
    </row>
    <row r="555" ht="15.75" customHeight="1">
      <c r="A555" s="9"/>
      <c r="B555" s="9"/>
      <c r="G555" s="9"/>
      <c r="H555" s="9"/>
    </row>
    <row r="556" ht="15.75" customHeight="1">
      <c r="A556" s="9"/>
      <c r="B556" s="9"/>
      <c r="G556" s="9"/>
      <c r="H556" s="9"/>
    </row>
    <row r="557" ht="15.75" customHeight="1">
      <c r="A557" s="9"/>
      <c r="B557" s="9"/>
      <c r="G557" s="9"/>
      <c r="H557" s="9"/>
    </row>
    <row r="558" ht="15.75" customHeight="1">
      <c r="A558" s="9"/>
      <c r="B558" s="9"/>
      <c r="G558" s="9"/>
      <c r="H558" s="9"/>
    </row>
    <row r="559" ht="15.75" customHeight="1">
      <c r="A559" s="9"/>
      <c r="B559" s="9"/>
      <c r="G559" s="9"/>
      <c r="H559" s="9"/>
    </row>
    <row r="560" ht="15.75" customHeight="1">
      <c r="A560" s="9"/>
      <c r="B560" s="9"/>
      <c r="G560" s="9"/>
      <c r="H560" s="9"/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G271:G272"/>
    <mergeCell ref="H271:H272"/>
    <mergeCell ref="G267:G270"/>
    <mergeCell ref="G279:G280"/>
    <mergeCell ref="G308:G309"/>
    <mergeCell ref="H308:H309"/>
    <mergeCell ref="A279:A280"/>
    <mergeCell ref="A308:A309"/>
    <mergeCell ref="A254:A264"/>
    <mergeCell ref="G254:G264"/>
    <mergeCell ref="H254:H264"/>
    <mergeCell ref="A267:A270"/>
    <mergeCell ref="H267:H270"/>
    <mergeCell ref="A271:A272"/>
    <mergeCell ref="H279:H28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0" width="12.5"/>
  </cols>
  <sheetData>
    <row r="1" ht="33.75" customHeight="1">
      <c r="A1" s="54" t="s">
        <v>0</v>
      </c>
      <c r="B1" s="54" t="s">
        <v>1</v>
      </c>
      <c r="C1" s="1" t="s">
        <v>2</v>
      </c>
      <c r="D1" s="55">
        <v>2013.0</v>
      </c>
      <c r="E1" s="56" t="s">
        <v>380</v>
      </c>
      <c r="F1" s="1" t="s">
        <v>4</v>
      </c>
      <c r="G1" s="55">
        <v>2024.0</v>
      </c>
      <c r="H1" s="56" t="s">
        <v>381</v>
      </c>
      <c r="I1" s="57"/>
      <c r="J1" s="21" t="s">
        <v>106</v>
      </c>
      <c r="K1" s="21" t="s">
        <v>107</v>
      </c>
      <c r="L1" s="55">
        <v>2013.0</v>
      </c>
      <c r="M1" s="56" t="s">
        <v>382</v>
      </c>
      <c r="N1" s="58" t="s">
        <v>383</v>
      </c>
      <c r="O1" s="55">
        <v>2024.0</v>
      </c>
      <c r="P1" s="56" t="s">
        <v>381</v>
      </c>
      <c r="Q1" s="58" t="s">
        <v>4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5.75" customHeight="1">
      <c r="A2" s="7">
        <v>10101.0</v>
      </c>
      <c r="B2" s="7" t="s">
        <v>6</v>
      </c>
      <c r="C2" s="7">
        <v>63.57</v>
      </c>
      <c r="D2" s="59">
        <v>264549.0</v>
      </c>
      <c r="E2" s="60">
        <f t="shared" ref="E2:E344" si="2">+C2*D2</f>
        <v>16817379.93</v>
      </c>
      <c r="F2" s="7">
        <v>53.82</v>
      </c>
      <c r="G2" s="59">
        <v>296746.0</v>
      </c>
      <c r="H2" s="60">
        <f t="shared" ref="H2:H344" si="3">+F2*G2</f>
        <v>15970869.72</v>
      </c>
      <c r="I2" s="61"/>
      <c r="J2" s="7">
        <v>1.0</v>
      </c>
      <c r="K2" s="7" t="s">
        <v>109</v>
      </c>
      <c r="L2" s="59">
        <f t="shared" ref="L2:M2" si="1">SUM(D2:D30)</f>
        <v>583015</v>
      </c>
      <c r="M2" s="7">
        <f t="shared" si="1"/>
        <v>16817379.93</v>
      </c>
      <c r="N2" s="62">
        <f t="shared" ref="N2:N10" si="5">M2/L2</f>
        <v>28.84553559</v>
      </c>
      <c r="O2" s="59">
        <v>606027.0</v>
      </c>
      <c r="P2" s="7">
        <f>SUM(H2:H30)</f>
        <v>15970869.72</v>
      </c>
      <c r="Q2" s="62">
        <f t="shared" ref="Q2:Q12" si="6">+P2/O2</f>
        <v>26.35339633</v>
      </c>
    </row>
    <row r="3" ht="15.75" customHeight="1">
      <c r="A3" s="7">
        <v>10102.0</v>
      </c>
      <c r="B3" s="7" t="s">
        <v>8</v>
      </c>
      <c r="C3" s="7">
        <v>0.0</v>
      </c>
      <c r="D3" s="59">
        <v>9443.916666666666</v>
      </c>
      <c r="E3" s="60">
        <f t="shared" si="2"/>
        <v>0</v>
      </c>
      <c r="F3" s="7">
        <v>0.0</v>
      </c>
      <c r="G3" s="59">
        <v>9256.0</v>
      </c>
      <c r="H3" s="60">
        <f t="shared" si="3"/>
        <v>0</v>
      </c>
      <c r="J3" s="7">
        <v>2.0</v>
      </c>
      <c r="K3" s="7" t="s">
        <v>111</v>
      </c>
      <c r="L3" s="59">
        <f t="shared" ref="L3:M3" si="4">SUM(D31:D117)</f>
        <v>2745308.417</v>
      </c>
      <c r="M3" s="7">
        <f t="shared" si="4"/>
        <v>22515416.06</v>
      </c>
      <c r="N3" s="62">
        <f t="shared" si="5"/>
        <v>8.201415885</v>
      </c>
      <c r="O3" s="59">
        <v>3030917.0</v>
      </c>
      <c r="P3" s="7">
        <f>SUM(H31:H117)</f>
        <v>48390153.28</v>
      </c>
      <c r="Q3" s="62">
        <f t="shared" si="6"/>
        <v>15.96551581</v>
      </c>
    </row>
    <row r="4" ht="15.75" customHeight="1">
      <c r="A4" s="7">
        <v>10103.0</v>
      </c>
      <c r="B4" s="7" t="s">
        <v>17</v>
      </c>
      <c r="C4" s="7">
        <v>0.0</v>
      </c>
      <c r="D4" s="59">
        <v>16291.75</v>
      </c>
      <c r="E4" s="60">
        <f t="shared" si="2"/>
        <v>0</v>
      </c>
      <c r="F4" s="7">
        <v>0.0</v>
      </c>
      <c r="G4" s="59">
        <v>13649.0</v>
      </c>
      <c r="H4" s="60">
        <f t="shared" si="3"/>
        <v>0</v>
      </c>
      <c r="J4" s="7">
        <v>3.0</v>
      </c>
      <c r="K4" s="7" t="s">
        <v>113</v>
      </c>
      <c r="L4" s="59">
        <f t="shared" ref="L4:M4" si="7">SUM(D118:D165)</f>
        <v>1783894</v>
      </c>
      <c r="M4" s="7">
        <f t="shared" si="7"/>
        <v>76493882</v>
      </c>
      <c r="N4" s="62">
        <f t="shared" si="5"/>
        <v>42.88028437</v>
      </c>
      <c r="O4" s="59">
        <v>2016357.0</v>
      </c>
      <c r="P4" s="7">
        <f>SUM(H118:H165)</f>
        <v>128624105.8</v>
      </c>
      <c r="Q4" s="62">
        <f t="shared" si="6"/>
        <v>63.79034357</v>
      </c>
    </row>
    <row r="5" ht="15.75" customHeight="1">
      <c r="A5" s="7">
        <v>10201.0</v>
      </c>
      <c r="B5" s="7" t="s">
        <v>19</v>
      </c>
      <c r="C5" s="7">
        <v>0.0</v>
      </c>
      <c r="D5" s="59">
        <v>10422.916666666666</v>
      </c>
      <c r="E5" s="60">
        <f t="shared" si="2"/>
        <v>0</v>
      </c>
      <c r="F5" s="7">
        <v>0.0</v>
      </c>
      <c r="G5" s="59">
        <v>7903.0</v>
      </c>
      <c r="H5" s="60">
        <f t="shared" si="3"/>
        <v>0</v>
      </c>
      <c r="J5" s="7">
        <v>4.0</v>
      </c>
      <c r="K5" s="7" t="s">
        <v>115</v>
      </c>
      <c r="L5" s="59">
        <f t="shared" ref="L5:M5" si="8">SUM(D166:D200)</f>
        <v>500994</v>
      </c>
      <c r="M5" s="7">
        <f t="shared" si="8"/>
        <v>0</v>
      </c>
      <c r="N5" s="62">
        <f t="shared" si="5"/>
        <v>0</v>
      </c>
      <c r="O5" s="59">
        <v>571471.0</v>
      </c>
      <c r="P5" s="7">
        <f>SUM(H166:H200)</f>
        <v>4372046.07</v>
      </c>
      <c r="Q5" s="62">
        <f t="shared" si="6"/>
        <v>7.650512572</v>
      </c>
    </row>
    <row r="6" ht="15.75" customHeight="1">
      <c r="A6" s="7">
        <v>10202.0</v>
      </c>
      <c r="B6" s="7" t="s">
        <v>21</v>
      </c>
      <c r="C6" s="7">
        <v>0.0</v>
      </c>
      <c r="D6" s="59">
        <v>14473.583333333334</v>
      </c>
      <c r="E6" s="60">
        <f t="shared" si="2"/>
        <v>0</v>
      </c>
      <c r="F6" s="7">
        <v>0.0</v>
      </c>
      <c r="G6" s="59">
        <v>16812.0</v>
      </c>
      <c r="H6" s="60">
        <f t="shared" si="3"/>
        <v>0</v>
      </c>
      <c r="J6" s="7">
        <v>5.0</v>
      </c>
      <c r="K6" s="7" t="s">
        <v>117</v>
      </c>
      <c r="L6" s="59">
        <f t="shared" ref="L6:M6" si="9">SUM(D201:D242)</f>
        <v>831248.25</v>
      </c>
      <c r="M6" s="7">
        <f t="shared" si="9"/>
        <v>0</v>
      </c>
      <c r="N6" s="62">
        <f t="shared" si="5"/>
        <v>0</v>
      </c>
      <c r="O6" s="59">
        <v>861292.0</v>
      </c>
      <c r="P6" s="7">
        <f>SUM(H201:H242)</f>
        <v>1623286</v>
      </c>
      <c r="Q6" s="62">
        <f t="shared" si="6"/>
        <v>1.884710412</v>
      </c>
    </row>
    <row r="7" ht="15.75" customHeight="1">
      <c r="A7" s="7">
        <v>10301.0</v>
      </c>
      <c r="B7" s="7" t="s">
        <v>23</v>
      </c>
      <c r="C7" s="7">
        <v>0.0</v>
      </c>
      <c r="D7" s="59">
        <v>11556.333333333334</v>
      </c>
      <c r="E7" s="60">
        <f t="shared" si="2"/>
        <v>0</v>
      </c>
      <c r="F7" s="7">
        <v>0.0</v>
      </c>
      <c r="G7" s="59">
        <v>13694.0</v>
      </c>
      <c r="H7" s="60">
        <f t="shared" si="3"/>
        <v>0</v>
      </c>
      <c r="J7" s="7">
        <v>6.0</v>
      </c>
      <c r="K7" s="7" t="s">
        <v>119</v>
      </c>
      <c r="L7" s="59">
        <f t="shared" ref="L7:M7" si="10">SUM(D243:D253)</f>
        <v>487742.3333</v>
      </c>
      <c r="M7" s="7">
        <f t="shared" si="10"/>
        <v>36501801.22</v>
      </c>
      <c r="N7" s="62">
        <f t="shared" si="5"/>
        <v>74.83828802</v>
      </c>
      <c r="O7" s="59">
        <v>534210.0</v>
      </c>
      <c r="P7" s="7">
        <f>SUM(H243:H253)</f>
        <v>41824845.62</v>
      </c>
      <c r="Q7" s="62">
        <f t="shared" si="6"/>
        <v>78.2928916</v>
      </c>
    </row>
    <row r="8" ht="15.75" customHeight="1">
      <c r="A8" s="7">
        <v>10302.0</v>
      </c>
      <c r="B8" s="7" t="s">
        <v>25</v>
      </c>
      <c r="C8" s="7">
        <v>0.0</v>
      </c>
      <c r="D8" s="59">
        <v>12397.833333333334</v>
      </c>
      <c r="E8" s="60">
        <f t="shared" si="2"/>
        <v>0</v>
      </c>
      <c r="F8" s="7">
        <v>0.0</v>
      </c>
      <c r="G8" s="59">
        <v>12539.0</v>
      </c>
      <c r="H8" s="60">
        <f t="shared" si="3"/>
        <v>0</v>
      </c>
      <c r="J8" s="7">
        <v>7.0</v>
      </c>
      <c r="K8" s="7" t="s">
        <v>121</v>
      </c>
      <c r="L8" s="59">
        <f t="shared" ref="L8:M8" si="11">SUM(D254:D309)</f>
        <v>2696498.917</v>
      </c>
      <c r="M8" s="7">
        <f t="shared" si="11"/>
        <v>153005616.1</v>
      </c>
      <c r="N8" s="62">
        <f t="shared" si="5"/>
        <v>56.74232433</v>
      </c>
      <c r="O8" s="59">
        <v>3122605.0</v>
      </c>
      <c r="P8" s="7">
        <f>SUM(H254:H309)</f>
        <v>189906452.1</v>
      </c>
      <c r="Q8" s="62">
        <f t="shared" si="6"/>
        <v>60.81667458</v>
      </c>
    </row>
    <row r="9" ht="15.75" customHeight="1">
      <c r="A9" s="7">
        <v>10303.0</v>
      </c>
      <c r="B9" s="7" t="s">
        <v>27</v>
      </c>
      <c r="C9" s="7">
        <v>0.0</v>
      </c>
      <c r="D9" s="59">
        <v>8150.25</v>
      </c>
      <c r="E9" s="60">
        <f t="shared" si="2"/>
        <v>0</v>
      </c>
      <c r="F9" s="7">
        <v>0.0</v>
      </c>
      <c r="G9" s="59">
        <v>9055.0</v>
      </c>
      <c r="H9" s="60">
        <f t="shared" si="3"/>
        <v>0</v>
      </c>
      <c r="J9" s="7">
        <v>8.0</v>
      </c>
      <c r="K9" s="7" t="s">
        <v>123</v>
      </c>
      <c r="L9" s="59">
        <f t="shared" ref="L9:M9" si="12">SUM(D310:D329)</f>
        <v>427529</v>
      </c>
      <c r="M9" s="7">
        <f t="shared" si="12"/>
        <v>18486017.59</v>
      </c>
      <c r="N9" s="62">
        <f t="shared" si="5"/>
        <v>43.23921322</v>
      </c>
      <c r="O9" s="59">
        <v>488260.0</v>
      </c>
      <c r="P9" s="7">
        <f>SUM(H310:H329)</f>
        <v>25465765.56</v>
      </c>
      <c r="Q9" s="62">
        <f t="shared" si="6"/>
        <v>52.1561577</v>
      </c>
    </row>
    <row r="10" ht="15.75" customHeight="1">
      <c r="A10" s="7">
        <v>10304.0</v>
      </c>
      <c r="B10" s="7" t="s">
        <v>28</v>
      </c>
      <c r="C10" s="7">
        <v>0.0</v>
      </c>
      <c r="D10" s="59">
        <v>7889.083333333333</v>
      </c>
      <c r="E10" s="60">
        <f t="shared" si="2"/>
        <v>0</v>
      </c>
      <c r="F10" s="7">
        <v>0.0</v>
      </c>
      <c r="G10" s="59">
        <v>9155.0</v>
      </c>
      <c r="H10" s="60">
        <f t="shared" si="3"/>
        <v>0</v>
      </c>
      <c r="J10" s="7">
        <v>9.0</v>
      </c>
      <c r="K10" s="7" t="s">
        <v>125</v>
      </c>
      <c r="L10" s="59">
        <f t="shared" ref="L10:M10" si="13">SUM(D330:D344)</f>
        <v>112415.8333</v>
      </c>
      <c r="M10" s="7">
        <f t="shared" si="13"/>
        <v>0</v>
      </c>
      <c r="N10" s="62">
        <f t="shared" si="5"/>
        <v>0</v>
      </c>
      <c r="O10" s="59">
        <v>134194.0</v>
      </c>
      <c r="P10" s="7">
        <f>SUM(H330:H344)</f>
        <v>0</v>
      </c>
      <c r="Q10" s="62">
        <f t="shared" si="6"/>
        <v>0</v>
      </c>
    </row>
    <row r="11" ht="15.75" customHeight="1">
      <c r="A11" s="7">
        <v>10401.0</v>
      </c>
      <c r="B11" s="7" t="s">
        <v>30</v>
      </c>
      <c r="C11" s="7">
        <v>0.0</v>
      </c>
      <c r="D11" s="59">
        <v>10283.75</v>
      </c>
      <c r="E11" s="60">
        <f t="shared" si="2"/>
        <v>0</v>
      </c>
      <c r="F11" s="7">
        <v>0.0</v>
      </c>
      <c r="G11" s="59">
        <v>9192.0</v>
      </c>
      <c r="H11" s="60">
        <f t="shared" si="3"/>
        <v>0</v>
      </c>
      <c r="J11" s="27">
        <v>11.0</v>
      </c>
      <c r="K11" s="23" t="s">
        <v>127</v>
      </c>
      <c r="L11" s="63">
        <f t="shared" ref="L11:M11" si="14">SUM(L2:L10)</f>
        <v>10168645.75</v>
      </c>
      <c r="M11" s="63">
        <f t="shared" si="14"/>
        <v>323820112.9</v>
      </c>
      <c r="N11" s="64">
        <f t="shared" ref="N11:N12" si="17">+M11/L11</f>
        <v>31.84495958</v>
      </c>
      <c r="O11" s="63">
        <f t="shared" ref="O11:P11" si="15">SUM(O2:O10)</f>
        <v>11365333</v>
      </c>
      <c r="P11" s="63">
        <f t="shared" si="15"/>
        <v>456177524.2</v>
      </c>
      <c r="Q11" s="64">
        <f t="shared" si="6"/>
        <v>40.13762942</v>
      </c>
    </row>
    <row r="12" ht="15.75" customHeight="1">
      <c r="A12" s="7">
        <v>10402.0</v>
      </c>
      <c r="B12" s="7" t="s">
        <v>33</v>
      </c>
      <c r="C12" s="7">
        <v>0.0</v>
      </c>
      <c r="D12" s="59">
        <v>8495.25</v>
      </c>
      <c r="E12" s="60">
        <f t="shared" si="2"/>
        <v>0</v>
      </c>
      <c r="F12" s="7">
        <v>0.0</v>
      </c>
      <c r="G12" s="59">
        <v>8509.0</v>
      </c>
      <c r="H12" s="60">
        <f t="shared" si="3"/>
        <v>0</v>
      </c>
      <c r="J12" s="7">
        <v>10.0</v>
      </c>
      <c r="K12" s="7" t="s">
        <v>129</v>
      </c>
      <c r="L12" s="65">
        <f t="shared" ref="L12:M12" si="16">SUM(D246:D248)</f>
        <v>148460.1667</v>
      </c>
      <c r="M12" s="65">
        <f t="shared" si="16"/>
        <v>11691504.73</v>
      </c>
      <c r="N12" s="66">
        <f t="shared" si="17"/>
        <v>78.75179581</v>
      </c>
      <c r="O12" s="65">
        <f t="shared" ref="O12:P12" si="18">SUM(G246:G248)</f>
        <v>159264</v>
      </c>
      <c r="P12" s="65">
        <f t="shared" si="18"/>
        <v>11377290.02</v>
      </c>
      <c r="Q12" s="66">
        <f t="shared" si="6"/>
        <v>71.43667131</v>
      </c>
    </row>
    <row r="13" ht="15.75" customHeight="1">
      <c r="A13" s="7">
        <v>10403.0</v>
      </c>
      <c r="B13" s="7" t="s">
        <v>34</v>
      </c>
      <c r="C13" s="7">
        <v>0.0</v>
      </c>
      <c r="D13" s="59">
        <v>7281.166666666667</v>
      </c>
      <c r="E13" s="60">
        <f t="shared" si="2"/>
        <v>0</v>
      </c>
      <c r="F13" s="7">
        <v>0.0</v>
      </c>
      <c r="G13" s="59">
        <v>6942.0</v>
      </c>
      <c r="H13" s="60">
        <f t="shared" si="3"/>
        <v>0</v>
      </c>
      <c r="N13" s="67"/>
      <c r="Q13" s="67"/>
    </row>
    <row r="14" ht="15.75" customHeight="1">
      <c r="A14" s="7">
        <v>10404.0</v>
      </c>
      <c r="B14" s="7" t="s">
        <v>35</v>
      </c>
      <c r="C14" s="7">
        <v>0.0</v>
      </c>
      <c r="D14" s="59">
        <v>4807.5</v>
      </c>
      <c r="E14" s="60">
        <f t="shared" si="2"/>
        <v>0</v>
      </c>
      <c r="F14" s="7">
        <v>0.0</v>
      </c>
      <c r="G14" s="59">
        <v>3768.0</v>
      </c>
      <c r="H14" s="60">
        <f t="shared" si="3"/>
        <v>0</v>
      </c>
      <c r="N14" s="67"/>
      <c r="Q14" s="67"/>
    </row>
    <row r="15" ht="15.75" customHeight="1">
      <c r="A15" s="7">
        <v>10405.0</v>
      </c>
      <c r="B15" s="7" t="s">
        <v>36</v>
      </c>
      <c r="C15" s="7">
        <v>0.0</v>
      </c>
      <c r="D15" s="59">
        <v>4564.083333333333</v>
      </c>
      <c r="E15" s="60">
        <f t="shared" si="2"/>
        <v>0</v>
      </c>
      <c r="F15" s="7">
        <v>0.0</v>
      </c>
      <c r="G15" s="59">
        <v>5654.0</v>
      </c>
      <c r="H15" s="60">
        <f t="shared" si="3"/>
        <v>0</v>
      </c>
      <c r="N15" s="67"/>
      <c r="Q15" s="67"/>
    </row>
    <row r="16" ht="15.75" customHeight="1">
      <c r="A16" s="7">
        <v>10501.0</v>
      </c>
      <c r="B16" s="7" t="s">
        <v>37</v>
      </c>
      <c r="C16" s="7">
        <v>0.0</v>
      </c>
      <c r="D16" s="59">
        <v>24323.25</v>
      </c>
      <c r="E16" s="60">
        <f t="shared" si="2"/>
        <v>0</v>
      </c>
      <c r="F16" s="7">
        <v>0.0</v>
      </c>
      <c r="G16" s="59">
        <v>24546.0</v>
      </c>
      <c r="H16" s="60">
        <f t="shared" si="3"/>
        <v>0</v>
      </c>
      <c r="N16" s="67"/>
      <c r="Q16" s="67"/>
    </row>
    <row r="17" ht="15.75" customHeight="1">
      <c r="A17" s="7">
        <v>10502.0</v>
      </c>
      <c r="B17" s="7" t="s">
        <v>38</v>
      </c>
      <c r="C17" s="7">
        <v>0.0</v>
      </c>
      <c r="D17" s="59">
        <v>8253.25</v>
      </c>
      <c r="E17" s="60">
        <f t="shared" si="2"/>
        <v>0</v>
      </c>
      <c r="F17" s="7">
        <v>0.0</v>
      </c>
      <c r="G17" s="59">
        <v>7200.0</v>
      </c>
      <c r="H17" s="60">
        <f t="shared" si="3"/>
        <v>0</v>
      </c>
      <c r="N17" s="67"/>
      <c r="Q17" s="67"/>
    </row>
    <row r="18" ht="15.75" customHeight="1">
      <c r="A18" s="7">
        <v>10601.0</v>
      </c>
      <c r="B18" s="7" t="s">
        <v>39</v>
      </c>
      <c r="C18" s="7">
        <v>0.0</v>
      </c>
      <c r="D18" s="59">
        <v>16642.25</v>
      </c>
      <c r="E18" s="60">
        <f t="shared" si="2"/>
        <v>0</v>
      </c>
      <c r="F18" s="7">
        <v>0.0</v>
      </c>
      <c r="G18" s="59">
        <v>13323.0</v>
      </c>
      <c r="H18" s="60">
        <f t="shared" si="3"/>
        <v>0</v>
      </c>
      <c r="N18" s="67"/>
      <c r="Q18" s="67"/>
    </row>
    <row r="19" ht="15.75" customHeight="1">
      <c r="A19" s="7">
        <v>10602.0</v>
      </c>
      <c r="B19" s="7" t="s">
        <v>41</v>
      </c>
      <c r="C19" s="7">
        <v>0.0</v>
      </c>
      <c r="D19" s="59">
        <v>9975.083333333334</v>
      </c>
      <c r="E19" s="60">
        <f t="shared" si="2"/>
        <v>0</v>
      </c>
      <c r="F19" s="7">
        <v>0.0</v>
      </c>
      <c r="G19" s="59">
        <v>8480.0</v>
      </c>
      <c r="H19" s="60">
        <f t="shared" si="3"/>
        <v>0</v>
      </c>
      <c r="N19" s="67"/>
      <c r="Q19" s="67"/>
    </row>
    <row r="20" ht="15.75" customHeight="1">
      <c r="A20" s="7">
        <v>10701.0</v>
      </c>
      <c r="B20" s="7" t="s">
        <v>42</v>
      </c>
      <c r="C20" s="7">
        <v>0.0</v>
      </c>
      <c r="D20" s="59">
        <v>15566.416666666666</v>
      </c>
      <c r="E20" s="60">
        <f t="shared" si="2"/>
        <v>0</v>
      </c>
      <c r="F20" s="7">
        <v>0.0</v>
      </c>
      <c r="G20" s="59">
        <v>14713.0</v>
      </c>
      <c r="H20" s="60">
        <f t="shared" si="3"/>
        <v>0</v>
      </c>
      <c r="N20" s="67"/>
      <c r="Q20" s="67"/>
    </row>
    <row r="21" ht="15.75" customHeight="1">
      <c r="A21" s="7">
        <v>10702.0</v>
      </c>
      <c r="B21" s="7" t="s">
        <v>43</v>
      </c>
      <c r="C21" s="7">
        <v>0.0</v>
      </c>
      <c r="D21" s="59">
        <v>32036.25</v>
      </c>
      <c r="E21" s="60">
        <f t="shared" si="2"/>
        <v>0</v>
      </c>
      <c r="F21" s="7">
        <v>0.0</v>
      </c>
      <c r="G21" s="59">
        <v>26715.0</v>
      </c>
      <c r="H21" s="60">
        <f t="shared" si="3"/>
        <v>0</v>
      </c>
      <c r="N21" s="67"/>
      <c r="Q21" s="67"/>
    </row>
    <row r="22" ht="15.75" customHeight="1">
      <c r="A22" s="7">
        <v>10703.0</v>
      </c>
      <c r="B22" s="7" t="s">
        <v>44</v>
      </c>
      <c r="C22" s="7">
        <v>0.0</v>
      </c>
      <c r="D22" s="59">
        <v>13341.666666666666</v>
      </c>
      <c r="E22" s="60">
        <f t="shared" si="2"/>
        <v>0</v>
      </c>
      <c r="F22" s="7">
        <v>0.0</v>
      </c>
      <c r="G22" s="59">
        <v>16484.0</v>
      </c>
      <c r="H22" s="60">
        <f t="shared" si="3"/>
        <v>0</v>
      </c>
      <c r="N22" s="67"/>
      <c r="Q22" s="67"/>
    </row>
    <row r="23" ht="15.75" customHeight="1">
      <c r="A23" s="7">
        <v>10704.0</v>
      </c>
      <c r="B23" s="7" t="s">
        <v>45</v>
      </c>
      <c r="C23" s="7">
        <v>0.0</v>
      </c>
      <c r="D23" s="59">
        <v>15994.333333333334</v>
      </c>
      <c r="E23" s="60">
        <f t="shared" si="2"/>
        <v>0</v>
      </c>
      <c r="F23" s="7">
        <v>0.0</v>
      </c>
      <c r="G23" s="59">
        <v>14282.0</v>
      </c>
      <c r="H23" s="60">
        <f t="shared" si="3"/>
        <v>0</v>
      </c>
      <c r="N23" s="67"/>
      <c r="Q23" s="67"/>
    </row>
    <row r="24" ht="15.75" customHeight="1">
      <c r="A24" s="7">
        <v>10801.0</v>
      </c>
      <c r="B24" s="7" t="s">
        <v>46</v>
      </c>
      <c r="C24" s="7">
        <v>0.0</v>
      </c>
      <c r="D24" s="59">
        <v>10989.833333333334</v>
      </c>
      <c r="E24" s="60">
        <f t="shared" si="2"/>
        <v>0</v>
      </c>
      <c r="F24" s="7">
        <v>0.0</v>
      </c>
      <c r="G24" s="59">
        <v>9107.0</v>
      </c>
      <c r="H24" s="60">
        <f t="shared" si="3"/>
        <v>0</v>
      </c>
      <c r="N24" s="67"/>
      <c r="Q24" s="67"/>
    </row>
    <row r="25" ht="15.75" customHeight="1">
      <c r="A25" s="7">
        <v>10901.0</v>
      </c>
      <c r="B25" s="7" t="s">
        <v>47</v>
      </c>
      <c r="C25" s="7">
        <v>0.0</v>
      </c>
      <c r="D25" s="59">
        <v>3669.0833333333335</v>
      </c>
      <c r="E25" s="60">
        <f t="shared" si="2"/>
        <v>0</v>
      </c>
      <c r="F25" s="7">
        <v>0.0</v>
      </c>
      <c r="G25" s="59">
        <v>5375.0</v>
      </c>
      <c r="H25" s="60">
        <f t="shared" si="3"/>
        <v>0</v>
      </c>
      <c r="N25" s="67"/>
      <c r="Q25" s="67"/>
    </row>
    <row r="26" ht="15.75" customHeight="1">
      <c r="A26" s="7">
        <v>10902.0</v>
      </c>
      <c r="B26" s="7" t="s">
        <v>48</v>
      </c>
      <c r="C26" s="7">
        <v>0.0</v>
      </c>
      <c r="D26" s="59">
        <v>17490.75</v>
      </c>
      <c r="E26" s="60">
        <f t="shared" si="2"/>
        <v>0</v>
      </c>
      <c r="F26" s="7">
        <v>0.0</v>
      </c>
      <c r="G26" s="59">
        <v>14848.0</v>
      </c>
      <c r="H26" s="60">
        <f t="shared" si="3"/>
        <v>0</v>
      </c>
      <c r="N26" s="67"/>
      <c r="Q26" s="67"/>
    </row>
    <row r="27" ht="15.75" customHeight="1">
      <c r="A27" s="7">
        <v>10903.0</v>
      </c>
      <c r="B27" s="7" t="s">
        <v>49</v>
      </c>
      <c r="C27" s="7">
        <v>0.0</v>
      </c>
      <c r="D27" s="59">
        <v>4165.333333333333</v>
      </c>
      <c r="E27" s="60">
        <f t="shared" si="2"/>
        <v>0</v>
      </c>
      <c r="F27" s="7">
        <v>0.0</v>
      </c>
      <c r="G27" s="59">
        <v>5016.0</v>
      </c>
      <c r="H27" s="60">
        <f t="shared" si="3"/>
        <v>0</v>
      </c>
      <c r="N27" s="67"/>
      <c r="Q27" s="67"/>
    </row>
    <row r="28" ht="15.75" customHeight="1">
      <c r="A28" s="7">
        <v>11001.0</v>
      </c>
      <c r="B28" s="7" t="s">
        <v>50</v>
      </c>
      <c r="C28" s="7">
        <v>0.0</v>
      </c>
      <c r="D28" s="59">
        <v>10016.833333333334</v>
      </c>
      <c r="E28" s="60">
        <f t="shared" si="2"/>
        <v>0</v>
      </c>
      <c r="F28" s="7">
        <v>0.0</v>
      </c>
      <c r="G28" s="59">
        <v>13282.0</v>
      </c>
      <c r="H28" s="60">
        <f t="shared" si="3"/>
        <v>0</v>
      </c>
      <c r="N28" s="67"/>
      <c r="Q28" s="67"/>
    </row>
    <row r="29" ht="15.75" customHeight="1">
      <c r="A29" s="7">
        <v>11002.0</v>
      </c>
      <c r="B29" s="7" t="s">
        <v>51</v>
      </c>
      <c r="C29" s="7">
        <v>0.0</v>
      </c>
      <c r="D29" s="59">
        <v>2541.5</v>
      </c>
      <c r="E29" s="60">
        <f t="shared" si="2"/>
        <v>0</v>
      </c>
      <c r="F29" s="7">
        <v>0.0</v>
      </c>
      <c r="G29" s="59">
        <v>2547.0</v>
      </c>
      <c r="H29" s="60">
        <f t="shared" si="3"/>
        <v>0</v>
      </c>
      <c r="N29" s="67"/>
      <c r="Q29" s="67"/>
    </row>
    <row r="30" ht="15.75" customHeight="1">
      <c r="A30" s="7">
        <v>11003.0</v>
      </c>
      <c r="B30" s="7" t="s">
        <v>55</v>
      </c>
      <c r="C30" s="7">
        <v>0.0</v>
      </c>
      <c r="D30" s="59">
        <v>7402.75</v>
      </c>
      <c r="E30" s="60">
        <f t="shared" si="2"/>
        <v>0</v>
      </c>
      <c r="F30" s="7">
        <v>0.0</v>
      </c>
      <c r="G30" s="59">
        <v>7235.0</v>
      </c>
      <c r="H30" s="60">
        <f t="shared" si="3"/>
        <v>0</v>
      </c>
      <c r="N30" s="67"/>
      <c r="Q30" s="67"/>
    </row>
    <row r="31" ht="15.75" customHeight="1">
      <c r="A31" s="7">
        <v>20101.0</v>
      </c>
      <c r="B31" s="7" t="s">
        <v>56</v>
      </c>
      <c r="C31" s="7">
        <v>0.0</v>
      </c>
      <c r="D31" s="59">
        <v>765714.9166666666</v>
      </c>
      <c r="E31" s="60">
        <f t="shared" si="2"/>
        <v>0</v>
      </c>
      <c r="F31" s="7">
        <v>0.0</v>
      </c>
      <c r="G31" s="59">
        <v>757431.0</v>
      </c>
      <c r="H31" s="60">
        <f t="shared" si="3"/>
        <v>0</v>
      </c>
      <c r="N31" s="67"/>
      <c r="Q31" s="67"/>
    </row>
    <row r="32" ht="15.75" customHeight="1">
      <c r="A32" s="7">
        <v>20102.0</v>
      </c>
      <c r="B32" s="7" t="s">
        <v>57</v>
      </c>
      <c r="C32" s="7">
        <v>0.0</v>
      </c>
      <c r="D32" s="59">
        <v>17047.583333333332</v>
      </c>
      <c r="E32" s="60">
        <f t="shared" si="2"/>
        <v>0</v>
      </c>
      <c r="F32" s="7">
        <v>0.0</v>
      </c>
      <c r="G32" s="59">
        <v>21729.0</v>
      </c>
      <c r="H32" s="60">
        <f t="shared" si="3"/>
        <v>0</v>
      </c>
      <c r="N32" s="67"/>
      <c r="Q32" s="67"/>
    </row>
    <row r="33" ht="15.75" customHeight="1">
      <c r="A33" s="7">
        <v>20103.0</v>
      </c>
      <c r="B33" s="7" t="s">
        <v>58</v>
      </c>
      <c r="C33" s="7">
        <v>0.0</v>
      </c>
      <c r="D33" s="59">
        <v>16218.333333333334</v>
      </c>
      <c r="E33" s="60">
        <f t="shared" si="2"/>
        <v>0</v>
      </c>
      <c r="F33" s="7">
        <v>0.0</v>
      </c>
      <c r="G33" s="59">
        <v>20446.0</v>
      </c>
      <c r="H33" s="60">
        <f t="shared" si="3"/>
        <v>0</v>
      </c>
      <c r="N33" s="67"/>
      <c r="Q33" s="67"/>
    </row>
    <row r="34" ht="15.75" customHeight="1">
      <c r="A34" s="7">
        <v>20104.0</v>
      </c>
      <c r="B34" s="7" t="s">
        <v>59</v>
      </c>
      <c r="C34" s="7">
        <v>0.0</v>
      </c>
      <c r="D34" s="59">
        <v>24410.75</v>
      </c>
      <c r="E34" s="60">
        <f t="shared" si="2"/>
        <v>0</v>
      </c>
      <c r="F34" s="7">
        <v>0.0</v>
      </c>
      <c r="G34" s="59">
        <v>46188.0</v>
      </c>
      <c r="H34" s="60">
        <f t="shared" si="3"/>
        <v>0</v>
      </c>
      <c r="N34" s="67"/>
      <c r="Q34" s="67"/>
    </row>
    <row r="35" ht="15.75" customHeight="1">
      <c r="A35" s="7">
        <v>20105.0</v>
      </c>
      <c r="B35" s="7" t="s">
        <v>60</v>
      </c>
      <c r="C35" s="7">
        <v>26.44</v>
      </c>
      <c r="D35" s="59">
        <v>851566.4166666666</v>
      </c>
      <c r="E35" s="60">
        <f t="shared" si="2"/>
        <v>22515416.06</v>
      </c>
      <c r="F35" s="7">
        <v>39.62</v>
      </c>
      <c r="G35" s="59">
        <v>885825.0</v>
      </c>
      <c r="H35" s="60">
        <f t="shared" si="3"/>
        <v>35096386.5</v>
      </c>
      <c r="N35" s="67"/>
      <c r="Q35" s="67"/>
    </row>
    <row r="36" ht="15.75" customHeight="1">
      <c r="A36" s="7">
        <v>20201.0</v>
      </c>
      <c r="B36" s="7" t="s">
        <v>61</v>
      </c>
      <c r="C36" s="7">
        <v>0.0</v>
      </c>
      <c r="D36" s="59">
        <v>46157.916666666664</v>
      </c>
      <c r="E36" s="60">
        <f t="shared" si="2"/>
        <v>0</v>
      </c>
      <c r="F36" s="7">
        <v>0.0</v>
      </c>
      <c r="G36" s="59">
        <v>47257.0</v>
      </c>
      <c r="H36" s="60">
        <f t="shared" si="3"/>
        <v>0</v>
      </c>
      <c r="N36" s="67"/>
      <c r="Q36" s="67"/>
    </row>
    <row r="37" ht="15.75" customHeight="1">
      <c r="A37" s="7">
        <v>20202.0</v>
      </c>
      <c r="B37" s="7" t="s">
        <v>62</v>
      </c>
      <c r="C37" s="7">
        <v>0.0</v>
      </c>
      <c r="D37" s="59">
        <v>13454.083333333334</v>
      </c>
      <c r="E37" s="60">
        <f t="shared" si="2"/>
        <v>0</v>
      </c>
      <c r="F37" s="7">
        <v>0.0</v>
      </c>
      <c r="G37" s="59">
        <v>16953.0</v>
      </c>
      <c r="H37" s="60">
        <f t="shared" si="3"/>
        <v>0</v>
      </c>
      <c r="N37" s="67"/>
      <c r="Q37" s="67"/>
    </row>
    <row r="38" ht="15.75" customHeight="1">
      <c r="A38" s="7">
        <v>20203.0</v>
      </c>
      <c r="B38" s="7" t="s">
        <v>66</v>
      </c>
      <c r="C38" s="7">
        <v>0.0</v>
      </c>
      <c r="D38" s="59">
        <v>5188.25</v>
      </c>
      <c r="E38" s="60">
        <f t="shared" si="2"/>
        <v>0</v>
      </c>
      <c r="F38" s="7">
        <v>0.0</v>
      </c>
      <c r="G38" s="59">
        <v>7226.0</v>
      </c>
      <c r="H38" s="60">
        <f t="shared" si="3"/>
        <v>0</v>
      </c>
      <c r="N38" s="67"/>
      <c r="Q38" s="67"/>
    </row>
    <row r="39" ht="15.75" customHeight="1">
      <c r="A39" s="7">
        <v>20204.0</v>
      </c>
      <c r="B39" s="7" t="s">
        <v>63</v>
      </c>
      <c r="C39" s="7">
        <v>0.0</v>
      </c>
      <c r="D39" s="59">
        <v>8008.916666666667</v>
      </c>
      <c r="E39" s="60">
        <f t="shared" si="2"/>
        <v>0</v>
      </c>
      <c r="F39" s="7">
        <v>0.0</v>
      </c>
      <c r="G39" s="59">
        <v>8679.0</v>
      </c>
      <c r="H39" s="60">
        <f t="shared" si="3"/>
        <v>0</v>
      </c>
      <c r="N39" s="67"/>
      <c r="Q39" s="67"/>
    </row>
    <row r="40" ht="15.75" customHeight="1">
      <c r="A40" s="7">
        <v>20205.0</v>
      </c>
      <c r="B40" s="7" t="s">
        <v>64</v>
      </c>
      <c r="C40" s="7">
        <v>0.0</v>
      </c>
      <c r="D40" s="59">
        <v>8622.416666666666</v>
      </c>
      <c r="E40" s="60">
        <f t="shared" si="2"/>
        <v>0</v>
      </c>
      <c r="F40" s="7">
        <v>0.0</v>
      </c>
      <c r="G40" s="59">
        <v>9287.0</v>
      </c>
      <c r="H40" s="60">
        <f t="shared" si="3"/>
        <v>0</v>
      </c>
      <c r="N40" s="67"/>
      <c r="Q40" s="67"/>
    </row>
    <row r="41" ht="15.75" customHeight="1">
      <c r="A41" s="7">
        <v>20206.0</v>
      </c>
      <c r="B41" s="7" t="s">
        <v>65</v>
      </c>
      <c r="C41" s="7">
        <v>0.0</v>
      </c>
      <c r="D41" s="59">
        <v>4026.25</v>
      </c>
      <c r="E41" s="60">
        <f t="shared" si="2"/>
        <v>0</v>
      </c>
      <c r="F41" s="7">
        <v>0.0</v>
      </c>
      <c r="G41" s="59">
        <v>5118.0</v>
      </c>
      <c r="H41" s="60">
        <f t="shared" si="3"/>
        <v>0</v>
      </c>
      <c r="N41" s="67"/>
      <c r="Q41" s="67"/>
    </row>
    <row r="42" ht="15.75" customHeight="1">
      <c r="A42" s="7">
        <v>20301.0</v>
      </c>
      <c r="B42" s="7" t="s">
        <v>67</v>
      </c>
      <c r="C42" s="7">
        <v>0.0</v>
      </c>
      <c r="D42" s="59">
        <v>10889.0</v>
      </c>
      <c r="E42" s="60">
        <f t="shared" si="2"/>
        <v>0</v>
      </c>
      <c r="F42" s="7">
        <v>0.0</v>
      </c>
      <c r="G42" s="59">
        <v>13551.0</v>
      </c>
      <c r="H42" s="60">
        <f t="shared" si="3"/>
        <v>0</v>
      </c>
      <c r="N42" s="67"/>
      <c r="Q42" s="67"/>
    </row>
    <row r="43" ht="15.75" customHeight="1">
      <c r="A43" s="7">
        <v>20302.0</v>
      </c>
      <c r="B43" s="7" t="s">
        <v>68</v>
      </c>
      <c r="C43" s="7">
        <v>0.0</v>
      </c>
      <c r="D43" s="59">
        <v>14760.583333333334</v>
      </c>
      <c r="E43" s="60">
        <f t="shared" si="2"/>
        <v>0</v>
      </c>
      <c r="F43" s="7">
        <v>0.0</v>
      </c>
      <c r="G43" s="59">
        <v>15570.0</v>
      </c>
      <c r="H43" s="60">
        <f t="shared" si="3"/>
        <v>0</v>
      </c>
      <c r="N43" s="67"/>
      <c r="Q43" s="67"/>
    </row>
    <row r="44" ht="15.75" customHeight="1">
      <c r="A44" s="7">
        <v>20303.0</v>
      </c>
      <c r="B44" s="7" t="s">
        <v>69</v>
      </c>
      <c r="C44" s="7">
        <v>0.0</v>
      </c>
      <c r="D44" s="59">
        <v>10074.0</v>
      </c>
      <c r="E44" s="60">
        <f t="shared" si="2"/>
        <v>0</v>
      </c>
      <c r="F44" s="7">
        <v>0.0</v>
      </c>
      <c r="G44" s="59">
        <v>12219.0</v>
      </c>
      <c r="H44" s="60">
        <f t="shared" si="3"/>
        <v>0</v>
      </c>
      <c r="N44" s="67"/>
      <c r="Q44" s="67"/>
    </row>
    <row r="45" ht="15.75" customHeight="1">
      <c r="A45" s="7">
        <v>20304.0</v>
      </c>
      <c r="B45" s="7" t="s">
        <v>71</v>
      </c>
      <c r="C45" s="7">
        <v>0.0</v>
      </c>
      <c r="D45" s="59">
        <v>3993.1666666666665</v>
      </c>
      <c r="E45" s="60">
        <f t="shared" si="2"/>
        <v>0</v>
      </c>
      <c r="F45" s="7">
        <v>0.0</v>
      </c>
      <c r="G45" s="59">
        <v>5238.0</v>
      </c>
      <c r="H45" s="60">
        <f t="shared" si="3"/>
        <v>0</v>
      </c>
      <c r="N45" s="67"/>
      <c r="Q45" s="67"/>
    </row>
    <row r="46" ht="15.75" customHeight="1">
      <c r="A46" s="7">
        <v>20305.0</v>
      </c>
      <c r="B46" s="7" t="s">
        <v>76</v>
      </c>
      <c r="C46" s="7">
        <v>0.0</v>
      </c>
      <c r="D46" s="59">
        <v>3327.25</v>
      </c>
      <c r="E46" s="60">
        <f t="shared" si="2"/>
        <v>0</v>
      </c>
      <c r="F46" s="7">
        <v>0.0</v>
      </c>
      <c r="G46" s="59">
        <v>4221.0</v>
      </c>
      <c r="H46" s="60">
        <f t="shared" si="3"/>
        <v>0</v>
      </c>
      <c r="N46" s="67"/>
      <c r="Q46" s="67"/>
    </row>
    <row r="47" ht="15.75" customHeight="1">
      <c r="A47" s="7">
        <v>20306.0</v>
      </c>
      <c r="B47" s="7" t="s">
        <v>77</v>
      </c>
      <c r="C47" s="7">
        <v>0.0</v>
      </c>
      <c r="D47" s="59">
        <v>5183.416666666667</v>
      </c>
      <c r="E47" s="60">
        <f t="shared" si="2"/>
        <v>0</v>
      </c>
      <c r="F47" s="7">
        <v>0.0</v>
      </c>
      <c r="G47" s="59">
        <v>6442.0</v>
      </c>
      <c r="H47" s="60">
        <f t="shared" si="3"/>
        <v>0</v>
      </c>
      <c r="N47" s="67"/>
      <c r="Q47" s="67"/>
    </row>
    <row r="48" ht="15.75" customHeight="1">
      <c r="A48" s="7">
        <v>20307.0</v>
      </c>
      <c r="B48" s="7" t="s">
        <v>78</v>
      </c>
      <c r="C48" s="7">
        <v>0.0</v>
      </c>
      <c r="D48" s="7">
        <v>902.5833333333333</v>
      </c>
      <c r="E48" s="60">
        <f t="shared" si="2"/>
        <v>0</v>
      </c>
      <c r="F48" s="7">
        <v>0.0</v>
      </c>
      <c r="G48" s="59">
        <v>4022.0</v>
      </c>
      <c r="H48" s="60">
        <f t="shared" si="3"/>
        <v>0</v>
      </c>
      <c r="N48" s="67"/>
      <c r="Q48" s="67"/>
    </row>
    <row r="49" ht="15.75" customHeight="1">
      <c r="A49" s="7">
        <v>20308.0</v>
      </c>
      <c r="B49" s="7" t="s">
        <v>79</v>
      </c>
      <c r="C49" s="7">
        <v>0.0</v>
      </c>
      <c r="D49" s="59">
        <v>7351.333333333333</v>
      </c>
      <c r="E49" s="60">
        <f t="shared" si="2"/>
        <v>0</v>
      </c>
      <c r="F49" s="7">
        <v>0.0</v>
      </c>
      <c r="G49" s="59">
        <v>8037.0</v>
      </c>
      <c r="H49" s="60">
        <f t="shared" si="3"/>
        <v>0</v>
      </c>
      <c r="N49" s="67"/>
      <c r="Q49" s="67"/>
    </row>
    <row r="50" ht="15.75" customHeight="1">
      <c r="A50" s="7">
        <v>20401.0</v>
      </c>
      <c r="B50" s="7" t="s">
        <v>80</v>
      </c>
      <c r="C50" s="7">
        <v>0.0</v>
      </c>
      <c r="D50" s="59">
        <v>11516.833333333334</v>
      </c>
      <c r="E50" s="60">
        <f t="shared" si="2"/>
        <v>0</v>
      </c>
      <c r="F50" s="7">
        <v>0.0</v>
      </c>
      <c r="G50" s="59">
        <v>14012.0</v>
      </c>
      <c r="H50" s="60">
        <f t="shared" si="3"/>
        <v>0</v>
      </c>
      <c r="N50" s="67"/>
      <c r="Q50" s="67"/>
    </row>
    <row r="51" ht="15.75" customHeight="1">
      <c r="A51" s="7">
        <v>20402.0</v>
      </c>
      <c r="B51" s="7" t="s">
        <v>81</v>
      </c>
      <c r="C51" s="7">
        <v>0.0</v>
      </c>
      <c r="D51" s="59">
        <v>15843.833333333334</v>
      </c>
      <c r="E51" s="60">
        <f t="shared" si="2"/>
        <v>0</v>
      </c>
      <c r="F51" s="7">
        <v>0.0</v>
      </c>
      <c r="G51" s="59">
        <v>17811.0</v>
      </c>
      <c r="H51" s="60">
        <f t="shared" si="3"/>
        <v>0</v>
      </c>
      <c r="N51" s="67"/>
      <c r="Q51" s="67"/>
    </row>
    <row r="52" ht="15.75" customHeight="1">
      <c r="A52" s="7">
        <v>20403.0</v>
      </c>
      <c r="B52" s="7" t="s">
        <v>82</v>
      </c>
      <c r="C52" s="7">
        <v>0.0</v>
      </c>
      <c r="D52" s="59">
        <v>14817.916666666666</v>
      </c>
      <c r="E52" s="60">
        <f t="shared" si="2"/>
        <v>0</v>
      </c>
      <c r="F52" s="7">
        <v>0.0</v>
      </c>
      <c r="G52" s="59">
        <v>17336.0</v>
      </c>
      <c r="H52" s="60">
        <f t="shared" si="3"/>
        <v>0</v>
      </c>
      <c r="N52" s="67"/>
      <c r="Q52" s="67"/>
    </row>
    <row r="53" ht="15.75" customHeight="1">
      <c r="A53" s="7">
        <v>20404.0</v>
      </c>
      <c r="B53" s="7" t="s">
        <v>84</v>
      </c>
      <c r="C53" s="7">
        <v>0.0</v>
      </c>
      <c r="D53" s="59">
        <v>5368.333333333333</v>
      </c>
      <c r="E53" s="60">
        <f t="shared" si="2"/>
        <v>0</v>
      </c>
      <c r="F53" s="7">
        <v>0.0</v>
      </c>
      <c r="G53" s="59">
        <v>5658.0</v>
      </c>
      <c r="H53" s="60">
        <f t="shared" si="3"/>
        <v>0</v>
      </c>
      <c r="N53" s="67"/>
      <c r="Q53" s="67"/>
    </row>
    <row r="54" ht="15.75" customHeight="1">
      <c r="A54" s="7">
        <v>20405.0</v>
      </c>
      <c r="B54" s="7" t="s">
        <v>87</v>
      </c>
      <c r="C54" s="7">
        <v>0.0</v>
      </c>
      <c r="D54" s="59">
        <v>7323.583333333333</v>
      </c>
      <c r="E54" s="60">
        <f t="shared" si="2"/>
        <v>0</v>
      </c>
      <c r="F54" s="7">
        <v>0.0</v>
      </c>
      <c r="G54" s="59">
        <v>8837.0</v>
      </c>
      <c r="H54" s="60">
        <f t="shared" si="3"/>
        <v>0</v>
      </c>
      <c r="N54" s="67"/>
      <c r="Q54" s="67"/>
    </row>
    <row r="55" ht="15.75" customHeight="1">
      <c r="A55" s="7">
        <v>20501.0</v>
      </c>
      <c r="B55" s="7" t="s">
        <v>88</v>
      </c>
      <c r="C55" s="7">
        <v>0.0</v>
      </c>
      <c r="D55" s="59">
        <v>12002.75</v>
      </c>
      <c r="E55" s="60">
        <f t="shared" si="2"/>
        <v>0</v>
      </c>
      <c r="F55" s="7">
        <v>0.0</v>
      </c>
      <c r="G55" s="59">
        <v>17830.0</v>
      </c>
      <c r="H55" s="60">
        <f t="shared" si="3"/>
        <v>0</v>
      </c>
      <c r="N55" s="67"/>
      <c r="Q55" s="67"/>
    </row>
    <row r="56" ht="15.75" customHeight="1">
      <c r="A56" s="7">
        <v>20502.0</v>
      </c>
      <c r="B56" s="7" t="s">
        <v>89</v>
      </c>
      <c r="C56" s="7">
        <v>0.0</v>
      </c>
      <c r="D56" s="59">
        <v>8461.583333333334</v>
      </c>
      <c r="E56" s="60">
        <f t="shared" si="2"/>
        <v>0</v>
      </c>
      <c r="F56" s="7">
        <v>0.0</v>
      </c>
      <c r="G56" s="59">
        <v>9029.0</v>
      </c>
      <c r="H56" s="60">
        <f t="shared" si="3"/>
        <v>0</v>
      </c>
      <c r="N56" s="67"/>
      <c r="Q56" s="67"/>
    </row>
    <row r="57" ht="15.75" customHeight="1">
      <c r="A57" s="7">
        <v>20503.0</v>
      </c>
      <c r="B57" s="7" t="s">
        <v>90</v>
      </c>
      <c r="C57" s="7">
        <v>0.0</v>
      </c>
      <c r="D57" s="59">
        <v>5597.166666666667</v>
      </c>
      <c r="E57" s="60">
        <f t="shared" si="2"/>
        <v>0</v>
      </c>
      <c r="F57" s="7">
        <v>0.0</v>
      </c>
      <c r="G57" s="59">
        <v>6721.0</v>
      </c>
      <c r="H57" s="60">
        <f t="shared" si="3"/>
        <v>0</v>
      </c>
      <c r="N57" s="67"/>
      <c r="Q57" s="67"/>
    </row>
    <row r="58" ht="15.75" customHeight="1">
      <c r="A58" s="7">
        <v>20601.0</v>
      </c>
      <c r="B58" s="7" t="s">
        <v>91</v>
      </c>
      <c r="C58" s="7">
        <v>0.0</v>
      </c>
      <c r="D58" s="59">
        <v>24059.583333333332</v>
      </c>
      <c r="E58" s="60">
        <f t="shared" si="2"/>
        <v>0</v>
      </c>
      <c r="F58" s="7">
        <v>0.0</v>
      </c>
      <c r="G58" s="59">
        <v>30083.0</v>
      </c>
      <c r="H58" s="60">
        <f t="shared" si="3"/>
        <v>0</v>
      </c>
      <c r="N58" s="67"/>
      <c r="Q58" s="67"/>
    </row>
    <row r="59" ht="15.75" customHeight="1">
      <c r="A59" s="7">
        <v>20602.0</v>
      </c>
      <c r="B59" s="7" t="s">
        <v>92</v>
      </c>
      <c r="C59" s="7">
        <v>0.0</v>
      </c>
      <c r="D59" s="59">
        <v>14921.166666666666</v>
      </c>
      <c r="E59" s="60">
        <f t="shared" si="2"/>
        <v>0</v>
      </c>
      <c r="F59" s="7">
        <v>0.0</v>
      </c>
      <c r="G59" s="59">
        <v>16386.0</v>
      </c>
      <c r="H59" s="60">
        <f t="shared" si="3"/>
        <v>0</v>
      </c>
      <c r="N59" s="67"/>
      <c r="Q59" s="67"/>
    </row>
    <row r="60" ht="15.75" customHeight="1">
      <c r="A60" s="7">
        <v>20603.0</v>
      </c>
      <c r="B60" s="7" t="s">
        <v>93</v>
      </c>
      <c r="C60" s="7">
        <v>0.0</v>
      </c>
      <c r="D60" s="59">
        <v>8313.583333333334</v>
      </c>
      <c r="E60" s="60">
        <f t="shared" si="2"/>
        <v>0</v>
      </c>
      <c r="F60" s="7">
        <v>0.0</v>
      </c>
      <c r="G60" s="59">
        <v>9761.0</v>
      </c>
      <c r="H60" s="60">
        <f t="shared" si="3"/>
        <v>0</v>
      </c>
      <c r="N60" s="67"/>
      <c r="Q60" s="67"/>
    </row>
    <row r="61" ht="15.75" customHeight="1">
      <c r="A61" s="7">
        <v>20604.0</v>
      </c>
      <c r="B61" s="7" t="s">
        <v>95</v>
      </c>
      <c r="C61" s="7">
        <v>0.0</v>
      </c>
      <c r="D61" s="59">
        <v>2812.3333333333335</v>
      </c>
      <c r="E61" s="60">
        <f t="shared" si="2"/>
        <v>0</v>
      </c>
      <c r="F61" s="7">
        <v>0.0</v>
      </c>
      <c r="G61" s="59">
        <v>4224.0</v>
      </c>
      <c r="H61" s="60">
        <f t="shared" si="3"/>
        <v>0</v>
      </c>
      <c r="N61" s="67"/>
      <c r="Q61" s="67"/>
    </row>
    <row r="62" ht="15.75" customHeight="1">
      <c r="A62" s="7">
        <v>20605.0</v>
      </c>
      <c r="B62" s="7" t="s">
        <v>98</v>
      </c>
      <c r="C62" s="7">
        <v>0.0</v>
      </c>
      <c r="D62" s="59">
        <v>3714.1666666666665</v>
      </c>
      <c r="E62" s="60">
        <f t="shared" si="2"/>
        <v>0</v>
      </c>
      <c r="F62" s="7">
        <v>0.0</v>
      </c>
      <c r="G62" s="59">
        <v>3529.0</v>
      </c>
      <c r="H62" s="60">
        <f t="shared" si="3"/>
        <v>0</v>
      </c>
      <c r="N62" s="67"/>
      <c r="Q62" s="67"/>
    </row>
    <row r="63" ht="15.75" customHeight="1">
      <c r="A63" s="7">
        <v>20606.0</v>
      </c>
      <c r="B63" s="7" t="s">
        <v>99</v>
      </c>
      <c r="C63" s="7">
        <v>0.0</v>
      </c>
      <c r="D63" s="59">
        <v>9795.916666666666</v>
      </c>
      <c r="E63" s="60">
        <f t="shared" si="2"/>
        <v>0</v>
      </c>
      <c r="F63" s="7">
        <v>0.0</v>
      </c>
      <c r="G63" s="59">
        <v>7716.0</v>
      </c>
      <c r="H63" s="60">
        <f t="shared" si="3"/>
        <v>0</v>
      </c>
      <c r="N63" s="67"/>
      <c r="Q63" s="67"/>
    </row>
    <row r="64" ht="15.75" customHeight="1">
      <c r="A64" s="7">
        <v>20607.0</v>
      </c>
      <c r="B64" s="7" t="s">
        <v>100</v>
      </c>
      <c r="C64" s="7">
        <v>0.0</v>
      </c>
      <c r="D64" s="59">
        <v>14553.666666666666</v>
      </c>
      <c r="E64" s="60">
        <f t="shared" si="2"/>
        <v>0</v>
      </c>
      <c r="F64" s="7">
        <v>0.0</v>
      </c>
      <c r="G64" s="59">
        <v>21843.0</v>
      </c>
      <c r="H64" s="60">
        <f t="shared" si="3"/>
        <v>0</v>
      </c>
      <c r="N64" s="67"/>
      <c r="Q64" s="67"/>
    </row>
    <row r="65" ht="15.75" customHeight="1">
      <c r="A65" s="7">
        <v>20608.0</v>
      </c>
      <c r="B65" s="7" t="s">
        <v>101</v>
      </c>
      <c r="C65" s="7">
        <v>0.0</v>
      </c>
      <c r="D65" s="59">
        <v>9684.833333333334</v>
      </c>
      <c r="E65" s="60">
        <f t="shared" si="2"/>
        <v>0</v>
      </c>
      <c r="F65" s="7">
        <v>0.0</v>
      </c>
      <c r="G65" s="59">
        <v>13379.0</v>
      </c>
      <c r="H65" s="60">
        <f t="shared" si="3"/>
        <v>0</v>
      </c>
      <c r="N65" s="67"/>
      <c r="Q65" s="67"/>
    </row>
    <row r="66" ht="15.75" customHeight="1">
      <c r="A66" s="7">
        <v>20701.0</v>
      </c>
      <c r="B66" s="7" t="s">
        <v>102</v>
      </c>
      <c r="C66" s="7">
        <v>0.0</v>
      </c>
      <c r="D66" s="59">
        <v>20212.0</v>
      </c>
      <c r="E66" s="60">
        <f t="shared" si="2"/>
        <v>0</v>
      </c>
      <c r="F66" s="7">
        <v>0.0</v>
      </c>
      <c r="G66" s="59">
        <v>19156.0</v>
      </c>
      <c r="H66" s="60">
        <f t="shared" si="3"/>
        <v>0</v>
      </c>
      <c r="N66" s="67"/>
      <c r="Q66" s="67"/>
    </row>
    <row r="67" ht="15.75" customHeight="1">
      <c r="A67" s="7">
        <v>20702.0</v>
      </c>
      <c r="B67" s="7" t="s">
        <v>103</v>
      </c>
      <c r="C67" s="7">
        <v>0.0</v>
      </c>
      <c r="D67" s="59">
        <v>6970.0</v>
      </c>
      <c r="E67" s="60">
        <f t="shared" si="2"/>
        <v>0</v>
      </c>
      <c r="F67" s="7">
        <v>0.0</v>
      </c>
      <c r="G67" s="59">
        <v>9060.0</v>
      </c>
      <c r="H67" s="60">
        <f t="shared" si="3"/>
        <v>0</v>
      </c>
      <c r="N67" s="67"/>
      <c r="Q67" s="67"/>
    </row>
    <row r="68" ht="15.75" customHeight="1">
      <c r="A68" s="7">
        <v>20801.0</v>
      </c>
      <c r="B68" s="7" t="s">
        <v>104</v>
      </c>
      <c r="C68" s="7">
        <v>0.0</v>
      </c>
      <c r="D68" s="59">
        <v>83459.83333333333</v>
      </c>
      <c r="E68" s="60">
        <f t="shared" si="2"/>
        <v>0</v>
      </c>
      <c r="F68" s="7">
        <v>117.07</v>
      </c>
      <c r="G68" s="59">
        <v>113554.0</v>
      </c>
      <c r="H68" s="60">
        <f t="shared" si="3"/>
        <v>13293766.78</v>
      </c>
      <c r="N68" s="67"/>
      <c r="Q68" s="67"/>
    </row>
    <row r="69" ht="15.75" customHeight="1">
      <c r="A69" s="7">
        <v>20802.0</v>
      </c>
      <c r="B69" s="7" t="s">
        <v>105</v>
      </c>
      <c r="C69" s="7">
        <v>0.0</v>
      </c>
      <c r="D69" s="59">
        <v>7387.5</v>
      </c>
      <c r="E69" s="60">
        <f t="shared" si="2"/>
        <v>0</v>
      </c>
      <c r="F69" s="7">
        <v>0.0</v>
      </c>
      <c r="G69" s="59">
        <v>8592.0</v>
      </c>
      <c r="H69" s="60">
        <f t="shared" si="3"/>
        <v>0</v>
      </c>
      <c r="N69" s="67"/>
      <c r="Q69" s="67"/>
    </row>
    <row r="70" ht="15.75" customHeight="1">
      <c r="A70" s="7">
        <v>20803.0</v>
      </c>
      <c r="B70" s="7" t="s">
        <v>108</v>
      </c>
      <c r="C70" s="7">
        <v>0.0</v>
      </c>
      <c r="D70" s="59">
        <v>12310.583333333334</v>
      </c>
      <c r="E70" s="60">
        <f t="shared" si="2"/>
        <v>0</v>
      </c>
      <c r="F70" s="7">
        <v>0.0</v>
      </c>
      <c r="G70" s="59">
        <v>13648.0</v>
      </c>
      <c r="H70" s="60">
        <f t="shared" si="3"/>
        <v>0</v>
      </c>
      <c r="N70" s="67"/>
      <c r="Q70" s="67"/>
    </row>
    <row r="71" ht="15.75" customHeight="1">
      <c r="A71" s="7">
        <v>20804.0</v>
      </c>
      <c r="B71" s="7" t="s">
        <v>110</v>
      </c>
      <c r="C71" s="7">
        <v>0.0</v>
      </c>
      <c r="D71" s="59">
        <v>7062.833333333333</v>
      </c>
      <c r="E71" s="60">
        <f t="shared" si="2"/>
        <v>0</v>
      </c>
      <c r="F71" s="7">
        <v>0.0</v>
      </c>
      <c r="G71" s="59">
        <v>7897.0</v>
      </c>
      <c r="H71" s="60">
        <f t="shared" si="3"/>
        <v>0</v>
      </c>
      <c r="N71" s="67"/>
      <c r="Q71" s="67"/>
    </row>
    <row r="72" ht="15.75" customHeight="1">
      <c r="A72" s="7">
        <v>20805.0</v>
      </c>
      <c r="B72" s="7" t="s">
        <v>112</v>
      </c>
      <c r="C72" s="7">
        <v>0.0</v>
      </c>
      <c r="D72" s="59">
        <v>6294.25</v>
      </c>
      <c r="E72" s="60">
        <f t="shared" si="2"/>
        <v>0</v>
      </c>
      <c r="F72" s="7">
        <v>0.0</v>
      </c>
      <c r="G72" s="59">
        <v>7936.0</v>
      </c>
      <c r="H72" s="60">
        <f t="shared" si="3"/>
        <v>0</v>
      </c>
      <c r="N72" s="67"/>
      <c r="Q72" s="67"/>
    </row>
    <row r="73" ht="15.75" customHeight="1">
      <c r="A73" s="7">
        <v>20806.0</v>
      </c>
      <c r="B73" s="7" t="s">
        <v>114</v>
      </c>
      <c r="C73" s="7">
        <v>0.0</v>
      </c>
      <c r="D73" s="59">
        <v>15203.75</v>
      </c>
      <c r="E73" s="60">
        <f t="shared" si="2"/>
        <v>0</v>
      </c>
      <c r="F73" s="7">
        <v>0.0</v>
      </c>
      <c r="G73" s="59">
        <v>17016.0</v>
      </c>
      <c r="H73" s="60">
        <f t="shared" si="3"/>
        <v>0</v>
      </c>
      <c r="N73" s="67"/>
      <c r="Q73" s="67"/>
    </row>
    <row r="74" ht="15.75" customHeight="1">
      <c r="A74" s="7">
        <v>20807.0</v>
      </c>
      <c r="B74" s="7" t="s">
        <v>116</v>
      </c>
      <c r="C74" s="7">
        <v>0.0</v>
      </c>
      <c r="D74" s="59">
        <v>6681.083333333333</v>
      </c>
      <c r="E74" s="60">
        <f t="shared" si="2"/>
        <v>0</v>
      </c>
      <c r="F74" s="7">
        <v>0.0</v>
      </c>
      <c r="G74" s="59">
        <v>7540.0</v>
      </c>
      <c r="H74" s="60">
        <f t="shared" si="3"/>
        <v>0</v>
      </c>
      <c r="N74" s="67"/>
      <c r="Q74" s="67"/>
    </row>
    <row r="75" ht="15.75" customHeight="1">
      <c r="A75" s="7">
        <v>20901.0</v>
      </c>
      <c r="B75" s="7" t="s">
        <v>118</v>
      </c>
      <c r="C75" s="7">
        <v>0.0</v>
      </c>
      <c r="D75" s="59">
        <v>11102.666666666666</v>
      </c>
      <c r="E75" s="60">
        <f t="shared" si="2"/>
        <v>0</v>
      </c>
      <c r="F75" s="7">
        <v>0.0</v>
      </c>
      <c r="G75" s="59">
        <v>10703.0</v>
      </c>
      <c r="H75" s="60">
        <f t="shared" si="3"/>
        <v>0</v>
      </c>
      <c r="N75" s="67"/>
      <c r="Q75" s="67"/>
    </row>
    <row r="76" ht="15.75" customHeight="1">
      <c r="A76" s="7">
        <v>20902.0</v>
      </c>
      <c r="B76" s="7" t="s">
        <v>120</v>
      </c>
      <c r="C76" s="7">
        <v>0.0</v>
      </c>
      <c r="D76" s="59">
        <v>12818.416666666666</v>
      </c>
      <c r="E76" s="60">
        <f t="shared" si="2"/>
        <v>0</v>
      </c>
      <c r="F76" s="7">
        <v>0.0</v>
      </c>
      <c r="G76" s="59">
        <v>16497.0</v>
      </c>
      <c r="H76" s="60">
        <f t="shared" si="3"/>
        <v>0</v>
      </c>
      <c r="N76" s="67"/>
      <c r="Q76" s="67"/>
    </row>
    <row r="77" ht="15.75" customHeight="1">
      <c r="A77" s="7">
        <v>20903.0</v>
      </c>
      <c r="B77" s="7" t="s">
        <v>122</v>
      </c>
      <c r="C77" s="7">
        <v>0.0</v>
      </c>
      <c r="D77" s="59">
        <v>7730.083333333333</v>
      </c>
      <c r="E77" s="60">
        <f t="shared" si="2"/>
        <v>0</v>
      </c>
      <c r="F77" s="7">
        <v>0.0</v>
      </c>
      <c r="G77" s="59">
        <v>12296.0</v>
      </c>
      <c r="H77" s="60">
        <f t="shared" si="3"/>
        <v>0</v>
      </c>
      <c r="N77" s="67"/>
      <c r="Q77" s="67"/>
    </row>
    <row r="78" ht="15.75" customHeight="1">
      <c r="A78" s="7">
        <v>20904.0</v>
      </c>
      <c r="B78" s="7" t="s">
        <v>124</v>
      </c>
      <c r="C78" s="7">
        <v>0.0</v>
      </c>
      <c r="D78" s="59">
        <v>5189.75</v>
      </c>
      <c r="E78" s="60">
        <f t="shared" si="2"/>
        <v>0</v>
      </c>
      <c r="F78" s="7">
        <v>0.0</v>
      </c>
      <c r="G78" s="59">
        <v>5297.0</v>
      </c>
      <c r="H78" s="60">
        <f t="shared" si="3"/>
        <v>0</v>
      </c>
      <c r="N78" s="67"/>
      <c r="Q78" s="67"/>
    </row>
    <row r="79" ht="15.75" customHeight="1">
      <c r="A79" s="7">
        <v>20905.0</v>
      </c>
      <c r="B79" s="7" t="s">
        <v>126</v>
      </c>
      <c r="C79" s="7">
        <v>0.0</v>
      </c>
      <c r="D79" s="59">
        <v>11541.916666666666</v>
      </c>
      <c r="E79" s="60">
        <f t="shared" si="2"/>
        <v>0</v>
      </c>
      <c r="F79" s="7">
        <v>0.0</v>
      </c>
      <c r="G79" s="59">
        <v>13598.0</v>
      </c>
      <c r="H79" s="60">
        <f t="shared" si="3"/>
        <v>0</v>
      </c>
      <c r="N79" s="67"/>
      <c r="Q79" s="67"/>
    </row>
    <row r="80" ht="15.75" customHeight="1">
      <c r="A80" s="7">
        <v>21001.0</v>
      </c>
      <c r="B80" s="7" t="s">
        <v>128</v>
      </c>
      <c r="C80" s="7">
        <v>0.0</v>
      </c>
      <c r="D80" s="59">
        <v>15047.166666666666</v>
      </c>
      <c r="E80" s="60">
        <f t="shared" si="2"/>
        <v>0</v>
      </c>
      <c r="F80" s="7">
        <v>0.0</v>
      </c>
      <c r="G80" s="59">
        <v>18679.0</v>
      </c>
      <c r="H80" s="60">
        <f t="shared" si="3"/>
        <v>0</v>
      </c>
      <c r="N80" s="67"/>
      <c r="Q80" s="67"/>
    </row>
    <row r="81" ht="15.75" customHeight="1">
      <c r="A81" s="7">
        <v>21002.0</v>
      </c>
      <c r="B81" s="7" t="s">
        <v>130</v>
      </c>
      <c r="C81" s="7">
        <v>0.0</v>
      </c>
      <c r="D81" s="59">
        <v>8484.416666666666</v>
      </c>
      <c r="E81" s="60">
        <f t="shared" si="2"/>
        <v>0</v>
      </c>
      <c r="F81" s="7">
        <v>0.0</v>
      </c>
      <c r="G81" s="59">
        <v>10887.0</v>
      </c>
      <c r="H81" s="60">
        <f t="shared" si="3"/>
        <v>0</v>
      </c>
      <c r="N81" s="67"/>
      <c r="Q81" s="67"/>
    </row>
    <row r="82" ht="15.75" customHeight="1">
      <c r="A82" s="7">
        <v>21003.0</v>
      </c>
      <c r="B82" s="7" t="s">
        <v>131</v>
      </c>
      <c r="C82" s="7">
        <v>0.0</v>
      </c>
      <c r="D82" s="59">
        <v>10883.583333333334</v>
      </c>
      <c r="E82" s="60">
        <f t="shared" si="2"/>
        <v>0</v>
      </c>
      <c r="F82" s="7">
        <v>0.0</v>
      </c>
      <c r="G82" s="59">
        <v>15565.0</v>
      </c>
      <c r="H82" s="60">
        <f t="shared" si="3"/>
        <v>0</v>
      </c>
      <c r="N82" s="67"/>
      <c r="Q82" s="67"/>
    </row>
    <row r="83" ht="15.75" customHeight="1">
      <c r="A83" s="7">
        <v>21004.0</v>
      </c>
      <c r="B83" s="7" t="s">
        <v>132</v>
      </c>
      <c r="C83" s="7">
        <v>0.0</v>
      </c>
      <c r="D83" s="59">
        <v>19943.75</v>
      </c>
      <c r="E83" s="60">
        <f t="shared" si="2"/>
        <v>0</v>
      </c>
      <c r="F83" s="7">
        <v>0.0</v>
      </c>
      <c r="G83" s="59">
        <v>23505.0</v>
      </c>
      <c r="H83" s="60">
        <f t="shared" si="3"/>
        <v>0</v>
      </c>
      <c r="N83" s="67"/>
      <c r="Q83" s="67"/>
    </row>
    <row r="84" ht="15.75" customHeight="1">
      <c r="A84" s="7">
        <v>21005.0</v>
      </c>
      <c r="B84" s="7" t="s">
        <v>133</v>
      </c>
      <c r="C84" s="7">
        <v>0.0</v>
      </c>
      <c r="D84" s="59">
        <v>8049.583333333333</v>
      </c>
      <c r="E84" s="60">
        <f t="shared" si="2"/>
        <v>0</v>
      </c>
      <c r="F84" s="7">
        <v>0.0</v>
      </c>
      <c r="G84" s="59">
        <v>9552.0</v>
      </c>
      <c r="H84" s="60">
        <f t="shared" si="3"/>
        <v>0</v>
      </c>
      <c r="N84" s="67"/>
      <c r="Q84" s="67"/>
    </row>
    <row r="85" ht="15.75" customHeight="1">
      <c r="A85" s="7">
        <v>21006.0</v>
      </c>
      <c r="B85" s="7" t="s">
        <v>134</v>
      </c>
      <c r="C85" s="7">
        <v>0.0</v>
      </c>
      <c r="D85" s="59">
        <v>5687.083333333333</v>
      </c>
      <c r="E85" s="60">
        <f t="shared" si="2"/>
        <v>0</v>
      </c>
      <c r="F85" s="7">
        <v>0.0</v>
      </c>
      <c r="G85" s="59">
        <v>7877.0</v>
      </c>
      <c r="H85" s="60">
        <f t="shared" si="3"/>
        <v>0</v>
      </c>
      <c r="N85" s="67"/>
      <c r="Q85" s="67"/>
    </row>
    <row r="86" ht="15.75" customHeight="1">
      <c r="A86" s="7">
        <v>21101.0</v>
      </c>
      <c r="B86" s="7" t="s">
        <v>135</v>
      </c>
      <c r="C86" s="7">
        <v>0.0</v>
      </c>
      <c r="D86" s="59">
        <v>17863.0</v>
      </c>
      <c r="E86" s="60">
        <f t="shared" si="2"/>
        <v>0</v>
      </c>
      <c r="F86" s="7">
        <v>0.0</v>
      </c>
      <c r="G86" s="59">
        <v>18303.0</v>
      </c>
      <c r="H86" s="60">
        <f t="shared" si="3"/>
        <v>0</v>
      </c>
      <c r="N86" s="67"/>
      <c r="Q86" s="67"/>
    </row>
    <row r="87" ht="15.75" customHeight="1">
      <c r="A87" s="7">
        <v>21102.0</v>
      </c>
      <c r="B87" s="7" t="s">
        <v>136</v>
      </c>
      <c r="C87" s="7">
        <v>0.0</v>
      </c>
      <c r="D87" s="59">
        <v>17776.25</v>
      </c>
      <c r="E87" s="60">
        <f t="shared" si="2"/>
        <v>0</v>
      </c>
      <c r="F87" s="7">
        <v>0.0</v>
      </c>
      <c r="G87" s="59">
        <v>23279.0</v>
      </c>
      <c r="H87" s="60">
        <f t="shared" si="3"/>
        <v>0</v>
      </c>
      <c r="N87" s="67"/>
      <c r="Q87" s="67"/>
    </row>
    <row r="88" ht="15.75" customHeight="1">
      <c r="A88" s="7">
        <v>21103.0</v>
      </c>
      <c r="B88" s="7" t="s">
        <v>137</v>
      </c>
      <c r="C88" s="7">
        <v>0.0</v>
      </c>
      <c r="D88" s="59">
        <v>6519.583333333333</v>
      </c>
      <c r="E88" s="60">
        <f t="shared" si="2"/>
        <v>0</v>
      </c>
      <c r="F88" s="7">
        <v>0.0</v>
      </c>
      <c r="G88" s="59">
        <v>7615.0</v>
      </c>
      <c r="H88" s="60">
        <f t="shared" si="3"/>
        <v>0</v>
      </c>
      <c r="N88" s="67"/>
      <c r="Q88" s="67"/>
    </row>
    <row r="89" ht="15.75" customHeight="1">
      <c r="A89" s="7">
        <v>21104.0</v>
      </c>
      <c r="B89" s="7" t="s">
        <v>138</v>
      </c>
      <c r="C89" s="7">
        <v>0.0</v>
      </c>
      <c r="D89" s="59">
        <v>24931.5</v>
      </c>
      <c r="E89" s="60">
        <f t="shared" si="2"/>
        <v>0</v>
      </c>
      <c r="F89" s="7">
        <v>0.0</v>
      </c>
      <c r="G89" s="59">
        <v>27137.0</v>
      </c>
      <c r="H89" s="60">
        <f t="shared" si="3"/>
        <v>0</v>
      </c>
      <c r="N89" s="67"/>
      <c r="Q89" s="67"/>
    </row>
    <row r="90" ht="15.75" customHeight="1">
      <c r="A90" s="7">
        <v>21105.0</v>
      </c>
      <c r="B90" s="7" t="s">
        <v>139</v>
      </c>
      <c r="C90" s="7">
        <v>0.0</v>
      </c>
      <c r="D90" s="59">
        <v>40628.75</v>
      </c>
      <c r="E90" s="60">
        <f t="shared" si="2"/>
        <v>0</v>
      </c>
      <c r="F90" s="7">
        <v>0.0</v>
      </c>
      <c r="G90" s="59">
        <v>45587.0</v>
      </c>
      <c r="H90" s="60">
        <f t="shared" si="3"/>
        <v>0</v>
      </c>
      <c r="N90" s="67"/>
      <c r="Q90" s="67"/>
    </row>
    <row r="91" ht="15.75" customHeight="1">
      <c r="A91" s="7">
        <v>21201.0</v>
      </c>
      <c r="B91" s="7" t="s">
        <v>140</v>
      </c>
      <c r="C91" s="7">
        <v>0.0</v>
      </c>
      <c r="D91" s="59">
        <v>31767.833333333332</v>
      </c>
      <c r="E91" s="60">
        <f t="shared" si="2"/>
        <v>0</v>
      </c>
      <c r="F91" s="7">
        <v>0.0</v>
      </c>
      <c r="G91" s="59">
        <v>49850.0</v>
      </c>
      <c r="H91" s="60">
        <f t="shared" si="3"/>
        <v>0</v>
      </c>
      <c r="N91" s="67"/>
      <c r="Q91" s="67"/>
    </row>
    <row r="92" ht="15.75" customHeight="1">
      <c r="A92" s="7">
        <v>21202.0</v>
      </c>
      <c r="B92" s="7" t="s">
        <v>141</v>
      </c>
      <c r="C92" s="7">
        <v>0.0</v>
      </c>
      <c r="D92" s="59">
        <v>25707.75</v>
      </c>
      <c r="E92" s="60">
        <f t="shared" si="2"/>
        <v>0</v>
      </c>
      <c r="F92" s="7">
        <v>0.0</v>
      </c>
      <c r="G92" s="59">
        <v>38652.0</v>
      </c>
      <c r="H92" s="60">
        <f t="shared" si="3"/>
        <v>0</v>
      </c>
      <c r="N92" s="67"/>
      <c r="Q92" s="67"/>
    </row>
    <row r="93" ht="15.75" customHeight="1">
      <c r="A93" s="7">
        <v>21203.0</v>
      </c>
      <c r="B93" s="7" t="s">
        <v>142</v>
      </c>
      <c r="C93" s="7">
        <v>0.0</v>
      </c>
      <c r="D93" s="59">
        <v>17691.083333333332</v>
      </c>
      <c r="E93" s="60">
        <f t="shared" si="2"/>
        <v>0</v>
      </c>
      <c r="F93" s="7">
        <v>0.0</v>
      </c>
      <c r="G93" s="59">
        <v>20607.0</v>
      </c>
      <c r="H93" s="60">
        <f t="shared" si="3"/>
        <v>0</v>
      </c>
      <c r="N93" s="67"/>
      <c r="Q93" s="67"/>
    </row>
    <row r="94" ht="15.75" customHeight="1">
      <c r="A94" s="7">
        <v>21204.0</v>
      </c>
      <c r="B94" s="7" t="s">
        <v>143</v>
      </c>
      <c r="C94" s="7">
        <v>0.0</v>
      </c>
      <c r="D94" s="59">
        <v>6614.833333333333</v>
      </c>
      <c r="E94" s="60">
        <f t="shared" si="2"/>
        <v>0</v>
      </c>
      <c r="F94" s="7">
        <v>0.0</v>
      </c>
      <c r="G94" s="59">
        <v>7900.0</v>
      </c>
      <c r="H94" s="60">
        <f t="shared" si="3"/>
        <v>0</v>
      </c>
      <c r="N94" s="67"/>
      <c r="Q94" s="67"/>
    </row>
    <row r="95" ht="15.75" customHeight="1">
      <c r="A95" s="7">
        <v>21301.0</v>
      </c>
      <c r="B95" s="7" t="s">
        <v>144</v>
      </c>
      <c r="C95" s="7">
        <v>0.0</v>
      </c>
      <c r="D95" s="59">
        <v>31526.416666666668</v>
      </c>
      <c r="E95" s="60">
        <f t="shared" si="2"/>
        <v>0</v>
      </c>
      <c r="F95" s="7">
        <v>0.0</v>
      </c>
      <c r="G95" s="59">
        <v>33885.0</v>
      </c>
      <c r="H95" s="60">
        <f t="shared" si="3"/>
        <v>0</v>
      </c>
      <c r="N95" s="67"/>
      <c r="Q95" s="67"/>
    </row>
    <row r="96" ht="15.75" customHeight="1">
      <c r="A96" s="7">
        <v>21302.0</v>
      </c>
      <c r="B96" s="7" t="s">
        <v>145</v>
      </c>
      <c r="C96" s="7">
        <v>0.0</v>
      </c>
      <c r="D96" s="59">
        <v>8919.583333333334</v>
      </c>
      <c r="E96" s="60">
        <f t="shared" si="2"/>
        <v>0</v>
      </c>
      <c r="F96" s="7">
        <v>0.0</v>
      </c>
      <c r="G96" s="59">
        <v>9102.0</v>
      </c>
      <c r="H96" s="60">
        <f t="shared" si="3"/>
        <v>0</v>
      </c>
      <c r="N96" s="67"/>
      <c r="Q96" s="67"/>
    </row>
    <row r="97" ht="15.75" customHeight="1">
      <c r="A97" s="7">
        <v>21303.0</v>
      </c>
      <c r="B97" s="7" t="s">
        <v>146</v>
      </c>
      <c r="C97" s="7">
        <v>0.0</v>
      </c>
      <c r="D97" s="59">
        <v>8086.333333333333</v>
      </c>
      <c r="E97" s="60">
        <f t="shared" si="2"/>
        <v>0</v>
      </c>
      <c r="F97" s="7">
        <v>0.0</v>
      </c>
      <c r="G97" s="59">
        <v>11258.0</v>
      </c>
      <c r="H97" s="60">
        <f t="shared" si="3"/>
        <v>0</v>
      </c>
      <c r="N97" s="67"/>
      <c r="Q97" s="67"/>
    </row>
    <row r="98" ht="15.75" customHeight="1">
      <c r="A98" s="7">
        <v>21304.0</v>
      </c>
      <c r="B98" s="7" t="s">
        <v>147</v>
      </c>
      <c r="C98" s="7">
        <v>0.0</v>
      </c>
      <c r="D98" s="59">
        <v>12655.833333333334</v>
      </c>
      <c r="E98" s="60">
        <f t="shared" si="2"/>
        <v>0</v>
      </c>
      <c r="F98" s="7">
        <v>0.0</v>
      </c>
      <c r="G98" s="59">
        <v>15327.0</v>
      </c>
      <c r="H98" s="60">
        <f t="shared" si="3"/>
        <v>0</v>
      </c>
      <c r="N98" s="67"/>
      <c r="Q98" s="67"/>
    </row>
    <row r="99" ht="15.75" customHeight="1">
      <c r="A99" s="7">
        <v>21305.0</v>
      </c>
      <c r="B99" s="7" t="s">
        <v>148</v>
      </c>
      <c r="C99" s="7">
        <v>0.0</v>
      </c>
      <c r="D99" s="59">
        <v>23048.833333333332</v>
      </c>
      <c r="E99" s="60">
        <f t="shared" si="2"/>
        <v>0</v>
      </c>
      <c r="F99" s="7">
        <v>0.0</v>
      </c>
      <c r="G99" s="59">
        <v>25148.0</v>
      </c>
      <c r="H99" s="60">
        <f t="shared" si="3"/>
        <v>0</v>
      </c>
      <c r="N99" s="67"/>
      <c r="Q99" s="67"/>
    </row>
    <row r="100" ht="15.75" customHeight="1">
      <c r="A100" s="7">
        <v>21306.0</v>
      </c>
      <c r="B100" s="7" t="s">
        <v>149</v>
      </c>
      <c r="C100" s="7">
        <v>0.0</v>
      </c>
      <c r="D100" s="59">
        <v>10096.583333333334</v>
      </c>
      <c r="E100" s="60">
        <f t="shared" si="2"/>
        <v>0</v>
      </c>
      <c r="F100" s="7">
        <v>0.0</v>
      </c>
      <c r="G100" s="59">
        <v>12490.0</v>
      </c>
      <c r="H100" s="60">
        <f t="shared" si="3"/>
        <v>0</v>
      </c>
      <c r="N100" s="67"/>
      <c r="Q100" s="67"/>
    </row>
    <row r="101" ht="15.75" customHeight="1">
      <c r="A101" s="7">
        <v>21307.0</v>
      </c>
      <c r="B101" s="7" t="s">
        <v>150</v>
      </c>
      <c r="C101" s="7">
        <v>0.0</v>
      </c>
      <c r="D101" s="59">
        <v>5082.333333333333</v>
      </c>
      <c r="E101" s="60">
        <f t="shared" si="2"/>
        <v>0</v>
      </c>
      <c r="F101" s="7">
        <v>0.0</v>
      </c>
      <c r="G101" s="59">
        <v>5526.0</v>
      </c>
      <c r="H101" s="60">
        <f t="shared" si="3"/>
        <v>0</v>
      </c>
      <c r="N101" s="67"/>
      <c r="Q101" s="67"/>
    </row>
    <row r="102" ht="15.75" customHeight="1">
      <c r="A102" s="7">
        <v>21401.0</v>
      </c>
      <c r="B102" s="7" t="s">
        <v>151</v>
      </c>
      <c r="C102" s="7">
        <v>0.0</v>
      </c>
      <c r="D102" s="59">
        <v>20089.833333333332</v>
      </c>
      <c r="E102" s="60">
        <f t="shared" si="2"/>
        <v>0</v>
      </c>
      <c r="F102" s="7">
        <v>0.0</v>
      </c>
      <c r="G102" s="59">
        <v>27711.0</v>
      </c>
      <c r="H102" s="60">
        <f t="shared" si="3"/>
        <v>0</v>
      </c>
      <c r="N102" s="67"/>
      <c r="Q102" s="67"/>
    </row>
    <row r="103" ht="15.75" customHeight="1">
      <c r="A103" s="7">
        <v>21402.0</v>
      </c>
      <c r="B103" s="7" t="s">
        <v>152</v>
      </c>
      <c r="C103" s="7">
        <v>0.0</v>
      </c>
      <c r="D103" s="59">
        <v>17480.0</v>
      </c>
      <c r="E103" s="60">
        <f t="shared" si="2"/>
        <v>0</v>
      </c>
      <c r="F103" s="7">
        <v>0.0</v>
      </c>
      <c r="G103" s="59">
        <v>23530.0</v>
      </c>
      <c r="H103" s="60">
        <f t="shared" si="3"/>
        <v>0</v>
      </c>
      <c r="N103" s="67"/>
      <c r="Q103" s="67"/>
    </row>
    <row r="104" ht="15.75" customHeight="1">
      <c r="A104" s="7">
        <v>21501.0</v>
      </c>
      <c r="B104" s="7" t="s">
        <v>153</v>
      </c>
      <c r="C104" s="7">
        <v>0.0</v>
      </c>
      <c r="D104" s="59">
        <v>9631.416666666666</v>
      </c>
      <c r="E104" s="60">
        <f t="shared" si="2"/>
        <v>0</v>
      </c>
      <c r="F104" s="7">
        <v>0.0</v>
      </c>
      <c r="G104" s="59">
        <v>12595.0</v>
      </c>
      <c r="H104" s="60">
        <f t="shared" si="3"/>
        <v>0</v>
      </c>
      <c r="N104" s="67"/>
      <c r="Q104" s="67"/>
    </row>
    <row r="105" ht="15.75" customHeight="1">
      <c r="A105" s="7">
        <v>21502.0</v>
      </c>
      <c r="B105" s="7" t="s">
        <v>154</v>
      </c>
      <c r="C105" s="7">
        <v>0.0</v>
      </c>
      <c r="D105" s="59">
        <v>8827.166666666666</v>
      </c>
      <c r="E105" s="60">
        <f t="shared" si="2"/>
        <v>0</v>
      </c>
      <c r="F105" s="7">
        <v>0.0</v>
      </c>
      <c r="G105" s="59">
        <v>10105.0</v>
      </c>
      <c r="H105" s="60">
        <f t="shared" si="3"/>
        <v>0</v>
      </c>
      <c r="N105" s="67"/>
      <c r="Q105" s="67"/>
    </row>
    <row r="106" ht="15.75" customHeight="1">
      <c r="A106" s="7">
        <v>21601.0</v>
      </c>
      <c r="B106" s="7" t="s">
        <v>155</v>
      </c>
      <c r="C106" s="7">
        <v>0.0</v>
      </c>
      <c r="D106" s="59">
        <v>13251.333333333334</v>
      </c>
      <c r="E106" s="60">
        <f t="shared" si="2"/>
        <v>0</v>
      </c>
      <c r="F106" s="7">
        <v>0.0</v>
      </c>
      <c r="G106" s="59">
        <v>15763.0</v>
      </c>
      <c r="H106" s="60">
        <f t="shared" si="3"/>
        <v>0</v>
      </c>
      <c r="N106" s="67"/>
      <c r="Q106" s="67"/>
    </row>
    <row r="107" ht="15.75" customHeight="1">
      <c r="A107" s="7">
        <v>21602.0</v>
      </c>
      <c r="B107" s="7" t="s">
        <v>156</v>
      </c>
      <c r="C107" s="7">
        <v>0.0</v>
      </c>
      <c r="D107" s="59">
        <v>3562.1666666666665</v>
      </c>
      <c r="E107" s="60">
        <f t="shared" si="2"/>
        <v>0</v>
      </c>
      <c r="F107" s="7">
        <v>0.0</v>
      </c>
      <c r="G107" s="59">
        <v>6611.0</v>
      </c>
      <c r="H107" s="60">
        <f t="shared" si="3"/>
        <v>0</v>
      </c>
      <c r="N107" s="67"/>
      <c r="Q107" s="67"/>
    </row>
    <row r="108" ht="15.75" customHeight="1">
      <c r="A108" s="7">
        <v>21701.0</v>
      </c>
      <c r="B108" s="7" t="s">
        <v>157</v>
      </c>
      <c r="C108" s="7">
        <v>0.0</v>
      </c>
      <c r="D108" s="59">
        <v>15142.0</v>
      </c>
      <c r="E108" s="60">
        <f t="shared" si="2"/>
        <v>0</v>
      </c>
      <c r="F108" s="7">
        <v>0.0</v>
      </c>
      <c r="G108" s="59">
        <v>17463.0</v>
      </c>
      <c r="H108" s="60">
        <f t="shared" si="3"/>
        <v>0</v>
      </c>
      <c r="N108" s="67"/>
      <c r="Q108" s="67"/>
    </row>
    <row r="109" ht="15.75" customHeight="1">
      <c r="A109" s="7">
        <v>21702.0</v>
      </c>
      <c r="B109" s="7" t="s">
        <v>158</v>
      </c>
      <c r="C109" s="7">
        <v>0.0</v>
      </c>
      <c r="D109" s="59">
        <v>6311.333333333333</v>
      </c>
      <c r="E109" s="60">
        <f t="shared" si="2"/>
        <v>0</v>
      </c>
      <c r="F109" s="7">
        <v>0.0</v>
      </c>
      <c r="G109" s="59">
        <v>9164.0</v>
      </c>
      <c r="H109" s="60">
        <f t="shared" si="3"/>
        <v>0</v>
      </c>
      <c r="N109" s="67"/>
      <c r="Q109" s="67"/>
    </row>
    <row r="110" ht="15.75" customHeight="1">
      <c r="A110" s="7">
        <v>21703.0</v>
      </c>
      <c r="B110" s="7" t="s">
        <v>159</v>
      </c>
      <c r="C110" s="7">
        <v>0.0</v>
      </c>
      <c r="D110" s="59">
        <v>6366.333333333333</v>
      </c>
      <c r="E110" s="60">
        <f t="shared" si="2"/>
        <v>0</v>
      </c>
      <c r="F110" s="7">
        <v>0.0</v>
      </c>
      <c r="G110" s="59">
        <v>7525.0</v>
      </c>
      <c r="H110" s="60">
        <f t="shared" si="3"/>
        <v>0</v>
      </c>
      <c r="N110" s="67"/>
      <c r="Q110" s="67"/>
    </row>
    <row r="111" ht="15.75" customHeight="1">
      <c r="A111" s="7">
        <v>21801.0</v>
      </c>
      <c r="B111" s="7" t="s">
        <v>160</v>
      </c>
      <c r="C111" s="7">
        <v>0.0</v>
      </c>
      <c r="D111" s="59">
        <v>8887.916666666666</v>
      </c>
      <c r="E111" s="60">
        <f t="shared" si="2"/>
        <v>0</v>
      </c>
      <c r="F111" s="7">
        <v>0.0</v>
      </c>
      <c r="G111" s="59">
        <v>9217.0</v>
      </c>
      <c r="H111" s="60">
        <f t="shared" si="3"/>
        <v>0</v>
      </c>
      <c r="N111" s="67"/>
      <c r="Q111" s="67"/>
    </row>
    <row r="112" ht="15.75" customHeight="1">
      <c r="A112" s="7">
        <v>21802.0</v>
      </c>
      <c r="B112" s="7" t="s">
        <v>161</v>
      </c>
      <c r="C112" s="7">
        <v>0.0</v>
      </c>
      <c r="D112" s="59">
        <v>6973.5</v>
      </c>
      <c r="E112" s="60">
        <f t="shared" si="2"/>
        <v>0</v>
      </c>
      <c r="F112" s="7">
        <v>0.0</v>
      </c>
      <c r="G112" s="59">
        <v>6649.0</v>
      </c>
      <c r="H112" s="60">
        <f t="shared" si="3"/>
        <v>0</v>
      </c>
      <c r="N112" s="67"/>
      <c r="Q112" s="67"/>
    </row>
    <row r="113" ht="15.75" customHeight="1">
      <c r="A113" s="7">
        <v>21803.0</v>
      </c>
      <c r="B113" s="7" t="s">
        <v>162</v>
      </c>
      <c r="C113" s="7">
        <v>0.0</v>
      </c>
      <c r="D113" s="59">
        <v>2008.0</v>
      </c>
      <c r="E113" s="60">
        <f t="shared" si="2"/>
        <v>0</v>
      </c>
      <c r="F113" s="7">
        <v>0.0</v>
      </c>
      <c r="G113" s="59">
        <v>2052.0</v>
      </c>
      <c r="H113" s="60">
        <f t="shared" si="3"/>
        <v>0</v>
      </c>
      <c r="N113" s="67"/>
      <c r="Q113" s="67"/>
    </row>
    <row r="114" ht="15.75" customHeight="1">
      <c r="A114" s="7">
        <v>21901.0</v>
      </c>
      <c r="B114" s="7" t="s">
        <v>163</v>
      </c>
      <c r="C114" s="7">
        <v>0.0</v>
      </c>
      <c r="D114" s="59">
        <v>4777.333333333333</v>
      </c>
      <c r="E114" s="60">
        <f t="shared" si="2"/>
        <v>0</v>
      </c>
      <c r="F114" s="7">
        <v>0.0</v>
      </c>
      <c r="G114" s="59">
        <v>6805.0</v>
      </c>
      <c r="H114" s="60">
        <f t="shared" si="3"/>
        <v>0</v>
      </c>
      <c r="N114" s="67"/>
      <c r="Q114" s="67"/>
    </row>
    <row r="115" ht="15.75" customHeight="1">
      <c r="A115" s="7">
        <v>21902.0</v>
      </c>
      <c r="B115" s="7" t="s">
        <v>164</v>
      </c>
      <c r="C115" s="7">
        <v>0.0</v>
      </c>
      <c r="D115" s="59">
        <v>3086.8333333333335</v>
      </c>
      <c r="E115" s="60">
        <f t="shared" si="2"/>
        <v>0</v>
      </c>
      <c r="F115" s="7">
        <v>0.0</v>
      </c>
      <c r="G115" s="59">
        <v>5351.0</v>
      </c>
      <c r="H115" s="60">
        <f t="shared" si="3"/>
        <v>0</v>
      </c>
      <c r="N115" s="67"/>
      <c r="Q115" s="67"/>
    </row>
    <row r="116" ht="15.75" customHeight="1">
      <c r="A116" s="7">
        <v>22001.0</v>
      </c>
      <c r="B116" s="7" t="s">
        <v>165</v>
      </c>
      <c r="C116" s="7">
        <v>0.0</v>
      </c>
      <c r="D116" s="59">
        <v>51108.833333333336</v>
      </c>
      <c r="E116" s="60">
        <f t="shared" si="2"/>
        <v>0</v>
      </c>
      <c r="F116" s="7">
        <v>0.0</v>
      </c>
      <c r="G116" s="59">
        <v>59676.0</v>
      </c>
      <c r="H116" s="60">
        <f t="shared" si="3"/>
        <v>0</v>
      </c>
      <c r="N116" s="67"/>
      <c r="Q116" s="67"/>
    </row>
    <row r="117" ht="15.75" customHeight="1">
      <c r="A117" s="7">
        <v>22002.0</v>
      </c>
      <c r="B117" s="7" t="s">
        <v>166</v>
      </c>
      <c r="C117" s="7">
        <v>0.0</v>
      </c>
      <c r="D117" s="59">
        <v>11143.25</v>
      </c>
      <c r="E117" s="60">
        <f t="shared" si="2"/>
        <v>0</v>
      </c>
      <c r="F117" s="7">
        <v>0.0</v>
      </c>
      <c r="G117" s="59">
        <v>10585.0</v>
      </c>
      <c r="H117" s="60">
        <f t="shared" si="3"/>
        <v>0</v>
      </c>
      <c r="N117" s="67"/>
      <c r="Q117" s="67"/>
    </row>
    <row r="118" ht="15.75" customHeight="1">
      <c r="A118" s="7">
        <v>30101.0</v>
      </c>
      <c r="B118" s="7" t="s">
        <v>113</v>
      </c>
      <c r="C118" s="7">
        <v>120.5</v>
      </c>
      <c r="D118" s="59">
        <v>634804.0</v>
      </c>
      <c r="E118" s="60">
        <f t="shared" si="2"/>
        <v>76493882</v>
      </c>
      <c r="F118" s="7">
        <v>56.02</v>
      </c>
      <c r="G118" s="59">
        <v>665505.0</v>
      </c>
      <c r="H118" s="60">
        <f t="shared" si="3"/>
        <v>37281590.1</v>
      </c>
      <c r="N118" s="67"/>
      <c r="Q118" s="67"/>
    </row>
    <row r="119" ht="15.75" customHeight="1">
      <c r="A119" s="7">
        <v>30201.0</v>
      </c>
      <c r="B119" s="7" t="s">
        <v>167</v>
      </c>
      <c r="C119" s="7">
        <v>0.0</v>
      </c>
      <c r="D119" s="59">
        <v>23255.0</v>
      </c>
      <c r="E119" s="60">
        <f t="shared" si="2"/>
        <v>0</v>
      </c>
      <c r="F119" s="7">
        <v>0.0</v>
      </c>
      <c r="G119" s="59">
        <v>23123.0</v>
      </c>
      <c r="H119" s="60">
        <f t="shared" si="3"/>
        <v>0</v>
      </c>
      <c r="N119" s="67"/>
      <c r="Q119" s="67"/>
    </row>
    <row r="120" ht="15.75" customHeight="1">
      <c r="A120" s="7">
        <v>30202.0</v>
      </c>
      <c r="B120" s="7" t="s">
        <v>168</v>
      </c>
      <c r="C120" s="7">
        <v>0.0</v>
      </c>
      <c r="D120" s="59">
        <v>6821.5</v>
      </c>
      <c r="E120" s="60">
        <f t="shared" si="2"/>
        <v>0</v>
      </c>
      <c r="F120" s="7">
        <v>0.0</v>
      </c>
      <c r="G120" s="59">
        <v>6475.0</v>
      </c>
      <c r="H120" s="60">
        <f t="shared" si="3"/>
        <v>0</v>
      </c>
      <c r="N120" s="67"/>
      <c r="Q120" s="67"/>
    </row>
    <row r="121" ht="15.75" customHeight="1">
      <c r="A121" s="7">
        <v>30203.0</v>
      </c>
      <c r="B121" s="7" t="s">
        <v>169</v>
      </c>
      <c r="C121" s="7">
        <v>0.0</v>
      </c>
      <c r="D121" s="59">
        <v>5731.083333333333</v>
      </c>
      <c r="E121" s="60">
        <f t="shared" si="2"/>
        <v>0</v>
      </c>
      <c r="F121" s="7">
        <v>0.0</v>
      </c>
      <c r="G121" s="59">
        <v>6700.0</v>
      </c>
      <c r="H121" s="60">
        <f t="shared" si="3"/>
        <v>0</v>
      </c>
      <c r="N121" s="67"/>
      <c r="Q121" s="67"/>
    </row>
    <row r="122" ht="15.75" customHeight="1">
      <c r="A122" s="7">
        <v>30301.0</v>
      </c>
      <c r="B122" s="7" t="s">
        <v>170</v>
      </c>
      <c r="C122" s="7">
        <v>0.0</v>
      </c>
      <c r="D122" s="59">
        <v>23504.416666666668</v>
      </c>
      <c r="E122" s="60">
        <f t="shared" si="2"/>
        <v>0</v>
      </c>
      <c r="F122" s="7">
        <v>0.0</v>
      </c>
      <c r="G122" s="59">
        <v>21815.0</v>
      </c>
      <c r="H122" s="60">
        <f t="shared" si="3"/>
        <v>0</v>
      </c>
      <c r="N122" s="67"/>
      <c r="Q122" s="67"/>
    </row>
    <row r="123" ht="15.75" customHeight="1">
      <c r="A123" s="7">
        <v>30302.0</v>
      </c>
      <c r="B123" s="7" t="s">
        <v>171</v>
      </c>
      <c r="C123" s="7">
        <v>0.0</v>
      </c>
      <c r="D123" s="59">
        <v>12957.25</v>
      </c>
      <c r="E123" s="60">
        <f t="shared" si="2"/>
        <v>0</v>
      </c>
      <c r="F123" s="7">
        <v>0.0</v>
      </c>
      <c r="G123" s="59">
        <v>14720.0</v>
      </c>
      <c r="H123" s="60">
        <f t="shared" si="3"/>
        <v>0</v>
      </c>
      <c r="N123" s="67"/>
      <c r="Q123" s="67"/>
    </row>
    <row r="124" ht="15.75" customHeight="1">
      <c r="A124" s="7">
        <v>30303.0</v>
      </c>
      <c r="B124" s="7" t="s">
        <v>172</v>
      </c>
      <c r="C124" s="7">
        <v>0.0</v>
      </c>
      <c r="D124" s="59">
        <v>18203.666666666668</v>
      </c>
      <c r="E124" s="60">
        <f t="shared" si="2"/>
        <v>0</v>
      </c>
      <c r="F124" s="7">
        <v>0.0</v>
      </c>
      <c r="G124" s="59">
        <v>19608.0</v>
      </c>
      <c r="H124" s="60">
        <f t="shared" si="3"/>
        <v>0</v>
      </c>
      <c r="N124" s="67"/>
      <c r="Q124" s="67"/>
    </row>
    <row r="125" ht="15.75" customHeight="1">
      <c r="A125" s="7">
        <v>30401.0</v>
      </c>
      <c r="B125" s="7" t="s">
        <v>173</v>
      </c>
      <c r="C125" s="7">
        <v>0.0</v>
      </c>
      <c r="D125" s="59">
        <v>8494.583333333334</v>
      </c>
      <c r="E125" s="60">
        <f t="shared" si="2"/>
        <v>0</v>
      </c>
      <c r="F125" s="7">
        <v>0.0</v>
      </c>
      <c r="G125" s="59">
        <v>11273.0</v>
      </c>
      <c r="H125" s="60">
        <f t="shared" si="3"/>
        <v>0</v>
      </c>
      <c r="N125" s="67"/>
      <c r="Q125" s="67"/>
    </row>
    <row r="126" ht="15.75" customHeight="1">
      <c r="A126" s="7">
        <v>30402.0</v>
      </c>
      <c r="B126" s="7" t="s">
        <v>174</v>
      </c>
      <c r="C126" s="7">
        <v>0.0</v>
      </c>
      <c r="D126" s="59">
        <v>7203.916666666667</v>
      </c>
      <c r="E126" s="60">
        <f t="shared" si="2"/>
        <v>0</v>
      </c>
      <c r="F126" s="7">
        <v>0.0</v>
      </c>
      <c r="G126" s="59">
        <v>7335.0</v>
      </c>
      <c r="H126" s="60">
        <f t="shared" si="3"/>
        <v>0</v>
      </c>
      <c r="N126" s="67"/>
      <c r="Q126" s="67"/>
    </row>
    <row r="127" ht="15.75" customHeight="1">
      <c r="A127" s="7">
        <v>30403.0</v>
      </c>
      <c r="B127" s="7" t="s">
        <v>175</v>
      </c>
      <c r="C127" s="7">
        <v>0.0</v>
      </c>
      <c r="D127" s="59">
        <v>18439.166666666668</v>
      </c>
      <c r="E127" s="60">
        <f t="shared" si="2"/>
        <v>0</v>
      </c>
      <c r="F127" s="7">
        <v>0.0</v>
      </c>
      <c r="G127" s="59">
        <v>29375.0</v>
      </c>
      <c r="H127" s="60">
        <f t="shared" si="3"/>
        <v>0</v>
      </c>
      <c r="N127" s="67"/>
      <c r="Q127" s="67"/>
    </row>
    <row r="128" ht="15.75" customHeight="1">
      <c r="A128" s="7">
        <v>30404.0</v>
      </c>
      <c r="B128" s="7" t="s">
        <v>176</v>
      </c>
      <c r="C128" s="7">
        <v>0.0</v>
      </c>
      <c r="D128" s="59">
        <v>4417.75</v>
      </c>
      <c r="E128" s="60">
        <f t="shared" si="2"/>
        <v>0</v>
      </c>
      <c r="F128" s="7">
        <v>0.0</v>
      </c>
      <c r="G128" s="59">
        <v>4987.0</v>
      </c>
      <c r="H128" s="60">
        <f t="shared" si="3"/>
        <v>0</v>
      </c>
      <c r="N128" s="67"/>
      <c r="Q128" s="67"/>
    </row>
    <row r="129" ht="15.75" customHeight="1">
      <c r="A129" s="7">
        <v>30501.0</v>
      </c>
      <c r="B129" s="7" t="s">
        <v>177</v>
      </c>
      <c r="C129" s="7">
        <v>0.0</v>
      </c>
      <c r="D129" s="59">
        <v>9643.916666666666</v>
      </c>
      <c r="E129" s="60">
        <f t="shared" si="2"/>
        <v>0</v>
      </c>
      <c r="F129" s="7">
        <v>0.0</v>
      </c>
      <c r="G129" s="59">
        <v>11183.0</v>
      </c>
      <c r="H129" s="60">
        <f t="shared" si="3"/>
        <v>0</v>
      </c>
      <c r="N129" s="67"/>
      <c r="Q129" s="67"/>
    </row>
    <row r="130" ht="15.75" customHeight="1">
      <c r="A130" s="7">
        <v>30502.0</v>
      </c>
      <c r="B130" s="7" t="s">
        <v>178</v>
      </c>
      <c r="C130" s="7">
        <v>0.0</v>
      </c>
      <c r="D130" s="59">
        <v>8895.75</v>
      </c>
      <c r="E130" s="60">
        <f t="shared" si="2"/>
        <v>0</v>
      </c>
      <c r="F130" s="7">
        <v>0.0</v>
      </c>
      <c r="G130" s="59">
        <v>8409.0</v>
      </c>
      <c r="H130" s="60">
        <f t="shared" si="3"/>
        <v>0</v>
      </c>
      <c r="N130" s="67"/>
      <c r="Q130" s="67"/>
    </row>
    <row r="131" ht="15.75" customHeight="1">
      <c r="A131" s="7">
        <v>30601.0</v>
      </c>
      <c r="B131" s="7" t="s">
        <v>179</v>
      </c>
      <c r="C131" s="7">
        <v>0.0</v>
      </c>
      <c r="D131" s="59">
        <v>10599.916666666666</v>
      </c>
      <c r="E131" s="60">
        <f t="shared" si="2"/>
        <v>0</v>
      </c>
      <c r="F131" s="7">
        <v>0.0</v>
      </c>
      <c r="G131" s="59">
        <v>10632.0</v>
      </c>
      <c r="H131" s="60">
        <f t="shared" si="3"/>
        <v>0</v>
      </c>
      <c r="N131" s="67"/>
      <c r="Q131" s="67"/>
    </row>
    <row r="132" ht="15.75" customHeight="1">
      <c r="A132" s="7">
        <v>30602.0</v>
      </c>
      <c r="B132" s="7" t="s">
        <v>180</v>
      </c>
      <c r="C132" s="7">
        <v>0.0</v>
      </c>
      <c r="D132" s="59">
        <v>10294.416666666666</v>
      </c>
      <c r="E132" s="60">
        <f t="shared" si="2"/>
        <v>0</v>
      </c>
      <c r="F132" s="7">
        <v>0.0</v>
      </c>
      <c r="G132" s="59">
        <v>10750.0</v>
      </c>
      <c r="H132" s="60">
        <f t="shared" si="3"/>
        <v>0</v>
      </c>
      <c r="N132" s="67"/>
      <c r="Q132" s="67"/>
    </row>
    <row r="133" ht="15.75" customHeight="1">
      <c r="A133" s="7">
        <v>30701.0</v>
      </c>
      <c r="B133" s="7" t="s">
        <v>181</v>
      </c>
      <c r="C133" s="7">
        <v>0.0</v>
      </c>
      <c r="D133" s="59">
        <v>19472.833333333332</v>
      </c>
      <c r="E133" s="60">
        <f t="shared" si="2"/>
        <v>0</v>
      </c>
      <c r="F133" s="7">
        <v>0.0</v>
      </c>
      <c r="G133" s="59">
        <v>19427.0</v>
      </c>
      <c r="H133" s="60">
        <f t="shared" si="3"/>
        <v>0</v>
      </c>
      <c r="N133" s="67"/>
      <c r="Q133" s="67"/>
    </row>
    <row r="134" ht="15.75" customHeight="1">
      <c r="A134" s="7">
        <v>30702.0</v>
      </c>
      <c r="B134" s="7" t="s">
        <v>182</v>
      </c>
      <c r="C134" s="7">
        <v>0.0</v>
      </c>
      <c r="D134" s="59">
        <v>6644.75</v>
      </c>
      <c r="E134" s="60">
        <f t="shared" si="2"/>
        <v>0</v>
      </c>
      <c r="F134" s="7">
        <v>0.0</v>
      </c>
      <c r="G134" s="59">
        <v>7940.0</v>
      </c>
      <c r="H134" s="60">
        <f t="shared" si="3"/>
        <v>0</v>
      </c>
      <c r="N134" s="67"/>
      <c r="Q134" s="67"/>
    </row>
    <row r="135" ht="15.75" customHeight="1">
      <c r="A135" s="7">
        <v>30703.0</v>
      </c>
      <c r="B135" s="7" t="s">
        <v>183</v>
      </c>
      <c r="C135" s="7">
        <v>0.0</v>
      </c>
      <c r="D135" s="59">
        <v>3760.0</v>
      </c>
      <c r="E135" s="60">
        <f t="shared" si="2"/>
        <v>0</v>
      </c>
      <c r="F135" s="7">
        <v>0.0</v>
      </c>
      <c r="G135" s="59">
        <v>3980.0</v>
      </c>
      <c r="H135" s="60">
        <f t="shared" si="3"/>
        <v>0</v>
      </c>
      <c r="N135" s="67"/>
      <c r="Q135" s="67"/>
    </row>
    <row r="136" ht="15.75" customHeight="1">
      <c r="A136" s="7">
        <v>30801.0</v>
      </c>
      <c r="B136" s="7" t="s">
        <v>184</v>
      </c>
      <c r="C136" s="7">
        <v>0.0</v>
      </c>
      <c r="D136" s="59">
        <v>21837.0</v>
      </c>
      <c r="E136" s="60">
        <f t="shared" si="2"/>
        <v>0</v>
      </c>
      <c r="F136" s="7">
        <v>0.0</v>
      </c>
      <c r="G136" s="59">
        <v>21155.0</v>
      </c>
      <c r="H136" s="60">
        <f t="shared" si="3"/>
        <v>0</v>
      </c>
      <c r="N136" s="67"/>
      <c r="Q136" s="67"/>
    </row>
    <row r="137" ht="15.75" customHeight="1">
      <c r="A137" s="7">
        <v>30802.0</v>
      </c>
      <c r="B137" s="7" t="s">
        <v>185</v>
      </c>
      <c r="C137" s="7">
        <v>0.0</v>
      </c>
      <c r="D137" s="59">
        <v>7084.083333333333</v>
      </c>
      <c r="E137" s="60">
        <f t="shared" si="2"/>
        <v>0</v>
      </c>
      <c r="F137" s="7">
        <v>0.0</v>
      </c>
      <c r="G137" s="59">
        <v>7382.0</v>
      </c>
      <c r="H137" s="60">
        <f t="shared" si="3"/>
        <v>0</v>
      </c>
      <c r="N137" s="67"/>
      <c r="Q137" s="67"/>
    </row>
    <row r="138" ht="15.75" customHeight="1">
      <c r="A138" s="7">
        <v>30803.0</v>
      </c>
      <c r="B138" s="7" t="s">
        <v>186</v>
      </c>
      <c r="C138" s="7">
        <v>0.0</v>
      </c>
      <c r="D138" s="59">
        <v>5804.083333333333</v>
      </c>
      <c r="E138" s="60">
        <f t="shared" si="2"/>
        <v>0</v>
      </c>
      <c r="F138" s="7">
        <v>0.0</v>
      </c>
      <c r="G138" s="59">
        <v>8687.0</v>
      </c>
      <c r="H138" s="60">
        <f t="shared" si="3"/>
        <v>0</v>
      </c>
      <c r="N138" s="67"/>
      <c r="Q138" s="67"/>
    </row>
    <row r="139" ht="15.75" customHeight="1">
      <c r="A139" s="7">
        <v>30901.0</v>
      </c>
      <c r="B139" s="7" t="s">
        <v>187</v>
      </c>
      <c r="C139" s="7">
        <v>0.0</v>
      </c>
      <c r="D139" s="59">
        <v>139645.25</v>
      </c>
      <c r="E139" s="60">
        <f t="shared" si="2"/>
        <v>0</v>
      </c>
      <c r="F139" s="7">
        <v>0.0</v>
      </c>
      <c r="G139" s="59">
        <v>166741.0</v>
      </c>
      <c r="H139" s="60">
        <f t="shared" si="3"/>
        <v>0</v>
      </c>
      <c r="N139" s="67"/>
      <c r="Q139" s="67"/>
    </row>
    <row r="140" ht="15.75" customHeight="1">
      <c r="A140" s="7">
        <v>30902.0</v>
      </c>
      <c r="B140" s="7" t="s">
        <v>188</v>
      </c>
      <c r="C140" s="7">
        <v>0.0</v>
      </c>
      <c r="D140" s="59">
        <v>42765.75</v>
      </c>
      <c r="E140" s="60">
        <f t="shared" si="2"/>
        <v>0</v>
      </c>
      <c r="F140" s="7">
        <v>0.0</v>
      </c>
      <c r="G140" s="59">
        <v>55908.0</v>
      </c>
      <c r="H140" s="60">
        <f t="shared" si="3"/>
        <v>0</v>
      </c>
      <c r="N140" s="67"/>
      <c r="Q140" s="67"/>
    </row>
    <row r="141" ht="15.75" customHeight="1">
      <c r="A141" s="7">
        <v>30903.0</v>
      </c>
      <c r="B141" s="7" t="s">
        <v>189</v>
      </c>
      <c r="C141" s="7">
        <v>0.0</v>
      </c>
      <c r="D141" s="59">
        <v>54565.333333333336</v>
      </c>
      <c r="E141" s="60">
        <f t="shared" si="2"/>
        <v>0</v>
      </c>
      <c r="F141" s="7">
        <v>0.0</v>
      </c>
      <c r="G141" s="59">
        <v>61840.0</v>
      </c>
      <c r="H141" s="60">
        <f t="shared" si="3"/>
        <v>0</v>
      </c>
      <c r="N141" s="67"/>
      <c r="Q141" s="67"/>
    </row>
    <row r="142" ht="15.75" customHeight="1">
      <c r="A142" s="7">
        <v>30904.0</v>
      </c>
      <c r="B142" s="7" t="s">
        <v>190</v>
      </c>
      <c r="C142" s="7">
        <v>0.0</v>
      </c>
      <c r="D142" s="59">
        <v>52309.333333333336</v>
      </c>
      <c r="E142" s="60">
        <f t="shared" si="2"/>
        <v>0</v>
      </c>
      <c r="F142" s="7">
        <v>0.0</v>
      </c>
      <c r="G142" s="59">
        <v>56064.0</v>
      </c>
      <c r="H142" s="60">
        <f t="shared" si="3"/>
        <v>0</v>
      </c>
      <c r="N142" s="67"/>
      <c r="Q142" s="67"/>
    </row>
    <row r="143" ht="15.75" customHeight="1">
      <c r="A143" s="7">
        <v>30905.0</v>
      </c>
      <c r="B143" s="7" t="s">
        <v>191</v>
      </c>
      <c r="C143" s="7">
        <v>0.0</v>
      </c>
      <c r="D143" s="59">
        <v>53199.583333333336</v>
      </c>
      <c r="E143" s="60">
        <f t="shared" si="2"/>
        <v>0</v>
      </c>
      <c r="F143" s="7">
        <v>0.0</v>
      </c>
      <c r="G143" s="59">
        <v>66505.0</v>
      </c>
      <c r="H143" s="60">
        <f t="shared" si="3"/>
        <v>0</v>
      </c>
      <c r="N143" s="67"/>
      <c r="Q143" s="67"/>
    </row>
    <row r="144" ht="15.75" customHeight="1">
      <c r="A144" s="7">
        <v>31001.0</v>
      </c>
      <c r="B144" s="7" t="s">
        <v>192</v>
      </c>
      <c r="C144" s="7">
        <v>0.0</v>
      </c>
      <c r="D144" s="59">
        <v>176351.5</v>
      </c>
      <c r="E144" s="60">
        <f t="shared" si="2"/>
        <v>0</v>
      </c>
      <c r="F144" s="7">
        <v>401.38</v>
      </c>
      <c r="G144" s="59">
        <v>219092.0</v>
      </c>
      <c r="H144" s="60">
        <f t="shared" si="3"/>
        <v>87939146.96</v>
      </c>
      <c r="N144" s="67"/>
      <c r="Q144" s="67"/>
    </row>
    <row r="145" ht="15.75" customHeight="1">
      <c r="A145" s="7">
        <v>31002.0</v>
      </c>
      <c r="B145" s="7" t="s">
        <v>193</v>
      </c>
      <c r="C145" s="7">
        <v>0.0</v>
      </c>
      <c r="D145" s="59">
        <v>19498.416666666668</v>
      </c>
      <c r="E145" s="60">
        <f t="shared" si="2"/>
        <v>0</v>
      </c>
      <c r="F145" s="7">
        <v>0.0</v>
      </c>
      <c r="G145" s="59">
        <v>21846.0</v>
      </c>
      <c r="H145" s="60">
        <f t="shared" si="3"/>
        <v>0</v>
      </c>
      <c r="N145" s="67"/>
      <c r="Q145" s="67"/>
    </row>
    <row r="146" ht="15.75" customHeight="1">
      <c r="A146" s="7">
        <v>31003.0</v>
      </c>
      <c r="B146" s="7" t="s">
        <v>194</v>
      </c>
      <c r="C146" s="7">
        <v>0.0</v>
      </c>
      <c r="D146" s="59">
        <v>73249.41666666667</v>
      </c>
      <c r="E146" s="60">
        <f t="shared" si="2"/>
        <v>0</v>
      </c>
      <c r="F146" s="7">
        <v>0.0</v>
      </c>
      <c r="G146" s="59">
        <v>93747.0</v>
      </c>
      <c r="H146" s="60">
        <f t="shared" si="3"/>
        <v>0</v>
      </c>
      <c r="N146" s="67"/>
      <c r="Q146" s="67"/>
    </row>
    <row r="147" ht="15.75" customHeight="1">
      <c r="A147" s="7">
        <v>31101.0</v>
      </c>
      <c r="B147" s="7" t="s">
        <v>195</v>
      </c>
      <c r="C147" s="7">
        <v>0.0</v>
      </c>
      <c r="D147" s="59">
        <v>24628.416666666668</v>
      </c>
      <c r="E147" s="60">
        <f t="shared" si="2"/>
        <v>0</v>
      </c>
      <c r="F147" s="7">
        <v>0.0</v>
      </c>
      <c r="G147" s="59">
        <v>24666.0</v>
      </c>
      <c r="H147" s="60">
        <f t="shared" si="3"/>
        <v>0</v>
      </c>
      <c r="N147" s="67"/>
      <c r="Q147" s="67"/>
    </row>
    <row r="148" ht="15.75" customHeight="1">
      <c r="A148" s="7">
        <v>31201.0</v>
      </c>
      <c r="B148" s="7" t="s">
        <v>196</v>
      </c>
      <c r="C148" s="7">
        <v>0.0</v>
      </c>
      <c r="D148" s="59">
        <v>14678.0</v>
      </c>
      <c r="E148" s="60">
        <f t="shared" si="2"/>
        <v>0</v>
      </c>
      <c r="F148" s="7">
        <v>0.0</v>
      </c>
      <c r="G148" s="59">
        <v>14821.0</v>
      </c>
      <c r="H148" s="60">
        <f t="shared" si="3"/>
        <v>0</v>
      </c>
      <c r="N148" s="67"/>
      <c r="Q148" s="67"/>
    </row>
    <row r="149" ht="15.75" customHeight="1">
      <c r="A149" s="7">
        <v>31202.0</v>
      </c>
      <c r="B149" s="7" t="s">
        <v>197</v>
      </c>
      <c r="C149" s="7">
        <v>0.0</v>
      </c>
      <c r="D149" s="59">
        <v>10298.416666666666</v>
      </c>
      <c r="E149" s="60">
        <f t="shared" si="2"/>
        <v>0</v>
      </c>
      <c r="F149" s="7">
        <v>0.0</v>
      </c>
      <c r="G149" s="59">
        <v>11865.0</v>
      </c>
      <c r="H149" s="60">
        <f t="shared" si="3"/>
        <v>0</v>
      </c>
      <c r="N149" s="67"/>
      <c r="Q149" s="67"/>
    </row>
    <row r="150" ht="15.75" customHeight="1">
      <c r="A150" s="7">
        <v>31203.0</v>
      </c>
      <c r="B150" s="7" t="s">
        <v>198</v>
      </c>
      <c r="C150" s="7">
        <v>0.0</v>
      </c>
      <c r="D150" s="59">
        <v>10875.666666666666</v>
      </c>
      <c r="E150" s="60">
        <f t="shared" si="2"/>
        <v>0</v>
      </c>
      <c r="F150" s="7">
        <v>0.0</v>
      </c>
      <c r="G150" s="59">
        <v>12258.0</v>
      </c>
      <c r="H150" s="60">
        <f t="shared" si="3"/>
        <v>0</v>
      </c>
      <c r="N150" s="67"/>
      <c r="Q150" s="67"/>
    </row>
    <row r="151" ht="15.75" customHeight="1">
      <c r="A151" s="7">
        <v>31204.0</v>
      </c>
      <c r="B151" s="7" t="s">
        <v>199</v>
      </c>
      <c r="C151" s="7">
        <v>0.0</v>
      </c>
      <c r="D151" s="59">
        <v>22218.083333333332</v>
      </c>
      <c r="E151" s="60">
        <f t="shared" si="2"/>
        <v>0</v>
      </c>
      <c r="F151" s="7">
        <v>0.0</v>
      </c>
      <c r="G151" s="59">
        <v>27521.0</v>
      </c>
      <c r="H151" s="60">
        <f t="shared" si="3"/>
        <v>0</v>
      </c>
      <c r="N151" s="67"/>
      <c r="Q151" s="67"/>
    </row>
    <row r="152" ht="15.75" customHeight="1">
      <c r="A152" s="7">
        <v>31205.0</v>
      </c>
      <c r="B152" s="7" t="s">
        <v>200</v>
      </c>
      <c r="C152" s="7">
        <v>0.0</v>
      </c>
      <c r="D152" s="59">
        <v>48124.333333333336</v>
      </c>
      <c r="E152" s="60">
        <f t="shared" si="2"/>
        <v>0</v>
      </c>
      <c r="F152" s="7">
        <v>0.0</v>
      </c>
      <c r="G152" s="59">
        <v>64595.0</v>
      </c>
      <c r="H152" s="60">
        <f t="shared" si="3"/>
        <v>0</v>
      </c>
      <c r="N152" s="67"/>
      <c r="Q152" s="67"/>
    </row>
    <row r="153" ht="15.75" customHeight="1">
      <c r="A153" s="7">
        <v>31206.0</v>
      </c>
      <c r="B153" s="7" t="s">
        <v>201</v>
      </c>
      <c r="C153" s="7">
        <v>0.0</v>
      </c>
      <c r="D153" s="59">
        <v>32735.833333333332</v>
      </c>
      <c r="E153" s="60">
        <f t="shared" si="2"/>
        <v>0</v>
      </c>
      <c r="F153" s="7">
        <v>0.0</v>
      </c>
      <c r="G153" s="59">
        <v>45780.0</v>
      </c>
      <c r="H153" s="60">
        <f t="shared" si="3"/>
        <v>0</v>
      </c>
      <c r="N153" s="67"/>
      <c r="Q153" s="67"/>
    </row>
    <row r="154" ht="15.75" customHeight="1">
      <c r="A154" s="7">
        <v>31301.0</v>
      </c>
      <c r="B154" s="7" t="s">
        <v>202</v>
      </c>
      <c r="C154" s="7">
        <v>0.0</v>
      </c>
      <c r="D154" s="59">
        <v>19866.666666666668</v>
      </c>
      <c r="E154" s="60">
        <f t="shared" si="2"/>
        <v>0</v>
      </c>
      <c r="F154" s="7">
        <v>0.0</v>
      </c>
      <c r="G154" s="59">
        <v>19896.0</v>
      </c>
      <c r="H154" s="60">
        <f t="shared" si="3"/>
        <v>0</v>
      </c>
      <c r="N154" s="67"/>
      <c r="Q154" s="67"/>
    </row>
    <row r="155" ht="15.75" customHeight="1">
      <c r="A155" s="7">
        <v>31302.0</v>
      </c>
      <c r="B155" s="7" t="s">
        <v>203</v>
      </c>
      <c r="C155" s="7">
        <v>0.0</v>
      </c>
      <c r="D155" s="59">
        <v>5441.083333333333</v>
      </c>
      <c r="E155" s="60">
        <f t="shared" si="2"/>
        <v>0</v>
      </c>
      <c r="F155" s="7">
        <v>0.0</v>
      </c>
      <c r="G155" s="59">
        <v>5244.0</v>
      </c>
      <c r="H155" s="60">
        <f t="shared" si="3"/>
        <v>0</v>
      </c>
      <c r="N155" s="67"/>
      <c r="Q155" s="67"/>
    </row>
    <row r="156" ht="15.75" customHeight="1">
      <c r="A156" s="7">
        <v>31303.0</v>
      </c>
      <c r="B156" s="7" t="s">
        <v>204</v>
      </c>
      <c r="C156" s="7">
        <v>0.0</v>
      </c>
      <c r="D156" s="59">
        <v>3452.4166666666665</v>
      </c>
      <c r="E156" s="60">
        <f t="shared" si="2"/>
        <v>0</v>
      </c>
      <c r="F156" s="7">
        <v>0.0</v>
      </c>
      <c r="G156" s="59">
        <v>3512.0</v>
      </c>
      <c r="H156" s="60">
        <f t="shared" si="3"/>
        <v>0</v>
      </c>
      <c r="N156" s="67"/>
      <c r="Q156" s="67"/>
    </row>
    <row r="157" ht="15.75" customHeight="1">
      <c r="A157" s="7">
        <v>31304.0</v>
      </c>
      <c r="B157" s="7" t="s">
        <v>205</v>
      </c>
      <c r="C157" s="7">
        <v>0.0</v>
      </c>
      <c r="D157" s="59">
        <v>7121.0</v>
      </c>
      <c r="E157" s="60">
        <f t="shared" si="2"/>
        <v>0</v>
      </c>
      <c r="F157" s="7">
        <v>0.0</v>
      </c>
      <c r="G157" s="59">
        <v>8056.0</v>
      </c>
      <c r="H157" s="60">
        <f t="shared" si="3"/>
        <v>0</v>
      </c>
      <c r="N157" s="67"/>
      <c r="Q157" s="67"/>
    </row>
    <row r="158" ht="15.75" customHeight="1">
      <c r="A158" s="7">
        <v>31401.0</v>
      </c>
      <c r="B158" s="7" t="s">
        <v>206</v>
      </c>
      <c r="C158" s="7">
        <v>0.0</v>
      </c>
      <c r="D158" s="59">
        <v>29417.083333333332</v>
      </c>
      <c r="E158" s="60">
        <f t="shared" si="2"/>
        <v>0</v>
      </c>
      <c r="F158" s="7">
        <v>0.0</v>
      </c>
      <c r="G158" s="59">
        <v>35248.0</v>
      </c>
      <c r="H158" s="60">
        <f t="shared" si="3"/>
        <v>0</v>
      </c>
      <c r="N158" s="67"/>
      <c r="Q158" s="67"/>
    </row>
    <row r="159" ht="15.75" customHeight="1">
      <c r="A159" s="7">
        <v>31402.0</v>
      </c>
      <c r="B159" s="7" t="s">
        <v>207</v>
      </c>
      <c r="C159" s="7">
        <v>0.0</v>
      </c>
      <c r="D159" s="59">
        <v>8173.666666666667</v>
      </c>
      <c r="E159" s="60">
        <f t="shared" si="2"/>
        <v>0</v>
      </c>
      <c r="F159" s="7">
        <v>0.0</v>
      </c>
      <c r="G159" s="59">
        <v>8599.0</v>
      </c>
      <c r="H159" s="60">
        <f t="shared" si="3"/>
        <v>0</v>
      </c>
      <c r="N159" s="67"/>
      <c r="Q159" s="67"/>
    </row>
    <row r="160" ht="15.75" customHeight="1">
      <c r="A160" s="7">
        <v>31403.0</v>
      </c>
      <c r="B160" s="7" t="s">
        <v>208</v>
      </c>
      <c r="C160" s="7">
        <v>0.0</v>
      </c>
      <c r="D160" s="59">
        <v>13519.666666666666</v>
      </c>
      <c r="E160" s="60">
        <f t="shared" si="2"/>
        <v>0</v>
      </c>
      <c r="F160" s="7">
        <v>0.0</v>
      </c>
      <c r="G160" s="59">
        <v>13054.0</v>
      </c>
      <c r="H160" s="60">
        <f t="shared" si="3"/>
        <v>0</v>
      </c>
      <c r="N160" s="67"/>
      <c r="Q160" s="67"/>
    </row>
    <row r="161" ht="15.75" customHeight="1">
      <c r="A161" s="7">
        <v>31404.0</v>
      </c>
      <c r="B161" s="7" t="s">
        <v>209</v>
      </c>
      <c r="C161" s="7">
        <v>0.0</v>
      </c>
      <c r="D161" s="59">
        <v>1301.6666666666667</v>
      </c>
      <c r="E161" s="60">
        <f t="shared" si="2"/>
        <v>0</v>
      </c>
      <c r="F161" s="7">
        <v>0.0</v>
      </c>
      <c r="G161" s="59">
        <v>1287.0</v>
      </c>
      <c r="H161" s="60">
        <f t="shared" si="3"/>
        <v>0</v>
      </c>
      <c r="N161" s="67"/>
      <c r="Q161" s="67"/>
    </row>
    <row r="162" ht="15.75" customHeight="1">
      <c r="A162" s="7">
        <v>31405.0</v>
      </c>
      <c r="B162" s="7" t="s">
        <v>210</v>
      </c>
      <c r="C162" s="7">
        <v>0.0</v>
      </c>
      <c r="D162" s="59">
        <v>2855.8333333333335</v>
      </c>
      <c r="E162" s="60">
        <f t="shared" si="2"/>
        <v>0</v>
      </c>
      <c r="F162" s="7">
        <v>0.0</v>
      </c>
      <c r="G162" s="59">
        <v>3822.0</v>
      </c>
      <c r="H162" s="60">
        <f t="shared" si="3"/>
        <v>0</v>
      </c>
      <c r="N162" s="67"/>
      <c r="Q162" s="67"/>
    </row>
    <row r="163" ht="15.75" customHeight="1">
      <c r="A163" s="7">
        <v>31501.0</v>
      </c>
      <c r="B163" s="7" t="s">
        <v>211</v>
      </c>
      <c r="C163" s="7">
        <v>0.0</v>
      </c>
      <c r="D163" s="59">
        <v>7362.583333333333</v>
      </c>
      <c r="E163" s="60">
        <f t="shared" si="2"/>
        <v>0</v>
      </c>
      <c r="F163" s="7">
        <v>0.0</v>
      </c>
      <c r="G163" s="59">
        <v>8282.0</v>
      </c>
      <c r="H163" s="60">
        <f t="shared" si="3"/>
        <v>0</v>
      </c>
      <c r="N163" s="67"/>
      <c r="Q163" s="67"/>
    </row>
    <row r="164" ht="15.75" customHeight="1">
      <c r="A164" s="7">
        <v>31601.0</v>
      </c>
      <c r="B164" s="7" t="s">
        <v>212</v>
      </c>
      <c r="C164" s="7">
        <v>0.0</v>
      </c>
      <c r="D164" s="59">
        <v>21001.333333333332</v>
      </c>
      <c r="E164" s="60">
        <f t="shared" si="2"/>
        <v>0</v>
      </c>
      <c r="F164" s="7">
        <v>100.0</v>
      </c>
      <c r="G164" s="59">
        <v>18475.0</v>
      </c>
      <c r="H164" s="60">
        <f t="shared" si="3"/>
        <v>1847500</v>
      </c>
      <c r="N164" s="67"/>
      <c r="Q164" s="67"/>
    </row>
    <row r="165" ht="15.75" customHeight="1">
      <c r="A165" s="7">
        <v>31602.0</v>
      </c>
      <c r="B165" s="7" t="s">
        <v>213</v>
      </c>
      <c r="C165" s="7">
        <v>0.0</v>
      </c>
      <c r="D165" s="59">
        <v>21368.583333333332</v>
      </c>
      <c r="E165" s="60">
        <f t="shared" si="2"/>
        <v>0</v>
      </c>
      <c r="F165" s="7">
        <v>57.26</v>
      </c>
      <c r="G165" s="59">
        <v>27172.0</v>
      </c>
      <c r="H165" s="60">
        <f t="shared" si="3"/>
        <v>1555868.72</v>
      </c>
      <c r="N165" s="67"/>
      <c r="Q165" s="67"/>
    </row>
    <row r="166" ht="15.75" customHeight="1">
      <c r="A166" s="7">
        <v>40101.0</v>
      </c>
      <c r="B166" s="7" t="s">
        <v>115</v>
      </c>
      <c r="C166" s="7">
        <v>0.0</v>
      </c>
      <c r="D166" s="59">
        <v>267726.9166666667</v>
      </c>
      <c r="E166" s="60">
        <f t="shared" si="2"/>
        <v>0</v>
      </c>
      <c r="F166" s="7">
        <v>0.0</v>
      </c>
      <c r="G166" s="59">
        <v>298350.0</v>
      </c>
      <c r="H166" s="60">
        <f t="shared" si="3"/>
        <v>0</v>
      </c>
      <c r="N166" s="67"/>
      <c r="Q166" s="67"/>
    </row>
    <row r="167" ht="15.75" customHeight="1">
      <c r="A167" s="7">
        <v>40102.0</v>
      </c>
      <c r="B167" s="7" t="s">
        <v>214</v>
      </c>
      <c r="C167" s="7">
        <v>0.0</v>
      </c>
      <c r="D167" s="59">
        <v>23092.916666666668</v>
      </c>
      <c r="E167" s="60">
        <f t="shared" si="2"/>
        <v>0</v>
      </c>
      <c r="F167" s="7">
        <v>0.0</v>
      </c>
      <c r="G167" s="59">
        <v>22850.0</v>
      </c>
      <c r="H167" s="60">
        <f t="shared" si="3"/>
        <v>0</v>
      </c>
      <c r="N167" s="67"/>
      <c r="Q167" s="67"/>
    </row>
    <row r="168" ht="15.75" customHeight="1">
      <c r="A168" s="7">
        <v>40103.0</v>
      </c>
      <c r="B168" s="7" t="s">
        <v>215</v>
      </c>
      <c r="C168" s="7">
        <v>0.0</v>
      </c>
      <c r="D168" s="59">
        <v>8831.0</v>
      </c>
      <c r="E168" s="60">
        <f t="shared" si="2"/>
        <v>0</v>
      </c>
      <c r="F168" s="7">
        <v>0.0</v>
      </c>
      <c r="G168" s="59">
        <v>9997.0</v>
      </c>
      <c r="H168" s="60">
        <f t="shared" si="3"/>
        <v>0</v>
      </c>
      <c r="N168" s="67"/>
      <c r="Q168" s="67"/>
    </row>
    <row r="169" ht="15.75" customHeight="1">
      <c r="A169" s="7">
        <v>40104.0</v>
      </c>
      <c r="B169" s="7" t="s">
        <v>216</v>
      </c>
      <c r="C169" s="7">
        <v>0.0</v>
      </c>
      <c r="D169" s="59">
        <v>13089.166666666666</v>
      </c>
      <c r="E169" s="60">
        <f t="shared" si="2"/>
        <v>0</v>
      </c>
      <c r="F169" s="7">
        <v>0.0</v>
      </c>
      <c r="G169" s="59">
        <v>15764.0</v>
      </c>
      <c r="H169" s="60">
        <f t="shared" si="3"/>
        <v>0</v>
      </c>
      <c r="N169" s="67"/>
      <c r="Q169" s="67"/>
    </row>
    <row r="170" ht="15.75" customHeight="1">
      <c r="A170" s="7">
        <v>40201.0</v>
      </c>
      <c r="B170" s="7" t="s">
        <v>217</v>
      </c>
      <c r="C170" s="7">
        <v>0.0</v>
      </c>
      <c r="D170" s="59">
        <v>29460.416666666668</v>
      </c>
      <c r="E170" s="60">
        <f t="shared" si="2"/>
        <v>0</v>
      </c>
      <c r="F170" s="7">
        <v>123.41</v>
      </c>
      <c r="G170" s="59">
        <v>35427.0</v>
      </c>
      <c r="H170" s="60">
        <f t="shared" si="3"/>
        <v>4372046.07</v>
      </c>
      <c r="N170" s="67"/>
      <c r="Q170" s="67"/>
    </row>
    <row r="171" ht="15.75" customHeight="1">
      <c r="A171" s="7">
        <v>40202.0</v>
      </c>
      <c r="B171" s="7" t="s">
        <v>218</v>
      </c>
      <c r="C171" s="7">
        <v>0.0</v>
      </c>
      <c r="D171" s="59">
        <v>4143.5</v>
      </c>
      <c r="E171" s="60">
        <f t="shared" si="2"/>
        <v>0</v>
      </c>
      <c r="F171" s="7">
        <v>0.0</v>
      </c>
      <c r="G171" s="59">
        <v>5161.0</v>
      </c>
      <c r="H171" s="60">
        <f t="shared" si="3"/>
        <v>0</v>
      </c>
      <c r="N171" s="67"/>
      <c r="Q171" s="67"/>
    </row>
    <row r="172" ht="15.75" customHeight="1">
      <c r="A172" s="7">
        <v>40301.0</v>
      </c>
      <c r="B172" s="7" t="s">
        <v>219</v>
      </c>
      <c r="C172" s="7">
        <v>0.0</v>
      </c>
      <c r="D172" s="59">
        <v>9794.333333333334</v>
      </c>
      <c r="E172" s="60">
        <f t="shared" si="2"/>
        <v>0</v>
      </c>
      <c r="F172" s="7">
        <v>0.0</v>
      </c>
      <c r="G172" s="59">
        <v>16101.0</v>
      </c>
      <c r="H172" s="60">
        <f t="shared" si="3"/>
        <v>0</v>
      </c>
      <c r="N172" s="67"/>
      <c r="Q172" s="67"/>
    </row>
    <row r="173" ht="15.75" customHeight="1">
      <c r="A173" s="7">
        <v>40302.0</v>
      </c>
      <c r="B173" s="7" t="s">
        <v>220</v>
      </c>
      <c r="C173" s="7">
        <v>0.0</v>
      </c>
      <c r="D173" s="59">
        <v>1904.5</v>
      </c>
      <c r="E173" s="60">
        <f t="shared" si="2"/>
        <v>0</v>
      </c>
      <c r="F173" s="7">
        <v>0.0</v>
      </c>
      <c r="G173" s="59">
        <v>2504.0</v>
      </c>
      <c r="H173" s="60">
        <f t="shared" si="3"/>
        <v>0</v>
      </c>
      <c r="N173" s="67"/>
      <c r="Q173" s="67"/>
    </row>
    <row r="174" ht="15.75" customHeight="1">
      <c r="A174" s="7">
        <v>40401.0</v>
      </c>
      <c r="B174" s="7" t="s">
        <v>221</v>
      </c>
      <c r="C174" s="7">
        <v>0.0</v>
      </c>
      <c r="D174" s="59">
        <v>4392.25</v>
      </c>
      <c r="E174" s="60">
        <f t="shared" si="2"/>
        <v>0</v>
      </c>
      <c r="F174" s="7">
        <v>0.0</v>
      </c>
      <c r="G174" s="59">
        <v>6683.0</v>
      </c>
      <c r="H174" s="60">
        <f t="shared" si="3"/>
        <v>0</v>
      </c>
      <c r="N174" s="67"/>
      <c r="Q174" s="67"/>
    </row>
    <row r="175" ht="15.75" customHeight="1">
      <c r="A175" s="7">
        <v>40402.0</v>
      </c>
      <c r="B175" s="7" t="s">
        <v>222</v>
      </c>
      <c r="C175" s="7">
        <v>0.0</v>
      </c>
      <c r="D175" s="59">
        <v>5256.666666666667</v>
      </c>
      <c r="E175" s="60">
        <f t="shared" si="2"/>
        <v>0</v>
      </c>
      <c r="F175" s="7">
        <v>0.0</v>
      </c>
      <c r="G175" s="59">
        <v>5803.0</v>
      </c>
      <c r="H175" s="60">
        <f t="shared" si="3"/>
        <v>0</v>
      </c>
      <c r="N175" s="67"/>
      <c r="Q175" s="67"/>
    </row>
    <row r="176" ht="15.75" customHeight="1">
      <c r="A176" s="7">
        <v>40501.0</v>
      </c>
      <c r="B176" s="7" t="s">
        <v>223</v>
      </c>
      <c r="C176" s="7">
        <v>0.0</v>
      </c>
      <c r="D176" s="59">
        <v>1253.6666666666667</v>
      </c>
      <c r="E176" s="60">
        <f t="shared" si="2"/>
        <v>0</v>
      </c>
      <c r="F176" s="7">
        <v>0.0</v>
      </c>
      <c r="G176" s="59">
        <v>4011.0</v>
      </c>
      <c r="H176" s="60">
        <f t="shared" si="3"/>
        <v>0</v>
      </c>
      <c r="N176" s="67"/>
      <c r="Q176" s="67"/>
    </row>
    <row r="177" ht="15.75" customHeight="1">
      <c r="A177" s="7">
        <v>40502.0</v>
      </c>
      <c r="B177" s="7" t="s">
        <v>224</v>
      </c>
      <c r="C177" s="7">
        <v>0.0</v>
      </c>
      <c r="D177" s="59">
        <v>4223.666666666667</v>
      </c>
      <c r="E177" s="60">
        <f t="shared" si="2"/>
        <v>0</v>
      </c>
      <c r="F177" s="7">
        <v>0.0</v>
      </c>
      <c r="G177" s="59">
        <v>4231.0</v>
      </c>
      <c r="H177" s="60">
        <f t="shared" si="3"/>
        <v>0</v>
      </c>
      <c r="N177" s="67"/>
      <c r="Q177" s="67"/>
    </row>
    <row r="178" ht="15.75" customHeight="1">
      <c r="A178" s="7">
        <v>40503.0</v>
      </c>
      <c r="B178" s="7" t="s">
        <v>225</v>
      </c>
      <c r="C178" s="7">
        <v>0.0</v>
      </c>
      <c r="D178" s="59">
        <v>1929.5</v>
      </c>
      <c r="E178" s="60">
        <f t="shared" si="2"/>
        <v>0</v>
      </c>
      <c r="F178" s="7">
        <v>0.0</v>
      </c>
      <c r="G178" s="59">
        <v>1517.0</v>
      </c>
      <c r="H178" s="60">
        <f t="shared" si="3"/>
        <v>0</v>
      </c>
      <c r="N178" s="67"/>
      <c r="Q178" s="67"/>
    </row>
    <row r="179" ht="15.75" customHeight="1">
      <c r="A179" s="7">
        <v>40504.0</v>
      </c>
      <c r="B179" s="7" t="s">
        <v>226</v>
      </c>
      <c r="C179" s="7">
        <v>0.0</v>
      </c>
      <c r="D179" s="7">
        <v>544.0833333333334</v>
      </c>
      <c r="E179" s="60">
        <f t="shared" si="2"/>
        <v>0</v>
      </c>
      <c r="F179" s="7">
        <v>0.0</v>
      </c>
      <c r="G179" s="7">
        <v>875.0</v>
      </c>
      <c r="H179" s="60">
        <f t="shared" si="3"/>
        <v>0</v>
      </c>
      <c r="N179" s="67"/>
      <c r="Q179" s="67"/>
    </row>
    <row r="180" ht="15.75" customHeight="1">
      <c r="A180" s="7">
        <v>40505.0</v>
      </c>
      <c r="B180" s="7" t="s">
        <v>227</v>
      </c>
      <c r="C180" s="7">
        <v>0.0</v>
      </c>
      <c r="D180" s="59">
        <v>2800.3333333333335</v>
      </c>
      <c r="E180" s="60">
        <f t="shared" si="2"/>
        <v>0</v>
      </c>
      <c r="F180" s="7">
        <v>0.0</v>
      </c>
      <c r="G180" s="59">
        <v>3882.0</v>
      </c>
      <c r="H180" s="60">
        <f t="shared" si="3"/>
        <v>0</v>
      </c>
      <c r="N180" s="67"/>
      <c r="Q180" s="67"/>
    </row>
    <row r="181" ht="15.75" customHeight="1">
      <c r="A181" s="7">
        <v>40601.0</v>
      </c>
      <c r="B181" s="7" t="s">
        <v>228</v>
      </c>
      <c r="C181" s="7">
        <v>0.0</v>
      </c>
      <c r="D181" s="59">
        <v>7720.5</v>
      </c>
      <c r="E181" s="60">
        <f t="shared" si="2"/>
        <v>0</v>
      </c>
      <c r="F181" s="7">
        <v>0.0</v>
      </c>
      <c r="G181" s="59">
        <v>9189.0</v>
      </c>
      <c r="H181" s="60">
        <f t="shared" si="3"/>
        <v>0</v>
      </c>
      <c r="N181" s="67"/>
      <c r="Q181" s="67"/>
    </row>
    <row r="182" ht="15.75" customHeight="1">
      <c r="A182" s="7">
        <v>40602.0</v>
      </c>
      <c r="B182" s="7" t="s">
        <v>229</v>
      </c>
      <c r="C182" s="7">
        <v>0.0</v>
      </c>
      <c r="D182" s="59">
        <v>5813.0</v>
      </c>
      <c r="E182" s="60">
        <f t="shared" si="2"/>
        <v>0</v>
      </c>
      <c r="F182" s="7">
        <v>0.0</v>
      </c>
      <c r="G182" s="59">
        <v>4251.0</v>
      </c>
      <c r="H182" s="60">
        <f t="shared" si="3"/>
        <v>0</v>
      </c>
      <c r="N182" s="67"/>
      <c r="Q182" s="67"/>
    </row>
    <row r="183" ht="15.75" customHeight="1">
      <c r="A183" s="7">
        <v>40603.0</v>
      </c>
      <c r="B183" s="7" t="s">
        <v>230</v>
      </c>
      <c r="C183" s="7">
        <v>0.0</v>
      </c>
      <c r="D183" s="59">
        <v>3297.5</v>
      </c>
      <c r="E183" s="60">
        <f t="shared" si="2"/>
        <v>0</v>
      </c>
      <c r="F183" s="7">
        <v>0.0</v>
      </c>
      <c r="G183" s="59">
        <v>3666.0</v>
      </c>
      <c r="H183" s="60">
        <f t="shared" si="3"/>
        <v>0</v>
      </c>
      <c r="N183" s="67"/>
      <c r="Q183" s="67"/>
    </row>
    <row r="184" ht="15.75" customHeight="1">
      <c r="A184" s="7">
        <v>40701.0</v>
      </c>
      <c r="B184" s="7" t="s">
        <v>231</v>
      </c>
      <c r="C184" s="7">
        <v>0.0</v>
      </c>
      <c r="D184" s="59">
        <v>24297.083333333332</v>
      </c>
      <c r="E184" s="60">
        <f t="shared" si="2"/>
        <v>0</v>
      </c>
      <c r="F184" s="7">
        <v>0.0</v>
      </c>
      <c r="G184" s="59">
        <v>20118.0</v>
      </c>
      <c r="H184" s="60">
        <f t="shared" si="3"/>
        <v>0</v>
      </c>
      <c r="N184" s="67"/>
      <c r="Q184" s="67"/>
    </row>
    <row r="185" ht="15.75" customHeight="1">
      <c r="A185" s="7">
        <v>40702.0</v>
      </c>
      <c r="B185" s="7" t="s">
        <v>232</v>
      </c>
      <c r="C185" s="7">
        <v>0.0</v>
      </c>
      <c r="D185" s="59">
        <v>4928.333333333333</v>
      </c>
      <c r="E185" s="60">
        <f t="shared" si="2"/>
        <v>0</v>
      </c>
      <c r="F185" s="7">
        <v>0.0</v>
      </c>
      <c r="G185" s="59">
        <v>6120.0</v>
      </c>
      <c r="H185" s="60">
        <f t="shared" si="3"/>
        <v>0</v>
      </c>
      <c r="N185" s="67"/>
      <c r="Q185" s="67"/>
    </row>
    <row r="186" ht="15.75" customHeight="1">
      <c r="A186" s="7">
        <v>40801.0</v>
      </c>
      <c r="B186" s="7" t="s">
        <v>233</v>
      </c>
      <c r="C186" s="7">
        <v>0.0</v>
      </c>
      <c r="D186" s="59">
        <v>12216.0</v>
      </c>
      <c r="E186" s="60">
        <f t="shared" si="2"/>
        <v>0</v>
      </c>
      <c r="F186" s="7">
        <v>0.0</v>
      </c>
      <c r="G186" s="59">
        <v>15934.0</v>
      </c>
      <c r="H186" s="60">
        <f t="shared" si="3"/>
        <v>0</v>
      </c>
      <c r="N186" s="67"/>
      <c r="Q186" s="67"/>
    </row>
    <row r="187" ht="15.75" customHeight="1">
      <c r="A187" s="7">
        <v>40802.0</v>
      </c>
      <c r="B187" s="7" t="s">
        <v>234</v>
      </c>
      <c r="C187" s="7">
        <v>0.0</v>
      </c>
      <c r="D187" s="59">
        <v>2991.6666666666665</v>
      </c>
      <c r="E187" s="60">
        <f t="shared" si="2"/>
        <v>0</v>
      </c>
      <c r="F187" s="7">
        <v>0.0</v>
      </c>
      <c r="G187" s="59">
        <v>3197.0</v>
      </c>
      <c r="H187" s="60">
        <f t="shared" si="3"/>
        <v>0</v>
      </c>
      <c r="N187" s="67"/>
      <c r="Q187" s="67"/>
    </row>
    <row r="188" ht="15.75" customHeight="1">
      <c r="A188" s="7">
        <v>40901.0</v>
      </c>
      <c r="B188" s="7" t="s">
        <v>235</v>
      </c>
      <c r="C188" s="7">
        <v>0.0</v>
      </c>
      <c r="D188" s="59">
        <v>8641.833333333334</v>
      </c>
      <c r="E188" s="60">
        <f t="shared" si="2"/>
        <v>0</v>
      </c>
      <c r="F188" s="7">
        <v>0.0</v>
      </c>
      <c r="G188" s="59">
        <v>15504.0</v>
      </c>
      <c r="H188" s="60">
        <f t="shared" si="3"/>
        <v>0</v>
      </c>
      <c r="N188" s="67"/>
      <c r="Q188" s="67"/>
    </row>
    <row r="189" ht="15.75" customHeight="1">
      <c r="A189" s="7">
        <v>40902.0</v>
      </c>
      <c r="B189" s="7" t="s">
        <v>236</v>
      </c>
      <c r="C189" s="7">
        <v>0.0</v>
      </c>
      <c r="D189" s="7">
        <v>944.9166666666666</v>
      </c>
      <c r="E189" s="60">
        <f t="shared" si="2"/>
        <v>0</v>
      </c>
      <c r="F189" s="7">
        <v>0.0</v>
      </c>
      <c r="G189" s="59">
        <v>1406.0</v>
      </c>
      <c r="H189" s="60">
        <f t="shared" si="3"/>
        <v>0</v>
      </c>
      <c r="N189" s="67"/>
      <c r="Q189" s="67"/>
    </row>
    <row r="190" ht="15.75" customHeight="1">
      <c r="A190" s="7">
        <v>40903.0</v>
      </c>
      <c r="B190" s="7" t="s">
        <v>237</v>
      </c>
      <c r="C190" s="7">
        <v>0.0</v>
      </c>
      <c r="D190" s="59">
        <v>2032.3333333333333</v>
      </c>
      <c r="E190" s="60">
        <f t="shared" si="2"/>
        <v>0</v>
      </c>
      <c r="F190" s="7">
        <v>0.0</v>
      </c>
      <c r="G190" s="59">
        <v>2355.0</v>
      </c>
      <c r="H190" s="60">
        <f t="shared" si="3"/>
        <v>0</v>
      </c>
      <c r="N190" s="67"/>
      <c r="Q190" s="67"/>
    </row>
    <row r="191" ht="15.75" customHeight="1">
      <c r="A191" s="7">
        <v>41001.0</v>
      </c>
      <c r="B191" s="7" t="s">
        <v>238</v>
      </c>
      <c r="C191" s="7">
        <v>0.0</v>
      </c>
      <c r="D191" s="59">
        <v>10320.083333333334</v>
      </c>
      <c r="E191" s="60">
        <f t="shared" si="2"/>
        <v>0</v>
      </c>
      <c r="F191" s="7">
        <v>0.0</v>
      </c>
      <c r="G191" s="59">
        <v>12202.0</v>
      </c>
      <c r="H191" s="60">
        <f t="shared" si="3"/>
        <v>0</v>
      </c>
      <c r="N191" s="67"/>
      <c r="Q191" s="67"/>
    </row>
    <row r="192" ht="15.75" customHeight="1">
      <c r="A192" s="7">
        <v>41101.0</v>
      </c>
      <c r="B192" s="7" t="s">
        <v>239</v>
      </c>
      <c r="C192" s="7">
        <v>0.0</v>
      </c>
      <c r="D192" s="59">
        <v>5272.666666666667</v>
      </c>
      <c r="E192" s="60">
        <f t="shared" si="2"/>
        <v>0</v>
      </c>
      <c r="F192" s="7">
        <v>0.0</v>
      </c>
      <c r="G192" s="59">
        <v>5335.0</v>
      </c>
      <c r="H192" s="60">
        <f t="shared" si="3"/>
        <v>0</v>
      </c>
      <c r="N192" s="67"/>
      <c r="Q192" s="67"/>
    </row>
    <row r="193" ht="15.75" customHeight="1">
      <c r="A193" s="7">
        <v>41201.0</v>
      </c>
      <c r="B193" s="7" t="s">
        <v>240</v>
      </c>
      <c r="C193" s="7">
        <v>0.0</v>
      </c>
      <c r="D193" s="59">
        <v>5307.25</v>
      </c>
      <c r="E193" s="60">
        <f t="shared" si="2"/>
        <v>0</v>
      </c>
      <c r="F193" s="7">
        <v>0.0</v>
      </c>
      <c r="G193" s="59">
        <v>6311.0</v>
      </c>
      <c r="H193" s="60">
        <f t="shared" si="3"/>
        <v>0</v>
      </c>
      <c r="N193" s="67"/>
      <c r="Q193" s="67"/>
    </row>
    <row r="194" ht="15.75" customHeight="1">
      <c r="A194" s="7">
        <v>41202.0</v>
      </c>
      <c r="B194" s="7" t="s">
        <v>241</v>
      </c>
      <c r="C194" s="7">
        <v>0.0</v>
      </c>
      <c r="D194" s="59">
        <v>2103.0833333333335</v>
      </c>
      <c r="E194" s="60">
        <f t="shared" si="2"/>
        <v>0</v>
      </c>
      <c r="F194" s="7">
        <v>0.0</v>
      </c>
      <c r="G194" s="59">
        <v>3061.0</v>
      </c>
      <c r="H194" s="60">
        <f t="shared" si="3"/>
        <v>0</v>
      </c>
      <c r="N194" s="67"/>
      <c r="Q194" s="67"/>
    </row>
    <row r="195" ht="15.75" customHeight="1">
      <c r="A195" s="7">
        <v>41301.0</v>
      </c>
      <c r="B195" s="7" t="s">
        <v>196</v>
      </c>
      <c r="C195" s="7">
        <v>0.0</v>
      </c>
      <c r="D195" s="59">
        <v>5623.166666666667</v>
      </c>
      <c r="E195" s="60">
        <f t="shared" si="2"/>
        <v>0</v>
      </c>
      <c r="F195" s="7">
        <v>0.0</v>
      </c>
      <c r="G195" s="59">
        <v>6637.0</v>
      </c>
      <c r="H195" s="60">
        <f t="shared" si="3"/>
        <v>0</v>
      </c>
      <c r="N195" s="67"/>
      <c r="Q195" s="67"/>
    </row>
    <row r="196" ht="15.75" customHeight="1">
      <c r="A196" s="7">
        <v>41401.0</v>
      </c>
      <c r="B196" s="7" t="s">
        <v>242</v>
      </c>
      <c r="C196" s="7">
        <v>0.0</v>
      </c>
      <c r="D196" s="59">
        <v>13301.25</v>
      </c>
      <c r="E196" s="60">
        <f t="shared" si="2"/>
        <v>0</v>
      </c>
      <c r="F196" s="7">
        <v>0.0</v>
      </c>
      <c r="G196" s="59">
        <v>13502.0</v>
      </c>
      <c r="H196" s="60">
        <f t="shared" si="3"/>
        <v>0</v>
      </c>
      <c r="N196" s="67"/>
      <c r="Q196" s="67"/>
    </row>
    <row r="197" ht="15.75" customHeight="1">
      <c r="A197" s="7">
        <v>41501.0</v>
      </c>
      <c r="B197" s="7" t="s">
        <v>243</v>
      </c>
      <c r="C197" s="7">
        <v>0.0</v>
      </c>
      <c r="D197" s="7">
        <v>571.75</v>
      </c>
      <c r="E197" s="60">
        <f t="shared" si="2"/>
        <v>0</v>
      </c>
      <c r="F197" s="7">
        <v>0.0</v>
      </c>
      <c r="G197" s="59">
        <v>1262.0</v>
      </c>
      <c r="H197" s="60">
        <f t="shared" si="3"/>
        <v>0</v>
      </c>
      <c r="N197" s="67"/>
      <c r="Q197" s="67"/>
    </row>
    <row r="198" ht="15.75" customHeight="1">
      <c r="A198" s="7">
        <v>41502.0</v>
      </c>
      <c r="B198" s="7" t="s">
        <v>244</v>
      </c>
      <c r="C198" s="7">
        <v>0.0</v>
      </c>
      <c r="D198" s="7">
        <v>761.4166666666666</v>
      </c>
      <c r="E198" s="60">
        <f t="shared" si="2"/>
        <v>0</v>
      </c>
      <c r="F198" s="7">
        <v>0.0</v>
      </c>
      <c r="G198" s="59">
        <v>1140.0</v>
      </c>
      <c r="H198" s="60">
        <f t="shared" si="3"/>
        <v>0</v>
      </c>
      <c r="N198" s="67"/>
      <c r="Q198" s="67"/>
    </row>
    <row r="199" ht="15.75" customHeight="1">
      <c r="A199" s="7">
        <v>41503.0</v>
      </c>
      <c r="B199" s="7" t="s">
        <v>245</v>
      </c>
      <c r="C199" s="7">
        <v>0.0</v>
      </c>
      <c r="D199" s="7">
        <v>864.0833333333334</v>
      </c>
      <c r="E199" s="60">
        <f t="shared" si="2"/>
        <v>0</v>
      </c>
      <c r="F199" s="7">
        <v>0.0</v>
      </c>
      <c r="G199" s="59">
        <v>1129.0</v>
      </c>
      <c r="H199" s="60">
        <f t="shared" si="3"/>
        <v>0</v>
      </c>
      <c r="N199" s="67"/>
      <c r="Q199" s="67"/>
    </row>
    <row r="200" ht="15.75" customHeight="1">
      <c r="A200" s="7">
        <v>41601.0</v>
      </c>
      <c r="B200" s="7" t="s">
        <v>246</v>
      </c>
      <c r="C200" s="7">
        <v>0.0</v>
      </c>
      <c r="D200" s="59">
        <v>5543.166666666667</v>
      </c>
      <c r="E200" s="60">
        <f t="shared" si="2"/>
        <v>0</v>
      </c>
      <c r="F200" s="7">
        <v>0.0</v>
      </c>
      <c r="G200" s="59">
        <v>5996.0</v>
      </c>
      <c r="H200" s="60">
        <f t="shared" si="3"/>
        <v>0</v>
      </c>
      <c r="N200" s="67"/>
      <c r="Q200" s="67"/>
    </row>
    <row r="201" ht="15.75" customHeight="1">
      <c r="A201" s="7">
        <v>50101.0</v>
      </c>
      <c r="B201" s="7" t="s">
        <v>117</v>
      </c>
      <c r="C201" s="7">
        <v>0.0</v>
      </c>
      <c r="D201" s="59">
        <v>193585.33333333334</v>
      </c>
      <c r="E201" s="60">
        <f t="shared" si="2"/>
        <v>0</v>
      </c>
      <c r="F201" s="7">
        <v>0.0</v>
      </c>
      <c r="G201" s="59">
        <v>218702.0</v>
      </c>
      <c r="H201" s="60">
        <f t="shared" si="3"/>
        <v>0</v>
      </c>
      <c r="N201" s="67"/>
      <c r="Q201" s="67"/>
    </row>
    <row r="202" ht="15.75" customHeight="1">
      <c r="A202" s="7">
        <v>50102.0</v>
      </c>
      <c r="B202" s="7" t="s">
        <v>247</v>
      </c>
      <c r="C202" s="7">
        <v>0.0</v>
      </c>
      <c r="D202" s="59">
        <v>27345.166666666668</v>
      </c>
      <c r="E202" s="60">
        <f t="shared" si="2"/>
        <v>0</v>
      </c>
      <c r="F202" s="7">
        <v>0.0</v>
      </c>
      <c r="G202" s="59">
        <v>28942.0</v>
      </c>
      <c r="H202" s="60">
        <f t="shared" si="3"/>
        <v>0</v>
      </c>
      <c r="N202" s="67"/>
      <c r="Q202" s="67"/>
    </row>
    <row r="203" ht="15.75" customHeight="1">
      <c r="A203" s="7">
        <v>50103.0</v>
      </c>
      <c r="B203" s="7" t="s">
        <v>248</v>
      </c>
      <c r="C203" s="7">
        <v>0.0</v>
      </c>
      <c r="D203" s="59">
        <v>9251.833333333334</v>
      </c>
      <c r="E203" s="60">
        <f t="shared" si="2"/>
        <v>0</v>
      </c>
      <c r="F203" s="7">
        <v>0.0</v>
      </c>
      <c r="G203" s="59">
        <v>12253.0</v>
      </c>
      <c r="H203" s="60">
        <f t="shared" si="3"/>
        <v>0</v>
      </c>
      <c r="N203" s="67"/>
      <c r="Q203" s="67"/>
    </row>
    <row r="204" ht="15.75" customHeight="1">
      <c r="A204" s="7">
        <v>50104.0</v>
      </c>
      <c r="B204" s="7" t="s">
        <v>249</v>
      </c>
      <c r="C204" s="7">
        <v>0.0</v>
      </c>
      <c r="D204" s="59">
        <v>2789.1666666666665</v>
      </c>
      <c r="E204" s="60">
        <f t="shared" si="2"/>
        <v>0</v>
      </c>
      <c r="F204" s="7">
        <v>0.0</v>
      </c>
      <c r="G204" s="59">
        <v>3121.0</v>
      </c>
      <c r="H204" s="60">
        <f t="shared" si="3"/>
        <v>0</v>
      </c>
      <c r="N204" s="67"/>
      <c r="Q204" s="67"/>
    </row>
    <row r="205" ht="15.75" customHeight="1">
      <c r="A205" s="7">
        <v>50201.0</v>
      </c>
      <c r="B205" s="7" t="s">
        <v>250</v>
      </c>
      <c r="C205" s="7">
        <v>0.0</v>
      </c>
      <c r="D205" s="59">
        <v>22082.333333333332</v>
      </c>
      <c r="E205" s="60">
        <f t="shared" si="2"/>
        <v>0</v>
      </c>
      <c r="F205" s="7">
        <v>0.0</v>
      </c>
      <c r="G205" s="59">
        <v>22768.0</v>
      </c>
      <c r="H205" s="60">
        <f t="shared" si="3"/>
        <v>0</v>
      </c>
      <c r="N205" s="67"/>
      <c r="Q205" s="67"/>
    </row>
    <row r="206" ht="15.75" customHeight="1">
      <c r="A206" s="7">
        <v>50202.0</v>
      </c>
      <c r="B206" s="7" t="s">
        <v>251</v>
      </c>
      <c r="C206" s="7">
        <v>0.0</v>
      </c>
      <c r="D206" s="59">
        <v>16120.0</v>
      </c>
      <c r="E206" s="60">
        <f t="shared" si="2"/>
        <v>0</v>
      </c>
      <c r="F206" s="7">
        <v>0.0</v>
      </c>
      <c r="G206" s="59">
        <v>16021.0</v>
      </c>
      <c r="H206" s="60">
        <f t="shared" si="3"/>
        <v>0</v>
      </c>
      <c r="N206" s="67"/>
      <c r="Q206" s="67"/>
    </row>
    <row r="207" ht="15.75" customHeight="1">
      <c r="A207" s="7">
        <v>50203.0</v>
      </c>
      <c r="B207" s="7" t="s">
        <v>252</v>
      </c>
      <c r="C207" s="7">
        <v>0.0</v>
      </c>
      <c r="D207" s="59">
        <v>41152.5</v>
      </c>
      <c r="E207" s="60">
        <f t="shared" si="2"/>
        <v>0</v>
      </c>
      <c r="F207" s="7">
        <v>0.0</v>
      </c>
      <c r="G207" s="59">
        <v>41686.0</v>
      </c>
      <c r="H207" s="60">
        <f t="shared" si="3"/>
        <v>0</v>
      </c>
      <c r="N207" s="67"/>
      <c r="Q207" s="67"/>
    </row>
    <row r="208" ht="15.75" customHeight="1">
      <c r="A208" s="7">
        <v>50204.0</v>
      </c>
      <c r="B208" s="7" t="s">
        <v>253</v>
      </c>
      <c r="C208" s="7">
        <v>0.0</v>
      </c>
      <c r="D208" s="59">
        <v>8035.75</v>
      </c>
      <c r="E208" s="60">
        <f t="shared" si="2"/>
        <v>0</v>
      </c>
      <c r="F208" s="7">
        <v>0.0</v>
      </c>
      <c r="G208" s="59">
        <v>8220.0</v>
      </c>
      <c r="H208" s="60">
        <f t="shared" si="3"/>
        <v>0</v>
      </c>
      <c r="N208" s="67"/>
      <c r="Q208" s="67"/>
    </row>
    <row r="209" ht="15.75" customHeight="1">
      <c r="A209" s="7">
        <v>50301.0</v>
      </c>
      <c r="B209" s="7" t="s">
        <v>254</v>
      </c>
      <c r="C209" s="7">
        <v>0.0</v>
      </c>
      <c r="D209" s="59">
        <v>33753.833333333336</v>
      </c>
      <c r="E209" s="60">
        <f t="shared" si="2"/>
        <v>0</v>
      </c>
      <c r="F209" s="7">
        <v>0.0</v>
      </c>
      <c r="G209" s="59">
        <v>31904.0</v>
      </c>
      <c r="H209" s="60">
        <f t="shared" si="3"/>
        <v>0</v>
      </c>
      <c r="N209" s="67"/>
      <c r="Q209" s="67"/>
    </row>
    <row r="210" ht="15.75" customHeight="1">
      <c r="A210" s="7">
        <v>50302.0</v>
      </c>
      <c r="B210" s="7" t="s">
        <v>255</v>
      </c>
      <c r="C210" s="7">
        <v>0.0</v>
      </c>
      <c r="D210" s="59">
        <v>9857.916666666666</v>
      </c>
      <c r="E210" s="60">
        <f t="shared" si="2"/>
        <v>0</v>
      </c>
      <c r="F210" s="7">
        <v>0.0</v>
      </c>
      <c r="G210" s="59">
        <v>9285.0</v>
      </c>
      <c r="H210" s="60">
        <f t="shared" si="3"/>
        <v>0</v>
      </c>
      <c r="N210" s="67"/>
      <c r="Q210" s="67"/>
    </row>
    <row r="211" ht="15.75" customHeight="1">
      <c r="A211" s="7">
        <v>50303.0</v>
      </c>
      <c r="B211" s="7" t="s">
        <v>256</v>
      </c>
      <c r="C211" s="7">
        <v>0.0</v>
      </c>
      <c r="D211" s="59">
        <v>12045.916666666666</v>
      </c>
      <c r="E211" s="60">
        <f t="shared" si="2"/>
        <v>0</v>
      </c>
      <c r="F211" s="7">
        <v>0.0</v>
      </c>
      <c r="G211" s="59">
        <v>14366.0</v>
      </c>
      <c r="H211" s="60">
        <f t="shared" si="3"/>
        <v>0</v>
      </c>
      <c r="N211" s="67"/>
      <c r="Q211" s="67"/>
    </row>
    <row r="212" ht="15.75" customHeight="1">
      <c r="A212" s="7">
        <v>50401.0</v>
      </c>
      <c r="B212" s="7" t="s">
        <v>257</v>
      </c>
      <c r="C212" s="7">
        <v>0.0</v>
      </c>
      <c r="D212" s="59">
        <v>15351.916666666666</v>
      </c>
      <c r="E212" s="60">
        <f t="shared" si="2"/>
        <v>0</v>
      </c>
      <c r="F212" s="7">
        <v>0.0</v>
      </c>
      <c r="G212" s="59">
        <v>16363.0</v>
      </c>
      <c r="H212" s="60">
        <f t="shared" si="3"/>
        <v>0</v>
      </c>
      <c r="N212" s="67"/>
      <c r="Q212" s="67"/>
    </row>
    <row r="213" ht="15.75" customHeight="1">
      <c r="A213" s="7">
        <v>50402.0</v>
      </c>
      <c r="B213" s="7" t="s">
        <v>258</v>
      </c>
      <c r="C213" s="7">
        <v>0.0</v>
      </c>
      <c r="D213" s="59">
        <v>20854.333333333332</v>
      </c>
      <c r="E213" s="60">
        <f t="shared" si="2"/>
        <v>0</v>
      </c>
      <c r="F213" s="7">
        <v>0.0</v>
      </c>
      <c r="G213" s="59">
        <v>16909.0</v>
      </c>
      <c r="H213" s="60">
        <f t="shared" si="3"/>
        <v>0</v>
      </c>
      <c r="N213" s="67"/>
      <c r="Q213" s="67"/>
    </row>
    <row r="214" ht="15.75" customHeight="1">
      <c r="A214" s="7">
        <v>50403.0</v>
      </c>
      <c r="B214" s="7" t="s">
        <v>259</v>
      </c>
      <c r="C214" s="7">
        <v>0.0</v>
      </c>
      <c r="D214" s="59">
        <v>26855.916666666668</v>
      </c>
      <c r="E214" s="60">
        <f t="shared" si="2"/>
        <v>0</v>
      </c>
      <c r="F214" s="7">
        <v>0.0</v>
      </c>
      <c r="G214" s="59">
        <v>32641.0</v>
      </c>
      <c r="H214" s="60">
        <f t="shared" si="3"/>
        <v>0</v>
      </c>
      <c r="N214" s="67"/>
      <c r="Q214" s="67"/>
    </row>
    <row r="215" ht="15.75" customHeight="1">
      <c r="A215" s="7">
        <v>50404.0</v>
      </c>
      <c r="B215" s="7" t="s">
        <v>260</v>
      </c>
      <c r="C215" s="7">
        <v>0.0</v>
      </c>
      <c r="D215" s="59">
        <v>15985.833333333334</v>
      </c>
      <c r="E215" s="60">
        <f t="shared" si="2"/>
        <v>0</v>
      </c>
      <c r="F215" s="7">
        <v>0.0</v>
      </c>
      <c r="G215" s="59">
        <v>14532.0</v>
      </c>
      <c r="H215" s="60">
        <f t="shared" si="3"/>
        <v>0</v>
      </c>
      <c r="N215" s="67"/>
      <c r="Q215" s="67"/>
    </row>
    <row r="216" ht="15.75" customHeight="1">
      <c r="A216" s="7">
        <v>50405.0</v>
      </c>
      <c r="B216" s="7" t="s">
        <v>261</v>
      </c>
      <c r="C216" s="7">
        <v>0.0</v>
      </c>
      <c r="D216" s="59">
        <v>20028.333333333332</v>
      </c>
      <c r="E216" s="60">
        <f t="shared" si="2"/>
        <v>0</v>
      </c>
      <c r="F216" s="7">
        <v>0.0</v>
      </c>
      <c r="G216" s="59">
        <v>21011.0</v>
      </c>
      <c r="H216" s="60">
        <f t="shared" si="3"/>
        <v>0</v>
      </c>
      <c r="N216" s="67"/>
      <c r="Q216" s="67"/>
    </row>
    <row r="217" ht="15.75" customHeight="1">
      <c r="A217" s="7">
        <v>50501.0</v>
      </c>
      <c r="B217" s="7" t="s">
        <v>262</v>
      </c>
      <c r="C217" s="7">
        <v>0.0</v>
      </c>
      <c r="D217" s="59">
        <v>29879.0</v>
      </c>
      <c r="E217" s="60">
        <f t="shared" si="2"/>
        <v>0</v>
      </c>
      <c r="F217" s="7">
        <v>0.0</v>
      </c>
      <c r="G217" s="59">
        <v>28416.0</v>
      </c>
      <c r="H217" s="60">
        <f t="shared" si="3"/>
        <v>0</v>
      </c>
      <c r="N217" s="67"/>
      <c r="Q217" s="67"/>
    </row>
    <row r="218" ht="15.75" customHeight="1">
      <c r="A218" s="7">
        <v>50502.0</v>
      </c>
      <c r="B218" s="7" t="s">
        <v>263</v>
      </c>
      <c r="C218" s="7">
        <v>0.0</v>
      </c>
      <c r="D218" s="59">
        <v>10857.0</v>
      </c>
      <c r="E218" s="60">
        <f t="shared" si="2"/>
        <v>0</v>
      </c>
      <c r="F218" s="7">
        <v>0.0</v>
      </c>
      <c r="G218" s="59">
        <v>10714.0</v>
      </c>
      <c r="H218" s="60">
        <f t="shared" si="3"/>
        <v>0</v>
      </c>
      <c r="N218" s="67"/>
      <c r="Q218" s="67"/>
    </row>
    <row r="219" ht="15.75" customHeight="1">
      <c r="A219" s="7">
        <v>50601.0</v>
      </c>
      <c r="B219" s="7" t="s">
        <v>264</v>
      </c>
      <c r="C219" s="7">
        <v>0.0</v>
      </c>
      <c r="D219" s="59">
        <v>31586.0</v>
      </c>
      <c r="E219" s="60">
        <f t="shared" si="2"/>
        <v>0</v>
      </c>
      <c r="F219" s="7">
        <v>0.0</v>
      </c>
      <c r="G219" s="59">
        <v>29221.0</v>
      </c>
      <c r="H219" s="60">
        <f t="shared" si="3"/>
        <v>0</v>
      </c>
      <c r="N219" s="67"/>
      <c r="Q219" s="67"/>
    </row>
    <row r="220" ht="15.75" customHeight="1">
      <c r="A220" s="7">
        <v>50602.0</v>
      </c>
      <c r="B220" s="7" t="s">
        <v>265</v>
      </c>
      <c r="C220" s="7">
        <v>0.0</v>
      </c>
      <c r="D220" s="59">
        <v>10607.5</v>
      </c>
      <c r="E220" s="60">
        <f t="shared" si="2"/>
        <v>0</v>
      </c>
      <c r="F220" s="7">
        <v>0.0</v>
      </c>
      <c r="G220" s="59">
        <v>10184.0</v>
      </c>
      <c r="H220" s="60">
        <f t="shared" si="3"/>
        <v>0</v>
      </c>
      <c r="N220" s="67"/>
      <c r="Q220" s="67"/>
    </row>
    <row r="221" ht="15.75" customHeight="1">
      <c r="A221" s="7">
        <v>50701.0</v>
      </c>
      <c r="B221" s="7" t="s">
        <v>266</v>
      </c>
      <c r="C221" s="7">
        <v>0.0</v>
      </c>
      <c r="D221" s="59">
        <v>19410.5</v>
      </c>
      <c r="E221" s="60">
        <f t="shared" si="2"/>
        <v>0</v>
      </c>
      <c r="F221" s="7">
        <v>0.0</v>
      </c>
      <c r="G221" s="59">
        <v>17205.0</v>
      </c>
      <c r="H221" s="60">
        <f t="shared" si="3"/>
        <v>0</v>
      </c>
      <c r="N221" s="67"/>
      <c r="Q221" s="67"/>
    </row>
    <row r="222" ht="15.75" customHeight="1">
      <c r="A222" s="7">
        <v>50702.0</v>
      </c>
      <c r="B222" s="7" t="s">
        <v>267</v>
      </c>
      <c r="C222" s="7">
        <v>0.0</v>
      </c>
      <c r="D222" s="59">
        <v>8683.5</v>
      </c>
      <c r="E222" s="60">
        <f t="shared" si="2"/>
        <v>0</v>
      </c>
      <c r="F222" s="7">
        <v>0.0</v>
      </c>
      <c r="G222" s="59">
        <v>8458.0</v>
      </c>
      <c r="H222" s="60">
        <f t="shared" si="3"/>
        <v>0</v>
      </c>
      <c r="N222" s="67"/>
      <c r="Q222" s="67"/>
    </row>
    <row r="223" ht="15.75" customHeight="1">
      <c r="A223" s="7">
        <v>50801.0</v>
      </c>
      <c r="B223" s="7" t="s">
        <v>268</v>
      </c>
      <c r="C223" s="7">
        <v>0.0</v>
      </c>
      <c r="D223" s="59">
        <v>44878.666666666664</v>
      </c>
      <c r="E223" s="60">
        <f t="shared" si="2"/>
        <v>0</v>
      </c>
      <c r="F223" s="7">
        <v>0.0</v>
      </c>
      <c r="G223" s="59">
        <v>45590.0</v>
      </c>
      <c r="H223" s="60">
        <f t="shared" si="3"/>
        <v>0</v>
      </c>
      <c r="N223" s="67"/>
      <c r="Q223" s="67"/>
    </row>
    <row r="224" ht="15.75" customHeight="1">
      <c r="A224" s="7">
        <v>50802.0</v>
      </c>
      <c r="B224" s="7" t="s">
        <v>269</v>
      </c>
      <c r="C224" s="7">
        <v>0.0</v>
      </c>
      <c r="D224" s="59">
        <v>11098.666666666666</v>
      </c>
      <c r="E224" s="60">
        <f t="shared" si="2"/>
        <v>0</v>
      </c>
      <c r="F224" s="7">
        <v>0.0</v>
      </c>
      <c r="G224" s="59">
        <v>9610.0</v>
      </c>
      <c r="H224" s="60">
        <f t="shared" si="3"/>
        <v>0</v>
      </c>
      <c r="N224" s="67"/>
      <c r="Q224" s="67"/>
    </row>
    <row r="225" ht="15.75" customHeight="1">
      <c r="A225" s="7">
        <v>50901.0</v>
      </c>
      <c r="B225" s="7" t="s">
        <v>270</v>
      </c>
      <c r="C225" s="7">
        <v>0.0</v>
      </c>
      <c r="D225" s="59">
        <v>12975.583333333334</v>
      </c>
      <c r="E225" s="60">
        <f t="shared" si="2"/>
        <v>0</v>
      </c>
      <c r="F225" s="7">
        <v>0.0</v>
      </c>
      <c r="G225" s="59">
        <v>12740.0</v>
      </c>
      <c r="H225" s="60">
        <f t="shared" si="3"/>
        <v>0</v>
      </c>
      <c r="N225" s="67"/>
      <c r="Q225" s="67"/>
    </row>
    <row r="226" ht="15.75" customHeight="1">
      <c r="A226" s="7">
        <v>50902.0</v>
      </c>
      <c r="B226" s="7" t="s">
        <v>271</v>
      </c>
      <c r="C226" s="7">
        <v>0.0</v>
      </c>
      <c r="D226" s="59">
        <v>1106.75</v>
      </c>
      <c r="E226" s="60">
        <f t="shared" si="2"/>
        <v>0</v>
      </c>
      <c r="F226" s="7">
        <v>0.0</v>
      </c>
      <c r="G226" s="59">
        <v>1621.0</v>
      </c>
      <c r="H226" s="60">
        <f t="shared" si="3"/>
        <v>0</v>
      </c>
      <c r="N226" s="67"/>
      <c r="Q226" s="67"/>
    </row>
    <row r="227" ht="15.75" customHeight="1">
      <c r="A227" s="7">
        <v>51001.0</v>
      </c>
      <c r="B227" s="7" t="s">
        <v>272</v>
      </c>
      <c r="C227" s="7">
        <v>0.0</v>
      </c>
      <c r="D227" s="59">
        <v>3352.5833333333335</v>
      </c>
      <c r="E227" s="60">
        <f t="shared" si="2"/>
        <v>0</v>
      </c>
      <c r="F227" s="7">
        <v>0.0</v>
      </c>
      <c r="G227" s="59">
        <v>3150.0</v>
      </c>
      <c r="H227" s="60">
        <f t="shared" si="3"/>
        <v>0</v>
      </c>
      <c r="N227" s="67"/>
      <c r="Q227" s="67"/>
    </row>
    <row r="228" ht="15.75" customHeight="1">
      <c r="A228" s="7">
        <v>51002.0</v>
      </c>
      <c r="B228" s="7" t="s">
        <v>273</v>
      </c>
      <c r="C228" s="7">
        <v>0.0</v>
      </c>
      <c r="D228" s="59">
        <v>1167.0833333333333</v>
      </c>
      <c r="E228" s="60">
        <f t="shared" si="2"/>
        <v>0</v>
      </c>
      <c r="F228" s="7">
        <v>0.0</v>
      </c>
      <c r="G228" s="59">
        <v>1025.0</v>
      </c>
      <c r="H228" s="60">
        <f t="shared" si="3"/>
        <v>0</v>
      </c>
      <c r="N228" s="67"/>
      <c r="Q228" s="67"/>
    </row>
    <row r="229" ht="15.75" customHeight="1">
      <c r="A229" s="7">
        <v>51003.0</v>
      </c>
      <c r="B229" s="7" t="s">
        <v>274</v>
      </c>
      <c r="C229" s="7">
        <v>0.0</v>
      </c>
      <c r="D229" s="59">
        <v>2255.0</v>
      </c>
      <c r="E229" s="60">
        <f t="shared" si="2"/>
        <v>0</v>
      </c>
      <c r="F229" s="7">
        <v>0.0</v>
      </c>
      <c r="G229" s="59">
        <v>1936.0</v>
      </c>
      <c r="H229" s="60">
        <f t="shared" si="3"/>
        <v>0</v>
      </c>
      <c r="N229" s="67"/>
      <c r="Q229" s="67"/>
    </row>
    <row r="230" ht="15.75" customHeight="1">
      <c r="A230" s="7">
        <v>51101.0</v>
      </c>
      <c r="B230" s="7" t="s">
        <v>275</v>
      </c>
      <c r="C230" s="7">
        <v>0.0</v>
      </c>
      <c r="D230" s="59">
        <v>21456.333333333332</v>
      </c>
      <c r="E230" s="60">
        <f t="shared" si="2"/>
        <v>0</v>
      </c>
      <c r="F230" s="7">
        <v>0.0</v>
      </c>
      <c r="G230" s="59">
        <v>16389.0</v>
      </c>
      <c r="H230" s="60">
        <f t="shared" si="3"/>
        <v>0</v>
      </c>
      <c r="N230" s="67"/>
      <c r="Q230" s="67"/>
    </row>
    <row r="231" ht="15.75" customHeight="1">
      <c r="A231" s="7">
        <v>51102.0</v>
      </c>
      <c r="B231" s="7" t="s">
        <v>276</v>
      </c>
      <c r="C231" s="7">
        <v>0.0</v>
      </c>
      <c r="D231" s="59">
        <v>12144.666666666666</v>
      </c>
      <c r="E231" s="60">
        <f t="shared" si="2"/>
        <v>0</v>
      </c>
      <c r="F231" s="7">
        <v>0.0</v>
      </c>
      <c r="G231" s="59">
        <v>12999.0</v>
      </c>
      <c r="H231" s="60">
        <f t="shared" si="3"/>
        <v>0</v>
      </c>
      <c r="N231" s="67"/>
      <c r="Q231" s="67"/>
    </row>
    <row r="232" ht="15.75" customHeight="1">
      <c r="A232" s="7">
        <v>51103.0</v>
      </c>
      <c r="B232" s="7" t="s">
        <v>277</v>
      </c>
      <c r="C232" s="7">
        <v>0.0</v>
      </c>
      <c r="D232" s="59">
        <v>15689.166666666666</v>
      </c>
      <c r="E232" s="60">
        <f t="shared" si="2"/>
        <v>0</v>
      </c>
      <c r="F232" s="7">
        <v>0.0</v>
      </c>
      <c r="G232" s="59">
        <v>14338.0</v>
      </c>
      <c r="H232" s="60">
        <f t="shared" si="3"/>
        <v>0</v>
      </c>
      <c r="N232" s="67"/>
      <c r="Q232" s="67"/>
    </row>
    <row r="233" ht="15.75" customHeight="1">
      <c r="A233" s="7">
        <v>51201.0</v>
      </c>
      <c r="B233" s="7" t="s">
        <v>278</v>
      </c>
      <c r="C233" s="7">
        <v>0.0</v>
      </c>
      <c r="D233" s="59">
        <v>30142.5</v>
      </c>
      <c r="E233" s="60">
        <f t="shared" si="2"/>
        <v>0</v>
      </c>
      <c r="F233" s="7">
        <v>0.0</v>
      </c>
      <c r="G233" s="59">
        <v>35318.0</v>
      </c>
      <c r="H233" s="60">
        <f t="shared" si="3"/>
        <v>0</v>
      </c>
      <c r="N233" s="67"/>
      <c r="Q233" s="67"/>
    </row>
    <row r="234" ht="15.75" customHeight="1">
      <c r="A234" s="7">
        <v>51202.0</v>
      </c>
      <c r="B234" s="7" t="s">
        <v>279</v>
      </c>
      <c r="C234" s="7">
        <v>0.0</v>
      </c>
      <c r="D234" s="59">
        <v>8769.916666666666</v>
      </c>
      <c r="E234" s="60">
        <f t="shared" si="2"/>
        <v>0</v>
      </c>
      <c r="F234" s="7">
        <v>0.0</v>
      </c>
      <c r="G234" s="59">
        <v>7845.0</v>
      </c>
      <c r="H234" s="60">
        <f t="shared" si="3"/>
        <v>0</v>
      </c>
      <c r="N234" s="67"/>
      <c r="Q234" s="67"/>
    </row>
    <row r="235" ht="15.75" customHeight="1">
      <c r="A235" s="7">
        <v>51203.0</v>
      </c>
      <c r="B235" s="7" t="s">
        <v>280</v>
      </c>
      <c r="C235" s="7">
        <v>0.0</v>
      </c>
      <c r="D235" s="59">
        <v>11181.666666666666</v>
      </c>
      <c r="E235" s="60">
        <f t="shared" si="2"/>
        <v>0</v>
      </c>
      <c r="F235" s="7">
        <v>0.0</v>
      </c>
      <c r="G235" s="59">
        <v>14654.0</v>
      </c>
      <c r="H235" s="60">
        <f t="shared" si="3"/>
        <v>0</v>
      </c>
      <c r="N235" s="67"/>
      <c r="Q235" s="67"/>
    </row>
    <row r="236" ht="15.75" customHeight="1">
      <c r="A236" s="7">
        <v>51204.0</v>
      </c>
      <c r="B236" s="7" t="s">
        <v>281</v>
      </c>
      <c r="C236" s="7">
        <v>0.0</v>
      </c>
      <c r="D236" s="59">
        <v>5925.333333333333</v>
      </c>
      <c r="E236" s="60">
        <f t="shared" si="2"/>
        <v>0</v>
      </c>
      <c r="F236" s="7">
        <v>0.0</v>
      </c>
      <c r="G236" s="59">
        <v>5819.0</v>
      </c>
      <c r="H236" s="60">
        <f t="shared" si="3"/>
        <v>0</v>
      </c>
      <c r="N236" s="67"/>
      <c r="Q236" s="67"/>
    </row>
    <row r="237" ht="15.75" customHeight="1">
      <c r="A237" s="7">
        <v>51301.0</v>
      </c>
      <c r="B237" s="7" t="s">
        <v>282</v>
      </c>
      <c r="C237" s="7">
        <v>0.0</v>
      </c>
      <c r="D237" s="59">
        <v>4128.0</v>
      </c>
      <c r="E237" s="60">
        <f t="shared" si="2"/>
        <v>0</v>
      </c>
      <c r="F237" s="7">
        <v>0.0</v>
      </c>
      <c r="G237" s="59">
        <v>3666.0</v>
      </c>
      <c r="H237" s="60">
        <f t="shared" si="3"/>
        <v>0</v>
      </c>
      <c r="N237" s="67"/>
      <c r="Q237" s="67"/>
    </row>
    <row r="238" ht="15.75" customHeight="1">
      <c r="A238" s="7">
        <v>51302.0</v>
      </c>
      <c r="B238" s="7" t="s">
        <v>283</v>
      </c>
      <c r="C238" s="7">
        <v>0.0</v>
      </c>
      <c r="D238" s="59">
        <v>6020.166666666667</v>
      </c>
      <c r="E238" s="60">
        <f t="shared" si="2"/>
        <v>0</v>
      </c>
      <c r="F238" s="7">
        <v>0.0</v>
      </c>
      <c r="G238" s="59">
        <v>4471.0</v>
      </c>
      <c r="H238" s="60">
        <f t="shared" si="3"/>
        <v>0</v>
      </c>
      <c r="N238" s="67"/>
      <c r="Q238" s="67"/>
    </row>
    <row r="239" ht="15.75" customHeight="1">
      <c r="A239" s="7">
        <v>51401.0</v>
      </c>
      <c r="B239" s="7" t="s">
        <v>284</v>
      </c>
      <c r="C239" s="7">
        <v>0.0</v>
      </c>
      <c r="D239" s="59">
        <v>4153.083333333333</v>
      </c>
      <c r="E239" s="60">
        <f t="shared" si="2"/>
        <v>0</v>
      </c>
      <c r="F239" s="7">
        <v>0.0</v>
      </c>
      <c r="G239" s="59">
        <v>4187.0</v>
      </c>
      <c r="H239" s="60">
        <f t="shared" si="3"/>
        <v>0</v>
      </c>
      <c r="N239" s="67"/>
      <c r="Q239" s="67"/>
    </row>
    <row r="240" ht="15.75" customHeight="1">
      <c r="A240" s="7">
        <v>51402.0</v>
      </c>
      <c r="B240" s="7" t="s">
        <v>285</v>
      </c>
      <c r="C240" s="7">
        <v>0.0</v>
      </c>
      <c r="D240" s="59">
        <v>1687.1666666666667</v>
      </c>
      <c r="E240" s="60">
        <f t="shared" si="2"/>
        <v>0</v>
      </c>
      <c r="F240" s="7">
        <v>0.0</v>
      </c>
      <c r="G240" s="59">
        <v>1546.0</v>
      </c>
      <c r="H240" s="60">
        <f t="shared" si="3"/>
        <v>0</v>
      </c>
      <c r="N240" s="67"/>
      <c r="Q240" s="67"/>
    </row>
    <row r="241" ht="15.75" customHeight="1">
      <c r="A241" s="7">
        <v>51501.0</v>
      </c>
      <c r="B241" s="7" t="s">
        <v>286</v>
      </c>
      <c r="C241" s="7">
        <v>0.0</v>
      </c>
      <c r="D241" s="59">
        <v>45275.5</v>
      </c>
      <c r="E241" s="60">
        <f t="shared" si="2"/>
        <v>0</v>
      </c>
      <c r="F241" s="7">
        <v>32.9</v>
      </c>
      <c r="G241" s="59">
        <v>49340.0</v>
      </c>
      <c r="H241" s="60">
        <f t="shared" si="3"/>
        <v>1623286</v>
      </c>
      <c r="N241" s="67"/>
      <c r="Q241" s="67"/>
    </row>
    <row r="242" ht="15.75" customHeight="1">
      <c r="A242" s="7">
        <v>51601.0</v>
      </c>
      <c r="B242" s="7" t="s">
        <v>287</v>
      </c>
      <c r="C242" s="7">
        <v>0.0</v>
      </c>
      <c r="D242" s="59">
        <v>1720.8333333333333</v>
      </c>
      <c r="E242" s="60">
        <f t="shared" si="2"/>
        <v>0</v>
      </c>
      <c r="F242" s="7">
        <v>0.0</v>
      </c>
      <c r="G242" s="59">
        <v>2126.0</v>
      </c>
      <c r="H242" s="60">
        <f t="shared" si="3"/>
        <v>0</v>
      </c>
      <c r="N242" s="67"/>
      <c r="Q242" s="67"/>
    </row>
    <row r="243" ht="15.75" customHeight="1">
      <c r="A243" s="7">
        <v>60101.0</v>
      </c>
      <c r="B243" s="7" t="s">
        <v>119</v>
      </c>
      <c r="C243" s="7">
        <v>104.6</v>
      </c>
      <c r="D243" s="59">
        <v>208156.16666666666</v>
      </c>
      <c r="E243" s="60">
        <f t="shared" si="2"/>
        <v>21773135.03</v>
      </c>
      <c r="F243" s="7">
        <v>119.4</v>
      </c>
      <c r="G243" s="59">
        <v>238749.0</v>
      </c>
      <c r="H243" s="60">
        <f t="shared" si="3"/>
        <v>28506630.6</v>
      </c>
      <c r="N243" s="67"/>
      <c r="Q243" s="67"/>
    </row>
    <row r="244" ht="15.75" customHeight="1">
      <c r="A244" s="7">
        <v>60201.0</v>
      </c>
      <c r="B244" s="7" t="s">
        <v>288</v>
      </c>
      <c r="C244" s="7">
        <v>0.0</v>
      </c>
      <c r="D244" s="59">
        <v>18609.0</v>
      </c>
      <c r="E244" s="60">
        <f t="shared" si="2"/>
        <v>0</v>
      </c>
      <c r="F244" s="7">
        <v>0.0</v>
      </c>
      <c r="G244" s="59">
        <v>17817.0</v>
      </c>
      <c r="H244" s="60">
        <f t="shared" si="3"/>
        <v>0</v>
      </c>
      <c r="N244" s="67"/>
      <c r="Q244" s="67"/>
    </row>
    <row r="245" ht="15.75" customHeight="1">
      <c r="A245" s="7">
        <v>60202.0</v>
      </c>
      <c r="B245" s="7" t="s">
        <v>289</v>
      </c>
      <c r="C245" s="7">
        <v>87.5</v>
      </c>
      <c r="D245" s="59">
        <v>34710.416666666664</v>
      </c>
      <c r="E245" s="60">
        <f t="shared" si="2"/>
        <v>3037161.458</v>
      </c>
      <c r="F245" s="7">
        <v>52.5</v>
      </c>
      <c r="G245" s="59">
        <v>36970.0</v>
      </c>
      <c r="H245" s="60">
        <f t="shared" si="3"/>
        <v>1940925</v>
      </c>
      <c r="N245" s="67"/>
      <c r="Q245" s="67"/>
    </row>
    <row r="246" ht="15.75" customHeight="1">
      <c r="A246" s="7">
        <v>60301.0</v>
      </c>
      <c r="B246" s="7" t="s">
        <v>290</v>
      </c>
      <c r="C246" s="7">
        <v>126.13</v>
      </c>
      <c r="D246" s="59">
        <v>92694.08333333333</v>
      </c>
      <c r="E246" s="60">
        <f t="shared" si="2"/>
        <v>11691504.73</v>
      </c>
      <c r="F246" s="7">
        <v>116.53</v>
      </c>
      <c r="G246" s="59">
        <v>97634.0</v>
      </c>
      <c r="H246" s="60">
        <f t="shared" si="3"/>
        <v>11377290.02</v>
      </c>
      <c r="N246" s="67"/>
      <c r="Q246" s="67"/>
    </row>
    <row r="247" ht="15.75" customHeight="1">
      <c r="A247" s="7">
        <v>60302.0</v>
      </c>
      <c r="B247" s="7" t="s">
        <v>291</v>
      </c>
      <c r="C247" s="7">
        <v>0.0</v>
      </c>
      <c r="D247" s="59">
        <v>15382.083333333334</v>
      </c>
      <c r="E247" s="60">
        <f t="shared" si="2"/>
        <v>0</v>
      </c>
      <c r="F247" s="7">
        <v>0.0</v>
      </c>
      <c r="G247" s="59">
        <v>15559.0</v>
      </c>
      <c r="H247" s="60">
        <f t="shared" si="3"/>
        <v>0</v>
      </c>
      <c r="N247" s="67"/>
      <c r="Q247" s="67"/>
    </row>
    <row r="248" ht="15.75" customHeight="1">
      <c r="A248" s="7">
        <v>60303.0</v>
      </c>
      <c r="B248" s="7" t="s">
        <v>292</v>
      </c>
      <c r="C248" s="7">
        <v>0.0</v>
      </c>
      <c r="D248" s="59">
        <v>40384.0</v>
      </c>
      <c r="E248" s="60">
        <f t="shared" si="2"/>
        <v>0</v>
      </c>
      <c r="F248" s="7">
        <v>0.0</v>
      </c>
      <c r="G248" s="59">
        <v>46071.0</v>
      </c>
      <c r="H248" s="60">
        <f t="shared" si="3"/>
        <v>0</v>
      </c>
      <c r="N248" s="67"/>
      <c r="Q248" s="67"/>
    </row>
    <row r="249" ht="15.75" customHeight="1">
      <c r="A249" s="7">
        <v>60401.0</v>
      </c>
      <c r="B249" s="7" t="s">
        <v>293</v>
      </c>
      <c r="C249" s="7">
        <v>0.0</v>
      </c>
      <c r="D249" s="59">
        <v>14876.166666666666</v>
      </c>
      <c r="E249" s="60">
        <f t="shared" si="2"/>
        <v>0</v>
      </c>
      <c r="F249" s="7">
        <v>0.0</v>
      </c>
      <c r="G249" s="59">
        <v>15923.0</v>
      </c>
      <c r="H249" s="60">
        <f t="shared" si="3"/>
        <v>0</v>
      </c>
      <c r="N249" s="67"/>
      <c r="Q249" s="67"/>
    </row>
    <row r="250" ht="15.75" customHeight="1">
      <c r="A250" s="7">
        <v>60402.0</v>
      </c>
      <c r="B250" s="7" t="s">
        <v>294</v>
      </c>
      <c r="C250" s="7">
        <v>0.0</v>
      </c>
      <c r="D250" s="59">
        <v>5428.666666666667</v>
      </c>
      <c r="E250" s="60">
        <f t="shared" si="2"/>
        <v>0</v>
      </c>
      <c r="F250" s="7">
        <v>0.0</v>
      </c>
      <c r="G250" s="59">
        <v>4754.0</v>
      </c>
      <c r="H250" s="60">
        <f t="shared" si="3"/>
        <v>0</v>
      </c>
      <c r="N250" s="67"/>
      <c r="Q250" s="67"/>
    </row>
    <row r="251" ht="15.75" customHeight="1">
      <c r="A251" s="7">
        <v>60501.0</v>
      </c>
      <c r="B251" s="7" t="s">
        <v>295</v>
      </c>
      <c r="C251" s="7">
        <v>0.0</v>
      </c>
      <c r="D251" s="59">
        <v>24403.25</v>
      </c>
      <c r="E251" s="60">
        <f t="shared" si="2"/>
        <v>0</v>
      </c>
      <c r="F251" s="7">
        <v>0.0</v>
      </c>
      <c r="G251" s="59">
        <v>30346.0</v>
      </c>
      <c r="H251" s="60">
        <f t="shared" si="3"/>
        <v>0</v>
      </c>
      <c r="N251" s="67"/>
      <c r="Q251" s="67"/>
    </row>
    <row r="252" ht="15.75" customHeight="1">
      <c r="A252" s="7">
        <v>60502.0</v>
      </c>
      <c r="B252" s="7" t="s">
        <v>296</v>
      </c>
      <c r="C252" s="7">
        <v>0.0</v>
      </c>
      <c r="D252" s="59">
        <v>11201.416666666666</v>
      </c>
      <c r="E252" s="60">
        <f t="shared" si="2"/>
        <v>0</v>
      </c>
      <c r="F252" s="7">
        <v>0.0</v>
      </c>
      <c r="G252" s="59">
        <v>9523.0</v>
      </c>
      <c r="H252" s="60">
        <f t="shared" si="3"/>
        <v>0</v>
      </c>
      <c r="N252" s="67"/>
      <c r="Q252" s="67"/>
    </row>
    <row r="253" ht="15.75" customHeight="1">
      <c r="A253" s="7">
        <v>60601.0</v>
      </c>
      <c r="B253" s="7" t="s">
        <v>201</v>
      </c>
      <c r="C253" s="7">
        <v>0.0</v>
      </c>
      <c r="D253" s="59">
        <v>21897.083333333332</v>
      </c>
      <c r="E253" s="60">
        <f t="shared" si="2"/>
        <v>0</v>
      </c>
      <c r="F253" s="7">
        <v>0.0</v>
      </c>
      <c r="G253" s="59">
        <v>20864.0</v>
      </c>
      <c r="H253" s="60">
        <f t="shared" si="3"/>
        <v>0</v>
      </c>
      <c r="N253" s="67"/>
      <c r="Q253" s="67"/>
    </row>
    <row r="254" ht="15.75" customHeight="1">
      <c r="A254" s="7">
        <v>70101.0</v>
      </c>
      <c r="B254" s="7" t="s">
        <v>384</v>
      </c>
      <c r="C254" s="7">
        <v>82.7</v>
      </c>
      <c r="D254" s="59">
        <v>1458304.75</v>
      </c>
      <c r="E254" s="60">
        <f t="shared" si="2"/>
        <v>120601802.8</v>
      </c>
      <c r="F254" s="7">
        <v>99.0</v>
      </c>
      <c r="G254" s="59">
        <v>1610982.0</v>
      </c>
      <c r="H254" s="60">
        <f t="shared" si="3"/>
        <v>159487218</v>
      </c>
      <c r="N254" s="67"/>
      <c r="Q254" s="67"/>
    </row>
    <row r="255" ht="15.75" customHeight="1">
      <c r="A255" s="7">
        <v>70102.0</v>
      </c>
      <c r="B255" s="7" t="s">
        <v>301</v>
      </c>
      <c r="C255" s="7">
        <v>75.0</v>
      </c>
      <c r="D255" s="59">
        <v>59880.5</v>
      </c>
      <c r="E255" s="60">
        <f t="shared" si="2"/>
        <v>4491037.5</v>
      </c>
      <c r="F255" s="7">
        <v>26.76</v>
      </c>
      <c r="G255" s="59">
        <v>106603.0</v>
      </c>
      <c r="H255" s="60">
        <f t="shared" si="3"/>
        <v>2852696.28</v>
      </c>
      <c r="N255" s="67"/>
      <c r="Q255" s="67"/>
    </row>
    <row r="256" ht="15.75" customHeight="1">
      <c r="A256" s="7">
        <v>70103.0</v>
      </c>
      <c r="B256" s="7" t="s">
        <v>302</v>
      </c>
      <c r="C256" s="7">
        <v>0.0</v>
      </c>
      <c r="D256" s="59">
        <v>15967.75</v>
      </c>
      <c r="E256" s="60">
        <f t="shared" si="2"/>
        <v>0</v>
      </c>
      <c r="F256" s="7">
        <v>108.71</v>
      </c>
      <c r="G256" s="59">
        <v>23126.0</v>
      </c>
      <c r="H256" s="60">
        <f t="shared" si="3"/>
        <v>2514027.46</v>
      </c>
      <c r="N256" s="67"/>
      <c r="Q256" s="67"/>
    </row>
    <row r="257" ht="15.75" customHeight="1">
      <c r="A257" s="7">
        <v>70104.0</v>
      </c>
      <c r="B257" s="7" t="s">
        <v>385</v>
      </c>
      <c r="C257" s="7">
        <v>0.0</v>
      </c>
      <c r="D257" s="59">
        <v>94154.16666666667</v>
      </c>
      <c r="E257" s="60">
        <f t="shared" si="2"/>
        <v>0</v>
      </c>
      <c r="F257" s="7">
        <v>10.2</v>
      </c>
      <c r="G257" s="59">
        <v>147726.0</v>
      </c>
      <c r="H257" s="60">
        <f t="shared" si="3"/>
        <v>1506805.2</v>
      </c>
      <c r="N257" s="67"/>
      <c r="Q257" s="67"/>
    </row>
    <row r="258" ht="15.75" customHeight="1">
      <c r="A258" s="7">
        <v>70105.0</v>
      </c>
      <c r="B258" s="7" t="s">
        <v>386</v>
      </c>
      <c r="C258" s="7">
        <v>48.3</v>
      </c>
      <c r="D258" s="59">
        <v>50155.75</v>
      </c>
      <c r="E258" s="60">
        <f t="shared" si="2"/>
        <v>2422522.725</v>
      </c>
      <c r="F258" s="7">
        <v>24.5</v>
      </c>
      <c r="G258" s="59">
        <v>55697.0</v>
      </c>
      <c r="H258" s="60">
        <f t="shared" si="3"/>
        <v>1364576.5</v>
      </c>
      <c r="N258" s="67"/>
      <c r="Q258" s="67"/>
    </row>
    <row r="259" ht="15.75" customHeight="1">
      <c r="A259" s="7">
        <v>70201.0</v>
      </c>
      <c r="B259" s="7" t="s">
        <v>304</v>
      </c>
      <c r="C259" s="7">
        <v>77.25</v>
      </c>
      <c r="D259" s="59">
        <v>100976.16666666667</v>
      </c>
      <c r="E259" s="60">
        <f t="shared" si="2"/>
        <v>7800408.875</v>
      </c>
      <c r="F259" s="7">
        <v>48.96</v>
      </c>
      <c r="G259" s="59">
        <v>151248.0</v>
      </c>
      <c r="H259" s="60">
        <f t="shared" si="3"/>
        <v>7405102.08</v>
      </c>
      <c r="N259" s="67"/>
      <c r="Q259" s="67"/>
    </row>
    <row r="260" ht="15.75" customHeight="1">
      <c r="A260" s="7">
        <v>70202.0</v>
      </c>
      <c r="B260" s="7" t="s">
        <v>305</v>
      </c>
      <c r="C260" s="7">
        <v>0.0</v>
      </c>
      <c r="D260" s="59">
        <v>12330.583333333334</v>
      </c>
      <c r="E260" s="60">
        <f t="shared" si="2"/>
        <v>0</v>
      </c>
      <c r="F260" s="7">
        <v>0.0</v>
      </c>
      <c r="G260" s="59">
        <v>10665.0</v>
      </c>
      <c r="H260" s="60">
        <f t="shared" si="3"/>
        <v>0</v>
      </c>
      <c r="N260" s="67"/>
      <c r="Q260" s="67"/>
    </row>
    <row r="261" ht="15.75" customHeight="1">
      <c r="A261" s="7">
        <v>70301.0</v>
      </c>
      <c r="B261" s="7" t="s">
        <v>306</v>
      </c>
      <c r="C261" s="7">
        <v>33.94</v>
      </c>
      <c r="D261" s="59">
        <v>53590.416666666664</v>
      </c>
      <c r="E261" s="60">
        <f t="shared" si="2"/>
        <v>1818858.742</v>
      </c>
      <c r="F261" s="7">
        <v>19.74</v>
      </c>
      <c r="G261" s="59">
        <v>67103.0</v>
      </c>
      <c r="H261" s="60">
        <f t="shared" si="3"/>
        <v>1324613.22</v>
      </c>
      <c r="N261" s="67"/>
      <c r="Q261" s="67"/>
    </row>
    <row r="262" ht="15.75" customHeight="1">
      <c r="A262" s="7">
        <v>70302.0</v>
      </c>
      <c r="B262" s="7" t="s">
        <v>307</v>
      </c>
      <c r="C262" s="7">
        <v>0.0</v>
      </c>
      <c r="D262" s="59">
        <v>11653.0</v>
      </c>
      <c r="E262" s="60">
        <f t="shared" si="2"/>
        <v>0</v>
      </c>
      <c r="F262" s="7">
        <v>0.0</v>
      </c>
      <c r="G262" s="59">
        <v>15239.0</v>
      </c>
      <c r="H262" s="60">
        <f t="shared" si="3"/>
        <v>0</v>
      </c>
      <c r="N262" s="67"/>
      <c r="Q262" s="67"/>
    </row>
    <row r="263" ht="15.75" customHeight="1">
      <c r="A263" s="7">
        <v>70303.0</v>
      </c>
      <c r="B263" s="7" t="s">
        <v>308</v>
      </c>
      <c r="C263" s="7">
        <v>0.0</v>
      </c>
      <c r="D263" s="59">
        <v>6364.25</v>
      </c>
      <c r="E263" s="60">
        <f t="shared" si="2"/>
        <v>0</v>
      </c>
      <c r="F263" s="7">
        <v>0.0</v>
      </c>
      <c r="G263" s="59">
        <v>8842.0</v>
      </c>
      <c r="H263" s="60">
        <f t="shared" si="3"/>
        <v>0</v>
      </c>
      <c r="N263" s="67"/>
      <c r="Q263" s="67"/>
    </row>
    <row r="264" ht="15.75" customHeight="1">
      <c r="A264" s="7">
        <v>70401.0</v>
      </c>
      <c r="B264" s="7" t="s">
        <v>309</v>
      </c>
      <c r="C264" s="7">
        <v>0.0</v>
      </c>
      <c r="D264" s="59">
        <v>12943.333333333334</v>
      </c>
      <c r="E264" s="60">
        <f t="shared" si="2"/>
        <v>0</v>
      </c>
      <c r="F264" s="7">
        <v>0.0</v>
      </c>
      <c r="G264" s="59">
        <v>13651.0</v>
      </c>
      <c r="H264" s="60">
        <f t="shared" si="3"/>
        <v>0</v>
      </c>
      <c r="N264" s="67"/>
      <c r="Q264" s="67"/>
    </row>
    <row r="265" ht="15.75" customHeight="1">
      <c r="A265" s="7">
        <v>70402.0</v>
      </c>
      <c r="B265" s="7" t="s">
        <v>387</v>
      </c>
      <c r="C265" s="7">
        <v>0.0</v>
      </c>
      <c r="D265" s="59">
        <v>19997.083333333332</v>
      </c>
      <c r="E265" s="60">
        <f t="shared" si="2"/>
        <v>0</v>
      </c>
      <c r="F265" s="7">
        <v>56.1</v>
      </c>
      <c r="G265" s="59">
        <v>18942.0</v>
      </c>
      <c r="H265" s="60">
        <f t="shared" si="3"/>
        <v>1062646.2</v>
      </c>
      <c r="N265" s="67"/>
      <c r="Q265" s="67"/>
    </row>
    <row r="266" ht="15.75" customHeight="1">
      <c r="A266" s="7">
        <v>70403.0</v>
      </c>
      <c r="B266" s="7" t="s">
        <v>310</v>
      </c>
      <c r="C266" s="7">
        <v>27.82</v>
      </c>
      <c r="D266" s="59">
        <v>51161.0</v>
      </c>
      <c r="E266" s="60">
        <f t="shared" si="2"/>
        <v>1423299.02</v>
      </c>
      <c r="F266" s="7">
        <v>25.4</v>
      </c>
      <c r="G266" s="59">
        <v>57794.0</v>
      </c>
      <c r="H266" s="60">
        <f t="shared" si="3"/>
        <v>1467967.6</v>
      </c>
      <c r="N266" s="67"/>
      <c r="Q266" s="67"/>
    </row>
    <row r="267" ht="15.75" customHeight="1">
      <c r="A267" s="7">
        <v>70404.0</v>
      </c>
      <c r="B267" s="7" t="s">
        <v>311</v>
      </c>
      <c r="C267" s="7">
        <v>0.0</v>
      </c>
      <c r="D267" s="59">
        <v>9275.083333333334</v>
      </c>
      <c r="E267" s="60">
        <f t="shared" si="2"/>
        <v>0</v>
      </c>
      <c r="F267" s="7">
        <v>0.0</v>
      </c>
      <c r="G267" s="59">
        <v>10200.0</v>
      </c>
      <c r="H267" s="60">
        <f t="shared" si="3"/>
        <v>0</v>
      </c>
      <c r="N267" s="67"/>
      <c r="Q267" s="67"/>
    </row>
    <row r="268" ht="15.75" customHeight="1">
      <c r="A268" s="7">
        <v>70501.0</v>
      </c>
      <c r="B268" s="7" t="s">
        <v>312</v>
      </c>
      <c r="C268" s="7">
        <v>0.0</v>
      </c>
      <c r="D268" s="59">
        <v>29926.333333333332</v>
      </c>
      <c r="E268" s="60">
        <f t="shared" si="2"/>
        <v>0</v>
      </c>
      <c r="F268" s="7">
        <v>0.0</v>
      </c>
      <c r="G268" s="59">
        <v>40974.0</v>
      </c>
      <c r="H268" s="60">
        <f t="shared" si="3"/>
        <v>0</v>
      </c>
      <c r="N268" s="67"/>
      <c r="Q268" s="67"/>
    </row>
    <row r="269" ht="15.75" customHeight="1">
      <c r="A269" s="7">
        <v>70502.0</v>
      </c>
      <c r="B269" s="7" t="s">
        <v>313</v>
      </c>
      <c r="C269" s="7">
        <v>0.0</v>
      </c>
      <c r="D269" s="59">
        <v>39251.75</v>
      </c>
      <c r="E269" s="60">
        <f t="shared" si="2"/>
        <v>0</v>
      </c>
      <c r="F269" s="7">
        <v>0.0</v>
      </c>
      <c r="G269" s="59">
        <v>54495.0</v>
      </c>
      <c r="H269" s="60">
        <f t="shared" si="3"/>
        <v>0</v>
      </c>
      <c r="N269" s="67"/>
      <c r="Q269" s="67"/>
    </row>
    <row r="270" ht="15.75" customHeight="1">
      <c r="A270" s="7">
        <v>70503.0</v>
      </c>
      <c r="B270" s="7" t="s">
        <v>314</v>
      </c>
      <c r="C270" s="7">
        <v>0.0</v>
      </c>
      <c r="D270" s="59">
        <v>15901.166666666666</v>
      </c>
      <c r="E270" s="60">
        <f t="shared" si="2"/>
        <v>0</v>
      </c>
      <c r="F270" s="7">
        <v>65.89</v>
      </c>
      <c r="G270" s="59">
        <v>18763.0</v>
      </c>
      <c r="H270" s="60">
        <f t="shared" si="3"/>
        <v>1236294.07</v>
      </c>
      <c r="N270" s="67"/>
      <c r="Q270" s="67"/>
    </row>
    <row r="271" ht="15.75" customHeight="1">
      <c r="A271" s="7">
        <v>70601.0</v>
      </c>
      <c r="B271" s="7" t="s">
        <v>315</v>
      </c>
      <c r="C271" s="7">
        <v>0.0</v>
      </c>
      <c r="D271" s="59">
        <v>18123.166666666668</v>
      </c>
      <c r="E271" s="60">
        <f t="shared" si="2"/>
        <v>0</v>
      </c>
      <c r="F271" s="7">
        <v>84.61</v>
      </c>
      <c r="G271" s="59">
        <v>20743.0</v>
      </c>
      <c r="H271" s="60">
        <f t="shared" si="3"/>
        <v>1755065.23</v>
      </c>
      <c r="N271" s="67"/>
      <c r="Q271" s="67"/>
    </row>
    <row r="272" ht="15.75" customHeight="1">
      <c r="A272" s="7">
        <v>70602.0</v>
      </c>
      <c r="B272" s="7" t="s">
        <v>316</v>
      </c>
      <c r="C272" s="7">
        <v>0.0</v>
      </c>
      <c r="D272" s="59">
        <v>19115.5</v>
      </c>
      <c r="E272" s="60">
        <f t="shared" si="2"/>
        <v>0</v>
      </c>
      <c r="F272" s="7">
        <v>0.0</v>
      </c>
      <c r="G272" s="59">
        <v>17999.0</v>
      </c>
      <c r="H272" s="60">
        <f t="shared" si="3"/>
        <v>0</v>
      </c>
      <c r="N272" s="67"/>
      <c r="Q272" s="67"/>
    </row>
    <row r="273" ht="15.75" customHeight="1">
      <c r="A273" s="7">
        <v>70603.0</v>
      </c>
      <c r="B273" s="7" t="s">
        <v>317</v>
      </c>
      <c r="C273" s="7">
        <v>0.0</v>
      </c>
      <c r="D273" s="59">
        <v>6063.833333333333</v>
      </c>
      <c r="E273" s="60">
        <f t="shared" si="2"/>
        <v>0</v>
      </c>
      <c r="F273" s="7">
        <v>0.0</v>
      </c>
      <c r="G273" s="59">
        <v>6007.0</v>
      </c>
      <c r="H273" s="60">
        <f t="shared" si="3"/>
        <v>0</v>
      </c>
      <c r="N273" s="67"/>
      <c r="Q273" s="67"/>
    </row>
    <row r="274" ht="15.75" customHeight="1">
      <c r="A274" s="7">
        <v>70701.0</v>
      </c>
      <c r="B274" s="7" t="s">
        <v>318</v>
      </c>
      <c r="C274" s="7">
        <v>0.0</v>
      </c>
      <c r="D274" s="59">
        <v>5414.333333333333</v>
      </c>
      <c r="E274" s="60">
        <f t="shared" si="2"/>
        <v>0</v>
      </c>
      <c r="F274" s="7">
        <v>0.0</v>
      </c>
      <c r="G274" s="59">
        <v>5946.0</v>
      </c>
      <c r="H274" s="60">
        <f t="shared" si="3"/>
        <v>0</v>
      </c>
      <c r="N274" s="67"/>
      <c r="Q274" s="67"/>
    </row>
    <row r="275" ht="15.75" customHeight="1">
      <c r="A275" s="7">
        <v>70702.0</v>
      </c>
      <c r="B275" s="7" t="s">
        <v>319</v>
      </c>
      <c r="C275" s="7">
        <v>0.0</v>
      </c>
      <c r="D275" s="59">
        <v>32705.5</v>
      </c>
      <c r="E275" s="60">
        <f t="shared" si="2"/>
        <v>0</v>
      </c>
      <c r="F275" s="7">
        <v>0.0</v>
      </c>
      <c r="G275" s="59">
        <v>38420.0</v>
      </c>
      <c r="H275" s="60">
        <f t="shared" si="3"/>
        <v>0</v>
      </c>
      <c r="N275" s="67"/>
      <c r="Q275" s="67"/>
    </row>
    <row r="276" ht="15.75" customHeight="1">
      <c r="A276" s="7">
        <v>70703.0</v>
      </c>
      <c r="B276" s="7" t="s">
        <v>320</v>
      </c>
      <c r="C276" s="7">
        <v>0.0</v>
      </c>
      <c r="D276" s="59">
        <v>26977.916666666668</v>
      </c>
      <c r="E276" s="60">
        <f t="shared" si="2"/>
        <v>0</v>
      </c>
      <c r="F276" s="7">
        <v>0.0</v>
      </c>
      <c r="G276" s="59">
        <v>32961.0</v>
      </c>
      <c r="H276" s="60">
        <f t="shared" si="3"/>
        <v>0</v>
      </c>
      <c r="N276" s="67"/>
      <c r="Q276" s="67"/>
    </row>
    <row r="277" ht="15.75" customHeight="1">
      <c r="A277" s="7">
        <v>70704.0</v>
      </c>
      <c r="B277" s="7" t="s">
        <v>321</v>
      </c>
      <c r="C277" s="7">
        <v>0.0</v>
      </c>
      <c r="D277" s="59">
        <v>5075.583333333333</v>
      </c>
      <c r="E277" s="60">
        <f t="shared" si="2"/>
        <v>0</v>
      </c>
      <c r="F277" s="7">
        <v>0.0</v>
      </c>
      <c r="G277" s="59">
        <v>5335.0</v>
      </c>
      <c r="H277" s="60">
        <f t="shared" si="3"/>
        <v>0</v>
      </c>
      <c r="N277" s="67"/>
      <c r="Q277" s="67"/>
    </row>
    <row r="278" ht="15.75" customHeight="1">
      <c r="A278" s="7">
        <v>70705.0</v>
      </c>
      <c r="B278" s="7" t="s">
        <v>322</v>
      </c>
      <c r="C278" s="7">
        <v>0.0</v>
      </c>
      <c r="D278" s="59">
        <v>12449.333333333334</v>
      </c>
      <c r="E278" s="60">
        <f t="shared" si="2"/>
        <v>0</v>
      </c>
      <c r="F278" s="7">
        <v>0.0</v>
      </c>
      <c r="G278" s="59">
        <v>14389.0</v>
      </c>
      <c r="H278" s="60">
        <f t="shared" si="3"/>
        <v>0</v>
      </c>
      <c r="N278" s="67"/>
      <c r="Q278" s="67"/>
    </row>
    <row r="279" ht="15.75" customHeight="1">
      <c r="A279" s="7">
        <v>70706.0</v>
      </c>
      <c r="B279" s="7" t="s">
        <v>323</v>
      </c>
      <c r="C279" s="7">
        <v>0.0</v>
      </c>
      <c r="D279" s="59">
        <v>33708.583333333336</v>
      </c>
      <c r="E279" s="60">
        <f t="shared" si="2"/>
        <v>0</v>
      </c>
      <c r="F279" s="7">
        <v>0.0</v>
      </c>
      <c r="G279" s="59">
        <v>32285.0</v>
      </c>
      <c r="H279" s="60">
        <f t="shared" si="3"/>
        <v>0</v>
      </c>
      <c r="N279" s="67"/>
      <c r="Q279" s="67"/>
    </row>
    <row r="280" ht="15.75" customHeight="1">
      <c r="A280" s="7">
        <v>70707.0</v>
      </c>
      <c r="B280" s="7" t="s">
        <v>324</v>
      </c>
      <c r="C280" s="7">
        <v>0.0</v>
      </c>
      <c r="D280" s="59">
        <v>5130.75</v>
      </c>
      <c r="E280" s="60">
        <f t="shared" si="2"/>
        <v>0</v>
      </c>
      <c r="F280" s="7">
        <v>0.0</v>
      </c>
      <c r="G280" s="59">
        <v>5612.0</v>
      </c>
      <c r="H280" s="60">
        <f t="shared" si="3"/>
        <v>0</v>
      </c>
      <c r="N280" s="67"/>
      <c r="Q280" s="67"/>
    </row>
    <row r="281" ht="15.75" customHeight="1">
      <c r="A281" s="7">
        <v>70801.0</v>
      </c>
      <c r="B281" s="7" t="s">
        <v>325</v>
      </c>
      <c r="C281" s="7">
        <v>0.0</v>
      </c>
      <c r="D281" s="59">
        <v>17211.416666666668</v>
      </c>
      <c r="E281" s="60">
        <f t="shared" si="2"/>
        <v>0</v>
      </c>
      <c r="F281" s="7">
        <v>107.31</v>
      </c>
      <c r="G281" s="59">
        <v>17249.0</v>
      </c>
      <c r="H281" s="60">
        <f t="shared" si="3"/>
        <v>1850990.19</v>
      </c>
      <c r="N281" s="67"/>
      <c r="Q281" s="67"/>
    </row>
    <row r="282" ht="15.75" customHeight="1">
      <c r="A282" s="7">
        <v>70802.0</v>
      </c>
      <c r="B282" s="7" t="s">
        <v>326</v>
      </c>
      <c r="C282" s="7">
        <v>0.0</v>
      </c>
      <c r="D282" s="59">
        <v>2153.6666666666665</v>
      </c>
      <c r="E282" s="60">
        <f t="shared" si="2"/>
        <v>0</v>
      </c>
      <c r="F282" s="7">
        <v>0.0</v>
      </c>
      <c r="G282" s="59">
        <v>2359.0</v>
      </c>
      <c r="H282" s="60">
        <f t="shared" si="3"/>
        <v>0</v>
      </c>
      <c r="N282" s="67"/>
      <c r="Q282" s="67"/>
    </row>
    <row r="283" ht="15.75" customHeight="1">
      <c r="A283" s="7">
        <v>70803.0</v>
      </c>
      <c r="B283" s="7" t="s">
        <v>327</v>
      </c>
      <c r="C283" s="7">
        <v>0.0</v>
      </c>
      <c r="D283" s="59">
        <v>2769.1666666666665</v>
      </c>
      <c r="E283" s="60">
        <f t="shared" si="2"/>
        <v>0</v>
      </c>
      <c r="F283" s="7">
        <v>0.0</v>
      </c>
      <c r="G283" s="59">
        <v>2793.0</v>
      </c>
      <c r="H283" s="60">
        <f t="shared" si="3"/>
        <v>0</v>
      </c>
      <c r="N283" s="67"/>
      <c r="Q283" s="67"/>
    </row>
    <row r="284" ht="15.75" customHeight="1">
      <c r="A284" s="7">
        <v>70804.0</v>
      </c>
      <c r="B284" s="7" t="s">
        <v>328</v>
      </c>
      <c r="C284" s="7">
        <v>0.0</v>
      </c>
      <c r="D284" s="59">
        <v>2341.3333333333335</v>
      </c>
      <c r="E284" s="60">
        <f t="shared" si="2"/>
        <v>0</v>
      </c>
      <c r="F284" s="7">
        <v>0.0</v>
      </c>
      <c r="G284" s="59">
        <v>1806.0</v>
      </c>
      <c r="H284" s="60">
        <f t="shared" si="3"/>
        <v>0</v>
      </c>
      <c r="N284" s="67"/>
      <c r="Q284" s="67"/>
    </row>
    <row r="285" ht="15.75" customHeight="1">
      <c r="A285" s="7">
        <v>70805.0</v>
      </c>
      <c r="B285" s="7" t="s">
        <v>329</v>
      </c>
      <c r="C285" s="7">
        <v>0.0</v>
      </c>
      <c r="D285" s="59">
        <v>2070.9166666666665</v>
      </c>
      <c r="E285" s="60">
        <f t="shared" si="2"/>
        <v>0</v>
      </c>
      <c r="F285" s="7">
        <v>0.0</v>
      </c>
      <c r="G285" s="59">
        <v>2015.0</v>
      </c>
      <c r="H285" s="60">
        <f t="shared" si="3"/>
        <v>0</v>
      </c>
      <c r="N285" s="67"/>
      <c r="Q285" s="67"/>
    </row>
    <row r="286" ht="15.75" customHeight="1">
      <c r="A286" s="7">
        <v>70901.0</v>
      </c>
      <c r="B286" s="7" t="s">
        <v>330</v>
      </c>
      <c r="C286" s="7">
        <v>0.0</v>
      </c>
      <c r="D286" s="59">
        <v>10586.25</v>
      </c>
      <c r="E286" s="60">
        <f t="shared" si="2"/>
        <v>0</v>
      </c>
      <c r="F286" s="7">
        <v>0.0</v>
      </c>
      <c r="G286" s="59">
        <v>11843.0</v>
      </c>
      <c r="H286" s="60">
        <f t="shared" si="3"/>
        <v>0</v>
      </c>
      <c r="N286" s="67"/>
      <c r="Q286" s="67"/>
    </row>
    <row r="287" ht="15.75" customHeight="1">
      <c r="A287" s="7">
        <v>70902.0</v>
      </c>
      <c r="B287" s="7" t="s">
        <v>331</v>
      </c>
      <c r="C287" s="7">
        <v>0.0</v>
      </c>
      <c r="D287" s="59">
        <v>9239.166666666666</v>
      </c>
      <c r="E287" s="60">
        <f t="shared" si="2"/>
        <v>0</v>
      </c>
      <c r="F287" s="7">
        <v>0.0</v>
      </c>
      <c r="G287" s="59">
        <v>9692.0</v>
      </c>
      <c r="H287" s="60">
        <f t="shared" si="3"/>
        <v>0</v>
      </c>
      <c r="N287" s="67"/>
      <c r="Q287" s="67"/>
    </row>
    <row r="288" ht="15.75" customHeight="1">
      <c r="A288" s="7">
        <v>70903.0</v>
      </c>
      <c r="B288" s="7" t="s">
        <v>332</v>
      </c>
      <c r="C288" s="7">
        <v>0.0</v>
      </c>
      <c r="D288" s="59">
        <v>10390.166666666666</v>
      </c>
      <c r="E288" s="60">
        <f t="shared" si="2"/>
        <v>0</v>
      </c>
      <c r="F288" s="7">
        <v>22.65</v>
      </c>
      <c r="G288" s="59">
        <v>12735.0</v>
      </c>
      <c r="H288" s="60">
        <f t="shared" si="3"/>
        <v>288447.75</v>
      </c>
      <c r="N288" s="67"/>
      <c r="Q288" s="67"/>
    </row>
    <row r="289" ht="15.75" customHeight="1">
      <c r="A289" s="7">
        <v>70904.0</v>
      </c>
      <c r="B289" s="7" t="s">
        <v>333</v>
      </c>
      <c r="C289" s="7">
        <v>0.0</v>
      </c>
      <c r="D289" s="59">
        <v>3002.5833333333335</v>
      </c>
      <c r="E289" s="60">
        <f t="shared" si="2"/>
        <v>0</v>
      </c>
      <c r="F289" s="7">
        <v>0.0</v>
      </c>
      <c r="G289" s="59">
        <v>3086.0</v>
      </c>
      <c r="H289" s="60">
        <f t="shared" si="3"/>
        <v>0</v>
      </c>
      <c r="N289" s="67"/>
      <c r="Q289" s="67"/>
    </row>
    <row r="290" ht="15.75" customHeight="1">
      <c r="A290" s="7">
        <v>71001.0</v>
      </c>
      <c r="B290" s="7" t="s">
        <v>334</v>
      </c>
      <c r="C290" s="7">
        <v>130.2</v>
      </c>
      <c r="D290" s="59">
        <v>110965.33333333333</v>
      </c>
      <c r="E290" s="60">
        <f t="shared" si="2"/>
        <v>14447686.4</v>
      </c>
      <c r="F290" s="7">
        <v>8.99</v>
      </c>
      <c r="G290" s="59">
        <v>126886.0</v>
      </c>
      <c r="H290" s="60">
        <f t="shared" si="3"/>
        <v>1140705.14</v>
      </c>
      <c r="N290" s="67"/>
      <c r="Q290" s="67"/>
    </row>
    <row r="291" ht="15.75" customHeight="1">
      <c r="A291" s="7">
        <v>71002.0</v>
      </c>
      <c r="B291" s="7" t="s">
        <v>336</v>
      </c>
      <c r="C291" s="7">
        <v>0.0</v>
      </c>
      <c r="D291" s="59">
        <v>14408.083333333334</v>
      </c>
      <c r="E291" s="60">
        <f t="shared" si="2"/>
        <v>0</v>
      </c>
      <c r="F291" s="7">
        <v>0.0</v>
      </c>
      <c r="G291" s="59">
        <v>16598.0</v>
      </c>
      <c r="H291" s="60">
        <f t="shared" si="3"/>
        <v>0</v>
      </c>
      <c r="N291" s="67"/>
      <c r="Q291" s="67"/>
    </row>
    <row r="292" ht="15.75" customHeight="1">
      <c r="A292" s="7">
        <v>71003.0</v>
      </c>
      <c r="B292" s="7" t="s">
        <v>337</v>
      </c>
      <c r="C292" s="7">
        <v>0.0</v>
      </c>
      <c r="D292" s="59">
        <v>23239.25</v>
      </c>
      <c r="E292" s="60">
        <f t="shared" si="2"/>
        <v>0</v>
      </c>
      <c r="F292" s="7">
        <v>74.72</v>
      </c>
      <c r="G292" s="59">
        <v>23110.0</v>
      </c>
      <c r="H292" s="60">
        <f t="shared" si="3"/>
        <v>1726779.2</v>
      </c>
      <c r="N292" s="67"/>
      <c r="Q292" s="67"/>
    </row>
    <row r="293" ht="15.75" customHeight="1">
      <c r="A293" s="7">
        <v>71004.0</v>
      </c>
      <c r="B293" s="7" t="s">
        <v>388</v>
      </c>
      <c r="C293" s="7">
        <v>0.0</v>
      </c>
      <c r="D293" s="59">
        <v>15074.75</v>
      </c>
      <c r="E293" s="60">
        <f t="shared" si="2"/>
        <v>0</v>
      </c>
      <c r="F293" s="7">
        <v>49.3</v>
      </c>
      <c r="G293" s="59">
        <v>14610.0</v>
      </c>
      <c r="H293" s="60">
        <f t="shared" si="3"/>
        <v>720273</v>
      </c>
      <c r="N293" s="67"/>
      <c r="Q293" s="67"/>
    </row>
    <row r="294" ht="15.75" customHeight="1">
      <c r="A294" s="7">
        <v>71005.0</v>
      </c>
      <c r="B294" s="7" t="s">
        <v>262</v>
      </c>
      <c r="C294" s="7">
        <v>0.0</v>
      </c>
      <c r="D294" s="59">
        <v>18781.583333333332</v>
      </c>
      <c r="E294" s="60">
        <f t="shared" si="2"/>
        <v>0</v>
      </c>
      <c r="F294" s="7">
        <v>0.0</v>
      </c>
      <c r="G294" s="59">
        <v>15246.0</v>
      </c>
      <c r="H294" s="60">
        <f t="shared" si="3"/>
        <v>0</v>
      </c>
      <c r="N294" s="67"/>
      <c r="Q294" s="67"/>
    </row>
    <row r="295" ht="15.75" customHeight="1">
      <c r="A295" s="7">
        <v>71101.0</v>
      </c>
      <c r="B295" s="7" t="s">
        <v>338</v>
      </c>
      <c r="C295" s="7">
        <v>0.0</v>
      </c>
      <c r="D295" s="59">
        <v>19743.166666666668</v>
      </c>
      <c r="E295" s="60">
        <f t="shared" si="2"/>
        <v>0</v>
      </c>
      <c r="F295" s="7">
        <v>0.0</v>
      </c>
      <c r="G295" s="59">
        <v>30118.0</v>
      </c>
      <c r="H295" s="60">
        <f t="shared" si="3"/>
        <v>0</v>
      </c>
      <c r="N295" s="67"/>
      <c r="Q295" s="67"/>
    </row>
    <row r="296" ht="15.75" customHeight="1">
      <c r="A296" s="7">
        <v>71102.0</v>
      </c>
      <c r="B296" s="7" t="s">
        <v>339</v>
      </c>
      <c r="C296" s="7">
        <v>0.0</v>
      </c>
      <c r="D296" s="59">
        <v>13725.666666666666</v>
      </c>
      <c r="E296" s="60">
        <f t="shared" si="2"/>
        <v>0</v>
      </c>
      <c r="F296" s="7">
        <v>0.0</v>
      </c>
      <c r="G296" s="59">
        <v>14888.0</v>
      </c>
      <c r="H296" s="60">
        <f t="shared" si="3"/>
        <v>0</v>
      </c>
      <c r="N296" s="67"/>
      <c r="Q296" s="67"/>
    </row>
    <row r="297" ht="15.75" customHeight="1">
      <c r="A297" s="7">
        <v>71103.0</v>
      </c>
      <c r="B297" s="7" t="s">
        <v>342</v>
      </c>
      <c r="C297" s="7">
        <v>0.0</v>
      </c>
      <c r="D297" s="59">
        <v>7577.583333333333</v>
      </c>
      <c r="E297" s="60">
        <f t="shared" si="2"/>
        <v>0</v>
      </c>
      <c r="F297" s="7">
        <v>0.0</v>
      </c>
      <c r="G297" s="59">
        <v>8541.0</v>
      </c>
      <c r="H297" s="60">
        <f t="shared" si="3"/>
        <v>0</v>
      </c>
      <c r="N297" s="67"/>
      <c r="Q297" s="67"/>
    </row>
    <row r="298" ht="15.75" customHeight="1">
      <c r="A298" s="7">
        <v>71104.0</v>
      </c>
      <c r="B298" s="7" t="s">
        <v>340</v>
      </c>
      <c r="C298" s="7">
        <v>0.0</v>
      </c>
      <c r="D298" s="59">
        <v>47207.083333333336</v>
      </c>
      <c r="E298" s="60">
        <f t="shared" si="2"/>
        <v>0</v>
      </c>
      <c r="F298" s="7">
        <v>0.0</v>
      </c>
      <c r="G298" s="59">
        <v>44909.0</v>
      </c>
      <c r="H298" s="60">
        <f t="shared" si="3"/>
        <v>0</v>
      </c>
      <c r="N298" s="67"/>
      <c r="Q298" s="67"/>
    </row>
    <row r="299" ht="15.75" customHeight="1">
      <c r="A299" s="7">
        <v>71105.0</v>
      </c>
      <c r="B299" s="7" t="s">
        <v>341</v>
      </c>
      <c r="C299" s="7">
        <v>0.0</v>
      </c>
      <c r="D299" s="59">
        <v>6471.25</v>
      </c>
      <c r="E299" s="60">
        <f t="shared" si="2"/>
        <v>0</v>
      </c>
      <c r="F299" s="7">
        <v>0.0</v>
      </c>
      <c r="G299" s="59">
        <v>6364.0</v>
      </c>
      <c r="H299" s="60">
        <f t="shared" si="3"/>
        <v>0</v>
      </c>
      <c r="N299" s="67"/>
      <c r="Q299" s="67"/>
    </row>
    <row r="300" ht="15.75" customHeight="1">
      <c r="A300" s="7">
        <v>71106.0</v>
      </c>
      <c r="B300" s="7" t="s">
        <v>343</v>
      </c>
      <c r="C300" s="7">
        <v>0.0</v>
      </c>
      <c r="D300" s="59">
        <v>23046.083333333332</v>
      </c>
      <c r="E300" s="60">
        <f t="shared" si="2"/>
        <v>0</v>
      </c>
      <c r="F300" s="7">
        <v>87.19</v>
      </c>
      <c r="G300" s="59">
        <v>25258.0</v>
      </c>
      <c r="H300" s="60">
        <f t="shared" si="3"/>
        <v>2202245.02</v>
      </c>
      <c r="N300" s="67"/>
      <c r="Q300" s="67"/>
    </row>
    <row r="301" ht="15.75" customHeight="1">
      <c r="A301" s="7">
        <v>71201.0</v>
      </c>
      <c r="B301" s="7" t="s">
        <v>344</v>
      </c>
      <c r="C301" s="7">
        <v>0.0</v>
      </c>
      <c r="D301" s="59">
        <v>14545.666666666666</v>
      </c>
      <c r="E301" s="60">
        <f t="shared" si="2"/>
        <v>0</v>
      </c>
      <c r="F301" s="7">
        <v>0.0</v>
      </c>
      <c r="G301" s="59">
        <v>15378.0</v>
      </c>
      <c r="H301" s="60">
        <f t="shared" si="3"/>
        <v>0</v>
      </c>
      <c r="N301" s="67"/>
      <c r="Q301" s="67"/>
    </row>
    <row r="302" ht="15.75" customHeight="1">
      <c r="A302" s="7">
        <v>71301.0</v>
      </c>
      <c r="B302" s="7" t="s">
        <v>345</v>
      </c>
      <c r="C302" s="7">
        <v>0.0</v>
      </c>
      <c r="D302" s="59">
        <v>16025.333333333334</v>
      </c>
      <c r="E302" s="60">
        <f t="shared" si="2"/>
        <v>0</v>
      </c>
      <c r="F302" s="7">
        <v>0.0</v>
      </c>
      <c r="G302" s="59">
        <v>17195.0</v>
      </c>
      <c r="H302" s="60">
        <f t="shared" si="3"/>
        <v>0</v>
      </c>
      <c r="N302" s="67"/>
      <c r="Q302" s="67"/>
    </row>
    <row r="303" ht="15.75" customHeight="1">
      <c r="A303" s="7">
        <v>71302.0</v>
      </c>
      <c r="B303" s="7" t="s">
        <v>346</v>
      </c>
      <c r="C303" s="7">
        <v>0.0</v>
      </c>
      <c r="D303" s="59">
        <v>7278.166666666667</v>
      </c>
      <c r="E303" s="60">
        <f t="shared" si="2"/>
        <v>0</v>
      </c>
      <c r="F303" s="7">
        <v>0.0</v>
      </c>
      <c r="G303" s="59">
        <v>6048.0</v>
      </c>
      <c r="H303" s="60">
        <f t="shared" si="3"/>
        <v>0</v>
      </c>
      <c r="N303" s="67"/>
      <c r="Q303" s="67"/>
    </row>
    <row r="304" ht="15.75" customHeight="1">
      <c r="A304" s="7">
        <v>71401.0</v>
      </c>
      <c r="B304" s="7" t="s">
        <v>347</v>
      </c>
      <c r="C304" s="7">
        <v>0.0</v>
      </c>
      <c r="D304" s="59">
        <v>19628.0</v>
      </c>
      <c r="E304" s="60">
        <f t="shared" si="2"/>
        <v>0</v>
      </c>
      <c r="F304" s="7">
        <v>0.0</v>
      </c>
      <c r="G304" s="59">
        <v>17417.0</v>
      </c>
      <c r="H304" s="60">
        <f t="shared" si="3"/>
        <v>0</v>
      </c>
      <c r="N304" s="67"/>
      <c r="Q304" s="67"/>
    </row>
    <row r="305" ht="15.75" customHeight="1">
      <c r="A305" s="7">
        <v>71402.0</v>
      </c>
      <c r="B305" s="7" t="s">
        <v>348</v>
      </c>
      <c r="C305" s="7">
        <v>0.0</v>
      </c>
      <c r="D305" s="59">
        <v>16768.583333333332</v>
      </c>
      <c r="E305" s="60">
        <f t="shared" si="2"/>
        <v>0</v>
      </c>
      <c r="F305" s="7">
        <v>0.0</v>
      </c>
      <c r="G305" s="59">
        <v>17974.0</v>
      </c>
      <c r="H305" s="60">
        <f t="shared" si="3"/>
        <v>0</v>
      </c>
      <c r="N305" s="67"/>
      <c r="Q305" s="67"/>
    </row>
    <row r="306" ht="15.75" customHeight="1">
      <c r="A306" s="7">
        <v>71403.0</v>
      </c>
      <c r="B306" s="7" t="s">
        <v>349</v>
      </c>
      <c r="C306" s="7">
        <v>0.0</v>
      </c>
      <c r="D306" s="59">
        <v>6548.166666666667</v>
      </c>
      <c r="E306" s="60">
        <f t="shared" si="2"/>
        <v>0</v>
      </c>
      <c r="F306" s="7">
        <v>0.0</v>
      </c>
      <c r="G306" s="59">
        <v>8816.0</v>
      </c>
      <c r="H306" s="60">
        <f t="shared" si="3"/>
        <v>0</v>
      </c>
      <c r="N306" s="67"/>
      <c r="Q306" s="67"/>
    </row>
    <row r="307" ht="15.75" customHeight="1">
      <c r="A307" s="7">
        <v>71501.0</v>
      </c>
      <c r="B307" s="7" t="s">
        <v>350</v>
      </c>
      <c r="C307" s="7">
        <v>0.0</v>
      </c>
      <c r="D307" s="59">
        <v>27654.083333333332</v>
      </c>
      <c r="E307" s="60">
        <f t="shared" si="2"/>
        <v>0</v>
      </c>
      <c r="F307" s="7">
        <v>0.0</v>
      </c>
      <c r="G307" s="59">
        <v>34079.0</v>
      </c>
      <c r="H307" s="60">
        <f t="shared" si="3"/>
        <v>0</v>
      </c>
      <c r="N307" s="67"/>
      <c r="Q307" s="67"/>
    </row>
    <row r="308" ht="15.75" customHeight="1">
      <c r="A308" s="7">
        <v>71502.0</v>
      </c>
      <c r="B308" s="7" t="s">
        <v>351</v>
      </c>
      <c r="C308" s="7">
        <v>0.0</v>
      </c>
      <c r="D308" s="59">
        <v>6986.75</v>
      </c>
      <c r="E308" s="60">
        <f t="shared" si="2"/>
        <v>0</v>
      </c>
      <c r="F308" s="7">
        <v>0.0</v>
      </c>
      <c r="G308" s="59">
        <v>6555.0</v>
      </c>
      <c r="H308" s="60">
        <f t="shared" si="3"/>
        <v>0</v>
      </c>
      <c r="N308" s="67"/>
      <c r="Q308" s="67"/>
    </row>
    <row r="309" ht="15.75" customHeight="1">
      <c r="A309" s="7">
        <v>71503.0</v>
      </c>
      <c r="B309" s="7" t="s">
        <v>296</v>
      </c>
      <c r="C309" s="7">
        <v>0.0</v>
      </c>
      <c r="D309" s="59">
        <v>14462.083333333334</v>
      </c>
      <c r="E309" s="60">
        <f t="shared" si="2"/>
        <v>0</v>
      </c>
      <c r="F309" s="7">
        <v>0.0</v>
      </c>
      <c r="G309" s="59">
        <v>17290.0</v>
      </c>
      <c r="H309" s="60">
        <f t="shared" si="3"/>
        <v>0</v>
      </c>
      <c r="N309" s="67"/>
      <c r="Q309" s="67"/>
    </row>
    <row r="310" ht="15.75" customHeight="1">
      <c r="A310" s="7">
        <v>80101.0</v>
      </c>
      <c r="B310" s="7" t="s">
        <v>352</v>
      </c>
      <c r="C310" s="7">
        <v>170.49</v>
      </c>
      <c r="D310" s="59">
        <v>108428.75</v>
      </c>
      <c r="E310" s="60">
        <f t="shared" si="2"/>
        <v>18486017.59</v>
      </c>
      <c r="F310" s="7">
        <v>198.04</v>
      </c>
      <c r="G310" s="59">
        <v>128589.0</v>
      </c>
      <c r="H310" s="60">
        <f t="shared" si="3"/>
        <v>25465765.56</v>
      </c>
      <c r="N310" s="67"/>
      <c r="Q310" s="67"/>
    </row>
    <row r="311" ht="15.75" customHeight="1">
      <c r="A311" s="7">
        <v>80102.0</v>
      </c>
      <c r="B311" s="7" t="s">
        <v>339</v>
      </c>
      <c r="C311" s="7">
        <v>0.0</v>
      </c>
      <c r="D311" s="59">
        <v>5496.666666666667</v>
      </c>
      <c r="E311" s="60">
        <f t="shared" si="2"/>
        <v>0</v>
      </c>
      <c r="F311" s="7">
        <v>0.0</v>
      </c>
      <c r="G311" s="59">
        <v>7913.0</v>
      </c>
      <c r="H311" s="60">
        <f t="shared" si="3"/>
        <v>0</v>
      </c>
      <c r="N311" s="67"/>
      <c r="Q311" s="67"/>
    </row>
    <row r="312" ht="15.75" customHeight="1">
      <c r="A312" s="7">
        <v>80201.0</v>
      </c>
      <c r="B312" s="7" t="s">
        <v>353</v>
      </c>
      <c r="C312" s="7">
        <v>0.0</v>
      </c>
      <c r="D312" s="59">
        <v>90795.33333333333</v>
      </c>
      <c r="E312" s="60">
        <f t="shared" si="2"/>
        <v>0</v>
      </c>
      <c r="F312" s="7">
        <v>0.0</v>
      </c>
      <c r="G312" s="59">
        <v>110302.0</v>
      </c>
      <c r="H312" s="60">
        <f t="shared" si="3"/>
        <v>0</v>
      </c>
      <c r="N312" s="67"/>
      <c r="Q312" s="67"/>
    </row>
    <row r="313" ht="15.75" customHeight="1">
      <c r="A313" s="7">
        <v>80202.0</v>
      </c>
      <c r="B313" s="7" t="s">
        <v>354</v>
      </c>
      <c r="C313" s="7">
        <v>0.0</v>
      </c>
      <c r="D313" s="59">
        <v>41832.083333333336</v>
      </c>
      <c r="E313" s="60">
        <f t="shared" si="2"/>
        <v>0</v>
      </c>
      <c r="F313" s="7">
        <v>0.0</v>
      </c>
      <c r="G313" s="59">
        <v>42031.0</v>
      </c>
      <c r="H313" s="60">
        <f t="shared" si="3"/>
        <v>0</v>
      </c>
      <c r="N313" s="67"/>
      <c r="Q313" s="67"/>
    </row>
    <row r="314" ht="15.75" customHeight="1">
      <c r="A314" s="7">
        <v>80301.0</v>
      </c>
      <c r="B314" s="7" t="s">
        <v>355</v>
      </c>
      <c r="C314" s="7">
        <v>0.0</v>
      </c>
      <c r="D314" s="59">
        <v>13098.666666666666</v>
      </c>
      <c r="E314" s="60">
        <f t="shared" si="2"/>
        <v>0</v>
      </c>
      <c r="F314" s="7">
        <v>0.0</v>
      </c>
      <c r="G314" s="59">
        <v>11478.0</v>
      </c>
      <c r="H314" s="60">
        <f t="shared" si="3"/>
        <v>0</v>
      </c>
      <c r="N314" s="67"/>
      <c r="Q314" s="67"/>
    </row>
    <row r="315" ht="15.75" customHeight="1">
      <c r="A315" s="7">
        <v>80302.0</v>
      </c>
      <c r="B315" s="7" t="s">
        <v>356</v>
      </c>
      <c r="C315" s="7">
        <v>0.0</v>
      </c>
      <c r="D315" s="59">
        <v>41275.166666666664</v>
      </c>
      <c r="E315" s="60">
        <f t="shared" si="2"/>
        <v>0</v>
      </c>
      <c r="F315" s="7">
        <v>0.0</v>
      </c>
      <c r="G315" s="59">
        <v>45798.0</v>
      </c>
      <c r="H315" s="60">
        <f t="shared" si="3"/>
        <v>0</v>
      </c>
      <c r="N315" s="67"/>
      <c r="Q315" s="67"/>
    </row>
    <row r="316" ht="15.75" customHeight="1">
      <c r="A316" s="7">
        <v>80303.0</v>
      </c>
      <c r="B316" s="7" t="s">
        <v>316</v>
      </c>
      <c r="C316" s="7">
        <v>0.0</v>
      </c>
      <c r="D316" s="59">
        <v>9615.0</v>
      </c>
      <c r="E316" s="60">
        <f t="shared" si="2"/>
        <v>0</v>
      </c>
      <c r="F316" s="7">
        <v>0.0</v>
      </c>
      <c r="G316" s="59">
        <v>11122.0</v>
      </c>
      <c r="H316" s="60">
        <f t="shared" si="3"/>
        <v>0</v>
      </c>
      <c r="N316" s="67"/>
      <c r="Q316" s="67"/>
    </row>
    <row r="317" ht="15.75" customHeight="1">
      <c r="A317" s="7">
        <v>80304.0</v>
      </c>
      <c r="B317" s="7" t="s">
        <v>357</v>
      </c>
      <c r="C317" s="7">
        <v>0.0</v>
      </c>
      <c r="D317" s="59">
        <v>19365.416666666668</v>
      </c>
      <c r="E317" s="60">
        <f t="shared" si="2"/>
        <v>0</v>
      </c>
      <c r="F317" s="7">
        <v>0.0</v>
      </c>
      <c r="G317" s="59">
        <v>21240.0</v>
      </c>
      <c r="H317" s="60">
        <f t="shared" si="3"/>
        <v>0</v>
      </c>
      <c r="N317" s="67"/>
      <c r="Q317" s="67"/>
    </row>
    <row r="318" ht="15.75" customHeight="1">
      <c r="A318" s="7">
        <v>80401.0</v>
      </c>
      <c r="B318" s="7" t="s">
        <v>358</v>
      </c>
      <c r="C318" s="7">
        <v>0.0</v>
      </c>
      <c r="D318" s="59">
        <v>17153.916666666668</v>
      </c>
      <c r="E318" s="60">
        <f t="shared" si="2"/>
        <v>0</v>
      </c>
      <c r="F318" s="7">
        <v>0.0</v>
      </c>
      <c r="G318" s="59">
        <v>18088.0</v>
      </c>
      <c r="H318" s="60">
        <f t="shared" si="3"/>
        <v>0</v>
      </c>
      <c r="N318" s="67"/>
      <c r="Q318" s="67"/>
    </row>
    <row r="319" ht="15.75" customHeight="1">
      <c r="A319" s="7">
        <v>80402.0</v>
      </c>
      <c r="B319" s="7" t="s">
        <v>359</v>
      </c>
      <c r="C319" s="7">
        <v>0.0</v>
      </c>
      <c r="D319" s="59">
        <v>6499.5</v>
      </c>
      <c r="E319" s="60">
        <f t="shared" si="2"/>
        <v>0</v>
      </c>
      <c r="F319" s="7">
        <v>0.0</v>
      </c>
      <c r="G319" s="59">
        <v>8012.0</v>
      </c>
      <c r="H319" s="60">
        <f t="shared" si="3"/>
        <v>0</v>
      </c>
      <c r="N319" s="67"/>
      <c r="Q319" s="67"/>
    </row>
    <row r="320" ht="15.75" customHeight="1">
      <c r="A320" s="7">
        <v>80501.0</v>
      </c>
      <c r="B320" s="7" t="s">
        <v>306</v>
      </c>
      <c r="C320" s="7">
        <v>0.0</v>
      </c>
      <c r="D320" s="59">
        <v>19446.333333333332</v>
      </c>
      <c r="E320" s="60">
        <f t="shared" si="2"/>
        <v>0</v>
      </c>
      <c r="F320" s="7">
        <v>0.0</v>
      </c>
      <c r="G320" s="59">
        <v>21584.0</v>
      </c>
      <c r="H320" s="60">
        <f t="shared" si="3"/>
        <v>0</v>
      </c>
      <c r="N320" s="67"/>
      <c r="Q320" s="67"/>
    </row>
    <row r="321" ht="15.75" customHeight="1">
      <c r="A321" s="7">
        <v>80601.0</v>
      </c>
      <c r="B321" s="7" t="s">
        <v>360</v>
      </c>
      <c r="C321" s="7">
        <v>0.0</v>
      </c>
      <c r="D321" s="59">
        <v>3864.75</v>
      </c>
      <c r="E321" s="60">
        <f t="shared" si="2"/>
        <v>0</v>
      </c>
      <c r="F321" s="7">
        <v>0.0</v>
      </c>
      <c r="G321" s="59">
        <v>4269.0</v>
      </c>
      <c r="H321" s="60">
        <f t="shared" si="3"/>
        <v>0</v>
      </c>
      <c r="N321" s="67"/>
      <c r="Q321" s="67"/>
    </row>
    <row r="322" ht="15.75" customHeight="1">
      <c r="A322" s="7">
        <v>80602.0</v>
      </c>
      <c r="B322" s="7" t="s">
        <v>361</v>
      </c>
      <c r="C322" s="7">
        <v>0.0</v>
      </c>
      <c r="D322" s="59">
        <v>12758.583333333334</v>
      </c>
      <c r="E322" s="60">
        <f t="shared" si="2"/>
        <v>0</v>
      </c>
      <c r="F322" s="7">
        <v>0.0</v>
      </c>
      <c r="G322" s="59">
        <v>15570.0</v>
      </c>
      <c r="H322" s="60">
        <f t="shared" si="3"/>
        <v>0</v>
      </c>
      <c r="N322" s="67"/>
      <c r="Q322" s="67"/>
    </row>
    <row r="323" ht="15.75" customHeight="1">
      <c r="A323" s="7">
        <v>80701.0</v>
      </c>
      <c r="B323" s="7" t="s">
        <v>362</v>
      </c>
      <c r="C323" s="7">
        <v>0.0</v>
      </c>
      <c r="D323" s="59">
        <v>6907.916666666667</v>
      </c>
      <c r="E323" s="60">
        <f t="shared" si="2"/>
        <v>0</v>
      </c>
      <c r="F323" s="7">
        <v>0.0</v>
      </c>
      <c r="G323" s="59">
        <v>6808.0</v>
      </c>
      <c r="H323" s="60">
        <f t="shared" si="3"/>
        <v>0</v>
      </c>
      <c r="N323" s="67"/>
      <c r="Q323" s="67"/>
    </row>
    <row r="324" ht="15.75" customHeight="1">
      <c r="A324" s="7">
        <v>80702.0</v>
      </c>
      <c r="B324" s="7" t="s">
        <v>342</v>
      </c>
      <c r="C324" s="7">
        <v>0.0</v>
      </c>
      <c r="D324" s="59">
        <v>4999.5</v>
      </c>
      <c r="E324" s="60">
        <f t="shared" si="2"/>
        <v>0</v>
      </c>
      <c r="F324" s="7">
        <v>0.0</v>
      </c>
      <c r="G324" s="59">
        <v>5489.0</v>
      </c>
      <c r="H324" s="60">
        <f t="shared" si="3"/>
        <v>0</v>
      </c>
      <c r="N324" s="67"/>
      <c r="Q324" s="67"/>
    </row>
    <row r="325" ht="15.75" customHeight="1">
      <c r="A325" s="7">
        <v>80703.0</v>
      </c>
      <c r="B325" s="7" t="s">
        <v>363</v>
      </c>
      <c r="C325" s="7">
        <v>0.0</v>
      </c>
      <c r="D325" s="7">
        <v>957.1666666666666</v>
      </c>
      <c r="E325" s="60">
        <f t="shared" si="2"/>
        <v>0</v>
      </c>
      <c r="F325" s="7">
        <v>0.0</v>
      </c>
      <c r="G325" s="59">
        <v>1091.0</v>
      </c>
      <c r="H325" s="60">
        <f t="shared" si="3"/>
        <v>0</v>
      </c>
      <c r="N325" s="67"/>
      <c r="Q325" s="67"/>
    </row>
    <row r="326" ht="15.75" customHeight="1">
      <c r="A326" s="7">
        <v>80801.0</v>
      </c>
      <c r="B326" s="7" t="s">
        <v>364</v>
      </c>
      <c r="C326" s="7">
        <v>0.0</v>
      </c>
      <c r="D326" s="59">
        <v>11494.333333333334</v>
      </c>
      <c r="E326" s="60">
        <f t="shared" si="2"/>
        <v>0</v>
      </c>
      <c r="F326" s="7">
        <v>0.0</v>
      </c>
      <c r="G326" s="59">
        <v>12785.0</v>
      </c>
      <c r="H326" s="60">
        <f t="shared" si="3"/>
        <v>0</v>
      </c>
      <c r="N326" s="67"/>
      <c r="Q326" s="67"/>
    </row>
    <row r="327" ht="15.75" customHeight="1">
      <c r="A327" s="7">
        <v>80802.0</v>
      </c>
      <c r="B327" s="7" t="s">
        <v>365</v>
      </c>
      <c r="C327" s="7">
        <v>0.0</v>
      </c>
      <c r="D327" s="59">
        <v>6091.916666666667</v>
      </c>
      <c r="E327" s="60">
        <f t="shared" si="2"/>
        <v>0</v>
      </c>
      <c r="F327" s="7">
        <v>0.0</v>
      </c>
      <c r="G327" s="59">
        <v>7488.0</v>
      </c>
      <c r="H327" s="60">
        <f t="shared" si="3"/>
        <v>0</v>
      </c>
      <c r="N327" s="67"/>
      <c r="Q327" s="67"/>
    </row>
    <row r="328" ht="15.75" customHeight="1">
      <c r="A328" s="7">
        <v>80803.0</v>
      </c>
      <c r="B328" s="7" t="s">
        <v>366</v>
      </c>
      <c r="C328" s="7">
        <v>0.0</v>
      </c>
      <c r="D328" s="59">
        <v>4154.25</v>
      </c>
      <c r="E328" s="60">
        <f t="shared" si="2"/>
        <v>0</v>
      </c>
      <c r="F328" s="7">
        <v>0.0</v>
      </c>
      <c r="G328" s="59">
        <v>4630.0</v>
      </c>
      <c r="H328" s="60">
        <f t="shared" si="3"/>
        <v>0</v>
      </c>
      <c r="N328" s="67"/>
      <c r="Q328" s="67"/>
    </row>
    <row r="329" ht="15.75" customHeight="1">
      <c r="A329" s="7">
        <v>80901.0</v>
      </c>
      <c r="B329" s="7" t="s">
        <v>367</v>
      </c>
      <c r="C329" s="7">
        <v>0.0</v>
      </c>
      <c r="D329" s="59">
        <v>3293.75</v>
      </c>
      <c r="E329" s="60">
        <f t="shared" si="2"/>
        <v>0</v>
      </c>
      <c r="F329" s="7">
        <v>0.0</v>
      </c>
      <c r="G329" s="59">
        <v>3973.0</v>
      </c>
      <c r="H329" s="60">
        <f t="shared" si="3"/>
        <v>0</v>
      </c>
      <c r="N329" s="67"/>
      <c r="Q329" s="67"/>
    </row>
    <row r="330" ht="15.75" customHeight="1">
      <c r="A330" s="7">
        <v>90101.0</v>
      </c>
      <c r="B330" s="7" t="s">
        <v>368</v>
      </c>
      <c r="C330" s="7">
        <v>0.0</v>
      </c>
      <c r="D330" s="59">
        <v>47004.25</v>
      </c>
      <c r="E330" s="60">
        <f t="shared" si="2"/>
        <v>0</v>
      </c>
      <c r="F330" s="7">
        <v>0.0</v>
      </c>
      <c r="G330" s="59">
        <v>55114.0</v>
      </c>
      <c r="H330" s="60">
        <f t="shared" si="3"/>
        <v>0</v>
      </c>
      <c r="N330" s="67"/>
      <c r="Q330" s="67"/>
    </row>
    <row r="331" ht="15.75" customHeight="1">
      <c r="A331" s="7">
        <v>90102.0</v>
      </c>
      <c r="B331" s="7" t="s">
        <v>369</v>
      </c>
      <c r="C331" s="7">
        <v>0.0</v>
      </c>
      <c r="D331" s="59">
        <v>8065.083333333333</v>
      </c>
      <c r="E331" s="60">
        <f t="shared" si="2"/>
        <v>0</v>
      </c>
      <c r="F331" s="7">
        <v>0.0</v>
      </c>
      <c r="G331" s="59">
        <v>9353.0</v>
      </c>
      <c r="H331" s="60">
        <f t="shared" si="3"/>
        <v>0</v>
      </c>
      <c r="N331" s="67"/>
      <c r="Q331" s="67"/>
    </row>
    <row r="332" ht="15.75" customHeight="1">
      <c r="A332" s="7">
        <v>90103.0</v>
      </c>
      <c r="B332" s="7" t="s">
        <v>370</v>
      </c>
      <c r="C332" s="7">
        <v>0.0</v>
      </c>
      <c r="D332" s="59">
        <v>2195.0</v>
      </c>
      <c r="E332" s="60">
        <f t="shared" si="2"/>
        <v>0</v>
      </c>
      <c r="F332" s="7">
        <v>0.0</v>
      </c>
      <c r="G332" s="59">
        <v>2437.0</v>
      </c>
      <c r="H332" s="60">
        <f t="shared" si="3"/>
        <v>0</v>
      </c>
      <c r="N332" s="67"/>
      <c r="Q332" s="67"/>
    </row>
    <row r="333" ht="15.75" customHeight="1">
      <c r="A333" s="7">
        <v>90104.0</v>
      </c>
      <c r="B333" s="7" t="s">
        <v>371</v>
      </c>
      <c r="C333" s="7">
        <v>0.0</v>
      </c>
      <c r="D333" s="59">
        <v>3885.75</v>
      </c>
      <c r="E333" s="60">
        <f t="shared" si="2"/>
        <v>0</v>
      </c>
      <c r="F333" s="7">
        <v>0.0</v>
      </c>
      <c r="G333" s="59">
        <v>3630.0</v>
      </c>
      <c r="H333" s="60">
        <f t="shared" si="3"/>
        <v>0</v>
      </c>
      <c r="N333" s="67"/>
      <c r="Q333" s="67"/>
    </row>
    <row r="334" ht="15.75" customHeight="1">
      <c r="A334" s="7">
        <v>90201.0</v>
      </c>
      <c r="B334" s="7" t="s">
        <v>372</v>
      </c>
      <c r="C334" s="7">
        <v>0.0</v>
      </c>
      <c r="D334" s="59">
        <v>6333.0</v>
      </c>
      <c r="E334" s="60">
        <f t="shared" si="2"/>
        <v>0</v>
      </c>
      <c r="F334" s="7">
        <v>0.0</v>
      </c>
      <c r="G334" s="59">
        <v>7367.0</v>
      </c>
      <c r="H334" s="60">
        <f t="shared" si="3"/>
        <v>0</v>
      </c>
      <c r="N334" s="67"/>
      <c r="Q334" s="67"/>
    </row>
    <row r="335" ht="15.75" customHeight="1">
      <c r="A335" s="7">
        <v>90202.0</v>
      </c>
      <c r="B335" s="7" t="s">
        <v>262</v>
      </c>
      <c r="C335" s="7">
        <v>0.0</v>
      </c>
      <c r="D335" s="59">
        <v>3034.9166666666665</v>
      </c>
      <c r="E335" s="60">
        <f t="shared" si="2"/>
        <v>0</v>
      </c>
      <c r="F335" s="7">
        <v>0.0</v>
      </c>
      <c r="G335" s="59">
        <v>3518.0</v>
      </c>
      <c r="H335" s="60">
        <f t="shared" si="3"/>
        <v>0</v>
      </c>
      <c r="N335" s="67"/>
      <c r="Q335" s="67"/>
    </row>
    <row r="336" ht="15.75" customHeight="1">
      <c r="A336" s="7">
        <v>90203.0</v>
      </c>
      <c r="B336" s="7" t="s">
        <v>373</v>
      </c>
      <c r="C336" s="7">
        <v>0.0</v>
      </c>
      <c r="D336" s="59">
        <v>5946.75</v>
      </c>
      <c r="E336" s="60">
        <f t="shared" si="2"/>
        <v>0</v>
      </c>
      <c r="F336" s="7">
        <v>0.0</v>
      </c>
      <c r="G336" s="59">
        <v>8045.0</v>
      </c>
      <c r="H336" s="60">
        <f t="shared" si="3"/>
        <v>0</v>
      </c>
      <c r="N336" s="67"/>
      <c r="Q336" s="67"/>
    </row>
    <row r="337" ht="15.75" customHeight="1">
      <c r="A337" s="7">
        <v>90301.0</v>
      </c>
      <c r="B337" s="7" t="s">
        <v>374</v>
      </c>
      <c r="C337" s="7">
        <v>0.0</v>
      </c>
      <c r="D337" s="59">
        <v>8515.916666666666</v>
      </c>
      <c r="E337" s="60">
        <f t="shared" si="2"/>
        <v>0</v>
      </c>
      <c r="F337" s="7">
        <v>0.0</v>
      </c>
      <c r="G337" s="59">
        <v>12431.0</v>
      </c>
      <c r="H337" s="60">
        <f t="shared" si="3"/>
        <v>0</v>
      </c>
      <c r="N337" s="67"/>
      <c r="Q337" s="67"/>
    </row>
    <row r="338" ht="15.75" customHeight="1">
      <c r="A338" s="7">
        <v>90302.0</v>
      </c>
      <c r="B338" s="7" t="s">
        <v>295</v>
      </c>
      <c r="C338" s="7">
        <v>0.0</v>
      </c>
      <c r="D338" s="59">
        <v>7833.666666666667</v>
      </c>
      <c r="E338" s="60">
        <f t="shared" si="2"/>
        <v>0</v>
      </c>
      <c r="F338" s="7">
        <v>0.0</v>
      </c>
      <c r="G338" s="59">
        <v>9832.0</v>
      </c>
      <c r="H338" s="60">
        <f t="shared" si="3"/>
        <v>0</v>
      </c>
      <c r="N338" s="67"/>
      <c r="Q338" s="67"/>
    </row>
    <row r="339" ht="15.75" customHeight="1">
      <c r="A339" s="7">
        <v>90303.0</v>
      </c>
      <c r="B339" s="7" t="s">
        <v>375</v>
      </c>
      <c r="C339" s="7">
        <v>0.0</v>
      </c>
      <c r="D339" s="59">
        <v>8446.666666666666</v>
      </c>
      <c r="E339" s="60">
        <f t="shared" si="2"/>
        <v>0</v>
      </c>
      <c r="F339" s="7">
        <v>0.0</v>
      </c>
      <c r="G339" s="59">
        <v>10522.0</v>
      </c>
      <c r="H339" s="60">
        <f t="shared" si="3"/>
        <v>0</v>
      </c>
      <c r="N339" s="67"/>
      <c r="Q339" s="67"/>
    </row>
    <row r="340" ht="15.75" customHeight="1">
      <c r="A340" s="7">
        <v>90401.0</v>
      </c>
      <c r="B340" s="7" t="s">
        <v>316</v>
      </c>
      <c r="C340" s="7">
        <v>0.0</v>
      </c>
      <c r="D340" s="59">
        <v>2436.1666666666665</v>
      </c>
      <c r="E340" s="60">
        <f t="shared" si="2"/>
        <v>0</v>
      </c>
      <c r="F340" s="7">
        <v>0.0</v>
      </c>
      <c r="G340" s="59">
        <v>2889.0</v>
      </c>
      <c r="H340" s="60">
        <f t="shared" si="3"/>
        <v>0</v>
      </c>
      <c r="N340" s="67"/>
      <c r="Q340" s="67"/>
    </row>
    <row r="341" ht="15.75" customHeight="1">
      <c r="A341" s="7">
        <v>90402.0</v>
      </c>
      <c r="B341" s="7" t="s">
        <v>376</v>
      </c>
      <c r="C341" s="7">
        <v>0.0</v>
      </c>
      <c r="D341" s="59">
        <v>1732.8333333333333</v>
      </c>
      <c r="E341" s="60">
        <f t="shared" si="2"/>
        <v>0</v>
      </c>
      <c r="F341" s="7">
        <v>0.0</v>
      </c>
      <c r="G341" s="59">
        <v>2600.0</v>
      </c>
      <c r="H341" s="60">
        <f t="shared" si="3"/>
        <v>0</v>
      </c>
      <c r="N341" s="67"/>
      <c r="Q341" s="67"/>
    </row>
    <row r="342" ht="15.75" customHeight="1">
      <c r="A342" s="7">
        <v>90501.0</v>
      </c>
      <c r="B342" s="7" t="s">
        <v>377</v>
      </c>
      <c r="C342" s="7">
        <v>0.0</v>
      </c>
      <c r="D342" s="59">
        <v>2028.8333333333333</v>
      </c>
      <c r="E342" s="60">
        <f t="shared" si="2"/>
        <v>0</v>
      </c>
      <c r="F342" s="7">
        <v>0.0</v>
      </c>
      <c r="G342" s="59">
        <v>1598.0</v>
      </c>
      <c r="H342" s="60">
        <f t="shared" si="3"/>
        <v>0</v>
      </c>
      <c r="N342" s="67"/>
      <c r="Q342" s="67"/>
    </row>
    <row r="343" ht="15.75" customHeight="1">
      <c r="A343" s="7">
        <v>90502.0</v>
      </c>
      <c r="B343" s="7" t="s">
        <v>378</v>
      </c>
      <c r="C343" s="7">
        <v>0.0</v>
      </c>
      <c r="D343" s="59">
        <v>2776.8333333333335</v>
      </c>
      <c r="E343" s="60">
        <f t="shared" si="2"/>
        <v>0</v>
      </c>
      <c r="F343" s="7">
        <v>0.0</v>
      </c>
      <c r="G343" s="59">
        <v>2511.0</v>
      </c>
      <c r="H343" s="60">
        <f t="shared" si="3"/>
        <v>0</v>
      </c>
      <c r="N343" s="67"/>
      <c r="Q343" s="67"/>
    </row>
    <row r="344" ht="15.75" customHeight="1">
      <c r="A344" s="7">
        <v>90503.0</v>
      </c>
      <c r="B344" s="7" t="s">
        <v>379</v>
      </c>
      <c r="C344" s="7">
        <v>0.0</v>
      </c>
      <c r="D344" s="59">
        <v>2180.1666666666665</v>
      </c>
      <c r="E344" s="60">
        <f t="shared" si="2"/>
        <v>0</v>
      </c>
      <c r="F344" s="7">
        <v>0.0</v>
      </c>
      <c r="G344" s="59">
        <v>2347.0</v>
      </c>
      <c r="H344" s="60">
        <f t="shared" si="3"/>
        <v>0</v>
      </c>
      <c r="N344" s="67"/>
      <c r="Q344" s="67"/>
    </row>
    <row r="345" ht="15.75" customHeight="1">
      <c r="E345" s="61"/>
      <c r="N345" s="67"/>
      <c r="Q345" s="67"/>
    </row>
    <row r="346" ht="15.75" customHeight="1">
      <c r="E346" s="61"/>
      <c r="N346" s="67"/>
      <c r="Q346" s="67"/>
    </row>
    <row r="347" ht="15.75" customHeight="1">
      <c r="E347" s="61"/>
      <c r="N347" s="67"/>
      <c r="Q347" s="67"/>
    </row>
    <row r="348" ht="15.75" customHeight="1">
      <c r="E348" s="61"/>
      <c r="N348" s="67"/>
      <c r="Q348" s="67"/>
    </row>
    <row r="349" ht="15.75" customHeight="1">
      <c r="E349" s="61"/>
      <c r="N349" s="67"/>
      <c r="Q349" s="67"/>
    </row>
    <row r="350" ht="15.75" customHeight="1">
      <c r="E350" s="61"/>
      <c r="N350" s="67"/>
      <c r="Q350" s="67"/>
    </row>
    <row r="351" ht="15.75" customHeight="1">
      <c r="E351" s="61"/>
      <c r="N351" s="67"/>
      <c r="Q351" s="67"/>
    </row>
    <row r="352" ht="15.75" customHeight="1">
      <c r="E352" s="61"/>
      <c r="N352" s="67"/>
      <c r="Q352" s="67"/>
    </row>
    <row r="353" ht="15.75" customHeight="1">
      <c r="N353" s="67"/>
      <c r="Q353" s="67"/>
    </row>
    <row r="354" ht="15.75" customHeight="1">
      <c r="N354" s="67"/>
      <c r="Q354" s="67"/>
    </row>
    <row r="355" ht="15.75" customHeight="1">
      <c r="N355" s="67"/>
      <c r="Q355" s="67"/>
    </row>
    <row r="356" ht="15.75" customHeight="1">
      <c r="N356" s="67"/>
      <c r="Q356" s="67"/>
    </row>
    <row r="357" ht="15.75" customHeight="1">
      <c r="N357" s="67"/>
      <c r="Q357" s="67"/>
    </row>
    <row r="358" ht="15.75" customHeight="1">
      <c r="N358" s="67"/>
      <c r="Q358" s="67"/>
    </row>
    <row r="359" ht="15.75" customHeight="1">
      <c r="N359" s="67"/>
      <c r="Q359" s="67"/>
    </row>
    <row r="360" ht="15.75" customHeight="1">
      <c r="N360" s="67"/>
      <c r="Q360" s="67"/>
    </row>
    <row r="361" ht="15.75" customHeight="1">
      <c r="N361" s="67"/>
      <c r="Q361" s="67"/>
    </row>
    <row r="362" ht="15.75" customHeight="1">
      <c r="N362" s="67"/>
      <c r="Q362" s="67"/>
    </row>
    <row r="363" ht="15.75" customHeight="1">
      <c r="N363" s="67"/>
      <c r="Q363" s="67"/>
    </row>
    <row r="364" ht="15.75" customHeight="1">
      <c r="N364" s="67"/>
      <c r="Q364" s="67"/>
    </row>
    <row r="365" ht="15.75" customHeight="1">
      <c r="N365" s="67"/>
      <c r="Q365" s="67"/>
    </row>
    <row r="366" ht="15.75" customHeight="1">
      <c r="N366" s="67"/>
      <c r="Q366" s="67"/>
    </row>
    <row r="367" ht="15.75" customHeight="1">
      <c r="N367" s="67"/>
      <c r="Q367" s="67"/>
    </row>
    <row r="368" ht="15.75" customHeight="1">
      <c r="N368" s="67"/>
      <c r="Q368" s="67"/>
    </row>
    <row r="369" ht="15.75" customHeight="1">
      <c r="N369" s="67"/>
      <c r="Q369" s="67"/>
    </row>
    <row r="370" ht="15.75" customHeight="1">
      <c r="N370" s="67"/>
      <c r="Q370" s="67"/>
    </row>
    <row r="371" ht="15.75" customHeight="1">
      <c r="N371" s="67"/>
      <c r="Q371" s="67"/>
    </row>
    <row r="372" ht="15.75" customHeight="1">
      <c r="N372" s="67"/>
      <c r="Q372" s="67"/>
    </row>
    <row r="373" ht="15.75" customHeight="1">
      <c r="N373" s="67"/>
      <c r="Q373" s="67"/>
    </row>
    <row r="374" ht="15.75" customHeight="1">
      <c r="N374" s="67"/>
      <c r="Q374" s="67"/>
    </row>
    <row r="375" ht="15.75" customHeight="1">
      <c r="N375" s="67"/>
      <c r="Q375" s="67"/>
    </row>
    <row r="376" ht="15.75" customHeight="1">
      <c r="N376" s="67"/>
      <c r="Q376" s="67"/>
    </row>
    <row r="377" ht="15.75" customHeight="1">
      <c r="N377" s="67"/>
      <c r="Q377" s="67"/>
    </row>
    <row r="378" ht="15.75" customHeight="1">
      <c r="N378" s="67"/>
      <c r="Q378" s="67"/>
    </row>
    <row r="379" ht="15.75" customHeight="1">
      <c r="N379" s="67"/>
      <c r="Q379" s="67"/>
    </row>
    <row r="380" ht="15.75" customHeight="1">
      <c r="N380" s="67"/>
      <c r="Q380" s="67"/>
    </row>
    <row r="381" ht="15.75" customHeight="1">
      <c r="N381" s="67"/>
      <c r="Q381" s="67"/>
    </row>
    <row r="382" ht="15.75" customHeight="1">
      <c r="N382" s="67"/>
      <c r="Q382" s="67"/>
    </row>
    <row r="383" ht="15.75" customHeight="1">
      <c r="N383" s="67"/>
      <c r="Q383" s="67"/>
    </row>
    <row r="384" ht="15.75" customHeight="1">
      <c r="N384" s="67"/>
      <c r="Q384" s="67"/>
    </row>
    <row r="385" ht="15.75" customHeight="1">
      <c r="N385" s="67"/>
      <c r="Q385" s="67"/>
    </row>
    <row r="386" ht="15.75" customHeight="1">
      <c r="N386" s="67"/>
      <c r="Q386" s="67"/>
    </row>
    <row r="387" ht="15.75" customHeight="1">
      <c r="N387" s="67"/>
      <c r="Q387" s="67"/>
    </row>
    <row r="388" ht="15.75" customHeight="1">
      <c r="N388" s="67"/>
      <c r="Q388" s="67"/>
    </row>
    <row r="389" ht="15.75" customHeight="1">
      <c r="N389" s="67"/>
      <c r="Q389" s="67"/>
    </row>
    <row r="390" ht="15.75" customHeight="1">
      <c r="N390" s="67"/>
      <c r="Q390" s="67"/>
    </row>
    <row r="391" ht="15.75" customHeight="1">
      <c r="N391" s="67"/>
      <c r="Q391" s="67"/>
    </row>
    <row r="392" ht="15.75" customHeight="1">
      <c r="N392" s="67"/>
      <c r="Q392" s="67"/>
    </row>
    <row r="393" ht="15.75" customHeight="1">
      <c r="N393" s="67"/>
      <c r="Q393" s="67"/>
    </row>
    <row r="394" ht="15.75" customHeight="1">
      <c r="N394" s="67"/>
      <c r="Q394" s="67"/>
    </row>
    <row r="395" ht="15.75" customHeight="1">
      <c r="N395" s="67"/>
      <c r="Q395" s="67"/>
    </row>
    <row r="396" ht="15.75" customHeight="1">
      <c r="N396" s="67"/>
      <c r="Q396" s="67"/>
    </row>
    <row r="397" ht="15.75" customHeight="1">
      <c r="N397" s="67"/>
      <c r="Q397" s="67"/>
    </row>
    <row r="398" ht="15.75" customHeight="1">
      <c r="N398" s="67"/>
      <c r="Q398" s="67"/>
    </row>
    <row r="399" ht="15.75" customHeight="1">
      <c r="N399" s="67"/>
      <c r="Q399" s="67"/>
    </row>
    <row r="400" ht="15.75" customHeight="1">
      <c r="N400" s="67"/>
      <c r="Q400" s="67"/>
    </row>
    <row r="401" ht="15.75" customHeight="1">
      <c r="N401" s="67"/>
      <c r="Q401" s="67"/>
    </row>
    <row r="402" ht="15.75" customHeight="1">
      <c r="N402" s="67"/>
      <c r="Q402" s="67"/>
    </row>
    <row r="403" ht="15.75" customHeight="1">
      <c r="N403" s="67"/>
      <c r="Q403" s="67"/>
    </row>
    <row r="404" ht="15.75" customHeight="1">
      <c r="N404" s="67"/>
      <c r="Q404" s="67"/>
    </row>
    <row r="405" ht="15.75" customHeight="1">
      <c r="N405" s="67"/>
      <c r="Q405" s="67"/>
    </row>
    <row r="406" ht="15.75" customHeight="1">
      <c r="N406" s="67"/>
      <c r="Q406" s="67"/>
    </row>
    <row r="407" ht="15.75" customHeight="1">
      <c r="N407" s="67"/>
      <c r="Q407" s="67"/>
    </row>
    <row r="408" ht="15.75" customHeight="1">
      <c r="N408" s="67"/>
      <c r="Q408" s="67"/>
    </row>
    <row r="409" ht="15.75" customHeight="1">
      <c r="N409" s="67"/>
      <c r="Q409" s="67"/>
    </row>
    <row r="410" ht="15.75" customHeight="1">
      <c r="N410" s="67"/>
      <c r="Q410" s="67"/>
    </row>
    <row r="411" ht="15.75" customHeight="1">
      <c r="N411" s="67"/>
      <c r="Q411" s="67"/>
    </row>
    <row r="412" ht="15.75" customHeight="1">
      <c r="N412" s="67"/>
      <c r="Q412" s="67"/>
    </row>
    <row r="413" ht="15.75" customHeight="1">
      <c r="N413" s="67"/>
      <c r="Q413" s="67"/>
    </row>
    <row r="414" ht="15.75" customHeight="1">
      <c r="N414" s="67"/>
      <c r="Q414" s="67"/>
    </row>
    <row r="415" ht="15.75" customHeight="1">
      <c r="N415" s="67"/>
      <c r="Q415" s="67"/>
    </row>
    <row r="416" ht="15.75" customHeight="1">
      <c r="N416" s="67"/>
      <c r="Q416" s="67"/>
    </row>
    <row r="417" ht="15.75" customHeight="1">
      <c r="N417" s="67"/>
      <c r="Q417" s="67"/>
    </row>
    <row r="418" ht="15.75" customHeight="1">
      <c r="N418" s="67"/>
      <c r="Q418" s="67"/>
    </row>
    <row r="419" ht="15.75" customHeight="1">
      <c r="N419" s="67"/>
      <c r="Q419" s="67"/>
    </row>
    <row r="420" ht="15.75" customHeight="1">
      <c r="N420" s="67"/>
      <c r="Q420" s="67"/>
    </row>
    <row r="421" ht="15.75" customHeight="1">
      <c r="N421" s="67"/>
      <c r="Q421" s="67"/>
    </row>
    <row r="422" ht="15.75" customHeight="1">
      <c r="N422" s="67"/>
      <c r="Q422" s="67"/>
    </row>
    <row r="423" ht="15.75" customHeight="1">
      <c r="N423" s="67"/>
      <c r="Q423" s="67"/>
    </row>
    <row r="424" ht="15.75" customHeight="1">
      <c r="N424" s="67"/>
      <c r="Q424" s="67"/>
    </row>
    <row r="425" ht="15.75" customHeight="1">
      <c r="N425" s="67"/>
      <c r="Q425" s="67"/>
    </row>
    <row r="426" ht="15.75" customHeight="1">
      <c r="N426" s="67"/>
      <c r="Q426" s="67"/>
    </row>
    <row r="427" ht="15.75" customHeight="1">
      <c r="N427" s="67"/>
      <c r="Q427" s="67"/>
    </row>
    <row r="428" ht="15.75" customHeight="1">
      <c r="N428" s="67"/>
      <c r="Q428" s="67"/>
    </row>
    <row r="429" ht="15.75" customHeight="1">
      <c r="N429" s="67"/>
      <c r="Q429" s="67"/>
    </row>
    <row r="430" ht="15.75" customHeight="1">
      <c r="N430" s="67"/>
      <c r="Q430" s="67"/>
    </row>
    <row r="431" ht="15.75" customHeight="1">
      <c r="N431" s="67"/>
      <c r="Q431" s="67"/>
    </row>
    <row r="432" ht="15.75" customHeight="1">
      <c r="N432" s="67"/>
      <c r="Q432" s="67"/>
    </row>
    <row r="433" ht="15.75" customHeight="1">
      <c r="N433" s="67"/>
      <c r="Q433" s="67"/>
    </row>
    <row r="434" ht="15.75" customHeight="1">
      <c r="N434" s="67"/>
      <c r="Q434" s="67"/>
    </row>
    <row r="435" ht="15.75" customHeight="1">
      <c r="N435" s="67"/>
      <c r="Q435" s="67"/>
    </row>
    <row r="436" ht="15.75" customHeight="1">
      <c r="N436" s="67"/>
      <c r="Q436" s="67"/>
    </row>
    <row r="437" ht="15.75" customHeight="1">
      <c r="N437" s="67"/>
      <c r="Q437" s="67"/>
    </row>
    <row r="438" ht="15.75" customHeight="1">
      <c r="N438" s="67"/>
      <c r="Q438" s="67"/>
    </row>
    <row r="439" ht="15.75" customHeight="1">
      <c r="N439" s="67"/>
      <c r="Q439" s="67"/>
    </row>
    <row r="440" ht="15.75" customHeight="1">
      <c r="N440" s="67"/>
      <c r="Q440" s="67"/>
    </row>
    <row r="441" ht="15.75" customHeight="1">
      <c r="N441" s="67"/>
      <c r="Q441" s="67"/>
    </row>
    <row r="442" ht="15.75" customHeight="1">
      <c r="N442" s="67"/>
      <c r="Q442" s="67"/>
    </row>
    <row r="443" ht="15.75" customHeight="1">
      <c r="N443" s="67"/>
      <c r="Q443" s="67"/>
    </row>
    <row r="444" ht="15.75" customHeight="1">
      <c r="N444" s="67"/>
      <c r="Q444" s="67"/>
    </row>
    <row r="445" ht="15.75" customHeight="1">
      <c r="N445" s="67"/>
      <c r="Q445" s="67"/>
    </row>
    <row r="446" ht="15.75" customHeight="1">
      <c r="N446" s="67"/>
      <c r="Q446" s="67"/>
    </row>
    <row r="447" ht="15.75" customHeight="1">
      <c r="N447" s="67"/>
      <c r="Q447" s="67"/>
    </row>
    <row r="448" ht="15.75" customHeight="1">
      <c r="N448" s="67"/>
      <c r="Q448" s="67"/>
    </row>
    <row r="449" ht="15.75" customHeight="1">
      <c r="N449" s="67"/>
      <c r="Q449" s="67"/>
    </row>
    <row r="450" ht="15.75" customHeight="1">
      <c r="N450" s="67"/>
      <c r="Q450" s="67"/>
    </row>
    <row r="451" ht="15.75" customHeight="1">
      <c r="N451" s="67"/>
      <c r="Q451" s="67"/>
    </row>
    <row r="452" ht="15.75" customHeight="1">
      <c r="N452" s="67"/>
      <c r="Q452" s="67"/>
    </row>
    <row r="453" ht="15.75" customHeight="1">
      <c r="N453" s="67"/>
      <c r="Q453" s="67"/>
    </row>
    <row r="454" ht="15.75" customHeight="1">
      <c r="N454" s="67"/>
      <c r="Q454" s="67"/>
    </row>
    <row r="455" ht="15.75" customHeight="1">
      <c r="N455" s="67"/>
      <c r="Q455" s="67"/>
    </row>
    <row r="456" ht="15.75" customHeight="1">
      <c r="N456" s="67"/>
      <c r="Q456" s="67"/>
    </row>
    <row r="457" ht="15.75" customHeight="1">
      <c r="N457" s="67"/>
      <c r="Q457" s="67"/>
    </row>
    <row r="458" ht="15.75" customHeight="1">
      <c r="N458" s="67"/>
      <c r="Q458" s="67"/>
    </row>
    <row r="459" ht="15.75" customHeight="1">
      <c r="N459" s="67"/>
      <c r="Q459" s="67"/>
    </row>
    <row r="460" ht="15.75" customHeight="1">
      <c r="N460" s="67"/>
      <c r="Q460" s="67"/>
    </row>
    <row r="461" ht="15.75" customHeight="1">
      <c r="N461" s="67"/>
      <c r="Q461" s="67"/>
    </row>
    <row r="462" ht="15.75" customHeight="1">
      <c r="N462" s="67"/>
      <c r="Q462" s="67"/>
    </row>
    <row r="463" ht="15.75" customHeight="1">
      <c r="N463" s="67"/>
      <c r="Q463" s="67"/>
    </row>
    <row r="464" ht="15.75" customHeight="1">
      <c r="N464" s="67"/>
      <c r="Q464" s="67"/>
    </row>
    <row r="465" ht="15.75" customHeight="1">
      <c r="N465" s="67"/>
      <c r="Q465" s="67"/>
    </row>
    <row r="466" ht="15.75" customHeight="1">
      <c r="N466" s="67"/>
      <c r="Q466" s="67"/>
    </row>
    <row r="467" ht="15.75" customHeight="1">
      <c r="N467" s="67"/>
      <c r="Q467" s="67"/>
    </row>
    <row r="468" ht="15.75" customHeight="1">
      <c r="N468" s="67"/>
      <c r="Q468" s="67"/>
    </row>
    <row r="469" ht="15.75" customHeight="1">
      <c r="N469" s="67"/>
      <c r="Q469" s="67"/>
    </row>
    <row r="470" ht="15.75" customHeight="1">
      <c r="N470" s="67"/>
      <c r="Q470" s="67"/>
    </row>
    <row r="471" ht="15.75" customHeight="1">
      <c r="N471" s="67"/>
      <c r="Q471" s="67"/>
    </row>
    <row r="472" ht="15.75" customHeight="1">
      <c r="N472" s="67"/>
      <c r="Q472" s="67"/>
    </row>
    <row r="473" ht="15.75" customHeight="1">
      <c r="N473" s="67"/>
      <c r="Q473" s="67"/>
    </row>
    <row r="474" ht="15.75" customHeight="1">
      <c r="N474" s="67"/>
      <c r="Q474" s="67"/>
    </row>
    <row r="475" ht="15.75" customHeight="1">
      <c r="N475" s="67"/>
      <c r="Q475" s="67"/>
    </row>
    <row r="476" ht="15.75" customHeight="1">
      <c r="N476" s="67"/>
      <c r="Q476" s="67"/>
    </row>
    <row r="477" ht="15.75" customHeight="1">
      <c r="N477" s="67"/>
      <c r="Q477" s="67"/>
    </row>
    <row r="478" ht="15.75" customHeight="1">
      <c r="N478" s="67"/>
      <c r="Q478" s="67"/>
    </row>
    <row r="479" ht="15.75" customHeight="1">
      <c r="N479" s="67"/>
      <c r="Q479" s="67"/>
    </row>
    <row r="480" ht="15.75" customHeight="1">
      <c r="N480" s="67"/>
      <c r="Q480" s="67"/>
    </row>
    <row r="481" ht="15.75" customHeight="1">
      <c r="N481" s="67"/>
      <c r="Q481" s="67"/>
    </row>
    <row r="482" ht="15.75" customHeight="1">
      <c r="N482" s="67"/>
      <c r="Q482" s="67"/>
    </row>
    <row r="483" ht="15.75" customHeight="1">
      <c r="N483" s="67"/>
      <c r="Q483" s="67"/>
    </row>
    <row r="484" ht="15.75" customHeight="1">
      <c r="N484" s="67"/>
      <c r="Q484" s="67"/>
    </row>
    <row r="485" ht="15.75" customHeight="1">
      <c r="N485" s="67"/>
      <c r="Q485" s="67"/>
    </row>
    <row r="486" ht="15.75" customHeight="1">
      <c r="N486" s="67"/>
      <c r="Q486" s="67"/>
    </row>
    <row r="487" ht="15.75" customHeight="1">
      <c r="N487" s="67"/>
      <c r="Q487" s="67"/>
    </row>
    <row r="488" ht="15.75" customHeight="1">
      <c r="N488" s="67"/>
      <c r="Q488" s="67"/>
    </row>
    <row r="489" ht="15.75" customHeight="1">
      <c r="N489" s="67"/>
      <c r="Q489" s="67"/>
    </row>
    <row r="490" ht="15.75" customHeight="1">
      <c r="N490" s="67"/>
      <c r="Q490" s="67"/>
    </row>
    <row r="491" ht="15.75" customHeight="1">
      <c r="N491" s="67"/>
      <c r="Q491" s="67"/>
    </row>
    <row r="492" ht="15.75" customHeight="1">
      <c r="N492" s="67"/>
      <c r="Q492" s="67"/>
    </row>
    <row r="493" ht="15.75" customHeight="1">
      <c r="N493" s="67"/>
      <c r="Q493" s="67"/>
    </row>
    <row r="494" ht="15.75" customHeight="1">
      <c r="N494" s="67"/>
      <c r="Q494" s="67"/>
    </row>
    <row r="495" ht="15.75" customHeight="1">
      <c r="N495" s="67"/>
      <c r="Q495" s="67"/>
    </row>
    <row r="496" ht="15.75" customHeight="1">
      <c r="N496" s="67"/>
      <c r="Q496" s="67"/>
    </row>
    <row r="497" ht="15.75" customHeight="1">
      <c r="N497" s="67"/>
      <c r="Q497" s="67"/>
    </row>
    <row r="498" ht="15.75" customHeight="1">
      <c r="N498" s="67"/>
      <c r="Q498" s="67"/>
    </row>
    <row r="499" ht="15.75" customHeight="1">
      <c r="N499" s="67"/>
      <c r="Q499" s="67"/>
    </row>
    <row r="500" ht="15.75" customHeight="1">
      <c r="N500" s="67"/>
      <c r="Q500" s="67"/>
    </row>
    <row r="501" ht="15.75" customHeight="1">
      <c r="N501" s="67"/>
      <c r="Q501" s="67"/>
    </row>
    <row r="502" ht="15.75" customHeight="1">
      <c r="N502" s="67"/>
      <c r="Q502" s="67"/>
    </row>
    <row r="503" ht="15.75" customHeight="1">
      <c r="N503" s="67"/>
      <c r="Q503" s="67"/>
    </row>
    <row r="504" ht="15.75" customHeight="1">
      <c r="N504" s="67"/>
      <c r="Q504" s="67"/>
    </row>
    <row r="505" ht="15.75" customHeight="1">
      <c r="N505" s="67"/>
      <c r="Q505" s="67"/>
    </row>
    <row r="506" ht="15.75" customHeight="1">
      <c r="N506" s="67"/>
      <c r="Q506" s="67"/>
    </row>
    <row r="507" ht="15.75" customHeight="1">
      <c r="N507" s="67"/>
      <c r="Q507" s="67"/>
    </row>
    <row r="508" ht="15.75" customHeight="1">
      <c r="N508" s="67"/>
      <c r="Q508" s="67"/>
    </row>
    <row r="509" ht="15.75" customHeight="1">
      <c r="N509" s="67"/>
      <c r="Q509" s="67"/>
    </row>
    <row r="510" ht="15.75" customHeight="1">
      <c r="N510" s="67"/>
      <c r="Q510" s="67"/>
    </row>
    <row r="511" ht="15.75" customHeight="1">
      <c r="N511" s="67"/>
      <c r="Q511" s="67"/>
    </row>
    <row r="512" ht="15.75" customHeight="1">
      <c r="N512" s="67"/>
      <c r="Q512" s="67"/>
    </row>
    <row r="513" ht="15.75" customHeight="1">
      <c r="N513" s="67"/>
      <c r="Q513" s="67"/>
    </row>
    <row r="514" ht="15.75" customHeight="1">
      <c r="N514" s="67"/>
      <c r="Q514" s="67"/>
    </row>
    <row r="515" ht="15.75" customHeight="1">
      <c r="N515" s="67"/>
      <c r="Q515" s="67"/>
    </row>
    <row r="516" ht="15.75" customHeight="1">
      <c r="N516" s="67"/>
      <c r="Q516" s="67"/>
    </row>
    <row r="517" ht="15.75" customHeight="1">
      <c r="N517" s="67"/>
      <c r="Q517" s="67"/>
    </row>
    <row r="518" ht="15.75" customHeight="1">
      <c r="N518" s="67"/>
      <c r="Q518" s="67"/>
    </row>
    <row r="519" ht="15.75" customHeight="1">
      <c r="N519" s="67"/>
      <c r="Q519" s="67"/>
    </row>
    <row r="520" ht="15.75" customHeight="1">
      <c r="N520" s="67"/>
      <c r="Q520" s="67"/>
    </row>
    <row r="521" ht="15.75" customHeight="1">
      <c r="N521" s="67"/>
      <c r="Q521" s="67"/>
    </row>
    <row r="522" ht="15.75" customHeight="1">
      <c r="N522" s="67"/>
      <c r="Q522" s="67"/>
    </row>
    <row r="523" ht="15.75" customHeight="1">
      <c r="N523" s="67"/>
      <c r="Q523" s="67"/>
    </row>
    <row r="524" ht="15.75" customHeight="1">
      <c r="N524" s="67"/>
      <c r="Q524" s="67"/>
    </row>
    <row r="525" ht="15.75" customHeight="1">
      <c r="N525" s="67"/>
      <c r="Q525" s="67"/>
    </row>
    <row r="526" ht="15.75" customHeight="1">
      <c r="N526" s="67"/>
      <c r="Q526" s="67"/>
    </row>
    <row r="527" ht="15.75" customHeight="1">
      <c r="N527" s="67"/>
      <c r="Q527" s="67"/>
    </row>
    <row r="528" ht="15.75" customHeight="1">
      <c r="N528" s="67"/>
      <c r="Q528" s="67"/>
    </row>
    <row r="529" ht="15.75" customHeight="1">
      <c r="N529" s="67"/>
      <c r="Q529" s="67"/>
    </row>
    <row r="530" ht="15.75" customHeight="1">
      <c r="N530" s="67"/>
      <c r="Q530" s="67"/>
    </row>
    <row r="531" ht="15.75" customHeight="1">
      <c r="N531" s="67"/>
      <c r="Q531" s="67"/>
    </row>
    <row r="532" ht="15.75" customHeight="1">
      <c r="N532" s="67"/>
      <c r="Q532" s="67"/>
    </row>
    <row r="533" ht="15.75" customHeight="1">
      <c r="N533" s="67"/>
      <c r="Q533" s="67"/>
    </row>
    <row r="534" ht="15.75" customHeight="1">
      <c r="N534" s="67"/>
      <c r="Q534" s="67"/>
    </row>
    <row r="535" ht="15.75" customHeight="1">
      <c r="N535" s="67"/>
      <c r="Q535" s="67"/>
    </row>
    <row r="536" ht="15.75" customHeight="1">
      <c r="N536" s="67"/>
      <c r="Q536" s="67"/>
    </row>
    <row r="537" ht="15.75" customHeight="1">
      <c r="N537" s="67"/>
      <c r="Q537" s="67"/>
    </row>
    <row r="538" ht="15.75" customHeight="1">
      <c r="N538" s="67"/>
      <c r="Q538" s="67"/>
    </row>
    <row r="539" ht="15.75" customHeight="1">
      <c r="N539" s="67"/>
      <c r="Q539" s="67"/>
    </row>
    <row r="540" ht="15.75" customHeight="1">
      <c r="N540" s="67"/>
      <c r="Q540" s="67"/>
    </row>
    <row r="541" ht="15.75" customHeight="1">
      <c r="N541" s="67"/>
      <c r="Q541" s="67"/>
    </row>
    <row r="542" ht="15.75" customHeight="1">
      <c r="N542" s="67"/>
      <c r="Q542" s="67"/>
    </row>
    <row r="543" ht="15.75" customHeight="1">
      <c r="N543" s="67"/>
      <c r="Q543" s="67"/>
    </row>
    <row r="544" ht="15.75" customHeight="1">
      <c r="N544" s="67"/>
      <c r="Q544" s="67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4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15.63"/>
    <col customWidth="1" min="4" max="4" width="17.13"/>
    <col customWidth="1" min="5" max="6" width="13.0"/>
    <col customWidth="1" min="7" max="10" width="14.0"/>
    <col customWidth="1" min="11" max="26" width="12.5"/>
  </cols>
  <sheetData>
    <row r="1" ht="69.0" customHeight="1">
      <c r="A1" s="68" t="s">
        <v>106</v>
      </c>
      <c r="B1" s="68" t="s">
        <v>1</v>
      </c>
      <c r="C1" s="69" t="s">
        <v>389</v>
      </c>
      <c r="D1" s="69" t="s">
        <v>390</v>
      </c>
      <c r="E1" s="68" t="s">
        <v>391</v>
      </c>
      <c r="F1" s="68" t="s">
        <v>392</v>
      </c>
      <c r="G1" s="68" t="s">
        <v>393</v>
      </c>
      <c r="H1" s="68" t="s">
        <v>394</v>
      </c>
      <c r="I1" s="68" t="s">
        <v>395</v>
      </c>
      <c r="J1" s="68" t="s">
        <v>394</v>
      </c>
      <c r="K1" s="70"/>
      <c r="L1" s="21" t="s">
        <v>106</v>
      </c>
      <c r="M1" s="21" t="s">
        <v>107</v>
      </c>
      <c r="N1" s="2" t="s">
        <v>396</v>
      </c>
      <c r="O1" s="2" t="s">
        <v>397</v>
      </c>
      <c r="P1" s="70"/>
      <c r="Q1" s="70"/>
      <c r="R1" s="70"/>
      <c r="S1" s="70"/>
      <c r="T1" s="70"/>
      <c r="U1" s="70"/>
      <c r="V1" s="70"/>
    </row>
    <row r="2" ht="15.75" customHeight="1">
      <c r="A2" s="7">
        <v>10101.0</v>
      </c>
      <c r="B2" s="7" t="s">
        <v>6</v>
      </c>
      <c r="C2" s="71">
        <v>3995786.4</v>
      </c>
      <c r="D2" s="71">
        <v>4203191.3</v>
      </c>
      <c r="E2" s="71">
        <v>264549.0</v>
      </c>
      <c r="F2" s="71">
        <v>296746.0</v>
      </c>
      <c r="G2" s="72">
        <v>1.062164235E7</v>
      </c>
      <c r="H2" s="72">
        <v>1.19143519E7</v>
      </c>
      <c r="I2" s="72">
        <f t="shared" ref="I2:J2" si="1">G2-C2</f>
        <v>6625855.95</v>
      </c>
      <c r="J2" s="72">
        <f t="shared" si="1"/>
        <v>7711160.6</v>
      </c>
      <c r="L2" s="6">
        <v>1.0</v>
      </c>
      <c r="M2" s="7" t="s">
        <v>109</v>
      </c>
      <c r="N2" s="8">
        <f t="shared" ref="N2:O2" si="2">SUM(I2:I30)</f>
        <v>13968552.28</v>
      </c>
      <c r="O2" s="8">
        <f t="shared" si="2"/>
        <v>14754529.1</v>
      </c>
    </row>
    <row r="3" ht="15.75" customHeight="1">
      <c r="A3" s="7">
        <v>10102.0</v>
      </c>
      <c r="B3" s="7" t="s">
        <v>8</v>
      </c>
      <c r="C3" s="71">
        <v>0.0</v>
      </c>
      <c r="D3" s="71">
        <v>0.0</v>
      </c>
      <c r="E3" s="71">
        <v>9443.916666666666</v>
      </c>
      <c r="F3" s="71">
        <v>9256.0</v>
      </c>
      <c r="G3" s="72">
        <v>189586.6270833333</v>
      </c>
      <c r="H3" s="72">
        <v>185814.19999999998</v>
      </c>
      <c r="I3" s="72">
        <f t="shared" ref="I3:J3" si="3">G3-C3</f>
        <v>189586.6271</v>
      </c>
      <c r="J3" s="72">
        <f t="shared" si="3"/>
        <v>185814.2</v>
      </c>
      <c r="L3" s="6">
        <v>2.0</v>
      </c>
      <c r="M3" s="7" t="s">
        <v>111</v>
      </c>
      <c r="N3" s="71">
        <f t="shared" ref="N3:O3" si="4">SUM(I31:I117)</f>
        <v>82840742.04</v>
      </c>
      <c r="O3" s="71">
        <f t="shared" si="4"/>
        <v>82038525.5</v>
      </c>
    </row>
    <row r="4" ht="15.75" customHeight="1">
      <c r="A4" s="7">
        <v>10103.0</v>
      </c>
      <c r="B4" s="7" t="s">
        <v>17</v>
      </c>
      <c r="C4" s="71">
        <v>0.0</v>
      </c>
      <c r="D4" s="71">
        <v>0.0</v>
      </c>
      <c r="E4" s="71">
        <v>16291.75</v>
      </c>
      <c r="F4" s="71">
        <v>13649.0</v>
      </c>
      <c r="G4" s="72">
        <v>386521.76875000005</v>
      </c>
      <c r="H4" s="72">
        <v>323822.525</v>
      </c>
      <c r="I4" s="72">
        <f t="shared" ref="I4:J4" si="5">G4-C4</f>
        <v>386521.7688</v>
      </c>
      <c r="J4" s="72">
        <f t="shared" si="5"/>
        <v>323822.525</v>
      </c>
      <c r="L4" s="6">
        <v>3.0</v>
      </c>
      <c r="M4" s="7" t="s">
        <v>113</v>
      </c>
      <c r="N4" s="8">
        <f t="shared" ref="N4:O4" si="6">SUM(I118:I165)</f>
        <v>46323134.55</v>
      </c>
      <c r="O4" s="8">
        <f t="shared" si="6"/>
        <v>60264074.63</v>
      </c>
    </row>
    <row r="5" ht="15.75" customHeight="1">
      <c r="A5" s="7">
        <v>10201.0</v>
      </c>
      <c r="B5" s="7" t="s">
        <v>19</v>
      </c>
      <c r="C5" s="71">
        <v>0.0</v>
      </c>
      <c r="D5" s="71">
        <v>0.0</v>
      </c>
      <c r="E5" s="71">
        <v>10422.916666666666</v>
      </c>
      <c r="F5" s="71">
        <v>7903.0</v>
      </c>
      <c r="G5" s="72">
        <v>247283.6979166667</v>
      </c>
      <c r="H5" s="72">
        <v>158652.725</v>
      </c>
      <c r="I5" s="72">
        <f t="shared" ref="I5:J5" si="7">G5-C5</f>
        <v>247283.6979</v>
      </c>
      <c r="J5" s="72">
        <f t="shared" si="7"/>
        <v>158652.725</v>
      </c>
      <c r="L5" s="6">
        <v>4.0</v>
      </c>
      <c r="M5" s="7" t="s">
        <v>115</v>
      </c>
      <c r="N5" s="71">
        <f t="shared" ref="N5:O5" si="8">SUM(I166:I200)</f>
        <v>15875573.1</v>
      </c>
      <c r="O5" s="71">
        <f t="shared" si="8"/>
        <v>17602478.7</v>
      </c>
    </row>
    <row r="6" ht="15.75" customHeight="1">
      <c r="A6" s="7">
        <v>10202.0</v>
      </c>
      <c r="B6" s="7" t="s">
        <v>21</v>
      </c>
      <c r="C6" s="71">
        <v>0.0</v>
      </c>
      <c r="D6" s="71">
        <v>0.0</v>
      </c>
      <c r="E6" s="71">
        <v>14473.583333333334</v>
      </c>
      <c r="F6" s="71">
        <v>16812.0</v>
      </c>
      <c r="G6" s="72">
        <v>343385.7645833334</v>
      </c>
      <c r="H6" s="72">
        <v>398864.7</v>
      </c>
      <c r="I6" s="72">
        <f t="shared" ref="I6:J6" si="9">G6-C6</f>
        <v>343385.7646</v>
      </c>
      <c r="J6" s="72">
        <f t="shared" si="9"/>
        <v>398864.7</v>
      </c>
      <c r="L6" s="6">
        <v>5.0</v>
      </c>
      <c r="M6" s="7" t="s">
        <v>117</v>
      </c>
      <c r="N6" s="71">
        <f t="shared" ref="N6:O6" si="10">SUM(I201:I242)</f>
        <v>24212660.68</v>
      </c>
      <c r="O6" s="71">
        <f t="shared" si="10"/>
        <v>25149018.31</v>
      </c>
    </row>
    <row r="7" ht="15.75" customHeight="1">
      <c r="A7" s="7">
        <v>10301.0</v>
      </c>
      <c r="B7" s="7" t="s">
        <v>23</v>
      </c>
      <c r="C7" s="71">
        <v>0.0</v>
      </c>
      <c r="D7" s="71">
        <v>0.0</v>
      </c>
      <c r="E7" s="71">
        <v>11556.333333333334</v>
      </c>
      <c r="F7" s="71">
        <v>13694.0</v>
      </c>
      <c r="G7" s="72">
        <v>274174.00833333336</v>
      </c>
      <c r="H7" s="72">
        <v>324890.15</v>
      </c>
      <c r="I7" s="72">
        <f t="shared" ref="I7:J7" si="11">G7-C7</f>
        <v>274174.0083</v>
      </c>
      <c r="J7" s="72">
        <f t="shared" si="11"/>
        <v>324890.15</v>
      </c>
      <c r="L7" s="6">
        <v>6.0</v>
      </c>
      <c r="M7" s="7" t="s">
        <v>119</v>
      </c>
      <c r="N7" s="8">
        <f t="shared" ref="N7:O7" si="12">SUM(I243:I253)</f>
        <v>5830416.513</v>
      </c>
      <c r="O7" s="8">
        <f t="shared" si="12"/>
        <v>3978790.1</v>
      </c>
    </row>
    <row r="8" ht="15.75" customHeight="1">
      <c r="A8" s="7">
        <v>10302.0</v>
      </c>
      <c r="B8" s="7" t="s">
        <v>25</v>
      </c>
      <c r="C8" s="71">
        <v>0.0</v>
      </c>
      <c r="D8" s="71">
        <v>0.0</v>
      </c>
      <c r="E8" s="71">
        <v>12397.833333333334</v>
      </c>
      <c r="F8" s="71">
        <v>12539.0</v>
      </c>
      <c r="G8" s="72">
        <v>294138.5958333334</v>
      </c>
      <c r="H8" s="72">
        <v>297487.775</v>
      </c>
      <c r="I8" s="72">
        <f t="shared" ref="I8:J8" si="13">G8-C8</f>
        <v>294138.5958</v>
      </c>
      <c r="J8" s="72">
        <f t="shared" si="13"/>
        <v>297487.775</v>
      </c>
      <c r="L8" s="6">
        <v>7.0</v>
      </c>
      <c r="M8" s="7" t="s">
        <v>121</v>
      </c>
      <c r="N8" s="8">
        <f t="shared" ref="N8:O8" si="14">SUM(I254:I309)</f>
        <v>40540858.35</v>
      </c>
      <c r="O8" s="8">
        <f t="shared" si="14"/>
        <v>32413470.96</v>
      </c>
    </row>
    <row r="9" ht="15.75" customHeight="1">
      <c r="A9" s="7">
        <v>10303.0</v>
      </c>
      <c r="B9" s="7" t="s">
        <v>27</v>
      </c>
      <c r="C9" s="71">
        <v>0.0</v>
      </c>
      <c r="D9" s="71">
        <v>0.0</v>
      </c>
      <c r="E9" s="71">
        <v>8150.25</v>
      </c>
      <c r="F9" s="71">
        <v>9055.0</v>
      </c>
      <c r="G9" s="72">
        <v>163616.26875000002</v>
      </c>
      <c r="H9" s="72">
        <v>181779.125</v>
      </c>
      <c r="I9" s="72">
        <f t="shared" ref="I9:J9" si="15">G9-C9</f>
        <v>163616.2688</v>
      </c>
      <c r="J9" s="72">
        <f t="shared" si="15"/>
        <v>181779.125</v>
      </c>
      <c r="L9" s="6">
        <v>8.0</v>
      </c>
      <c r="M9" s="7" t="s">
        <v>123</v>
      </c>
      <c r="N9" s="8">
        <f t="shared" ref="N9:O9" si="16">SUM(I310:I329)</f>
        <v>10828390.74</v>
      </c>
      <c r="O9" s="8">
        <f t="shared" si="16"/>
        <v>13462365.4</v>
      </c>
    </row>
    <row r="10" ht="15.75" customHeight="1">
      <c r="A10" s="7">
        <v>10304.0</v>
      </c>
      <c r="B10" s="7" t="s">
        <v>28</v>
      </c>
      <c r="C10" s="71">
        <v>0.0</v>
      </c>
      <c r="D10" s="71">
        <v>0.0</v>
      </c>
      <c r="E10" s="71">
        <v>7889.083333333333</v>
      </c>
      <c r="F10" s="71">
        <v>9155.0</v>
      </c>
      <c r="G10" s="72">
        <v>158373.34791666668</v>
      </c>
      <c r="H10" s="72">
        <v>183786.625</v>
      </c>
      <c r="I10" s="72">
        <f t="shared" ref="I10:J10" si="17">G10-C10</f>
        <v>158373.3479</v>
      </c>
      <c r="J10" s="72">
        <f t="shared" si="17"/>
        <v>183786.625</v>
      </c>
      <c r="L10" s="6">
        <v>9.0</v>
      </c>
      <c r="M10" s="7" t="s">
        <v>125</v>
      </c>
      <c r="N10" s="71">
        <f t="shared" ref="N10:O10" si="18">SUM(I330:I344)</f>
        <v>2605349.469</v>
      </c>
      <c r="O10" s="71">
        <f t="shared" si="18"/>
        <v>3799719.35</v>
      </c>
    </row>
    <row r="11" ht="15.75" customHeight="1">
      <c r="A11" s="7">
        <v>10401.0</v>
      </c>
      <c r="B11" s="7" t="s">
        <v>30</v>
      </c>
      <c r="C11" s="71">
        <v>0.0</v>
      </c>
      <c r="D11" s="71">
        <v>0.0</v>
      </c>
      <c r="E11" s="71">
        <v>10283.75</v>
      </c>
      <c r="F11" s="71">
        <v>9192.0</v>
      </c>
      <c r="G11" s="72">
        <v>243981.96875</v>
      </c>
      <c r="H11" s="72">
        <v>184529.4</v>
      </c>
      <c r="I11" s="72">
        <f t="shared" ref="I11:J11" si="19">G11-C11</f>
        <v>243981.9688</v>
      </c>
      <c r="J11" s="72">
        <f t="shared" si="19"/>
        <v>184529.4</v>
      </c>
      <c r="L11" s="22">
        <v>10.0</v>
      </c>
      <c r="M11" s="23" t="s">
        <v>129</v>
      </c>
      <c r="N11" s="24">
        <f t="shared" ref="N11:O11" si="20">SUM(I246:I248)</f>
        <v>3215980.173</v>
      </c>
      <c r="O11" s="24">
        <f t="shared" si="20"/>
        <v>3457467.975</v>
      </c>
    </row>
    <row r="12" ht="15.75" customHeight="1">
      <c r="A12" s="7">
        <v>10402.0</v>
      </c>
      <c r="B12" s="7" t="s">
        <v>33</v>
      </c>
      <c r="C12" s="71">
        <v>0.0</v>
      </c>
      <c r="D12" s="71">
        <v>0.0</v>
      </c>
      <c r="E12" s="71">
        <v>8495.25</v>
      </c>
      <c r="F12" s="71">
        <v>8509.0</v>
      </c>
      <c r="G12" s="72">
        <v>170542.14375</v>
      </c>
      <c r="H12" s="72">
        <v>170818.175</v>
      </c>
      <c r="I12" s="72">
        <f t="shared" ref="I12:J12" si="21">G12-C12</f>
        <v>170542.1438</v>
      </c>
      <c r="J12" s="72">
        <f t="shared" si="21"/>
        <v>170818.175</v>
      </c>
      <c r="L12" s="6">
        <v>11.0</v>
      </c>
      <c r="M12" s="7" t="s">
        <v>127</v>
      </c>
      <c r="N12" s="25">
        <f t="shared" ref="N12:O12" si="22">SUM(N2:N10)</f>
        <v>243025677.7</v>
      </c>
      <c r="O12" s="25">
        <f t="shared" si="22"/>
        <v>253462972</v>
      </c>
    </row>
    <row r="13" ht="15.75" customHeight="1">
      <c r="A13" s="7">
        <v>10403.0</v>
      </c>
      <c r="B13" s="7" t="s">
        <v>34</v>
      </c>
      <c r="C13" s="71">
        <v>0.0</v>
      </c>
      <c r="D13" s="71">
        <v>0.0</v>
      </c>
      <c r="E13" s="71">
        <v>7281.166666666667</v>
      </c>
      <c r="F13" s="71">
        <v>6942.0</v>
      </c>
      <c r="G13" s="72">
        <v>146169.42083333334</v>
      </c>
      <c r="H13" s="72">
        <v>139360.65</v>
      </c>
      <c r="I13" s="72">
        <f t="shared" ref="I13:J13" si="23">G13-C13</f>
        <v>146169.4208</v>
      </c>
      <c r="J13" s="72">
        <f t="shared" si="23"/>
        <v>139360.65</v>
      </c>
    </row>
    <row r="14" ht="15.75" customHeight="1">
      <c r="A14" s="7">
        <v>10404.0</v>
      </c>
      <c r="B14" s="7" t="s">
        <v>35</v>
      </c>
      <c r="C14" s="71">
        <v>0.0</v>
      </c>
      <c r="D14" s="71">
        <v>0.0</v>
      </c>
      <c r="E14" s="71">
        <v>4807.5</v>
      </c>
      <c r="F14" s="71">
        <v>3768.0</v>
      </c>
      <c r="G14" s="72">
        <v>78963.1875</v>
      </c>
      <c r="H14" s="72">
        <v>61889.4</v>
      </c>
      <c r="I14" s="72">
        <f t="shared" ref="I14:J14" si="24">G14-C14</f>
        <v>78963.1875</v>
      </c>
      <c r="J14" s="72">
        <f t="shared" si="24"/>
        <v>61889.4</v>
      </c>
    </row>
    <row r="15" ht="15.75" customHeight="1">
      <c r="A15" s="7">
        <v>10405.0</v>
      </c>
      <c r="B15" s="7" t="s">
        <v>36</v>
      </c>
      <c r="C15" s="71">
        <v>0.0</v>
      </c>
      <c r="D15" s="71">
        <v>0.0</v>
      </c>
      <c r="E15" s="71">
        <v>4564.083333333333</v>
      </c>
      <c r="F15" s="71">
        <v>5654.0</v>
      </c>
      <c r="G15" s="72">
        <v>74965.06874999999</v>
      </c>
      <c r="H15" s="72">
        <v>113504.05</v>
      </c>
      <c r="I15" s="72">
        <f t="shared" ref="I15:J15" si="25">G15-C15</f>
        <v>74965.06875</v>
      </c>
      <c r="J15" s="72">
        <f t="shared" si="25"/>
        <v>113504.05</v>
      </c>
    </row>
    <row r="16" ht="15.75" customHeight="1">
      <c r="A16" s="7">
        <v>10501.0</v>
      </c>
      <c r="B16" s="7" t="s">
        <v>37</v>
      </c>
      <c r="C16" s="71">
        <v>0.0</v>
      </c>
      <c r="D16" s="71">
        <v>0.0</v>
      </c>
      <c r="E16" s="71">
        <v>24323.25</v>
      </c>
      <c r="F16" s="71">
        <v>24546.0</v>
      </c>
      <c r="G16" s="72">
        <v>577069.10625</v>
      </c>
      <c r="H16" s="72">
        <v>582353.85</v>
      </c>
      <c r="I16" s="72">
        <f t="shared" ref="I16:J16" si="26">G16-C16</f>
        <v>577069.1063</v>
      </c>
      <c r="J16" s="72">
        <f t="shared" si="26"/>
        <v>582353.85</v>
      </c>
    </row>
    <row r="17" ht="15.75" customHeight="1">
      <c r="A17" s="7">
        <v>10502.0</v>
      </c>
      <c r="B17" s="7" t="s">
        <v>38</v>
      </c>
      <c r="C17" s="71">
        <v>0.0</v>
      </c>
      <c r="D17" s="71">
        <v>0.0</v>
      </c>
      <c r="E17" s="71">
        <v>8253.25</v>
      </c>
      <c r="F17" s="71">
        <v>7200.0</v>
      </c>
      <c r="G17" s="72">
        <v>165683.99375</v>
      </c>
      <c r="H17" s="72">
        <v>144540.0</v>
      </c>
      <c r="I17" s="72">
        <f t="shared" ref="I17:J17" si="27">G17-C17</f>
        <v>165683.9938</v>
      </c>
      <c r="J17" s="72">
        <f t="shared" si="27"/>
        <v>144540</v>
      </c>
    </row>
    <row r="18" ht="15.75" customHeight="1">
      <c r="A18" s="7">
        <v>10601.0</v>
      </c>
      <c r="B18" s="7" t="s">
        <v>39</v>
      </c>
      <c r="C18" s="71">
        <v>0.0</v>
      </c>
      <c r="D18" s="71">
        <v>0.0</v>
      </c>
      <c r="E18" s="71">
        <v>16642.25</v>
      </c>
      <c r="F18" s="71">
        <v>13323.0</v>
      </c>
      <c r="G18" s="72">
        <v>394837.38125000003</v>
      </c>
      <c r="H18" s="72">
        <v>316088.175</v>
      </c>
      <c r="I18" s="72">
        <f t="shared" ref="I18:J18" si="28">G18-C18</f>
        <v>394837.3813</v>
      </c>
      <c r="J18" s="72">
        <f t="shared" si="28"/>
        <v>316088.175</v>
      </c>
    </row>
    <row r="19" ht="15.75" customHeight="1">
      <c r="A19" s="7">
        <v>10602.0</v>
      </c>
      <c r="B19" s="7" t="s">
        <v>41</v>
      </c>
      <c r="C19" s="71">
        <v>0.0</v>
      </c>
      <c r="D19" s="71">
        <v>0.0</v>
      </c>
      <c r="E19" s="71">
        <v>9975.083333333334</v>
      </c>
      <c r="F19" s="71">
        <v>8480.0</v>
      </c>
      <c r="G19" s="72">
        <v>200249.79791666666</v>
      </c>
      <c r="H19" s="72">
        <v>170236.0</v>
      </c>
      <c r="I19" s="72">
        <f t="shared" ref="I19:J19" si="29">G19-C19</f>
        <v>200249.7979</v>
      </c>
      <c r="J19" s="72">
        <f t="shared" si="29"/>
        <v>170236</v>
      </c>
    </row>
    <row r="20" ht="15.75" customHeight="1">
      <c r="A20" s="7">
        <v>10701.0</v>
      </c>
      <c r="B20" s="7" t="s">
        <v>42</v>
      </c>
      <c r="C20" s="71">
        <v>0.0</v>
      </c>
      <c r="D20" s="71">
        <v>0.0</v>
      </c>
      <c r="E20" s="71">
        <v>15566.416666666666</v>
      </c>
      <c r="F20" s="71">
        <v>14713.0</v>
      </c>
      <c r="G20" s="72">
        <v>369313.23541666666</v>
      </c>
      <c r="H20" s="72">
        <v>349065.925</v>
      </c>
      <c r="I20" s="72">
        <f t="shared" ref="I20:J20" si="30">G20-C20</f>
        <v>369313.2354</v>
      </c>
      <c r="J20" s="72">
        <f t="shared" si="30"/>
        <v>349065.925</v>
      </c>
    </row>
    <row r="21" ht="15.75" customHeight="1">
      <c r="A21" s="7">
        <v>10702.0</v>
      </c>
      <c r="B21" s="7" t="s">
        <v>43</v>
      </c>
      <c r="C21" s="71">
        <v>0.0</v>
      </c>
      <c r="D21" s="71">
        <v>0.0</v>
      </c>
      <c r="E21" s="71">
        <v>32036.25</v>
      </c>
      <c r="F21" s="71">
        <v>26715.0</v>
      </c>
      <c r="G21" s="72">
        <v>935458.5</v>
      </c>
      <c r="H21" s="72">
        <v>780077.9999999999</v>
      </c>
      <c r="I21" s="72">
        <f t="shared" ref="I21:J21" si="31">G21-C21</f>
        <v>935458.5</v>
      </c>
      <c r="J21" s="72">
        <f t="shared" si="31"/>
        <v>780078</v>
      </c>
    </row>
    <row r="22" ht="15.75" customHeight="1">
      <c r="A22" s="7">
        <v>10703.0</v>
      </c>
      <c r="B22" s="7" t="s">
        <v>44</v>
      </c>
      <c r="C22" s="71">
        <v>0.0</v>
      </c>
      <c r="D22" s="71">
        <v>0.0</v>
      </c>
      <c r="E22" s="71">
        <v>13341.666666666666</v>
      </c>
      <c r="F22" s="71">
        <v>16484.0</v>
      </c>
      <c r="G22" s="72">
        <v>316531.0416666667</v>
      </c>
      <c r="H22" s="72">
        <v>391082.9</v>
      </c>
      <c r="I22" s="72">
        <f t="shared" ref="I22:J22" si="32">G22-C22</f>
        <v>316531.0417</v>
      </c>
      <c r="J22" s="72">
        <f t="shared" si="32"/>
        <v>391082.9</v>
      </c>
    </row>
    <row r="23" ht="15.75" customHeight="1">
      <c r="A23" s="7">
        <v>10704.0</v>
      </c>
      <c r="B23" s="7" t="s">
        <v>45</v>
      </c>
      <c r="C23" s="71">
        <v>0.0</v>
      </c>
      <c r="D23" s="71">
        <v>0.0</v>
      </c>
      <c r="E23" s="71">
        <v>15994.333333333334</v>
      </c>
      <c r="F23" s="71">
        <v>14282.0</v>
      </c>
      <c r="G23" s="72">
        <v>379465.55833333335</v>
      </c>
      <c r="H23" s="72">
        <v>338840.45</v>
      </c>
      <c r="I23" s="72">
        <f t="shared" ref="I23:J23" si="33">G23-C23</f>
        <v>379465.5583</v>
      </c>
      <c r="J23" s="72">
        <f t="shared" si="33"/>
        <v>338840.45</v>
      </c>
    </row>
    <row r="24" ht="15.75" customHeight="1">
      <c r="A24" s="7">
        <v>10801.0</v>
      </c>
      <c r="B24" s="7" t="s">
        <v>46</v>
      </c>
      <c r="C24" s="71">
        <v>0.0</v>
      </c>
      <c r="D24" s="71">
        <v>0.0</v>
      </c>
      <c r="E24" s="71">
        <v>10989.833333333334</v>
      </c>
      <c r="F24" s="71">
        <v>9107.0</v>
      </c>
      <c r="G24" s="72">
        <v>260733.79583333337</v>
      </c>
      <c r="H24" s="72">
        <v>182823.025</v>
      </c>
      <c r="I24" s="72">
        <f t="shared" ref="I24:J24" si="34">G24-C24</f>
        <v>260733.7958</v>
      </c>
      <c r="J24" s="72">
        <f t="shared" si="34"/>
        <v>182823.025</v>
      </c>
    </row>
    <row r="25" ht="15.75" customHeight="1">
      <c r="A25" s="7">
        <v>10901.0</v>
      </c>
      <c r="B25" s="7" t="s">
        <v>47</v>
      </c>
      <c r="C25" s="71">
        <v>0.0</v>
      </c>
      <c r="D25" s="71">
        <v>0.0</v>
      </c>
      <c r="E25" s="71">
        <v>3669.0833333333335</v>
      </c>
      <c r="F25" s="71">
        <v>5375.0</v>
      </c>
      <c r="G25" s="72">
        <v>60264.693750000006</v>
      </c>
      <c r="H25" s="72">
        <v>107903.125</v>
      </c>
      <c r="I25" s="72">
        <f t="shared" ref="I25:J25" si="35">G25-C25</f>
        <v>60264.69375</v>
      </c>
      <c r="J25" s="72">
        <f t="shared" si="35"/>
        <v>107903.125</v>
      </c>
    </row>
    <row r="26" ht="15.75" customHeight="1">
      <c r="A26" s="7">
        <v>10902.0</v>
      </c>
      <c r="B26" s="7" t="s">
        <v>48</v>
      </c>
      <c r="C26" s="71">
        <v>0.0</v>
      </c>
      <c r="D26" s="71">
        <v>0.0</v>
      </c>
      <c r="E26" s="71">
        <v>17490.75</v>
      </c>
      <c r="F26" s="71">
        <v>14848.0</v>
      </c>
      <c r="G26" s="72">
        <v>414968.04375</v>
      </c>
      <c r="H26" s="72">
        <v>352268.8</v>
      </c>
      <c r="I26" s="72">
        <f t="shared" ref="I26:J26" si="36">G26-C26</f>
        <v>414968.0438</v>
      </c>
      <c r="J26" s="72">
        <f t="shared" si="36"/>
        <v>352268.8</v>
      </c>
    </row>
    <row r="27" ht="15.75" customHeight="1">
      <c r="A27" s="7">
        <v>10903.0</v>
      </c>
      <c r="B27" s="7" t="s">
        <v>49</v>
      </c>
      <c r="C27" s="71">
        <v>0.0</v>
      </c>
      <c r="D27" s="71">
        <v>0.0</v>
      </c>
      <c r="E27" s="71">
        <v>4165.333333333333</v>
      </c>
      <c r="F27" s="71">
        <v>5016.0</v>
      </c>
      <c r="G27" s="72">
        <v>68415.59999999999</v>
      </c>
      <c r="H27" s="72">
        <v>100696.2</v>
      </c>
      <c r="I27" s="72">
        <f t="shared" ref="I27:J27" si="37">G27-C27</f>
        <v>68415.6</v>
      </c>
      <c r="J27" s="72">
        <f t="shared" si="37"/>
        <v>100696.2</v>
      </c>
    </row>
    <row r="28" ht="15.75" customHeight="1">
      <c r="A28" s="7">
        <v>11001.0</v>
      </c>
      <c r="B28" s="7" t="s">
        <v>50</v>
      </c>
      <c r="C28" s="71">
        <v>0.0</v>
      </c>
      <c r="D28" s="71">
        <v>0.0</v>
      </c>
      <c r="E28" s="71">
        <v>10016.833333333334</v>
      </c>
      <c r="F28" s="71">
        <v>13282.0</v>
      </c>
      <c r="G28" s="72">
        <v>237649.37083333338</v>
      </c>
      <c r="H28" s="72">
        <v>315115.45</v>
      </c>
      <c r="I28" s="72">
        <f t="shared" ref="I28:J28" si="38">G28-C28</f>
        <v>237649.3708</v>
      </c>
      <c r="J28" s="72">
        <f t="shared" si="38"/>
        <v>315115.45</v>
      </c>
    </row>
    <row r="29" ht="15.75" customHeight="1">
      <c r="A29" s="7">
        <v>11002.0</v>
      </c>
      <c r="B29" s="7" t="s">
        <v>51</v>
      </c>
      <c r="C29" s="71">
        <v>0.0</v>
      </c>
      <c r="D29" s="71">
        <v>0.0</v>
      </c>
      <c r="E29" s="71">
        <v>2541.5</v>
      </c>
      <c r="F29" s="71">
        <v>2547.0</v>
      </c>
      <c r="G29" s="72">
        <v>41744.1375</v>
      </c>
      <c r="H29" s="72">
        <v>41834.475</v>
      </c>
      <c r="I29" s="72">
        <f t="shared" ref="I29:J29" si="39">G29-C29</f>
        <v>41744.1375</v>
      </c>
      <c r="J29" s="72">
        <f t="shared" si="39"/>
        <v>41834.475</v>
      </c>
    </row>
    <row r="30" ht="15.75" customHeight="1">
      <c r="A30" s="7">
        <v>11003.0</v>
      </c>
      <c r="B30" s="7" t="s">
        <v>55</v>
      </c>
      <c r="C30" s="71">
        <v>0.0</v>
      </c>
      <c r="D30" s="71">
        <v>0.0</v>
      </c>
      <c r="E30" s="71">
        <v>7402.75</v>
      </c>
      <c r="F30" s="71">
        <v>7235.0</v>
      </c>
      <c r="G30" s="72">
        <v>148610.20625</v>
      </c>
      <c r="H30" s="72">
        <v>145242.625</v>
      </c>
      <c r="I30" s="72">
        <f t="shared" ref="I30:J30" si="40">G30-C30</f>
        <v>148610.2063</v>
      </c>
      <c r="J30" s="72">
        <f t="shared" si="40"/>
        <v>145242.625</v>
      </c>
    </row>
    <row r="31" ht="15.75" customHeight="1">
      <c r="A31" s="7">
        <v>20101.0</v>
      </c>
      <c r="B31" s="7" t="s">
        <v>56</v>
      </c>
      <c r="C31" s="71">
        <v>0.0</v>
      </c>
      <c r="D31" s="71">
        <v>0.0</v>
      </c>
      <c r="E31" s="71">
        <v>765714.9166666666</v>
      </c>
      <c r="F31" s="71">
        <v>757431.0</v>
      </c>
      <c r="G31" s="72">
        <v>3.0743453904166665E7</v>
      </c>
      <c r="H31" s="72">
        <v>3.0410854650000002E7</v>
      </c>
      <c r="I31" s="72">
        <f t="shared" ref="I31:J31" si="41">G31-C31</f>
        <v>30743453.9</v>
      </c>
      <c r="J31" s="72">
        <f t="shared" si="41"/>
        <v>30410854.65</v>
      </c>
    </row>
    <row r="32" ht="15.75" customHeight="1">
      <c r="A32" s="7">
        <v>20102.0</v>
      </c>
      <c r="B32" s="7" t="s">
        <v>57</v>
      </c>
      <c r="C32" s="71">
        <v>0.0</v>
      </c>
      <c r="D32" s="71">
        <v>0.0</v>
      </c>
      <c r="E32" s="71">
        <v>17047.583333333332</v>
      </c>
      <c r="F32" s="71">
        <v>21729.0</v>
      </c>
      <c r="G32" s="72">
        <v>404453.91458333336</v>
      </c>
      <c r="H32" s="72">
        <v>515520.525</v>
      </c>
      <c r="I32" s="72">
        <f t="shared" ref="I32:J32" si="42">G32-C32</f>
        <v>404453.9146</v>
      </c>
      <c r="J32" s="72">
        <f t="shared" si="42"/>
        <v>515520.525</v>
      </c>
    </row>
    <row r="33" ht="15.75" customHeight="1">
      <c r="A33" s="7">
        <v>20103.0</v>
      </c>
      <c r="B33" s="7" t="s">
        <v>58</v>
      </c>
      <c r="C33" s="71">
        <v>0.0</v>
      </c>
      <c r="D33" s="71">
        <v>0.0</v>
      </c>
      <c r="E33" s="71">
        <v>16218.333333333334</v>
      </c>
      <c r="F33" s="71">
        <v>20446.0</v>
      </c>
      <c r="G33" s="72">
        <v>384779.9583333334</v>
      </c>
      <c r="H33" s="72">
        <v>485081.35</v>
      </c>
      <c r="I33" s="72">
        <f t="shared" ref="I33:J33" si="43">G33-C33</f>
        <v>384779.9583</v>
      </c>
      <c r="J33" s="72">
        <f t="shared" si="43"/>
        <v>485081.35</v>
      </c>
    </row>
    <row r="34" ht="15.75" customHeight="1">
      <c r="A34" s="7">
        <v>20104.0</v>
      </c>
      <c r="B34" s="7" t="s">
        <v>59</v>
      </c>
      <c r="C34" s="71">
        <v>0.0</v>
      </c>
      <c r="D34" s="71">
        <v>0.0</v>
      </c>
      <c r="E34" s="71">
        <v>24410.75</v>
      </c>
      <c r="F34" s="71">
        <v>46188.0</v>
      </c>
      <c r="G34" s="72">
        <v>579145.04375</v>
      </c>
      <c r="H34" s="72">
        <v>1348689.6</v>
      </c>
      <c r="I34" s="72">
        <f t="shared" ref="I34:J34" si="44">G34-C34</f>
        <v>579145.0438</v>
      </c>
      <c r="J34" s="72">
        <f t="shared" si="44"/>
        <v>1348689.6</v>
      </c>
    </row>
    <row r="35" ht="15.75" customHeight="1">
      <c r="A35" s="7">
        <v>20105.0</v>
      </c>
      <c r="B35" s="7" t="s">
        <v>60</v>
      </c>
      <c r="C35" s="71">
        <v>1.0911456E7</v>
      </c>
      <c r="D35" s="71">
        <v>1.965129178E7</v>
      </c>
      <c r="E35" s="71">
        <v>851566.4166666666</v>
      </c>
      <c r="F35" s="71">
        <v>885825.0</v>
      </c>
      <c r="G35" s="72">
        <v>3.419039162916666E7</v>
      </c>
      <c r="H35" s="72">
        <v>3.556587375E7</v>
      </c>
      <c r="I35" s="72">
        <f t="shared" ref="I35:J35" si="45">G35-C35</f>
        <v>23278935.63</v>
      </c>
      <c r="J35" s="72">
        <f t="shared" si="45"/>
        <v>15914581.97</v>
      </c>
    </row>
    <row r="36" ht="15.75" customHeight="1">
      <c r="A36" s="7">
        <v>20201.0</v>
      </c>
      <c r="B36" s="7" t="s">
        <v>61</v>
      </c>
      <c r="C36" s="71">
        <v>0.0</v>
      </c>
      <c r="D36" s="71">
        <v>0.0</v>
      </c>
      <c r="E36" s="71">
        <v>46157.916666666664</v>
      </c>
      <c r="F36" s="71">
        <v>47257.0</v>
      </c>
      <c r="G36" s="72">
        <v>1347811.1666666665</v>
      </c>
      <c r="H36" s="72">
        <v>1379904.4</v>
      </c>
      <c r="I36" s="72">
        <f t="shared" ref="I36:J36" si="46">G36-C36</f>
        <v>1347811.167</v>
      </c>
      <c r="J36" s="72">
        <f t="shared" si="46"/>
        <v>1379904.4</v>
      </c>
    </row>
    <row r="37" ht="15.75" customHeight="1">
      <c r="A37" s="7">
        <v>20202.0</v>
      </c>
      <c r="B37" s="7" t="s">
        <v>62</v>
      </c>
      <c r="C37" s="71">
        <v>0.0</v>
      </c>
      <c r="D37" s="71">
        <v>0.0</v>
      </c>
      <c r="E37" s="71">
        <v>13454.083333333334</v>
      </c>
      <c r="F37" s="71">
        <v>16953.0</v>
      </c>
      <c r="G37" s="72">
        <v>319198.1270833334</v>
      </c>
      <c r="H37" s="72">
        <v>402209.925</v>
      </c>
      <c r="I37" s="72">
        <f t="shared" ref="I37:J37" si="47">G37-C37</f>
        <v>319198.1271</v>
      </c>
      <c r="J37" s="72">
        <f t="shared" si="47"/>
        <v>402209.925</v>
      </c>
    </row>
    <row r="38" ht="15.75" customHeight="1">
      <c r="A38" s="7">
        <v>20203.0</v>
      </c>
      <c r="B38" s="7" t="s">
        <v>66</v>
      </c>
      <c r="C38" s="71">
        <v>0.0</v>
      </c>
      <c r="D38" s="71">
        <v>0.0</v>
      </c>
      <c r="E38" s="71">
        <v>5188.25</v>
      </c>
      <c r="F38" s="71">
        <v>7226.0</v>
      </c>
      <c r="G38" s="72">
        <v>104154.11875</v>
      </c>
      <c r="H38" s="72">
        <v>145061.95</v>
      </c>
      <c r="I38" s="72">
        <f t="shared" ref="I38:J38" si="48">G38-C38</f>
        <v>104154.1188</v>
      </c>
      <c r="J38" s="72">
        <f t="shared" si="48"/>
        <v>145061.95</v>
      </c>
    </row>
    <row r="39" ht="15.75" customHeight="1">
      <c r="A39" s="7">
        <v>20204.0</v>
      </c>
      <c r="B39" s="7" t="s">
        <v>63</v>
      </c>
      <c r="C39" s="71">
        <v>0.0</v>
      </c>
      <c r="D39" s="71">
        <v>0.0</v>
      </c>
      <c r="E39" s="71">
        <v>8008.916666666667</v>
      </c>
      <c r="F39" s="71">
        <v>8679.0</v>
      </c>
      <c r="G39" s="72">
        <v>160779.00208333335</v>
      </c>
      <c r="H39" s="72">
        <v>174230.92500000002</v>
      </c>
      <c r="I39" s="72">
        <f t="shared" ref="I39:J39" si="49">G39-C39</f>
        <v>160779.0021</v>
      </c>
      <c r="J39" s="72">
        <f t="shared" si="49"/>
        <v>174230.925</v>
      </c>
    </row>
    <row r="40" ht="15.75" customHeight="1">
      <c r="A40" s="7">
        <v>20205.0</v>
      </c>
      <c r="B40" s="7" t="s">
        <v>64</v>
      </c>
      <c r="C40" s="71">
        <v>0.0</v>
      </c>
      <c r="D40" s="71">
        <v>0.0</v>
      </c>
      <c r="E40" s="71">
        <v>8622.416666666666</v>
      </c>
      <c r="F40" s="71">
        <v>9287.0</v>
      </c>
      <c r="G40" s="72">
        <v>173095.01458333334</v>
      </c>
      <c r="H40" s="72">
        <v>186436.52500000002</v>
      </c>
      <c r="I40" s="72">
        <f t="shared" ref="I40:J40" si="50">G40-C40</f>
        <v>173095.0146</v>
      </c>
      <c r="J40" s="72">
        <f t="shared" si="50"/>
        <v>186436.525</v>
      </c>
    </row>
    <row r="41" ht="15.75" customHeight="1">
      <c r="A41" s="7">
        <v>20206.0</v>
      </c>
      <c r="B41" s="7" t="s">
        <v>65</v>
      </c>
      <c r="C41" s="71">
        <v>0.0</v>
      </c>
      <c r="D41" s="71">
        <v>0.0</v>
      </c>
      <c r="E41" s="71">
        <v>4026.25</v>
      </c>
      <c r="F41" s="71">
        <v>5118.0</v>
      </c>
      <c r="G41" s="72">
        <v>66131.15625</v>
      </c>
      <c r="H41" s="72">
        <v>102743.85</v>
      </c>
      <c r="I41" s="72">
        <f t="shared" ref="I41:J41" si="51">G41-C41</f>
        <v>66131.15625</v>
      </c>
      <c r="J41" s="72">
        <f t="shared" si="51"/>
        <v>102743.85</v>
      </c>
    </row>
    <row r="42" ht="15.75" customHeight="1">
      <c r="A42" s="7">
        <v>20301.0</v>
      </c>
      <c r="B42" s="7" t="s">
        <v>67</v>
      </c>
      <c r="C42" s="71">
        <v>0.0</v>
      </c>
      <c r="D42" s="71">
        <v>0.0</v>
      </c>
      <c r="E42" s="71">
        <v>10889.0</v>
      </c>
      <c r="F42" s="71">
        <v>13551.0</v>
      </c>
      <c r="G42" s="72">
        <v>258341.525</v>
      </c>
      <c r="H42" s="72">
        <v>321497.47500000003</v>
      </c>
      <c r="I42" s="72">
        <f t="shared" ref="I42:J42" si="52">G42-C42</f>
        <v>258341.525</v>
      </c>
      <c r="J42" s="72">
        <f t="shared" si="52"/>
        <v>321497.475</v>
      </c>
    </row>
    <row r="43" ht="15.75" customHeight="1">
      <c r="A43" s="7">
        <v>20302.0</v>
      </c>
      <c r="B43" s="7" t="s">
        <v>68</v>
      </c>
      <c r="C43" s="71">
        <v>0.0</v>
      </c>
      <c r="D43" s="71">
        <v>0.0</v>
      </c>
      <c r="E43" s="71">
        <v>14760.583333333334</v>
      </c>
      <c r="F43" s="71">
        <v>15570.0</v>
      </c>
      <c r="G43" s="72">
        <v>350194.83958333335</v>
      </c>
      <c r="H43" s="72">
        <v>369398.25</v>
      </c>
      <c r="I43" s="72">
        <f t="shared" ref="I43:J43" si="53">G43-C43</f>
        <v>350194.8396</v>
      </c>
      <c r="J43" s="72">
        <f t="shared" si="53"/>
        <v>369398.25</v>
      </c>
    </row>
    <row r="44" ht="15.75" customHeight="1">
      <c r="A44" s="7">
        <v>20303.0</v>
      </c>
      <c r="B44" s="7" t="s">
        <v>69</v>
      </c>
      <c r="C44" s="71">
        <v>0.0</v>
      </c>
      <c r="D44" s="71">
        <v>0.0</v>
      </c>
      <c r="E44" s="71">
        <v>10074.0</v>
      </c>
      <c r="F44" s="71">
        <v>12219.0</v>
      </c>
      <c r="G44" s="72">
        <v>239005.65000000002</v>
      </c>
      <c r="H44" s="72">
        <v>289895.775</v>
      </c>
      <c r="I44" s="72">
        <f t="shared" ref="I44:J44" si="54">G44-C44</f>
        <v>239005.65</v>
      </c>
      <c r="J44" s="72">
        <f t="shared" si="54"/>
        <v>289895.775</v>
      </c>
    </row>
    <row r="45" ht="15.75" customHeight="1">
      <c r="A45" s="7">
        <v>20304.0</v>
      </c>
      <c r="B45" s="7" t="s">
        <v>71</v>
      </c>
      <c r="C45" s="71">
        <v>0.0</v>
      </c>
      <c r="D45" s="71">
        <v>0.0</v>
      </c>
      <c r="E45" s="71">
        <v>3993.1666666666665</v>
      </c>
      <c r="F45" s="71">
        <v>5238.0</v>
      </c>
      <c r="G45" s="72">
        <v>65587.7625</v>
      </c>
      <c r="H45" s="72">
        <v>105152.84999999999</v>
      </c>
      <c r="I45" s="72">
        <f t="shared" ref="I45:J45" si="55">G45-C45</f>
        <v>65587.7625</v>
      </c>
      <c r="J45" s="72">
        <f t="shared" si="55"/>
        <v>105152.85</v>
      </c>
    </row>
    <row r="46" ht="15.75" customHeight="1">
      <c r="A46" s="7">
        <v>20305.0</v>
      </c>
      <c r="B46" s="7" t="s">
        <v>76</v>
      </c>
      <c r="C46" s="71">
        <v>0.0</v>
      </c>
      <c r="D46" s="71">
        <v>0.0</v>
      </c>
      <c r="E46" s="71">
        <v>3327.25</v>
      </c>
      <c r="F46" s="71">
        <v>4221.0</v>
      </c>
      <c r="G46" s="72">
        <v>54650.081249999996</v>
      </c>
      <c r="H46" s="72">
        <v>69329.925</v>
      </c>
      <c r="I46" s="72">
        <f t="shared" ref="I46:J46" si="56">G46-C46</f>
        <v>54650.08125</v>
      </c>
      <c r="J46" s="72">
        <f t="shared" si="56"/>
        <v>69329.925</v>
      </c>
    </row>
    <row r="47" ht="15.75" customHeight="1">
      <c r="A47" s="7">
        <v>20306.0</v>
      </c>
      <c r="B47" s="7" t="s">
        <v>77</v>
      </c>
      <c r="C47" s="71">
        <v>0.0</v>
      </c>
      <c r="D47" s="71">
        <v>0.0</v>
      </c>
      <c r="E47" s="71">
        <v>5183.416666666667</v>
      </c>
      <c r="F47" s="71">
        <v>6442.0</v>
      </c>
      <c r="G47" s="72">
        <v>104057.08958333333</v>
      </c>
      <c r="H47" s="72">
        <v>129323.15</v>
      </c>
      <c r="I47" s="72">
        <f t="shared" ref="I47:J47" si="57">G47-C47</f>
        <v>104057.0896</v>
      </c>
      <c r="J47" s="72">
        <f t="shared" si="57"/>
        <v>129323.15</v>
      </c>
    </row>
    <row r="48" ht="15.75" customHeight="1">
      <c r="A48" s="7">
        <v>20307.0</v>
      </c>
      <c r="B48" s="7" t="s">
        <v>78</v>
      </c>
      <c r="C48" s="71">
        <v>0.0</v>
      </c>
      <c r="D48" s="71">
        <v>0.0</v>
      </c>
      <c r="E48" s="71">
        <v>902.5833333333333</v>
      </c>
      <c r="F48" s="71">
        <v>4022.0</v>
      </c>
      <c r="G48" s="72">
        <v>11530.502083333333</v>
      </c>
      <c r="H48" s="72">
        <v>66061.34999999999</v>
      </c>
      <c r="I48" s="72">
        <f t="shared" ref="I48:J48" si="58">G48-C48</f>
        <v>11530.50208</v>
      </c>
      <c r="J48" s="72">
        <f t="shared" si="58"/>
        <v>66061.35</v>
      </c>
    </row>
    <row r="49" ht="15.75" customHeight="1">
      <c r="A49" s="7">
        <v>20308.0</v>
      </c>
      <c r="B49" s="7" t="s">
        <v>79</v>
      </c>
      <c r="C49" s="71">
        <v>0.0</v>
      </c>
      <c r="D49" s="71">
        <v>0.0</v>
      </c>
      <c r="E49" s="71">
        <v>7351.333333333333</v>
      </c>
      <c r="F49" s="71">
        <v>8037.0</v>
      </c>
      <c r="G49" s="72">
        <v>147578.01666666666</v>
      </c>
      <c r="H49" s="72">
        <v>161342.77500000002</v>
      </c>
      <c r="I49" s="72">
        <f t="shared" ref="I49:J49" si="59">G49-C49</f>
        <v>147578.0167</v>
      </c>
      <c r="J49" s="72">
        <f t="shared" si="59"/>
        <v>161342.775</v>
      </c>
    </row>
    <row r="50" ht="15.75" customHeight="1">
      <c r="A50" s="7">
        <v>20401.0</v>
      </c>
      <c r="B50" s="7" t="s">
        <v>80</v>
      </c>
      <c r="C50" s="71">
        <v>0.0</v>
      </c>
      <c r="D50" s="71">
        <v>0.0</v>
      </c>
      <c r="E50" s="71">
        <v>11516.833333333334</v>
      </c>
      <c r="F50" s="71">
        <v>14012.0</v>
      </c>
      <c r="G50" s="72">
        <v>273236.87083333335</v>
      </c>
      <c r="H50" s="72">
        <v>332434.7</v>
      </c>
      <c r="I50" s="72">
        <f t="shared" ref="I50:J50" si="60">G50-C50</f>
        <v>273236.8708</v>
      </c>
      <c r="J50" s="72">
        <f t="shared" si="60"/>
        <v>332434.7</v>
      </c>
    </row>
    <row r="51" ht="15.75" customHeight="1">
      <c r="A51" s="7">
        <v>20402.0</v>
      </c>
      <c r="B51" s="7" t="s">
        <v>81</v>
      </c>
      <c r="C51" s="71">
        <v>0.0</v>
      </c>
      <c r="D51" s="71">
        <v>0.0</v>
      </c>
      <c r="E51" s="71">
        <v>15843.833333333334</v>
      </c>
      <c r="F51" s="71">
        <v>17811.0</v>
      </c>
      <c r="G51" s="72">
        <v>375894.9458333333</v>
      </c>
      <c r="H51" s="72">
        <v>422565.97500000003</v>
      </c>
      <c r="I51" s="72">
        <f t="shared" ref="I51:J51" si="61">G51-C51</f>
        <v>375894.9458</v>
      </c>
      <c r="J51" s="72">
        <f t="shared" si="61"/>
        <v>422565.975</v>
      </c>
    </row>
    <row r="52" ht="15.75" customHeight="1">
      <c r="A52" s="7">
        <v>20403.0</v>
      </c>
      <c r="B52" s="7" t="s">
        <v>82</v>
      </c>
      <c r="C52" s="71">
        <v>0.0</v>
      </c>
      <c r="D52" s="71">
        <v>0.0</v>
      </c>
      <c r="E52" s="71">
        <v>14817.916666666666</v>
      </c>
      <c r="F52" s="71">
        <v>17336.0</v>
      </c>
      <c r="G52" s="72">
        <v>351555.0729166667</v>
      </c>
      <c r="H52" s="72">
        <v>411296.60000000003</v>
      </c>
      <c r="I52" s="72">
        <f t="shared" ref="I52:J52" si="62">G52-C52</f>
        <v>351555.0729</v>
      </c>
      <c r="J52" s="72">
        <f t="shared" si="62"/>
        <v>411296.6</v>
      </c>
    </row>
    <row r="53" ht="15.75" customHeight="1">
      <c r="A53" s="7">
        <v>20404.0</v>
      </c>
      <c r="B53" s="7" t="s">
        <v>84</v>
      </c>
      <c r="C53" s="71">
        <v>0.0</v>
      </c>
      <c r="D53" s="71">
        <v>0.0</v>
      </c>
      <c r="E53" s="71">
        <v>5368.333333333333</v>
      </c>
      <c r="F53" s="71">
        <v>5658.0</v>
      </c>
      <c r="G53" s="72">
        <v>107769.29166666666</v>
      </c>
      <c r="H53" s="72">
        <v>113584.35</v>
      </c>
      <c r="I53" s="72">
        <f t="shared" ref="I53:J53" si="63">G53-C53</f>
        <v>107769.2917</v>
      </c>
      <c r="J53" s="72">
        <f t="shared" si="63"/>
        <v>113584.35</v>
      </c>
    </row>
    <row r="54" ht="15.75" customHeight="1">
      <c r="A54" s="7">
        <v>20405.0</v>
      </c>
      <c r="B54" s="7" t="s">
        <v>87</v>
      </c>
      <c r="C54" s="71">
        <v>0.0</v>
      </c>
      <c r="D54" s="71">
        <v>0.0</v>
      </c>
      <c r="E54" s="71">
        <v>7323.583333333333</v>
      </c>
      <c r="F54" s="71">
        <v>8837.0</v>
      </c>
      <c r="G54" s="72">
        <v>147020.93541666667</v>
      </c>
      <c r="H54" s="72">
        <v>177402.77500000002</v>
      </c>
      <c r="I54" s="72">
        <f t="shared" ref="I54:J54" si="64">G54-C54</f>
        <v>147020.9354</v>
      </c>
      <c r="J54" s="72">
        <f t="shared" si="64"/>
        <v>177402.775</v>
      </c>
    </row>
    <row r="55" ht="15.75" customHeight="1">
      <c r="A55" s="7">
        <v>20501.0</v>
      </c>
      <c r="B55" s="7" t="s">
        <v>88</v>
      </c>
      <c r="C55" s="71">
        <v>0.0</v>
      </c>
      <c r="D55" s="71">
        <v>0.0</v>
      </c>
      <c r="E55" s="71">
        <v>12002.75</v>
      </c>
      <c r="F55" s="71">
        <v>17830.0</v>
      </c>
      <c r="G55" s="72">
        <v>284765.24375</v>
      </c>
      <c r="H55" s="72">
        <v>423016.75</v>
      </c>
      <c r="I55" s="72">
        <f t="shared" ref="I55:J55" si="65">G55-C55</f>
        <v>284765.2438</v>
      </c>
      <c r="J55" s="72">
        <f t="shared" si="65"/>
        <v>423016.75</v>
      </c>
    </row>
    <row r="56" ht="15.75" customHeight="1">
      <c r="A56" s="7">
        <v>20502.0</v>
      </c>
      <c r="B56" s="7" t="s">
        <v>89</v>
      </c>
      <c r="C56" s="71">
        <v>0.0</v>
      </c>
      <c r="D56" s="71">
        <v>0.0</v>
      </c>
      <c r="E56" s="71">
        <v>8461.583333333334</v>
      </c>
      <c r="F56" s="71">
        <v>9029.0</v>
      </c>
      <c r="G56" s="72">
        <v>169866.28541666668</v>
      </c>
      <c r="H56" s="72">
        <v>181257.17500000002</v>
      </c>
      <c r="I56" s="72">
        <f t="shared" ref="I56:J56" si="66">G56-C56</f>
        <v>169866.2854</v>
      </c>
      <c r="J56" s="72">
        <f t="shared" si="66"/>
        <v>181257.175</v>
      </c>
    </row>
    <row r="57" ht="15.75" customHeight="1">
      <c r="A57" s="7">
        <v>20503.0</v>
      </c>
      <c r="B57" s="7" t="s">
        <v>90</v>
      </c>
      <c r="C57" s="71">
        <v>0.0</v>
      </c>
      <c r="D57" s="71">
        <v>0.0</v>
      </c>
      <c r="E57" s="71">
        <v>5597.166666666667</v>
      </c>
      <c r="F57" s="71">
        <v>6721.0</v>
      </c>
      <c r="G57" s="72">
        <v>112363.12083333335</v>
      </c>
      <c r="H57" s="72">
        <v>134924.075</v>
      </c>
      <c r="I57" s="72">
        <f t="shared" ref="I57:J57" si="67">G57-C57</f>
        <v>112363.1208</v>
      </c>
      <c r="J57" s="72">
        <f t="shared" si="67"/>
        <v>134924.075</v>
      </c>
    </row>
    <row r="58" ht="15.75" customHeight="1">
      <c r="A58" s="7">
        <v>20601.0</v>
      </c>
      <c r="B58" s="7" t="s">
        <v>91</v>
      </c>
      <c r="C58" s="71">
        <v>0.0</v>
      </c>
      <c r="D58" s="71">
        <v>0.0</v>
      </c>
      <c r="E58" s="71">
        <v>24059.583333333332</v>
      </c>
      <c r="F58" s="71">
        <v>30083.0</v>
      </c>
      <c r="G58" s="72">
        <v>570813.6145833334</v>
      </c>
      <c r="H58" s="72">
        <v>878423.6</v>
      </c>
      <c r="I58" s="72">
        <f t="shared" ref="I58:J58" si="68">G58-C58</f>
        <v>570813.6146</v>
      </c>
      <c r="J58" s="72">
        <f t="shared" si="68"/>
        <v>878423.6</v>
      </c>
    </row>
    <row r="59" ht="15.75" customHeight="1">
      <c r="A59" s="7">
        <v>20602.0</v>
      </c>
      <c r="B59" s="7" t="s">
        <v>92</v>
      </c>
      <c r="C59" s="71">
        <v>0.0</v>
      </c>
      <c r="D59" s="71">
        <v>0.0</v>
      </c>
      <c r="E59" s="71">
        <v>14921.166666666666</v>
      </c>
      <c r="F59" s="71">
        <v>16386.0</v>
      </c>
      <c r="G59" s="72">
        <v>354004.67916666664</v>
      </c>
      <c r="H59" s="72">
        <v>388757.85000000003</v>
      </c>
      <c r="I59" s="72">
        <f t="shared" ref="I59:J59" si="69">G59-C59</f>
        <v>354004.6792</v>
      </c>
      <c r="J59" s="72">
        <f t="shared" si="69"/>
        <v>388757.85</v>
      </c>
    </row>
    <row r="60" ht="15.75" customHeight="1">
      <c r="A60" s="7">
        <v>20603.0</v>
      </c>
      <c r="B60" s="7" t="s">
        <v>93</v>
      </c>
      <c r="C60" s="71">
        <v>0.0</v>
      </c>
      <c r="D60" s="71">
        <v>0.0</v>
      </c>
      <c r="E60" s="71">
        <v>8313.583333333334</v>
      </c>
      <c r="F60" s="71">
        <v>9761.0</v>
      </c>
      <c r="G60" s="72">
        <v>166895.18541666667</v>
      </c>
      <c r="H60" s="72">
        <v>195952.075</v>
      </c>
      <c r="I60" s="72">
        <f t="shared" ref="I60:J60" si="70">G60-C60</f>
        <v>166895.1854</v>
      </c>
      <c r="J60" s="72">
        <f t="shared" si="70"/>
        <v>195952.075</v>
      </c>
    </row>
    <row r="61" ht="15.75" customHeight="1">
      <c r="A61" s="7">
        <v>20604.0</v>
      </c>
      <c r="B61" s="7" t="s">
        <v>95</v>
      </c>
      <c r="C61" s="71">
        <v>0.0</v>
      </c>
      <c r="D61" s="71">
        <v>0.0</v>
      </c>
      <c r="E61" s="71">
        <v>2812.3333333333335</v>
      </c>
      <c r="F61" s="71">
        <v>4224.0</v>
      </c>
      <c r="G61" s="72">
        <v>46192.575000000004</v>
      </c>
      <c r="H61" s="72">
        <v>69379.2</v>
      </c>
      <c r="I61" s="72">
        <f t="shared" ref="I61:J61" si="71">G61-C61</f>
        <v>46192.575</v>
      </c>
      <c r="J61" s="72">
        <f t="shared" si="71"/>
        <v>69379.2</v>
      </c>
    </row>
    <row r="62" ht="15.75" customHeight="1">
      <c r="A62" s="7">
        <v>20605.0</v>
      </c>
      <c r="B62" s="7" t="s">
        <v>98</v>
      </c>
      <c r="C62" s="71">
        <v>0.0</v>
      </c>
      <c r="D62" s="71">
        <v>0.0</v>
      </c>
      <c r="E62" s="71">
        <v>3714.1666666666665</v>
      </c>
      <c r="F62" s="71">
        <v>3529.0</v>
      </c>
      <c r="G62" s="72">
        <v>61005.18749999999</v>
      </c>
      <c r="H62" s="72">
        <v>57963.825000000004</v>
      </c>
      <c r="I62" s="72">
        <f t="shared" ref="I62:J62" si="72">G62-C62</f>
        <v>61005.1875</v>
      </c>
      <c r="J62" s="72">
        <f t="shared" si="72"/>
        <v>57963.825</v>
      </c>
    </row>
    <row r="63" ht="15.75" customHeight="1">
      <c r="A63" s="7">
        <v>20606.0</v>
      </c>
      <c r="B63" s="7" t="s">
        <v>99</v>
      </c>
      <c r="C63" s="71">
        <v>0.0</v>
      </c>
      <c r="D63" s="71">
        <v>0.0</v>
      </c>
      <c r="E63" s="71">
        <v>9795.916666666666</v>
      </c>
      <c r="F63" s="71">
        <v>7716.0</v>
      </c>
      <c r="G63" s="72">
        <v>196653.02708333332</v>
      </c>
      <c r="H63" s="72">
        <v>154898.7</v>
      </c>
      <c r="I63" s="72">
        <f t="shared" ref="I63:J63" si="73">G63-C63</f>
        <v>196653.0271</v>
      </c>
      <c r="J63" s="72">
        <f t="shared" si="73"/>
        <v>154898.7</v>
      </c>
    </row>
    <row r="64" ht="15.75" customHeight="1">
      <c r="A64" s="7">
        <v>20607.0</v>
      </c>
      <c r="B64" s="7" t="s">
        <v>100</v>
      </c>
      <c r="C64" s="71">
        <v>0.0</v>
      </c>
      <c r="D64" s="71">
        <v>0.0</v>
      </c>
      <c r="E64" s="71">
        <v>14553.666666666666</v>
      </c>
      <c r="F64" s="71">
        <v>21843.0</v>
      </c>
      <c r="G64" s="72">
        <v>345285.7416666667</v>
      </c>
      <c r="H64" s="72">
        <v>518225.17500000005</v>
      </c>
      <c r="I64" s="72">
        <f t="shared" ref="I64:J64" si="74">G64-C64</f>
        <v>345285.7417</v>
      </c>
      <c r="J64" s="72">
        <f t="shared" si="74"/>
        <v>518225.175</v>
      </c>
    </row>
    <row r="65" ht="15.75" customHeight="1">
      <c r="A65" s="7">
        <v>20608.0</v>
      </c>
      <c r="B65" s="7" t="s">
        <v>101</v>
      </c>
      <c r="C65" s="71">
        <v>0.0</v>
      </c>
      <c r="D65" s="71">
        <v>0.0</v>
      </c>
      <c r="E65" s="71">
        <v>9684.833333333334</v>
      </c>
      <c r="F65" s="71">
        <v>13379.0</v>
      </c>
      <c r="G65" s="72">
        <v>194423.02916666667</v>
      </c>
      <c r="H65" s="72">
        <v>317416.775</v>
      </c>
      <c r="I65" s="72">
        <f t="shared" ref="I65:J65" si="75">G65-C65</f>
        <v>194423.0292</v>
      </c>
      <c r="J65" s="72">
        <f t="shared" si="75"/>
        <v>317416.775</v>
      </c>
    </row>
    <row r="66" ht="15.75" customHeight="1">
      <c r="A66" s="7">
        <v>20701.0</v>
      </c>
      <c r="B66" s="7" t="s">
        <v>102</v>
      </c>
      <c r="C66" s="71">
        <v>0.0</v>
      </c>
      <c r="D66" s="71">
        <v>0.0</v>
      </c>
      <c r="E66" s="71">
        <v>20212.0</v>
      </c>
      <c r="F66" s="71">
        <v>19156.0</v>
      </c>
      <c r="G66" s="72">
        <v>479529.7</v>
      </c>
      <c r="H66" s="72">
        <v>454476.10000000003</v>
      </c>
      <c r="I66" s="72">
        <f t="shared" ref="I66:J66" si="76">G66-C66</f>
        <v>479529.7</v>
      </c>
      <c r="J66" s="72">
        <f t="shared" si="76"/>
        <v>454476.1</v>
      </c>
    </row>
    <row r="67" ht="15.75" customHeight="1">
      <c r="A67" s="7">
        <v>20702.0</v>
      </c>
      <c r="B67" s="7" t="s">
        <v>103</v>
      </c>
      <c r="C67" s="71">
        <v>0.0</v>
      </c>
      <c r="D67" s="71">
        <v>0.0</v>
      </c>
      <c r="E67" s="71">
        <v>6970.0</v>
      </c>
      <c r="F67" s="71">
        <v>9060.0</v>
      </c>
      <c r="G67" s="72">
        <v>139922.75</v>
      </c>
      <c r="H67" s="72">
        <v>181879.5</v>
      </c>
      <c r="I67" s="72">
        <f t="shared" ref="I67:J67" si="77">G67-C67</f>
        <v>139922.75</v>
      </c>
      <c r="J67" s="72">
        <f t="shared" si="77"/>
        <v>181879.5</v>
      </c>
    </row>
    <row r="68" ht="15.75" customHeight="1">
      <c r="A68" s="7">
        <v>20801.0</v>
      </c>
      <c r="B68" s="7" t="s">
        <v>104</v>
      </c>
      <c r="C68" s="71">
        <v>0.0</v>
      </c>
      <c r="D68" s="71">
        <v>1069850.0</v>
      </c>
      <c r="E68" s="71">
        <v>83459.83333333333</v>
      </c>
      <c r="F68" s="71">
        <v>113554.0</v>
      </c>
      <c r="G68" s="72">
        <v>3350912.3083333336</v>
      </c>
      <c r="H68" s="72">
        <v>4559193.100000001</v>
      </c>
      <c r="I68" s="72">
        <f t="shared" ref="I68:J68" si="78">G68-C68</f>
        <v>3350912.308</v>
      </c>
      <c r="J68" s="72">
        <f t="shared" si="78"/>
        <v>3489343.1</v>
      </c>
    </row>
    <row r="69" ht="15.75" customHeight="1">
      <c r="A69" s="7">
        <v>20802.0</v>
      </c>
      <c r="B69" s="7" t="s">
        <v>105</v>
      </c>
      <c r="C69" s="71">
        <v>0.0</v>
      </c>
      <c r="D69" s="71">
        <v>0.0</v>
      </c>
      <c r="E69" s="71">
        <v>7387.5</v>
      </c>
      <c r="F69" s="71">
        <v>8592.0</v>
      </c>
      <c r="G69" s="72">
        <v>148304.0625</v>
      </c>
      <c r="H69" s="72">
        <v>172484.4</v>
      </c>
      <c r="I69" s="72">
        <f t="shared" ref="I69:J69" si="79">G69-C69</f>
        <v>148304.0625</v>
      </c>
      <c r="J69" s="72">
        <f t="shared" si="79"/>
        <v>172484.4</v>
      </c>
    </row>
    <row r="70" ht="15.75" customHeight="1">
      <c r="A70" s="7">
        <v>20803.0</v>
      </c>
      <c r="B70" s="7" t="s">
        <v>108</v>
      </c>
      <c r="C70" s="71">
        <v>0.0</v>
      </c>
      <c r="D70" s="71">
        <v>0.0</v>
      </c>
      <c r="E70" s="71">
        <v>12310.583333333334</v>
      </c>
      <c r="F70" s="71">
        <v>13648.0</v>
      </c>
      <c r="G70" s="72">
        <v>292068.58958333335</v>
      </c>
      <c r="H70" s="72">
        <v>323798.8</v>
      </c>
      <c r="I70" s="72">
        <f t="shared" ref="I70:J70" si="80">G70-C70</f>
        <v>292068.5896</v>
      </c>
      <c r="J70" s="72">
        <f t="shared" si="80"/>
        <v>323798.8</v>
      </c>
    </row>
    <row r="71" ht="15.75" customHeight="1">
      <c r="A71" s="7">
        <v>20804.0</v>
      </c>
      <c r="B71" s="7" t="s">
        <v>110</v>
      </c>
      <c r="C71" s="71">
        <v>0.0</v>
      </c>
      <c r="D71" s="71">
        <v>0.0</v>
      </c>
      <c r="E71" s="71">
        <v>7062.833333333333</v>
      </c>
      <c r="F71" s="71">
        <v>7897.0</v>
      </c>
      <c r="G71" s="72">
        <v>141786.37916666665</v>
      </c>
      <c r="H71" s="72">
        <v>158532.275</v>
      </c>
      <c r="I71" s="72">
        <f t="shared" ref="I71:J71" si="81">G71-C71</f>
        <v>141786.3792</v>
      </c>
      <c r="J71" s="72">
        <f t="shared" si="81"/>
        <v>158532.275</v>
      </c>
    </row>
    <row r="72" ht="15.75" customHeight="1">
      <c r="A72" s="7">
        <v>20805.0</v>
      </c>
      <c r="B72" s="7" t="s">
        <v>112</v>
      </c>
      <c r="C72" s="71">
        <v>0.0</v>
      </c>
      <c r="D72" s="71">
        <v>0.0</v>
      </c>
      <c r="E72" s="71">
        <v>6294.25</v>
      </c>
      <c r="F72" s="71">
        <v>7936.0</v>
      </c>
      <c r="G72" s="72">
        <v>126357.06874999999</v>
      </c>
      <c r="H72" s="72">
        <v>159315.2</v>
      </c>
      <c r="I72" s="72">
        <f t="shared" ref="I72:J72" si="82">G72-C72</f>
        <v>126357.0688</v>
      </c>
      <c r="J72" s="72">
        <f t="shared" si="82"/>
        <v>159315.2</v>
      </c>
    </row>
    <row r="73" ht="15.75" customHeight="1">
      <c r="A73" s="7">
        <v>20806.0</v>
      </c>
      <c r="B73" s="7" t="s">
        <v>114</v>
      </c>
      <c r="C73" s="71">
        <v>0.0</v>
      </c>
      <c r="D73" s="71">
        <v>0.0</v>
      </c>
      <c r="E73" s="71">
        <v>15203.75</v>
      </c>
      <c r="F73" s="71">
        <v>17016.0</v>
      </c>
      <c r="G73" s="72">
        <v>360708.96875</v>
      </c>
      <c r="H73" s="72">
        <v>403704.6</v>
      </c>
      <c r="I73" s="72">
        <f t="shared" ref="I73:J73" si="83">G73-C73</f>
        <v>360708.9688</v>
      </c>
      <c r="J73" s="72">
        <f t="shared" si="83"/>
        <v>403704.6</v>
      </c>
    </row>
    <row r="74" ht="15.75" customHeight="1">
      <c r="A74" s="7">
        <v>20807.0</v>
      </c>
      <c r="B74" s="7" t="s">
        <v>116</v>
      </c>
      <c r="C74" s="71">
        <v>0.0</v>
      </c>
      <c r="D74" s="71">
        <v>0.0</v>
      </c>
      <c r="E74" s="71">
        <v>6681.083333333333</v>
      </c>
      <c r="F74" s="71">
        <v>7540.0</v>
      </c>
      <c r="G74" s="72">
        <v>134122.74791666667</v>
      </c>
      <c r="H74" s="72">
        <v>151365.5</v>
      </c>
      <c r="I74" s="72">
        <f t="shared" ref="I74:J74" si="84">G74-C74</f>
        <v>134122.7479</v>
      </c>
      <c r="J74" s="72">
        <f t="shared" si="84"/>
        <v>151365.5</v>
      </c>
    </row>
    <row r="75" ht="15.75" customHeight="1">
      <c r="A75" s="7">
        <v>20901.0</v>
      </c>
      <c r="B75" s="7" t="s">
        <v>118</v>
      </c>
      <c r="C75" s="71">
        <v>0.0</v>
      </c>
      <c r="D75" s="71">
        <v>0.0</v>
      </c>
      <c r="E75" s="71">
        <v>11102.666666666666</v>
      </c>
      <c r="F75" s="71">
        <v>10703.0</v>
      </c>
      <c r="G75" s="72">
        <v>263410.76666666666</v>
      </c>
      <c r="H75" s="72">
        <v>253928.67500000002</v>
      </c>
      <c r="I75" s="72">
        <f t="shared" ref="I75:J75" si="85">G75-C75</f>
        <v>263410.7667</v>
      </c>
      <c r="J75" s="72">
        <f t="shared" si="85"/>
        <v>253928.675</v>
      </c>
    </row>
    <row r="76" ht="15.75" customHeight="1">
      <c r="A76" s="7">
        <v>20902.0</v>
      </c>
      <c r="B76" s="7" t="s">
        <v>120</v>
      </c>
      <c r="C76" s="71">
        <v>0.0</v>
      </c>
      <c r="D76" s="71">
        <v>0.0</v>
      </c>
      <c r="E76" s="71">
        <v>12818.416666666666</v>
      </c>
      <c r="F76" s="71">
        <v>16497.0</v>
      </c>
      <c r="G76" s="72">
        <v>304116.9354166667</v>
      </c>
      <c r="H76" s="72">
        <v>391391.325</v>
      </c>
      <c r="I76" s="72">
        <f t="shared" ref="I76:J76" si="86">G76-C76</f>
        <v>304116.9354</v>
      </c>
      <c r="J76" s="72">
        <f t="shared" si="86"/>
        <v>391391.325</v>
      </c>
    </row>
    <row r="77" ht="15.75" customHeight="1">
      <c r="A77" s="7">
        <v>20903.0</v>
      </c>
      <c r="B77" s="7" t="s">
        <v>122</v>
      </c>
      <c r="C77" s="71">
        <v>0.0</v>
      </c>
      <c r="D77" s="71">
        <v>0.0</v>
      </c>
      <c r="E77" s="71">
        <v>7730.083333333333</v>
      </c>
      <c r="F77" s="71">
        <v>12296.0</v>
      </c>
      <c r="G77" s="72">
        <v>155181.42291666666</v>
      </c>
      <c r="H77" s="72">
        <v>291722.6</v>
      </c>
      <c r="I77" s="72">
        <f t="shared" ref="I77:J77" si="87">G77-C77</f>
        <v>155181.4229</v>
      </c>
      <c r="J77" s="72">
        <f t="shared" si="87"/>
        <v>291722.6</v>
      </c>
    </row>
    <row r="78" ht="15.75" customHeight="1">
      <c r="A78" s="7">
        <v>20904.0</v>
      </c>
      <c r="B78" s="7" t="s">
        <v>124</v>
      </c>
      <c r="C78" s="71">
        <v>0.0</v>
      </c>
      <c r="D78" s="71">
        <v>0.0</v>
      </c>
      <c r="E78" s="71">
        <v>5189.75</v>
      </c>
      <c r="F78" s="71">
        <v>5297.0</v>
      </c>
      <c r="G78" s="72">
        <v>104184.23125000001</v>
      </c>
      <c r="H78" s="72">
        <v>106337.275</v>
      </c>
      <c r="I78" s="72">
        <f t="shared" ref="I78:J78" si="88">G78-C78</f>
        <v>104184.2313</v>
      </c>
      <c r="J78" s="72">
        <f t="shared" si="88"/>
        <v>106337.275</v>
      </c>
    </row>
    <row r="79" ht="15.75" customHeight="1">
      <c r="A79" s="7">
        <v>20905.0</v>
      </c>
      <c r="B79" s="7" t="s">
        <v>126</v>
      </c>
      <c r="C79" s="71">
        <v>0.0</v>
      </c>
      <c r="D79" s="71">
        <v>0.0</v>
      </c>
      <c r="E79" s="71">
        <v>11541.916666666666</v>
      </c>
      <c r="F79" s="71">
        <v>13598.0</v>
      </c>
      <c r="G79" s="72">
        <v>273831.97291666665</v>
      </c>
      <c r="H79" s="72">
        <v>322612.55</v>
      </c>
      <c r="I79" s="72">
        <f t="shared" ref="I79:J79" si="89">G79-C79</f>
        <v>273831.9729</v>
      </c>
      <c r="J79" s="72">
        <f t="shared" si="89"/>
        <v>322612.55</v>
      </c>
    </row>
    <row r="80" ht="15.75" customHeight="1">
      <c r="A80" s="7">
        <v>21001.0</v>
      </c>
      <c r="B80" s="7" t="s">
        <v>128</v>
      </c>
      <c r="C80" s="71">
        <v>0.0</v>
      </c>
      <c r="D80" s="71">
        <v>0.0</v>
      </c>
      <c r="E80" s="71">
        <v>15047.166666666666</v>
      </c>
      <c r="F80" s="71">
        <v>18679.0</v>
      </c>
      <c r="G80" s="72">
        <v>356994.0291666667</v>
      </c>
      <c r="H80" s="72">
        <v>443159.275</v>
      </c>
      <c r="I80" s="72">
        <f t="shared" ref="I80:J80" si="90">G80-C80</f>
        <v>356994.0292</v>
      </c>
      <c r="J80" s="72">
        <f t="shared" si="90"/>
        <v>443159.275</v>
      </c>
    </row>
    <row r="81" ht="15.75" customHeight="1">
      <c r="A81" s="7">
        <v>21002.0</v>
      </c>
      <c r="B81" s="7" t="s">
        <v>130</v>
      </c>
      <c r="C81" s="71">
        <v>0.0</v>
      </c>
      <c r="D81" s="71">
        <v>0.0</v>
      </c>
      <c r="E81" s="71">
        <v>8484.416666666666</v>
      </c>
      <c r="F81" s="71">
        <v>10887.0</v>
      </c>
      <c r="G81" s="72">
        <v>170324.66458333333</v>
      </c>
      <c r="H81" s="72">
        <v>258294.07499999998</v>
      </c>
      <c r="I81" s="72">
        <f t="shared" ref="I81:J81" si="91">G81-C81</f>
        <v>170324.6646</v>
      </c>
      <c r="J81" s="72">
        <f t="shared" si="91"/>
        <v>258294.075</v>
      </c>
    </row>
    <row r="82" ht="15.75" customHeight="1">
      <c r="A82" s="7">
        <v>21003.0</v>
      </c>
      <c r="B82" s="7" t="s">
        <v>131</v>
      </c>
      <c r="C82" s="71">
        <v>0.0</v>
      </c>
      <c r="D82" s="71">
        <v>0.0</v>
      </c>
      <c r="E82" s="71">
        <v>10883.583333333334</v>
      </c>
      <c r="F82" s="71">
        <v>15565.0</v>
      </c>
      <c r="G82" s="72">
        <v>258213.01458333337</v>
      </c>
      <c r="H82" s="72">
        <v>369279.625</v>
      </c>
      <c r="I82" s="72">
        <f t="shared" ref="I82:J82" si="92">G82-C82</f>
        <v>258213.0146</v>
      </c>
      <c r="J82" s="72">
        <f t="shared" si="92"/>
        <v>369279.625</v>
      </c>
    </row>
    <row r="83" ht="15.75" customHeight="1">
      <c r="A83" s="7">
        <v>21004.0</v>
      </c>
      <c r="B83" s="7" t="s">
        <v>132</v>
      </c>
      <c r="C83" s="71">
        <v>0.0</v>
      </c>
      <c r="D83" s="71">
        <v>0.0</v>
      </c>
      <c r="E83" s="71">
        <v>19943.75</v>
      </c>
      <c r="F83" s="71">
        <v>23505.0</v>
      </c>
      <c r="G83" s="72">
        <v>473165.46875</v>
      </c>
      <c r="H83" s="72">
        <v>557656.125</v>
      </c>
      <c r="I83" s="72">
        <f t="shared" ref="I83:J83" si="93">G83-C83</f>
        <v>473165.4688</v>
      </c>
      <c r="J83" s="72">
        <f t="shared" si="93"/>
        <v>557656.125</v>
      </c>
    </row>
    <row r="84" ht="15.75" customHeight="1">
      <c r="A84" s="7">
        <v>21005.0</v>
      </c>
      <c r="B84" s="7" t="s">
        <v>133</v>
      </c>
      <c r="C84" s="71">
        <v>0.0</v>
      </c>
      <c r="D84" s="71">
        <v>0.0</v>
      </c>
      <c r="E84" s="71">
        <v>8049.583333333333</v>
      </c>
      <c r="F84" s="71">
        <v>9552.0</v>
      </c>
      <c r="G84" s="72">
        <v>161595.38541666666</v>
      </c>
      <c r="H84" s="72">
        <v>191756.4</v>
      </c>
      <c r="I84" s="72">
        <f t="shared" ref="I84:J84" si="94">G84-C84</f>
        <v>161595.3854</v>
      </c>
      <c r="J84" s="72">
        <f t="shared" si="94"/>
        <v>191756.4</v>
      </c>
    </row>
    <row r="85" ht="15.75" customHeight="1">
      <c r="A85" s="7">
        <v>21006.0</v>
      </c>
      <c r="B85" s="7" t="s">
        <v>134</v>
      </c>
      <c r="C85" s="71">
        <v>0.0</v>
      </c>
      <c r="D85" s="71">
        <v>0.0</v>
      </c>
      <c r="E85" s="71">
        <v>5687.083333333333</v>
      </c>
      <c r="F85" s="71">
        <v>7877.0</v>
      </c>
      <c r="G85" s="72">
        <v>114168.19791666666</v>
      </c>
      <c r="H85" s="72">
        <v>158130.775</v>
      </c>
      <c r="I85" s="72">
        <f t="shared" ref="I85:J85" si="95">G85-C85</f>
        <v>114168.1979</v>
      </c>
      <c r="J85" s="72">
        <f t="shared" si="95"/>
        <v>158130.775</v>
      </c>
    </row>
    <row r="86" ht="15.75" customHeight="1">
      <c r="A86" s="7">
        <v>21101.0</v>
      </c>
      <c r="B86" s="7" t="s">
        <v>135</v>
      </c>
      <c r="C86" s="71">
        <v>0.0</v>
      </c>
      <c r="D86" s="71">
        <v>0.0</v>
      </c>
      <c r="E86" s="71">
        <v>17863.0</v>
      </c>
      <c r="F86" s="71">
        <v>18303.0</v>
      </c>
      <c r="G86" s="72">
        <v>423799.675</v>
      </c>
      <c r="H86" s="72">
        <v>434238.675</v>
      </c>
      <c r="I86" s="72">
        <f t="shared" ref="I86:J86" si="96">G86-C86</f>
        <v>423799.675</v>
      </c>
      <c r="J86" s="72">
        <f t="shared" si="96"/>
        <v>434238.675</v>
      </c>
    </row>
    <row r="87" ht="15.75" customHeight="1">
      <c r="A87" s="7">
        <v>21102.0</v>
      </c>
      <c r="B87" s="7" t="s">
        <v>136</v>
      </c>
      <c r="C87" s="71">
        <v>0.0</v>
      </c>
      <c r="D87" s="71">
        <v>0.0</v>
      </c>
      <c r="E87" s="71">
        <v>17776.25</v>
      </c>
      <c r="F87" s="71">
        <v>23279.0</v>
      </c>
      <c r="G87" s="72">
        <v>421741.53125</v>
      </c>
      <c r="H87" s="72">
        <v>552294.275</v>
      </c>
      <c r="I87" s="72">
        <f t="shared" ref="I87:J87" si="97">G87-C87</f>
        <v>421741.5313</v>
      </c>
      <c r="J87" s="72">
        <f t="shared" si="97"/>
        <v>552294.275</v>
      </c>
    </row>
    <row r="88" ht="15.75" customHeight="1">
      <c r="A88" s="7">
        <v>21103.0</v>
      </c>
      <c r="B88" s="7" t="s">
        <v>137</v>
      </c>
      <c r="C88" s="71">
        <v>0.0</v>
      </c>
      <c r="D88" s="71">
        <v>0.0</v>
      </c>
      <c r="E88" s="71">
        <v>6519.583333333333</v>
      </c>
      <c r="F88" s="71">
        <v>7615.0</v>
      </c>
      <c r="G88" s="72">
        <v>130880.63541666666</v>
      </c>
      <c r="H88" s="72">
        <v>152871.125</v>
      </c>
      <c r="I88" s="72">
        <f t="shared" ref="I88:J88" si="98">G88-C88</f>
        <v>130880.6354</v>
      </c>
      <c r="J88" s="72">
        <f t="shared" si="98"/>
        <v>152871.125</v>
      </c>
    </row>
    <row r="89" ht="15.75" customHeight="1">
      <c r="A89" s="7">
        <v>21104.0</v>
      </c>
      <c r="B89" s="7" t="s">
        <v>138</v>
      </c>
      <c r="C89" s="71">
        <v>0.0</v>
      </c>
      <c r="D89" s="71">
        <v>0.0</v>
      </c>
      <c r="E89" s="71">
        <v>24931.5</v>
      </c>
      <c r="F89" s="71">
        <v>27137.0</v>
      </c>
      <c r="G89" s="72">
        <v>591499.8375</v>
      </c>
      <c r="H89" s="72">
        <v>792400.4</v>
      </c>
      <c r="I89" s="72">
        <f t="shared" ref="I89:J89" si="99">G89-C89</f>
        <v>591499.8375</v>
      </c>
      <c r="J89" s="72">
        <f t="shared" si="99"/>
        <v>792400.4</v>
      </c>
    </row>
    <row r="90" ht="15.75" customHeight="1">
      <c r="A90" s="7">
        <v>21105.0</v>
      </c>
      <c r="B90" s="7" t="s">
        <v>139</v>
      </c>
      <c r="C90" s="71">
        <v>0.0</v>
      </c>
      <c r="D90" s="71">
        <v>0.0</v>
      </c>
      <c r="E90" s="71">
        <v>40628.75</v>
      </c>
      <c r="F90" s="71">
        <v>45587.0</v>
      </c>
      <c r="G90" s="72">
        <v>1186359.5</v>
      </c>
      <c r="H90" s="72">
        <v>1331140.4</v>
      </c>
      <c r="I90" s="72">
        <f t="shared" ref="I90:J90" si="100">G90-C90</f>
        <v>1186359.5</v>
      </c>
      <c r="J90" s="72">
        <f t="shared" si="100"/>
        <v>1331140.4</v>
      </c>
    </row>
    <row r="91" ht="15.75" customHeight="1">
      <c r="A91" s="7">
        <v>21201.0</v>
      </c>
      <c r="B91" s="7" t="s">
        <v>140</v>
      </c>
      <c r="C91" s="71">
        <v>0.0</v>
      </c>
      <c r="D91" s="71">
        <v>0.0</v>
      </c>
      <c r="E91" s="71">
        <v>31767.833333333332</v>
      </c>
      <c r="F91" s="71">
        <v>49850.0</v>
      </c>
      <c r="G91" s="72">
        <v>927620.7333333334</v>
      </c>
      <c r="H91" s="72">
        <v>1455620.0</v>
      </c>
      <c r="I91" s="72">
        <f t="shared" ref="I91:J91" si="101">G91-C91</f>
        <v>927620.7333</v>
      </c>
      <c r="J91" s="72">
        <f t="shared" si="101"/>
        <v>1455620</v>
      </c>
    </row>
    <row r="92" ht="15.75" customHeight="1">
      <c r="A92" s="7">
        <v>21202.0</v>
      </c>
      <c r="B92" s="7" t="s">
        <v>141</v>
      </c>
      <c r="C92" s="71">
        <v>0.0</v>
      </c>
      <c r="D92" s="71">
        <v>0.0</v>
      </c>
      <c r="E92" s="71">
        <v>25707.75</v>
      </c>
      <c r="F92" s="71">
        <v>38652.0</v>
      </c>
      <c r="G92" s="72">
        <v>750666.2999999999</v>
      </c>
      <c r="H92" s="72">
        <v>1128638.4</v>
      </c>
      <c r="I92" s="72">
        <f t="shared" ref="I92:J92" si="102">G92-C92</f>
        <v>750666.3</v>
      </c>
      <c r="J92" s="72">
        <f t="shared" si="102"/>
        <v>1128638.4</v>
      </c>
    </row>
    <row r="93" ht="15.75" customHeight="1">
      <c r="A93" s="7">
        <v>21203.0</v>
      </c>
      <c r="B93" s="7" t="s">
        <v>142</v>
      </c>
      <c r="C93" s="71">
        <v>0.0</v>
      </c>
      <c r="D93" s="71">
        <v>0.0</v>
      </c>
      <c r="E93" s="71">
        <v>17691.083333333332</v>
      </c>
      <c r="F93" s="71">
        <v>20607.0</v>
      </c>
      <c r="G93" s="72">
        <v>419720.9520833333</v>
      </c>
      <c r="H93" s="72">
        <v>488901.07500000007</v>
      </c>
      <c r="I93" s="72">
        <f t="shared" ref="I93:J93" si="103">G93-C93</f>
        <v>419720.9521</v>
      </c>
      <c r="J93" s="72">
        <f t="shared" si="103"/>
        <v>488901.075</v>
      </c>
    </row>
    <row r="94" ht="15.75" customHeight="1">
      <c r="A94" s="7">
        <v>21204.0</v>
      </c>
      <c r="B94" s="7" t="s">
        <v>143</v>
      </c>
      <c r="C94" s="71">
        <v>0.0</v>
      </c>
      <c r="D94" s="71">
        <v>0.0</v>
      </c>
      <c r="E94" s="71">
        <v>6614.833333333333</v>
      </c>
      <c r="F94" s="71">
        <v>7900.0</v>
      </c>
      <c r="G94" s="72">
        <v>132792.77916666667</v>
      </c>
      <c r="H94" s="72">
        <v>158592.5</v>
      </c>
      <c r="I94" s="72">
        <f t="shared" ref="I94:J94" si="104">G94-C94</f>
        <v>132792.7792</v>
      </c>
      <c r="J94" s="72">
        <f t="shared" si="104"/>
        <v>158592.5</v>
      </c>
    </row>
    <row r="95" ht="15.75" customHeight="1">
      <c r="A95" s="7">
        <v>21301.0</v>
      </c>
      <c r="B95" s="7" t="s">
        <v>144</v>
      </c>
      <c r="C95" s="71">
        <v>0.0</v>
      </c>
      <c r="D95" s="71">
        <v>0.0</v>
      </c>
      <c r="E95" s="71">
        <v>31526.416666666668</v>
      </c>
      <c r="F95" s="71">
        <v>33885.0</v>
      </c>
      <c r="G95" s="72">
        <v>920571.3666666668</v>
      </c>
      <c r="H95" s="72">
        <v>989442.0000000001</v>
      </c>
      <c r="I95" s="72">
        <f t="shared" ref="I95:J95" si="105">G95-C95</f>
        <v>920571.3667</v>
      </c>
      <c r="J95" s="72">
        <f t="shared" si="105"/>
        <v>989442</v>
      </c>
    </row>
    <row r="96" ht="15.75" customHeight="1">
      <c r="A96" s="7">
        <v>21302.0</v>
      </c>
      <c r="B96" s="7" t="s">
        <v>145</v>
      </c>
      <c r="C96" s="71">
        <v>0.0</v>
      </c>
      <c r="D96" s="71">
        <v>0.0</v>
      </c>
      <c r="E96" s="71">
        <v>8919.583333333334</v>
      </c>
      <c r="F96" s="71">
        <v>9102.0</v>
      </c>
      <c r="G96" s="72">
        <v>179060.6354166667</v>
      </c>
      <c r="H96" s="72">
        <v>182722.65</v>
      </c>
      <c r="I96" s="72">
        <f t="shared" ref="I96:J96" si="106">G96-C96</f>
        <v>179060.6354</v>
      </c>
      <c r="J96" s="72">
        <f t="shared" si="106"/>
        <v>182722.65</v>
      </c>
    </row>
    <row r="97" ht="15.75" customHeight="1">
      <c r="A97" s="7">
        <v>21303.0</v>
      </c>
      <c r="B97" s="7" t="s">
        <v>146</v>
      </c>
      <c r="C97" s="71">
        <v>0.0</v>
      </c>
      <c r="D97" s="71">
        <v>0.0</v>
      </c>
      <c r="E97" s="71">
        <v>8086.333333333333</v>
      </c>
      <c r="F97" s="71">
        <v>11258.0</v>
      </c>
      <c r="G97" s="72">
        <v>162333.14166666666</v>
      </c>
      <c r="H97" s="72">
        <v>267096.05</v>
      </c>
      <c r="I97" s="72">
        <f t="shared" ref="I97:J97" si="107">G97-C97</f>
        <v>162333.1417</v>
      </c>
      <c r="J97" s="72">
        <f t="shared" si="107"/>
        <v>267096.05</v>
      </c>
    </row>
    <row r="98" ht="15.75" customHeight="1">
      <c r="A98" s="7">
        <v>21304.0</v>
      </c>
      <c r="B98" s="7" t="s">
        <v>147</v>
      </c>
      <c r="C98" s="71">
        <v>0.0</v>
      </c>
      <c r="D98" s="71">
        <v>0.0</v>
      </c>
      <c r="E98" s="71">
        <v>12655.833333333334</v>
      </c>
      <c r="F98" s="71">
        <v>15327.0</v>
      </c>
      <c r="G98" s="72">
        <v>300259.6458333334</v>
      </c>
      <c r="H98" s="72">
        <v>363633.075</v>
      </c>
      <c r="I98" s="72">
        <f t="shared" ref="I98:J98" si="108">G98-C98</f>
        <v>300259.6458</v>
      </c>
      <c r="J98" s="72">
        <f t="shared" si="108"/>
        <v>363633.075</v>
      </c>
    </row>
    <row r="99" ht="15.75" customHeight="1">
      <c r="A99" s="7">
        <v>21305.0</v>
      </c>
      <c r="B99" s="7" t="s">
        <v>148</v>
      </c>
      <c r="C99" s="71">
        <v>0.0</v>
      </c>
      <c r="D99" s="71">
        <v>0.0</v>
      </c>
      <c r="E99" s="71">
        <v>23048.833333333332</v>
      </c>
      <c r="F99" s="71">
        <v>25148.0</v>
      </c>
      <c r="G99" s="72">
        <v>546833.5708333333</v>
      </c>
      <c r="H99" s="72">
        <v>734321.6000000001</v>
      </c>
      <c r="I99" s="72">
        <f t="shared" ref="I99:J99" si="109">G99-C99</f>
        <v>546833.5708</v>
      </c>
      <c r="J99" s="72">
        <f t="shared" si="109"/>
        <v>734321.6</v>
      </c>
    </row>
    <row r="100" ht="15.75" customHeight="1">
      <c r="A100" s="7">
        <v>21306.0</v>
      </c>
      <c r="B100" s="7" t="s">
        <v>149</v>
      </c>
      <c r="C100" s="71">
        <v>0.0</v>
      </c>
      <c r="D100" s="71">
        <v>0.0</v>
      </c>
      <c r="E100" s="71">
        <v>10096.583333333334</v>
      </c>
      <c r="F100" s="71">
        <v>12490.0</v>
      </c>
      <c r="G100" s="72">
        <v>239541.43958333338</v>
      </c>
      <c r="H100" s="72">
        <v>296325.25</v>
      </c>
      <c r="I100" s="72">
        <f t="shared" ref="I100:J100" si="110">G100-C100</f>
        <v>239541.4396</v>
      </c>
      <c r="J100" s="72">
        <f t="shared" si="110"/>
        <v>296325.25</v>
      </c>
    </row>
    <row r="101" ht="15.75" customHeight="1">
      <c r="A101" s="7">
        <v>21307.0</v>
      </c>
      <c r="B101" s="7" t="s">
        <v>150</v>
      </c>
      <c r="C101" s="71">
        <v>0.0</v>
      </c>
      <c r="D101" s="71">
        <v>0.0</v>
      </c>
      <c r="E101" s="71">
        <v>5082.333333333333</v>
      </c>
      <c r="F101" s="71">
        <v>5526.0</v>
      </c>
      <c r="G101" s="72">
        <v>102027.84166666666</v>
      </c>
      <c r="H101" s="72">
        <v>110934.45</v>
      </c>
      <c r="I101" s="72">
        <f t="shared" ref="I101:J101" si="111">G101-C101</f>
        <v>102027.8417</v>
      </c>
      <c r="J101" s="72">
        <f t="shared" si="111"/>
        <v>110934.45</v>
      </c>
    </row>
    <row r="102" ht="15.75" customHeight="1">
      <c r="A102" s="7">
        <v>21401.0</v>
      </c>
      <c r="B102" s="7" t="s">
        <v>151</v>
      </c>
      <c r="C102" s="71">
        <v>0.0</v>
      </c>
      <c r="D102" s="71">
        <v>0.0</v>
      </c>
      <c r="E102" s="71">
        <v>20089.833333333332</v>
      </c>
      <c r="F102" s="71">
        <v>27711.0</v>
      </c>
      <c r="G102" s="72">
        <v>476631.29583333334</v>
      </c>
      <c r="H102" s="72">
        <v>809161.2000000001</v>
      </c>
      <c r="I102" s="72">
        <f t="shared" ref="I102:J102" si="112">G102-C102</f>
        <v>476631.2958</v>
      </c>
      <c r="J102" s="72">
        <f t="shared" si="112"/>
        <v>809161.2</v>
      </c>
    </row>
    <row r="103" ht="15.75" customHeight="1">
      <c r="A103" s="7">
        <v>21402.0</v>
      </c>
      <c r="B103" s="7" t="s">
        <v>152</v>
      </c>
      <c r="C103" s="71">
        <v>0.0</v>
      </c>
      <c r="D103" s="71">
        <v>0.0</v>
      </c>
      <c r="E103" s="71">
        <v>17480.0</v>
      </c>
      <c r="F103" s="71">
        <v>23530.0</v>
      </c>
      <c r="G103" s="72">
        <v>414713.0</v>
      </c>
      <c r="H103" s="72">
        <v>558249.25</v>
      </c>
      <c r="I103" s="72">
        <f t="shared" ref="I103:J103" si="113">G103-C103</f>
        <v>414713</v>
      </c>
      <c r="J103" s="72">
        <f t="shared" si="113"/>
        <v>558249.25</v>
      </c>
    </row>
    <row r="104" ht="15.75" customHeight="1">
      <c r="A104" s="7">
        <v>21501.0</v>
      </c>
      <c r="B104" s="7" t="s">
        <v>153</v>
      </c>
      <c r="C104" s="71">
        <v>0.0</v>
      </c>
      <c r="D104" s="71">
        <v>0.0</v>
      </c>
      <c r="E104" s="71">
        <v>9631.416666666666</v>
      </c>
      <c r="F104" s="71">
        <v>12595.0</v>
      </c>
      <c r="G104" s="72">
        <v>193350.6895833333</v>
      </c>
      <c r="H104" s="72">
        <v>298816.375</v>
      </c>
      <c r="I104" s="72">
        <f t="shared" ref="I104:J104" si="114">G104-C104</f>
        <v>193350.6896</v>
      </c>
      <c r="J104" s="72">
        <f t="shared" si="114"/>
        <v>298816.375</v>
      </c>
    </row>
    <row r="105" ht="15.75" customHeight="1">
      <c r="A105" s="7">
        <v>21502.0</v>
      </c>
      <c r="B105" s="7" t="s">
        <v>154</v>
      </c>
      <c r="C105" s="71">
        <v>0.0</v>
      </c>
      <c r="D105" s="71">
        <v>0.0</v>
      </c>
      <c r="E105" s="71">
        <v>8827.166666666666</v>
      </c>
      <c r="F105" s="71">
        <v>10105.0</v>
      </c>
      <c r="G105" s="72">
        <v>177205.37083333332</v>
      </c>
      <c r="H105" s="72">
        <v>239741.12500000003</v>
      </c>
      <c r="I105" s="72">
        <f t="shared" ref="I105:J105" si="115">G105-C105</f>
        <v>177205.3708</v>
      </c>
      <c r="J105" s="72">
        <f t="shared" si="115"/>
        <v>239741.125</v>
      </c>
    </row>
    <row r="106" ht="15.75" customHeight="1">
      <c r="A106" s="7">
        <v>21601.0</v>
      </c>
      <c r="B106" s="7" t="s">
        <v>155</v>
      </c>
      <c r="C106" s="71">
        <v>0.0</v>
      </c>
      <c r="D106" s="71">
        <v>0.0</v>
      </c>
      <c r="E106" s="71">
        <v>13251.333333333334</v>
      </c>
      <c r="F106" s="71">
        <v>15763.0</v>
      </c>
      <c r="G106" s="72">
        <v>314387.88333333336</v>
      </c>
      <c r="H106" s="72">
        <v>373977.175</v>
      </c>
      <c r="I106" s="72">
        <f t="shared" ref="I106:J106" si="116">G106-C106</f>
        <v>314387.8833</v>
      </c>
      <c r="J106" s="72">
        <f t="shared" si="116"/>
        <v>373977.175</v>
      </c>
    </row>
    <row r="107" ht="15.75" customHeight="1">
      <c r="A107" s="7">
        <v>21602.0</v>
      </c>
      <c r="B107" s="7" t="s">
        <v>156</v>
      </c>
      <c r="C107" s="71">
        <v>0.0</v>
      </c>
      <c r="D107" s="71">
        <v>0.0</v>
      </c>
      <c r="E107" s="71">
        <v>3562.1666666666665</v>
      </c>
      <c r="F107" s="71">
        <v>6611.0</v>
      </c>
      <c r="G107" s="72">
        <v>58508.587499999994</v>
      </c>
      <c r="H107" s="72">
        <v>132715.825</v>
      </c>
      <c r="I107" s="72">
        <f t="shared" ref="I107:J107" si="117">G107-C107</f>
        <v>58508.5875</v>
      </c>
      <c r="J107" s="72">
        <f t="shared" si="117"/>
        <v>132715.825</v>
      </c>
    </row>
    <row r="108" ht="15.75" customHeight="1">
      <c r="A108" s="7">
        <v>21701.0</v>
      </c>
      <c r="B108" s="7" t="s">
        <v>157</v>
      </c>
      <c r="C108" s="71">
        <v>0.0</v>
      </c>
      <c r="D108" s="71">
        <v>0.0</v>
      </c>
      <c r="E108" s="71">
        <v>15142.0</v>
      </c>
      <c r="F108" s="71">
        <v>17463.0</v>
      </c>
      <c r="G108" s="72">
        <v>359243.95</v>
      </c>
      <c r="H108" s="72">
        <v>414309.675</v>
      </c>
      <c r="I108" s="72">
        <f t="shared" ref="I108:J108" si="118">G108-C108</f>
        <v>359243.95</v>
      </c>
      <c r="J108" s="72">
        <f t="shared" si="118"/>
        <v>414309.675</v>
      </c>
    </row>
    <row r="109" ht="15.75" customHeight="1">
      <c r="A109" s="7">
        <v>21702.0</v>
      </c>
      <c r="B109" s="7" t="s">
        <v>158</v>
      </c>
      <c r="C109" s="71">
        <v>0.0</v>
      </c>
      <c r="D109" s="71">
        <v>0.0</v>
      </c>
      <c r="E109" s="71">
        <v>6311.333333333333</v>
      </c>
      <c r="F109" s="71">
        <v>9164.0</v>
      </c>
      <c r="G109" s="72">
        <v>126700.01666666666</v>
      </c>
      <c r="H109" s="72">
        <v>183967.3</v>
      </c>
      <c r="I109" s="72">
        <f t="shared" ref="I109:J109" si="119">G109-C109</f>
        <v>126700.0167</v>
      </c>
      <c r="J109" s="72">
        <f t="shared" si="119"/>
        <v>183967.3</v>
      </c>
    </row>
    <row r="110" ht="15.75" customHeight="1">
      <c r="A110" s="7">
        <v>21703.0</v>
      </c>
      <c r="B110" s="7" t="s">
        <v>159</v>
      </c>
      <c r="C110" s="71">
        <v>0.0</v>
      </c>
      <c r="D110" s="71">
        <v>0.0</v>
      </c>
      <c r="E110" s="71">
        <v>6366.333333333333</v>
      </c>
      <c r="F110" s="71">
        <v>7525.0</v>
      </c>
      <c r="G110" s="72">
        <v>127804.14166666666</v>
      </c>
      <c r="H110" s="72">
        <v>151064.375</v>
      </c>
      <c r="I110" s="72">
        <f t="shared" ref="I110:J110" si="120">G110-C110</f>
        <v>127804.1417</v>
      </c>
      <c r="J110" s="72">
        <f t="shared" si="120"/>
        <v>151064.375</v>
      </c>
    </row>
    <row r="111" ht="15.75" customHeight="1">
      <c r="A111" s="7">
        <v>21801.0</v>
      </c>
      <c r="B111" s="7" t="s">
        <v>160</v>
      </c>
      <c r="C111" s="71">
        <v>0.0</v>
      </c>
      <c r="D111" s="71">
        <v>0.0</v>
      </c>
      <c r="E111" s="71">
        <v>8887.916666666666</v>
      </c>
      <c r="F111" s="71">
        <v>9217.0</v>
      </c>
      <c r="G111" s="72">
        <v>178424.9270833333</v>
      </c>
      <c r="H111" s="72">
        <v>185031.275</v>
      </c>
      <c r="I111" s="72">
        <f t="shared" ref="I111:J111" si="121">G111-C111</f>
        <v>178424.9271</v>
      </c>
      <c r="J111" s="72">
        <f t="shared" si="121"/>
        <v>185031.275</v>
      </c>
    </row>
    <row r="112" ht="15.75" customHeight="1">
      <c r="A112" s="7">
        <v>21802.0</v>
      </c>
      <c r="B112" s="7" t="s">
        <v>161</v>
      </c>
      <c r="C112" s="71">
        <v>0.0</v>
      </c>
      <c r="D112" s="71">
        <v>0.0</v>
      </c>
      <c r="E112" s="71">
        <v>6973.5</v>
      </c>
      <c r="F112" s="71">
        <v>6649.0</v>
      </c>
      <c r="G112" s="72">
        <v>139993.0125</v>
      </c>
      <c r="H112" s="72">
        <v>133478.675</v>
      </c>
      <c r="I112" s="72">
        <f t="shared" ref="I112:J112" si="122">G112-C112</f>
        <v>139993.0125</v>
      </c>
      <c r="J112" s="72">
        <f t="shared" si="122"/>
        <v>133478.675</v>
      </c>
    </row>
    <row r="113" ht="15.75" customHeight="1">
      <c r="A113" s="7">
        <v>21803.0</v>
      </c>
      <c r="B113" s="7" t="s">
        <v>162</v>
      </c>
      <c r="C113" s="71">
        <v>0.0</v>
      </c>
      <c r="D113" s="71">
        <v>0.0</v>
      </c>
      <c r="E113" s="71">
        <v>2008.0</v>
      </c>
      <c r="F113" s="71">
        <v>2052.0</v>
      </c>
      <c r="G113" s="72">
        <v>32981.4</v>
      </c>
      <c r="H113" s="72">
        <v>33704.1</v>
      </c>
      <c r="I113" s="72">
        <f t="shared" ref="I113:J113" si="123">G113-C113</f>
        <v>32981.4</v>
      </c>
      <c r="J113" s="72">
        <f t="shared" si="123"/>
        <v>33704.1</v>
      </c>
    </row>
    <row r="114" ht="15.75" customHeight="1">
      <c r="A114" s="7">
        <v>21901.0</v>
      </c>
      <c r="B114" s="7" t="s">
        <v>163</v>
      </c>
      <c r="C114" s="71">
        <v>0.0</v>
      </c>
      <c r="D114" s="71">
        <v>0.0</v>
      </c>
      <c r="E114" s="71">
        <v>4777.333333333333</v>
      </c>
      <c r="F114" s="71">
        <v>6805.0</v>
      </c>
      <c r="G114" s="72">
        <v>78467.7</v>
      </c>
      <c r="H114" s="72">
        <v>136610.375</v>
      </c>
      <c r="I114" s="72">
        <f t="shared" ref="I114:J114" si="124">G114-C114</f>
        <v>78467.7</v>
      </c>
      <c r="J114" s="72">
        <f t="shared" si="124"/>
        <v>136610.375</v>
      </c>
    </row>
    <row r="115" ht="15.75" customHeight="1">
      <c r="A115" s="7">
        <v>21902.0</v>
      </c>
      <c r="B115" s="7" t="s">
        <v>164</v>
      </c>
      <c r="C115" s="71">
        <v>0.0</v>
      </c>
      <c r="D115" s="71">
        <v>0.0</v>
      </c>
      <c r="E115" s="71">
        <v>3086.8333333333335</v>
      </c>
      <c r="F115" s="71">
        <v>5351.0</v>
      </c>
      <c r="G115" s="72">
        <v>50701.2375</v>
      </c>
      <c r="H115" s="72">
        <v>107421.325</v>
      </c>
      <c r="I115" s="72">
        <f t="shared" ref="I115:J115" si="125">G115-C115</f>
        <v>50701.2375</v>
      </c>
      <c r="J115" s="72">
        <f t="shared" si="125"/>
        <v>107421.325</v>
      </c>
    </row>
    <row r="116" ht="15.75" customHeight="1">
      <c r="A116" s="7">
        <v>22001.0</v>
      </c>
      <c r="B116" s="7" t="s">
        <v>165</v>
      </c>
      <c r="C116" s="71">
        <v>0.0</v>
      </c>
      <c r="D116" s="71">
        <v>0.0</v>
      </c>
      <c r="E116" s="71">
        <v>51108.833333333336</v>
      </c>
      <c r="F116" s="71">
        <v>59676.0</v>
      </c>
      <c r="G116" s="72">
        <v>2052019.6583333334</v>
      </c>
      <c r="H116" s="72">
        <v>2395991.4</v>
      </c>
      <c r="I116" s="72">
        <f t="shared" ref="I116:J116" si="126">G116-C116</f>
        <v>2052019.658</v>
      </c>
      <c r="J116" s="72">
        <f t="shared" si="126"/>
        <v>2395991.4</v>
      </c>
    </row>
    <row r="117" ht="15.75" customHeight="1">
      <c r="A117" s="7">
        <v>22002.0</v>
      </c>
      <c r="B117" s="7" t="s">
        <v>166</v>
      </c>
      <c r="C117" s="71">
        <v>0.0</v>
      </c>
      <c r="D117" s="71">
        <v>0.0</v>
      </c>
      <c r="E117" s="71">
        <v>11143.25</v>
      </c>
      <c r="F117" s="71">
        <v>10585.0</v>
      </c>
      <c r="G117" s="72">
        <v>264373.60625</v>
      </c>
      <c r="H117" s="72">
        <v>251129.125</v>
      </c>
      <c r="I117" s="72">
        <f t="shared" ref="I117:J117" si="127">G117-C117</f>
        <v>264373.6063</v>
      </c>
      <c r="J117" s="72">
        <f t="shared" si="127"/>
        <v>251129.125</v>
      </c>
    </row>
    <row r="118" ht="15.75" customHeight="1">
      <c r="A118" s="7">
        <v>30101.0</v>
      </c>
      <c r="B118" s="7" t="s">
        <v>113</v>
      </c>
      <c r="C118" s="71">
        <v>1.582226322E7</v>
      </c>
      <c r="D118" s="71">
        <v>8870156.64</v>
      </c>
      <c r="E118" s="71">
        <v>634804.0</v>
      </c>
      <c r="F118" s="71">
        <v>665505.0</v>
      </c>
      <c r="G118" s="72">
        <v>2.54873806E7</v>
      </c>
      <c r="H118" s="72">
        <v>2.672002575E7</v>
      </c>
      <c r="I118" s="72">
        <f t="shared" ref="I118:J118" si="128">G118-C118</f>
        <v>9665117.38</v>
      </c>
      <c r="J118" s="72">
        <f t="shared" si="128"/>
        <v>17849869.11</v>
      </c>
    </row>
    <row r="119" ht="15.75" customHeight="1">
      <c r="A119" s="7">
        <v>30201.0</v>
      </c>
      <c r="B119" s="7" t="s">
        <v>167</v>
      </c>
      <c r="C119" s="71">
        <v>0.0</v>
      </c>
      <c r="D119" s="71">
        <v>0.0</v>
      </c>
      <c r="E119" s="71">
        <v>23255.0</v>
      </c>
      <c r="F119" s="71">
        <v>23123.0</v>
      </c>
      <c r="G119" s="72">
        <v>551724.875</v>
      </c>
      <c r="H119" s="72">
        <v>548593.175</v>
      </c>
      <c r="I119" s="72">
        <f t="shared" ref="I119:J119" si="129">G119-C119</f>
        <v>551724.875</v>
      </c>
      <c r="J119" s="72">
        <f t="shared" si="129"/>
        <v>548593.175</v>
      </c>
    </row>
    <row r="120" ht="15.75" customHeight="1">
      <c r="A120" s="7">
        <v>30202.0</v>
      </c>
      <c r="B120" s="7" t="s">
        <v>168</v>
      </c>
      <c r="C120" s="71">
        <v>0.0</v>
      </c>
      <c r="D120" s="71">
        <v>0.0</v>
      </c>
      <c r="E120" s="71">
        <v>6821.5</v>
      </c>
      <c r="F120" s="71">
        <v>6475.0</v>
      </c>
      <c r="G120" s="72">
        <v>136941.6125</v>
      </c>
      <c r="H120" s="72">
        <v>129985.625</v>
      </c>
      <c r="I120" s="72">
        <f t="shared" ref="I120:J120" si="130">G120-C120</f>
        <v>136941.6125</v>
      </c>
      <c r="J120" s="72">
        <f t="shared" si="130"/>
        <v>129985.625</v>
      </c>
    </row>
    <row r="121" ht="15.75" customHeight="1">
      <c r="A121" s="7">
        <v>30203.0</v>
      </c>
      <c r="B121" s="7" t="s">
        <v>169</v>
      </c>
      <c r="C121" s="71">
        <v>0.0</v>
      </c>
      <c r="D121" s="71">
        <v>0.0</v>
      </c>
      <c r="E121" s="71">
        <v>5731.083333333333</v>
      </c>
      <c r="F121" s="71">
        <v>6700.0</v>
      </c>
      <c r="G121" s="72">
        <v>115051.49791666667</v>
      </c>
      <c r="H121" s="72">
        <v>134502.5</v>
      </c>
      <c r="I121" s="72">
        <f t="shared" ref="I121:J121" si="131">G121-C121</f>
        <v>115051.4979</v>
      </c>
      <c r="J121" s="72">
        <f t="shared" si="131"/>
        <v>134502.5</v>
      </c>
    </row>
    <row r="122" ht="15.75" customHeight="1">
      <c r="A122" s="7">
        <v>30301.0</v>
      </c>
      <c r="B122" s="7" t="s">
        <v>170</v>
      </c>
      <c r="C122" s="71">
        <v>0.0</v>
      </c>
      <c r="D122" s="71">
        <v>0.0</v>
      </c>
      <c r="E122" s="71">
        <v>23504.416666666668</v>
      </c>
      <c r="F122" s="71">
        <v>21815.0</v>
      </c>
      <c r="G122" s="72">
        <v>557642.2854166667</v>
      </c>
      <c r="H122" s="72">
        <v>517560.87500000006</v>
      </c>
      <c r="I122" s="72">
        <f t="shared" ref="I122:J122" si="132">G122-C122</f>
        <v>557642.2854</v>
      </c>
      <c r="J122" s="72">
        <f t="shared" si="132"/>
        <v>517560.875</v>
      </c>
    </row>
    <row r="123" ht="15.75" customHeight="1">
      <c r="A123" s="7">
        <v>30302.0</v>
      </c>
      <c r="B123" s="7" t="s">
        <v>171</v>
      </c>
      <c r="C123" s="71">
        <v>0.0</v>
      </c>
      <c r="D123" s="71">
        <v>0.0</v>
      </c>
      <c r="E123" s="71">
        <v>12957.25</v>
      </c>
      <c r="F123" s="71">
        <v>14720.0</v>
      </c>
      <c r="G123" s="72">
        <v>307410.75625000003</v>
      </c>
      <c r="H123" s="72">
        <v>349232.0</v>
      </c>
      <c r="I123" s="72">
        <f t="shared" ref="I123:J123" si="133">G123-C123</f>
        <v>307410.7563</v>
      </c>
      <c r="J123" s="72">
        <f t="shared" si="133"/>
        <v>349232</v>
      </c>
    </row>
    <row r="124" ht="15.75" customHeight="1">
      <c r="A124" s="7">
        <v>30303.0</v>
      </c>
      <c r="B124" s="7" t="s">
        <v>172</v>
      </c>
      <c r="C124" s="71">
        <v>0.0</v>
      </c>
      <c r="D124" s="71">
        <v>0.0</v>
      </c>
      <c r="E124" s="71">
        <v>18203.666666666668</v>
      </c>
      <c r="F124" s="71">
        <v>19608.0</v>
      </c>
      <c r="G124" s="72">
        <v>431881.9916666667</v>
      </c>
      <c r="H124" s="72">
        <v>465199.8</v>
      </c>
      <c r="I124" s="72">
        <f t="shared" ref="I124:J124" si="134">G124-C124</f>
        <v>431881.9917</v>
      </c>
      <c r="J124" s="72">
        <f t="shared" si="134"/>
        <v>465199.8</v>
      </c>
    </row>
    <row r="125" ht="15.75" customHeight="1">
      <c r="A125" s="7">
        <v>30401.0</v>
      </c>
      <c r="B125" s="7" t="s">
        <v>173</v>
      </c>
      <c r="C125" s="71">
        <v>0.0</v>
      </c>
      <c r="D125" s="71">
        <v>0.0</v>
      </c>
      <c r="E125" s="71">
        <v>8494.583333333334</v>
      </c>
      <c r="F125" s="71">
        <v>11273.0</v>
      </c>
      <c r="G125" s="72">
        <v>170528.7604166667</v>
      </c>
      <c r="H125" s="72">
        <v>267451.925</v>
      </c>
      <c r="I125" s="72">
        <f t="shared" ref="I125:J125" si="135">G125-C125</f>
        <v>170528.7604</v>
      </c>
      <c r="J125" s="72">
        <f t="shared" si="135"/>
        <v>267451.925</v>
      </c>
    </row>
    <row r="126" ht="15.75" customHeight="1">
      <c r="A126" s="7">
        <v>30402.0</v>
      </c>
      <c r="B126" s="7" t="s">
        <v>174</v>
      </c>
      <c r="C126" s="71">
        <v>0.0</v>
      </c>
      <c r="D126" s="71">
        <v>0.0</v>
      </c>
      <c r="E126" s="71">
        <v>7203.916666666667</v>
      </c>
      <c r="F126" s="71">
        <v>7335.0</v>
      </c>
      <c r="G126" s="72">
        <v>144618.62708333333</v>
      </c>
      <c r="H126" s="72">
        <v>147250.125</v>
      </c>
      <c r="I126" s="72">
        <f t="shared" ref="I126:J126" si="136">G126-C126</f>
        <v>144618.6271</v>
      </c>
      <c r="J126" s="72">
        <f t="shared" si="136"/>
        <v>147250.125</v>
      </c>
    </row>
    <row r="127" ht="15.75" customHeight="1">
      <c r="A127" s="7">
        <v>30403.0</v>
      </c>
      <c r="B127" s="7" t="s">
        <v>175</v>
      </c>
      <c r="C127" s="71">
        <v>0.0</v>
      </c>
      <c r="D127" s="71">
        <v>0.0</v>
      </c>
      <c r="E127" s="71">
        <v>18439.166666666668</v>
      </c>
      <c r="F127" s="71">
        <v>29375.0</v>
      </c>
      <c r="G127" s="72">
        <v>437469.2291666667</v>
      </c>
      <c r="H127" s="72">
        <v>857750.0</v>
      </c>
      <c r="I127" s="72">
        <f t="shared" ref="I127:J127" si="137">G127-C127</f>
        <v>437469.2292</v>
      </c>
      <c r="J127" s="72">
        <f t="shared" si="137"/>
        <v>857750</v>
      </c>
    </row>
    <row r="128" ht="15.75" customHeight="1">
      <c r="A128" s="7">
        <v>30404.0</v>
      </c>
      <c r="B128" s="7" t="s">
        <v>176</v>
      </c>
      <c r="C128" s="71">
        <v>0.0</v>
      </c>
      <c r="D128" s="71">
        <v>0.0</v>
      </c>
      <c r="E128" s="71">
        <v>4417.75</v>
      </c>
      <c r="F128" s="71">
        <v>4987.0</v>
      </c>
      <c r="G128" s="72">
        <v>72561.54375</v>
      </c>
      <c r="H128" s="72">
        <v>81911.47499999999</v>
      </c>
      <c r="I128" s="72">
        <f t="shared" ref="I128:J128" si="138">G128-C128</f>
        <v>72561.54375</v>
      </c>
      <c r="J128" s="72">
        <f t="shared" si="138"/>
        <v>81911.475</v>
      </c>
    </row>
    <row r="129" ht="15.75" customHeight="1">
      <c r="A129" s="7">
        <v>30501.0</v>
      </c>
      <c r="B129" s="7" t="s">
        <v>177</v>
      </c>
      <c r="C129" s="71">
        <v>0.0</v>
      </c>
      <c r="D129" s="71">
        <v>0.0</v>
      </c>
      <c r="E129" s="71">
        <v>9643.916666666666</v>
      </c>
      <c r="F129" s="71">
        <v>11183.0</v>
      </c>
      <c r="G129" s="72">
        <v>193601.6270833333</v>
      </c>
      <c r="H129" s="72">
        <v>265316.675</v>
      </c>
      <c r="I129" s="72">
        <f t="shared" ref="I129:J129" si="139">G129-C129</f>
        <v>193601.6271</v>
      </c>
      <c r="J129" s="72">
        <f t="shared" si="139"/>
        <v>265316.675</v>
      </c>
    </row>
    <row r="130" ht="15.75" customHeight="1">
      <c r="A130" s="7">
        <v>30502.0</v>
      </c>
      <c r="B130" s="7" t="s">
        <v>178</v>
      </c>
      <c r="C130" s="71">
        <v>0.0</v>
      </c>
      <c r="D130" s="71">
        <v>0.0</v>
      </c>
      <c r="E130" s="71">
        <v>8895.75</v>
      </c>
      <c r="F130" s="71">
        <v>8409.0</v>
      </c>
      <c r="G130" s="72">
        <v>178582.18125</v>
      </c>
      <c r="H130" s="72">
        <v>168810.675</v>
      </c>
      <c r="I130" s="72">
        <f t="shared" ref="I130:J130" si="140">G130-C130</f>
        <v>178582.1813</v>
      </c>
      <c r="J130" s="72">
        <f t="shared" si="140"/>
        <v>168810.675</v>
      </c>
    </row>
    <row r="131" ht="15.75" customHeight="1">
      <c r="A131" s="7">
        <v>30601.0</v>
      </c>
      <c r="B131" s="7" t="s">
        <v>179</v>
      </c>
      <c r="C131" s="71">
        <v>0.0</v>
      </c>
      <c r="D131" s="71">
        <v>0.0</v>
      </c>
      <c r="E131" s="71">
        <v>10599.916666666666</v>
      </c>
      <c r="F131" s="71">
        <v>10632.0</v>
      </c>
      <c r="G131" s="72">
        <v>251483.02291666667</v>
      </c>
      <c r="H131" s="72">
        <v>252244.2</v>
      </c>
      <c r="I131" s="72">
        <f t="shared" ref="I131:J131" si="141">G131-C131</f>
        <v>251483.0229</v>
      </c>
      <c r="J131" s="72">
        <f t="shared" si="141"/>
        <v>252244.2</v>
      </c>
    </row>
    <row r="132" ht="15.75" customHeight="1">
      <c r="A132" s="7">
        <v>30602.0</v>
      </c>
      <c r="B132" s="7" t="s">
        <v>180</v>
      </c>
      <c r="C132" s="71">
        <v>0.0</v>
      </c>
      <c r="D132" s="71">
        <v>0.0</v>
      </c>
      <c r="E132" s="71">
        <v>10294.416666666666</v>
      </c>
      <c r="F132" s="71">
        <v>10750.0</v>
      </c>
      <c r="G132" s="72">
        <v>244235.03541666665</v>
      </c>
      <c r="H132" s="72">
        <v>255043.75</v>
      </c>
      <c r="I132" s="72">
        <f t="shared" ref="I132:J132" si="142">G132-C132</f>
        <v>244235.0354</v>
      </c>
      <c r="J132" s="72">
        <f t="shared" si="142"/>
        <v>255043.75</v>
      </c>
    </row>
    <row r="133" ht="15.75" customHeight="1">
      <c r="A133" s="7">
        <v>30701.0</v>
      </c>
      <c r="B133" s="7" t="s">
        <v>181</v>
      </c>
      <c r="C133" s="71">
        <v>0.0</v>
      </c>
      <c r="D133" s="71">
        <v>0.0</v>
      </c>
      <c r="E133" s="71">
        <v>19472.833333333332</v>
      </c>
      <c r="F133" s="71">
        <v>19427.0</v>
      </c>
      <c r="G133" s="72">
        <v>461992.9708333333</v>
      </c>
      <c r="H133" s="72">
        <v>460905.575</v>
      </c>
      <c r="I133" s="72">
        <f t="shared" ref="I133:J133" si="143">G133-C133</f>
        <v>461992.9708</v>
      </c>
      <c r="J133" s="72">
        <f t="shared" si="143"/>
        <v>460905.575</v>
      </c>
    </row>
    <row r="134" ht="15.75" customHeight="1">
      <c r="A134" s="7">
        <v>30702.0</v>
      </c>
      <c r="B134" s="7" t="s">
        <v>182</v>
      </c>
      <c r="C134" s="71">
        <v>0.0</v>
      </c>
      <c r="D134" s="71">
        <v>0.0</v>
      </c>
      <c r="E134" s="71">
        <v>6644.75</v>
      </c>
      <c r="F134" s="71">
        <v>7940.0</v>
      </c>
      <c r="G134" s="72">
        <v>133393.35625</v>
      </c>
      <c r="H134" s="72">
        <v>159395.5</v>
      </c>
      <c r="I134" s="72">
        <f t="shared" ref="I134:J134" si="144">G134-C134</f>
        <v>133393.3563</v>
      </c>
      <c r="J134" s="72">
        <f t="shared" si="144"/>
        <v>159395.5</v>
      </c>
    </row>
    <row r="135" ht="15.75" customHeight="1">
      <c r="A135" s="7">
        <v>30703.0</v>
      </c>
      <c r="B135" s="7" t="s">
        <v>183</v>
      </c>
      <c r="C135" s="71">
        <v>0.0</v>
      </c>
      <c r="D135" s="71">
        <v>0.0</v>
      </c>
      <c r="E135" s="71">
        <v>3760.0</v>
      </c>
      <c r="F135" s="71">
        <v>3980.0</v>
      </c>
      <c r="G135" s="72">
        <v>61757.99999999999</v>
      </c>
      <c r="H135" s="72">
        <v>65371.5</v>
      </c>
      <c r="I135" s="72">
        <f t="shared" ref="I135:J135" si="145">G135-C135</f>
        <v>61758</v>
      </c>
      <c r="J135" s="72">
        <f t="shared" si="145"/>
        <v>65371.5</v>
      </c>
    </row>
    <row r="136" ht="15.75" customHeight="1">
      <c r="A136" s="7">
        <v>30801.0</v>
      </c>
      <c r="B136" s="7" t="s">
        <v>184</v>
      </c>
      <c r="C136" s="71">
        <v>0.0</v>
      </c>
      <c r="D136" s="71">
        <v>0.0</v>
      </c>
      <c r="E136" s="71">
        <v>21837.0</v>
      </c>
      <c r="F136" s="71">
        <v>21155.0</v>
      </c>
      <c r="G136" s="72">
        <v>518082.825</v>
      </c>
      <c r="H136" s="72">
        <v>501902.375</v>
      </c>
      <c r="I136" s="72">
        <f t="shared" ref="I136:J136" si="146">G136-C136</f>
        <v>518082.825</v>
      </c>
      <c r="J136" s="72">
        <f t="shared" si="146"/>
        <v>501902.375</v>
      </c>
    </row>
    <row r="137" ht="15.75" customHeight="1">
      <c r="A137" s="7">
        <v>30802.0</v>
      </c>
      <c r="B137" s="7" t="s">
        <v>185</v>
      </c>
      <c r="C137" s="71">
        <v>0.0</v>
      </c>
      <c r="D137" s="71">
        <v>0.0</v>
      </c>
      <c r="E137" s="71">
        <v>7084.083333333333</v>
      </c>
      <c r="F137" s="71">
        <v>7382.0</v>
      </c>
      <c r="G137" s="72">
        <v>142212.97291666665</v>
      </c>
      <c r="H137" s="72">
        <v>148193.65</v>
      </c>
      <c r="I137" s="72">
        <f t="shared" ref="I137:J137" si="147">G137-C137</f>
        <v>142212.9729</v>
      </c>
      <c r="J137" s="72">
        <f t="shared" si="147"/>
        <v>148193.65</v>
      </c>
    </row>
    <row r="138" ht="15.75" customHeight="1">
      <c r="A138" s="7">
        <v>30803.0</v>
      </c>
      <c r="B138" s="7" t="s">
        <v>186</v>
      </c>
      <c r="C138" s="71">
        <v>0.0</v>
      </c>
      <c r="D138" s="71">
        <v>0.0</v>
      </c>
      <c r="E138" s="71">
        <v>5804.083333333333</v>
      </c>
      <c r="F138" s="71">
        <v>8687.0</v>
      </c>
      <c r="G138" s="72">
        <v>116516.97291666667</v>
      </c>
      <c r="H138" s="72">
        <v>174391.52500000002</v>
      </c>
      <c r="I138" s="72">
        <f t="shared" ref="I138:J138" si="148">G138-C138</f>
        <v>116516.9729</v>
      </c>
      <c r="J138" s="72">
        <f t="shared" si="148"/>
        <v>174391.525</v>
      </c>
    </row>
    <row r="139" ht="15.75" customHeight="1">
      <c r="A139" s="7">
        <v>30901.0</v>
      </c>
      <c r="B139" s="7" t="s">
        <v>187</v>
      </c>
      <c r="C139" s="71">
        <v>0.0</v>
      </c>
      <c r="D139" s="71">
        <v>0.0</v>
      </c>
      <c r="E139" s="71">
        <v>139645.25</v>
      </c>
      <c r="F139" s="71">
        <v>166741.0</v>
      </c>
      <c r="G139" s="72">
        <v>5606756.787500001</v>
      </c>
      <c r="H139" s="72">
        <v>6694651.149999999</v>
      </c>
      <c r="I139" s="72">
        <f t="shared" ref="I139:J139" si="149">G139-C139</f>
        <v>5606756.788</v>
      </c>
      <c r="J139" s="72">
        <f t="shared" si="149"/>
        <v>6694651.15</v>
      </c>
    </row>
    <row r="140" ht="15.75" customHeight="1">
      <c r="A140" s="7">
        <v>30902.0</v>
      </c>
      <c r="B140" s="7" t="s">
        <v>188</v>
      </c>
      <c r="C140" s="71">
        <v>0.0</v>
      </c>
      <c r="D140" s="71">
        <v>0.0</v>
      </c>
      <c r="E140" s="71">
        <v>42765.75</v>
      </c>
      <c r="F140" s="71">
        <v>55908.0</v>
      </c>
      <c r="G140" s="72">
        <v>1248759.9000000001</v>
      </c>
      <c r="H140" s="72">
        <v>2244706.2</v>
      </c>
      <c r="I140" s="72">
        <f t="shared" ref="I140:J140" si="150">G140-C140</f>
        <v>1248759.9</v>
      </c>
      <c r="J140" s="72">
        <f t="shared" si="150"/>
        <v>2244706.2</v>
      </c>
    </row>
    <row r="141" ht="15.75" customHeight="1">
      <c r="A141" s="7">
        <v>30903.0</v>
      </c>
      <c r="B141" s="7" t="s">
        <v>189</v>
      </c>
      <c r="C141" s="71">
        <v>0.0</v>
      </c>
      <c r="D141" s="71">
        <v>0.0</v>
      </c>
      <c r="E141" s="71">
        <v>54565.333333333336</v>
      </c>
      <c r="F141" s="71">
        <v>61840.0</v>
      </c>
      <c r="G141" s="72">
        <v>2190798.133333334</v>
      </c>
      <c r="H141" s="72">
        <v>2482876.0</v>
      </c>
      <c r="I141" s="72">
        <f t="shared" ref="I141:J141" si="151">G141-C141</f>
        <v>2190798.133</v>
      </c>
      <c r="J141" s="72">
        <f t="shared" si="151"/>
        <v>2482876</v>
      </c>
    </row>
    <row r="142" ht="15.75" customHeight="1">
      <c r="A142" s="7">
        <v>30904.0</v>
      </c>
      <c r="B142" s="7" t="s">
        <v>190</v>
      </c>
      <c r="C142" s="71">
        <v>0.0</v>
      </c>
      <c r="D142" s="71">
        <v>0.0</v>
      </c>
      <c r="E142" s="71">
        <v>52309.333333333336</v>
      </c>
      <c r="F142" s="71">
        <v>56064.0</v>
      </c>
      <c r="G142" s="72">
        <v>2100219.7333333334</v>
      </c>
      <c r="H142" s="72">
        <v>2250969.6</v>
      </c>
      <c r="I142" s="72">
        <f t="shared" ref="I142:J142" si="152">G142-C142</f>
        <v>2100219.733</v>
      </c>
      <c r="J142" s="72">
        <f t="shared" si="152"/>
        <v>2250969.6</v>
      </c>
    </row>
    <row r="143" ht="15.75" customHeight="1">
      <c r="A143" s="7">
        <v>30905.0</v>
      </c>
      <c r="B143" s="7" t="s">
        <v>191</v>
      </c>
      <c r="C143" s="71">
        <v>0.0</v>
      </c>
      <c r="D143" s="71">
        <v>0.0</v>
      </c>
      <c r="E143" s="71">
        <v>53199.583333333336</v>
      </c>
      <c r="F143" s="71">
        <v>66505.0</v>
      </c>
      <c r="G143" s="72">
        <v>2135963.2708333335</v>
      </c>
      <c r="H143" s="72">
        <v>2670175.75</v>
      </c>
      <c r="I143" s="72">
        <f t="shared" ref="I143:J143" si="153">G143-C143</f>
        <v>2135963.271</v>
      </c>
      <c r="J143" s="72">
        <f t="shared" si="153"/>
        <v>2670175.75</v>
      </c>
    </row>
    <row r="144" ht="15.75" customHeight="1">
      <c r="A144" s="7">
        <v>31001.0</v>
      </c>
      <c r="B144" s="7" t="s">
        <v>192</v>
      </c>
      <c r="C144" s="71">
        <v>0.0</v>
      </c>
      <c r="D144" s="71">
        <v>2585353.28</v>
      </c>
      <c r="E144" s="71">
        <v>176351.5</v>
      </c>
      <c r="F144" s="71">
        <v>219092.0</v>
      </c>
      <c r="G144" s="72">
        <v>7080512.725000001</v>
      </c>
      <c r="H144" s="72">
        <v>8796543.799999999</v>
      </c>
      <c r="I144" s="72">
        <f t="shared" ref="I144:J144" si="154">G144-C144</f>
        <v>7080512.725</v>
      </c>
      <c r="J144" s="72">
        <f t="shared" si="154"/>
        <v>6211190.52</v>
      </c>
    </row>
    <row r="145" ht="15.75" customHeight="1">
      <c r="A145" s="7">
        <v>31002.0</v>
      </c>
      <c r="B145" s="7" t="s">
        <v>193</v>
      </c>
      <c r="C145" s="71">
        <v>0.0</v>
      </c>
      <c r="D145" s="71">
        <v>0.0</v>
      </c>
      <c r="E145" s="71">
        <v>19498.416666666668</v>
      </c>
      <c r="F145" s="71">
        <v>21846.0</v>
      </c>
      <c r="G145" s="72">
        <v>462599.93541666673</v>
      </c>
      <c r="H145" s="72">
        <v>518296.35</v>
      </c>
      <c r="I145" s="72">
        <f t="shared" ref="I145:J145" si="155">G145-C145</f>
        <v>462599.9354</v>
      </c>
      <c r="J145" s="72">
        <f t="shared" si="155"/>
        <v>518296.35</v>
      </c>
    </row>
    <row r="146" ht="15.75" customHeight="1">
      <c r="A146" s="7">
        <v>31003.0</v>
      </c>
      <c r="B146" s="7" t="s">
        <v>194</v>
      </c>
      <c r="C146" s="71">
        <v>0.0</v>
      </c>
      <c r="D146" s="71">
        <v>0.0</v>
      </c>
      <c r="E146" s="71">
        <v>73249.41666666667</v>
      </c>
      <c r="F146" s="71">
        <v>93747.0</v>
      </c>
      <c r="G146" s="72">
        <v>2940964.079166667</v>
      </c>
      <c r="H146" s="72">
        <v>3763942.05</v>
      </c>
      <c r="I146" s="72">
        <f t="shared" ref="I146:J146" si="156">G146-C146</f>
        <v>2940964.079</v>
      </c>
      <c r="J146" s="72">
        <f t="shared" si="156"/>
        <v>3763942.05</v>
      </c>
    </row>
    <row r="147" ht="15.75" customHeight="1">
      <c r="A147" s="7">
        <v>31101.0</v>
      </c>
      <c r="B147" s="7" t="s">
        <v>195</v>
      </c>
      <c r="C147" s="71">
        <v>0.0</v>
      </c>
      <c r="D147" s="71">
        <v>0.0</v>
      </c>
      <c r="E147" s="71">
        <v>24628.416666666668</v>
      </c>
      <c r="F147" s="71">
        <v>24666.0</v>
      </c>
      <c r="G147" s="72">
        <v>584309.1854166668</v>
      </c>
      <c r="H147" s="72">
        <v>585200.85</v>
      </c>
      <c r="I147" s="72">
        <f t="shared" ref="I147:J147" si="157">G147-C147</f>
        <v>584309.1854</v>
      </c>
      <c r="J147" s="72">
        <f t="shared" si="157"/>
        <v>585200.85</v>
      </c>
    </row>
    <row r="148" ht="15.75" customHeight="1">
      <c r="A148" s="7">
        <v>31201.0</v>
      </c>
      <c r="B148" s="7" t="s">
        <v>196</v>
      </c>
      <c r="C148" s="71">
        <v>0.0</v>
      </c>
      <c r="D148" s="71">
        <v>0.0</v>
      </c>
      <c r="E148" s="71">
        <v>14678.0</v>
      </c>
      <c r="F148" s="71">
        <v>14821.0</v>
      </c>
      <c r="G148" s="72">
        <v>348235.55000000005</v>
      </c>
      <c r="H148" s="72">
        <v>351628.225</v>
      </c>
      <c r="I148" s="72">
        <f t="shared" ref="I148:J148" si="158">G148-C148</f>
        <v>348235.55</v>
      </c>
      <c r="J148" s="72">
        <f t="shared" si="158"/>
        <v>351628.225</v>
      </c>
    </row>
    <row r="149" ht="15.75" customHeight="1">
      <c r="A149" s="7">
        <v>31202.0</v>
      </c>
      <c r="B149" s="7" t="s">
        <v>197</v>
      </c>
      <c r="C149" s="71">
        <v>0.0</v>
      </c>
      <c r="D149" s="71">
        <v>0.0</v>
      </c>
      <c r="E149" s="71">
        <v>10298.416666666666</v>
      </c>
      <c r="F149" s="71">
        <v>11865.0</v>
      </c>
      <c r="G149" s="72">
        <v>244329.93541666665</v>
      </c>
      <c r="H149" s="72">
        <v>281497.125</v>
      </c>
      <c r="I149" s="72">
        <f t="shared" ref="I149:J149" si="159">G149-C149</f>
        <v>244329.9354</v>
      </c>
      <c r="J149" s="72">
        <f t="shared" si="159"/>
        <v>281497.125</v>
      </c>
    </row>
    <row r="150" ht="15.75" customHeight="1">
      <c r="A150" s="7">
        <v>31203.0</v>
      </c>
      <c r="B150" s="7" t="s">
        <v>198</v>
      </c>
      <c r="C150" s="71">
        <v>0.0</v>
      </c>
      <c r="D150" s="71">
        <v>0.0</v>
      </c>
      <c r="E150" s="71">
        <v>10875.666666666666</v>
      </c>
      <c r="F150" s="71">
        <v>12258.0</v>
      </c>
      <c r="G150" s="72">
        <v>258025.19166666665</v>
      </c>
      <c r="H150" s="72">
        <v>290821.05</v>
      </c>
      <c r="I150" s="72">
        <f t="shared" ref="I150:J150" si="160">G150-C150</f>
        <v>258025.1917</v>
      </c>
      <c r="J150" s="72">
        <f t="shared" si="160"/>
        <v>290821.05</v>
      </c>
    </row>
    <row r="151" ht="15.75" customHeight="1">
      <c r="A151" s="7">
        <v>31204.0</v>
      </c>
      <c r="B151" s="7" t="s">
        <v>199</v>
      </c>
      <c r="C151" s="71">
        <v>0.0</v>
      </c>
      <c r="D151" s="71">
        <v>0.0</v>
      </c>
      <c r="E151" s="71">
        <v>22218.083333333332</v>
      </c>
      <c r="F151" s="71">
        <v>27521.0</v>
      </c>
      <c r="G151" s="72">
        <v>527124.0270833333</v>
      </c>
      <c r="H151" s="72">
        <v>803613.2</v>
      </c>
      <c r="I151" s="72">
        <f t="shared" ref="I151:J151" si="161">G151-C151</f>
        <v>527124.0271</v>
      </c>
      <c r="J151" s="72">
        <f t="shared" si="161"/>
        <v>803613.2</v>
      </c>
    </row>
    <row r="152" ht="15.75" customHeight="1">
      <c r="A152" s="7">
        <v>31205.0</v>
      </c>
      <c r="B152" s="7" t="s">
        <v>200</v>
      </c>
      <c r="C152" s="71">
        <v>0.0</v>
      </c>
      <c r="D152" s="71">
        <v>0.0</v>
      </c>
      <c r="E152" s="71">
        <v>48124.333333333336</v>
      </c>
      <c r="F152" s="71">
        <v>64595.0</v>
      </c>
      <c r="G152" s="72">
        <v>1405230.5333333334</v>
      </c>
      <c r="H152" s="72">
        <v>2593489.25</v>
      </c>
      <c r="I152" s="72">
        <f t="shared" ref="I152:J152" si="162">G152-C152</f>
        <v>1405230.533</v>
      </c>
      <c r="J152" s="72">
        <f t="shared" si="162"/>
        <v>2593489.25</v>
      </c>
    </row>
    <row r="153" ht="15.75" customHeight="1">
      <c r="A153" s="7">
        <v>31206.0</v>
      </c>
      <c r="B153" s="7" t="s">
        <v>201</v>
      </c>
      <c r="C153" s="71">
        <v>0.0</v>
      </c>
      <c r="D153" s="71">
        <v>0.0</v>
      </c>
      <c r="E153" s="71">
        <v>32735.833333333332</v>
      </c>
      <c r="F153" s="71">
        <v>45780.0</v>
      </c>
      <c r="G153" s="72">
        <v>955886.3333333334</v>
      </c>
      <c r="H153" s="72">
        <v>1336776.0</v>
      </c>
      <c r="I153" s="72">
        <f t="shared" ref="I153:J153" si="163">G153-C153</f>
        <v>955886.3333</v>
      </c>
      <c r="J153" s="72">
        <f t="shared" si="163"/>
        <v>1336776</v>
      </c>
    </row>
    <row r="154" ht="15.75" customHeight="1">
      <c r="A154" s="7">
        <v>31301.0</v>
      </c>
      <c r="B154" s="7" t="s">
        <v>202</v>
      </c>
      <c r="C154" s="71">
        <v>0.0</v>
      </c>
      <c r="D154" s="71">
        <v>0.0</v>
      </c>
      <c r="E154" s="71">
        <v>19866.666666666668</v>
      </c>
      <c r="F154" s="71">
        <v>19896.0</v>
      </c>
      <c r="G154" s="72">
        <v>471336.66666666674</v>
      </c>
      <c r="H154" s="72">
        <v>472032.6</v>
      </c>
      <c r="I154" s="72">
        <f t="shared" ref="I154:J154" si="164">G154-C154</f>
        <v>471336.6667</v>
      </c>
      <c r="J154" s="72">
        <f t="shared" si="164"/>
        <v>472032.6</v>
      </c>
    </row>
    <row r="155" ht="15.75" customHeight="1">
      <c r="A155" s="7">
        <v>31302.0</v>
      </c>
      <c r="B155" s="7" t="s">
        <v>203</v>
      </c>
      <c r="C155" s="71">
        <v>0.0</v>
      </c>
      <c r="D155" s="71">
        <v>0.0</v>
      </c>
      <c r="E155" s="71">
        <v>5441.083333333333</v>
      </c>
      <c r="F155" s="71">
        <v>5244.0</v>
      </c>
      <c r="G155" s="72">
        <v>109229.74791666666</v>
      </c>
      <c r="H155" s="72">
        <v>105273.3</v>
      </c>
      <c r="I155" s="72">
        <f t="shared" ref="I155:J155" si="165">G155-C155</f>
        <v>109229.7479</v>
      </c>
      <c r="J155" s="72">
        <f t="shared" si="165"/>
        <v>105273.3</v>
      </c>
    </row>
    <row r="156" ht="15.75" customHeight="1">
      <c r="A156" s="7">
        <v>31303.0</v>
      </c>
      <c r="B156" s="7" t="s">
        <v>204</v>
      </c>
      <c r="C156" s="71">
        <v>0.0</v>
      </c>
      <c r="D156" s="71">
        <v>0.0</v>
      </c>
      <c r="E156" s="71">
        <v>3452.4166666666665</v>
      </c>
      <c r="F156" s="71">
        <v>3512.0</v>
      </c>
      <c r="G156" s="72">
        <v>56705.94375</v>
      </c>
      <c r="H156" s="72">
        <v>57684.6</v>
      </c>
      <c r="I156" s="72">
        <f t="shared" ref="I156:J156" si="166">G156-C156</f>
        <v>56705.94375</v>
      </c>
      <c r="J156" s="72">
        <f t="shared" si="166"/>
        <v>57684.6</v>
      </c>
    </row>
    <row r="157" ht="15.75" customHeight="1">
      <c r="A157" s="7">
        <v>31304.0</v>
      </c>
      <c r="B157" s="7" t="s">
        <v>205</v>
      </c>
      <c r="C157" s="71">
        <v>0.0</v>
      </c>
      <c r="D157" s="71">
        <v>0.0</v>
      </c>
      <c r="E157" s="71">
        <v>7121.0</v>
      </c>
      <c r="F157" s="71">
        <v>8056.0</v>
      </c>
      <c r="G157" s="72">
        <v>142954.075</v>
      </c>
      <c r="H157" s="72">
        <v>161724.19999999998</v>
      </c>
      <c r="I157" s="72">
        <f t="shared" ref="I157:J157" si="167">G157-C157</f>
        <v>142954.075</v>
      </c>
      <c r="J157" s="72">
        <f t="shared" si="167"/>
        <v>161724.2</v>
      </c>
    </row>
    <row r="158" ht="15.75" customHeight="1">
      <c r="A158" s="7">
        <v>31401.0</v>
      </c>
      <c r="B158" s="7" t="s">
        <v>206</v>
      </c>
      <c r="C158" s="71">
        <v>0.0</v>
      </c>
      <c r="D158" s="71">
        <v>0.0</v>
      </c>
      <c r="E158" s="71">
        <v>29417.083333333332</v>
      </c>
      <c r="F158" s="71">
        <v>35248.0</v>
      </c>
      <c r="G158" s="72">
        <v>858978.8333333334</v>
      </c>
      <c r="H158" s="72">
        <v>1029241.6000000001</v>
      </c>
      <c r="I158" s="72">
        <f t="shared" ref="I158:J158" si="168">G158-C158</f>
        <v>858978.8333</v>
      </c>
      <c r="J158" s="72">
        <f t="shared" si="168"/>
        <v>1029241.6</v>
      </c>
    </row>
    <row r="159" ht="15.75" customHeight="1">
      <c r="A159" s="7">
        <v>31402.0</v>
      </c>
      <c r="B159" s="7" t="s">
        <v>207</v>
      </c>
      <c r="C159" s="71">
        <v>0.0</v>
      </c>
      <c r="D159" s="71">
        <v>0.0</v>
      </c>
      <c r="E159" s="71">
        <v>8173.666666666667</v>
      </c>
      <c r="F159" s="71">
        <v>8599.0</v>
      </c>
      <c r="G159" s="72">
        <v>164086.35833333334</v>
      </c>
      <c r="H159" s="72">
        <v>172624.925</v>
      </c>
      <c r="I159" s="72">
        <f t="shared" ref="I159:J159" si="169">G159-C159</f>
        <v>164086.3583</v>
      </c>
      <c r="J159" s="72">
        <f t="shared" si="169"/>
        <v>172624.925</v>
      </c>
    </row>
    <row r="160" ht="15.75" customHeight="1">
      <c r="A160" s="7">
        <v>31403.0</v>
      </c>
      <c r="B160" s="7" t="s">
        <v>208</v>
      </c>
      <c r="C160" s="71">
        <v>0.0</v>
      </c>
      <c r="D160" s="71">
        <v>0.0</v>
      </c>
      <c r="E160" s="71">
        <v>13519.666666666666</v>
      </c>
      <c r="F160" s="71">
        <v>13054.0</v>
      </c>
      <c r="G160" s="72">
        <v>320754.0916666667</v>
      </c>
      <c r="H160" s="72">
        <v>309706.15</v>
      </c>
      <c r="I160" s="72">
        <f t="shared" ref="I160:J160" si="170">G160-C160</f>
        <v>320754.0917</v>
      </c>
      <c r="J160" s="72">
        <f t="shared" si="170"/>
        <v>309706.15</v>
      </c>
    </row>
    <row r="161" ht="15.75" customHeight="1">
      <c r="A161" s="7">
        <v>31404.0</v>
      </c>
      <c r="B161" s="7" t="s">
        <v>209</v>
      </c>
      <c r="C161" s="71">
        <v>0.0</v>
      </c>
      <c r="D161" s="71">
        <v>0.0</v>
      </c>
      <c r="E161" s="71">
        <v>1301.6666666666667</v>
      </c>
      <c r="F161" s="71">
        <v>1287.0</v>
      </c>
      <c r="G161" s="72">
        <v>16628.791666666668</v>
      </c>
      <c r="H161" s="72">
        <v>16441.425</v>
      </c>
      <c r="I161" s="72">
        <f t="shared" ref="I161:J161" si="171">G161-C161</f>
        <v>16628.79167</v>
      </c>
      <c r="J161" s="72">
        <f t="shared" si="171"/>
        <v>16441.425</v>
      </c>
    </row>
    <row r="162" ht="15.75" customHeight="1">
      <c r="A162" s="7">
        <v>31405.0</v>
      </c>
      <c r="B162" s="7" t="s">
        <v>210</v>
      </c>
      <c r="C162" s="71">
        <v>0.0</v>
      </c>
      <c r="D162" s="71">
        <v>0.0</v>
      </c>
      <c r="E162" s="71">
        <v>2855.8333333333335</v>
      </c>
      <c r="F162" s="71">
        <v>3822.0</v>
      </c>
      <c r="G162" s="72">
        <v>46907.06249999999</v>
      </c>
      <c r="H162" s="72">
        <v>62776.34999999999</v>
      </c>
      <c r="I162" s="72">
        <f t="shared" ref="I162:J162" si="172">G162-C162</f>
        <v>46907.0625</v>
      </c>
      <c r="J162" s="72">
        <f t="shared" si="172"/>
        <v>62776.35</v>
      </c>
    </row>
    <row r="163" ht="15.75" customHeight="1">
      <c r="A163" s="7">
        <v>31501.0</v>
      </c>
      <c r="B163" s="7" t="s">
        <v>211</v>
      </c>
      <c r="C163" s="71">
        <v>0.0</v>
      </c>
      <c r="D163" s="71">
        <v>0.0</v>
      </c>
      <c r="E163" s="71">
        <v>7362.583333333333</v>
      </c>
      <c r="F163" s="71">
        <v>8282.0</v>
      </c>
      <c r="G163" s="72">
        <v>147803.86041666666</v>
      </c>
      <c r="H163" s="72">
        <v>166261.15</v>
      </c>
      <c r="I163" s="72">
        <f t="shared" ref="I163:J163" si="173">G163-C163</f>
        <v>147803.8604</v>
      </c>
      <c r="J163" s="72">
        <f t="shared" si="173"/>
        <v>166261.15</v>
      </c>
    </row>
    <row r="164" ht="15.75" customHeight="1">
      <c r="A164" s="7">
        <v>31601.0</v>
      </c>
      <c r="B164" s="7" t="s">
        <v>212</v>
      </c>
      <c r="C164" s="71">
        <v>0.0</v>
      </c>
      <c r="D164" s="71">
        <v>107142.4</v>
      </c>
      <c r="E164" s="71">
        <v>21001.333333333332</v>
      </c>
      <c r="F164" s="71">
        <v>18475.0</v>
      </c>
      <c r="G164" s="72">
        <v>498256.6333333333</v>
      </c>
      <c r="H164" s="72">
        <v>438319.375</v>
      </c>
      <c r="I164" s="72">
        <f t="shared" ref="I164:J164" si="174">G164-C164</f>
        <v>498256.6333</v>
      </c>
      <c r="J164" s="72">
        <f t="shared" si="174"/>
        <v>331176.975</v>
      </c>
    </row>
    <row r="165" ht="15.75" customHeight="1">
      <c r="A165" s="7">
        <v>31602.0</v>
      </c>
      <c r="B165" s="7" t="s">
        <v>213</v>
      </c>
      <c r="C165" s="71">
        <v>0.0</v>
      </c>
      <c r="D165" s="71">
        <v>295006.4</v>
      </c>
      <c r="E165" s="71">
        <v>21368.583333333332</v>
      </c>
      <c r="F165" s="71">
        <v>27172.0</v>
      </c>
      <c r="G165" s="72">
        <v>506969.63958333334</v>
      </c>
      <c r="H165" s="72">
        <v>793422.4</v>
      </c>
      <c r="I165" s="72">
        <f t="shared" ref="I165:J165" si="175">G165-C165</f>
        <v>506969.6396</v>
      </c>
      <c r="J165" s="72">
        <f t="shared" si="175"/>
        <v>498416</v>
      </c>
    </row>
    <row r="166" ht="15.75" customHeight="1">
      <c r="A166" s="7">
        <v>40101.0</v>
      </c>
      <c r="B166" s="7" t="s">
        <v>115</v>
      </c>
      <c r="C166" s="71">
        <v>0.0</v>
      </c>
      <c r="D166" s="71">
        <v>0.0</v>
      </c>
      <c r="E166" s="71">
        <v>267726.9166666667</v>
      </c>
      <c r="F166" s="71">
        <v>298350.0</v>
      </c>
      <c r="G166" s="72">
        <v>1.0749235704166668E7</v>
      </c>
      <c r="H166" s="72">
        <v>1.19787525E7</v>
      </c>
      <c r="I166" s="72">
        <f t="shared" ref="I166:J166" si="176">G166-C166</f>
        <v>10749235.7</v>
      </c>
      <c r="J166" s="72">
        <f t="shared" si="176"/>
        <v>11978752.5</v>
      </c>
    </row>
    <row r="167" ht="15.75" customHeight="1">
      <c r="A167" s="7">
        <v>40102.0</v>
      </c>
      <c r="B167" s="7" t="s">
        <v>214</v>
      </c>
      <c r="C167" s="71">
        <v>0.0</v>
      </c>
      <c r="D167" s="71">
        <v>0.0</v>
      </c>
      <c r="E167" s="71">
        <v>23092.916666666668</v>
      </c>
      <c r="F167" s="71">
        <v>22850.0</v>
      </c>
      <c r="G167" s="72">
        <v>547879.4479166667</v>
      </c>
      <c r="H167" s="72">
        <v>542116.25</v>
      </c>
      <c r="I167" s="72">
        <f t="shared" ref="I167:J167" si="177">G167-C167</f>
        <v>547879.4479</v>
      </c>
      <c r="J167" s="72">
        <f t="shared" si="177"/>
        <v>542116.25</v>
      </c>
    </row>
    <row r="168" ht="15.75" customHeight="1">
      <c r="A168" s="7">
        <v>40103.0</v>
      </c>
      <c r="B168" s="7" t="s">
        <v>215</v>
      </c>
      <c r="C168" s="71">
        <v>0.0</v>
      </c>
      <c r="D168" s="71">
        <v>0.0</v>
      </c>
      <c r="E168" s="71">
        <v>8831.0</v>
      </c>
      <c r="F168" s="71">
        <v>9997.0</v>
      </c>
      <c r="G168" s="72">
        <v>177282.32499999998</v>
      </c>
      <c r="H168" s="72">
        <v>200689.77500000002</v>
      </c>
      <c r="I168" s="72">
        <f t="shared" ref="I168:J168" si="178">G168-C168</f>
        <v>177282.325</v>
      </c>
      <c r="J168" s="72">
        <f t="shared" si="178"/>
        <v>200689.775</v>
      </c>
    </row>
    <row r="169" ht="15.75" customHeight="1">
      <c r="A169" s="7">
        <v>40104.0</v>
      </c>
      <c r="B169" s="7" t="s">
        <v>216</v>
      </c>
      <c r="C169" s="71">
        <v>0.0</v>
      </c>
      <c r="D169" s="71">
        <v>0.0</v>
      </c>
      <c r="E169" s="71">
        <v>13089.166666666666</v>
      </c>
      <c r="F169" s="71">
        <v>15764.0</v>
      </c>
      <c r="G169" s="72">
        <v>310540.4791666667</v>
      </c>
      <c r="H169" s="72">
        <v>374000.9</v>
      </c>
      <c r="I169" s="72">
        <f t="shared" ref="I169:J169" si="179">G169-C169</f>
        <v>310540.4792</v>
      </c>
      <c r="J169" s="72">
        <f t="shared" si="179"/>
        <v>374000.9</v>
      </c>
    </row>
    <row r="170" ht="15.75" customHeight="1">
      <c r="A170" s="7">
        <v>40201.0</v>
      </c>
      <c r="B170" s="7" t="s">
        <v>217</v>
      </c>
      <c r="C170" s="71">
        <v>0.0</v>
      </c>
      <c r="D170" s="71">
        <v>496929.6</v>
      </c>
      <c r="E170" s="71">
        <v>29460.416666666668</v>
      </c>
      <c r="F170" s="71">
        <v>35427.0</v>
      </c>
      <c r="G170" s="72">
        <v>860244.1666666667</v>
      </c>
      <c r="H170" s="72">
        <v>1034468.3999999999</v>
      </c>
      <c r="I170" s="72">
        <f t="shared" ref="I170:J170" si="180">G170-C170</f>
        <v>860244.1667</v>
      </c>
      <c r="J170" s="72">
        <f t="shared" si="180"/>
        <v>537538.8</v>
      </c>
    </row>
    <row r="171" ht="15.75" customHeight="1">
      <c r="A171" s="7">
        <v>40202.0</v>
      </c>
      <c r="B171" s="7" t="s">
        <v>218</v>
      </c>
      <c r="C171" s="71">
        <v>0.0</v>
      </c>
      <c r="D171" s="71">
        <v>0.0</v>
      </c>
      <c r="E171" s="71">
        <v>4143.5</v>
      </c>
      <c r="F171" s="71">
        <v>5161.0</v>
      </c>
      <c r="G171" s="72">
        <v>68056.98749999999</v>
      </c>
      <c r="H171" s="72">
        <v>103607.07500000001</v>
      </c>
      <c r="I171" s="72">
        <f t="shared" ref="I171:J171" si="181">G171-C171</f>
        <v>68056.9875</v>
      </c>
      <c r="J171" s="72">
        <f t="shared" si="181"/>
        <v>103607.075</v>
      </c>
    </row>
    <row r="172" ht="15.75" customHeight="1">
      <c r="A172" s="7">
        <v>40301.0</v>
      </c>
      <c r="B172" s="7" t="s">
        <v>219</v>
      </c>
      <c r="C172" s="71">
        <v>0.0</v>
      </c>
      <c r="D172" s="71">
        <v>0.0</v>
      </c>
      <c r="E172" s="71">
        <v>9794.333333333334</v>
      </c>
      <c r="F172" s="71">
        <v>16101.0</v>
      </c>
      <c r="G172" s="72">
        <v>196621.2416666667</v>
      </c>
      <c r="H172" s="72">
        <v>381996.22500000003</v>
      </c>
      <c r="I172" s="72">
        <f t="shared" ref="I172:J172" si="182">G172-C172</f>
        <v>196621.2417</v>
      </c>
      <c r="J172" s="72">
        <f t="shared" si="182"/>
        <v>381996.225</v>
      </c>
    </row>
    <row r="173" ht="15.75" customHeight="1">
      <c r="A173" s="7">
        <v>40302.0</v>
      </c>
      <c r="B173" s="7" t="s">
        <v>220</v>
      </c>
      <c r="C173" s="71">
        <v>0.0</v>
      </c>
      <c r="D173" s="71">
        <v>0.0</v>
      </c>
      <c r="E173" s="71">
        <v>1904.5</v>
      </c>
      <c r="F173" s="71">
        <v>2504.0</v>
      </c>
      <c r="G173" s="72">
        <v>24329.987500000007</v>
      </c>
      <c r="H173" s="72">
        <v>41128.2</v>
      </c>
      <c r="I173" s="72">
        <f t="shared" ref="I173:J173" si="183">G173-C173</f>
        <v>24329.9875</v>
      </c>
      <c r="J173" s="72">
        <f t="shared" si="183"/>
        <v>41128.2</v>
      </c>
    </row>
    <row r="174" ht="15.75" customHeight="1">
      <c r="A174" s="7">
        <v>40401.0</v>
      </c>
      <c r="B174" s="7" t="s">
        <v>221</v>
      </c>
      <c r="C174" s="71">
        <v>0.0</v>
      </c>
      <c r="D174" s="71">
        <v>0.0</v>
      </c>
      <c r="E174" s="71">
        <v>4392.25</v>
      </c>
      <c r="F174" s="71">
        <v>6683.0</v>
      </c>
      <c r="G174" s="72">
        <v>72142.70625</v>
      </c>
      <c r="H174" s="72">
        <v>134161.225</v>
      </c>
      <c r="I174" s="72">
        <f t="shared" ref="I174:J174" si="184">G174-C174</f>
        <v>72142.70625</v>
      </c>
      <c r="J174" s="72">
        <f t="shared" si="184"/>
        <v>134161.225</v>
      </c>
    </row>
    <row r="175" ht="15.75" customHeight="1">
      <c r="A175" s="7">
        <v>40402.0</v>
      </c>
      <c r="B175" s="7" t="s">
        <v>222</v>
      </c>
      <c r="C175" s="71">
        <v>0.0</v>
      </c>
      <c r="D175" s="71">
        <v>0.0</v>
      </c>
      <c r="E175" s="71">
        <v>5256.666666666667</v>
      </c>
      <c r="F175" s="71">
        <v>5803.0</v>
      </c>
      <c r="G175" s="72">
        <v>105527.58333333334</v>
      </c>
      <c r="H175" s="72">
        <v>116495.225</v>
      </c>
      <c r="I175" s="72">
        <f t="shared" ref="I175:J175" si="185">G175-C175</f>
        <v>105527.5833</v>
      </c>
      <c r="J175" s="72">
        <f t="shared" si="185"/>
        <v>116495.225</v>
      </c>
    </row>
    <row r="176" ht="15.75" customHeight="1">
      <c r="A176" s="7">
        <v>40501.0</v>
      </c>
      <c r="B176" s="7" t="s">
        <v>223</v>
      </c>
      <c r="C176" s="71">
        <v>0.0</v>
      </c>
      <c r="D176" s="71">
        <v>0.0</v>
      </c>
      <c r="E176" s="71">
        <v>1253.6666666666667</v>
      </c>
      <c r="F176" s="71">
        <v>4011.0</v>
      </c>
      <c r="G176" s="72">
        <v>16015.591666666669</v>
      </c>
      <c r="H176" s="72">
        <v>65880.675</v>
      </c>
      <c r="I176" s="72">
        <f t="shared" ref="I176:J176" si="186">G176-C176</f>
        <v>16015.59167</v>
      </c>
      <c r="J176" s="72">
        <f t="shared" si="186"/>
        <v>65880.675</v>
      </c>
    </row>
    <row r="177" ht="15.75" customHeight="1">
      <c r="A177" s="7">
        <v>40502.0</v>
      </c>
      <c r="B177" s="7" t="s">
        <v>224</v>
      </c>
      <c r="C177" s="71">
        <v>0.0</v>
      </c>
      <c r="D177" s="71">
        <v>0.0</v>
      </c>
      <c r="E177" s="71">
        <v>4223.666666666667</v>
      </c>
      <c r="F177" s="71">
        <v>4231.0</v>
      </c>
      <c r="G177" s="72">
        <v>69373.725</v>
      </c>
      <c r="H177" s="72">
        <v>69494.17499999999</v>
      </c>
      <c r="I177" s="72">
        <f t="shared" ref="I177:J177" si="187">G177-C177</f>
        <v>69373.725</v>
      </c>
      <c r="J177" s="72">
        <f t="shared" si="187"/>
        <v>69494.175</v>
      </c>
    </row>
    <row r="178" ht="15.75" customHeight="1">
      <c r="A178" s="7">
        <v>40503.0</v>
      </c>
      <c r="B178" s="7" t="s">
        <v>225</v>
      </c>
      <c r="C178" s="71">
        <v>0.0</v>
      </c>
      <c r="D178" s="71">
        <v>0.0</v>
      </c>
      <c r="E178" s="71">
        <v>1929.5</v>
      </c>
      <c r="F178" s="71">
        <v>1517.0</v>
      </c>
      <c r="G178" s="72">
        <v>24649.362500000007</v>
      </c>
      <c r="H178" s="72">
        <v>19379.675000000003</v>
      </c>
      <c r="I178" s="72">
        <f t="shared" ref="I178:J178" si="188">G178-C178</f>
        <v>24649.3625</v>
      </c>
      <c r="J178" s="72">
        <f t="shared" si="188"/>
        <v>19379.675</v>
      </c>
    </row>
    <row r="179" ht="15.75" customHeight="1">
      <c r="A179" s="7">
        <v>40504.0</v>
      </c>
      <c r="B179" s="7" t="s">
        <v>226</v>
      </c>
      <c r="C179" s="71">
        <v>0.0</v>
      </c>
      <c r="D179" s="71">
        <v>0.0</v>
      </c>
      <c r="E179" s="71">
        <v>544.0833333333334</v>
      </c>
      <c r="F179" s="71">
        <v>875.0</v>
      </c>
      <c r="G179" s="72">
        <v>6950.664583333335</v>
      </c>
      <c r="H179" s="72">
        <v>11178.125000000002</v>
      </c>
      <c r="I179" s="72">
        <f t="shared" ref="I179:J179" si="189">G179-C179</f>
        <v>6950.664583</v>
      </c>
      <c r="J179" s="72">
        <f t="shared" si="189"/>
        <v>11178.125</v>
      </c>
    </row>
    <row r="180" ht="15.75" customHeight="1">
      <c r="A180" s="7">
        <v>40505.0</v>
      </c>
      <c r="B180" s="7" t="s">
        <v>227</v>
      </c>
      <c r="C180" s="71">
        <v>0.0</v>
      </c>
      <c r="D180" s="71">
        <v>0.0</v>
      </c>
      <c r="E180" s="71">
        <v>2800.3333333333335</v>
      </c>
      <c r="F180" s="71">
        <v>3882.0</v>
      </c>
      <c r="G180" s="72">
        <v>45995.475</v>
      </c>
      <c r="H180" s="72">
        <v>63761.85</v>
      </c>
      <c r="I180" s="72">
        <f t="shared" ref="I180:J180" si="190">G180-C180</f>
        <v>45995.475</v>
      </c>
      <c r="J180" s="72">
        <f t="shared" si="190"/>
        <v>63761.85</v>
      </c>
    </row>
    <row r="181" ht="15.75" customHeight="1">
      <c r="A181" s="7">
        <v>40601.0</v>
      </c>
      <c r="B181" s="7" t="s">
        <v>228</v>
      </c>
      <c r="C181" s="71">
        <v>0.0</v>
      </c>
      <c r="D181" s="71">
        <v>0.0</v>
      </c>
      <c r="E181" s="71">
        <v>7720.5</v>
      </c>
      <c r="F181" s="71">
        <v>9189.0</v>
      </c>
      <c r="G181" s="72">
        <v>154989.0375</v>
      </c>
      <c r="H181" s="72">
        <v>184469.175</v>
      </c>
      <c r="I181" s="72">
        <f t="shared" ref="I181:J181" si="191">G181-C181</f>
        <v>154989.0375</v>
      </c>
      <c r="J181" s="72">
        <f t="shared" si="191"/>
        <v>184469.175</v>
      </c>
    </row>
    <row r="182" ht="15.75" customHeight="1">
      <c r="A182" s="7">
        <v>40602.0</v>
      </c>
      <c r="B182" s="7" t="s">
        <v>229</v>
      </c>
      <c r="C182" s="71">
        <v>0.0</v>
      </c>
      <c r="D182" s="71">
        <v>0.0</v>
      </c>
      <c r="E182" s="71">
        <v>5813.0</v>
      </c>
      <c r="F182" s="71">
        <v>4251.0</v>
      </c>
      <c r="G182" s="72">
        <v>116695.97499999999</v>
      </c>
      <c r="H182" s="72">
        <v>69822.67499999999</v>
      </c>
      <c r="I182" s="72">
        <f t="shared" ref="I182:J182" si="192">G182-C182</f>
        <v>116695.975</v>
      </c>
      <c r="J182" s="72">
        <f t="shared" si="192"/>
        <v>69822.675</v>
      </c>
    </row>
    <row r="183" ht="15.75" customHeight="1">
      <c r="A183" s="7">
        <v>40603.0</v>
      </c>
      <c r="B183" s="7" t="s">
        <v>230</v>
      </c>
      <c r="C183" s="71">
        <v>0.0</v>
      </c>
      <c r="D183" s="71">
        <v>0.0</v>
      </c>
      <c r="E183" s="71">
        <v>3297.5</v>
      </c>
      <c r="F183" s="71">
        <v>3666.0</v>
      </c>
      <c r="G183" s="72">
        <v>54161.43749999999</v>
      </c>
      <c r="H183" s="72">
        <v>60214.05</v>
      </c>
      <c r="I183" s="72">
        <f t="shared" ref="I183:J183" si="193">G183-C183</f>
        <v>54161.4375</v>
      </c>
      <c r="J183" s="72">
        <f t="shared" si="193"/>
        <v>60214.05</v>
      </c>
    </row>
    <row r="184" ht="15.75" customHeight="1">
      <c r="A184" s="7">
        <v>40701.0</v>
      </c>
      <c r="B184" s="7" t="s">
        <v>231</v>
      </c>
      <c r="C184" s="71">
        <v>0.0</v>
      </c>
      <c r="D184" s="71">
        <v>0.0</v>
      </c>
      <c r="E184" s="71">
        <v>24297.083333333332</v>
      </c>
      <c r="F184" s="71">
        <v>20118.0</v>
      </c>
      <c r="G184" s="72">
        <v>576448.3020833334</v>
      </c>
      <c r="H184" s="72">
        <v>477299.55000000005</v>
      </c>
      <c r="I184" s="72">
        <f t="shared" ref="I184:J184" si="194">G184-C184</f>
        <v>576448.3021</v>
      </c>
      <c r="J184" s="72">
        <f t="shared" si="194"/>
        <v>477299.55</v>
      </c>
    </row>
    <row r="185" ht="15.75" customHeight="1">
      <c r="A185" s="7">
        <v>40702.0</v>
      </c>
      <c r="B185" s="7" t="s">
        <v>232</v>
      </c>
      <c r="C185" s="71">
        <v>0.0</v>
      </c>
      <c r="D185" s="71">
        <v>0.0</v>
      </c>
      <c r="E185" s="71">
        <v>4928.333333333333</v>
      </c>
      <c r="F185" s="71">
        <v>6120.0</v>
      </c>
      <c r="G185" s="72">
        <v>80947.87499999999</v>
      </c>
      <c r="H185" s="72">
        <v>122859.00000000001</v>
      </c>
      <c r="I185" s="72">
        <f t="shared" ref="I185:J185" si="195">G185-C185</f>
        <v>80947.875</v>
      </c>
      <c r="J185" s="72">
        <f t="shared" si="195"/>
        <v>122859</v>
      </c>
    </row>
    <row r="186" ht="15.75" customHeight="1">
      <c r="A186" s="7">
        <v>40801.0</v>
      </c>
      <c r="B186" s="7" t="s">
        <v>233</v>
      </c>
      <c r="C186" s="71">
        <v>0.0</v>
      </c>
      <c r="D186" s="71">
        <v>0.0</v>
      </c>
      <c r="E186" s="71">
        <v>12216.0</v>
      </c>
      <c r="F186" s="71">
        <v>15934.0</v>
      </c>
      <c r="G186" s="72">
        <v>289824.60000000003</v>
      </c>
      <c r="H186" s="72">
        <v>378034.15</v>
      </c>
      <c r="I186" s="72">
        <f t="shared" ref="I186:J186" si="196">G186-C186</f>
        <v>289824.6</v>
      </c>
      <c r="J186" s="72">
        <f t="shared" si="196"/>
        <v>378034.15</v>
      </c>
    </row>
    <row r="187" ht="15.75" customHeight="1">
      <c r="A187" s="7">
        <v>40802.0</v>
      </c>
      <c r="B187" s="7" t="s">
        <v>234</v>
      </c>
      <c r="C187" s="71">
        <v>0.0</v>
      </c>
      <c r="D187" s="71">
        <v>0.0</v>
      </c>
      <c r="E187" s="71">
        <v>2991.6666666666665</v>
      </c>
      <c r="F187" s="71">
        <v>3197.0</v>
      </c>
      <c r="G187" s="72">
        <v>49138.125</v>
      </c>
      <c r="H187" s="72">
        <v>52510.72499999999</v>
      </c>
      <c r="I187" s="72">
        <f t="shared" ref="I187:J187" si="197">G187-C187</f>
        <v>49138.125</v>
      </c>
      <c r="J187" s="72">
        <f t="shared" si="197"/>
        <v>52510.725</v>
      </c>
    </row>
    <row r="188" ht="15.75" customHeight="1">
      <c r="A188" s="7">
        <v>40901.0</v>
      </c>
      <c r="B188" s="7" t="s">
        <v>235</v>
      </c>
      <c r="C188" s="71">
        <v>0.0</v>
      </c>
      <c r="D188" s="71">
        <v>0.0</v>
      </c>
      <c r="E188" s="71">
        <v>8641.833333333334</v>
      </c>
      <c r="F188" s="71">
        <v>15504.0</v>
      </c>
      <c r="G188" s="72">
        <v>173484.80416666667</v>
      </c>
      <c r="H188" s="72">
        <v>367832.4</v>
      </c>
      <c r="I188" s="72">
        <f t="shared" ref="I188:J188" si="198">G188-C188</f>
        <v>173484.8042</v>
      </c>
      <c r="J188" s="72">
        <f t="shared" si="198"/>
        <v>367832.4</v>
      </c>
    </row>
    <row r="189" ht="15.75" customHeight="1">
      <c r="A189" s="7">
        <v>40902.0</v>
      </c>
      <c r="B189" s="7" t="s">
        <v>236</v>
      </c>
      <c r="C189" s="71">
        <v>0.0</v>
      </c>
      <c r="D189" s="71">
        <v>0.0</v>
      </c>
      <c r="E189" s="71">
        <v>944.9166666666666</v>
      </c>
      <c r="F189" s="71">
        <v>1406.0</v>
      </c>
      <c r="G189" s="72">
        <v>12071.310416666665</v>
      </c>
      <c r="H189" s="72">
        <v>17961.65</v>
      </c>
      <c r="I189" s="72">
        <f t="shared" ref="I189:J189" si="199">G189-C189</f>
        <v>12071.31042</v>
      </c>
      <c r="J189" s="72">
        <f t="shared" si="199"/>
        <v>17961.65</v>
      </c>
    </row>
    <row r="190" ht="15.75" customHeight="1">
      <c r="A190" s="7">
        <v>40903.0</v>
      </c>
      <c r="B190" s="7" t="s">
        <v>237</v>
      </c>
      <c r="C190" s="71">
        <v>0.0</v>
      </c>
      <c r="D190" s="71">
        <v>0.0</v>
      </c>
      <c r="E190" s="71">
        <v>2032.3333333333333</v>
      </c>
      <c r="F190" s="71">
        <v>2355.0</v>
      </c>
      <c r="G190" s="72">
        <v>33381.075</v>
      </c>
      <c r="H190" s="72">
        <v>38680.875</v>
      </c>
      <c r="I190" s="72">
        <f t="shared" ref="I190:J190" si="200">G190-C190</f>
        <v>33381.075</v>
      </c>
      <c r="J190" s="72">
        <f t="shared" si="200"/>
        <v>38680.875</v>
      </c>
    </row>
    <row r="191" ht="15.75" customHeight="1">
      <c r="A191" s="7">
        <v>41001.0</v>
      </c>
      <c r="B191" s="7" t="s">
        <v>238</v>
      </c>
      <c r="C191" s="71">
        <v>0.0</v>
      </c>
      <c r="D191" s="71">
        <v>0.0</v>
      </c>
      <c r="E191" s="71">
        <v>10320.083333333334</v>
      </c>
      <c r="F191" s="71">
        <v>12202.0</v>
      </c>
      <c r="G191" s="72">
        <v>244843.97708333336</v>
      </c>
      <c r="H191" s="72">
        <v>289492.45</v>
      </c>
      <c r="I191" s="72">
        <f t="shared" ref="I191:J191" si="201">G191-C191</f>
        <v>244843.9771</v>
      </c>
      <c r="J191" s="72">
        <f t="shared" si="201"/>
        <v>289492.45</v>
      </c>
    </row>
    <row r="192" ht="15.75" customHeight="1">
      <c r="A192" s="7">
        <v>41101.0</v>
      </c>
      <c r="B192" s="7" t="s">
        <v>239</v>
      </c>
      <c r="C192" s="71">
        <v>0.0</v>
      </c>
      <c r="D192" s="71">
        <v>0.0</v>
      </c>
      <c r="E192" s="71">
        <v>5272.666666666667</v>
      </c>
      <c r="F192" s="71">
        <v>5335.0</v>
      </c>
      <c r="G192" s="72">
        <v>105848.78333333334</v>
      </c>
      <c r="H192" s="72">
        <v>107100.125</v>
      </c>
      <c r="I192" s="72">
        <f t="shared" ref="I192:J192" si="202">G192-C192</f>
        <v>105848.7833</v>
      </c>
      <c r="J192" s="72">
        <f t="shared" si="202"/>
        <v>107100.125</v>
      </c>
    </row>
    <row r="193" ht="15.75" customHeight="1">
      <c r="A193" s="7">
        <v>41201.0</v>
      </c>
      <c r="B193" s="7" t="s">
        <v>240</v>
      </c>
      <c r="C193" s="71">
        <v>0.0</v>
      </c>
      <c r="D193" s="71">
        <v>0.0</v>
      </c>
      <c r="E193" s="71">
        <v>5307.25</v>
      </c>
      <c r="F193" s="71">
        <v>6311.0</v>
      </c>
      <c r="G193" s="72">
        <v>106543.04375</v>
      </c>
      <c r="H193" s="72">
        <v>126693.32500000001</v>
      </c>
      <c r="I193" s="72">
        <f t="shared" ref="I193:J193" si="203">G193-C193</f>
        <v>106543.0438</v>
      </c>
      <c r="J193" s="72">
        <f t="shared" si="203"/>
        <v>126693.325</v>
      </c>
    </row>
    <row r="194" ht="15.75" customHeight="1">
      <c r="A194" s="7">
        <v>41202.0</v>
      </c>
      <c r="B194" s="7" t="s">
        <v>241</v>
      </c>
      <c r="C194" s="71">
        <v>0.0</v>
      </c>
      <c r="D194" s="71">
        <v>0.0</v>
      </c>
      <c r="E194" s="71">
        <v>2103.0833333333335</v>
      </c>
      <c r="F194" s="71">
        <v>3061.0</v>
      </c>
      <c r="G194" s="72">
        <v>34543.14375</v>
      </c>
      <c r="H194" s="72">
        <v>50276.925</v>
      </c>
      <c r="I194" s="72">
        <f t="shared" ref="I194:J194" si="204">G194-C194</f>
        <v>34543.14375</v>
      </c>
      <c r="J194" s="72">
        <f t="shared" si="204"/>
        <v>50276.925</v>
      </c>
    </row>
    <row r="195" ht="15.75" customHeight="1">
      <c r="A195" s="7">
        <v>41301.0</v>
      </c>
      <c r="B195" s="7" t="s">
        <v>196</v>
      </c>
      <c r="C195" s="71">
        <v>0.0</v>
      </c>
      <c r="D195" s="71">
        <v>0.0</v>
      </c>
      <c r="E195" s="71">
        <v>5623.166666666667</v>
      </c>
      <c r="F195" s="71">
        <v>6637.0</v>
      </c>
      <c r="G195" s="72">
        <v>112885.07083333335</v>
      </c>
      <c r="H195" s="72">
        <v>133237.77500000002</v>
      </c>
      <c r="I195" s="72">
        <f t="shared" ref="I195:J195" si="205">G195-C195</f>
        <v>112885.0708</v>
      </c>
      <c r="J195" s="72">
        <f t="shared" si="205"/>
        <v>133237.775</v>
      </c>
    </row>
    <row r="196" ht="15.75" customHeight="1">
      <c r="A196" s="7">
        <v>41401.0</v>
      </c>
      <c r="B196" s="7" t="s">
        <v>242</v>
      </c>
      <c r="C196" s="71">
        <v>0.0</v>
      </c>
      <c r="D196" s="71">
        <v>0.0</v>
      </c>
      <c r="E196" s="71">
        <v>13301.25</v>
      </c>
      <c r="F196" s="71">
        <v>13502.0</v>
      </c>
      <c r="G196" s="72">
        <v>315572.15625</v>
      </c>
      <c r="H196" s="72">
        <v>320334.95</v>
      </c>
      <c r="I196" s="72">
        <f t="shared" ref="I196:J196" si="206">G196-C196</f>
        <v>315572.1563</v>
      </c>
      <c r="J196" s="72">
        <f t="shared" si="206"/>
        <v>320334.95</v>
      </c>
    </row>
    <row r="197" ht="15.75" customHeight="1">
      <c r="A197" s="7">
        <v>41501.0</v>
      </c>
      <c r="B197" s="7" t="s">
        <v>243</v>
      </c>
      <c r="C197" s="71">
        <v>0.0</v>
      </c>
      <c r="D197" s="71">
        <v>0.0</v>
      </c>
      <c r="E197" s="71">
        <v>571.75</v>
      </c>
      <c r="F197" s="71">
        <v>1262.0</v>
      </c>
      <c r="G197" s="72">
        <v>7304.10625</v>
      </c>
      <c r="H197" s="72">
        <v>16122.050000000001</v>
      </c>
      <c r="I197" s="72">
        <f t="shared" ref="I197:J197" si="207">G197-C197</f>
        <v>7304.10625</v>
      </c>
      <c r="J197" s="72">
        <f t="shared" si="207"/>
        <v>16122.05</v>
      </c>
    </row>
    <row r="198" ht="15.75" customHeight="1">
      <c r="A198" s="7">
        <v>41502.0</v>
      </c>
      <c r="B198" s="7" t="s">
        <v>244</v>
      </c>
      <c r="C198" s="71">
        <v>0.0</v>
      </c>
      <c r="D198" s="71">
        <v>0.0</v>
      </c>
      <c r="E198" s="71">
        <v>761.4166666666666</v>
      </c>
      <c r="F198" s="71">
        <v>1140.0</v>
      </c>
      <c r="G198" s="72">
        <v>9727.097916666668</v>
      </c>
      <c r="H198" s="72">
        <v>14563.500000000002</v>
      </c>
      <c r="I198" s="72">
        <f t="shared" ref="I198:J198" si="208">G198-C198</f>
        <v>9727.097917</v>
      </c>
      <c r="J198" s="72">
        <f t="shared" si="208"/>
        <v>14563.5</v>
      </c>
    </row>
    <row r="199" ht="15.75" customHeight="1">
      <c r="A199" s="7">
        <v>41503.0</v>
      </c>
      <c r="B199" s="7" t="s">
        <v>245</v>
      </c>
      <c r="C199" s="71">
        <v>0.0</v>
      </c>
      <c r="D199" s="71">
        <v>0.0</v>
      </c>
      <c r="E199" s="71">
        <v>864.0833333333334</v>
      </c>
      <c r="F199" s="71">
        <v>1129.0</v>
      </c>
      <c r="G199" s="72">
        <v>11038.664583333335</v>
      </c>
      <c r="H199" s="72">
        <v>14422.975</v>
      </c>
      <c r="I199" s="72">
        <f t="shared" ref="I199:J199" si="209">G199-C199</f>
        <v>11038.66458</v>
      </c>
      <c r="J199" s="72">
        <f t="shared" si="209"/>
        <v>14422.975</v>
      </c>
    </row>
    <row r="200" ht="15.75" customHeight="1">
      <c r="A200" s="7">
        <v>41601.0</v>
      </c>
      <c r="B200" s="7" t="s">
        <v>246</v>
      </c>
      <c r="C200" s="71">
        <v>0.0</v>
      </c>
      <c r="D200" s="71">
        <v>0.0</v>
      </c>
      <c r="E200" s="71">
        <v>5543.166666666667</v>
      </c>
      <c r="F200" s="71">
        <v>5996.0</v>
      </c>
      <c r="G200" s="72">
        <v>111279.07083333333</v>
      </c>
      <c r="H200" s="72">
        <v>120369.70000000001</v>
      </c>
      <c r="I200" s="72">
        <f t="shared" ref="I200:J200" si="210">G200-C200</f>
        <v>111279.0708</v>
      </c>
      <c r="J200" s="72">
        <f t="shared" si="210"/>
        <v>120369.7</v>
      </c>
    </row>
    <row r="201" ht="15.75" customHeight="1">
      <c r="A201" s="7">
        <v>50101.0</v>
      </c>
      <c r="B201" s="7" t="s">
        <v>117</v>
      </c>
      <c r="C201" s="71">
        <v>0.0</v>
      </c>
      <c r="D201" s="71">
        <v>0.0</v>
      </c>
      <c r="E201" s="71">
        <v>193585.33333333334</v>
      </c>
      <c r="F201" s="71">
        <v>218702.0</v>
      </c>
      <c r="G201" s="72">
        <v>7772451.133333334</v>
      </c>
      <c r="H201" s="72">
        <v>8780885.3</v>
      </c>
      <c r="I201" s="72">
        <f t="shared" ref="I201:J201" si="211">G201-C201</f>
        <v>7772451.133</v>
      </c>
      <c r="J201" s="72">
        <f t="shared" si="211"/>
        <v>8780885.3</v>
      </c>
    </row>
    <row r="202" ht="15.75" customHeight="1">
      <c r="A202" s="7">
        <v>50102.0</v>
      </c>
      <c r="B202" s="7" t="s">
        <v>247</v>
      </c>
      <c r="C202" s="71">
        <v>0.0</v>
      </c>
      <c r="D202" s="71">
        <v>0.0</v>
      </c>
      <c r="E202" s="71">
        <v>27345.166666666668</v>
      </c>
      <c r="F202" s="71">
        <v>28942.0</v>
      </c>
      <c r="G202" s="72">
        <v>798478.8666666668</v>
      </c>
      <c r="H202" s="72">
        <v>845106.4</v>
      </c>
      <c r="I202" s="72">
        <f t="shared" ref="I202:J202" si="212">G202-C202</f>
        <v>798478.8667</v>
      </c>
      <c r="J202" s="72">
        <f t="shared" si="212"/>
        <v>845106.4</v>
      </c>
    </row>
    <row r="203" ht="15.75" customHeight="1">
      <c r="A203" s="7">
        <v>50103.0</v>
      </c>
      <c r="B203" s="7" t="s">
        <v>248</v>
      </c>
      <c r="C203" s="71">
        <v>0.0</v>
      </c>
      <c r="D203" s="71">
        <v>0.0</v>
      </c>
      <c r="E203" s="71">
        <v>9251.833333333334</v>
      </c>
      <c r="F203" s="71">
        <v>12253.0</v>
      </c>
      <c r="G203" s="72">
        <v>185730.55416666667</v>
      </c>
      <c r="H203" s="72">
        <v>290702.42500000005</v>
      </c>
      <c r="I203" s="72">
        <f t="shared" ref="I203:J203" si="213">G203-C203</f>
        <v>185730.5542</v>
      </c>
      <c r="J203" s="72">
        <f t="shared" si="213"/>
        <v>290702.425</v>
      </c>
    </row>
    <row r="204" ht="15.75" customHeight="1">
      <c r="A204" s="7">
        <v>50104.0</v>
      </c>
      <c r="B204" s="7" t="s">
        <v>249</v>
      </c>
      <c r="C204" s="71">
        <v>0.0</v>
      </c>
      <c r="D204" s="71">
        <v>0.0</v>
      </c>
      <c r="E204" s="71">
        <v>2789.1666666666665</v>
      </c>
      <c r="F204" s="71">
        <v>3121.0</v>
      </c>
      <c r="G204" s="72">
        <v>45812.06249999999</v>
      </c>
      <c r="H204" s="72">
        <v>51262.424999999996</v>
      </c>
      <c r="I204" s="72">
        <f t="shared" ref="I204:J204" si="214">G204-C204</f>
        <v>45812.0625</v>
      </c>
      <c r="J204" s="72">
        <f t="shared" si="214"/>
        <v>51262.425</v>
      </c>
    </row>
    <row r="205" ht="15.75" customHeight="1">
      <c r="A205" s="7">
        <v>50201.0</v>
      </c>
      <c r="B205" s="7" t="s">
        <v>250</v>
      </c>
      <c r="C205" s="71">
        <v>0.0</v>
      </c>
      <c r="D205" s="71">
        <v>0.0</v>
      </c>
      <c r="E205" s="71">
        <v>22082.333333333332</v>
      </c>
      <c r="F205" s="71">
        <v>22768.0</v>
      </c>
      <c r="G205" s="72">
        <v>523903.35833333334</v>
      </c>
      <c r="H205" s="72">
        <v>540170.8</v>
      </c>
      <c r="I205" s="72">
        <f t="shared" ref="I205:J205" si="215">G205-C205</f>
        <v>523903.3583</v>
      </c>
      <c r="J205" s="72">
        <f t="shared" si="215"/>
        <v>540170.8</v>
      </c>
    </row>
    <row r="206" ht="15.75" customHeight="1">
      <c r="A206" s="7">
        <v>50202.0</v>
      </c>
      <c r="B206" s="7" t="s">
        <v>251</v>
      </c>
      <c r="C206" s="71">
        <v>0.0</v>
      </c>
      <c r="D206" s="71">
        <v>0.0</v>
      </c>
      <c r="E206" s="71">
        <v>16120.0</v>
      </c>
      <c r="F206" s="71">
        <v>16021.0</v>
      </c>
      <c r="G206" s="72">
        <v>382447.0</v>
      </c>
      <c r="H206" s="72">
        <v>380098.225</v>
      </c>
      <c r="I206" s="72">
        <f t="shared" ref="I206:J206" si="216">G206-C206</f>
        <v>382447</v>
      </c>
      <c r="J206" s="72">
        <f t="shared" si="216"/>
        <v>380098.225</v>
      </c>
    </row>
    <row r="207" ht="15.75" customHeight="1">
      <c r="A207" s="7">
        <v>50203.0</v>
      </c>
      <c r="B207" s="7" t="s">
        <v>252</v>
      </c>
      <c r="C207" s="71">
        <v>0.0</v>
      </c>
      <c r="D207" s="71">
        <v>0.0</v>
      </c>
      <c r="E207" s="71">
        <v>41152.5</v>
      </c>
      <c r="F207" s="71">
        <v>41686.0</v>
      </c>
      <c r="G207" s="72">
        <v>1201653.0</v>
      </c>
      <c r="H207" s="72">
        <v>1217231.2</v>
      </c>
      <c r="I207" s="72">
        <f t="shared" ref="I207:J207" si="217">G207-C207</f>
        <v>1201653</v>
      </c>
      <c r="J207" s="72">
        <f t="shared" si="217"/>
        <v>1217231.2</v>
      </c>
    </row>
    <row r="208" ht="15.75" customHeight="1">
      <c r="A208" s="7">
        <v>50204.0</v>
      </c>
      <c r="B208" s="7" t="s">
        <v>253</v>
      </c>
      <c r="C208" s="71">
        <v>0.0</v>
      </c>
      <c r="D208" s="71">
        <v>0.0</v>
      </c>
      <c r="E208" s="71">
        <v>8035.75</v>
      </c>
      <c r="F208" s="71">
        <v>8220.0</v>
      </c>
      <c r="G208" s="72">
        <v>161317.68125</v>
      </c>
      <c r="H208" s="72">
        <v>165016.5</v>
      </c>
      <c r="I208" s="72">
        <f t="shared" ref="I208:J208" si="218">G208-C208</f>
        <v>161317.6813</v>
      </c>
      <c r="J208" s="72">
        <f t="shared" si="218"/>
        <v>165016.5</v>
      </c>
    </row>
    <row r="209" ht="15.75" customHeight="1">
      <c r="A209" s="7">
        <v>50301.0</v>
      </c>
      <c r="B209" s="7" t="s">
        <v>254</v>
      </c>
      <c r="C209" s="71">
        <v>0.0</v>
      </c>
      <c r="D209" s="71">
        <v>0.0</v>
      </c>
      <c r="E209" s="71">
        <v>33753.833333333336</v>
      </c>
      <c r="F209" s="71">
        <v>31904.0</v>
      </c>
      <c r="G209" s="72">
        <v>985611.9333333333</v>
      </c>
      <c r="H209" s="72">
        <v>931596.8</v>
      </c>
      <c r="I209" s="72">
        <f t="shared" ref="I209:J209" si="219">G209-C209</f>
        <v>985611.9333</v>
      </c>
      <c r="J209" s="72">
        <f t="shared" si="219"/>
        <v>931596.8</v>
      </c>
    </row>
    <row r="210" ht="15.75" customHeight="1">
      <c r="A210" s="7">
        <v>50302.0</v>
      </c>
      <c r="B210" s="7" t="s">
        <v>255</v>
      </c>
      <c r="C210" s="71">
        <v>0.0</v>
      </c>
      <c r="D210" s="71">
        <v>0.0</v>
      </c>
      <c r="E210" s="71">
        <v>9857.916666666666</v>
      </c>
      <c r="F210" s="71">
        <v>9285.0</v>
      </c>
      <c r="G210" s="72">
        <v>197897.6770833333</v>
      </c>
      <c r="H210" s="72">
        <v>186396.375</v>
      </c>
      <c r="I210" s="72">
        <f t="shared" ref="I210:J210" si="220">G210-C210</f>
        <v>197897.6771</v>
      </c>
      <c r="J210" s="72">
        <f t="shared" si="220"/>
        <v>186396.375</v>
      </c>
    </row>
    <row r="211" ht="15.75" customHeight="1">
      <c r="A211" s="7">
        <v>50303.0</v>
      </c>
      <c r="B211" s="7" t="s">
        <v>256</v>
      </c>
      <c r="C211" s="71">
        <v>0.0</v>
      </c>
      <c r="D211" s="71">
        <v>0.0</v>
      </c>
      <c r="E211" s="71">
        <v>12045.916666666666</v>
      </c>
      <c r="F211" s="71">
        <v>14366.0</v>
      </c>
      <c r="G211" s="72">
        <v>285789.3729166667</v>
      </c>
      <c r="H211" s="72">
        <v>340833.35000000003</v>
      </c>
      <c r="I211" s="72">
        <f t="shared" ref="I211:J211" si="221">G211-C211</f>
        <v>285789.3729</v>
      </c>
      <c r="J211" s="72">
        <f t="shared" si="221"/>
        <v>340833.35</v>
      </c>
    </row>
    <row r="212" ht="15.75" customHeight="1">
      <c r="A212" s="7">
        <v>50401.0</v>
      </c>
      <c r="B212" s="7" t="s">
        <v>257</v>
      </c>
      <c r="C212" s="71">
        <v>0.0</v>
      </c>
      <c r="D212" s="71">
        <v>0.0</v>
      </c>
      <c r="E212" s="71">
        <v>15351.916666666666</v>
      </c>
      <c r="F212" s="71">
        <v>16363.0</v>
      </c>
      <c r="G212" s="72">
        <v>364224.22291666665</v>
      </c>
      <c r="H212" s="72">
        <v>388212.175</v>
      </c>
      <c r="I212" s="72">
        <f t="shared" ref="I212:J212" si="222">G212-C212</f>
        <v>364224.2229</v>
      </c>
      <c r="J212" s="72">
        <f t="shared" si="222"/>
        <v>388212.175</v>
      </c>
    </row>
    <row r="213" ht="15.75" customHeight="1">
      <c r="A213" s="7">
        <v>50402.0</v>
      </c>
      <c r="B213" s="7" t="s">
        <v>258</v>
      </c>
      <c r="C213" s="71">
        <v>0.0</v>
      </c>
      <c r="D213" s="71">
        <v>0.0</v>
      </c>
      <c r="E213" s="71">
        <v>20854.333333333332</v>
      </c>
      <c r="F213" s="71">
        <v>16909.0</v>
      </c>
      <c r="G213" s="72">
        <v>494769.0583333333</v>
      </c>
      <c r="H213" s="72">
        <v>401166.025</v>
      </c>
      <c r="I213" s="72">
        <f t="shared" ref="I213:J213" si="223">G213-C213</f>
        <v>494769.0583</v>
      </c>
      <c r="J213" s="72">
        <f t="shared" si="223"/>
        <v>401166.025</v>
      </c>
    </row>
    <row r="214" ht="15.75" customHeight="1">
      <c r="A214" s="7">
        <v>50403.0</v>
      </c>
      <c r="B214" s="7" t="s">
        <v>259</v>
      </c>
      <c r="C214" s="71">
        <v>0.0</v>
      </c>
      <c r="D214" s="71">
        <v>0.0</v>
      </c>
      <c r="E214" s="71">
        <v>26855.916666666668</v>
      </c>
      <c r="F214" s="71">
        <v>32641.0</v>
      </c>
      <c r="G214" s="72">
        <v>784192.7666666667</v>
      </c>
      <c r="H214" s="72">
        <v>953117.2000000001</v>
      </c>
      <c r="I214" s="72">
        <f t="shared" ref="I214:J214" si="224">G214-C214</f>
        <v>784192.7667</v>
      </c>
      <c r="J214" s="72">
        <f t="shared" si="224"/>
        <v>953117.2</v>
      </c>
    </row>
    <row r="215" ht="15.75" customHeight="1">
      <c r="A215" s="7">
        <v>50404.0</v>
      </c>
      <c r="B215" s="7" t="s">
        <v>260</v>
      </c>
      <c r="C215" s="71">
        <v>0.0</v>
      </c>
      <c r="D215" s="71">
        <v>0.0</v>
      </c>
      <c r="E215" s="71">
        <v>15985.833333333334</v>
      </c>
      <c r="F215" s="71">
        <v>14532.0</v>
      </c>
      <c r="G215" s="72">
        <v>379263.8958333333</v>
      </c>
      <c r="H215" s="72">
        <v>344771.7</v>
      </c>
      <c r="I215" s="72">
        <f t="shared" ref="I215:J215" si="225">G215-C215</f>
        <v>379263.8958</v>
      </c>
      <c r="J215" s="72">
        <f t="shared" si="225"/>
        <v>344771.7</v>
      </c>
    </row>
    <row r="216" ht="15.75" customHeight="1">
      <c r="A216" s="7">
        <v>50405.0</v>
      </c>
      <c r="B216" s="7" t="s">
        <v>261</v>
      </c>
      <c r="C216" s="71">
        <v>0.0</v>
      </c>
      <c r="D216" s="71">
        <v>0.0</v>
      </c>
      <c r="E216" s="71">
        <v>20028.333333333332</v>
      </c>
      <c r="F216" s="71">
        <v>21011.0</v>
      </c>
      <c r="G216" s="72">
        <v>475172.2083333334</v>
      </c>
      <c r="H216" s="72">
        <v>498485.97500000003</v>
      </c>
      <c r="I216" s="72">
        <f t="shared" ref="I216:J216" si="226">G216-C216</f>
        <v>475172.2083</v>
      </c>
      <c r="J216" s="72">
        <f t="shared" si="226"/>
        <v>498485.975</v>
      </c>
    </row>
    <row r="217" ht="15.75" customHeight="1">
      <c r="A217" s="7">
        <v>50501.0</v>
      </c>
      <c r="B217" s="7" t="s">
        <v>262</v>
      </c>
      <c r="C217" s="71">
        <v>0.0</v>
      </c>
      <c r="D217" s="71">
        <v>0.0</v>
      </c>
      <c r="E217" s="71">
        <v>29879.0</v>
      </c>
      <c r="F217" s="71">
        <v>28416.0</v>
      </c>
      <c r="G217" s="72">
        <v>872466.8</v>
      </c>
      <c r="H217" s="72">
        <v>829747.2000000001</v>
      </c>
      <c r="I217" s="72">
        <f t="shared" ref="I217:J217" si="227">G217-C217</f>
        <v>872466.8</v>
      </c>
      <c r="J217" s="72">
        <f t="shared" si="227"/>
        <v>829747.2</v>
      </c>
    </row>
    <row r="218" ht="15.75" customHeight="1">
      <c r="A218" s="7">
        <v>50502.0</v>
      </c>
      <c r="B218" s="7" t="s">
        <v>263</v>
      </c>
      <c r="C218" s="71">
        <v>0.0</v>
      </c>
      <c r="D218" s="71">
        <v>0.0</v>
      </c>
      <c r="E218" s="71">
        <v>10857.0</v>
      </c>
      <c r="F218" s="71">
        <v>10714.0</v>
      </c>
      <c r="G218" s="72">
        <v>257582.325</v>
      </c>
      <c r="H218" s="72">
        <v>254189.65</v>
      </c>
      <c r="I218" s="72">
        <f t="shared" ref="I218:J218" si="228">G218-C218</f>
        <v>257582.325</v>
      </c>
      <c r="J218" s="72">
        <f t="shared" si="228"/>
        <v>254189.65</v>
      </c>
    </row>
    <row r="219" ht="15.75" customHeight="1">
      <c r="A219" s="7">
        <v>50601.0</v>
      </c>
      <c r="B219" s="7" t="s">
        <v>264</v>
      </c>
      <c r="C219" s="71">
        <v>0.0</v>
      </c>
      <c r="D219" s="71">
        <v>0.0</v>
      </c>
      <c r="E219" s="71">
        <v>31586.0</v>
      </c>
      <c r="F219" s="71">
        <v>29221.0</v>
      </c>
      <c r="G219" s="72">
        <v>922311.2000000001</v>
      </c>
      <c r="H219" s="72">
        <v>853253.2</v>
      </c>
      <c r="I219" s="72">
        <f t="shared" ref="I219:J219" si="229">G219-C219</f>
        <v>922311.2</v>
      </c>
      <c r="J219" s="72">
        <f t="shared" si="229"/>
        <v>853253.2</v>
      </c>
    </row>
    <row r="220" ht="15.75" customHeight="1">
      <c r="A220" s="7">
        <v>50602.0</v>
      </c>
      <c r="B220" s="7" t="s">
        <v>265</v>
      </c>
      <c r="C220" s="71">
        <v>0.0</v>
      </c>
      <c r="D220" s="71">
        <v>0.0</v>
      </c>
      <c r="E220" s="71">
        <v>10607.5</v>
      </c>
      <c r="F220" s="71">
        <v>10184.0</v>
      </c>
      <c r="G220" s="72">
        <v>251662.93750000003</v>
      </c>
      <c r="H220" s="72">
        <v>241615.40000000002</v>
      </c>
      <c r="I220" s="72">
        <f t="shared" ref="I220:J220" si="230">G220-C220</f>
        <v>251662.9375</v>
      </c>
      <c r="J220" s="72">
        <f t="shared" si="230"/>
        <v>241615.4</v>
      </c>
    </row>
    <row r="221" ht="15.75" customHeight="1">
      <c r="A221" s="7">
        <v>50701.0</v>
      </c>
      <c r="B221" s="7" t="s">
        <v>266</v>
      </c>
      <c r="C221" s="71">
        <v>0.0</v>
      </c>
      <c r="D221" s="71">
        <v>0.0</v>
      </c>
      <c r="E221" s="71">
        <v>19410.5</v>
      </c>
      <c r="F221" s="71">
        <v>17205.0</v>
      </c>
      <c r="G221" s="72">
        <v>460514.11250000005</v>
      </c>
      <c r="H221" s="72">
        <v>408188.625</v>
      </c>
      <c r="I221" s="72">
        <f t="shared" ref="I221:J221" si="231">G221-C221</f>
        <v>460514.1125</v>
      </c>
      <c r="J221" s="72">
        <f t="shared" si="231"/>
        <v>408188.625</v>
      </c>
    </row>
    <row r="222" ht="15.75" customHeight="1">
      <c r="A222" s="7">
        <v>50702.0</v>
      </c>
      <c r="B222" s="7" t="s">
        <v>267</v>
      </c>
      <c r="C222" s="71">
        <v>0.0</v>
      </c>
      <c r="D222" s="71">
        <v>0.0</v>
      </c>
      <c r="E222" s="71">
        <v>8683.5</v>
      </c>
      <c r="F222" s="71">
        <v>8458.0</v>
      </c>
      <c r="G222" s="72">
        <v>174321.2625</v>
      </c>
      <c r="H222" s="72">
        <v>169794.35</v>
      </c>
      <c r="I222" s="72">
        <f t="shared" ref="I222:J222" si="232">G222-C222</f>
        <v>174321.2625</v>
      </c>
      <c r="J222" s="72">
        <f t="shared" si="232"/>
        <v>169794.35</v>
      </c>
    </row>
    <row r="223" ht="15.75" customHeight="1">
      <c r="A223" s="7">
        <v>50801.0</v>
      </c>
      <c r="B223" s="7" t="s">
        <v>268</v>
      </c>
      <c r="C223" s="71">
        <v>0.0</v>
      </c>
      <c r="D223" s="71">
        <v>0.0</v>
      </c>
      <c r="E223" s="71">
        <v>44878.666666666664</v>
      </c>
      <c r="F223" s="71">
        <v>45590.0</v>
      </c>
      <c r="G223" s="72">
        <v>1310457.0666666667</v>
      </c>
      <c r="H223" s="72">
        <v>1331228.0</v>
      </c>
      <c r="I223" s="72">
        <f t="shared" ref="I223:J223" si="233">G223-C223</f>
        <v>1310457.067</v>
      </c>
      <c r="J223" s="72">
        <f t="shared" si="233"/>
        <v>1331228</v>
      </c>
    </row>
    <row r="224" ht="15.75" customHeight="1">
      <c r="A224" s="7">
        <v>50802.0</v>
      </c>
      <c r="B224" s="7" t="s">
        <v>269</v>
      </c>
      <c r="C224" s="71">
        <v>0.0</v>
      </c>
      <c r="D224" s="71">
        <v>0.0</v>
      </c>
      <c r="E224" s="71">
        <v>11098.666666666666</v>
      </c>
      <c r="F224" s="71">
        <v>9610.0</v>
      </c>
      <c r="G224" s="72">
        <v>263315.86666666664</v>
      </c>
      <c r="H224" s="72">
        <v>192920.74999999997</v>
      </c>
      <c r="I224" s="72">
        <f t="shared" ref="I224:J224" si="234">G224-C224</f>
        <v>263315.8667</v>
      </c>
      <c r="J224" s="72">
        <f t="shared" si="234"/>
        <v>192920.75</v>
      </c>
    </row>
    <row r="225" ht="15.75" customHeight="1">
      <c r="A225" s="7">
        <v>50901.0</v>
      </c>
      <c r="B225" s="7" t="s">
        <v>270</v>
      </c>
      <c r="C225" s="71">
        <v>0.0</v>
      </c>
      <c r="D225" s="71">
        <v>0.0</v>
      </c>
      <c r="E225" s="71">
        <v>12975.583333333334</v>
      </c>
      <c r="F225" s="71">
        <v>12740.0</v>
      </c>
      <c r="G225" s="72">
        <v>307845.71458333335</v>
      </c>
      <c r="H225" s="72">
        <v>302256.5</v>
      </c>
      <c r="I225" s="72">
        <f t="shared" ref="I225:J225" si="235">G225-C225</f>
        <v>307845.7146</v>
      </c>
      <c r="J225" s="72">
        <f t="shared" si="235"/>
        <v>302256.5</v>
      </c>
    </row>
    <row r="226" ht="15.75" customHeight="1">
      <c r="A226" s="7">
        <v>50902.0</v>
      </c>
      <c r="B226" s="7" t="s">
        <v>271</v>
      </c>
      <c r="C226" s="71">
        <v>0.0</v>
      </c>
      <c r="D226" s="71">
        <v>0.0</v>
      </c>
      <c r="E226" s="71">
        <v>1106.75</v>
      </c>
      <c r="F226" s="71">
        <v>1621.0</v>
      </c>
      <c r="G226" s="72">
        <v>14138.731250000003</v>
      </c>
      <c r="H226" s="72">
        <v>20708.275</v>
      </c>
      <c r="I226" s="72">
        <f t="shared" ref="I226:J226" si="236">G226-C226</f>
        <v>14138.73125</v>
      </c>
      <c r="J226" s="72">
        <f t="shared" si="236"/>
        <v>20708.275</v>
      </c>
    </row>
    <row r="227" ht="15.75" customHeight="1">
      <c r="A227" s="7">
        <v>51001.0</v>
      </c>
      <c r="B227" s="7" t="s">
        <v>272</v>
      </c>
      <c r="C227" s="71">
        <v>0.0</v>
      </c>
      <c r="D227" s="71">
        <v>0.0</v>
      </c>
      <c r="E227" s="71">
        <v>3352.5833333333335</v>
      </c>
      <c r="F227" s="71">
        <v>3150.0</v>
      </c>
      <c r="G227" s="72">
        <v>55066.18125</v>
      </c>
      <c r="H227" s="72">
        <v>51738.75</v>
      </c>
      <c r="I227" s="72">
        <f t="shared" ref="I227:J227" si="237">G227-C227</f>
        <v>55066.18125</v>
      </c>
      <c r="J227" s="72">
        <f t="shared" si="237"/>
        <v>51738.75</v>
      </c>
    </row>
    <row r="228" ht="15.75" customHeight="1">
      <c r="A228" s="7">
        <v>51002.0</v>
      </c>
      <c r="B228" s="7" t="s">
        <v>273</v>
      </c>
      <c r="C228" s="71">
        <v>0.0</v>
      </c>
      <c r="D228" s="71">
        <v>0.0</v>
      </c>
      <c r="E228" s="71">
        <v>1167.0833333333333</v>
      </c>
      <c r="F228" s="71">
        <v>1025.0</v>
      </c>
      <c r="G228" s="72">
        <v>14909.489583333334</v>
      </c>
      <c r="H228" s="72">
        <v>13094.375</v>
      </c>
      <c r="I228" s="72">
        <f t="shared" ref="I228:J228" si="238">G228-C228</f>
        <v>14909.48958</v>
      </c>
      <c r="J228" s="72">
        <f t="shared" si="238"/>
        <v>13094.375</v>
      </c>
    </row>
    <row r="229" ht="15.75" customHeight="1">
      <c r="A229" s="7">
        <v>51003.0</v>
      </c>
      <c r="B229" s="7" t="s">
        <v>274</v>
      </c>
      <c r="C229" s="71">
        <v>0.0</v>
      </c>
      <c r="D229" s="71">
        <v>0.0</v>
      </c>
      <c r="E229" s="71">
        <v>2255.0</v>
      </c>
      <c r="F229" s="71">
        <v>1936.0</v>
      </c>
      <c r="G229" s="72">
        <v>37038.375</v>
      </c>
      <c r="H229" s="72">
        <v>24732.4</v>
      </c>
      <c r="I229" s="72">
        <f t="shared" ref="I229:J229" si="239">G229-C229</f>
        <v>37038.375</v>
      </c>
      <c r="J229" s="72">
        <f t="shared" si="239"/>
        <v>24732.4</v>
      </c>
    </row>
    <row r="230" ht="15.75" customHeight="1">
      <c r="A230" s="7">
        <v>51101.0</v>
      </c>
      <c r="B230" s="7" t="s">
        <v>275</v>
      </c>
      <c r="C230" s="71">
        <v>0.0</v>
      </c>
      <c r="D230" s="71">
        <v>0.0</v>
      </c>
      <c r="E230" s="71">
        <v>21456.333333333332</v>
      </c>
      <c r="F230" s="71">
        <v>16389.0</v>
      </c>
      <c r="G230" s="72">
        <v>509051.5083333333</v>
      </c>
      <c r="H230" s="72">
        <v>388829.025</v>
      </c>
      <c r="I230" s="72">
        <f t="shared" ref="I230:J230" si="240">G230-C230</f>
        <v>509051.5083</v>
      </c>
      <c r="J230" s="72">
        <f t="shared" si="240"/>
        <v>388829.025</v>
      </c>
    </row>
    <row r="231" ht="15.75" customHeight="1">
      <c r="A231" s="7">
        <v>51102.0</v>
      </c>
      <c r="B231" s="7" t="s">
        <v>276</v>
      </c>
      <c r="C231" s="71">
        <v>0.0</v>
      </c>
      <c r="D231" s="71">
        <v>0.0</v>
      </c>
      <c r="E231" s="71">
        <v>12144.666666666666</v>
      </c>
      <c r="F231" s="71">
        <v>12999.0</v>
      </c>
      <c r="G231" s="72">
        <v>288132.2166666667</v>
      </c>
      <c r="H231" s="72">
        <v>308401.275</v>
      </c>
      <c r="I231" s="72">
        <f t="shared" ref="I231:J231" si="241">G231-C231</f>
        <v>288132.2167</v>
      </c>
      <c r="J231" s="72">
        <f t="shared" si="241"/>
        <v>308401.275</v>
      </c>
    </row>
    <row r="232" ht="15.75" customHeight="1">
      <c r="A232" s="7">
        <v>51103.0</v>
      </c>
      <c r="B232" s="7" t="s">
        <v>277</v>
      </c>
      <c r="C232" s="71">
        <v>0.0</v>
      </c>
      <c r="D232" s="71">
        <v>0.0</v>
      </c>
      <c r="E232" s="71">
        <v>15689.166666666666</v>
      </c>
      <c r="F232" s="71">
        <v>14338.0</v>
      </c>
      <c r="G232" s="72">
        <v>372225.4791666667</v>
      </c>
      <c r="H232" s="72">
        <v>340169.05</v>
      </c>
      <c r="I232" s="72">
        <f t="shared" ref="I232:J232" si="242">G232-C232</f>
        <v>372225.4792</v>
      </c>
      <c r="J232" s="72">
        <f t="shared" si="242"/>
        <v>340169.05</v>
      </c>
    </row>
    <row r="233" ht="15.75" customHeight="1">
      <c r="A233" s="7">
        <v>51201.0</v>
      </c>
      <c r="B233" s="7" t="s">
        <v>278</v>
      </c>
      <c r="C233" s="71">
        <v>0.0</v>
      </c>
      <c r="D233" s="71">
        <v>0.0</v>
      </c>
      <c r="E233" s="71">
        <v>30142.5</v>
      </c>
      <c r="F233" s="71">
        <v>35318.0</v>
      </c>
      <c r="G233" s="72">
        <v>880161.0</v>
      </c>
      <c r="H233" s="72">
        <v>1031285.6</v>
      </c>
      <c r="I233" s="72">
        <f t="shared" ref="I233:J233" si="243">G233-C233</f>
        <v>880161</v>
      </c>
      <c r="J233" s="72">
        <f t="shared" si="243"/>
        <v>1031285.6</v>
      </c>
    </row>
    <row r="234" ht="15.75" customHeight="1">
      <c r="A234" s="7">
        <v>51202.0</v>
      </c>
      <c r="B234" s="7" t="s">
        <v>279</v>
      </c>
      <c r="C234" s="71">
        <v>0.0</v>
      </c>
      <c r="D234" s="71">
        <v>0.0</v>
      </c>
      <c r="E234" s="71">
        <v>8769.916666666666</v>
      </c>
      <c r="F234" s="71">
        <v>7845.0</v>
      </c>
      <c r="G234" s="72">
        <v>176056.0770833333</v>
      </c>
      <c r="H234" s="72">
        <v>157488.375</v>
      </c>
      <c r="I234" s="72">
        <f t="shared" ref="I234:J234" si="244">G234-C234</f>
        <v>176056.0771</v>
      </c>
      <c r="J234" s="72">
        <f t="shared" si="244"/>
        <v>157488.375</v>
      </c>
    </row>
    <row r="235" ht="15.75" customHeight="1">
      <c r="A235" s="7">
        <v>51203.0</v>
      </c>
      <c r="B235" s="7" t="s">
        <v>280</v>
      </c>
      <c r="C235" s="71">
        <v>0.0</v>
      </c>
      <c r="D235" s="71">
        <v>0.0</v>
      </c>
      <c r="E235" s="71">
        <v>11181.666666666666</v>
      </c>
      <c r="F235" s="71">
        <v>14654.0</v>
      </c>
      <c r="G235" s="72">
        <v>265285.0416666666</v>
      </c>
      <c r="H235" s="72">
        <v>347666.15</v>
      </c>
      <c r="I235" s="72">
        <f t="shared" ref="I235:J235" si="245">G235-C235</f>
        <v>265285.0417</v>
      </c>
      <c r="J235" s="72">
        <f t="shared" si="245"/>
        <v>347666.15</v>
      </c>
    </row>
    <row r="236" ht="15.75" customHeight="1">
      <c r="A236" s="7">
        <v>51204.0</v>
      </c>
      <c r="B236" s="7" t="s">
        <v>281</v>
      </c>
      <c r="C236" s="71">
        <v>0.0</v>
      </c>
      <c r="D236" s="71">
        <v>0.0</v>
      </c>
      <c r="E236" s="71">
        <v>5925.333333333333</v>
      </c>
      <c r="F236" s="71">
        <v>5819.0</v>
      </c>
      <c r="G236" s="72">
        <v>118951.06666666667</v>
      </c>
      <c r="H236" s="72">
        <v>116816.425</v>
      </c>
      <c r="I236" s="72">
        <f t="shared" ref="I236:J236" si="246">G236-C236</f>
        <v>118951.0667</v>
      </c>
      <c r="J236" s="72">
        <f t="shared" si="246"/>
        <v>116816.425</v>
      </c>
    </row>
    <row r="237" ht="15.75" customHeight="1">
      <c r="A237" s="7">
        <v>51301.0</v>
      </c>
      <c r="B237" s="7" t="s">
        <v>282</v>
      </c>
      <c r="C237" s="71">
        <v>0.0</v>
      </c>
      <c r="D237" s="71">
        <v>0.0</v>
      </c>
      <c r="E237" s="71">
        <v>4128.0</v>
      </c>
      <c r="F237" s="71">
        <v>3666.0</v>
      </c>
      <c r="G237" s="72">
        <v>67802.4</v>
      </c>
      <c r="H237" s="72">
        <v>60214.05</v>
      </c>
      <c r="I237" s="72">
        <f t="shared" ref="I237:J237" si="247">G237-C237</f>
        <v>67802.4</v>
      </c>
      <c r="J237" s="72">
        <f t="shared" si="247"/>
        <v>60214.05</v>
      </c>
    </row>
    <row r="238" ht="15.75" customHeight="1">
      <c r="A238" s="7">
        <v>51302.0</v>
      </c>
      <c r="B238" s="7" t="s">
        <v>283</v>
      </c>
      <c r="C238" s="71">
        <v>0.0</v>
      </c>
      <c r="D238" s="71">
        <v>0.0</v>
      </c>
      <c r="E238" s="71">
        <v>6020.166666666667</v>
      </c>
      <c r="F238" s="71">
        <v>4471.0</v>
      </c>
      <c r="G238" s="72">
        <v>120854.84583333334</v>
      </c>
      <c r="H238" s="72">
        <v>73436.175</v>
      </c>
      <c r="I238" s="72">
        <f t="shared" ref="I238:J238" si="248">G238-C238</f>
        <v>120854.8458</v>
      </c>
      <c r="J238" s="72">
        <f t="shared" si="248"/>
        <v>73436.175</v>
      </c>
    </row>
    <row r="239" ht="15.75" customHeight="1">
      <c r="A239" s="7">
        <v>51401.0</v>
      </c>
      <c r="B239" s="7" t="s">
        <v>284</v>
      </c>
      <c r="C239" s="71">
        <v>0.0</v>
      </c>
      <c r="D239" s="71">
        <v>0.0</v>
      </c>
      <c r="E239" s="71">
        <v>4153.083333333333</v>
      </c>
      <c r="F239" s="71">
        <v>4187.0</v>
      </c>
      <c r="G239" s="72">
        <v>68214.39374999999</v>
      </c>
      <c r="H239" s="72">
        <v>68771.47499999999</v>
      </c>
      <c r="I239" s="72">
        <f t="shared" ref="I239:J239" si="249">G239-C239</f>
        <v>68214.39375</v>
      </c>
      <c r="J239" s="72">
        <f t="shared" si="249"/>
        <v>68771.475</v>
      </c>
    </row>
    <row r="240" ht="15.75" customHeight="1">
      <c r="A240" s="7">
        <v>51402.0</v>
      </c>
      <c r="B240" s="7" t="s">
        <v>285</v>
      </c>
      <c r="C240" s="71">
        <v>0.0</v>
      </c>
      <c r="D240" s="71">
        <v>0.0</v>
      </c>
      <c r="E240" s="71">
        <v>1687.1666666666667</v>
      </c>
      <c r="F240" s="71">
        <v>1546.0</v>
      </c>
      <c r="G240" s="72">
        <v>21553.554166666672</v>
      </c>
      <c r="H240" s="72">
        <v>19750.15</v>
      </c>
      <c r="I240" s="72">
        <f t="shared" ref="I240:J240" si="250">G240-C240</f>
        <v>21553.55417</v>
      </c>
      <c r="J240" s="72">
        <f t="shared" si="250"/>
        <v>19750.15</v>
      </c>
    </row>
    <row r="241" ht="15.75" customHeight="1">
      <c r="A241" s="7">
        <v>51501.0</v>
      </c>
      <c r="B241" s="7" t="s">
        <v>286</v>
      </c>
      <c r="C241" s="71">
        <v>0.0</v>
      </c>
      <c r="D241" s="71">
        <v>247977.34</v>
      </c>
      <c r="E241" s="71">
        <v>45275.5</v>
      </c>
      <c r="F241" s="71">
        <v>49340.0</v>
      </c>
      <c r="G241" s="72">
        <v>1322044.6</v>
      </c>
      <c r="H241" s="72">
        <v>1440728.0</v>
      </c>
      <c r="I241" s="72">
        <f t="shared" ref="I241:J241" si="251">G241-C241</f>
        <v>1322044.6</v>
      </c>
      <c r="J241" s="72">
        <f t="shared" si="251"/>
        <v>1192750.66</v>
      </c>
    </row>
    <row r="242" ht="15.75" customHeight="1">
      <c r="A242" s="7">
        <v>51601.0</v>
      </c>
      <c r="B242" s="7" t="s">
        <v>287</v>
      </c>
      <c r="C242" s="71">
        <v>0.0</v>
      </c>
      <c r="D242" s="71">
        <v>0.0</v>
      </c>
      <c r="E242" s="71">
        <v>1720.8333333333333</v>
      </c>
      <c r="F242" s="71">
        <v>2126.0</v>
      </c>
      <c r="G242" s="72">
        <v>21983.645833333336</v>
      </c>
      <c r="H242" s="72">
        <v>34919.55</v>
      </c>
      <c r="I242" s="72">
        <f t="shared" ref="I242:J242" si="252">G242-C242</f>
        <v>21983.64583</v>
      </c>
      <c r="J242" s="72">
        <f t="shared" si="252"/>
        <v>34919.55</v>
      </c>
    </row>
    <row r="243" ht="15.75" customHeight="1">
      <c r="A243" s="7">
        <v>60101.0</v>
      </c>
      <c r="B243" s="7" t="s">
        <v>119</v>
      </c>
      <c r="C243" s="71">
        <v>7647480.0</v>
      </c>
      <c r="D243" s="71">
        <v>1.1416032E7</v>
      </c>
      <c r="E243" s="71">
        <v>208156.16666666666</v>
      </c>
      <c r="F243" s="71">
        <v>238749.0</v>
      </c>
      <c r="G243" s="72">
        <v>8357470.091666667</v>
      </c>
      <c r="H243" s="72">
        <v>9585772.35</v>
      </c>
      <c r="I243" s="72">
        <f t="shared" ref="I243:J243" si="253">G243-C243</f>
        <v>709990.0917</v>
      </c>
      <c r="J243" s="72">
        <f t="shared" si="253"/>
        <v>-1830259.65</v>
      </c>
    </row>
    <row r="244" ht="15.75" customHeight="1">
      <c r="A244" s="7">
        <v>60201.0</v>
      </c>
      <c r="B244" s="7" t="s">
        <v>288</v>
      </c>
      <c r="C244" s="71">
        <v>0.0</v>
      </c>
      <c r="D244" s="71">
        <v>0.0</v>
      </c>
      <c r="E244" s="71">
        <v>18609.0</v>
      </c>
      <c r="F244" s="71">
        <v>17817.0</v>
      </c>
      <c r="G244" s="72">
        <v>441498.525</v>
      </c>
      <c r="H244" s="72">
        <v>422708.325</v>
      </c>
      <c r="I244" s="72">
        <f t="shared" ref="I244:J244" si="254">G244-C244</f>
        <v>441498.525</v>
      </c>
      <c r="J244" s="72">
        <f t="shared" si="254"/>
        <v>422708.325</v>
      </c>
    </row>
    <row r="245" ht="15.75" customHeight="1">
      <c r="A245" s="7">
        <v>60202.0</v>
      </c>
      <c r="B245" s="7" t="s">
        <v>289</v>
      </c>
      <c r="C245" s="71">
        <v>1376743.0</v>
      </c>
      <c r="D245" s="71">
        <v>1178784.0</v>
      </c>
      <c r="E245" s="71">
        <v>34710.416666666664</v>
      </c>
      <c r="F245" s="71">
        <v>36970.0</v>
      </c>
      <c r="G245" s="72">
        <v>1013544.1666666665</v>
      </c>
      <c r="H245" s="72">
        <v>1079524.0</v>
      </c>
      <c r="I245" s="72">
        <f t="shared" ref="I245:J245" si="255">G245-C245</f>
        <v>-363198.8333</v>
      </c>
      <c r="J245" s="72">
        <f t="shared" si="255"/>
        <v>-99260</v>
      </c>
    </row>
    <row r="246" ht="15.75" customHeight="1">
      <c r="A246" s="7">
        <v>60301.0</v>
      </c>
      <c r="B246" s="7" t="s">
        <v>290</v>
      </c>
      <c r="C246" s="71">
        <v>2049840.0</v>
      </c>
      <c r="D246" s="71">
        <v>2176947.6</v>
      </c>
      <c r="E246" s="71">
        <v>92694.08333333333</v>
      </c>
      <c r="F246" s="71">
        <v>97634.0</v>
      </c>
      <c r="G246" s="72">
        <v>3721667.4458333333</v>
      </c>
      <c r="H246" s="72">
        <v>3920005.1</v>
      </c>
      <c r="I246" s="72">
        <f t="shared" ref="I246:J246" si="256">G246-C246</f>
        <v>1671827.446</v>
      </c>
      <c r="J246" s="72">
        <f t="shared" si="256"/>
        <v>1743057.5</v>
      </c>
    </row>
    <row r="247" ht="15.75" customHeight="1">
      <c r="A247" s="7">
        <v>60302.0</v>
      </c>
      <c r="B247" s="7" t="s">
        <v>291</v>
      </c>
      <c r="C247" s="71">
        <v>0.0</v>
      </c>
      <c r="D247" s="71">
        <v>0.0</v>
      </c>
      <c r="E247" s="71">
        <v>15382.083333333334</v>
      </c>
      <c r="F247" s="71">
        <v>15559.0</v>
      </c>
      <c r="G247" s="72">
        <v>364939.9270833334</v>
      </c>
      <c r="H247" s="72">
        <v>369137.275</v>
      </c>
      <c r="I247" s="72">
        <f t="shared" ref="I247:J247" si="257">G247-C247</f>
        <v>364939.9271</v>
      </c>
      <c r="J247" s="72">
        <f t="shared" si="257"/>
        <v>369137.275</v>
      </c>
    </row>
    <row r="248" ht="15.75" customHeight="1">
      <c r="A248" s="7">
        <v>60303.0</v>
      </c>
      <c r="B248" s="7" t="s">
        <v>292</v>
      </c>
      <c r="C248" s="71">
        <v>0.0</v>
      </c>
      <c r="D248" s="71">
        <v>0.0</v>
      </c>
      <c r="E248" s="71">
        <v>40384.0</v>
      </c>
      <c r="F248" s="71">
        <v>46071.0</v>
      </c>
      <c r="G248" s="72">
        <v>1179212.8</v>
      </c>
      <c r="H248" s="72">
        <v>1345273.2000000002</v>
      </c>
      <c r="I248" s="72">
        <f t="shared" ref="I248:J248" si="258">G248-C248</f>
        <v>1179212.8</v>
      </c>
      <c r="J248" s="72">
        <f t="shared" si="258"/>
        <v>1345273.2</v>
      </c>
    </row>
    <row r="249" ht="15.75" customHeight="1">
      <c r="A249" s="7">
        <v>60401.0</v>
      </c>
      <c r="B249" s="7" t="s">
        <v>293</v>
      </c>
      <c r="C249" s="71">
        <v>0.0</v>
      </c>
      <c r="D249" s="71">
        <v>0.0</v>
      </c>
      <c r="E249" s="71">
        <v>14876.166666666666</v>
      </c>
      <c r="F249" s="71">
        <v>15923.0</v>
      </c>
      <c r="G249" s="72">
        <v>352937.05416666664</v>
      </c>
      <c r="H249" s="72">
        <v>377773.17500000005</v>
      </c>
      <c r="I249" s="72">
        <f t="shared" ref="I249:J249" si="259">G249-C249</f>
        <v>352937.0542</v>
      </c>
      <c r="J249" s="72">
        <f t="shared" si="259"/>
        <v>377773.175</v>
      </c>
    </row>
    <row r="250" ht="15.75" customHeight="1">
      <c r="A250" s="7">
        <v>60402.0</v>
      </c>
      <c r="B250" s="7" t="s">
        <v>294</v>
      </c>
      <c r="C250" s="71">
        <v>0.0</v>
      </c>
      <c r="D250" s="71">
        <v>0.0</v>
      </c>
      <c r="E250" s="71">
        <v>5428.666666666667</v>
      </c>
      <c r="F250" s="71">
        <v>4754.0</v>
      </c>
      <c r="G250" s="72">
        <v>108980.48333333335</v>
      </c>
      <c r="H250" s="72">
        <v>78084.45</v>
      </c>
      <c r="I250" s="72">
        <f t="shared" ref="I250:J250" si="260">G250-C250</f>
        <v>108980.4833</v>
      </c>
      <c r="J250" s="72">
        <f t="shared" si="260"/>
        <v>78084.45</v>
      </c>
    </row>
    <row r="251" ht="15.75" customHeight="1">
      <c r="A251" s="7">
        <v>60501.0</v>
      </c>
      <c r="B251" s="7" t="s">
        <v>295</v>
      </c>
      <c r="C251" s="71">
        <v>0.0</v>
      </c>
      <c r="D251" s="71">
        <v>0.0</v>
      </c>
      <c r="E251" s="71">
        <v>24403.25</v>
      </c>
      <c r="F251" s="71">
        <v>30346.0</v>
      </c>
      <c r="G251" s="72">
        <v>578967.1062500001</v>
      </c>
      <c r="H251" s="72">
        <v>886103.2</v>
      </c>
      <c r="I251" s="72">
        <f t="shared" ref="I251:J251" si="261">G251-C251</f>
        <v>578967.1063</v>
      </c>
      <c r="J251" s="72">
        <f t="shared" si="261"/>
        <v>886103.2</v>
      </c>
    </row>
    <row r="252" ht="15.75" customHeight="1">
      <c r="A252" s="7">
        <v>60502.0</v>
      </c>
      <c r="B252" s="7" t="s">
        <v>296</v>
      </c>
      <c r="C252" s="71">
        <v>0.0</v>
      </c>
      <c r="D252" s="71">
        <v>0.0</v>
      </c>
      <c r="E252" s="71">
        <v>11201.416666666666</v>
      </c>
      <c r="F252" s="71">
        <v>9523.0</v>
      </c>
      <c r="G252" s="72">
        <v>265753.61041666666</v>
      </c>
      <c r="H252" s="72">
        <v>191174.225</v>
      </c>
      <c r="I252" s="72">
        <f t="shared" ref="I252:J252" si="262">G252-C252</f>
        <v>265753.6104</v>
      </c>
      <c r="J252" s="72">
        <f t="shared" si="262"/>
        <v>191174.225</v>
      </c>
    </row>
    <row r="253" ht="15.75" customHeight="1">
      <c r="A253" s="7">
        <v>60601.0</v>
      </c>
      <c r="B253" s="7" t="s">
        <v>201</v>
      </c>
      <c r="C253" s="71">
        <v>0.0</v>
      </c>
      <c r="D253" s="71">
        <v>0.0</v>
      </c>
      <c r="E253" s="71">
        <v>21897.083333333332</v>
      </c>
      <c r="F253" s="71">
        <v>20864.0</v>
      </c>
      <c r="G253" s="72">
        <v>519508.3020833334</v>
      </c>
      <c r="H253" s="72">
        <v>494998.4</v>
      </c>
      <c r="I253" s="72">
        <f t="shared" ref="I253:J253" si="263">G253-C253</f>
        <v>519508.3021</v>
      </c>
      <c r="J253" s="72">
        <f t="shared" si="263"/>
        <v>494998.4</v>
      </c>
    </row>
    <row r="254" ht="15.75" customHeight="1">
      <c r="A254" s="7">
        <v>70101.0</v>
      </c>
      <c r="B254" s="7" t="s">
        <v>384</v>
      </c>
      <c r="C254" s="71">
        <v>5.0324728E7</v>
      </c>
      <c r="D254" s="71">
        <v>7.628234292E7</v>
      </c>
      <c r="E254" s="71">
        <v>1458304.75</v>
      </c>
      <c r="F254" s="71">
        <v>1610982.0</v>
      </c>
      <c r="G254" s="72">
        <v>5.85509357125E7</v>
      </c>
      <c r="H254" s="72">
        <v>6.46809273E7</v>
      </c>
      <c r="I254" s="72">
        <f t="shared" ref="I254:J254" si="264">G254-C254</f>
        <v>8226207.713</v>
      </c>
      <c r="J254" s="72">
        <f t="shared" si="264"/>
        <v>-11601415.62</v>
      </c>
    </row>
    <row r="255" ht="15.75" customHeight="1">
      <c r="A255" s="7">
        <v>70102.0</v>
      </c>
      <c r="B255" s="7" t="s">
        <v>301</v>
      </c>
      <c r="C255" s="71">
        <v>446811.6</v>
      </c>
      <c r="D255" s="71">
        <v>343796.98</v>
      </c>
      <c r="E255" s="71">
        <v>59880.5</v>
      </c>
      <c r="F255" s="71">
        <v>106603.0</v>
      </c>
      <c r="G255" s="72">
        <v>2404202.075</v>
      </c>
      <c r="H255" s="72">
        <v>4280110.45</v>
      </c>
      <c r="I255" s="72">
        <f t="shared" ref="I255:J255" si="265">G255-C255</f>
        <v>1957390.475</v>
      </c>
      <c r="J255" s="72">
        <f t="shared" si="265"/>
        <v>3936313.47</v>
      </c>
    </row>
    <row r="256" ht="15.75" customHeight="1">
      <c r="A256" s="7">
        <v>70103.0</v>
      </c>
      <c r="B256" s="7" t="s">
        <v>302</v>
      </c>
      <c r="C256" s="71">
        <v>0.0</v>
      </c>
      <c r="D256" s="71">
        <v>147063.06</v>
      </c>
      <c r="E256" s="71">
        <v>15967.75</v>
      </c>
      <c r="F256" s="71">
        <v>23126.0</v>
      </c>
      <c r="G256" s="72">
        <v>378834.86874999997</v>
      </c>
      <c r="H256" s="72">
        <v>548664.35</v>
      </c>
      <c r="I256" s="72">
        <f t="shared" ref="I256:J256" si="266">G256-C256</f>
        <v>378834.8688</v>
      </c>
      <c r="J256" s="72">
        <f t="shared" si="266"/>
        <v>401601.29</v>
      </c>
    </row>
    <row r="257" ht="15.75" customHeight="1">
      <c r="A257" s="7">
        <v>70104.0</v>
      </c>
      <c r="B257" s="7" t="s">
        <v>385</v>
      </c>
      <c r="C257" s="71">
        <v>0.0</v>
      </c>
      <c r="D257" s="71">
        <v>414846.0</v>
      </c>
      <c r="E257" s="71">
        <v>94154.16666666667</v>
      </c>
      <c r="F257" s="71">
        <v>147726.0</v>
      </c>
      <c r="G257" s="72">
        <v>3780289.791666667</v>
      </c>
      <c r="H257" s="72">
        <v>5931198.9</v>
      </c>
      <c r="I257" s="72">
        <f t="shared" ref="I257:J257" si="267">G257-C257</f>
        <v>3780289.792</v>
      </c>
      <c r="J257" s="72">
        <f t="shared" si="267"/>
        <v>5516352.9</v>
      </c>
    </row>
    <row r="258" ht="15.75" customHeight="1">
      <c r="A258" s="7">
        <v>70105.0</v>
      </c>
      <c r="B258" s="7" t="s">
        <v>386</v>
      </c>
      <c r="C258" s="71">
        <v>404422.0</v>
      </c>
      <c r="D258" s="71">
        <v>303487.0</v>
      </c>
      <c r="E258" s="71">
        <v>50155.75</v>
      </c>
      <c r="F258" s="71">
        <v>55697.0</v>
      </c>
      <c r="G258" s="72">
        <v>2013753.3624999998</v>
      </c>
      <c r="H258" s="72">
        <v>2236234.55</v>
      </c>
      <c r="I258" s="72">
        <f t="shared" ref="I258:J258" si="268">G258-C258</f>
        <v>1609331.363</v>
      </c>
      <c r="J258" s="72">
        <f t="shared" si="268"/>
        <v>1932747.55</v>
      </c>
    </row>
    <row r="259" ht="15.75" customHeight="1">
      <c r="A259" s="7">
        <v>70201.0</v>
      </c>
      <c r="B259" s="7" t="s">
        <v>304</v>
      </c>
      <c r="C259" s="71">
        <v>614952.0</v>
      </c>
      <c r="D259" s="71">
        <v>585080.0</v>
      </c>
      <c r="E259" s="71">
        <v>100976.16666666667</v>
      </c>
      <c r="F259" s="71">
        <v>151248.0</v>
      </c>
      <c r="G259" s="72">
        <v>4054193.091666667</v>
      </c>
      <c r="H259" s="72">
        <v>6072607.199999999</v>
      </c>
      <c r="I259" s="72">
        <f t="shared" ref="I259:J259" si="269">G259-C259</f>
        <v>3439241.092</v>
      </c>
      <c r="J259" s="72">
        <f t="shared" si="269"/>
        <v>5487527.2</v>
      </c>
    </row>
    <row r="260" ht="15.75" customHeight="1">
      <c r="A260" s="7">
        <v>70202.0</v>
      </c>
      <c r="B260" s="7" t="s">
        <v>305</v>
      </c>
      <c r="C260" s="71">
        <v>0.0</v>
      </c>
      <c r="D260" s="71">
        <v>0.0</v>
      </c>
      <c r="E260" s="71">
        <v>12330.583333333334</v>
      </c>
      <c r="F260" s="71">
        <v>10665.0</v>
      </c>
      <c r="G260" s="72">
        <v>292543.08958333335</v>
      </c>
      <c r="H260" s="72">
        <v>253027.125</v>
      </c>
      <c r="I260" s="72">
        <f t="shared" ref="I260:J260" si="270">G260-C260</f>
        <v>292543.0896</v>
      </c>
      <c r="J260" s="72">
        <f t="shared" si="270"/>
        <v>253027.125</v>
      </c>
    </row>
    <row r="261" ht="15.75" customHeight="1">
      <c r="A261" s="7">
        <v>70301.0</v>
      </c>
      <c r="B261" s="7" t="s">
        <v>306</v>
      </c>
      <c r="C261" s="71">
        <v>291236.0</v>
      </c>
      <c r="D261" s="71">
        <v>214104.0</v>
      </c>
      <c r="E261" s="71">
        <v>53590.416666666664</v>
      </c>
      <c r="F261" s="71">
        <v>67103.0</v>
      </c>
      <c r="G261" s="72">
        <v>2151655.2291666665</v>
      </c>
      <c r="H261" s="72">
        <v>2694185.45</v>
      </c>
      <c r="I261" s="72">
        <f t="shared" ref="I261:J261" si="271">G261-C261</f>
        <v>1860419.229</v>
      </c>
      <c r="J261" s="72">
        <f t="shared" si="271"/>
        <v>2480081.45</v>
      </c>
    </row>
    <row r="262" ht="15.75" customHeight="1">
      <c r="A262" s="7">
        <v>70302.0</v>
      </c>
      <c r="B262" s="7" t="s">
        <v>307</v>
      </c>
      <c r="C262" s="71">
        <v>0.0</v>
      </c>
      <c r="D262" s="71">
        <v>0.0</v>
      </c>
      <c r="E262" s="71">
        <v>11653.0</v>
      </c>
      <c r="F262" s="71">
        <v>15239.0</v>
      </c>
      <c r="G262" s="72">
        <v>276467.42500000005</v>
      </c>
      <c r="H262" s="72">
        <v>361545.275</v>
      </c>
      <c r="I262" s="72">
        <f t="shared" ref="I262:J262" si="272">G262-C262</f>
        <v>276467.425</v>
      </c>
      <c r="J262" s="72">
        <f t="shared" si="272"/>
        <v>361545.275</v>
      </c>
    </row>
    <row r="263" ht="15.75" customHeight="1">
      <c r="A263" s="7">
        <v>70303.0</v>
      </c>
      <c r="B263" s="7" t="s">
        <v>308</v>
      </c>
      <c r="C263" s="71">
        <v>0.0</v>
      </c>
      <c r="D263" s="71">
        <v>0.0</v>
      </c>
      <c r="E263" s="71">
        <v>6364.25</v>
      </c>
      <c r="F263" s="71">
        <v>8842.0</v>
      </c>
      <c r="G263" s="72">
        <v>127762.31875</v>
      </c>
      <c r="H263" s="72">
        <v>177503.15</v>
      </c>
      <c r="I263" s="72">
        <f t="shared" ref="I263:J263" si="273">G263-C263</f>
        <v>127762.3188</v>
      </c>
      <c r="J263" s="72">
        <f t="shared" si="273"/>
        <v>177503.15</v>
      </c>
    </row>
    <row r="264" ht="15.75" customHeight="1">
      <c r="A264" s="7">
        <v>70401.0</v>
      </c>
      <c r="B264" s="7" t="s">
        <v>309</v>
      </c>
      <c r="C264" s="71">
        <v>0.0</v>
      </c>
      <c r="D264" s="71">
        <v>0.0</v>
      </c>
      <c r="E264" s="71">
        <v>12943.333333333334</v>
      </c>
      <c r="F264" s="71">
        <v>13651.0</v>
      </c>
      <c r="G264" s="72">
        <v>307080.5833333334</v>
      </c>
      <c r="H264" s="72">
        <v>323869.97500000003</v>
      </c>
      <c r="I264" s="72">
        <f t="shared" ref="I264:J264" si="274">G264-C264</f>
        <v>307080.5833</v>
      </c>
      <c r="J264" s="72">
        <f t="shared" si="274"/>
        <v>323869.975</v>
      </c>
    </row>
    <row r="265" ht="15.75" customHeight="1">
      <c r="A265" s="7">
        <v>70402.0</v>
      </c>
      <c r="B265" s="7" t="s">
        <v>387</v>
      </c>
      <c r="C265" s="71">
        <v>0.0</v>
      </c>
      <c r="D265" s="71">
        <v>257218.0</v>
      </c>
      <c r="E265" s="71">
        <v>19997.083333333332</v>
      </c>
      <c r="F265" s="71">
        <v>18942.0</v>
      </c>
      <c r="G265" s="72">
        <v>474430.8020833334</v>
      </c>
      <c r="H265" s="72">
        <v>449398.95</v>
      </c>
      <c r="I265" s="72">
        <f t="shared" ref="I265:J265" si="275">G265-C265</f>
        <v>474430.8021</v>
      </c>
      <c r="J265" s="72">
        <f t="shared" si="275"/>
        <v>192180.95</v>
      </c>
    </row>
    <row r="266" ht="15.75" customHeight="1">
      <c r="A266" s="7">
        <v>70403.0</v>
      </c>
      <c r="B266" s="7" t="s">
        <v>310</v>
      </c>
      <c r="C266" s="71">
        <v>198720.0</v>
      </c>
      <c r="D266" s="71">
        <v>305519.2</v>
      </c>
      <c r="E266" s="71">
        <v>51161.0</v>
      </c>
      <c r="F266" s="71">
        <v>57794.0</v>
      </c>
      <c r="G266" s="72">
        <v>2054114.15</v>
      </c>
      <c r="H266" s="72">
        <v>2320429.1</v>
      </c>
      <c r="I266" s="72">
        <f t="shared" ref="I266:J266" si="276">G266-C266</f>
        <v>1855394.15</v>
      </c>
      <c r="J266" s="72">
        <f t="shared" si="276"/>
        <v>2014909.9</v>
      </c>
    </row>
    <row r="267" ht="15.75" customHeight="1">
      <c r="A267" s="7">
        <v>70404.0</v>
      </c>
      <c r="B267" s="7" t="s">
        <v>311</v>
      </c>
      <c r="C267" s="71">
        <v>0.0</v>
      </c>
      <c r="D267" s="71">
        <v>0.0</v>
      </c>
      <c r="E267" s="71">
        <v>9275.083333333334</v>
      </c>
      <c r="F267" s="71">
        <v>10200.0</v>
      </c>
      <c r="G267" s="72">
        <v>186197.29791666666</v>
      </c>
      <c r="H267" s="72">
        <v>241995.0</v>
      </c>
      <c r="I267" s="72">
        <f t="shared" ref="I267:J267" si="277">G267-C267</f>
        <v>186197.2979</v>
      </c>
      <c r="J267" s="72">
        <f t="shared" si="277"/>
        <v>241995</v>
      </c>
    </row>
    <row r="268" ht="15.75" customHeight="1">
      <c r="A268" s="7">
        <v>70501.0</v>
      </c>
      <c r="B268" s="7" t="s">
        <v>312</v>
      </c>
      <c r="C268" s="71">
        <v>0.0</v>
      </c>
      <c r="D268" s="71">
        <v>0.0</v>
      </c>
      <c r="E268" s="71">
        <v>29926.333333333332</v>
      </c>
      <c r="F268" s="71">
        <v>40974.0</v>
      </c>
      <c r="G268" s="72">
        <v>873848.9333333333</v>
      </c>
      <c r="H268" s="72">
        <v>1196440.8</v>
      </c>
      <c r="I268" s="72">
        <f t="shared" ref="I268:J268" si="278">G268-C268</f>
        <v>873848.9333</v>
      </c>
      <c r="J268" s="72">
        <f t="shared" si="278"/>
        <v>1196440.8</v>
      </c>
    </row>
    <row r="269" ht="15.75" customHeight="1">
      <c r="A269" s="7">
        <v>70502.0</v>
      </c>
      <c r="B269" s="7" t="s">
        <v>313</v>
      </c>
      <c r="C269" s="71">
        <v>0.0</v>
      </c>
      <c r="D269" s="71">
        <v>0.0</v>
      </c>
      <c r="E269" s="71">
        <v>39251.75</v>
      </c>
      <c r="F269" s="71">
        <v>54495.0</v>
      </c>
      <c r="G269" s="72">
        <v>1146151.0999999999</v>
      </c>
      <c r="H269" s="72">
        <v>2187974.25</v>
      </c>
      <c r="I269" s="72">
        <f t="shared" ref="I269:J269" si="279">G269-C269</f>
        <v>1146151.1</v>
      </c>
      <c r="J269" s="72">
        <f t="shared" si="279"/>
        <v>2187974.25</v>
      </c>
    </row>
    <row r="270" ht="15.75" customHeight="1">
      <c r="A270" s="7">
        <v>70503.0</v>
      </c>
      <c r="B270" s="7" t="s">
        <v>314</v>
      </c>
      <c r="C270" s="71">
        <v>0.0</v>
      </c>
      <c r="D270" s="71">
        <v>403044.1</v>
      </c>
      <c r="E270" s="71">
        <v>15901.166666666666</v>
      </c>
      <c r="F270" s="71">
        <v>18763.0</v>
      </c>
      <c r="G270" s="72">
        <v>377255.17916666664</v>
      </c>
      <c r="H270" s="72">
        <v>445152.175</v>
      </c>
      <c r="I270" s="72">
        <f t="shared" ref="I270:J270" si="280">G270-C270</f>
        <v>377255.1792</v>
      </c>
      <c r="J270" s="72">
        <f t="shared" si="280"/>
        <v>42108.075</v>
      </c>
    </row>
    <row r="271" ht="15.75" customHeight="1">
      <c r="A271" s="7">
        <v>70601.0</v>
      </c>
      <c r="B271" s="7" t="s">
        <v>315</v>
      </c>
      <c r="C271" s="71">
        <v>0.0</v>
      </c>
      <c r="D271" s="71">
        <v>586388.0</v>
      </c>
      <c r="E271" s="71">
        <v>18123.166666666668</v>
      </c>
      <c r="F271" s="71">
        <v>20743.0</v>
      </c>
      <c r="G271" s="72">
        <v>429972.1291666667</v>
      </c>
      <c r="H271" s="72">
        <v>492127.67500000005</v>
      </c>
      <c r="I271" s="72">
        <f t="shared" ref="I271:J271" si="281">G271-C271</f>
        <v>429972.1292</v>
      </c>
      <c r="J271" s="72">
        <f t="shared" si="281"/>
        <v>-94260.325</v>
      </c>
    </row>
    <row r="272" ht="15.75" customHeight="1">
      <c r="A272" s="7">
        <v>70602.0</v>
      </c>
      <c r="B272" s="7" t="s">
        <v>316</v>
      </c>
      <c r="C272" s="71">
        <v>0.0</v>
      </c>
      <c r="D272" s="71">
        <v>0.0</v>
      </c>
      <c r="E272" s="71">
        <v>19115.5</v>
      </c>
      <c r="F272" s="71">
        <v>17999.0</v>
      </c>
      <c r="G272" s="72">
        <v>453515.2375</v>
      </c>
      <c r="H272" s="72">
        <v>427026.27499999997</v>
      </c>
      <c r="I272" s="72">
        <f t="shared" ref="I272:J272" si="282">G272-C272</f>
        <v>453515.2375</v>
      </c>
      <c r="J272" s="72">
        <f t="shared" si="282"/>
        <v>427026.275</v>
      </c>
    </row>
    <row r="273" ht="15.75" customHeight="1">
      <c r="A273" s="7">
        <v>70603.0</v>
      </c>
      <c r="B273" s="7" t="s">
        <v>317</v>
      </c>
      <c r="C273" s="71">
        <v>0.0</v>
      </c>
      <c r="D273" s="71">
        <v>0.0</v>
      </c>
      <c r="E273" s="71">
        <v>6063.833333333333</v>
      </c>
      <c r="F273" s="71">
        <v>6007.0</v>
      </c>
      <c r="G273" s="72">
        <v>121731.45416666666</v>
      </c>
      <c r="H273" s="72">
        <v>120590.525</v>
      </c>
      <c r="I273" s="72">
        <f t="shared" ref="I273:J273" si="283">G273-C273</f>
        <v>121731.4542</v>
      </c>
      <c r="J273" s="72">
        <f t="shared" si="283"/>
        <v>120590.525</v>
      </c>
    </row>
    <row r="274" ht="15.75" customHeight="1">
      <c r="A274" s="7">
        <v>70701.0</v>
      </c>
      <c r="B274" s="7" t="s">
        <v>318</v>
      </c>
      <c r="C274" s="71">
        <v>0.0</v>
      </c>
      <c r="D274" s="71">
        <v>0.0</v>
      </c>
      <c r="E274" s="71">
        <v>5414.333333333333</v>
      </c>
      <c r="F274" s="71">
        <v>5946.0</v>
      </c>
      <c r="G274" s="72">
        <v>108692.74166666665</v>
      </c>
      <c r="H274" s="72">
        <v>119365.95000000001</v>
      </c>
      <c r="I274" s="72">
        <f t="shared" ref="I274:J274" si="284">G274-C274</f>
        <v>108692.7417</v>
      </c>
      <c r="J274" s="72">
        <f t="shared" si="284"/>
        <v>119365.95</v>
      </c>
    </row>
    <row r="275" ht="15.75" customHeight="1">
      <c r="A275" s="7">
        <v>70702.0</v>
      </c>
      <c r="B275" s="7" t="s">
        <v>319</v>
      </c>
      <c r="C275" s="71">
        <v>0.0</v>
      </c>
      <c r="D275" s="71">
        <v>0.0</v>
      </c>
      <c r="E275" s="71">
        <v>32705.5</v>
      </c>
      <c r="F275" s="71">
        <v>38420.0</v>
      </c>
      <c r="G275" s="72">
        <v>955000.6</v>
      </c>
      <c r="H275" s="72">
        <v>1121864.0</v>
      </c>
      <c r="I275" s="72">
        <f t="shared" ref="I275:J275" si="285">G275-C275</f>
        <v>955000.6</v>
      </c>
      <c r="J275" s="72">
        <f t="shared" si="285"/>
        <v>1121864</v>
      </c>
    </row>
    <row r="276" ht="15.75" customHeight="1">
      <c r="A276" s="7">
        <v>70703.0</v>
      </c>
      <c r="B276" s="7" t="s">
        <v>320</v>
      </c>
      <c r="C276" s="71">
        <v>0.0</v>
      </c>
      <c r="D276" s="71">
        <v>0.0</v>
      </c>
      <c r="E276" s="71">
        <v>26977.916666666668</v>
      </c>
      <c r="F276" s="71">
        <v>32961.0</v>
      </c>
      <c r="G276" s="72">
        <v>787755.1666666667</v>
      </c>
      <c r="H276" s="72">
        <v>962461.2000000001</v>
      </c>
      <c r="I276" s="72">
        <f t="shared" ref="I276:J276" si="286">G276-C276</f>
        <v>787755.1667</v>
      </c>
      <c r="J276" s="72">
        <f t="shared" si="286"/>
        <v>962461.2</v>
      </c>
    </row>
    <row r="277" ht="15.75" customHeight="1">
      <c r="A277" s="7">
        <v>70704.0</v>
      </c>
      <c r="B277" s="7" t="s">
        <v>321</v>
      </c>
      <c r="C277" s="71">
        <v>0.0</v>
      </c>
      <c r="D277" s="71">
        <v>0.0</v>
      </c>
      <c r="E277" s="71">
        <v>5075.583333333333</v>
      </c>
      <c r="F277" s="71">
        <v>5335.0</v>
      </c>
      <c r="G277" s="72">
        <v>101892.33541666667</v>
      </c>
      <c r="H277" s="72">
        <v>107100.125</v>
      </c>
      <c r="I277" s="72">
        <f t="shared" ref="I277:J277" si="287">G277-C277</f>
        <v>101892.3354</v>
      </c>
      <c r="J277" s="72">
        <f t="shared" si="287"/>
        <v>107100.125</v>
      </c>
    </row>
    <row r="278" ht="15.75" customHeight="1">
      <c r="A278" s="7">
        <v>70705.0</v>
      </c>
      <c r="B278" s="7" t="s">
        <v>322</v>
      </c>
      <c r="C278" s="71">
        <v>0.0</v>
      </c>
      <c r="D278" s="71">
        <v>0.0</v>
      </c>
      <c r="E278" s="71">
        <v>12449.333333333334</v>
      </c>
      <c r="F278" s="71">
        <v>14389.0</v>
      </c>
      <c r="G278" s="72">
        <v>295360.43333333335</v>
      </c>
      <c r="H278" s="72">
        <v>341379.025</v>
      </c>
      <c r="I278" s="72">
        <f t="shared" ref="I278:J278" si="288">G278-C278</f>
        <v>295360.4333</v>
      </c>
      <c r="J278" s="72">
        <f t="shared" si="288"/>
        <v>341379.025</v>
      </c>
    </row>
    <row r="279" ht="15.75" customHeight="1">
      <c r="A279" s="7">
        <v>70706.0</v>
      </c>
      <c r="B279" s="7" t="s">
        <v>323</v>
      </c>
      <c r="C279" s="71">
        <v>0.0</v>
      </c>
      <c r="D279" s="71">
        <v>0.0</v>
      </c>
      <c r="E279" s="71">
        <v>33708.583333333336</v>
      </c>
      <c r="F279" s="71">
        <v>32285.0</v>
      </c>
      <c r="G279" s="72">
        <v>984290.6333333334</v>
      </c>
      <c r="H279" s="72">
        <v>942722.0000000001</v>
      </c>
      <c r="I279" s="72">
        <f t="shared" ref="I279:J279" si="289">G279-C279</f>
        <v>984290.6333</v>
      </c>
      <c r="J279" s="72">
        <f t="shared" si="289"/>
        <v>942722</v>
      </c>
    </row>
    <row r="280" ht="15.75" customHeight="1">
      <c r="A280" s="7">
        <v>70707.0</v>
      </c>
      <c r="B280" s="7" t="s">
        <v>324</v>
      </c>
      <c r="C280" s="71">
        <v>0.0</v>
      </c>
      <c r="D280" s="71">
        <v>0.0</v>
      </c>
      <c r="E280" s="71">
        <v>5130.75</v>
      </c>
      <c r="F280" s="71">
        <v>5612.0</v>
      </c>
      <c r="G280" s="72">
        <v>102999.80625000001</v>
      </c>
      <c r="H280" s="72">
        <v>112660.90000000001</v>
      </c>
      <c r="I280" s="72">
        <f t="shared" ref="I280:J280" si="290">G280-C280</f>
        <v>102999.8063</v>
      </c>
      <c r="J280" s="72">
        <f t="shared" si="290"/>
        <v>112660.9</v>
      </c>
    </row>
    <row r="281" ht="15.75" customHeight="1">
      <c r="A281" s="7">
        <v>70801.0</v>
      </c>
      <c r="B281" s="7" t="s">
        <v>325</v>
      </c>
      <c r="C281" s="71">
        <v>0.0</v>
      </c>
      <c r="D281" s="71">
        <v>505522.08</v>
      </c>
      <c r="E281" s="71">
        <v>17211.416666666668</v>
      </c>
      <c r="F281" s="71">
        <v>17249.0</v>
      </c>
      <c r="G281" s="72">
        <v>408340.8604166667</v>
      </c>
      <c r="H281" s="72">
        <v>409232.52499999997</v>
      </c>
      <c r="I281" s="72">
        <f t="shared" ref="I281:J281" si="291">G281-C281</f>
        <v>408340.8604</v>
      </c>
      <c r="J281" s="72">
        <f t="shared" si="291"/>
        <v>-96289.555</v>
      </c>
    </row>
    <row r="282" ht="15.75" customHeight="1">
      <c r="A282" s="7">
        <v>70802.0</v>
      </c>
      <c r="B282" s="7" t="s">
        <v>326</v>
      </c>
      <c r="C282" s="71">
        <v>0.0</v>
      </c>
      <c r="D282" s="71">
        <v>0.0</v>
      </c>
      <c r="E282" s="71">
        <v>2153.6666666666665</v>
      </c>
      <c r="F282" s="71">
        <v>2359.0</v>
      </c>
      <c r="G282" s="72">
        <v>35373.975</v>
      </c>
      <c r="H282" s="72">
        <v>38746.575</v>
      </c>
      <c r="I282" s="72">
        <f t="shared" ref="I282:J282" si="292">G282-C282</f>
        <v>35373.975</v>
      </c>
      <c r="J282" s="72">
        <f t="shared" si="292"/>
        <v>38746.575</v>
      </c>
    </row>
    <row r="283" ht="15.75" customHeight="1">
      <c r="A283" s="7">
        <v>70803.0</v>
      </c>
      <c r="B283" s="7" t="s">
        <v>327</v>
      </c>
      <c r="C283" s="71">
        <v>0.0</v>
      </c>
      <c r="D283" s="71">
        <v>0.0</v>
      </c>
      <c r="E283" s="71">
        <v>2769.1666666666665</v>
      </c>
      <c r="F283" s="71">
        <v>2793.0</v>
      </c>
      <c r="G283" s="72">
        <v>45483.56249999999</v>
      </c>
      <c r="H283" s="72">
        <v>45875.025</v>
      </c>
      <c r="I283" s="72">
        <f t="shared" ref="I283:J283" si="293">G283-C283</f>
        <v>45483.5625</v>
      </c>
      <c r="J283" s="72">
        <f t="shared" si="293"/>
        <v>45875.025</v>
      </c>
    </row>
    <row r="284" ht="15.75" customHeight="1">
      <c r="A284" s="7">
        <v>70804.0</v>
      </c>
      <c r="B284" s="7" t="s">
        <v>328</v>
      </c>
      <c r="C284" s="71">
        <v>0.0</v>
      </c>
      <c r="D284" s="71">
        <v>0.0</v>
      </c>
      <c r="E284" s="71">
        <v>2341.3333333333335</v>
      </c>
      <c r="F284" s="71">
        <v>1806.0</v>
      </c>
      <c r="G284" s="72">
        <v>38456.4</v>
      </c>
      <c r="H284" s="72">
        <v>23071.65</v>
      </c>
      <c r="I284" s="72">
        <f t="shared" ref="I284:J284" si="294">G284-C284</f>
        <v>38456.4</v>
      </c>
      <c r="J284" s="72">
        <f t="shared" si="294"/>
        <v>23071.65</v>
      </c>
    </row>
    <row r="285" ht="15.75" customHeight="1">
      <c r="A285" s="7">
        <v>70805.0</v>
      </c>
      <c r="B285" s="7" t="s">
        <v>329</v>
      </c>
      <c r="C285" s="71">
        <v>0.0</v>
      </c>
      <c r="D285" s="71">
        <v>0.0</v>
      </c>
      <c r="E285" s="71">
        <v>2070.9166666666665</v>
      </c>
      <c r="F285" s="71">
        <v>2015.0</v>
      </c>
      <c r="G285" s="72">
        <v>34014.80625</v>
      </c>
      <c r="H285" s="72">
        <v>33096.375</v>
      </c>
      <c r="I285" s="72">
        <f t="shared" ref="I285:J285" si="295">G285-C285</f>
        <v>34014.80625</v>
      </c>
      <c r="J285" s="72">
        <f t="shared" si="295"/>
        <v>33096.375</v>
      </c>
    </row>
    <row r="286" ht="15.75" customHeight="1">
      <c r="A286" s="7">
        <v>70901.0</v>
      </c>
      <c r="B286" s="7" t="s">
        <v>330</v>
      </c>
      <c r="C286" s="71">
        <v>0.0</v>
      </c>
      <c r="D286" s="71">
        <v>0.0</v>
      </c>
      <c r="E286" s="71">
        <v>10586.25</v>
      </c>
      <c r="F286" s="71">
        <v>11843.0</v>
      </c>
      <c r="G286" s="72">
        <v>251158.78125000003</v>
      </c>
      <c r="H286" s="72">
        <v>280975.17500000005</v>
      </c>
      <c r="I286" s="72">
        <f t="shared" ref="I286:J286" si="296">G286-C286</f>
        <v>251158.7813</v>
      </c>
      <c r="J286" s="72">
        <f t="shared" si="296"/>
        <v>280975.175</v>
      </c>
    </row>
    <row r="287" ht="15.75" customHeight="1">
      <c r="A287" s="7">
        <v>70902.0</v>
      </c>
      <c r="B287" s="7" t="s">
        <v>331</v>
      </c>
      <c r="C287" s="71">
        <v>0.0</v>
      </c>
      <c r="D287" s="71">
        <v>0.0</v>
      </c>
      <c r="E287" s="71">
        <v>9239.166666666666</v>
      </c>
      <c r="F287" s="71">
        <v>9692.0</v>
      </c>
      <c r="G287" s="72">
        <v>185476.2708333333</v>
      </c>
      <c r="H287" s="72">
        <v>194566.90000000002</v>
      </c>
      <c r="I287" s="72">
        <f t="shared" ref="I287:J287" si="297">G287-C287</f>
        <v>185476.2708</v>
      </c>
      <c r="J287" s="72">
        <f t="shared" si="297"/>
        <v>194566.9</v>
      </c>
    </row>
    <row r="288" ht="15.75" customHeight="1">
      <c r="A288" s="7">
        <v>70903.0</v>
      </c>
      <c r="B288" s="7" t="s">
        <v>332</v>
      </c>
      <c r="C288" s="71">
        <v>0.0</v>
      </c>
      <c r="D288" s="71">
        <v>67955.0</v>
      </c>
      <c r="E288" s="71">
        <v>10390.166666666666</v>
      </c>
      <c r="F288" s="71">
        <v>12735.0</v>
      </c>
      <c r="G288" s="72">
        <v>246506.70416666666</v>
      </c>
      <c r="H288" s="72">
        <v>302137.875</v>
      </c>
      <c r="I288" s="72">
        <f t="shared" ref="I288:J288" si="298">G288-C288</f>
        <v>246506.7042</v>
      </c>
      <c r="J288" s="72">
        <f t="shared" si="298"/>
        <v>234182.875</v>
      </c>
    </row>
    <row r="289" ht="15.75" customHeight="1">
      <c r="A289" s="7">
        <v>70904.0</v>
      </c>
      <c r="B289" s="7" t="s">
        <v>333</v>
      </c>
      <c r="C289" s="71">
        <v>0.0</v>
      </c>
      <c r="D289" s="71">
        <v>0.0</v>
      </c>
      <c r="E289" s="71">
        <v>3002.5833333333335</v>
      </c>
      <c r="F289" s="71">
        <v>3086.0</v>
      </c>
      <c r="G289" s="72">
        <v>49317.43125</v>
      </c>
      <c r="H289" s="72">
        <v>50687.55</v>
      </c>
      <c r="I289" s="72">
        <f t="shared" ref="I289:J289" si="299">G289-C289</f>
        <v>49317.43125</v>
      </c>
      <c r="J289" s="72">
        <f t="shared" si="299"/>
        <v>50687.55</v>
      </c>
    </row>
    <row r="290" ht="15.75" customHeight="1">
      <c r="A290" s="7">
        <v>71001.0</v>
      </c>
      <c r="B290" s="7" t="s">
        <v>334</v>
      </c>
      <c r="C290" s="71">
        <v>4573543.3</v>
      </c>
      <c r="D290" s="71">
        <v>426674.88</v>
      </c>
      <c r="E290" s="71">
        <v>110965.33333333333</v>
      </c>
      <c r="F290" s="71">
        <v>126886.0</v>
      </c>
      <c r="G290" s="72">
        <v>4455258.133333333</v>
      </c>
      <c r="H290" s="72">
        <v>5094472.9</v>
      </c>
      <c r="I290" s="72">
        <f t="shared" ref="I290:J290" si="300">G290-C290</f>
        <v>-118285.1667</v>
      </c>
      <c r="J290" s="72">
        <f t="shared" si="300"/>
        <v>4667798.02</v>
      </c>
    </row>
    <row r="291" ht="15.75" customHeight="1">
      <c r="A291" s="7">
        <v>71002.0</v>
      </c>
      <c r="B291" s="7" t="s">
        <v>336</v>
      </c>
      <c r="C291" s="71">
        <v>0.0</v>
      </c>
      <c r="D291" s="71">
        <v>0.0</v>
      </c>
      <c r="E291" s="71">
        <v>14408.083333333334</v>
      </c>
      <c r="F291" s="71">
        <v>16598.0</v>
      </c>
      <c r="G291" s="72">
        <v>341831.77708333335</v>
      </c>
      <c r="H291" s="72">
        <v>393787.55000000005</v>
      </c>
      <c r="I291" s="72">
        <f t="shared" ref="I291:J291" si="301">G291-C291</f>
        <v>341831.7771</v>
      </c>
      <c r="J291" s="72">
        <f t="shared" si="301"/>
        <v>393787.55</v>
      </c>
    </row>
    <row r="292" ht="15.75" customHeight="1">
      <c r="A292" s="7">
        <v>71003.0</v>
      </c>
      <c r="B292" s="7" t="s">
        <v>337</v>
      </c>
      <c r="C292" s="71">
        <v>0.0</v>
      </c>
      <c r="D292" s="71">
        <v>515196.0</v>
      </c>
      <c r="E292" s="71">
        <v>23239.25</v>
      </c>
      <c r="F292" s="71">
        <v>23110.0</v>
      </c>
      <c r="G292" s="72">
        <v>551351.20625</v>
      </c>
      <c r="H292" s="72">
        <v>548284.75</v>
      </c>
      <c r="I292" s="72">
        <f t="shared" ref="I292:J292" si="302">G292-C292</f>
        <v>551351.2063</v>
      </c>
      <c r="J292" s="72">
        <f t="shared" si="302"/>
        <v>33088.75</v>
      </c>
    </row>
    <row r="293" ht="15.75" customHeight="1">
      <c r="A293" s="7">
        <v>71004.0</v>
      </c>
      <c r="B293" s="7" t="s">
        <v>388</v>
      </c>
      <c r="C293" s="71">
        <v>0.0</v>
      </c>
      <c r="D293" s="71">
        <v>143088.0</v>
      </c>
      <c r="E293" s="71">
        <v>15074.75</v>
      </c>
      <c r="F293" s="71">
        <v>14610.0</v>
      </c>
      <c r="G293" s="72">
        <v>357648.44375</v>
      </c>
      <c r="H293" s="72">
        <v>346622.25</v>
      </c>
      <c r="I293" s="72">
        <f t="shared" ref="I293:J293" si="303">G293-C293</f>
        <v>357648.4438</v>
      </c>
      <c r="J293" s="72">
        <f t="shared" si="303"/>
        <v>203534.25</v>
      </c>
    </row>
    <row r="294" ht="15.75" customHeight="1">
      <c r="A294" s="7">
        <v>71005.0</v>
      </c>
      <c r="B294" s="7" t="s">
        <v>262</v>
      </c>
      <c r="C294" s="71">
        <v>0.0</v>
      </c>
      <c r="D294" s="71">
        <v>0.0</v>
      </c>
      <c r="E294" s="71">
        <v>18781.583333333332</v>
      </c>
      <c r="F294" s="71">
        <v>15246.0</v>
      </c>
      <c r="G294" s="72">
        <v>445593.06458333327</v>
      </c>
      <c r="H294" s="72">
        <v>361711.35</v>
      </c>
      <c r="I294" s="72">
        <f t="shared" ref="I294:J294" si="304">G294-C294</f>
        <v>445593.0646</v>
      </c>
      <c r="J294" s="72">
        <f t="shared" si="304"/>
        <v>361711.35</v>
      </c>
    </row>
    <row r="295" ht="15.75" customHeight="1">
      <c r="A295" s="7">
        <v>71101.0</v>
      </c>
      <c r="B295" s="7" t="s">
        <v>338</v>
      </c>
      <c r="C295" s="71">
        <v>0.0</v>
      </c>
      <c r="D295" s="71">
        <v>0.0</v>
      </c>
      <c r="E295" s="71">
        <v>19743.166666666668</v>
      </c>
      <c r="F295" s="71">
        <v>30118.0</v>
      </c>
      <c r="G295" s="72">
        <v>468406.62916666677</v>
      </c>
      <c r="H295" s="72">
        <v>879445.6</v>
      </c>
      <c r="I295" s="72">
        <f t="shared" ref="I295:J295" si="305">G295-C295</f>
        <v>468406.6292</v>
      </c>
      <c r="J295" s="72">
        <f t="shared" si="305"/>
        <v>879445.6</v>
      </c>
    </row>
    <row r="296" ht="15.75" customHeight="1">
      <c r="A296" s="7">
        <v>71102.0</v>
      </c>
      <c r="B296" s="7" t="s">
        <v>339</v>
      </c>
      <c r="C296" s="71">
        <v>0.0</v>
      </c>
      <c r="D296" s="71">
        <v>0.0</v>
      </c>
      <c r="E296" s="71">
        <v>13725.666666666666</v>
      </c>
      <c r="F296" s="71">
        <v>14888.0</v>
      </c>
      <c r="G296" s="72">
        <v>325641.44166666665</v>
      </c>
      <c r="H296" s="72">
        <v>353217.8</v>
      </c>
      <c r="I296" s="72">
        <f t="shared" ref="I296:J296" si="306">G296-C296</f>
        <v>325641.4417</v>
      </c>
      <c r="J296" s="72">
        <f t="shared" si="306"/>
        <v>353217.8</v>
      </c>
    </row>
    <row r="297" ht="15.75" customHeight="1">
      <c r="A297" s="7">
        <v>71103.0</v>
      </c>
      <c r="B297" s="7" t="s">
        <v>342</v>
      </c>
      <c r="C297" s="71">
        <v>0.0</v>
      </c>
      <c r="D297" s="71">
        <v>0.0</v>
      </c>
      <c r="E297" s="71">
        <v>7577.583333333333</v>
      </c>
      <c r="F297" s="71">
        <v>8541.0</v>
      </c>
      <c r="G297" s="72">
        <v>152119.98541666666</v>
      </c>
      <c r="H297" s="72">
        <v>171460.575</v>
      </c>
      <c r="I297" s="72">
        <f t="shared" ref="I297:J297" si="307">G297-C297</f>
        <v>152119.9854</v>
      </c>
      <c r="J297" s="72">
        <f t="shared" si="307"/>
        <v>171460.575</v>
      </c>
    </row>
    <row r="298" ht="15.75" customHeight="1">
      <c r="A298" s="7">
        <v>71104.0</v>
      </c>
      <c r="B298" s="7" t="s">
        <v>340</v>
      </c>
      <c r="C298" s="71">
        <v>0.0</v>
      </c>
      <c r="D298" s="71">
        <v>0.0</v>
      </c>
      <c r="E298" s="71">
        <v>47207.083333333336</v>
      </c>
      <c r="F298" s="71">
        <v>44909.0</v>
      </c>
      <c r="G298" s="72">
        <v>1378446.8333333335</v>
      </c>
      <c r="H298" s="72">
        <v>1311342.8</v>
      </c>
      <c r="I298" s="72">
        <f t="shared" ref="I298:J298" si="308">G298-C298</f>
        <v>1378446.833</v>
      </c>
      <c r="J298" s="72">
        <f t="shared" si="308"/>
        <v>1311342.8</v>
      </c>
    </row>
    <row r="299" ht="15.75" customHeight="1">
      <c r="A299" s="7">
        <v>71105.0</v>
      </c>
      <c r="B299" s="7" t="s">
        <v>341</v>
      </c>
      <c r="C299" s="71">
        <v>0.0</v>
      </c>
      <c r="D299" s="71">
        <v>0.0</v>
      </c>
      <c r="E299" s="71">
        <v>6471.25</v>
      </c>
      <c r="F299" s="71">
        <v>6364.0</v>
      </c>
      <c r="G299" s="72">
        <v>129910.34375</v>
      </c>
      <c r="H299" s="72">
        <v>127757.29999999999</v>
      </c>
      <c r="I299" s="72">
        <f t="shared" ref="I299:J299" si="309">G299-C299</f>
        <v>129910.3438</v>
      </c>
      <c r="J299" s="72">
        <f t="shared" si="309"/>
        <v>127757.3</v>
      </c>
    </row>
    <row r="300" ht="15.75" customHeight="1">
      <c r="A300" s="7">
        <v>71106.0</v>
      </c>
      <c r="B300" s="7" t="s">
        <v>343</v>
      </c>
      <c r="C300" s="71">
        <v>0.0</v>
      </c>
      <c r="D300" s="71">
        <v>385536.0</v>
      </c>
      <c r="E300" s="71">
        <v>23046.083333333332</v>
      </c>
      <c r="F300" s="71">
        <v>25258.0</v>
      </c>
      <c r="G300" s="72">
        <v>546768.3270833333</v>
      </c>
      <c r="H300" s="72">
        <v>737533.6000000001</v>
      </c>
      <c r="I300" s="72">
        <f t="shared" ref="I300:J300" si="310">G300-C300</f>
        <v>546768.3271</v>
      </c>
      <c r="J300" s="72">
        <f t="shared" si="310"/>
        <v>351997.6</v>
      </c>
    </row>
    <row r="301" ht="15.75" customHeight="1">
      <c r="A301" s="7">
        <v>71201.0</v>
      </c>
      <c r="B301" s="7" t="s">
        <v>344</v>
      </c>
      <c r="C301" s="71">
        <v>0.0</v>
      </c>
      <c r="D301" s="71">
        <v>0.0</v>
      </c>
      <c r="E301" s="71">
        <v>14545.666666666666</v>
      </c>
      <c r="F301" s="71">
        <v>15378.0</v>
      </c>
      <c r="G301" s="72">
        <v>345095.94166666665</v>
      </c>
      <c r="H301" s="72">
        <v>364843.05000000005</v>
      </c>
      <c r="I301" s="72">
        <f t="shared" ref="I301:J301" si="311">G301-C301</f>
        <v>345095.9417</v>
      </c>
      <c r="J301" s="72">
        <f t="shared" si="311"/>
        <v>364843.05</v>
      </c>
    </row>
    <row r="302" ht="15.75" customHeight="1">
      <c r="A302" s="7">
        <v>71301.0</v>
      </c>
      <c r="B302" s="7" t="s">
        <v>345</v>
      </c>
      <c r="C302" s="71">
        <v>0.0</v>
      </c>
      <c r="D302" s="71">
        <v>0.0</v>
      </c>
      <c r="E302" s="71">
        <v>16025.333333333334</v>
      </c>
      <c r="F302" s="71">
        <v>17195.0</v>
      </c>
      <c r="G302" s="72">
        <v>380201.0333333334</v>
      </c>
      <c r="H302" s="72">
        <v>407951.375</v>
      </c>
      <c r="I302" s="72">
        <f t="shared" ref="I302:J302" si="312">G302-C302</f>
        <v>380201.0333</v>
      </c>
      <c r="J302" s="72">
        <f t="shared" si="312"/>
        <v>407951.375</v>
      </c>
    </row>
    <row r="303" ht="15.75" customHeight="1">
      <c r="A303" s="7">
        <v>71302.0</v>
      </c>
      <c r="B303" s="7" t="s">
        <v>346</v>
      </c>
      <c r="C303" s="71">
        <v>0.0</v>
      </c>
      <c r="D303" s="71">
        <v>0.0</v>
      </c>
      <c r="E303" s="71">
        <v>7278.166666666667</v>
      </c>
      <c r="F303" s="71">
        <v>6048.0</v>
      </c>
      <c r="G303" s="72">
        <v>146109.19583333333</v>
      </c>
      <c r="H303" s="72">
        <v>121413.59999999999</v>
      </c>
      <c r="I303" s="72">
        <f t="shared" ref="I303:J303" si="313">G303-C303</f>
        <v>146109.1958</v>
      </c>
      <c r="J303" s="72">
        <f t="shared" si="313"/>
        <v>121413.6</v>
      </c>
    </row>
    <row r="304" ht="15.75" customHeight="1">
      <c r="A304" s="7">
        <v>71401.0</v>
      </c>
      <c r="B304" s="7" t="s">
        <v>347</v>
      </c>
      <c r="C304" s="71">
        <v>0.0</v>
      </c>
      <c r="D304" s="71">
        <v>0.0</v>
      </c>
      <c r="E304" s="71">
        <v>19628.0</v>
      </c>
      <c r="F304" s="71">
        <v>17417.0</v>
      </c>
      <c r="G304" s="72">
        <v>465674.3</v>
      </c>
      <c r="H304" s="72">
        <v>413218.325</v>
      </c>
      <c r="I304" s="72">
        <f t="shared" ref="I304:J304" si="314">G304-C304</f>
        <v>465674.3</v>
      </c>
      <c r="J304" s="72">
        <f t="shared" si="314"/>
        <v>413218.325</v>
      </c>
    </row>
    <row r="305" ht="15.75" customHeight="1">
      <c r="A305" s="7">
        <v>71402.0</v>
      </c>
      <c r="B305" s="7" t="s">
        <v>348</v>
      </c>
      <c r="C305" s="71">
        <v>0.0</v>
      </c>
      <c r="D305" s="71">
        <v>0.0</v>
      </c>
      <c r="E305" s="71">
        <v>16768.583333333332</v>
      </c>
      <c r="F305" s="71">
        <v>17974.0</v>
      </c>
      <c r="G305" s="72">
        <v>397834.63958333334</v>
      </c>
      <c r="H305" s="72">
        <v>426433.14999999997</v>
      </c>
      <c r="I305" s="72">
        <f t="shared" ref="I305:J305" si="315">G305-C305</f>
        <v>397834.6396</v>
      </c>
      <c r="J305" s="72">
        <f t="shared" si="315"/>
        <v>426433.15</v>
      </c>
    </row>
    <row r="306" ht="15.75" customHeight="1">
      <c r="A306" s="7">
        <v>71403.0</v>
      </c>
      <c r="B306" s="7" t="s">
        <v>349</v>
      </c>
      <c r="C306" s="71">
        <v>0.0</v>
      </c>
      <c r="D306" s="71">
        <v>0.0</v>
      </c>
      <c r="E306" s="71">
        <v>6548.166666666667</v>
      </c>
      <c r="F306" s="71">
        <v>8816.0</v>
      </c>
      <c r="G306" s="72">
        <v>131454.44583333336</v>
      </c>
      <c r="H306" s="72">
        <v>176981.2</v>
      </c>
      <c r="I306" s="72">
        <f t="shared" ref="I306:J306" si="316">G306-C306</f>
        <v>131454.4458</v>
      </c>
      <c r="J306" s="72">
        <f t="shared" si="316"/>
        <v>176981.2</v>
      </c>
    </row>
    <row r="307" ht="15.75" customHeight="1">
      <c r="A307" s="7">
        <v>71501.0</v>
      </c>
      <c r="B307" s="7" t="s">
        <v>350</v>
      </c>
      <c r="C307" s="71">
        <v>0.0</v>
      </c>
      <c r="D307" s="71">
        <v>0.0</v>
      </c>
      <c r="E307" s="71">
        <v>27654.083333333332</v>
      </c>
      <c r="F307" s="71">
        <v>34079.0</v>
      </c>
      <c r="G307" s="72">
        <v>807499.2333333334</v>
      </c>
      <c r="H307" s="72">
        <v>995106.8</v>
      </c>
      <c r="I307" s="72">
        <f t="shared" ref="I307:J307" si="317">G307-C307</f>
        <v>807499.2333</v>
      </c>
      <c r="J307" s="72">
        <f t="shared" si="317"/>
        <v>995106.8</v>
      </c>
    </row>
    <row r="308" ht="15.75" customHeight="1">
      <c r="A308" s="7">
        <v>71502.0</v>
      </c>
      <c r="B308" s="7" t="s">
        <v>351</v>
      </c>
      <c r="C308" s="71">
        <v>0.0</v>
      </c>
      <c r="D308" s="71">
        <v>0.0</v>
      </c>
      <c r="E308" s="71">
        <v>6986.75</v>
      </c>
      <c r="F308" s="71">
        <v>6555.0</v>
      </c>
      <c r="G308" s="72">
        <v>140259.00625</v>
      </c>
      <c r="H308" s="72">
        <v>131591.625</v>
      </c>
      <c r="I308" s="72">
        <f t="shared" ref="I308:J308" si="318">G308-C308</f>
        <v>140259.0063</v>
      </c>
      <c r="J308" s="72">
        <f t="shared" si="318"/>
        <v>131591.625</v>
      </c>
    </row>
    <row r="309" ht="15.75" customHeight="1">
      <c r="A309" s="7">
        <v>71503.0</v>
      </c>
      <c r="B309" s="7" t="s">
        <v>296</v>
      </c>
      <c r="C309" s="71">
        <v>0.0</v>
      </c>
      <c r="D309" s="71">
        <v>0.0</v>
      </c>
      <c r="E309" s="71">
        <v>14462.083333333334</v>
      </c>
      <c r="F309" s="71">
        <v>17290.0</v>
      </c>
      <c r="G309" s="72">
        <v>343112.9270833334</v>
      </c>
      <c r="H309" s="72">
        <v>410205.25000000006</v>
      </c>
      <c r="I309" s="72">
        <f t="shared" ref="I309:J309" si="319">G309-C309</f>
        <v>343112.9271</v>
      </c>
      <c r="J309" s="72">
        <f t="shared" si="319"/>
        <v>410205.25</v>
      </c>
    </row>
    <row r="310" ht="15.75" customHeight="1">
      <c r="A310" s="7">
        <v>80101.0</v>
      </c>
      <c r="B310" s="7" t="s">
        <v>352</v>
      </c>
      <c r="C310" s="71">
        <v>2786112.0</v>
      </c>
      <c r="D310" s="71">
        <v>2289998.0</v>
      </c>
      <c r="E310" s="71">
        <v>108428.75</v>
      </c>
      <c r="F310" s="71">
        <v>128589.0</v>
      </c>
      <c r="G310" s="72">
        <v>4353414.3125</v>
      </c>
      <c r="H310" s="72">
        <v>5162848.350000001</v>
      </c>
      <c r="I310" s="72">
        <f t="shared" ref="I310:J310" si="320">G310-C310</f>
        <v>1567302.313</v>
      </c>
      <c r="J310" s="72">
        <f t="shared" si="320"/>
        <v>2872850.35</v>
      </c>
    </row>
    <row r="311" ht="15.75" customHeight="1">
      <c r="A311" s="7">
        <v>80102.0</v>
      </c>
      <c r="B311" s="7" t="s">
        <v>339</v>
      </c>
      <c r="C311" s="71">
        <v>0.0</v>
      </c>
      <c r="D311" s="71">
        <v>0.0</v>
      </c>
      <c r="E311" s="71">
        <v>5496.666666666667</v>
      </c>
      <c r="F311" s="71">
        <v>7913.0</v>
      </c>
      <c r="G311" s="72">
        <v>110345.58333333333</v>
      </c>
      <c r="H311" s="72">
        <v>158853.47499999998</v>
      </c>
      <c r="I311" s="72">
        <f t="shared" ref="I311:J311" si="321">G311-C311</f>
        <v>110345.5833</v>
      </c>
      <c r="J311" s="72">
        <f t="shared" si="321"/>
        <v>158853.475</v>
      </c>
    </row>
    <row r="312" ht="15.75" customHeight="1">
      <c r="A312" s="7">
        <v>80201.0</v>
      </c>
      <c r="B312" s="7" t="s">
        <v>353</v>
      </c>
      <c r="C312" s="71">
        <v>0.0</v>
      </c>
      <c r="D312" s="71">
        <v>0.0</v>
      </c>
      <c r="E312" s="71">
        <v>90795.33333333333</v>
      </c>
      <c r="F312" s="71">
        <v>110302.0</v>
      </c>
      <c r="G312" s="72">
        <v>3645432.633333333</v>
      </c>
      <c r="H312" s="72">
        <v>4428625.3</v>
      </c>
      <c r="I312" s="72">
        <f t="shared" ref="I312:J312" si="322">G312-C312</f>
        <v>3645432.633</v>
      </c>
      <c r="J312" s="72">
        <f t="shared" si="322"/>
        <v>4428625.3</v>
      </c>
    </row>
    <row r="313" ht="15.75" customHeight="1">
      <c r="A313" s="7">
        <v>80202.0</v>
      </c>
      <c r="B313" s="7" t="s">
        <v>354</v>
      </c>
      <c r="C313" s="71">
        <v>0.0</v>
      </c>
      <c r="D313" s="71">
        <v>0.0</v>
      </c>
      <c r="E313" s="71">
        <v>41832.083333333336</v>
      </c>
      <c r="F313" s="71">
        <v>42031.0</v>
      </c>
      <c r="G313" s="72">
        <v>1221496.8333333335</v>
      </c>
      <c r="H313" s="72">
        <v>1227305.2</v>
      </c>
      <c r="I313" s="72">
        <f t="shared" ref="I313:J313" si="323">G313-C313</f>
        <v>1221496.833</v>
      </c>
      <c r="J313" s="72">
        <f t="shared" si="323"/>
        <v>1227305.2</v>
      </c>
    </row>
    <row r="314" ht="15.75" customHeight="1">
      <c r="A314" s="7">
        <v>80301.0</v>
      </c>
      <c r="B314" s="7" t="s">
        <v>355</v>
      </c>
      <c r="C314" s="71">
        <v>0.0</v>
      </c>
      <c r="D314" s="71">
        <v>0.0</v>
      </c>
      <c r="E314" s="71">
        <v>13098.666666666666</v>
      </c>
      <c r="F314" s="71">
        <v>11478.0</v>
      </c>
      <c r="G314" s="72">
        <v>310765.86666666664</v>
      </c>
      <c r="H314" s="72">
        <v>272315.55000000005</v>
      </c>
      <c r="I314" s="72">
        <f t="shared" ref="I314:J314" si="324">G314-C314</f>
        <v>310765.8667</v>
      </c>
      <c r="J314" s="72">
        <f t="shared" si="324"/>
        <v>272315.55</v>
      </c>
    </row>
    <row r="315" ht="15.75" customHeight="1">
      <c r="A315" s="7">
        <v>80302.0</v>
      </c>
      <c r="B315" s="7" t="s">
        <v>356</v>
      </c>
      <c r="C315" s="71">
        <v>0.0</v>
      </c>
      <c r="D315" s="71">
        <v>0.0</v>
      </c>
      <c r="E315" s="71">
        <v>41275.166666666664</v>
      </c>
      <c r="F315" s="71">
        <v>45798.0</v>
      </c>
      <c r="G315" s="72">
        <v>1205234.8666666667</v>
      </c>
      <c r="H315" s="72">
        <v>1337301.6</v>
      </c>
      <c r="I315" s="72">
        <f t="shared" ref="I315:J315" si="325">G315-C315</f>
        <v>1205234.867</v>
      </c>
      <c r="J315" s="72">
        <f t="shared" si="325"/>
        <v>1337301.6</v>
      </c>
    </row>
    <row r="316" ht="15.75" customHeight="1">
      <c r="A316" s="7">
        <v>80303.0</v>
      </c>
      <c r="B316" s="7" t="s">
        <v>316</v>
      </c>
      <c r="C316" s="71">
        <v>0.0</v>
      </c>
      <c r="D316" s="71">
        <v>0.0</v>
      </c>
      <c r="E316" s="71">
        <v>9615.0</v>
      </c>
      <c r="F316" s="71">
        <v>11122.0</v>
      </c>
      <c r="G316" s="72">
        <v>193021.12500000003</v>
      </c>
      <c r="H316" s="72">
        <v>263869.45</v>
      </c>
      <c r="I316" s="72">
        <f t="shared" ref="I316:J316" si="326">G316-C316</f>
        <v>193021.125</v>
      </c>
      <c r="J316" s="72">
        <f t="shared" si="326"/>
        <v>263869.45</v>
      </c>
    </row>
    <row r="317" ht="15.75" customHeight="1">
      <c r="A317" s="7">
        <v>80304.0</v>
      </c>
      <c r="B317" s="7" t="s">
        <v>357</v>
      </c>
      <c r="C317" s="71">
        <v>0.0</v>
      </c>
      <c r="D317" s="71">
        <v>0.0</v>
      </c>
      <c r="E317" s="71">
        <v>19365.416666666668</v>
      </c>
      <c r="F317" s="71">
        <v>21240.0</v>
      </c>
      <c r="G317" s="72">
        <v>459444.51041666674</v>
      </c>
      <c r="H317" s="72">
        <v>503919.00000000006</v>
      </c>
      <c r="I317" s="72">
        <f t="shared" ref="I317:J317" si="327">G317-C317</f>
        <v>459444.5104</v>
      </c>
      <c r="J317" s="72">
        <f t="shared" si="327"/>
        <v>503919</v>
      </c>
    </row>
    <row r="318" ht="15.75" customHeight="1">
      <c r="A318" s="7">
        <v>80401.0</v>
      </c>
      <c r="B318" s="7" t="s">
        <v>358</v>
      </c>
      <c r="C318" s="71">
        <v>0.0</v>
      </c>
      <c r="D318" s="71">
        <v>0.0</v>
      </c>
      <c r="E318" s="71">
        <v>17153.916666666668</v>
      </c>
      <c r="F318" s="71">
        <v>18088.0</v>
      </c>
      <c r="G318" s="72">
        <v>406976.67291666666</v>
      </c>
      <c r="H318" s="72">
        <v>429137.8</v>
      </c>
      <c r="I318" s="72">
        <f t="shared" ref="I318:J318" si="328">G318-C318</f>
        <v>406976.6729</v>
      </c>
      <c r="J318" s="72">
        <f t="shared" si="328"/>
        <v>429137.8</v>
      </c>
    </row>
    <row r="319" ht="15.75" customHeight="1">
      <c r="A319" s="7">
        <v>80402.0</v>
      </c>
      <c r="B319" s="7" t="s">
        <v>359</v>
      </c>
      <c r="C319" s="71">
        <v>0.0</v>
      </c>
      <c r="D319" s="71">
        <v>0.0</v>
      </c>
      <c r="E319" s="71">
        <v>6499.5</v>
      </c>
      <c r="F319" s="71">
        <v>8012.0</v>
      </c>
      <c r="G319" s="72">
        <v>130477.46250000001</v>
      </c>
      <c r="H319" s="72">
        <v>160840.90000000002</v>
      </c>
      <c r="I319" s="72">
        <f t="shared" ref="I319:J319" si="329">G319-C319</f>
        <v>130477.4625</v>
      </c>
      <c r="J319" s="72">
        <f t="shared" si="329"/>
        <v>160840.9</v>
      </c>
    </row>
    <row r="320" ht="15.75" customHeight="1">
      <c r="A320" s="7">
        <v>80501.0</v>
      </c>
      <c r="B320" s="7" t="s">
        <v>306</v>
      </c>
      <c r="C320" s="71">
        <v>0.0</v>
      </c>
      <c r="D320" s="71">
        <v>0.0</v>
      </c>
      <c r="E320" s="71">
        <v>19446.333333333332</v>
      </c>
      <c r="F320" s="71">
        <v>21584.0</v>
      </c>
      <c r="G320" s="72">
        <v>461364.2583333333</v>
      </c>
      <c r="H320" s="72">
        <v>512080.4</v>
      </c>
      <c r="I320" s="72">
        <f t="shared" ref="I320:J320" si="330">G320-C320</f>
        <v>461364.2583</v>
      </c>
      <c r="J320" s="72">
        <f t="shared" si="330"/>
        <v>512080.4</v>
      </c>
    </row>
    <row r="321" ht="15.75" customHeight="1">
      <c r="A321" s="7">
        <v>80601.0</v>
      </c>
      <c r="B321" s="7" t="s">
        <v>360</v>
      </c>
      <c r="C321" s="71">
        <v>0.0</v>
      </c>
      <c r="D321" s="71">
        <v>0.0</v>
      </c>
      <c r="E321" s="71">
        <v>3864.75</v>
      </c>
      <c r="F321" s="71">
        <v>4269.0</v>
      </c>
      <c r="G321" s="72">
        <v>63478.518749999996</v>
      </c>
      <c r="H321" s="72">
        <v>70118.325</v>
      </c>
      <c r="I321" s="72">
        <f t="shared" ref="I321:J321" si="331">G321-C321</f>
        <v>63478.51875</v>
      </c>
      <c r="J321" s="72">
        <f t="shared" si="331"/>
        <v>70118.325</v>
      </c>
    </row>
    <row r="322" ht="15.75" customHeight="1">
      <c r="A322" s="7">
        <v>80602.0</v>
      </c>
      <c r="B322" s="7" t="s">
        <v>361</v>
      </c>
      <c r="C322" s="71">
        <v>0.0</v>
      </c>
      <c r="D322" s="71">
        <v>0.0</v>
      </c>
      <c r="E322" s="71">
        <v>12758.583333333334</v>
      </c>
      <c r="F322" s="71">
        <v>15570.0</v>
      </c>
      <c r="G322" s="72">
        <v>302697.38958333334</v>
      </c>
      <c r="H322" s="72">
        <v>369398.25</v>
      </c>
      <c r="I322" s="72">
        <f t="shared" ref="I322:J322" si="332">G322-C322</f>
        <v>302697.3896</v>
      </c>
      <c r="J322" s="72">
        <f t="shared" si="332"/>
        <v>369398.25</v>
      </c>
    </row>
    <row r="323" ht="15.75" customHeight="1">
      <c r="A323" s="7">
        <v>80701.0</v>
      </c>
      <c r="B323" s="7" t="s">
        <v>362</v>
      </c>
      <c r="C323" s="71">
        <v>0.0</v>
      </c>
      <c r="D323" s="71">
        <v>0.0</v>
      </c>
      <c r="E323" s="71">
        <v>6907.916666666667</v>
      </c>
      <c r="F323" s="71">
        <v>6808.0</v>
      </c>
      <c r="G323" s="72">
        <v>138676.42708333334</v>
      </c>
      <c r="H323" s="72">
        <v>136670.6</v>
      </c>
      <c r="I323" s="72">
        <f t="shared" ref="I323:J323" si="333">G323-C323</f>
        <v>138676.4271</v>
      </c>
      <c r="J323" s="72">
        <f t="shared" si="333"/>
        <v>136670.6</v>
      </c>
    </row>
    <row r="324" ht="15.75" customHeight="1">
      <c r="A324" s="7">
        <v>80702.0</v>
      </c>
      <c r="B324" s="7" t="s">
        <v>342</v>
      </c>
      <c r="C324" s="71">
        <v>0.0</v>
      </c>
      <c r="D324" s="71">
        <v>0.0</v>
      </c>
      <c r="E324" s="71">
        <v>4999.5</v>
      </c>
      <c r="F324" s="71">
        <v>5489.0</v>
      </c>
      <c r="G324" s="72">
        <v>82116.78749999999</v>
      </c>
      <c r="H324" s="72">
        <v>110191.67499999999</v>
      </c>
      <c r="I324" s="72">
        <f t="shared" ref="I324:J324" si="334">G324-C324</f>
        <v>82116.7875</v>
      </c>
      <c r="J324" s="72">
        <f t="shared" si="334"/>
        <v>110191.675</v>
      </c>
    </row>
    <row r="325" ht="15.75" customHeight="1">
      <c r="A325" s="7">
        <v>80703.0</v>
      </c>
      <c r="B325" s="7" t="s">
        <v>363</v>
      </c>
      <c r="C325" s="71">
        <v>0.0</v>
      </c>
      <c r="D325" s="71">
        <v>0.0</v>
      </c>
      <c r="E325" s="71">
        <v>957.1666666666666</v>
      </c>
      <c r="F325" s="71">
        <v>1091.0</v>
      </c>
      <c r="G325" s="72">
        <v>12227.804166666667</v>
      </c>
      <c r="H325" s="72">
        <v>13937.525000000001</v>
      </c>
      <c r="I325" s="72">
        <f t="shared" ref="I325:J325" si="335">G325-C325</f>
        <v>12227.80417</v>
      </c>
      <c r="J325" s="72">
        <f t="shared" si="335"/>
        <v>13937.525</v>
      </c>
    </row>
    <row r="326" ht="15.75" customHeight="1">
      <c r="A326" s="7">
        <v>80801.0</v>
      </c>
      <c r="B326" s="7" t="s">
        <v>364</v>
      </c>
      <c r="C326" s="71">
        <v>0.0</v>
      </c>
      <c r="D326" s="71">
        <v>0.0</v>
      </c>
      <c r="E326" s="71">
        <v>11494.333333333334</v>
      </c>
      <c r="F326" s="71">
        <v>12785.0</v>
      </c>
      <c r="G326" s="72">
        <v>272703.05833333335</v>
      </c>
      <c r="H326" s="72">
        <v>303324.125</v>
      </c>
      <c r="I326" s="72">
        <f t="shared" ref="I326:J326" si="336">G326-C326</f>
        <v>272703.0583</v>
      </c>
      <c r="J326" s="72">
        <f t="shared" si="336"/>
        <v>303324.125</v>
      </c>
    </row>
    <row r="327" ht="15.75" customHeight="1">
      <c r="A327" s="7">
        <v>80802.0</v>
      </c>
      <c r="B327" s="7" t="s">
        <v>365</v>
      </c>
      <c r="C327" s="71">
        <v>0.0</v>
      </c>
      <c r="D327" s="71">
        <v>0.0</v>
      </c>
      <c r="E327" s="71">
        <v>6091.916666666667</v>
      </c>
      <c r="F327" s="71">
        <v>7488.0</v>
      </c>
      <c r="G327" s="72">
        <v>122295.22708333335</v>
      </c>
      <c r="H327" s="72">
        <v>150321.59999999998</v>
      </c>
      <c r="I327" s="72">
        <f t="shared" ref="I327:J327" si="337">G327-C327</f>
        <v>122295.2271</v>
      </c>
      <c r="J327" s="72">
        <f t="shared" si="337"/>
        <v>150321.6</v>
      </c>
    </row>
    <row r="328" ht="15.75" customHeight="1">
      <c r="A328" s="7">
        <v>80803.0</v>
      </c>
      <c r="B328" s="7" t="s">
        <v>366</v>
      </c>
      <c r="C328" s="71">
        <v>0.0</v>
      </c>
      <c r="D328" s="71">
        <v>0.0</v>
      </c>
      <c r="E328" s="71">
        <v>4154.25</v>
      </c>
      <c r="F328" s="71">
        <v>4630.0</v>
      </c>
      <c r="G328" s="72">
        <v>68233.55625</v>
      </c>
      <c r="H328" s="72">
        <v>76047.75</v>
      </c>
      <c r="I328" s="72">
        <f t="shared" ref="I328:J328" si="338">G328-C328</f>
        <v>68233.55625</v>
      </c>
      <c r="J328" s="72">
        <f t="shared" si="338"/>
        <v>76047.75</v>
      </c>
    </row>
    <row r="329" ht="15.75" customHeight="1">
      <c r="A329" s="7">
        <v>80901.0</v>
      </c>
      <c r="B329" s="7" t="s">
        <v>367</v>
      </c>
      <c r="C329" s="71">
        <v>0.0</v>
      </c>
      <c r="D329" s="71">
        <v>0.0</v>
      </c>
      <c r="E329" s="71">
        <v>3293.75</v>
      </c>
      <c r="F329" s="71">
        <v>3973.0</v>
      </c>
      <c r="G329" s="72">
        <v>54099.84375</v>
      </c>
      <c r="H329" s="72">
        <v>65256.525</v>
      </c>
      <c r="I329" s="72">
        <f t="shared" ref="I329:J329" si="339">G329-C329</f>
        <v>54099.84375</v>
      </c>
      <c r="J329" s="72">
        <f t="shared" si="339"/>
        <v>65256.525</v>
      </c>
    </row>
    <row r="330" ht="15.75" customHeight="1">
      <c r="A330" s="7">
        <v>90101.0</v>
      </c>
      <c r="B330" s="7" t="s">
        <v>368</v>
      </c>
      <c r="C330" s="71">
        <v>0.0</v>
      </c>
      <c r="D330" s="71">
        <v>0.0</v>
      </c>
      <c r="E330" s="71">
        <v>47004.25</v>
      </c>
      <c r="F330" s="71">
        <v>55114.0</v>
      </c>
      <c r="G330" s="72">
        <v>1372524.1</v>
      </c>
      <c r="H330" s="72">
        <v>2212827.1</v>
      </c>
      <c r="I330" s="72">
        <f t="shared" ref="I330:J330" si="340">G330-C330</f>
        <v>1372524.1</v>
      </c>
      <c r="J330" s="72">
        <f t="shared" si="340"/>
        <v>2212827.1</v>
      </c>
    </row>
    <row r="331" ht="15.75" customHeight="1">
      <c r="A331" s="7">
        <v>90102.0</v>
      </c>
      <c r="B331" s="7" t="s">
        <v>369</v>
      </c>
      <c r="C331" s="71">
        <v>0.0</v>
      </c>
      <c r="D331" s="71">
        <v>0.0</v>
      </c>
      <c r="E331" s="71">
        <v>8065.083333333333</v>
      </c>
      <c r="F331" s="71">
        <v>9353.0</v>
      </c>
      <c r="G331" s="72">
        <v>161906.54791666666</v>
      </c>
      <c r="H331" s="72">
        <v>187761.47499999998</v>
      </c>
      <c r="I331" s="72">
        <f t="shared" ref="I331:J331" si="341">G331-C331</f>
        <v>161906.5479</v>
      </c>
      <c r="J331" s="72">
        <f t="shared" si="341"/>
        <v>187761.475</v>
      </c>
    </row>
    <row r="332" ht="15.75" customHeight="1">
      <c r="A332" s="7">
        <v>90103.0</v>
      </c>
      <c r="B332" s="7" t="s">
        <v>370</v>
      </c>
      <c r="C332" s="71">
        <v>0.0</v>
      </c>
      <c r="D332" s="71">
        <v>0.0</v>
      </c>
      <c r="E332" s="71">
        <v>2195.0</v>
      </c>
      <c r="F332" s="71">
        <v>2437.0</v>
      </c>
      <c r="G332" s="72">
        <v>36052.875</v>
      </c>
      <c r="H332" s="72">
        <v>40027.725</v>
      </c>
      <c r="I332" s="72">
        <f t="shared" ref="I332:J332" si="342">G332-C332</f>
        <v>36052.875</v>
      </c>
      <c r="J332" s="72">
        <f t="shared" si="342"/>
        <v>40027.725</v>
      </c>
    </row>
    <row r="333" ht="15.75" customHeight="1">
      <c r="A333" s="7">
        <v>90104.0</v>
      </c>
      <c r="B333" s="7" t="s">
        <v>371</v>
      </c>
      <c r="C333" s="71">
        <v>0.0</v>
      </c>
      <c r="D333" s="71">
        <v>0.0</v>
      </c>
      <c r="E333" s="71">
        <v>3885.75</v>
      </c>
      <c r="F333" s="71">
        <v>3630.0</v>
      </c>
      <c r="G333" s="72">
        <v>63823.44375</v>
      </c>
      <c r="H333" s="72">
        <v>59622.75</v>
      </c>
      <c r="I333" s="72">
        <f t="shared" ref="I333:J333" si="343">G333-C333</f>
        <v>63823.44375</v>
      </c>
      <c r="J333" s="72">
        <f t="shared" si="343"/>
        <v>59622.75</v>
      </c>
    </row>
    <row r="334" ht="15.75" customHeight="1">
      <c r="A334" s="7">
        <v>90201.0</v>
      </c>
      <c r="B334" s="7" t="s">
        <v>372</v>
      </c>
      <c r="C334" s="71">
        <v>0.0</v>
      </c>
      <c r="D334" s="71">
        <v>0.0</v>
      </c>
      <c r="E334" s="71">
        <v>6333.0</v>
      </c>
      <c r="F334" s="71">
        <v>7367.0</v>
      </c>
      <c r="G334" s="72">
        <v>127134.975</v>
      </c>
      <c r="H334" s="72">
        <v>147892.525</v>
      </c>
      <c r="I334" s="72">
        <f t="shared" ref="I334:J334" si="344">G334-C334</f>
        <v>127134.975</v>
      </c>
      <c r="J334" s="72">
        <f t="shared" si="344"/>
        <v>147892.525</v>
      </c>
    </row>
    <row r="335" ht="15.75" customHeight="1">
      <c r="A335" s="7">
        <v>90202.0</v>
      </c>
      <c r="B335" s="7" t="s">
        <v>262</v>
      </c>
      <c r="C335" s="71">
        <v>0.0</v>
      </c>
      <c r="D335" s="71">
        <v>0.0</v>
      </c>
      <c r="E335" s="71">
        <v>3034.9166666666665</v>
      </c>
      <c r="F335" s="71">
        <v>3518.0</v>
      </c>
      <c r="G335" s="72">
        <v>49848.50625</v>
      </c>
      <c r="H335" s="72">
        <v>57783.15</v>
      </c>
      <c r="I335" s="72">
        <f t="shared" ref="I335:J335" si="345">G335-C335</f>
        <v>49848.50625</v>
      </c>
      <c r="J335" s="72">
        <f t="shared" si="345"/>
        <v>57783.15</v>
      </c>
    </row>
    <row r="336" ht="15.75" customHeight="1">
      <c r="A336" s="7">
        <v>90203.0</v>
      </c>
      <c r="B336" s="7" t="s">
        <v>373</v>
      </c>
      <c r="C336" s="71">
        <v>0.0</v>
      </c>
      <c r="D336" s="71">
        <v>0.0</v>
      </c>
      <c r="E336" s="71">
        <v>5946.75</v>
      </c>
      <c r="F336" s="71">
        <v>8045.0</v>
      </c>
      <c r="G336" s="72">
        <v>119381.00625</v>
      </c>
      <c r="H336" s="72">
        <v>161503.375</v>
      </c>
      <c r="I336" s="72">
        <f t="shared" ref="I336:J336" si="346">G336-C336</f>
        <v>119381.0063</v>
      </c>
      <c r="J336" s="72">
        <f t="shared" si="346"/>
        <v>161503.375</v>
      </c>
    </row>
    <row r="337" ht="15.75" customHeight="1">
      <c r="A337" s="7">
        <v>90301.0</v>
      </c>
      <c r="B337" s="7" t="s">
        <v>374</v>
      </c>
      <c r="C337" s="71">
        <v>0.0</v>
      </c>
      <c r="D337" s="71">
        <v>0.0</v>
      </c>
      <c r="E337" s="71">
        <v>8515.916666666666</v>
      </c>
      <c r="F337" s="71">
        <v>12431.0</v>
      </c>
      <c r="G337" s="72">
        <v>170957.02708333332</v>
      </c>
      <c r="H337" s="72">
        <v>294925.475</v>
      </c>
      <c r="I337" s="72">
        <f t="shared" ref="I337:J337" si="347">G337-C337</f>
        <v>170957.0271</v>
      </c>
      <c r="J337" s="72">
        <f t="shared" si="347"/>
        <v>294925.475</v>
      </c>
    </row>
    <row r="338" ht="15.75" customHeight="1">
      <c r="A338" s="7">
        <v>90302.0</v>
      </c>
      <c r="B338" s="7" t="s">
        <v>295</v>
      </c>
      <c r="C338" s="71">
        <v>0.0</v>
      </c>
      <c r="D338" s="71">
        <v>0.0</v>
      </c>
      <c r="E338" s="71">
        <v>7833.666666666667</v>
      </c>
      <c r="F338" s="71">
        <v>9832.0</v>
      </c>
      <c r="G338" s="72">
        <v>157260.85833333334</v>
      </c>
      <c r="H338" s="72">
        <v>197377.4</v>
      </c>
      <c r="I338" s="72">
        <f t="shared" ref="I338:J338" si="348">G338-C338</f>
        <v>157260.8583</v>
      </c>
      <c r="J338" s="72">
        <f t="shared" si="348"/>
        <v>197377.4</v>
      </c>
    </row>
    <row r="339" ht="15.75" customHeight="1">
      <c r="A339" s="7">
        <v>90303.0</v>
      </c>
      <c r="B339" s="7" t="s">
        <v>375</v>
      </c>
      <c r="C339" s="71">
        <v>0.0</v>
      </c>
      <c r="D339" s="71">
        <v>0.0</v>
      </c>
      <c r="E339" s="71">
        <v>8446.666666666666</v>
      </c>
      <c r="F339" s="71">
        <v>10522.0</v>
      </c>
      <c r="G339" s="72">
        <v>169566.83333333334</v>
      </c>
      <c r="H339" s="72">
        <v>249634.45</v>
      </c>
      <c r="I339" s="72">
        <f t="shared" ref="I339:J339" si="349">G339-C339</f>
        <v>169566.8333</v>
      </c>
      <c r="J339" s="72">
        <f t="shared" si="349"/>
        <v>249634.45</v>
      </c>
    </row>
    <row r="340" ht="15.75" customHeight="1">
      <c r="A340" s="7">
        <v>90401.0</v>
      </c>
      <c r="B340" s="7" t="s">
        <v>316</v>
      </c>
      <c r="C340" s="71">
        <v>0.0</v>
      </c>
      <c r="D340" s="71">
        <v>0.0</v>
      </c>
      <c r="E340" s="71">
        <v>2436.1666666666665</v>
      </c>
      <c r="F340" s="71">
        <v>2889.0</v>
      </c>
      <c r="G340" s="72">
        <v>40014.03749999999</v>
      </c>
      <c r="H340" s="72">
        <v>47451.825</v>
      </c>
      <c r="I340" s="72">
        <f t="shared" ref="I340:J340" si="350">G340-C340</f>
        <v>40014.0375</v>
      </c>
      <c r="J340" s="72">
        <f t="shared" si="350"/>
        <v>47451.825</v>
      </c>
    </row>
    <row r="341" ht="15.75" customHeight="1">
      <c r="A341" s="7">
        <v>90402.0</v>
      </c>
      <c r="B341" s="7" t="s">
        <v>376</v>
      </c>
      <c r="C341" s="71">
        <v>0.0</v>
      </c>
      <c r="D341" s="71">
        <v>0.0</v>
      </c>
      <c r="E341" s="71">
        <v>1732.8333333333333</v>
      </c>
      <c r="F341" s="71">
        <v>2600.0</v>
      </c>
      <c r="G341" s="72">
        <v>22136.945833333335</v>
      </c>
      <c r="H341" s="72">
        <v>42705.0</v>
      </c>
      <c r="I341" s="72">
        <f t="shared" ref="I341:J341" si="351">G341-C341</f>
        <v>22136.94583</v>
      </c>
      <c r="J341" s="72">
        <f t="shared" si="351"/>
        <v>42705</v>
      </c>
    </row>
    <row r="342" ht="15.75" customHeight="1">
      <c r="A342" s="7">
        <v>90501.0</v>
      </c>
      <c r="B342" s="7" t="s">
        <v>377</v>
      </c>
      <c r="C342" s="71">
        <v>0.0</v>
      </c>
      <c r="D342" s="71">
        <v>0.0</v>
      </c>
      <c r="E342" s="71">
        <v>2028.8333333333333</v>
      </c>
      <c r="F342" s="71">
        <v>1598.0</v>
      </c>
      <c r="G342" s="72">
        <v>33323.5875</v>
      </c>
      <c r="H342" s="72">
        <v>20414.45</v>
      </c>
      <c r="I342" s="72">
        <f t="shared" ref="I342:J342" si="352">G342-C342</f>
        <v>33323.5875</v>
      </c>
      <c r="J342" s="72">
        <f t="shared" si="352"/>
        <v>20414.45</v>
      </c>
    </row>
    <row r="343" ht="15.75" customHeight="1">
      <c r="A343" s="7">
        <v>90502.0</v>
      </c>
      <c r="B343" s="7" t="s">
        <v>378</v>
      </c>
      <c r="C343" s="71">
        <v>0.0</v>
      </c>
      <c r="D343" s="71">
        <v>0.0</v>
      </c>
      <c r="E343" s="71">
        <v>2776.8333333333335</v>
      </c>
      <c r="F343" s="71">
        <v>2511.0</v>
      </c>
      <c r="G343" s="72">
        <v>45609.487499999996</v>
      </c>
      <c r="H343" s="72">
        <v>41243.174999999996</v>
      </c>
      <c r="I343" s="72">
        <f t="shared" ref="I343:J343" si="353">G343-C343</f>
        <v>45609.4875</v>
      </c>
      <c r="J343" s="72">
        <f t="shared" si="353"/>
        <v>41243.175</v>
      </c>
    </row>
    <row r="344" ht="15.75" customHeight="1">
      <c r="A344" s="7">
        <v>90503.0</v>
      </c>
      <c r="B344" s="7" t="s">
        <v>379</v>
      </c>
      <c r="C344" s="71">
        <v>0.0</v>
      </c>
      <c r="D344" s="71">
        <v>0.0</v>
      </c>
      <c r="E344" s="71">
        <v>2180.1666666666665</v>
      </c>
      <c r="F344" s="71">
        <v>2347.0</v>
      </c>
      <c r="G344" s="72">
        <v>35809.237499999996</v>
      </c>
      <c r="H344" s="72">
        <v>38549.475</v>
      </c>
      <c r="I344" s="72">
        <f t="shared" ref="I344:J344" si="354">G344-C344</f>
        <v>35809.2375</v>
      </c>
      <c r="J344" s="72">
        <f t="shared" si="354"/>
        <v>38549.475</v>
      </c>
    </row>
    <row r="345" ht="15.75" customHeight="1">
      <c r="C345" s="73"/>
      <c r="D345" s="73"/>
      <c r="E345" s="73"/>
      <c r="F345" s="73"/>
    </row>
    <row r="346" ht="15.75" customHeight="1">
      <c r="C346" s="73"/>
      <c r="D346" s="73"/>
      <c r="E346" s="73"/>
      <c r="F346" s="73"/>
    </row>
    <row r="347" ht="15.75" customHeight="1">
      <c r="C347" s="73"/>
      <c r="D347" s="73"/>
      <c r="E347" s="73"/>
      <c r="F347" s="73"/>
    </row>
    <row r="348" ht="15.75" customHeight="1">
      <c r="C348" s="73"/>
      <c r="D348" s="73"/>
      <c r="E348" s="73"/>
      <c r="F348" s="73"/>
    </row>
    <row r="349" ht="15.75" customHeight="1">
      <c r="C349" s="73"/>
      <c r="D349" s="73"/>
      <c r="E349" s="73"/>
      <c r="F349" s="73"/>
    </row>
    <row r="350" ht="15.75" customHeight="1">
      <c r="C350" s="73"/>
      <c r="D350" s="73"/>
      <c r="E350" s="73"/>
      <c r="F350" s="73"/>
    </row>
    <row r="351" ht="15.75" customHeight="1">
      <c r="C351" s="73"/>
      <c r="D351" s="73"/>
      <c r="E351" s="73"/>
      <c r="F351" s="73"/>
    </row>
    <row r="352" ht="15.75" customHeight="1">
      <c r="C352" s="73"/>
      <c r="D352" s="73"/>
      <c r="E352" s="73"/>
      <c r="F352" s="73"/>
    </row>
    <row r="353" ht="15.75" customHeight="1">
      <c r="C353" s="73"/>
      <c r="D353" s="73"/>
      <c r="E353" s="73"/>
      <c r="F353" s="73"/>
    </row>
    <row r="354" ht="15.75" customHeight="1">
      <c r="C354" s="73"/>
      <c r="D354" s="73"/>
      <c r="E354" s="73"/>
      <c r="F354" s="73"/>
    </row>
    <row r="355" ht="15.75" customHeight="1">
      <c r="C355" s="73"/>
      <c r="D355" s="73"/>
      <c r="E355" s="73"/>
      <c r="F355" s="73"/>
    </row>
    <row r="356" ht="15.75" customHeight="1">
      <c r="C356" s="73"/>
      <c r="D356" s="73"/>
      <c r="E356" s="73"/>
      <c r="F356" s="73"/>
    </row>
    <row r="357" ht="15.75" customHeight="1">
      <c r="C357" s="73"/>
      <c r="D357" s="73"/>
      <c r="E357" s="73"/>
      <c r="F357" s="73"/>
    </row>
    <row r="358" ht="15.75" customHeight="1">
      <c r="C358" s="73"/>
      <c r="D358" s="73"/>
      <c r="E358" s="73"/>
      <c r="F358" s="73"/>
    </row>
    <row r="359" ht="15.75" customHeight="1">
      <c r="C359" s="73"/>
      <c r="D359" s="73"/>
      <c r="E359" s="73"/>
      <c r="F359" s="73"/>
    </row>
    <row r="360" ht="15.75" customHeight="1">
      <c r="C360" s="73"/>
      <c r="D360" s="73"/>
      <c r="E360" s="73"/>
      <c r="F360" s="73"/>
    </row>
    <row r="361" ht="15.75" customHeight="1">
      <c r="C361" s="73"/>
      <c r="D361" s="73"/>
      <c r="E361" s="73"/>
      <c r="F361" s="73"/>
    </row>
    <row r="362" ht="15.75" customHeight="1">
      <c r="C362" s="73"/>
      <c r="D362" s="73"/>
      <c r="E362" s="73"/>
      <c r="F362" s="73"/>
    </row>
    <row r="363" ht="15.75" customHeight="1">
      <c r="C363" s="73"/>
      <c r="D363" s="73"/>
      <c r="E363" s="73"/>
      <c r="F363" s="73"/>
    </row>
    <row r="364" ht="15.75" customHeight="1">
      <c r="C364" s="73"/>
      <c r="D364" s="73"/>
      <c r="E364" s="73"/>
      <c r="F364" s="73"/>
    </row>
    <row r="365" ht="15.75" customHeight="1">
      <c r="C365" s="73"/>
      <c r="D365" s="73"/>
      <c r="E365" s="73"/>
      <c r="F365" s="73"/>
    </row>
    <row r="366" ht="15.75" customHeight="1">
      <c r="C366" s="73"/>
      <c r="D366" s="73"/>
      <c r="E366" s="73"/>
      <c r="F366" s="73"/>
    </row>
    <row r="367" ht="15.75" customHeight="1">
      <c r="C367" s="73"/>
      <c r="D367" s="73"/>
      <c r="E367" s="73"/>
      <c r="F367" s="73"/>
    </row>
    <row r="368" ht="15.75" customHeight="1">
      <c r="C368" s="73"/>
      <c r="D368" s="73"/>
      <c r="E368" s="73"/>
      <c r="F368" s="73"/>
    </row>
    <row r="369" ht="15.75" customHeight="1">
      <c r="C369" s="73"/>
      <c r="D369" s="73"/>
      <c r="E369" s="73"/>
      <c r="F369" s="73"/>
    </row>
    <row r="370" ht="15.75" customHeight="1">
      <c r="C370" s="73"/>
      <c r="D370" s="73"/>
      <c r="E370" s="73"/>
      <c r="F370" s="73"/>
    </row>
    <row r="371" ht="15.75" customHeight="1">
      <c r="C371" s="73"/>
      <c r="D371" s="73"/>
      <c r="E371" s="73"/>
      <c r="F371" s="73"/>
    </row>
    <row r="372" ht="15.75" customHeight="1">
      <c r="C372" s="73"/>
      <c r="D372" s="73"/>
      <c r="E372" s="73"/>
      <c r="F372" s="73"/>
    </row>
    <row r="373" ht="15.75" customHeight="1">
      <c r="C373" s="73"/>
      <c r="D373" s="73"/>
      <c r="E373" s="73"/>
      <c r="F373" s="73"/>
    </row>
    <row r="374" ht="15.75" customHeight="1">
      <c r="C374" s="73"/>
      <c r="D374" s="73"/>
      <c r="E374" s="73"/>
      <c r="F374" s="73"/>
    </row>
    <row r="375" ht="15.75" customHeight="1">
      <c r="C375" s="73"/>
      <c r="D375" s="73"/>
      <c r="E375" s="73"/>
      <c r="F375" s="73"/>
    </row>
    <row r="376" ht="15.75" customHeight="1">
      <c r="C376" s="73"/>
      <c r="D376" s="73"/>
      <c r="E376" s="73"/>
      <c r="F376" s="73"/>
    </row>
    <row r="377" ht="15.75" customHeight="1">
      <c r="C377" s="73"/>
      <c r="D377" s="73"/>
      <c r="E377" s="73"/>
      <c r="F377" s="73"/>
    </row>
    <row r="378" ht="15.75" customHeight="1">
      <c r="C378" s="73"/>
      <c r="D378" s="73"/>
      <c r="E378" s="73"/>
      <c r="F378" s="73"/>
    </row>
    <row r="379" ht="15.75" customHeight="1">
      <c r="C379" s="73"/>
      <c r="D379" s="73"/>
      <c r="E379" s="73"/>
      <c r="F379" s="73"/>
    </row>
    <row r="380" ht="15.75" customHeight="1">
      <c r="C380" s="73"/>
      <c r="D380" s="73"/>
      <c r="E380" s="73"/>
      <c r="F380" s="73"/>
    </row>
    <row r="381" ht="15.75" customHeight="1">
      <c r="C381" s="73"/>
      <c r="D381" s="73"/>
      <c r="E381" s="73"/>
      <c r="F381" s="73"/>
    </row>
    <row r="382" ht="15.75" customHeight="1">
      <c r="C382" s="73"/>
      <c r="D382" s="73"/>
      <c r="E382" s="73"/>
      <c r="F382" s="73"/>
    </row>
    <row r="383" ht="15.75" customHeight="1">
      <c r="C383" s="73"/>
      <c r="D383" s="73"/>
      <c r="E383" s="73"/>
      <c r="F383" s="73"/>
    </row>
    <row r="384" ht="15.75" customHeight="1">
      <c r="C384" s="73"/>
      <c r="D384" s="73"/>
      <c r="E384" s="73"/>
      <c r="F384" s="73"/>
    </row>
    <row r="385" ht="15.75" customHeight="1">
      <c r="C385" s="73"/>
      <c r="D385" s="73"/>
      <c r="E385" s="73"/>
      <c r="F385" s="73"/>
    </row>
    <row r="386" ht="15.75" customHeight="1">
      <c r="C386" s="73"/>
      <c r="D386" s="73"/>
      <c r="E386" s="73"/>
      <c r="F386" s="73"/>
    </row>
    <row r="387" ht="15.75" customHeight="1">
      <c r="C387" s="73"/>
      <c r="D387" s="73"/>
      <c r="E387" s="73"/>
      <c r="F387" s="73"/>
    </row>
    <row r="388" ht="15.75" customHeight="1">
      <c r="C388" s="73"/>
      <c r="D388" s="73"/>
      <c r="E388" s="73"/>
      <c r="F388" s="73"/>
    </row>
    <row r="389" ht="15.75" customHeight="1">
      <c r="C389" s="73"/>
      <c r="D389" s="73"/>
      <c r="E389" s="73"/>
      <c r="F389" s="73"/>
    </row>
    <row r="390" ht="15.75" customHeight="1">
      <c r="C390" s="73"/>
      <c r="D390" s="73"/>
      <c r="E390" s="73"/>
      <c r="F390" s="73"/>
    </row>
    <row r="391" ht="15.75" customHeight="1">
      <c r="C391" s="73"/>
      <c r="D391" s="73"/>
      <c r="E391" s="73"/>
      <c r="F391" s="73"/>
    </row>
    <row r="392" ht="15.75" customHeight="1">
      <c r="C392" s="73"/>
      <c r="D392" s="73"/>
      <c r="E392" s="73"/>
      <c r="F392" s="73"/>
    </row>
    <row r="393" ht="15.75" customHeight="1">
      <c r="C393" s="73"/>
      <c r="D393" s="73"/>
      <c r="E393" s="73"/>
      <c r="F393" s="73"/>
    </row>
    <row r="394" ht="15.75" customHeight="1">
      <c r="C394" s="73"/>
      <c r="D394" s="73"/>
      <c r="E394" s="73"/>
      <c r="F394" s="73"/>
    </row>
    <row r="395" ht="15.75" customHeight="1">
      <c r="C395" s="73"/>
      <c r="D395" s="73"/>
      <c r="E395" s="73"/>
      <c r="F395" s="73"/>
    </row>
    <row r="396" ht="15.75" customHeight="1">
      <c r="C396" s="73"/>
      <c r="D396" s="73"/>
      <c r="E396" s="73"/>
      <c r="F396" s="73"/>
    </row>
    <row r="397" ht="15.75" customHeight="1">
      <c r="C397" s="73"/>
      <c r="D397" s="73"/>
      <c r="E397" s="73"/>
      <c r="F397" s="73"/>
    </row>
    <row r="398" ht="15.75" customHeight="1">
      <c r="C398" s="73"/>
      <c r="D398" s="73"/>
      <c r="E398" s="73"/>
      <c r="F398" s="73"/>
    </row>
    <row r="399" ht="15.75" customHeight="1">
      <c r="C399" s="73"/>
      <c r="D399" s="73"/>
      <c r="E399" s="73"/>
      <c r="F399" s="73"/>
    </row>
    <row r="400" ht="15.75" customHeight="1">
      <c r="C400" s="73"/>
      <c r="D400" s="73"/>
      <c r="E400" s="73"/>
      <c r="F400" s="73"/>
    </row>
    <row r="401" ht="15.75" customHeight="1">
      <c r="C401" s="73"/>
      <c r="D401" s="73"/>
      <c r="E401" s="73"/>
      <c r="F401" s="73"/>
    </row>
    <row r="402" ht="15.75" customHeight="1">
      <c r="C402" s="73"/>
      <c r="D402" s="73"/>
      <c r="E402" s="73"/>
      <c r="F402" s="73"/>
    </row>
    <row r="403" ht="15.75" customHeight="1">
      <c r="C403" s="73"/>
      <c r="D403" s="73"/>
      <c r="E403" s="73"/>
      <c r="F403" s="73"/>
    </row>
    <row r="404" ht="15.75" customHeight="1">
      <c r="C404" s="73"/>
      <c r="D404" s="73"/>
      <c r="E404" s="73"/>
      <c r="F404" s="73"/>
    </row>
    <row r="405" ht="15.75" customHeight="1">
      <c r="C405" s="73"/>
      <c r="D405" s="73"/>
      <c r="E405" s="73"/>
      <c r="F405" s="73"/>
    </row>
    <row r="406" ht="15.75" customHeight="1">
      <c r="C406" s="73"/>
      <c r="D406" s="73"/>
      <c r="E406" s="73"/>
      <c r="F406" s="73"/>
    </row>
    <row r="407" ht="15.75" customHeight="1">
      <c r="C407" s="73"/>
      <c r="D407" s="73"/>
      <c r="E407" s="73"/>
      <c r="F407" s="73"/>
    </row>
    <row r="408" ht="15.75" customHeight="1">
      <c r="C408" s="73"/>
      <c r="D408" s="73"/>
      <c r="E408" s="73"/>
      <c r="F408" s="73"/>
    </row>
    <row r="409" ht="15.75" customHeight="1">
      <c r="C409" s="73"/>
      <c r="D409" s="73"/>
      <c r="E409" s="73"/>
      <c r="F409" s="73"/>
    </row>
    <row r="410" ht="15.75" customHeight="1">
      <c r="C410" s="73"/>
      <c r="D410" s="73"/>
      <c r="E410" s="73"/>
      <c r="F410" s="73"/>
    </row>
    <row r="411" ht="15.75" customHeight="1">
      <c r="C411" s="73"/>
      <c r="D411" s="73"/>
      <c r="E411" s="73"/>
      <c r="F411" s="73"/>
    </row>
    <row r="412" ht="15.75" customHeight="1">
      <c r="C412" s="73"/>
      <c r="D412" s="73"/>
      <c r="E412" s="73"/>
      <c r="F412" s="73"/>
    </row>
    <row r="413" ht="15.75" customHeight="1">
      <c r="C413" s="73"/>
      <c r="D413" s="73"/>
      <c r="E413" s="73"/>
      <c r="F413" s="73"/>
    </row>
    <row r="414" ht="15.75" customHeight="1">
      <c r="C414" s="73"/>
      <c r="D414" s="73"/>
      <c r="E414" s="73"/>
      <c r="F414" s="73"/>
    </row>
    <row r="415" ht="15.75" customHeight="1">
      <c r="C415" s="73"/>
      <c r="D415" s="73"/>
      <c r="E415" s="73"/>
      <c r="F415" s="73"/>
    </row>
    <row r="416" ht="15.75" customHeight="1">
      <c r="C416" s="73"/>
      <c r="D416" s="73"/>
      <c r="E416" s="73"/>
      <c r="F416" s="73"/>
    </row>
    <row r="417" ht="15.75" customHeight="1">
      <c r="C417" s="73"/>
      <c r="D417" s="73"/>
      <c r="E417" s="73"/>
      <c r="F417" s="73"/>
    </row>
    <row r="418" ht="15.75" customHeight="1">
      <c r="C418" s="73"/>
      <c r="D418" s="73"/>
      <c r="E418" s="73"/>
      <c r="F418" s="73"/>
    </row>
    <row r="419" ht="15.75" customHeight="1">
      <c r="C419" s="73"/>
      <c r="D419" s="73"/>
      <c r="E419" s="73"/>
      <c r="F419" s="73"/>
    </row>
    <row r="420" ht="15.75" customHeight="1">
      <c r="C420" s="73"/>
      <c r="D420" s="73"/>
      <c r="E420" s="73"/>
      <c r="F420" s="73"/>
    </row>
    <row r="421" ht="15.75" customHeight="1">
      <c r="C421" s="73"/>
      <c r="D421" s="73"/>
      <c r="E421" s="73"/>
      <c r="F421" s="73"/>
    </row>
    <row r="422" ht="15.75" customHeight="1">
      <c r="C422" s="73"/>
      <c r="D422" s="73"/>
      <c r="E422" s="73"/>
      <c r="F422" s="73"/>
    </row>
    <row r="423" ht="15.75" customHeight="1">
      <c r="C423" s="73"/>
      <c r="D423" s="73"/>
      <c r="E423" s="73"/>
      <c r="F423" s="73"/>
    </row>
    <row r="424" ht="15.75" customHeight="1">
      <c r="C424" s="73"/>
      <c r="D424" s="73"/>
      <c r="E424" s="73"/>
      <c r="F424" s="73"/>
    </row>
    <row r="425" ht="15.75" customHeight="1">
      <c r="C425" s="73"/>
      <c r="D425" s="73"/>
      <c r="E425" s="73"/>
      <c r="F425" s="73"/>
    </row>
    <row r="426" ht="15.75" customHeight="1">
      <c r="C426" s="73"/>
      <c r="D426" s="73"/>
      <c r="E426" s="73"/>
      <c r="F426" s="73"/>
    </row>
    <row r="427" ht="15.75" customHeight="1">
      <c r="C427" s="73"/>
      <c r="D427" s="73"/>
      <c r="E427" s="73"/>
      <c r="F427" s="73"/>
    </row>
    <row r="428" ht="15.75" customHeight="1">
      <c r="C428" s="73"/>
      <c r="D428" s="73"/>
      <c r="E428" s="73"/>
      <c r="F428" s="73"/>
    </row>
    <row r="429" ht="15.75" customHeight="1">
      <c r="C429" s="73"/>
      <c r="D429" s="73"/>
      <c r="E429" s="73"/>
      <c r="F429" s="73"/>
    </row>
    <row r="430" ht="15.75" customHeight="1">
      <c r="C430" s="73"/>
      <c r="D430" s="73"/>
      <c r="E430" s="73"/>
      <c r="F430" s="73"/>
    </row>
    <row r="431" ht="15.75" customHeight="1">
      <c r="C431" s="73"/>
      <c r="D431" s="73"/>
      <c r="E431" s="73"/>
      <c r="F431" s="73"/>
    </row>
    <row r="432" ht="15.75" customHeight="1">
      <c r="C432" s="73"/>
      <c r="D432" s="73"/>
      <c r="E432" s="73"/>
      <c r="F432" s="73"/>
    </row>
    <row r="433" ht="15.75" customHeight="1">
      <c r="C433" s="73"/>
      <c r="D433" s="73"/>
      <c r="E433" s="73"/>
      <c r="F433" s="73"/>
    </row>
    <row r="434" ht="15.75" customHeight="1">
      <c r="C434" s="73"/>
      <c r="D434" s="73"/>
      <c r="E434" s="73"/>
      <c r="F434" s="73"/>
    </row>
    <row r="435" ht="15.75" customHeight="1">
      <c r="C435" s="73"/>
      <c r="D435" s="73"/>
      <c r="E435" s="73"/>
      <c r="F435" s="73"/>
    </row>
    <row r="436" ht="15.75" customHeight="1">
      <c r="C436" s="73"/>
      <c r="D436" s="73"/>
      <c r="E436" s="73"/>
      <c r="F436" s="73"/>
    </row>
    <row r="437" ht="15.75" customHeight="1">
      <c r="C437" s="73"/>
      <c r="D437" s="73"/>
      <c r="E437" s="73"/>
      <c r="F437" s="73"/>
    </row>
    <row r="438" ht="15.75" customHeight="1">
      <c r="C438" s="73"/>
      <c r="D438" s="73"/>
      <c r="E438" s="73"/>
      <c r="F438" s="73"/>
    </row>
    <row r="439" ht="15.75" customHeight="1">
      <c r="C439" s="73"/>
      <c r="D439" s="73"/>
      <c r="E439" s="73"/>
      <c r="F439" s="73"/>
    </row>
    <row r="440" ht="15.75" customHeight="1">
      <c r="C440" s="73"/>
      <c r="D440" s="73"/>
      <c r="E440" s="73"/>
      <c r="F440" s="73"/>
    </row>
    <row r="441" ht="15.75" customHeight="1">
      <c r="C441" s="73"/>
      <c r="D441" s="73"/>
      <c r="E441" s="73"/>
      <c r="F441" s="73"/>
    </row>
    <row r="442" ht="15.75" customHeight="1">
      <c r="C442" s="73"/>
      <c r="D442" s="73"/>
      <c r="E442" s="73"/>
      <c r="F442" s="73"/>
    </row>
    <row r="443" ht="15.75" customHeight="1">
      <c r="C443" s="73"/>
      <c r="D443" s="73"/>
      <c r="E443" s="73"/>
      <c r="F443" s="73"/>
    </row>
    <row r="444" ht="15.75" customHeight="1">
      <c r="C444" s="73"/>
      <c r="D444" s="73"/>
      <c r="E444" s="73"/>
      <c r="F444" s="73"/>
    </row>
    <row r="445" ht="15.75" customHeight="1">
      <c r="C445" s="73"/>
      <c r="D445" s="73"/>
      <c r="E445" s="73"/>
      <c r="F445" s="73"/>
    </row>
    <row r="446" ht="15.75" customHeight="1">
      <c r="C446" s="73"/>
      <c r="D446" s="73"/>
      <c r="E446" s="73"/>
      <c r="F446" s="73"/>
    </row>
    <row r="447" ht="15.75" customHeight="1">
      <c r="C447" s="73"/>
      <c r="D447" s="73"/>
      <c r="E447" s="73"/>
      <c r="F447" s="73"/>
    </row>
    <row r="448" ht="15.75" customHeight="1">
      <c r="C448" s="73"/>
      <c r="D448" s="73"/>
      <c r="E448" s="73"/>
      <c r="F448" s="73"/>
    </row>
    <row r="449" ht="15.75" customHeight="1">
      <c r="C449" s="73"/>
      <c r="D449" s="73"/>
      <c r="E449" s="73"/>
      <c r="F449" s="73"/>
    </row>
    <row r="450" ht="15.75" customHeight="1">
      <c r="C450" s="73"/>
      <c r="D450" s="73"/>
      <c r="E450" s="73"/>
      <c r="F450" s="73"/>
    </row>
    <row r="451" ht="15.75" customHeight="1">
      <c r="C451" s="73"/>
      <c r="D451" s="73"/>
      <c r="E451" s="73"/>
      <c r="F451" s="73"/>
    </row>
    <row r="452" ht="15.75" customHeight="1">
      <c r="C452" s="73"/>
      <c r="D452" s="73"/>
      <c r="E452" s="73"/>
      <c r="F452" s="73"/>
    </row>
    <row r="453" ht="15.75" customHeight="1">
      <c r="C453" s="73"/>
      <c r="D453" s="73"/>
      <c r="E453" s="73"/>
      <c r="F453" s="73"/>
    </row>
    <row r="454" ht="15.75" customHeight="1">
      <c r="C454" s="73"/>
      <c r="D454" s="73"/>
      <c r="E454" s="73"/>
      <c r="F454" s="73"/>
    </row>
    <row r="455" ht="15.75" customHeight="1">
      <c r="C455" s="73"/>
      <c r="D455" s="73"/>
      <c r="E455" s="73"/>
      <c r="F455" s="73"/>
    </row>
    <row r="456" ht="15.75" customHeight="1">
      <c r="C456" s="73"/>
      <c r="D456" s="73"/>
      <c r="E456" s="73"/>
      <c r="F456" s="73"/>
    </row>
    <row r="457" ht="15.75" customHeight="1">
      <c r="C457" s="73"/>
      <c r="D457" s="73"/>
      <c r="E457" s="73"/>
      <c r="F457" s="73"/>
    </row>
    <row r="458" ht="15.75" customHeight="1">
      <c r="C458" s="73"/>
      <c r="D458" s="73"/>
      <c r="E458" s="73"/>
      <c r="F458" s="73"/>
    </row>
    <row r="459" ht="15.75" customHeight="1">
      <c r="C459" s="73"/>
      <c r="D459" s="73"/>
      <c r="E459" s="73"/>
      <c r="F459" s="73"/>
    </row>
    <row r="460" ht="15.75" customHeight="1">
      <c r="C460" s="73"/>
      <c r="D460" s="73"/>
      <c r="E460" s="73"/>
      <c r="F460" s="73"/>
    </row>
    <row r="461" ht="15.75" customHeight="1">
      <c r="C461" s="73"/>
      <c r="D461" s="73"/>
      <c r="E461" s="73"/>
      <c r="F461" s="73"/>
    </row>
    <row r="462" ht="15.75" customHeight="1">
      <c r="C462" s="73"/>
      <c r="D462" s="73"/>
      <c r="E462" s="73"/>
      <c r="F462" s="73"/>
    </row>
    <row r="463" ht="15.75" customHeight="1">
      <c r="C463" s="73"/>
      <c r="D463" s="73"/>
      <c r="E463" s="73"/>
      <c r="F463" s="73"/>
    </row>
    <row r="464" ht="15.75" customHeight="1">
      <c r="C464" s="73"/>
      <c r="D464" s="73"/>
      <c r="E464" s="73"/>
      <c r="F464" s="73"/>
    </row>
    <row r="465" ht="15.75" customHeight="1">
      <c r="C465" s="73"/>
      <c r="D465" s="73"/>
      <c r="E465" s="73"/>
      <c r="F465" s="73"/>
    </row>
    <row r="466" ht="15.75" customHeight="1">
      <c r="C466" s="73"/>
      <c r="D466" s="73"/>
      <c r="E466" s="73"/>
      <c r="F466" s="73"/>
    </row>
    <row r="467" ht="15.75" customHeight="1">
      <c r="C467" s="73"/>
      <c r="D467" s="73"/>
      <c r="E467" s="73"/>
      <c r="F467" s="73"/>
    </row>
    <row r="468" ht="15.75" customHeight="1">
      <c r="C468" s="73"/>
      <c r="D468" s="73"/>
      <c r="E468" s="73"/>
      <c r="F468" s="73"/>
    </row>
    <row r="469" ht="15.75" customHeight="1">
      <c r="C469" s="73"/>
      <c r="D469" s="73"/>
      <c r="E469" s="73"/>
      <c r="F469" s="73"/>
    </row>
    <row r="470" ht="15.75" customHeight="1">
      <c r="C470" s="73"/>
      <c r="D470" s="73"/>
      <c r="E470" s="73"/>
      <c r="F470" s="73"/>
    </row>
    <row r="471" ht="15.75" customHeight="1">
      <c r="C471" s="73"/>
      <c r="D471" s="73"/>
      <c r="E471" s="73"/>
      <c r="F471" s="73"/>
    </row>
    <row r="472" ht="15.75" customHeight="1">
      <c r="C472" s="73"/>
      <c r="D472" s="73"/>
      <c r="E472" s="73"/>
      <c r="F472" s="73"/>
    </row>
    <row r="473" ht="15.75" customHeight="1">
      <c r="C473" s="73"/>
      <c r="D473" s="73"/>
      <c r="E473" s="73"/>
      <c r="F473" s="73"/>
    </row>
    <row r="474" ht="15.75" customHeight="1">
      <c r="C474" s="73"/>
      <c r="D474" s="73"/>
      <c r="E474" s="73"/>
      <c r="F474" s="73"/>
    </row>
    <row r="475" ht="15.75" customHeight="1">
      <c r="C475" s="73"/>
      <c r="D475" s="73"/>
      <c r="E475" s="73"/>
      <c r="F475" s="73"/>
    </row>
    <row r="476" ht="15.75" customHeight="1">
      <c r="C476" s="73"/>
      <c r="D476" s="73"/>
      <c r="E476" s="73"/>
      <c r="F476" s="73"/>
    </row>
    <row r="477" ht="15.75" customHeight="1">
      <c r="C477" s="73"/>
      <c r="D477" s="73"/>
      <c r="E477" s="73"/>
      <c r="F477" s="73"/>
    </row>
    <row r="478" ht="15.75" customHeight="1">
      <c r="C478" s="73"/>
      <c r="D478" s="73"/>
      <c r="E478" s="73"/>
      <c r="F478" s="73"/>
    </row>
    <row r="479" ht="15.75" customHeight="1">
      <c r="C479" s="73"/>
      <c r="D479" s="73"/>
      <c r="E479" s="73"/>
      <c r="F479" s="73"/>
    </row>
    <row r="480" ht="15.75" customHeight="1">
      <c r="C480" s="73"/>
      <c r="D480" s="73"/>
      <c r="E480" s="73"/>
      <c r="F480" s="73"/>
    </row>
    <row r="481" ht="15.75" customHeight="1">
      <c r="C481" s="73"/>
      <c r="D481" s="73"/>
      <c r="E481" s="73"/>
      <c r="F481" s="73"/>
    </row>
    <row r="482" ht="15.75" customHeight="1">
      <c r="C482" s="73"/>
      <c r="D482" s="73"/>
      <c r="E482" s="73"/>
      <c r="F482" s="73"/>
    </row>
    <row r="483" ht="15.75" customHeight="1">
      <c r="C483" s="73"/>
      <c r="D483" s="73"/>
      <c r="E483" s="73"/>
      <c r="F483" s="73"/>
    </row>
    <row r="484" ht="15.75" customHeight="1">
      <c r="C484" s="73"/>
      <c r="D484" s="73"/>
      <c r="E484" s="73"/>
      <c r="F484" s="73"/>
    </row>
    <row r="485" ht="15.75" customHeight="1">
      <c r="C485" s="73"/>
      <c r="D485" s="73"/>
      <c r="E485" s="73"/>
      <c r="F485" s="73"/>
    </row>
    <row r="486" ht="15.75" customHeight="1">
      <c r="C486" s="73"/>
      <c r="D486" s="73"/>
      <c r="E486" s="73"/>
      <c r="F486" s="73"/>
    </row>
    <row r="487" ht="15.75" customHeight="1">
      <c r="C487" s="73"/>
      <c r="D487" s="73"/>
      <c r="E487" s="73"/>
      <c r="F487" s="73"/>
    </row>
    <row r="488" ht="15.75" customHeight="1">
      <c r="C488" s="73"/>
      <c r="D488" s="73"/>
      <c r="E488" s="73"/>
      <c r="F488" s="73"/>
    </row>
    <row r="489" ht="15.75" customHeight="1">
      <c r="C489" s="73"/>
      <c r="D489" s="73"/>
      <c r="E489" s="73"/>
      <c r="F489" s="73"/>
    </row>
    <row r="490" ht="15.75" customHeight="1">
      <c r="C490" s="73"/>
      <c r="D490" s="73"/>
      <c r="E490" s="73"/>
      <c r="F490" s="73"/>
    </row>
    <row r="491" ht="15.75" customHeight="1">
      <c r="C491" s="73"/>
      <c r="D491" s="73"/>
      <c r="E491" s="73"/>
      <c r="F491" s="73"/>
    </row>
    <row r="492" ht="15.75" customHeight="1">
      <c r="C492" s="73"/>
      <c r="D492" s="73"/>
      <c r="E492" s="73"/>
      <c r="F492" s="73"/>
    </row>
    <row r="493" ht="15.75" customHeight="1">
      <c r="C493" s="73"/>
      <c r="D493" s="73"/>
      <c r="E493" s="73"/>
      <c r="F493" s="73"/>
    </row>
    <row r="494" ht="15.75" customHeight="1">
      <c r="C494" s="73"/>
      <c r="D494" s="73"/>
      <c r="E494" s="73"/>
      <c r="F494" s="73"/>
    </row>
    <row r="495" ht="15.75" customHeight="1">
      <c r="C495" s="73"/>
      <c r="D495" s="73"/>
      <c r="E495" s="73"/>
      <c r="F495" s="73"/>
    </row>
    <row r="496" ht="15.75" customHeight="1">
      <c r="C496" s="73"/>
      <c r="D496" s="73"/>
      <c r="E496" s="73"/>
      <c r="F496" s="73"/>
    </row>
    <row r="497" ht="15.75" customHeight="1">
      <c r="C497" s="73"/>
      <c r="D497" s="73"/>
      <c r="E497" s="73"/>
      <c r="F497" s="73"/>
    </row>
    <row r="498" ht="15.75" customHeight="1">
      <c r="C498" s="73"/>
      <c r="D498" s="73"/>
      <c r="E498" s="73"/>
      <c r="F498" s="73"/>
    </row>
    <row r="499" ht="15.75" customHeight="1">
      <c r="C499" s="73"/>
      <c r="D499" s="73"/>
      <c r="E499" s="73"/>
      <c r="F499" s="73"/>
    </row>
    <row r="500" ht="15.75" customHeight="1">
      <c r="C500" s="73"/>
      <c r="D500" s="73"/>
      <c r="E500" s="73"/>
      <c r="F500" s="73"/>
    </row>
    <row r="501" ht="15.75" customHeight="1">
      <c r="C501" s="73"/>
      <c r="D501" s="73"/>
      <c r="E501" s="73"/>
      <c r="F501" s="73"/>
    </row>
    <row r="502" ht="15.75" customHeight="1">
      <c r="C502" s="73"/>
      <c r="D502" s="73"/>
      <c r="E502" s="73"/>
      <c r="F502" s="73"/>
    </row>
    <row r="503" ht="15.75" customHeight="1">
      <c r="C503" s="73"/>
      <c r="D503" s="73"/>
      <c r="E503" s="73"/>
      <c r="F503" s="73"/>
    </row>
    <row r="504" ht="15.75" customHeight="1">
      <c r="C504" s="73"/>
      <c r="D504" s="73"/>
      <c r="E504" s="73"/>
      <c r="F504" s="73"/>
    </row>
    <row r="505" ht="15.75" customHeight="1">
      <c r="C505" s="73"/>
      <c r="D505" s="73"/>
      <c r="E505" s="73"/>
      <c r="F505" s="73"/>
    </row>
    <row r="506" ht="15.75" customHeight="1">
      <c r="C506" s="73"/>
      <c r="D506" s="73"/>
      <c r="E506" s="73"/>
      <c r="F506" s="73"/>
    </row>
    <row r="507" ht="15.75" customHeight="1">
      <c r="C507" s="73"/>
      <c r="D507" s="73"/>
      <c r="E507" s="73"/>
      <c r="F507" s="73"/>
    </row>
    <row r="508" ht="15.75" customHeight="1">
      <c r="C508" s="73"/>
      <c r="D508" s="73"/>
      <c r="E508" s="73"/>
      <c r="F508" s="73"/>
    </row>
    <row r="509" ht="15.75" customHeight="1">
      <c r="C509" s="73"/>
      <c r="D509" s="73"/>
      <c r="E509" s="73"/>
      <c r="F509" s="73"/>
    </row>
    <row r="510" ht="15.75" customHeight="1">
      <c r="C510" s="73"/>
      <c r="D510" s="73"/>
      <c r="E510" s="73"/>
      <c r="F510" s="73"/>
    </row>
    <row r="511" ht="15.75" customHeight="1">
      <c r="C511" s="73"/>
      <c r="D511" s="73"/>
      <c r="E511" s="73"/>
      <c r="F511" s="73"/>
    </row>
    <row r="512" ht="15.75" customHeight="1">
      <c r="C512" s="73"/>
      <c r="D512" s="73"/>
      <c r="E512" s="73"/>
      <c r="F512" s="73"/>
    </row>
    <row r="513" ht="15.75" customHeight="1">
      <c r="C513" s="73"/>
      <c r="D513" s="73"/>
      <c r="E513" s="73"/>
      <c r="F513" s="73"/>
    </row>
    <row r="514" ht="15.75" customHeight="1">
      <c r="C514" s="73"/>
      <c r="D514" s="73"/>
      <c r="E514" s="73"/>
      <c r="F514" s="73"/>
    </row>
    <row r="515" ht="15.75" customHeight="1">
      <c r="C515" s="73"/>
      <c r="D515" s="73"/>
      <c r="E515" s="73"/>
      <c r="F515" s="73"/>
    </row>
    <row r="516" ht="15.75" customHeight="1">
      <c r="C516" s="73"/>
      <c r="D516" s="73"/>
      <c r="E516" s="73"/>
      <c r="F516" s="73"/>
    </row>
    <row r="517" ht="15.75" customHeight="1">
      <c r="C517" s="73"/>
      <c r="D517" s="73"/>
      <c r="E517" s="73"/>
      <c r="F517" s="73"/>
    </row>
    <row r="518" ht="15.75" customHeight="1">
      <c r="C518" s="73"/>
      <c r="D518" s="73"/>
      <c r="E518" s="73"/>
      <c r="F518" s="73"/>
    </row>
    <row r="519" ht="15.75" customHeight="1">
      <c r="C519" s="73"/>
      <c r="D519" s="73"/>
      <c r="E519" s="73"/>
      <c r="F519" s="73"/>
    </row>
    <row r="520" ht="15.75" customHeight="1">
      <c r="C520" s="73"/>
      <c r="D520" s="73"/>
      <c r="E520" s="73"/>
      <c r="F520" s="73"/>
    </row>
    <row r="521" ht="15.75" customHeight="1">
      <c r="C521" s="73"/>
      <c r="D521" s="73"/>
      <c r="E521" s="73"/>
      <c r="F521" s="73"/>
    </row>
    <row r="522" ht="15.75" customHeight="1">
      <c r="C522" s="73"/>
      <c r="D522" s="73"/>
      <c r="E522" s="73"/>
      <c r="F522" s="73"/>
    </row>
    <row r="523" ht="15.75" customHeight="1">
      <c r="C523" s="73"/>
      <c r="D523" s="73"/>
      <c r="E523" s="73"/>
      <c r="F523" s="73"/>
    </row>
    <row r="524" ht="15.75" customHeight="1">
      <c r="C524" s="73"/>
      <c r="D524" s="73"/>
      <c r="E524" s="73"/>
      <c r="F524" s="73"/>
    </row>
    <row r="525" ht="15.75" customHeight="1">
      <c r="C525" s="73"/>
      <c r="D525" s="73"/>
      <c r="E525" s="73"/>
      <c r="F525" s="73"/>
    </row>
    <row r="526" ht="15.75" customHeight="1">
      <c r="C526" s="73"/>
      <c r="D526" s="73"/>
      <c r="E526" s="73"/>
      <c r="F526" s="73"/>
    </row>
    <row r="527" ht="15.75" customHeight="1">
      <c r="C527" s="73"/>
      <c r="D527" s="73"/>
      <c r="E527" s="73"/>
      <c r="F527" s="73"/>
    </row>
    <row r="528" ht="15.75" customHeight="1">
      <c r="C528" s="73"/>
      <c r="D528" s="73"/>
      <c r="E528" s="73"/>
      <c r="F528" s="73"/>
    </row>
    <row r="529" ht="15.75" customHeight="1">
      <c r="C529" s="73"/>
      <c r="D529" s="73"/>
      <c r="E529" s="73"/>
      <c r="F529" s="73"/>
    </row>
    <row r="530" ht="15.75" customHeight="1">
      <c r="C530" s="73"/>
      <c r="D530" s="73"/>
      <c r="E530" s="73"/>
      <c r="F530" s="73"/>
    </row>
    <row r="531" ht="15.75" customHeight="1">
      <c r="C531" s="73"/>
      <c r="D531" s="73"/>
      <c r="E531" s="73"/>
      <c r="F531" s="73"/>
    </row>
    <row r="532" ht="15.75" customHeight="1">
      <c r="C532" s="73"/>
      <c r="D532" s="73"/>
      <c r="E532" s="73"/>
      <c r="F532" s="73"/>
    </row>
    <row r="533" ht="15.75" customHeight="1">
      <c r="C533" s="73"/>
      <c r="D533" s="73"/>
      <c r="E533" s="73"/>
      <c r="F533" s="73"/>
    </row>
    <row r="534" ht="15.75" customHeight="1">
      <c r="C534" s="73"/>
      <c r="D534" s="73"/>
      <c r="E534" s="73"/>
      <c r="F534" s="73"/>
    </row>
    <row r="535" ht="15.75" customHeight="1">
      <c r="C535" s="73"/>
      <c r="D535" s="73"/>
      <c r="E535" s="73"/>
      <c r="F535" s="73"/>
    </row>
    <row r="536" ht="15.75" customHeight="1">
      <c r="C536" s="73"/>
      <c r="D536" s="73"/>
      <c r="E536" s="73"/>
      <c r="F536" s="73"/>
    </row>
    <row r="537" ht="15.75" customHeight="1">
      <c r="C537" s="73"/>
      <c r="D537" s="73"/>
      <c r="E537" s="73"/>
      <c r="F537" s="73"/>
    </row>
    <row r="538" ht="15.75" customHeight="1">
      <c r="C538" s="73"/>
      <c r="D538" s="73"/>
      <c r="E538" s="73"/>
      <c r="F538" s="73"/>
    </row>
    <row r="539" ht="15.75" customHeight="1">
      <c r="C539" s="73"/>
      <c r="D539" s="73"/>
      <c r="E539" s="73"/>
      <c r="F539" s="73"/>
    </row>
    <row r="540" ht="15.75" customHeight="1">
      <c r="C540" s="73"/>
      <c r="D540" s="73"/>
      <c r="E540" s="73"/>
      <c r="F540" s="73"/>
    </row>
    <row r="541" ht="15.75" customHeight="1">
      <c r="C541" s="73"/>
      <c r="D541" s="73"/>
      <c r="E541" s="73"/>
      <c r="F541" s="73"/>
    </row>
    <row r="542" ht="15.75" customHeight="1">
      <c r="C542" s="73"/>
      <c r="D542" s="73"/>
      <c r="E542" s="73"/>
      <c r="F542" s="73"/>
    </row>
    <row r="543" ht="15.75" customHeight="1">
      <c r="C543" s="73"/>
      <c r="D543" s="73"/>
      <c r="E543" s="73"/>
      <c r="F543" s="73"/>
    </row>
    <row r="544" ht="15.75" customHeight="1">
      <c r="C544" s="73"/>
      <c r="D544" s="73"/>
      <c r="E544" s="73"/>
      <c r="F544" s="73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68" t="s">
        <v>0</v>
      </c>
      <c r="B1" s="68" t="s">
        <v>1</v>
      </c>
      <c r="C1" s="69" t="s">
        <v>398</v>
      </c>
      <c r="D1" s="69" t="s">
        <v>399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ht="15.75" customHeight="1">
      <c r="A2" s="7">
        <v>10101.0</v>
      </c>
      <c r="B2" s="7" t="s">
        <v>6</v>
      </c>
      <c r="C2" s="74">
        <v>63.57</v>
      </c>
      <c r="D2" s="74">
        <v>53.82</v>
      </c>
    </row>
    <row r="3" ht="15.75" customHeight="1">
      <c r="A3" s="7">
        <v>10102.0</v>
      </c>
      <c r="B3" s="7" t="s">
        <v>8</v>
      </c>
      <c r="C3" s="74">
        <v>0.0</v>
      </c>
      <c r="D3" s="74">
        <v>0.0</v>
      </c>
    </row>
    <row r="4" ht="15.75" customHeight="1">
      <c r="A4" s="7">
        <v>10103.0</v>
      </c>
      <c r="B4" s="7" t="s">
        <v>17</v>
      </c>
      <c r="C4" s="74">
        <v>0.0</v>
      </c>
      <c r="D4" s="74">
        <v>0.0</v>
      </c>
    </row>
    <row r="5" ht="15.75" customHeight="1">
      <c r="A5" s="7">
        <v>10201.0</v>
      </c>
      <c r="B5" s="7" t="s">
        <v>19</v>
      </c>
      <c r="C5" s="74">
        <v>0.0</v>
      </c>
      <c r="D5" s="74">
        <v>0.0</v>
      </c>
    </row>
    <row r="6" ht="15.75" customHeight="1">
      <c r="A6" s="7">
        <v>10202.0</v>
      </c>
      <c r="B6" s="7" t="s">
        <v>21</v>
      </c>
      <c r="C6" s="74">
        <v>0.0</v>
      </c>
      <c r="D6" s="74">
        <v>0.0</v>
      </c>
    </row>
    <row r="7" ht="15.75" customHeight="1">
      <c r="A7" s="7">
        <v>10301.0</v>
      </c>
      <c r="B7" s="7" t="s">
        <v>23</v>
      </c>
      <c r="C7" s="74">
        <v>0.0</v>
      </c>
      <c r="D7" s="74">
        <v>0.0</v>
      </c>
    </row>
    <row r="8" ht="15.75" customHeight="1">
      <c r="A8" s="7">
        <v>10302.0</v>
      </c>
      <c r="B8" s="7" t="s">
        <v>25</v>
      </c>
      <c r="C8" s="74">
        <v>0.0</v>
      </c>
      <c r="D8" s="74">
        <v>0.0</v>
      </c>
    </row>
    <row r="9" ht="15.75" customHeight="1">
      <c r="A9" s="7">
        <v>10303.0</v>
      </c>
      <c r="B9" s="7" t="s">
        <v>27</v>
      </c>
      <c r="C9" s="74">
        <v>0.0</v>
      </c>
      <c r="D9" s="74">
        <v>0.0</v>
      </c>
    </row>
    <row r="10" ht="15.75" customHeight="1">
      <c r="A10" s="7">
        <v>10304.0</v>
      </c>
      <c r="B10" s="7" t="s">
        <v>28</v>
      </c>
      <c r="C10" s="74">
        <v>0.0</v>
      </c>
      <c r="D10" s="74">
        <v>0.0</v>
      </c>
    </row>
    <row r="11" ht="15.75" customHeight="1">
      <c r="A11" s="7">
        <v>10401.0</v>
      </c>
      <c r="B11" s="7" t="s">
        <v>30</v>
      </c>
      <c r="C11" s="74">
        <v>0.0</v>
      </c>
      <c r="D11" s="74">
        <v>0.0</v>
      </c>
    </row>
    <row r="12" ht="15.75" customHeight="1">
      <c r="A12" s="7">
        <v>10402.0</v>
      </c>
      <c r="B12" s="7" t="s">
        <v>33</v>
      </c>
      <c r="C12" s="74">
        <v>0.0</v>
      </c>
      <c r="D12" s="74">
        <v>0.0</v>
      </c>
    </row>
    <row r="13" ht="15.75" customHeight="1">
      <c r="A13" s="7">
        <v>10403.0</v>
      </c>
      <c r="B13" s="7" t="s">
        <v>34</v>
      </c>
      <c r="C13" s="74">
        <v>0.0</v>
      </c>
      <c r="D13" s="74">
        <v>0.0</v>
      </c>
    </row>
    <row r="14" ht="15.75" customHeight="1">
      <c r="A14" s="7">
        <v>10404.0</v>
      </c>
      <c r="B14" s="7" t="s">
        <v>35</v>
      </c>
      <c r="C14" s="74">
        <v>0.0</v>
      </c>
      <c r="D14" s="74">
        <v>0.0</v>
      </c>
    </row>
    <row r="15" ht="15.75" customHeight="1">
      <c r="A15" s="7">
        <v>10405.0</v>
      </c>
      <c r="B15" s="7" t="s">
        <v>36</v>
      </c>
      <c r="C15" s="74">
        <v>0.0</v>
      </c>
      <c r="D15" s="74">
        <v>0.0</v>
      </c>
    </row>
    <row r="16" ht="15.75" customHeight="1">
      <c r="A16" s="7">
        <v>10501.0</v>
      </c>
      <c r="B16" s="7" t="s">
        <v>37</v>
      </c>
      <c r="C16" s="74">
        <v>0.0</v>
      </c>
      <c r="D16" s="74">
        <v>0.0</v>
      </c>
    </row>
    <row r="17" ht="15.75" customHeight="1">
      <c r="A17" s="7">
        <v>10502.0</v>
      </c>
      <c r="B17" s="7" t="s">
        <v>38</v>
      </c>
      <c r="C17" s="74">
        <v>0.0</v>
      </c>
      <c r="D17" s="74">
        <v>0.0</v>
      </c>
    </row>
    <row r="18" ht="15.75" customHeight="1">
      <c r="A18" s="7">
        <v>10601.0</v>
      </c>
      <c r="B18" s="7" t="s">
        <v>39</v>
      </c>
      <c r="C18" s="74">
        <v>0.0</v>
      </c>
      <c r="D18" s="74">
        <v>0.0</v>
      </c>
    </row>
    <row r="19" ht="15.75" customHeight="1">
      <c r="A19" s="7">
        <v>10602.0</v>
      </c>
      <c r="B19" s="7" t="s">
        <v>41</v>
      </c>
      <c r="C19" s="74">
        <v>0.0</v>
      </c>
      <c r="D19" s="74">
        <v>0.0</v>
      </c>
    </row>
    <row r="20" ht="15.75" customHeight="1">
      <c r="A20" s="7">
        <v>10701.0</v>
      </c>
      <c r="B20" s="7" t="s">
        <v>42</v>
      </c>
      <c r="C20" s="74">
        <v>0.0</v>
      </c>
      <c r="D20" s="74">
        <v>0.0</v>
      </c>
    </row>
    <row r="21" ht="15.75" customHeight="1">
      <c r="A21" s="7">
        <v>10702.0</v>
      </c>
      <c r="B21" s="7" t="s">
        <v>43</v>
      </c>
      <c r="C21" s="74">
        <v>0.0</v>
      </c>
      <c r="D21" s="74">
        <v>0.0</v>
      </c>
    </row>
    <row r="22" ht="15.75" customHeight="1">
      <c r="A22" s="7">
        <v>10703.0</v>
      </c>
      <c r="B22" s="7" t="s">
        <v>44</v>
      </c>
      <c r="C22" s="74">
        <v>0.0</v>
      </c>
      <c r="D22" s="74">
        <v>0.0</v>
      </c>
    </row>
    <row r="23" ht="15.75" customHeight="1">
      <c r="A23" s="7">
        <v>10704.0</v>
      </c>
      <c r="B23" s="7" t="s">
        <v>45</v>
      </c>
      <c r="C23" s="74">
        <v>0.0</v>
      </c>
      <c r="D23" s="74">
        <v>0.0</v>
      </c>
    </row>
    <row r="24" ht="15.75" customHeight="1">
      <c r="A24" s="7">
        <v>10801.0</v>
      </c>
      <c r="B24" s="7" t="s">
        <v>46</v>
      </c>
      <c r="C24" s="74">
        <v>0.0</v>
      </c>
      <c r="D24" s="74">
        <v>0.0</v>
      </c>
    </row>
    <row r="25" ht="15.75" customHeight="1">
      <c r="A25" s="7">
        <v>10901.0</v>
      </c>
      <c r="B25" s="7" t="s">
        <v>47</v>
      </c>
      <c r="C25" s="74">
        <v>0.0</v>
      </c>
      <c r="D25" s="74">
        <v>0.0</v>
      </c>
    </row>
    <row r="26" ht="15.75" customHeight="1">
      <c r="A26" s="7">
        <v>10902.0</v>
      </c>
      <c r="B26" s="7" t="s">
        <v>48</v>
      </c>
      <c r="C26" s="74">
        <v>0.0</v>
      </c>
      <c r="D26" s="74">
        <v>0.0</v>
      </c>
    </row>
    <row r="27" ht="15.75" customHeight="1">
      <c r="A27" s="7">
        <v>10903.0</v>
      </c>
      <c r="B27" s="7" t="s">
        <v>49</v>
      </c>
      <c r="C27" s="74">
        <v>0.0</v>
      </c>
      <c r="D27" s="74">
        <v>0.0</v>
      </c>
    </row>
    <row r="28" ht="15.75" customHeight="1">
      <c r="A28" s="7">
        <v>11001.0</v>
      </c>
      <c r="B28" s="7" t="s">
        <v>50</v>
      </c>
      <c r="C28" s="74">
        <v>0.0</v>
      </c>
      <c r="D28" s="74">
        <v>0.0</v>
      </c>
    </row>
    <row r="29" ht="15.75" customHeight="1">
      <c r="A29" s="7">
        <v>11002.0</v>
      </c>
      <c r="B29" s="7" t="s">
        <v>51</v>
      </c>
      <c r="C29" s="74">
        <v>0.0</v>
      </c>
      <c r="D29" s="74">
        <v>0.0</v>
      </c>
    </row>
    <row r="30" ht="15.75" customHeight="1">
      <c r="A30" s="7">
        <v>11003.0</v>
      </c>
      <c r="B30" s="7" t="s">
        <v>55</v>
      </c>
      <c r="C30" s="74">
        <v>0.0</v>
      </c>
      <c r="D30" s="74">
        <v>0.0</v>
      </c>
    </row>
    <row r="31" ht="15.75" customHeight="1">
      <c r="A31" s="7">
        <v>20101.0</v>
      </c>
      <c r="B31" s="7" t="s">
        <v>56</v>
      </c>
      <c r="C31" s="74">
        <v>0.0</v>
      </c>
      <c r="D31" s="74">
        <v>0.0</v>
      </c>
    </row>
    <row r="32" ht="15.75" customHeight="1">
      <c r="A32" s="7">
        <v>20102.0</v>
      </c>
      <c r="B32" s="7" t="s">
        <v>57</v>
      </c>
      <c r="C32" s="74">
        <v>0.0</v>
      </c>
      <c r="D32" s="74">
        <v>0.0</v>
      </c>
    </row>
    <row r="33" ht="15.75" customHeight="1">
      <c r="A33" s="7">
        <v>20103.0</v>
      </c>
      <c r="B33" s="7" t="s">
        <v>58</v>
      </c>
      <c r="C33" s="74">
        <v>0.0</v>
      </c>
      <c r="D33" s="74">
        <v>0.0</v>
      </c>
    </row>
    <row r="34" ht="15.75" customHeight="1">
      <c r="A34" s="7">
        <v>20104.0</v>
      </c>
      <c r="B34" s="7" t="s">
        <v>59</v>
      </c>
      <c r="C34" s="74">
        <v>0.0</v>
      </c>
      <c r="D34" s="74">
        <v>0.0</v>
      </c>
    </row>
    <row r="35" ht="15.75" customHeight="1">
      <c r="A35" s="7">
        <v>20105.0</v>
      </c>
      <c r="B35" s="7" t="s">
        <v>60</v>
      </c>
      <c r="C35" s="74">
        <v>26.44</v>
      </c>
      <c r="D35" s="74">
        <v>39.62</v>
      </c>
    </row>
    <row r="36" ht="15.75" customHeight="1">
      <c r="A36" s="7">
        <v>20201.0</v>
      </c>
      <c r="B36" s="7" t="s">
        <v>61</v>
      </c>
      <c r="C36" s="74">
        <v>0.0</v>
      </c>
      <c r="D36" s="74">
        <v>0.0</v>
      </c>
    </row>
    <row r="37" ht="15.75" customHeight="1">
      <c r="A37" s="7">
        <v>20202.0</v>
      </c>
      <c r="B37" s="7" t="s">
        <v>62</v>
      </c>
      <c r="C37" s="74">
        <v>0.0</v>
      </c>
      <c r="D37" s="74">
        <v>0.0</v>
      </c>
    </row>
    <row r="38" ht="15.75" customHeight="1">
      <c r="A38" s="7">
        <v>20203.0</v>
      </c>
      <c r="B38" s="7" t="s">
        <v>66</v>
      </c>
      <c r="C38" s="74">
        <v>0.0</v>
      </c>
      <c r="D38" s="74">
        <v>0.0</v>
      </c>
    </row>
    <row r="39" ht="15.75" customHeight="1">
      <c r="A39" s="7">
        <v>20204.0</v>
      </c>
      <c r="B39" s="7" t="s">
        <v>63</v>
      </c>
      <c r="C39" s="74">
        <v>0.0</v>
      </c>
      <c r="D39" s="74">
        <v>0.0</v>
      </c>
    </row>
    <row r="40" ht="15.75" customHeight="1">
      <c r="A40" s="7">
        <v>20205.0</v>
      </c>
      <c r="B40" s="7" t="s">
        <v>64</v>
      </c>
      <c r="C40" s="74">
        <v>0.0</v>
      </c>
      <c r="D40" s="74">
        <v>0.0</v>
      </c>
    </row>
    <row r="41" ht="15.75" customHeight="1">
      <c r="A41" s="7">
        <v>20206.0</v>
      </c>
      <c r="B41" s="7" t="s">
        <v>65</v>
      </c>
      <c r="C41" s="74">
        <v>0.0</v>
      </c>
      <c r="D41" s="74">
        <v>0.0</v>
      </c>
    </row>
    <row r="42" ht="15.75" customHeight="1">
      <c r="A42" s="7">
        <v>20301.0</v>
      </c>
      <c r="B42" s="7" t="s">
        <v>67</v>
      </c>
      <c r="C42" s="74">
        <v>0.0</v>
      </c>
      <c r="D42" s="74">
        <v>0.0</v>
      </c>
    </row>
    <row r="43" ht="15.75" customHeight="1">
      <c r="A43" s="7">
        <v>20302.0</v>
      </c>
      <c r="B43" s="7" t="s">
        <v>68</v>
      </c>
      <c r="C43" s="74">
        <v>0.0</v>
      </c>
      <c r="D43" s="74">
        <v>0.0</v>
      </c>
    </row>
    <row r="44" ht="15.75" customHeight="1">
      <c r="A44" s="7">
        <v>20303.0</v>
      </c>
      <c r="B44" s="7" t="s">
        <v>69</v>
      </c>
      <c r="C44" s="74">
        <v>0.0</v>
      </c>
      <c r="D44" s="74">
        <v>0.0</v>
      </c>
    </row>
    <row r="45" ht="15.75" customHeight="1">
      <c r="A45" s="7">
        <v>20304.0</v>
      </c>
      <c r="B45" s="7" t="s">
        <v>71</v>
      </c>
      <c r="C45" s="74">
        <v>0.0</v>
      </c>
      <c r="D45" s="74">
        <v>0.0</v>
      </c>
    </row>
    <row r="46" ht="15.75" customHeight="1">
      <c r="A46" s="7">
        <v>20305.0</v>
      </c>
      <c r="B46" s="7" t="s">
        <v>76</v>
      </c>
      <c r="C46" s="74">
        <v>0.0</v>
      </c>
      <c r="D46" s="74">
        <v>0.0</v>
      </c>
    </row>
    <row r="47" ht="15.75" customHeight="1">
      <c r="A47" s="7">
        <v>20306.0</v>
      </c>
      <c r="B47" s="7" t="s">
        <v>77</v>
      </c>
      <c r="C47" s="74">
        <v>0.0</v>
      </c>
      <c r="D47" s="74">
        <v>0.0</v>
      </c>
    </row>
    <row r="48" ht="15.75" customHeight="1">
      <c r="A48" s="7">
        <v>20307.0</v>
      </c>
      <c r="B48" s="7" t="s">
        <v>78</v>
      </c>
      <c r="C48" s="74">
        <v>0.0</v>
      </c>
      <c r="D48" s="74">
        <v>0.0</v>
      </c>
    </row>
    <row r="49" ht="15.75" customHeight="1">
      <c r="A49" s="7">
        <v>20308.0</v>
      </c>
      <c r="B49" s="7" t="s">
        <v>79</v>
      </c>
      <c r="C49" s="74">
        <v>0.0</v>
      </c>
      <c r="D49" s="74">
        <v>0.0</v>
      </c>
    </row>
    <row r="50" ht="15.75" customHeight="1">
      <c r="A50" s="7">
        <v>20401.0</v>
      </c>
      <c r="B50" s="7" t="s">
        <v>80</v>
      </c>
      <c r="C50" s="74">
        <v>0.0</v>
      </c>
      <c r="D50" s="74">
        <v>0.0</v>
      </c>
    </row>
    <row r="51" ht="15.75" customHeight="1">
      <c r="A51" s="7">
        <v>20402.0</v>
      </c>
      <c r="B51" s="7" t="s">
        <v>81</v>
      </c>
      <c r="C51" s="74">
        <v>0.0</v>
      </c>
      <c r="D51" s="74">
        <v>0.0</v>
      </c>
    </row>
    <row r="52" ht="15.75" customHeight="1">
      <c r="A52" s="7">
        <v>20403.0</v>
      </c>
      <c r="B52" s="7" t="s">
        <v>82</v>
      </c>
      <c r="C52" s="74">
        <v>0.0</v>
      </c>
      <c r="D52" s="74">
        <v>0.0</v>
      </c>
    </row>
    <row r="53" ht="15.75" customHeight="1">
      <c r="A53" s="7">
        <v>20404.0</v>
      </c>
      <c r="B53" s="7" t="s">
        <v>84</v>
      </c>
      <c r="C53" s="74">
        <v>0.0</v>
      </c>
      <c r="D53" s="74">
        <v>0.0</v>
      </c>
    </row>
    <row r="54" ht="15.75" customHeight="1">
      <c r="A54" s="7">
        <v>20405.0</v>
      </c>
      <c r="B54" s="7" t="s">
        <v>87</v>
      </c>
      <c r="C54" s="74">
        <v>0.0</v>
      </c>
      <c r="D54" s="74">
        <v>0.0</v>
      </c>
    </row>
    <row r="55" ht="15.75" customHeight="1">
      <c r="A55" s="7">
        <v>20501.0</v>
      </c>
      <c r="B55" s="7" t="s">
        <v>88</v>
      </c>
      <c r="C55" s="74">
        <v>0.0</v>
      </c>
      <c r="D55" s="74">
        <v>0.0</v>
      </c>
    </row>
    <row r="56" ht="15.75" customHeight="1">
      <c r="A56" s="7">
        <v>20502.0</v>
      </c>
      <c r="B56" s="7" t="s">
        <v>89</v>
      </c>
      <c r="C56" s="74">
        <v>0.0</v>
      </c>
      <c r="D56" s="74">
        <v>0.0</v>
      </c>
    </row>
    <row r="57" ht="15.75" customHeight="1">
      <c r="A57" s="7">
        <v>20503.0</v>
      </c>
      <c r="B57" s="7" t="s">
        <v>90</v>
      </c>
      <c r="C57" s="74">
        <v>0.0</v>
      </c>
      <c r="D57" s="74">
        <v>0.0</v>
      </c>
    </row>
    <row r="58" ht="15.75" customHeight="1">
      <c r="A58" s="7">
        <v>20601.0</v>
      </c>
      <c r="B58" s="7" t="s">
        <v>91</v>
      </c>
      <c r="C58" s="74">
        <v>0.0</v>
      </c>
      <c r="D58" s="74">
        <v>0.0</v>
      </c>
    </row>
    <row r="59" ht="15.75" customHeight="1">
      <c r="A59" s="7">
        <v>20602.0</v>
      </c>
      <c r="B59" s="7" t="s">
        <v>92</v>
      </c>
      <c r="C59" s="74">
        <v>0.0</v>
      </c>
      <c r="D59" s="74">
        <v>0.0</v>
      </c>
    </row>
    <row r="60" ht="15.75" customHeight="1">
      <c r="A60" s="7">
        <v>20603.0</v>
      </c>
      <c r="B60" s="7" t="s">
        <v>93</v>
      </c>
      <c r="C60" s="74">
        <v>0.0</v>
      </c>
      <c r="D60" s="74">
        <v>0.0</v>
      </c>
    </row>
    <row r="61" ht="15.75" customHeight="1">
      <c r="A61" s="7">
        <v>20604.0</v>
      </c>
      <c r="B61" s="7" t="s">
        <v>95</v>
      </c>
      <c r="C61" s="74">
        <v>0.0</v>
      </c>
      <c r="D61" s="74">
        <v>0.0</v>
      </c>
    </row>
    <row r="62" ht="15.75" customHeight="1">
      <c r="A62" s="7">
        <v>20605.0</v>
      </c>
      <c r="B62" s="7" t="s">
        <v>98</v>
      </c>
      <c r="C62" s="74">
        <v>0.0</v>
      </c>
      <c r="D62" s="74">
        <v>0.0</v>
      </c>
    </row>
    <row r="63" ht="15.75" customHeight="1">
      <c r="A63" s="7">
        <v>20606.0</v>
      </c>
      <c r="B63" s="7" t="s">
        <v>99</v>
      </c>
      <c r="C63" s="74">
        <v>0.0</v>
      </c>
      <c r="D63" s="74">
        <v>0.0</v>
      </c>
    </row>
    <row r="64" ht="15.75" customHeight="1">
      <c r="A64" s="7">
        <v>20607.0</v>
      </c>
      <c r="B64" s="7" t="s">
        <v>100</v>
      </c>
      <c r="C64" s="74">
        <v>0.0</v>
      </c>
      <c r="D64" s="74">
        <v>0.0</v>
      </c>
    </row>
    <row r="65" ht="15.75" customHeight="1">
      <c r="A65" s="7">
        <v>20608.0</v>
      </c>
      <c r="B65" s="7" t="s">
        <v>101</v>
      </c>
      <c r="C65" s="74">
        <v>0.0</v>
      </c>
      <c r="D65" s="74">
        <v>0.0</v>
      </c>
    </row>
    <row r="66" ht="15.75" customHeight="1">
      <c r="A66" s="7">
        <v>20701.0</v>
      </c>
      <c r="B66" s="7" t="s">
        <v>102</v>
      </c>
      <c r="C66" s="74">
        <v>0.0</v>
      </c>
      <c r="D66" s="74">
        <v>0.0</v>
      </c>
    </row>
    <row r="67" ht="15.75" customHeight="1">
      <c r="A67" s="7">
        <v>20702.0</v>
      </c>
      <c r="B67" s="7" t="s">
        <v>103</v>
      </c>
      <c r="C67" s="74">
        <v>0.0</v>
      </c>
      <c r="D67" s="74">
        <v>0.0</v>
      </c>
    </row>
    <row r="68" ht="15.75" customHeight="1">
      <c r="A68" s="7">
        <v>20801.0</v>
      </c>
      <c r="B68" s="7" t="s">
        <v>104</v>
      </c>
      <c r="C68" s="74">
        <v>0.0</v>
      </c>
      <c r="D68" s="74">
        <v>117.07</v>
      </c>
    </row>
    <row r="69" ht="15.75" customHeight="1">
      <c r="A69" s="7">
        <v>20802.0</v>
      </c>
      <c r="B69" s="7" t="s">
        <v>105</v>
      </c>
      <c r="C69" s="74">
        <v>0.0</v>
      </c>
      <c r="D69" s="74">
        <v>0.0</v>
      </c>
    </row>
    <row r="70" ht="15.75" customHeight="1">
      <c r="A70" s="7">
        <v>20803.0</v>
      </c>
      <c r="B70" s="7" t="s">
        <v>108</v>
      </c>
      <c r="C70" s="74">
        <v>0.0</v>
      </c>
      <c r="D70" s="74">
        <v>0.0</v>
      </c>
    </row>
    <row r="71" ht="15.75" customHeight="1">
      <c r="A71" s="7">
        <v>20804.0</v>
      </c>
      <c r="B71" s="7" t="s">
        <v>110</v>
      </c>
      <c r="C71" s="74">
        <v>0.0</v>
      </c>
      <c r="D71" s="74">
        <v>0.0</v>
      </c>
    </row>
    <row r="72" ht="15.75" customHeight="1">
      <c r="A72" s="7">
        <v>20805.0</v>
      </c>
      <c r="B72" s="7" t="s">
        <v>112</v>
      </c>
      <c r="C72" s="74">
        <v>0.0</v>
      </c>
      <c r="D72" s="74">
        <v>0.0</v>
      </c>
    </row>
    <row r="73" ht="15.75" customHeight="1">
      <c r="A73" s="7">
        <v>20806.0</v>
      </c>
      <c r="B73" s="7" t="s">
        <v>114</v>
      </c>
      <c r="C73" s="74">
        <v>0.0</v>
      </c>
      <c r="D73" s="74">
        <v>0.0</v>
      </c>
    </row>
    <row r="74" ht="15.75" customHeight="1">
      <c r="A74" s="7">
        <v>20807.0</v>
      </c>
      <c r="B74" s="7" t="s">
        <v>116</v>
      </c>
      <c r="C74" s="74">
        <v>0.0</v>
      </c>
      <c r="D74" s="74">
        <v>0.0</v>
      </c>
    </row>
    <row r="75" ht="15.75" customHeight="1">
      <c r="A75" s="7">
        <v>20901.0</v>
      </c>
      <c r="B75" s="7" t="s">
        <v>118</v>
      </c>
      <c r="C75" s="74">
        <v>0.0</v>
      </c>
      <c r="D75" s="74">
        <v>0.0</v>
      </c>
    </row>
    <row r="76" ht="15.75" customHeight="1">
      <c r="A76" s="7">
        <v>20902.0</v>
      </c>
      <c r="B76" s="7" t="s">
        <v>120</v>
      </c>
      <c r="C76" s="74">
        <v>0.0</v>
      </c>
      <c r="D76" s="74">
        <v>0.0</v>
      </c>
    </row>
    <row r="77" ht="15.75" customHeight="1">
      <c r="A77" s="7">
        <v>20903.0</v>
      </c>
      <c r="B77" s="7" t="s">
        <v>122</v>
      </c>
      <c r="C77" s="74">
        <v>0.0</v>
      </c>
      <c r="D77" s="74">
        <v>0.0</v>
      </c>
    </row>
    <row r="78" ht="15.75" customHeight="1">
      <c r="A78" s="7">
        <v>20904.0</v>
      </c>
      <c r="B78" s="7" t="s">
        <v>124</v>
      </c>
      <c r="C78" s="74">
        <v>0.0</v>
      </c>
      <c r="D78" s="74">
        <v>0.0</v>
      </c>
    </row>
    <row r="79" ht="15.75" customHeight="1">
      <c r="A79" s="7">
        <v>20905.0</v>
      </c>
      <c r="B79" s="7" t="s">
        <v>126</v>
      </c>
      <c r="C79" s="74">
        <v>0.0</v>
      </c>
      <c r="D79" s="74">
        <v>0.0</v>
      </c>
    </row>
    <row r="80" ht="15.75" customHeight="1">
      <c r="A80" s="7">
        <v>21001.0</v>
      </c>
      <c r="B80" s="7" t="s">
        <v>128</v>
      </c>
      <c r="C80" s="74">
        <v>0.0</v>
      </c>
      <c r="D80" s="74">
        <v>0.0</v>
      </c>
    </row>
    <row r="81" ht="15.75" customHeight="1">
      <c r="A81" s="7">
        <v>21002.0</v>
      </c>
      <c r="B81" s="7" t="s">
        <v>130</v>
      </c>
      <c r="C81" s="74">
        <v>0.0</v>
      </c>
      <c r="D81" s="74">
        <v>0.0</v>
      </c>
    </row>
    <row r="82" ht="15.75" customHeight="1">
      <c r="A82" s="7">
        <v>21003.0</v>
      </c>
      <c r="B82" s="7" t="s">
        <v>131</v>
      </c>
      <c r="C82" s="74">
        <v>0.0</v>
      </c>
      <c r="D82" s="74">
        <v>0.0</v>
      </c>
    </row>
    <row r="83" ht="15.75" customHeight="1">
      <c r="A83" s="7">
        <v>21004.0</v>
      </c>
      <c r="B83" s="7" t="s">
        <v>132</v>
      </c>
      <c r="C83" s="74">
        <v>0.0</v>
      </c>
      <c r="D83" s="74">
        <v>0.0</v>
      </c>
    </row>
    <row r="84" ht="15.75" customHeight="1">
      <c r="A84" s="7">
        <v>21005.0</v>
      </c>
      <c r="B84" s="7" t="s">
        <v>133</v>
      </c>
      <c r="C84" s="74">
        <v>0.0</v>
      </c>
      <c r="D84" s="74">
        <v>0.0</v>
      </c>
    </row>
    <row r="85" ht="15.75" customHeight="1">
      <c r="A85" s="7">
        <v>21006.0</v>
      </c>
      <c r="B85" s="7" t="s">
        <v>134</v>
      </c>
      <c r="C85" s="74">
        <v>0.0</v>
      </c>
      <c r="D85" s="74">
        <v>0.0</v>
      </c>
    </row>
    <row r="86" ht="15.75" customHeight="1">
      <c r="A86" s="7">
        <v>21101.0</v>
      </c>
      <c r="B86" s="7" t="s">
        <v>135</v>
      </c>
      <c r="C86" s="74">
        <v>0.0</v>
      </c>
      <c r="D86" s="74">
        <v>0.0</v>
      </c>
    </row>
    <row r="87" ht="15.75" customHeight="1">
      <c r="A87" s="7">
        <v>21102.0</v>
      </c>
      <c r="B87" s="7" t="s">
        <v>136</v>
      </c>
      <c r="C87" s="74">
        <v>0.0</v>
      </c>
      <c r="D87" s="74">
        <v>0.0</v>
      </c>
    </row>
    <row r="88" ht="15.75" customHeight="1">
      <c r="A88" s="7">
        <v>21103.0</v>
      </c>
      <c r="B88" s="7" t="s">
        <v>137</v>
      </c>
      <c r="C88" s="74">
        <v>0.0</v>
      </c>
      <c r="D88" s="74">
        <v>0.0</v>
      </c>
    </row>
    <row r="89" ht="15.75" customHeight="1">
      <c r="A89" s="7">
        <v>21104.0</v>
      </c>
      <c r="B89" s="7" t="s">
        <v>138</v>
      </c>
      <c r="C89" s="74">
        <v>0.0</v>
      </c>
      <c r="D89" s="74">
        <v>0.0</v>
      </c>
    </row>
    <row r="90" ht="15.75" customHeight="1">
      <c r="A90" s="7">
        <v>21105.0</v>
      </c>
      <c r="B90" s="7" t="s">
        <v>139</v>
      </c>
      <c r="C90" s="74">
        <v>0.0</v>
      </c>
      <c r="D90" s="74">
        <v>0.0</v>
      </c>
    </row>
    <row r="91" ht="15.75" customHeight="1">
      <c r="A91" s="7">
        <v>21201.0</v>
      </c>
      <c r="B91" s="7" t="s">
        <v>140</v>
      </c>
      <c r="C91" s="74">
        <v>0.0</v>
      </c>
      <c r="D91" s="74">
        <v>0.0</v>
      </c>
    </row>
    <row r="92" ht="15.75" customHeight="1">
      <c r="A92" s="7">
        <v>21202.0</v>
      </c>
      <c r="B92" s="7" t="s">
        <v>141</v>
      </c>
      <c r="C92" s="74">
        <v>0.0</v>
      </c>
      <c r="D92" s="74">
        <v>0.0</v>
      </c>
    </row>
    <row r="93" ht="15.75" customHeight="1">
      <c r="A93" s="7">
        <v>21203.0</v>
      </c>
      <c r="B93" s="7" t="s">
        <v>142</v>
      </c>
      <c r="C93" s="74">
        <v>0.0</v>
      </c>
      <c r="D93" s="74">
        <v>0.0</v>
      </c>
    </row>
    <row r="94" ht="15.75" customHeight="1">
      <c r="A94" s="7">
        <v>21204.0</v>
      </c>
      <c r="B94" s="7" t="s">
        <v>143</v>
      </c>
      <c r="C94" s="74">
        <v>0.0</v>
      </c>
      <c r="D94" s="74">
        <v>0.0</v>
      </c>
    </row>
    <row r="95" ht="15.75" customHeight="1">
      <c r="A95" s="7">
        <v>21301.0</v>
      </c>
      <c r="B95" s="7" t="s">
        <v>144</v>
      </c>
      <c r="C95" s="74">
        <v>0.0</v>
      </c>
      <c r="D95" s="74">
        <v>0.0</v>
      </c>
    </row>
    <row r="96" ht="15.75" customHeight="1">
      <c r="A96" s="7">
        <v>21302.0</v>
      </c>
      <c r="B96" s="7" t="s">
        <v>145</v>
      </c>
      <c r="C96" s="74">
        <v>0.0</v>
      </c>
      <c r="D96" s="74">
        <v>0.0</v>
      </c>
    </row>
    <row r="97" ht="15.75" customHeight="1">
      <c r="A97" s="7">
        <v>21303.0</v>
      </c>
      <c r="B97" s="7" t="s">
        <v>146</v>
      </c>
      <c r="C97" s="74">
        <v>0.0</v>
      </c>
      <c r="D97" s="74">
        <v>0.0</v>
      </c>
    </row>
    <row r="98" ht="15.75" customHeight="1">
      <c r="A98" s="7">
        <v>21304.0</v>
      </c>
      <c r="B98" s="7" t="s">
        <v>147</v>
      </c>
      <c r="C98" s="74">
        <v>0.0</v>
      </c>
      <c r="D98" s="74">
        <v>0.0</v>
      </c>
    </row>
    <row r="99" ht="15.75" customHeight="1">
      <c r="A99" s="7">
        <v>21305.0</v>
      </c>
      <c r="B99" s="7" t="s">
        <v>148</v>
      </c>
      <c r="C99" s="74">
        <v>0.0</v>
      </c>
      <c r="D99" s="74">
        <v>0.0</v>
      </c>
    </row>
    <row r="100" ht="15.75" customHeight="1">
      <c r="A100" s="7">
        <v>21306.0</v>
      </c>
      <c r="B100" s="7" t="s">
        <v>149</v>
      </c>
      <c r="C100" s="74">
        <v>0.0</v>
      </c>
      <c r="D100" s="74">
        <v>0.0</v>
      </c>
    </row>
    <row r="101" ht="15.75" customHeight="1">
      <c r="A101" s="7">
        <v>21307.0</v>
      </c>
      <c r="B101" s="7" t="s">
        <v>150</v>
      </c>
      <c r="C101" s="74">
        <v>0.0</v>
      </c>
      <c r="D101" s="74">
        <v>0.0</v>
      </c>
    </row>
    <row r="102" ht="15.75" customHeight="1">
      <c r="A102" s="7">
        <v>21401.0</v>
      </c>
      <c r="B102" s="7" t="s">
        <v>151</v>
      </c>
      <c r="C102" s="74">
        <v>0.0</v>
      </c>
      <c r="D102" s="74">
        <v>0.0</v>
      </c>
    </row>
    <row r="103" ht="15.75" customHeight="1">
      <c r="A103" s="7">
        <v>21402.0</v>
      </c>
      <c r="B103" s="7" t="s">
        <v>152</v>
      </c>
      <c r="C103" s="74">
        <v>0.0</v>
      </c>
      <c r="D103" s="74">
        <v>0.0</v>
      </c>
    </row>
    <row r="104" ht="15.75" customHeight="1">
      <c r="A104" s="7">
        <v>21501.0</v>
      </c>
      <c r="B104" s="7" t="s">
        <v>153</v>
      </c>
      <c r="C104" s="74">
        <v>0.0</v>
      </c>
      <c r="D104" s="74">
        <v>0.0</v>
      </c>
    </row>
    <row r="105" ht="15.75" customHeight="1">
      <c r="A105" s="7">
        <v>21502.0</v>
      </c>
      <c r="B105" s="7" t="s">
        <v>154</v>
      </c>
      <c r="C105" s="74">
        <v>0.0</v>
      </c>
      <c r="D105" s="74">
        <v>0.0</v>
      </c>
    </row>
    <row r="106" ht="15.75" customHeight="1">
      <c r="A106" s="7">
        <v>21601.0</v>
      </c>
      <c r="B106" s="7" t="s">
        <v>155</v>
      </c>
      <c r="C106" s="74">
        <v>0.0</v>
      </c>
      <c r="D106" s="74">
        <v>0.0</v>
      </c>
    </row>
    <row r="107" ht="15.75" customHeight="1">
      <c r="A107" s="7">
        <v>21602.0</v>
      </c>
      <c r="B107" s="7" t="s">
        <v>156</v>
      </c>
      <c r="C107" s="74">
        <v>0.0</v>
      </c>
      <c r="D107" s="74">
        <v>0.0</v>
      </c>
    </row>
    <row r="108" ht="15.75" customHeight="1">
      <c r="A108" s="7">
        <v>21701.0</v>
      </c>
      <c r="B108" s="7" t="s">
        <v>157</v>
      </c>
      <c r="C108" s="74">
        <v>0.0</v>
      </c>
      <c r="D108" s="74">
        <v>0.0</v>
      </c>
    </row>
    <row r="109" ht="15.75" customHeight="1">
      <c r="A109" s="7">
        <v>21702.0</v>
      </c>
      <c r="B109" s="7" t="s">
        <v>158</v>
      </c>
      <c r="C109" s="74">
        <v>0.0</v>
      </c>
      <c r="D109" s="74">
        <v>0.0</v>
      </c>
    </row>
    <row r="110" ht="15.75" customHeight="1">
      <c r="A110" s="7">
        <v>21703.0</v>
      </c>
      <c r="B110" s="7" t="s">
        <v>159</v>
      </c>
      <c r="C110" s="74">
        <v>0.0</v>
      </c>
      <c r="D110" s="74">
        <v>0.0</v>
      </c>
    </row>
    <row r="111" ht="15.75" customHeight="1">
      <c r="A111" s="7">
        <v>21801.0</v>
      </c>
      <c r="B111" s="7" t="s">
        <v>160</v>
      </c>
      <c r="C111" s="74">
        <v>0.0</v>
      </c>
      <c r="D111" s="74">
        <v>0.0</v>
      </c>
    </row>
    <row r="112" ht="15.75" customHeight="1">
      <c r="A112" s="7">
        <v>21802.0</v>
      </c>
      <c r="B112" s="7" t="s">
        <v>161</v>
      </c>
      <c r="C112" s="74">
        <v>0.0</v>
      </c>
      <c r="D112" s="74">
        <v>0.0</v>
      </c>
    </row>
    <row r="113" ht="15.75" customHeight="1">
      <c r="A113" s="7">
        <v>21803.0</v>
      </c>
      <c r="B113" s="7" t="s">
        <v>162</v>
      </c>
      <c r="C113" s="74">
        <v>0.0</v>
      </c>
      <c r="D113" s="74">
        <v>0.0</v>
      </c>
    </row>
    <row r="114" ht="15.75" customHeight="1">
      <c r="A114" s="7">
        <v>21901.0</v>
      </c>
      <c r="B114" s="7" t="s">
        <v>163</v>
      </c>
      <c r="C114" s="74">
        <v>0.0</v>
      </c>
      <c r="D114" s="74">
        <v>0.0</v>
      </c>
    </row>
    <row r="115" ht="15.75" customHeight="1">
      <c r="A115" s="7">
        <v>21902.0</v>
      </c>
      <c r="B115" s="7" t="s">
        <v>164</v>
      </c>
      <c r="C115" s="74">
        <v>0.0</v>
      </c>
      <c r="D115" s="74">
        <v>0.0</v>
      </c>
    </row>
    <row r="116" ht="15.75" customHeight="1">
      <c r="A116" s="7">
        <v>22001.0</v>
      </c>
      <c r="B116" s="7" t="s">
        <v>165</v>
      </c>
      <c r="C116" s="74">
        <v>0.0</v>
      </c>
      <c r="D116" s="74">
        <v>0.0</v>
      </c>
    </row>
    <row r="117" ht="15.75" customHeight="1">
      <c r="A117" s="7">
        <v>22002.0</v>
      </c>
      <c r="B117" s="7" t="s">
        <v>166</v>
      </c>
      <c r="C117" s="74">
        <v>0.0</v>
      </c>
      <c r="D117" s="74">
        <v>0.0</v>
      </c>
    </row>
    <row r="118" ht="15.75" customHeight="1">
      <c r="A118" s="7">
        <v>30101.0</v>
      </c>
      <c r="B118" s="7" t="s">
        <v>113</v>
      </c>
      <c r="C118" s="74">
        <v>120.5</v>
      </c>
      <c r="D118" s="74">
        <v>56.02</v>
      </c>
    </row>
    <row r="119" ht="15.75" customHeight="1">
      <c r="A119" s="7">
        <v>30201.0</v>
      </c>
      <c r="B119" s="7" t="s">
        <v>167</v>
      </c>
      <c r="C119" s="74">
        <v>0.0</v>
      </c>
      <c r="D119" s="74">
        <v>0.0</v>
      </c>
    </row>
    <row r="120" ht="15.75" customHeight="1">
      <c r="A120" s="7">
        <v>30202.0</v>
      </c>
      <c r="B120" s="7" t="s">
        <v>168</v>
      </c>
      <c r="C120" s="74">
        <v>0.0</v>
      </c>
      <c r="D120" s="74">
        <v>0.0</v>
      </c>
    </row>
    <row r="121" ht="15.75" customHeight="1">
      <c r="A121" s="7">
        <v>30203.0</v>
      </c>
      <c r="B121" s="7" t="s">
        <v>169</v>
      </c>
      <c r="C121" s="74">
        <v>0.0</v>
      </c>
      <c r="D121" s="74">
        <v>0.0</v>
      </c>
    </row>
    <row r="122" ht="15.75" customHeight="1">
      <c r="A122" s="7">
        <v>30301.0</v>
      </c>
      <c r="B122" s="7" t="s">
        <v>170</v>
      </c>
      <c r="C122" s="74">
        <v>0.0</v>
      </c>
      <c r="D122" s="74">
        <v>0.0</v>
      </c>
    </row>
    <row r="123" ht="15.75" customHeight="1">
      <c r="A123" s="7">
        <v>30302.0</v>
      </c>
      <c r="B123" s="7" t="s">
        <v>171</v>
      </c>
      <c r="C123" s="74">
        <v>0.0</v>
      </c>
      <c r="D123" s="74">
        <v>0.0</v>
      </c>
    </row>
    <row r="124" ht="15.75" customHeight="1">
      <c r="A124" s="7">
        <v>30303.0</v>
      </c>
      <c r="B124" s="7" t="s">
        <v>172</v>
      </c>
      <c r="C124" s="74">
        <v>0.0</v>
      </c>
      <c r="D124" s="74">
        <v>0.0</v>
      </c>
    </row>
    <row r="125" ht="15.75" customHeight="1">
      <c r="A125" s="7">
        <v>30401.0</v>
      </c>
      <c r="B125" s="7" t="s">
        <v>173</v>
      </c>
      <c r="C125" s="74">
        <v>0.0</v>
      </c>
      <c r="D125" s="74">
        <v>0.0</v>
      </c>
    </row>
    <row r="126" ht="15.75" customHeight="1">
      <c r="A126" s="7">
        <v>30402.0</v>
      </c>
      <c r="B126" s="7" t="s">
        <v>174</v>
      </c>
      <c r="C126" s="74">
        <v>0.0</v>
      </c>
      <c r="D126" s="74">
        <v>0.0</v>
      </c>
    </row>
    <row r="127" ht="15.75" customHeight="1">
      <c r="A127" s="7">
        <v>30403.0</v>
      </c>
      <c r="B127" s="7" t="s">
        <v>175</v>
      </c>
      <c r="C127" s="74">
        <v>0.0</v>
      </c>
      <c r="D127" s="74">
        <v>0.0</v>
      </c>
    </row>
    <row r="128" ht="15.75" customHeight="1">
      <c r="A128" s="7">
        <v>30404.0</v>
      </c>
      <c r="B128" s="7" t="s">
        <v>176</v>
      </c>
      <c r="C128" s="74">
        <v>0.0</v>
      </c>
      <c r="D128" s="74">
        <v>0.0</v>
      </c>
    </row>
    <row r="129" ht="15.75" customHeight="1">
      <c r="A129" s="7">
        <v>30501.0</v>
      </c>
      <c r="B129" s="7" t="s">
        <v>177</v>
      </c>
      <c r="C129" s="74">
        <v>0.0</v>
      </c>
      <c r="D129" s="74">
        <v>0.0</v>
      </c>
    </row>
    <row r="130" ht="15.75" customHeight="1">
      <c r="A130" s="7">
        <v>30502.0</v>
      </c>
      <c r="B130" s="7" t="s">
        <v>178</v>
      </c>
      <c r="C130" s="74">
        <v>0.0</v>
      </c>
      <c r="D130" s="74">
        <v>0.0</v>
      </c>
    </row>
    <row r="131" ht="15.75" customHeight="1">
      <c r="A131" s="7">
        <v>30601.0</v>
      </c>
      <c r="B131" s="7" t="s">
        <v>179</v>
      </c>
      <c r="C131" s="74">
        <v>0.0</v>
      </c>
      <c r="D131" s="74">
        <v>0.0</v>
      </c>
    </row>
    <row r="132" ht="15.75" customHeight="1">
      <c r="A132" s="7">
        <v>30602.0</v>
      </c>
      <c r="B132" s="7" t="s">
        <v>180</v>
      </c>
      <c r="C132" s="74">
        <v>0.0</v>
      </c>
      <c r="D132" s="74">
        <v>0.0</v>
      </c>
    </row>
    <row r="133" ht="15.75" customHeight="1">
      <c r="A133" s="7">
        <v>30701.0</v>
      </c>
      <c r="B133" s="7" t="s">
        <v>181</v>
      </c>
      <c r="C133" s="74">
        <v>0.0</v>
      </c>
      <c r="D133" s="74">
        <v>0.0</v>
      </c>
    </row>
    <row r="134" ht="15.75" customHeight="1">
      <c r="A134" s="7">
        <v>30702.0</v>
      </c>
      <c r="B134" s="7" t="s">
        <v>182</v>
      </c>
      <c r="C134" s="74">
        <v>0.0</v>
      </c>
      <c r="D134" s="74">
        <v>0.0</v>
      </c>
    </row>
    <row r="135" ht="15.75" customHeight="1">
      <c r="A135" s="7">
        <v>30703.0</v>
      </c>
      <c r="B135" s="7" t="s">
        <v>183</v>
      </c>
      <c r="C135" s="74">
        <v>0.0</v>
      </c>
      <c r="D135" s="74">
        <v>0.0</v>
      </c>
    </row>
    <row r="136" ht="15.75" customHeight="1">
      <c r="A136" s="7">
        <v>30801.0</v>
      </c>
      <c r="B136" s="7" t="s">
        <v>184</v>
      </c>
      <c r="C136" s="74">
        <v>0.0</v>
      </c>
      <c r="D136" s="74">
        <v>0.0</v>
      </c>
    </row>
    <row r="137" ht="15.75" customHeight="1">
      <c r="A137" s="7">
        <v>30802.0</v>
      </c>
      <c r="B137" s="7" t="s">
        <v>185</v>
      </c>
      <c r="C137" s="74">
        <v>0.0</v>
      </c>
      <c r="D137" s="74">
        <v>0.0</v>
      </c>
    </row>
    <row r="138" ht="15.75" customHeight="1">
      <c r="A138" s="7">
        <v>30803.0</v>
      </c>
      <c r="B138" s="7" t="s">
        <v>186</v>
      </c>
      <c r="C138" s="74">
        <v>0.0</v>
      </c>
      <c r="D138" s="74">
        <v>0.0</v>
      </c>
    </row>
    <row r="139" ht="15.75" customHeight="1">
      <c r="A139" s="7">
        <v>30901.0</v>
      </c>
      <c r="B139" s="7" t="s">
        <v>187</v>
      </c>
      <c r="C139" s="74">
        <v>0.0</v>
      </c>
      <c r="D139" s="74">
        <v>0.0</v>
      </c>
    </row>
    <row r="140" ht="15.75" customHeight="1">
      <c r="A140" s="7">
        <v>30902.0</v>
      </c>
      <c r="B140" s="7" t="s">
        <v>188</v>
      </c>
      <c r="C140" s="74">
        <v>0.0</v>
      </c>
      <c r="D140" s="74">
        <v>0.0</v>
      </c>
    </row>
    <row r="141" ht="15.75" customHeight="1">
      <c r="A141" s="7">
        <v>30903.0</v>
      </c>
      <c r="B141" s="7" t="s">
        <v>189</v>
      </c>
      <c r="C141" s="74">
        <v>0.0</v>
      </c>
      <c r="D141" s="74">
        <v>0.0</v>
      </c>
    </row>
    <row r="142" ht="15.75" customHeight="1">
      <c r="A142" s="7">
        <v>30904.0</v>
      </c>
      <c r="B142" s="7" t="s">
        <v>190</v>
      </c>
      <c r="C142" s="74">
        <v>0.0</v>
      </c>
      <c r="D142" s="74">
        <v>0.0</v>
      </c>
    </row>
    <row r="143" ht="15.75" customHeight="1">
      <c r="A143" s="7">
        <v>30905.0</v>
      </c>
      <c r="B143" s="7" t="s">
        <v>191</v>
      </c>
      <c r="C143" s="74">
        <v>0.0</v>
      </c>
      <c r="D143" s="74">
        <v>0.0</v>
      </c>
    </row>
    <row r="144" ht="15.75" customHeight="1">
      <c r="A144" s="7">
        <v>31001.0</v>
      </c>
      <c r="B144" s="7" t="s">
        <v>192</v>
      </c>
      <c r="C144" s="74">
        <v>0.0</v>
      </c>
      <c r="D144" s="74">
        <v>401.38</v>
      </c>
    </row>
    <row r="145" ht="15.75" customHeight="1">
      <c r="A145" s="7">
        <v>31002.0</v>
      </c>
      <c r="B145" s="7" t="s">
        <v>193</v>
      </c>
      <c r="C145" s="74">
        <v>0.0</v>
      </c>
      <c r="D145" s="74">
        <v>0.0</v>
      </c>
    </row>
    <row r="146" ht="15.75" customHeight="1">
      <c r="A146" s="7">
        <v>31003.0</v>
      </c>
      <c r="B146" s="7" t="s">
        <v>194</v>
      </c>
      <c r="C146" s="74">
        <v>0.0</v>
      </c>
      <c r="D146" s="74">
        <v>0.0</v>
      </c>
    </row>
    <row r="147" ht="15.75" customHeight="1">
      <c r="A147" s="7">
        <v>31101.0</v>
      </c>
      <c r="B147" s="7" t="s">
        <v>195</v>
      </c>
      <c r="C147" s="74">
        <v>0.0</v>
      </c>
      <c r="D147" s="74">
        <v>0.0</v>
      </c>
    </row>
    <row r="148" ht="15.75" customHeight="1">
      <c r="A148" s="7">
        <v>31201.0</v>
      </c>
      <c r="B148" s="7" t="s">
        <v>196</v>
      </c>
      <c r="C148" s="74">
        <v>0.0</v>
      </c>
      <c r="D148" s="74">
        <v>0.0</v>
      </c>
    </row>
    <row r="149" ht="15.75" customHeight="1">
      <c r="A149" s="7">
        <v>31202.0</v>
      </c>
      <c r="B149" s="7" t="s">
        <v>197</v>
      </c>
      <c r="C149" s="74">
        <v>0.0</v>
      </c>
      <c r="D149" s="74">
        <v>0.0</v>
      </c>
    </row>
    <row r="150" ht="15.75" customHeight="1">
      <c r="A150" s="7">
        <v>31203.0</v>
      </c>
      <c r="B150" s="7" t="s">
        <v>198</v>
      </c>
      <c r="C150" s="74">
        <v>0.0</v>
      </c>
      <c r="D150" s="74">
        <v>0.0</v>
      </c>
    </row>
    <row r="151" ht="15.75" customHeight="1">
      <c r="A151" s="7">
        <v>31204.0</v>
      </c>
      <c r="B151" s="7" t="s">
        <v>199</v>
      </c>
      <c r="C151" s="74">
        <v>0.0</v>
      </c>
      <c r="D151" s="74">
        <v>0.0</v>
      </c>
    </row>
    <row r="152" ht="15.75" customHeight="1">
      <c r="A152" s="7">
        <v>31205.0</v>
      </c>
      <c r="B152" s="7" t="s">
        <v>200</v>
      </c>
      <c r="C152" s="74">
        <v>0.0</v>
      </c>
      <c r="D152" s="74">
        <v>0.0</v>
      </c>
    </row>
    <row r="153" ht="15.75" customHeight="1">
      <c r="A153" s="7">
        <v>31206.0</v>
      </c>
      <c r="B153" s="7" t="s">
        <v>201</v>
      </c>
      <c r="C153" s="74">
        <v>0.0</v>
      </c>
      <c r="D153" s="74">
        <v>0.0</v>
      </c>
    </row>
    <row r="154" ht="15.75" customHeight="1">
      <c r="A154" s="7">
        <v>31301.0</v>
      </c>
      <c r="B154" s="7" t="s">
        <v>202</v>
      </c>
      <c r="C154" s="74">
        <v>0.0</v>
      </c>
      <c r="D154" s="74">
        <v>0.0</v>
      </c>
    </row>
    <row r="155" ht="15.75" customHeight="1">
      <c r="A155" s="7">
        <v>31302.0</v>
      </c>
      <c r="B155" s="7" t="s">
        <v>203</v>
      </c>
      <c r="C155" s="74">
        <v>0.0</v>
      </c>
      <c r="D155" s="74">
        <v>0.0</v>
      </c>
    </row>
    <row r="156" ht="15.75" customHeight="1">
      <c r="A156" s="7">
        <v>31303.0</v>
      </c>
      <c r="B156" s="7" t="s">
        <v>204</v>
      </c>
      <c r="C156" s="74">
        <v>0.0</v>
      </c>
      <c r="D156" s="74">
        <v>0.0</v>
      </c>
    </row>
    <row r="157" ht="15.75" customHeight="1">
      <c r="A157" s="7">
        <v>31304.0</v>
      </c>
      <c r="B157" s="7" t="s">
        <v>205</v>
      </c>
      <c r="C157" s="74">
        <v>0.0</v>
      </c>
      <c r="D157" s="74">
        <v>0.0</v>
      </c>
    </row>
    <row r="158" ht="15.75" customHeight="1">
      <c r="A158" s="7">
        <v>31401.0</v>
      </c>
      <c r="B158" s="7" t="s">
        <v>206</v>
      </c>
      <c r="C158" s="74">
        <v>0.0</v>
      </c>
      <c r="D158" s="74">
        <v>0.0</v>
      </c>
    </row>
    <row r="159" ht="15.75" customHeight="1">
      <c r="A159" s="7">
        <v>31402.0</v>
      </c>
      <c r="B159" s="7" t="s">
        <v>207</v>
      </c>
      <c r="C159" s="74">
        <v>0.0</v>
      </c>
      <c r="D159" s="74">
        <v>0.0</v>
      </c>
    </row>
    <row r="160" ht="15.75" customHeight="1">
      <c r="A160" s="7">
        <v>31403.0</v>
      </c>
      <c r="B160" s="7" t="s">
        <v>208</v>
      </c>
      <c r="C160" s="74">
        <v>0.0</v>
      </c>
      <c r="D160" s="74">
        <v>0.0</v>
      </c>
    </row>
    <row r="161" ht="15.75" customHeight="1">
      <c r="A161" s="7">
        <v>31404.0</v>
      </c>
      <c r="B161" s="7" t="s">
        <v>209</v>
      </c>
      <c r="C161" s="74">
        <v>0.0</v>
      </c>
      <c r="D161" s="74">
        <v>0.0</v>
      </c>
    </row>
    <row r="162" ht="15.75" customHeight="1">
      <c r="A162" s="7">
        <v>31405.0</v>
      </c>
      <c r="B162" s="7" t="s">
        <v>210</v>
      </c>
      <c r="C162" s="74">
        <v>0.0</v>
      </c>
      <c r="D162" s="74">
        <v>0.0</v>
      </c>
    </row>
    <row r="163" ht="15.75" customHeight="1">
      <c r="A163" s="7">
        <v>31501.0</v>
      </c>
      <c r="B163" s="7" t="s">
        <v>211</v>
      </c>
      <c r="C163" s="74">
        <v>0.0</v>
      </c>
      <c r="D163" s="74">
        <v>0.0</v>
      </c>
    </row>
    <row r="164" ht="15.75" customHeight="1">
      <c r="A164" s="7">
        <v>31601.0</v>
      </c>
      <c r="B164" s="7" t="s">
        <v>212</v>
      </c>
      <c r="C164" s="74">
        <v>0.0</v>
      </c>
      <c r="D164" s="74">
        <v>100.0</v>
      </c>
    </row>
    <row r="165" ht="15.75" customHeight="1">
      <c r="A165" s="7">
        <v>31602.0</v>
      </c>
      <c r="B165" s="7" t="s">
        <v>213</v>
      </c>
      <c r="C165" s="74">
        <v>0.0</v>
      </c>
      <c r="D165" s="74">
        <v>57.26</v>
      </c>
    </row>
    <row r="166" ht="15.75" customHeight="1">
      <c r="A166" s="7">
        <v>40101.0</v>
      </c>
      <c r="B166" s="7" t="s">
        <v>115</v>
      </c>
      <c r="C166" s="74">
        <v>0.0</v>
      </c>
      <c r="D166" s="74">
        <v>0.0</v>
      </c>
    </row>
    <row r="167" ht="15.75" customHeight="1">
      <c r="A167" s="7">
        <v>40102.0</v>
      </c>
      <c r="B167" s="7" t="s">
        <v>214</v>
      </c>
      <c r="C167" s="74">
        <v>0.0</v>
      </c>
      <c r="D167" s="74">
        <v>0.0</v>
      </c>
    </row>
    <row r="168" ht="15.75" customHeight="1">
      <c r="A168" s="7">
        <v>40103.0</v>
      </c>
      <c r="B168" s="7" t="s">
        <v>215</v>
      </c>
      <c r="C168" s="74">
        <v>0.0</v>
      </c>
      <c r="D168" s="74">
        <v>0.0</v>
      </c>
    </row>
    <row r="169" ht="15.75" customHeight="1">
      <c r="A169" s="7">
        <v>40104.0</v>
      </c>
      <c r="B169" s="7" t="s">
        <v>216</v>
      </c>
      <c r="C169" s="74">
        <v>0.0</v>
      </c>
      <c r="D169" s="74">
        <v>0.0</v>
      </c>
    </row>
    <row r="170" ht="15.75" customHeight="1">
      <c r="A170" s="7">
        <v>40201.0</v>
      </c>
      <c r="B170" s="7" t="s">
        <v>217</v>
      </c>
      <c r="C170" s="74">
        <v>0.0</v>
      </c>
      <c r="D170" s="74">
        <v>123.41</v>
      </c>
    </row>
    <row r="171" ht="15.75" customHeight="1">
      <c r="A171" s="7">
        <v>40202.0</v>
      </c>
      <c r="B171" s="7" t="s">
        <v>218</v>
      </c>
      <c r="C171" s="74">
        <v>0.0</v>
      </c>
      <c r="D171" s="74">
        <v>0.0</v>
      </c>
    </row>
    <row r="172" ht="15.75" customHeight="1">
      <c r="A172" s="7">
        <v>40301.0</v>
      </c>
      <c r="B172" s="7" t="s">
        <v>219</v>
      </c>
      <c r="C172" s="74">
        <v>0.0</v>
      </c>
      <c r="D172" s="74">
        <v>0.0</v>
      </c>
    </row>
    <row r="173" ht="15.75" customHeight="1">
      <c r="A173" s="7">
        <v>40302.0</v>
      </c>
      <c r="B173" s="7" t="s">
        <v>220</v>
      </c>
      <c r="C173" s="74">
        <v>0.0</v>
      </c>
      <c r="D173" s="74">
        <v>0.0</v>
      </c>
    </row>
    <row r="174" ht="15.75" customHeight="1">
      <c r="A174" s="7">
        <v>40401.0</v>
      </c>
      <c r="B174" s="7" t="s">
        <v>221</v>
      </c>
      <c r="C174" s="74">
        <v>0.0</v>
      </c>
      <c r="D174" s="74">
        <v>0.0</v>
      </c>
    </row>
    <row r="175" ht="15.75" customHeight="1">
      <c r="A175" s="7">
        <v>40402.0</v>
      </c>
      <c r="B175" s="7" t="s">
        <v>222</v>
      </c>
      <c r="C175" s="74">
        <v>0.0</v>
      </c>
      <c r="D175" s="74">
        <v>0.0</v>
      </c>
    </row>
    <row r="176" ht="15.75" customHeight="1">
      <c r="A176" s="7">
        <v>40501.0</v>
      </c>
      <c r="B176" s="7" t="s">
        <v>223</v>
      </c>
      <c r="C176" s="74">
        <v>0.0</v>
      </c>
      <c r="D176" s="74">
        <v>0.0</v>
      </c>
    </row>
    <row r="177" ht="15.75" customHeight="1">
      <c r="A177" s="7">
        <v>40502.0</v>
      </c>
      <c r="B177" s="7" t="s">
        <v>224</v>
      </c>
      <c r="C177" s="74">
        <v>0.0</v>
      </c>
      <c r="D177" s="74">
        <v>0.0</v>
      </c>
    </row>
    <row r="178" ht="15.75" customHeight="1">
      <c r="A178" s="7">
        <v>40503.0</v>
      </c>
      <c r="B178" s="7" t="s">
        <v>225</v>
      </c>
      <c r="C178" s="74">
        <v>0.0</v>
      </c>
      <c r="D178" s="74">
        <v>0.0</v>
      </c>
    </row>
    <row r="179" ht="15.75" customHeight="1">
      <c r="A179" s="7">
        <v>40504.0</v>
      </c>
      <c r="B179" s="7" t="s">
        <v>226</v>
      </c>
      <c r="C179" s="74">
        <v>0.0</v>
      </c>
      <c r="D179" s="74">
        <v>0.0</v>
      </c>
    </row>
    <row r="180" ht="15.75" customHeight="1">
      <c r="A180" s="7">
        <v>40505.0</v>
      </c>
      <c r="B180" s="7" t="s">
        <v>227</v>
      </c>
      <c r="C180" s="74">
        <v>0.0</v>
      </c>
      <c r="D180" s="74">
        <v>0.0</v>
      </c>
    </row>
    <row r="181" ht="15.75" customHeight="1">
      <c r="A181" s="7">
        <v>40601.0</v>
      </c>
      <c r="B181" s="7" t="s">
        <v>228</v>
      </c>
      <c r="C181" s="74">
        <v>0.0</v>
      </c>
      <c r="D181" s="74">
        <v>0.0</v>
      </c>
    </row>
    <row r="182" ht="15.75" customHeight="1">
      <c r="A182" s="7">
        <v>40602.0</v>
      </c>
      <c r="B182" s="7" t="s">
        <v>229</v>
      </c>
      <c r="C182" s="74">
        <v>0.0</v>
      </c>
      <c r="D182" s="74">
        <v>0.0</v>
      </c>
    </row>
    <row r="183" ht="15.75" customHeight="1">
      <c r="A183" s="7">
        <v>40603.0</v>
      </c>
      <c r="B183" s="7" t="s">
        <v>230</v>
      </c>
      <c r="C183" s="74">
        <v>0.0</v>
      </c>
      <c r="D183" s="74">
        <v>0.0</v>
      </c>
    </row>
    <row r="184" ht="15.75" customHeight="1">
      <c r="A184" s="7">
        <v>40701.0</v>
      </c>
      <c r="B184" s="7" t="s">
        <v>231</v>
      </c>
      <c r="C184" s="74">
        <v>0.0</v>
      </c>
      <c r="D184" s="74">
        <v>0.0</v>
      </c>
    </row>
    <row r="185" ht="15.75" customHeight="1">
      <c r="A185" s="7">
        <v>40702.0</v>
      </c>
      <c r="B185" s="7" t="s">
        <v>232</v>
      </c>
      <c r="C185" s="74">
        <v>0.0</v>
      </c>
      <c r="D185" s="74">
        <v>0.0</v>
      </c>
    </row>
    <row r="186" ht="15.75" customHeight="1">
      <c r="A186" s="7">
        <v>40801.0</v>
      </c>
      <c r="B186" s="7" t="s">
        <v>233</v>
      </c>
      <c r="C186" s="74">
        <v>0.0</v>
      </c>
      <c r="D186" s="74">
        <v>0.0</v>
      </c>
    </row>
    <row r="187" ht="15.75" customHeight="1">
      <c r="A187" s="7">
        <v>40802.0</v>
      </c>
      <c r="B187" s="7" t="s">
        <v>234</v>
      </c>
      <c r="C187" s="74">
        <v>0.0</v>
      </c>
      <c r="D187" s="74">
        <v>0.0</v>
      </c>
    </row>
    <row r="188" ht="15.75" customHeight="1">
      <c r="A188" s="7">
        <v>40901.0</v>
      </c>
      <c r="B188" s="7" t="s">
        <v>235</v>
      </c>
      <c r="C188" s="74">
        <v>0.0</v>
      </c>
      <c r="D188" s="74">
        <v>0.0</v>
      </c>
    </row>
    <row r="189" ht="15.75" customHeight="1">
      <c r="A189" s="7">
        <v>40902.0</v>
      </c>
      <c r="B189" s="7" t="s">
        <v>236</v>
      </c>
      <c r="C189" s="74">
        <v>0.0</v>
      </c>
      <c r="D189" s="74">
        <v>0.0</v>
      </c>
    </row>
    <row r="190" ht="15.75" customHeight="1">
      <c r="A190" s="7">
        <v>40903.0</v>
      </c>
      <c r="B190" s="7" t="s">
        <v>237</v>
      </c>
      <c r="C190" s="74">
        <v>0.0</v>
      </c>
      <c r="D190" s="74">
        <v>0.0</v>
      </c>
    </row>
    <row r="191" ht="15.75" customHeight="1">
      <c r="A191" s="7">
        <v>41001.0</v>
      </c>
      <c r="B191" s="7" t="s">
        <v>238</v>
      </c>
      <c r="C191" s="74">
        <v>0.0</v>
      </c>
      <c r="D191" s="74">
        <v>0.0</v>
      </c>
    </row>
    <row r="192" ht="15.75" customHeight="1">
      <c r="A192" s="7">
        <v>41101.0</v>
      </c>
      <c r="B192" s="7" t="s">
        <v>239</v>
      </c>
      <c r="C192" s="74">
        <v>0.0</v>
      </c>
      <c r="D192" s="74">
        <v>0.0</v>
      </c>
    </row>
    <row r="193" ht="15.75" customHeight="1">
      <c r="A193" s="7">
        <v>41201.0</v>
      </c>
      <c r="B193" s="7" t="s">
        <v>240</v>
      </c>
      <c r="C193" s="74">
        <v>0.0</v>
      </c>
      <c r="D193" s="74">
        <v>0.0</v>
      </c>
    </row>
    <row r="194" ht="15.75" customHeight="1">
      <c r="A194" s="7">
        <v>41202.0</v>
      </c>
      <c r="B194" s="7" t="s">
        <v>241</v>
      </c>
      <c r="C194" s="74">
        <v>0.0</v>
      </c>
      <c r="D194" s="74">
        <v>0.0</v>
      </c>
    </row>
    <row r="195" ht="15.75" customHeight="1">
      <c r="A195" s="7">
        <v>41301.0</v>
      </c>
      <c r="B195" s="7" t="s">
        <v>196</v>
      </c>
      <c r="C195" s="74">
        <v>0.0</v>
      </c>
      <c r="D195" s="74">
        <v>0.0</v>
      </c>
    </row>
    <row r="196" ht="15.75" customHeight="1">
      <c r="A196" s="7">
        <v>41401.0</v>
      </c>
      <c r="B196" s="7" t="s">
        <v>242</v>
      </c>
      <c r="C196" s="74">
        <v>0.0</v>
      </c>
      <c r="D196" s="74">
        <v>0.0</v>
      </c>
    </row>
    <row r="197" ht="15.75" customHeight="1">
      <c r="A197" s="7">
        <v>41501.0</v>
      </c>
      <c r="B197" s="7" t="s">
        <v>243</v>
      </c>
      <c r="C197" s="74">
        <v>0.0</v>
      </c>
      <c r="D197" s="74">
        <v>0.0</v>
      </c>
    </row>
    <row r="198" ht="15.75" customHeight="1">
      <c r="A198" s="7">
        <v>41502.0</v>
      </c>
      <c r="B198" s="7" t="s">
        <v>244</v>
      </c>
      <c r="C198" s="74">
        <v>0.0</v>
      </c>
      <c r="D198" s="74">
        <v>0.0</v>
      </c>
    </row>
    <row r="199" ht="15.75" customHeight="1">
      <c r="A199" s="7">
        <v>41503.0</v>
      </c>
      <c r="B199" s="7" t="s">
        <v>245</v>
      </c>
      <c r="C199" s="74">
        <v>0.0</v>
      </c>
      <c r="D199" s="74">
        <v>0.0</v>
      </c>
    </row>
    <row r="200" ht="15.75" customHeight="1">
      <c r="A200" s="7">
        <v>41601.0</v>
      </c>
      <c r="B200" s="7" t="s">
        <v>246</v>
      </c>
      <c r="C200" s="74">
        <v>0.0</v>
      </c>
      <c r="D200" s="74">
        <v>0.0</v>
      </c>
    </row>
    <row r="201" ht="15.75" customHeight="1">
      <c r="A201" s="7">
        <v>50101.0</v>
      </c>
      <c r="B201" s="7" t="s">
        <v>117</v>
      </c>
      <c r="C201" s="74">
        <v>0.0</v>
      </c>
      <c r="D201" s="74">
        <v>0.0</v>
      </c>
    </row>
    <row r="202" ht="15.75" customHeight="1">
      <c r="A202" s="7">
        <v>50102.0</v>
      </c>
      <c r="B202" s="7" t="s">
        <v>247</v>
      </c>
      <c r="C202" s="74">
        <v>0.0</v>
      </c>
      <c r="D202" s="74">
        <v>0.0</v>
      </c>
    </row>
    <row r="203" ht="15.75" customHeight="1">
      <c r="A203" s="7">
        <v>50103.0</v>
      </c>
      <c r="B203" s="7" t="s">
        <v>248</v>
      </c>
      <c r="C203" s="74">
        <v>0.0</v>
      </c>
      <c r="D203" s="74">
        <v>0.0</v>
      </c>
    </row>
    <row r="204" ht="15.75" customHeight="1">
      <c r="A204" s="7">
        <v>50104.0</v>
      </c>
      <c r="B204" s="7" t="s">
        <v>249</v>
      </c>
      <c r="C204" s="74">
        <v>0.0</v>
      </c>
      <c r="D204" s="74">
        <v>0.0</v>
      </c>
    </row>
    <row r="205" ht="15.75" customHeight="1">
      <c r="A205" s="7">
        <v>50201.0</v>
      </c>
      <c r="B205" s="7" t="s">
        <v>250</v>
      </c>
      <c r="C205" s="74">
        <v>0.0</v>
      </c>
      <c r="D205" s="74">
        <v>0.0</v>
      </c>
    </row>
    <row r="206" ht="15.75" customHeight="1">
      <c r="A206" s="7">
        <v>50202.0</v>
      </c>
      <c r="B206" s="7" t="s">
        <v>251</v>
      </c>
      <c r="C206" s="74">
        <v>0.0</v>
      </c>
      <c r="D206" s="74">
        <v>0.0</v>
      </c>
    </row>
    <row r="207" ht="15.75" customHeight="1">
      <c r="A207" s="7">
        <v>50203.0</v>
      </c>
      <c r="B207" s="7" t="s">
        <v>252</v>
      </c>
      <c r="C207" s="74">
        <v>0.0</v>
      </c>
      <c r="D207" s="74">
        <v>0.0</v>
      </c>
    </row>
    <row r="208" ht="15.75" customHeight="1">
      <c r="A208" s="7">
        <v>50204.0</v>
      </c>
      <c r="B208" s="7" t="s">
        <v>253</v>
      </c>
      <c r="C208" s="74">
        <v>0.0</v>
      </c>
      <c r="D208" s="74">
        <v>0.0</v>
      </c>
    </row>
    <row r="209" ht="15.75" customHeight="1">
      <c r="A209" s="7">
        <v>50301.0</v>
      </c>
      <c r="B209" s="7" t="s">
        <v>254</v>
      </c>
      <c r="C209" s="74">
        <v>0.0</v>
      </c>
      <c r="D209" s="74">
        <v>0.0</v>
      </c>
    </row>
    <row r="210" ht="15.75" customHeight="1">
      <c r="A210" s="7">
        <v>50302.0</v>
      </c>
      <c r="B210" s="7" t="s">
        <v>255</v>
      </c>
      <c r="C210" s="74">
        <v>0.0</v>
      </c>
      <c r="D210" s="74">
        <v>0.0</v>
      </c>
    </row>
    <row r="211" ht="15.75" customHeight="1">
      <c r="A211" s="7">
        <v>50303.0</v>
      </c>
      <c r="B211" s="7" t="s">
        <v>256</v>
      </c>
      <c r="C211" s="74">
        <v>0.0</v>
      </c>
      <c r="D211" s="74">
        <v>0.0</v>
      </c>
    </row>
    <row r="212" ht="15.75" customHeight="1">
      <c r="A212" s="7">
        <v>50401.0</v>
      </c>
      <c r="B212" s="7" t="s">
        <v>257</v>
      </c>
      <c r="C212" s="74">
        <v>0.0</v>
      </c>
      <c r="D212" s="74">
        <v>0.0</v>
      </c>
    </row>
    <row r="213" ht="15.75" customHeight="1">
      <c r="A213" s="7">
        <v>50402.0</v>
      </c>
      <c r="B213" s="7" t="s">
        <v>258</v>
      </c>
      <c r="C213" s="74">
        <v>0.0</v>
      </c>
      <c r="D213" s="74">
        <v>0.0</v>
      </c>
    </row>
    <row r="214" ht="15.75" customHeight="1">
      <c r="A214" s="7">
        <v>50403.0</v>
      </c>
      <c r="B214" s="7" t="s">
        <v>259</v>
      </c>
      <c r="C214" s="74">
        <v>0.0</v>
      </c>
      <c r="D214" s="74">
        <v>0.0</v>
      </c>
    </row>
    <row r="215" ht="15.75" customHeight="1">
      <c r="A215" s="7">
        <v>50404.0</v>
      </c>
      <c r="B215" s="7" t="s">
        <v>260</v>
      </c>
      <c r="C215" s="74">
        <v>0.0</v>
      </c>
      <c r="D215" s="74">
        <v>0.0</v>
      </c>
    </row>
    <row r="216" ht="15.75" customHeight="1">
      <c r="A216" s="7">
        <v>50405.0</v>
      </c>
      <c r="B216" s="7" t="s">
        <v>261</v>
      </c>
      <c r="C216" s="74">
        <v>0.0</v>
      </c>
      <c r="D216" s="74">
        <v>0.0</v>
      </c>
    </row>
    <row r="217" ht="15.75" customHeight="1">
      <c r="A217" s="7">
        <v>50501.0</v>
      </c>
      <c r="B217" s="7" t="s">
        <v>262</v>
      </c>
      <c r="C217" s="74">
        <v>0.0</v>
      </c>
      <c r="D217" s="74">
        <v>0.0</v>
      </c>
    </row>
    <row r="218" ht="15.75" customHeight="1">
      <c r="A218" s="7">
        <v>50502.0</v>
      </c>
      <c r="B218" s="7" t="s">
        <v>263</v>
      </c>
      <c r="C218" s="74">
        <v>0.0</v>
      </c>
      <c r="D218" s="74">
        <v>0.0</v>
      </c>
    </row>
    <row r="219" ht="15.75" customHeight="1">
      <c r="A219" s="7">
        <v>50601.0</v>
      </c>
      <c r="B219" s="7" t="s">
        <v>264</v>
      </c>
      <c r="C219" s="74">
        <v>0.0</v>
      </c>
      <c r="D219" s="74">
        <v>0.0</v>
      </c>
    </row>
    <row r="220" ht="15.75" customHeight="1">
      <c r="A220" s="7">
        <v>50602.0</v>
      </c>
      <c r="B220" s="7" t="s">
        <v>265</v>
      </c>
      <c r="C220" s="74">
        <v>0.0</v>
      </c>
      <c r="D220" s="74">
        <v>0.0</v>
      </c>
    </row>
    <row r="221" ht="15.75" customHeight="1">
      <c r="A221" s="7">
        <v>50701.0</v>
      </c>
      <c r="B221" s="7" t="s">
        <v>266</v>
      </c>
      <c r="C221" s="74">
        <v>0.0</v>
      </c>
      <c r="D221" s="74">
        <v>0.0</v>
      </c>
    </row>
    <row r="222" ht="15.75" customHeight="1">
      <c r="A222" s="7">
        <v>50702.0</v>
      </c>
      <c r="B222" s="7" t="s">
        <v>267</v>
      </c>
      <c r="C222" s="74">
        <v>0.0</v>
      </c>
      <c r="D222" s="74">
        <v>0.0</v>
      </c>
    </row>
    <row r="223" ht="15.75" customHeight="1">
      <c r="A223" s="7">
        <v>50801.0</v>
      </c>
      <c r="B223" s="7" t="s">
        <v>268</v>
      </c>
      <c r="C223" s="74">
        <v>0.0</v>
      </c>
      <c r="D223" s="74">
        <v>0.0</v>
      </c>
    </row>
    <row r="224" ht="15.75" customHeight="1">
      <c r="A224" s="7">
        <v>50802.0</v>
      </c>
      <c r="B224" s="7" t="s">
        <v>269</v>
      </c>
      <c r="C224" s="74">
        <v>0.0</v>
      </c>
      <c r="D224" s="74">
        <v>0.0</v>
      </c>
    </row>
    <row r="225" ht="15.75" customHeight="1">
      <c r="A225" s="7">
        <v>50901.0</v>
      </c>
      <c r="B225" s="7" t="s">
        <v>270</v>
      </c>
      <c r="C225" s="74">
        <v>0.0</v>
      </c>
      <c r="D225" s="74">
        <v>0.0</v>
      </c>
    </row>
    <row r="226" ht="15.75" customHeight="1">
      <c r="A226" s="7">
        <v>50902.0</v>
      </c>
      <c r="B226" s="7" t="s">
        <v>271</v>
      </c>
      <c r="C226" s="74">
        <v>0.0</v>
      </c>
      <c r="D226" s="74">
        <v>0.0</v>
      </c>
    </row>
    <row r="227" ht="15.75" customHeight="1">
      <c r="A227" s="7">
        <v>51001.0</v>
      </c>
      <c r="B227" s="7" t="s">
        <v>272</v>
      </c>
      <c r="C227" s="74">
        <v>0.0</v>
      </c>
      <c r="D227" s="74">
        <v>0.0</v>
      </c>
    </row>
    <row r="228" ht="15.75" customHeight="1">
      <c r="A228" s="7">
        <v>51002.0</v>
      </c>
      <c r="B228" s="7" t="s">
        <v>273</v>
      </c>
      <c r="C228" s="74">
        <v>0.0</v>
      </c>
      <c r="D228" s="74">
        <v>0.0</v>
      </c>
    </row>
    <row r="229" ht="15.75" customHeight="1">
      <c r="A229" s="7">
        <v>51003.0</v>
      </c>
      <c r="B229" s="7" t="s">
        <v>274</v>
      </c>
      <c r="C229" s="74">
        <v>0.0</v>
      </c>
      <c r="D229" s="74">
        <v>0.0</v>
      </c>
    </row>
    <row r="230" ht="15.75" customHeight="1">
      <c r="A230" s="7">
        <v>51101.0</v>
      </c>
      <c r="B230" s="7" t="s">
        <v>275</v>
      </c>
      <c r="C230" s="74">
        <v>0.0</v>
      </c>
      <c r="D230" s="74">
        <v>0.0</v>
      </c>
    </row>
    <row r="231" ht="15.75" customHeight="1">
      <c r="A231" s="7">
        <v>51102.0</v>
      </c>
      <c r="B231" s="7" t="s">
        <v>276</v>
      </c>
      <c r="C231" s="74">
        <v>0.0</v>
      </c>
      <c r="D231" s="74">
        <v>0.0</v>
      </c>
    </row>
    <row r="232" ht="15.75" customHeight="1">
      <c r="A232" s="7">
        <v>51103.0</v>
      </c>
      <c r="B232" s="7" t="s">
        <v>277</v>
      </c>
      <c r="C232" s="74">
        <v>0.0</v>
      </c>
      <c r="D232" s="74">
        <v>0.0</v>
      </c>
    </row>
    <row r="233" ht="15.75" customHeight="1">
      <c r="A233" s="7">
        <v>51201.0</v>
      </c>
      <c r="B233" s="7" t="s">
        <v>278</v>
      </c>
      <c r="C233" s="74">
        <v>0.0</v>
      </c>
      <c r="D233" s="74">
        <v>0.0</v>
      </c>
    </row>
    <row r="234" ht="15.75" customHeight="1">
      <c r="A234" s="7">
        <v>51202.0</v>
      </c>
      <c r="B234" s="7" t="s">
        <v>279</v>
      </c>
      <c r="C234" s="74">
        <v>0.0</v>
      </c>
      <c r="D234" s="74">
        <v>0.0</v>
      </c>
    </row>
    <row r="235" ht="15.75" customHeight="1">
      <c r="A235" s="7">
        <v>51203.0</v>
      </c>
      <c r="B235" s="7" t="s">
        <v>280</v>
      </c>
      <c r="C235" s="74">
        <v>0.0</v>
      </c>
      <c r="D235" s="74">
        <v>0.0</v>
      </c>
    </row>
    <row r="236" ht="15.75" customHeight="1">
      <c r="A236" s="7">
        <v>51204.0</v>
      </c>
      <c r="B236" s="7" t="s">
        <v>281</v>
      </c>
      <c r="C236" s="74">
        <v>0.0</v>
      </c>
      <c r="D236" s="74">
        <v>0.0</v>
      </c>
    </row>
    <row r="237" ht="15.75" customHeight="1">
      <c r="A237" s="7">
        <v>51301.0</v>
      </c>
      <c r="B237" s="7" t="s">
        <v>282</v>
      </c>
      <c r="C237" s="74">
        <v>0.0</v>
      </c>
      <c r="D237" s="74">
        <v>0.0</v>
      </c>
    </row>
    <row r="238" ht="15.75" customHeight="1">
      <c r="A238" s="7">
        <v>51302.0</v>
      </c>
      <c r="B238" s="7" t="s">
        <v>283</v>
      </c>
      <c r="C238" s="74">
        <v>0.0</v>
      </c>
      <c r="D238" s="74">
        <v>0.0</v>
      </c>
    </row>
    <row r="239" ht="15.75" customHeight="1">
      <c r="A239" s="7">
        <v>51401.0</v>
      </c>
      <c r="B239" s="7" t="s">
        <v>284</v>
      </c>
      <c r="C239" s="74">
        <v>0.0</v>
      </c>
      <c r="D239" s="74">
        <v>0.0</v>
      </c>
    </row>
    <row r="240" ht="15.75" customHeight="1">
      <c r="A240" s="7">
        <v>51402.0</v>
      </c>
      <c r="B240" s="7" t="s">
        <v>285</v>
      </c>
      <c r="C240" s="74">
        <v>0.0</v>
      </c>
      <c r="D240" s="74">
        <v>0.0</v>
      </c>
    </row>
    <row r="241" ht="15.75" customHeight="1">
      <c r="A241" s="7">
        <v>51501.0</v>
      </c>
      <c r="B241" s="7" t="s">
        <v>286</v>
      </c>
      <c r="C241" s="74">
        <v>0.0</v>
      </c>
      <c r="D241" s="74">
        <v>32.9</v>
      </c>
    </row>
    <row r="242" ht="15.75" customHeight="1">
      <c r="A242" s="7">
        <v>51601.0</v>
      </c>
      <c r="B242" s="7" t="s">
        <v>287</v>
      </c>
      <c r="C242" s="74">
        <v>0.0</v>
      </c>
      <c r="D242" s="74">
        <v>0.0</v>
      </c>
    </row>
    <row r="243" ht="15.75" customHeight="1">
      <c r="A243" s="7">
        <v>60101.0</v>
      </c>
      <c r="B243" s="7" t="s">
        <v>119</v>
      </c>
      <c r="C243" s="74">
        <v>104.6</v>
      </c>
      <c r="D243" s="74">
        <v>119.4</v>
      </c>
    </row>
    <row r="244" ht="15.75" customHeight="1">
      <c r="A244" s="7">
        <v>60201.0</v>
      </c>
      <c r="B244" s="7" t="s">
        <v>288</v>
      </c>
      <c r="C244" s="74">
        <v>0.0</v>
      </c>
      <c r="D244" s="74">
        <v>0.0</v>
      </c>
    </row>
    <row r="245" ht="15.75" customHeight="1">
      <c r="A245" s="7">
        <v>60202.0</v>
      </c>
      <c r="B245" s="7" t="s">
        <v>289</v>
      </c>
      <c r="C245" s="74">
        <v>87.5</v>
      </c>
      <c r="D245" s="74">
        <v>52.5</v>
      </c>
    </row>
    <row r="246" ht="15.75" customHeight="1">
      <c r="A246" s="7">
        <v>60301.0</v>
      </c>
      <c r="B246" s="7" t="s">
        <v>290</v>
      </c>
      <c r="C246" s="74">
        <v>126.13</v>
      </c>
      <c r="D246" s="74">
        <v>116.53</v>
      </c>
    </row>
    <row r="247" ht="15.75" customHeight="1">
      <c r="A247" s="7">
        <v>60302.0</v>
      </c>
      <c r="B247" s="7" t="s">
        <v>291</v>
      </c>
      <c r="C247" s="74">
        <v>0.0</v>
      </c>
      <c r="D247" s="74">
        <v>0.0</v>
      </c>
    </row>
    <row r="248" ht="15.75" customHeight="1">
      <c r="A248" s="7">
        <v>60303.0</v>
      </c>
      <c r="B248" s="7" t="s">
        <v>292</v>
      </c>
      <c r="C248" s="74">
        <v>0.0</v>
      </c>
      <c r="D248" s="74">
        <v>0.0</v>
      </c>
    </row>
    <row r="249" ht="15.75" customHeight="1">
      <c r="A249" s="7">
        <v>60401.0</v>
      </c>
      <c r="B249" s="7" t="s">
        <v>293</v>
      </c>
      <c r="C249" s="74">
        <v>0.0</v>
      </c>
      <c r="D249" s="74">
        <v>0.0</v>
      </c>
    </row>
    <row r="250" ht="15.75" customHeight="1">
      <c r="A250" s="7">
        <v>60402.0</v>
      </c>
      <c r="B250" s="7" t="s">
        <v>294</v>
      </c>
      <c r="C250" s="74">
        <v>0.0</v>
      </c>
      <c r="D250" s="74">
        <v>0.0</v>
      </c>
    </row>
    <row r="251" ht="15.75" customHeight="1">
      <c r="A251" s="7">
        <v>60501.0</v>
      </c>
      <c r="B251" s="7" t="s">
        <v>295</v>
      </c>
      <c r="C251" s="74">
        <v>0.0</v>
      </c>
      <c r="D251" s="74">
        <v>0.0</v>
      </c>
    </row>
    <row r="252" ht="15.75" customHeight="1">
      <c r="A252" s="7">
        <v>60502.0</v>
      </c>
      <c r="B252" s="7" t="s">
        <v>296</v>
      </c>
      <c r="C252" s="74">
        <v>0.0</v>
      </c>
      <c r="D252" s="74">
        <v>0.0</v>
      </c>
    </row>
    <row r="253" ht="15.75" customHeight="1">
      <c r="A253" s="7">
        <v>60601.0</v>
      </c>
      <c r="B253" s="7" t="s">
        <v>201</v>
      </c>
      <c r="C253" s="74">
        <v>0.0</v>
      </c>
      <c r="D253" s="74">
        <v>0.0</v>
      </c>
    </row>
    <row r="254" ht="15.75" customHeight="1">
      <c r="A254" s="7">
        <v>70101.0</v>
      </c>
      <c r="B254" s="7" t="s">
        <v>384</v>
      </c>
      <c r="C254" s="74">
        <v>82.7</v>
      </c>
      <c r="D254" s="74">
        <v>99.0</v>
      </c>
    </row>
    <row r="255" ht="15.75" customHeight="1">
      <c r="A255" s="7">
        <v>70102.0</v>
      </c>
      <c r="B255" s="7" t="s">
        <v>301</v>
      </c>
      <c r="C255" s="74">
        <v>75.0</v>
      </c>
      <c r="D255" s="74">
        <v>26.76</v>
      </c>
    </row>
    <row r="256" ht="15.75" customHeight="1">
      <c r="A256" s="7">
        <v>70103.0</v>
      </c>
      <c r="B256" s="7" t="s">
        <v>302</v>
      </c>
      <c r="C256" s="74">
        <v>0.0</v>
      </c>
      <c r="D256" s="74">
        <v>108.71</v>
      </c>
    </row>
    <row r="257" ht="15.75" customHeight="1">
      <c r="A257" s="7">
        <v>70104.0</v>
      </c>
      <c r="B257" s="7" t="s">
        <v>385</v>
      </c>
      <c r="C257" s="74">
        <v>0.0</v>
      </c>
      <c r="D257" s="74">
        <v>10.2</v>
      </c>
    </row>
    <row r="258" ht="15.75" customHeight="1">
      <c r="A258" s="7">
        <v>70105.0</v>
      </c>
      <c r="B258" s="7" t="s">
        <v>386</v>
      </c>
      <c r="C258" s="74">
        <v>48.3</v>
      </c>
      <c r="D258" s="74">
        <v>24.5</v>
      </c>
    </row>
    <row r="259" ht="15.75" customHeight="1">
      <c r="A259" s="7">
        <v>70201.0</v>
      </c>
      <c r="B259" s="7" t="s">
        <v>304</v>
      </c>
      <c r="C259" s="74">
        <v>77.25</v>
      </c>
      <c r="D259" s="74">
        <v>48.96</v>
      </c>
    </row>
    <row r="260" ht="15.75" customHeight="1">
      <c r="A260" s="7">
        <v>70202.0</v>
      </c>
      <c r="B260" s="7" t="s">
        <v>305</v>
      </c>
      <c r="C260" s="74">
        <v>0.0</v>
      </c>
      <c r="D260" s="74">
        <v>0.0</v>
      </c>
    </row>
    <row r="261" ht="15.75" customHeight="1">
      <c r="A261" s="7">
        <v>70301.0</v>
      </c>
      <c r="B261" s="7" t="s">
        <v>306</v>
      </c>
      <c r="C261" s="74">
        <v>33.94</v>
      </c>
      <c r="D261" s="74">
        <v>19.74</v>
      </c>
    </row>
    <row r="262" ht="15.75" customHeight="1">
      <c r="A262" s="7">
        <v>70302.0</v>
      </c>
      <c r="B262" s="7" t="s">
        <v>307</v>
      </c>
      <c r="C262" s="74">
        <v>0.0</v>
      </c>
      <c r="D262" s="74">
        <v>0.0</v>
      </c>
    </row>
    <row r="263" ht="15.75" customHeight="1">
      <c r="A263" s="7">
        <v>70303.0</v>
      </c>
      <c r="B263" s="7" t="s">
        <v>308</v>
      </c>
      <c r="C263" s="74">
        <v>0.0</v>
      </c>
      <c r="D263" s="74">
        <v>0.0</v>
      </c>
    </row>
    <row r="264" ht="15.75" customHeight="1">
      <c r="A264" s="7">
        <v>70401.0</v>
      </c>
      <c r="B264" s="7" t="s">
        <v>309</v>
      </c>
      <c r="C264" s="74">
        <v>0.0</v>
      </c>
      <c r="D264" s="74">
        <v>0.0</v>
      </c>
    </row>
    <row r="265" ht="15.75" customHeight="1">
      <c r="A265" s="7">
        <v>70402.0</v>
      </c>
      <c r="B265" s="7" t="s">
        <v>387</v>
      </c>
      <c r="C265" s="74">
        <v>0.0</v>
      </c>
      <c r="D265" s="74">
        <v>56.1</v>
      </c>
    </row>
    <row r="266" ht="15.75" customHeight="1">
      <c r="A266" s="7">
        <v>70403.0</v>
      </c>
      <c r="B266" s="7" t="s">
        <v>310</v>
      </c>
      <c r="C266" s="74">
        <v>27.82</v>
      </c>
      <c r="D266" s="74">
        <v>25.4</v>
      </c>
    </row>
    <row r="267" ht="15.75" customHeight="1">
      <c r="A267" s="7">
        <v>70404.0</v>
      </c>
      <c r="B267" s="7" t="s">
        <v>311</v>
      </c>
      <c r="C267" s="74">
        <v>0.0</v>
      </c>
      <c r="D267" s="74">
        <v>0.0</v>
      </c>
    </row>
    <row r="268" ht="15.75" customHeight="1">
      <c r="A268" s="7">
        <v>70501.0</v>
      </c>
      <c r="B268" s="7" t="s">
        <v>312</v>
      </c>
      <c r="C268" s="74">
        <v>0.0</v>
      </c>
      <c r="D268" s="74">
        <v>0.0</v>
      </c>
    </row>
    <row r="269" ht="15.75" customHeight="1">
      <c r="A269" s="7">
        <v>70502.0</v>
      </c>
      <c r="B269" s="7" t="s">
        <v>313</v>
      </c>
      <c r="C269" s="74">
        <v>0.0</v>
      </c>
      <c r="D269" s="74">
        <v>0.0</v>
      </c>
    </row>
    <row r="270" ht="15.75" customHeight="1">
      <c r="A270" s="7">
        <v>70503.0</v>
      </c>
      <c r="B270" s="7" t="s">
        <v>314</v>
      </c>
      <c r="C270" s="74">
        <v>0.0</v>
      </c>
      <c r="D270" s="74">
        <v>65.89</v>
      </c>
    </row>
    <row r="271" ht="15.75" customHeight="1">
      <c r="A271" s="7">
        <v>70601.0</v>
      </c>
      <c r="B271" s="7" t="s">
        <v>315</v>
      </c>
      <c r="C271" s="74">
        <v>0.0</v>
      </c>
      <c r="D271" s="74">
        <v>84.61</v>
      </c>
    </row>
    <row r="272" ht="15.75" customHeight="1">
      <c r="A272" s="7">
        <v>70602.0</v>
      </c>
      <c r="B272" s="7" t="s">
        <v>316</v>
      </c>
      <c r="C272" s="74">
        <v>0.0</v>
      </c>
      <c r="D272" s="74">
        <v>0.0</v>
      </c>
    </row>
    <row r="273" ht="15.75" customHeight="1">
      <c r="A273" s="7">
        <v>70603.0</v>
      </c>
      <c r="B273" s="7" t="s">
        <v>317</v>
      </c>
      <c r="C273" s="74">
        <v>0.0</v>
      </c>
      <c r="D273" s="74">
        <v>0.0</v>
      </c>
    </row>
    <row r="274" ht="15.75" customHeight="1">
      <c r="A274" s="7">
        <v>70701.0</v>
      </c>
      <c r="B274" s="7" t="s">
        <v>318</v>
      </c>
      <c r="C274" s="74">
        <v>0.0</v>
      </c>
      <c r="D274" s="74">
        <v>0.0</v>
      </c>
    </row>
    <row r="275" ht="15.75" customHeight="1">
      <c r="A275" s="7">
        <v>70702.0</v>
      </c>
      <c r="B275" s="7" t="s">
        <v>319</v>
      </c>
      <c r="C275" s="74">
        <v>0.0</v>
      </c>
      <c r="D275" s="74">
        <v>0.0</v>
      </c>
    </row>
    <row r="276" ht="15.75" customHeight="1">
      <c r="A276" s="7">
        <v>70703.0</v>
      </c>
      <c r="B276" s="7" t="s">
        <v>320</v>
      </c>
      <c r="C276" s="74">
        <v>0.0</v>
      </c>
      <c r="D276" s="74">
        <v>0.0</v>
      </c>
    </row>
    <row r="277" ht="15.75" customHeight="1">
      <c r="A277" s="7">
        <v>70704.0</v>
      </c>
      <c r="B277" s="7" t="s">
        <v>321</v>
      </c>
      <c r="C277" s="74">
        <v>0.0</v>
      </c>
      <c r="D277" s="74">
        <v>0.0</v>
      </c>
    </row>
    <row r="278" ht="15.75" customHeight="1">
      <c r="A278" s="7">
        <v>70705.0</v>
      </c>
      <c r="B278" s="7" t="s">
        <v>322</v>
      </c>
      <c r="C278" s="74">
        <v>0.0</v>
      </c>
      <c r="D278" s="74">
        <v>0.0</v>
      </c>
    </row>
    <row r="279" ht="15.75" customHeight="1">
      <c r="A279" s="7">
        <v>70706.0</v>
      </c>
      <c r="B279" s="7" t="s">
        <v>323</v>
      </c>
      <c r="C279" s="74">
        <v>0.0</v>
      </c>
      <c r="D279" s="74">
        <v>0.0</v>
      </c>
    </row>
    <row r="280" ht="15.75" customHeight="1">
      <c r="A280" s="7">
        <v>70707.0</v>
      </c>
      <c r="B280" s="7" t="s">
        <v>324</v>
      </c>
      <c r="C280" s="74">
        <v>0.0</v>
      </c>
      <c r="D280" s="74">
        <v>0.0</v>
      </c>
    </row>
    <row r="281" ht="15.75" customHeight="1">
      <c r="A281" s="7">
        <v>70801.0</v>
      </c>
      <c r="B281" s="7" t="s">
        <v>325</v>
      </c>
      <c r="C281" s="74">
        <v>0.0</v>
      </c>
      <c r="D281" s="74">
        <v>107.31</v>
      </c>
    </row>
    <row r="282" ht="15.75" customHeight="1">
      <c r="A282" s="7">
        <v>70802.0</v>
      </c>
      <c r="B282" s="7" t="s">
        <v>326</v>
      </c>
      <c r="C282" s="74">
        <v>0.0</v>
      </c>
      <c r="D282" s="74">
        <v>0.0</v>
      </c>
    </row>
    <row r="283" ht="15.75" customHeight="1">
      <c r="A283" s="7">
        <v>70803.0</v>
      </c>
      <c r="B283" s="7" t="s">
        <v>327</v>
      </c>
      <c r="C283" s="74">
        <v>0.0</v>
      </c>
      <c r="D283" s="74">
        <v>0.0</v>
      </c>
    </row>
    <row r="284" ht="15.75" customHeight="1">
      <c r="A284" s="7">
        <v>70804.0</v>
      </c>
      <c r="B284" s="7" t="s">
        <v>328</v>
      </c>
      <c r="C284" s="74">
        <v>0.0</v>
      </c>
      <c r="D284" s="74">
        <v>0.0</v>
      </c>
    </row>
    <row r="285" ht="15.75" customHeight="1">
      <c r="A285" s="7">
        <v>70805.0</v>
      </c>
      <c r="B285" s="7" t="s">
        <v>329</v>
      </c>
      <c r="C285" s="74">
        <v>0.0</v>
      </c>
      <c r="D285" s="74">
        <v>0.0</v>
      </c>
    </row>
    <row r="286" ht="15.75" customHeight="1">
      <c r="A286" s="7">
        <v>70901.0</v>
      </c>
      <c r="B286" s="7" t="s">
        <v>330</v>
      </c>
      <c r="C286" s="74">
        <v>0.0</v>
      </c>
      <c r="D286" s="74">
        <v>0.0</v>
      </c>
    </row>
    <row r="287" ht="15.75" customHeight="1">
      <c r="A287" s="7">
        <v>70902.0</v>
      </c>
      <c r="B287" s="7" t="s">
        <v>331</v>
      </c>
      <c r="C287" s="74">
        <v>0.0</v>
      </c>
      <c r="D287" s="74">
        <v>0.0</v>
      </c>
    </row>
    <row r="288" ht="15.75" customHeight="1">
      <c r="A288" s="7">
        <v>70903.0</v>
      </c>
      <c r="B288" s="7" t="s">
        <v>332</v>
      </c>
      <c r="C288" s="74">
        <v>0.0</v>
      </c>
      <c r="D288" s="74">
        <v>22.65</v>
      </c>
    </row>
    <row r="289" ht="15.75" customHeight="1">
      <c r="A289" s="7">
        <v>70904.0</v>
      </c>
      <c r="B289" s="7" t="s">
        <v>333</v>
      </c>
      <c r="C289" s="74">
        <v>0.0</v>
      </c>
      <c r="D289" s="74">
        <v>0.0</v>
      </c>
    </row>
    <row r="290" ht="15.75" customHeight="1">
      <c r="A290" s="7">
        <v>71001.0</v>
      </c>
      <c r="B290" s="7" t="s">
        <v>334</v>
      </c>
      <c r="C290" s="74">
        <v>130.2</v>
      </c>
      <c r="D290" s="74">
        <v>8.99</v>
      </c>
    </row>
    <row r="291" ht="15.75" customHeight="1">
      <c r="A291" s="7">
        <v>71002.0</v>
      </c>
      <c r="B291" s="7" t="s">
        <v>336</v>
      </c>
      <c r="C291" s="74">
        <v>0.0</v>
      </c>
      <c r="D291" s="74">
        <v>0.0</v>
      </c>
    </row>
    <row r="292" ht="15.75" customHeight="1">
      <c r="A292" s="7">
        <v>71003.0</v>
      </c>
      <c r="B292" s="7" t="s">
        <v>337</v>
      </c>
      <c r="C292" s="74">
        <v>0.0</v>
      </c>
      <c r="D292" s="74">
        <v>74.72</v>
      </c>
    </row>
    <row r="293" ht="15.75" customHeight="1">
      <c r="A293" s="7">
        <v>71004.0</v>
      </c>
      <c r="B293" s="7" t="s">
        <v>388</v>
      </c>
      <c r="C293" s="74">
        <v>0.0</v>
      </c>
      <c r="D293" s="74">
        <v>49.3</v>
      </c>
    </row>
    <row r="294" ht="15.75" customHeight="1">
      <c r="A294" s="7">
        <v>71005.0</v>
      </c>
      <c r="B294" s="7" t="s">
        <v>262</v>
      </c>
      <c r="C294" s="74">
        <v>0.0</v>
      </c>
      <c r="D294" s="74">
        <v>0.0</v>
      </c>
    </row>
    <row r="295" ht="15.75" customHeight="1">
      <c r="A295" s="7">
        <v>71101.0</v>
      </c>
      <c r="B295" s="7" t="s">
        <v>338</v>
      </c>
      <c r="C295" s="74">
        <v>0.0</v>
      </c>
      <c r="D295" s="74">
        <v>0.0</v>
      </c>
    </row>
    <row r="296" ht="15.75" customHeight="1">
      <c r="A296" s="7">
        <v>71102.0</v>
      </c>
      <c r="B296" s="7" t="s">
        <v>339</v>
      </c>
      <c r="C296" s="74">
        <v>0.0</v>
      </c>
      <c r="D296" s="74">
        <v>0.0</v>
      </c>
    </row>
    <row r="297" ht="15.75" customHeight="1">
      <c r="A297" s="7">
        <v>71103.0</v>
      </c>
      <c r="B297" s="7" t="s">
        <v>342</v>
      </c>
      <c r="C297" s="74">
        <v>0.0</v>
      </c>
      <c r="D297" s="74">
        <v>0.0</v>
      </c>
    </row>
    <row r="298" ht="15.75" customHeight="1">
      <c r="A298" s="7">
        <v>71104.0</v>
      </c>
      <c r="B298" s="7" t="s">
        <v>340</v>
      </c>
      <c r="C298" s="74">
        <v>0.0</v>
      </c>
      <c r="D298" s="74">
        <v>0.0</v>
      </c>
    </row>
    <row r="299" ht="15.75" customHeight="1">
      <c r="A299" s="7">
        <v>71105.0</v>
      </c>
      <c r="B299" s="7" t="s">
        <v>341</v>
      </c>
      <c r="C299" s="74">
        <v>0.0</v>
      </c>
      <c r="D299" s="74">
        <v>0.0</v>
      </c>
    </row>
    <row r="300" ht="15.75" customHeight="1">
      <c r="A300" s="7">
        <v>71106.0</v>
      </c>
      <c r="B300" s="7" t="s">
        <v>343</v>
      </c>
      <c r="C300" s="74">
        <v>0.0</v>
      </c>
      <c r="D300" s="74">
        <v>87.19</v>
      </c>
    </row>
    <row r="301" ht="15.75" customHeight="1">
      <c r="A301" s="7">
        <v>71201.0</v>
      </c>
      <c r="B301" s="7" t="s">
        <v>344</v>
      </c>
      <c r="C301" s="74">
        <v>0.0</v>
      </c>
      <c r="D301" s="74">
        <v>0.0</v>
      </c>
    </row>
    <row r="302" ht="15.75" customHeight="1">
      <c r="A302" s="7">
        <v>71301.0</v>
      </c>
      <c r="B302" s="7" t="s">
        <v>345</v>
      </c>
      <c r="C302" s="74">
        <v>0.0</v>
      </c>
      <c r="D302" s="74">
        <v>0.0</v>
      </c>
    </row>
    <row r="303" ht="15.75" customHeight="1">
      <c r="A303" s="7">
        <v>71302.0</v>
      </c>
      <c r="B303" s="7" t="s">
        <v>346</v>
      </c>
      <c r="C303" s="74">
        <v>0.0</v>
      </c>
      <c r="D303" s="74">
        <v>0.0</v>
      </c>
    </row>
    <row r="304" ht="15.75" customHeight="1">
      <c r="A304" s="7">
        <v>71401.0</v>
      </c>
      <c r="B304" s="7" t="s">
        <v>347</v>
      </c>
      <c r="C304" s="74">
        <v>0.0</v>
      </c>
      <c r="D304" s="74">
        <v>0.0</v>
      </c>
    </row>
    <row r="305" ht="15.75" customHeight="1">
      <c r="A305" s="7">
        <v>71402.0</v>
      </c>
      <c r="B305" s="7" t="s">
        <v>348</v>
      </c>
      <c r="C305" s="74">
        <v>0.0</v>
      </c>
      <c r="D305" s="74">
        <v>0.0</v>
      </c>
    </row>
    <row r="306" ht="15.75" customHeight="1">
      <c r="A306" s="7">
        <v>71403.0</v>
      </c>
      <c r="B306" s="7" t="s">
        <v>349</v>
      </c>
      <c r="C306" s="74">
        <v>0.0</v>
      </c>
      <c r="D306" s="74">
        <v>0.0</v>
      </c>
    </row>
    <row r="307" ht="15.75" customHeight="1">
      <c r="A307" s="7">
        <v>71501.0</v>
      </c>
      <c r="B307" s="7" t="s">
        <v>350</v>
      </c>
      <c r="C307" s="74">
        <v>0.0</v>
      </c>
      <c r="D307" s="74">
        <v>0.0</v>
      </c>
    </row>
    <row r="308" ht="15.75" customHeight="1">
      <c r="A308" s="7">
        <v>71502.0</v>
      </c>
      <c r="B308" s="7" t="s">
        <v>351</v>
      </c>
      <c r="C308" s="74">
        <v>0.0</v>
      </c>
      <c r="D308" s="74">
        <v>0.0</v>
      </c>
    </row>
    <row r="309" ht="15.75" customHeight="1">
      <c r="A309" s="7">
        <v>71503.0</v>
      </c>
      <c r="B309" s="7" t="s">
        <v>296</v>
      </c>
      <c r="C309" s="74">
        <v>0.0</v>
      </c>
      <c r="D309" s="74">
        <v>0.0</v>
      </c>
    </row>
    <row r="310" ht="15.75" customHeight="1">
      <c r="A310" s="7">
        <v>80101.0</v>
      </c>
      <c r="B310" s="7" t="s">
        <v>352</v>
      </c>
      <c r="C310" s="74">
        <v>170.49</v>
      </c>
      <c r="D310" s="74">
        <v>198.04</v>
      </c>
    </row>
    <row r="311" ht="15.75" customHeight="1">
      <c r="A311" s="7">
        <v>80102.0</v>
      </c>
      <c r="B311" s="7" t="s">
        <v>339</v>
      </c>
      <c r="C311" s="74">
        <v>0.0</v>
      </c>
      <c r="D311" s="74">
        <v>0.0</v>
      </c>
    </row>
    <row r="312" ht="15.75" customHeight="1">
      <c r="A312" s="7">
        <v>80201.0</v>
      </c>
      <c r="B312" s="7" t="s">
        <v>353</v>
      </c>
      <c r="C312" s="74">
        <v>0.0</v>
      </c>
      <c r="D312" s="74">
        <v>0.0</v>
      </c>
    </row>
    <row r="313" ht="15.75" customHeight="1">
      <c r="A313" s="7">
        <v>80202.0</v>
      </c>
      <c r="B313" s="7" t="s">
        <v>354</v>
      </c>
      <c r="C313" s="74">
        <v>0.0</v>
      </c>
      <c r="D313" s="74">
        <v>0.0</v>
      </c>
    </row>
    <row r="314" ht="15.75" customHeight="1">
      <c r="A314" s="7">
        <v>80301.0</v>
      </c>
      <c r="B314" s="7" t="s">
        <v>355</v>
      </c>
      <c r="C314" s="74">
        <v>0.0</v>
      </c>
      <c r="D314" s="74">
        <v>0.0</v>
      </c>
    </row>
    <row r="315" ht="15.75" customHeight="1">
      <c r="A315" s="7">
        <v>80302.0</v>
      </c>
      <c r="B315" s="7" t="s">
        <v>356</v>
      </c>
      <c r="C315" s="74">
        <v>0.0</v>
      </c>
      <c r="D315" s="74">
        <v>0.0</v>
      </c>
    </row>
    <row r="316" ht="15.75" customHeight="1">
      <c r="A316" s="7">
        <v>80303.0</v>
      </c>
      <c r="B316" s="7" t="s">
        <v>316</v>
      </c>
      <c r="C316" s="74">
        <v>0.0</v>
      </c>
      <c r="D316" s="74">
        <v>0.0</v>
      </c>
    </row>
    <row r="317" ht="15.75" customHeight="1">
      <c r="A317" s="7">
        <v>80304.0</v>
      </c>
      <c r="B317" s="7" t="s">
        <v>357</v>
      </c>
      <c r="C317" s="74">
        <v>0.0</v>
      </c>
      <c r="D317" s="74">
        <v>0.0</v>
      </c>
    </row>
    <row r="318" ht="15.75" customHeight="1">
      <c r="A318" s="7">
        <v>80401.0</v>
      </c>
      <c r="B318" s="7" t="s">
        <v>358</v>
      </c>
      <c r="C318" s="74">
        <v>0.0</v>
      </c>
      <c r="D318" s="74">
        <v>0.0</v>
      </c>
    </row>
    <row r="319" ht="15.75" customHeight="1">
      <c r="A319" s="7">
        <v>80402.0</v>
      </c>
      <c r="B319" s="7" t="s">
        <v>359</v>
      </c>
      <c r="C319" s="74">
        <v>0.0</v>
      </c>
      <c r="D319" s="74">
        <v>0.0</v>
      </c>
    </row>
    <row r="320" ht="15.75" customHeight="1">
      <c r="A320" s="7">
        <v>80501.0</v>
      </c>
      <c r="B320" s="7" t="s">
        <v>306</v>
      </c>
      <c r="C320" s="74">
        <v>0.0</v>
      </c>
      <c r="D320" s="74">
        <v>0.0</v>
      </c>
    </row>
    <row r="321" ht="15.75" customHeight="1">
      <c r="A321" s="7">
        <v>80601.0</v>
      </c>
      <c r="B321" s="7" t="s">
        <v>360</v>
      </c>
      <c r="C321" s="74">
        <v>0.0</v>
      </c>
      <c r="D321" s="74">
        <v>0.0</v>
      </c>
    </row>
    <row r="322" ht="15.75" customHeight="1">
      <c r="A322" s="7">
        <v>80602.0</v>
      </c>
      <c r="B322" s="7" t="s">
        <v>361</v>
      </c>
      <c r="C322" s="74">
        <v>0.0</v>
      </c>
      <c r="D322" s="74">
        <v>0.0</v>
      </c>
    </row>
    <row r="323" ht="15.75" customHeight="1">
      <c r="A323" s="7">
        <v>80701.0</v>
      </c>
      <c r="B323" s="7" t="s">
        <v>362</v>
      </c>
      <c r="C323" s="74">
        <v>0.0</v>
      </c>
      <c r="D323" s="74">
        <v>0.0</v>
      </c>
    </row>
    <row r="324" ht="15.75" customHeight="1">
      <c r="A324" s="7">
        <v>80702.0</v>
      </c>
      <c r="B324" s="7" t="s">
        <v>342</v>
      </c>
      <c r="C324" s="74">
        <v>0.0</v>
      </c>
      <c r="D324" s="74">
        <v>0.0</v>
      </c>
    </row>
    <row r="325" ht="15.75" customHeight="1">
      <c r="A325" s="7">
        <v>80703.0</v>
      </c>
      <c r="B325" s="7" t="s">
        <v>363</v>
      </c>
      <c r="C325" s="74">
        <v>0.0</v>
      </c>
      <c r="D325" s="74">
        <v>0.0</v>
      </c>
    </row>
    <row r="326" ht="15.75" customHeight="1">
      <c r="A326" s="7">
        <v>80801.0</v>
      </c>
      <c r="B326" s="7" t="s">
        <v>364</v>
      </c>
      <c r="C326" s="74">
        <v>0.0</v>
      </c>
      <c r="D326" s="74">
        <v>0.0</v>
      </c>
    </row>
    <row r="327" ht="15.75" customHeight="1">
      <c r="A327" s="7">
        <v>80802.0</v>
      </c>
      <c r="B327" s="7" t="s">
        <v>365</v>
      </c>
      <c r="C327" s="74">
        <v>0.0</v>
      </c>
      <c r="D327" s="74">
        <v>0.0</v>
      </c>
    </row>
    <row r="328" ht="15.75" customHeight="1">
      <c r="A328" s="7">
        <v>80803.0</v>
      </c>
      <c r="B328" s="7" t="s">
        <v>366</v>
      </c>
      <c r="C328" s="74">
        <v>0.0</v>
      </c>
      <c r="D328" s="74">
        <v>0.0</v>
      </c>
    </row>
    <row r="329" ht="15.75" customHeight="1">
      <c r="A329" s="7">
        <v>80901.0</v>
      </c>
      <c r="B329" s="7" t="s">
        <v>367</v>
      </c>
      <c r="C329" s="74">
        <v>0.0</v>
      </c>
      <c r="D329" s="74">
        <v>0.0</v>
      </c>
    </row>
    <row r="330" ht="15.75" customHeight="1">
      <c r="A330" s="7">
        <v>90101.0</v>
      </c>
      <c r="B330" s="7" t="s">
        <v>368</v>
      </c>
      <c r="C330" s="74">
        <v>0.0</v>
      </c>
      <c r="D330" s="74">
        <v>0.0</v>
      </c>
    </row>
    <row r="331" ht="15.75" customHeight="1">
      <c r="A331" s="7">
        <v>90102.0</v>
      </c>
      <c r="B331" s="7" t="s">
        <v>369</v>
      </c>
      <c r="C331" s="74">
        <v>0.0</v>
      </c>
      <c r="D331" s="74">
        <v>0.0</v>
      </c>
    </row>
    <row r="332" ht="15.75" customHeight="1">
      <c r="A332" s="7">
        <v>90103.0</v>
      </c>
      <c r="B332" s="7" t="s">
        <v>370</v>
      </c>
      <c r="C332" s="74">
        <v>0.0</v>
      </c>
      <c r="D332" s="74">
        <v>0.0</v>
      </c>
    </row>
    <row r="333" ht="15.75" customHeight="1">
      <c r="A333" s="7">
        <v>90104.0</v>
      </c>
      <c r="B333" s="7" t="s">
        <v>371</v>
      </c>
      <c r="C333" s="74">
        <v>0.0</v>
      </c>
      <c r="D333" s="74">
        <v>0.0</v>
      </c>
    </row>
    <row r="334" ht="15.75" customHeight="1">
      <c r="A334" s="7">
        <v>90201.0</v>
      </c>
      <c r="B334" s="7" t="s">
        <v>372</v>
      </c>
      <c r="C334" s="74">
        <v>0.0</v>
      </c>
      <c r="D334" s="74">
        <v>0.0</v>
      </c>
    </row>
    <row r="335" ht="15.75" customHeight="1">
      <c r="A335" s="7">
        <v>90202.0</v>
      </c>
      <c r="B335" s="7" t="s">
        <v>262</v>
      </c>
      <c r="C335" s="74">
        <v>0.0</v>
      </c>
      <c r="D335" s="74">
        <v>0.0</v>
      </c>
    </row>
    <row r="336" ht="15.75" customHeight="1">
      <c r="A336" s="7">
        <v>90203.0</v>
      </c>
      <c r="B336" s="7" t="s">
        <v>373</v>
      </c>
      <c r="C336" s="74">
        <v>0.0</v>
      </c>
      <c r="D336" s="74">
        <v>0.0</v>
      </c>
    </row>
    <row r="337" ht="15.75" customHeight="1">
      <c r="A337" s="7">
        <v>90301.0</v>
      </c>
      <c r="B337" s="7" t="s">
        <v>374</v>
      </c>
      <c r="C337" s="74">
        <v>0.0</v>
      </c>
      <c r="D337" s="74">
        <v>0.0</v>
      </c>
    </row>
    <row r="338" ht="15.75" customHeight="1">
      <c r="A338" s="7">
        <v>90302.0</v>
      </c>
      <c r="B338" s="7" t="s">
        <v>295</v>
      </c>
      <c r="C338" s="74">
        <v>0.0</v>
      </c>
      <c r="D338" s="74">
        <v>0.0</v>
      </c>
    </row>
    <row r="339" ht="15.75" customHeight="1">
      <c r="A339" s="7">
        <v>90303.0</v>
      </c>
      <c r="B339" s="7" t="s">
        <v>375</v>
      </c>
      <c r="C339" s="74">
        <v>0.0</v>
      </c>
      <c r="D339" s="74">
        <v>0.0</v>
      </c>
    </row>
    <row r="340" ht="15.75" customHeight="1">
      <c r="A340" s="7">
        <v>90401.0</v>
      </c>
      <c r="B340" s="7" t="s">
        <v>316</v>
      </c>
      <c r="C340" s="74">
        <v>0.0</v>
      </c>
      <c r="D340" s="74">
        <v>0.0</v>
      </c>
    </row>
    <row r="341" ht="15.75" customHeight="1">
      <c r="A341" s="7">
        <v>90402.0</v>
      </c>
      <c r="B341" s="7" t="s">
        <v>376</v>
      </c>
      <c r="C341" s="74">
        <v>0.0</v>
      </c>
      <c r="D341" s="74">
        <v>0.0</v>
      </c>
    </row>
    <row r="342" ht="15.75" customHeight="1">
      <c r="A342" s="7">
        <v>90501.0</v>
      </c>
      <c r="B342" s="7" t="s">
        <v>377</v>
      </c>
      <c r="C342" s="74">
        <v>0.0</v>
      </c>
      <c r="D342" s="74">
        <v>0.0</v>
      </c>
    </row>
    <row r="343" ht="15.75" customHeight="1">
      <c r="A343" s="7">
        <v>90502.0</v>
      </c>
      <c r="B343" s="7" t="s">
        <v>378</v>
      </c>
      <c r="C343" s="74">
        <v>0.0</v>
      </c>
      <c r="D343" s="74">
        <v>0.0</v>
      </c>
    </row>
    <row r="344" ht="15.75" customHeight="1">
      <c r="A344" s="7">
        <v>90503.0</v>
      </c>
      <c r="B344" s="7" t="s">
        <v>379</v>
      </c>
      <c r="C344" s="74">
        <v>0.0</v>
      </c>
      <c r="D344" s="74">
        <v>0.0</v>
      </c>
    </row>
    <row r="345" ht="15.75" customHeight="1">
      <c r="C345" s="75"/>
      <c r="D345" s="75"/>
    </row>
    <row r="346" ht="15.75" customHeight="1">
      <c r="C346" s="75"/>
      <c r="D346" s="75"/>
    </row>
    <row r="347" ht="15.75" customHeight="1">
      <c r="C347" s="75"/>
      <c r="D347" s="75"/>
    </row>
    <row r="348" ht="15.75" customHeight="1">
      <c r="C348" s="75"/>
      <c r="D348" s="75"/>
    </row>
    <row r="349" ht="15.75" customHeight="1">
      <c r="C349" s="75"/>
      <c r="D349" s="75"/>
    </row>
    <row r="350" ht="15.75" customHeight="1">
      <c r="C350" s="75"/>
      <c r="D350" s="75"/>
    </row>
    <row r="351" ht="15.75" customHeight="1">
      <c r="C351" s="75"/>
      <c r="D351" s="75"/>
    </row>
    <row r="352" ht="15.75" customHeight="1">
      <c r="C352" s="75"/>
      <c r="D352" s="75"/>
    </row>
    <row r="353" ht="15.75" customHeight="1">
      <c r="C353" s="75"/>
      <c r="D353" s="75"/>
    </row>
    <row r="354" ht="15.75" customHeight="1">
      <c r="C354" s="75"/>
      <c r="D354" s="75"/>
    </row>
    <row r="355" ht="15.75" customHeight="1">
      <c r="C355" s="75"/>
      <c r="D355" s="75"/>
    </row>
    <row r="356" ht="15.75" customHeight="1">
      <c r="C356" s="75"/>
      <c r="D356" s="75"/>
    </row>
    <row r="357" ht="15.75" customHeight="1">
      <c r="C357" s="75"/>
      <c r="D357" s="75"/>
    </row>
    <row r="358" ht="15.75" customHeight="1">
      <c r="C358" s="75"/>
      <c r="D358" s="75"/>
    </row>
    <row r="359" ht="15.75" customHeight="1">
      <c r="C359" s="75"/>
      <c r="D359" s="75"/>
    </row>
    <row r="360" ht="15.75" customHeight="1">
      <c r="C360" s="75"/>
      <c r="D360" s="75"/>
    </row>
    <row r="361" ht="15.75" customHeight="1">
      <c r="C361" s="75"/>
      <c r="D361" s="75"/>
    </row>
    <row r="362" ht="15.75" customHeight="1">
      <c r="C362" s="75"/>
      <c r="D362" s="75"/>
    </row>
    <row r="363" ht="15.75" customHeight="1">
      <c r="C363" s="75"/>
      <c r="D363" s="75"/>
    </row>
    <row r="364" ht="15.75" customHeight="1">
      <c r="C364" s="75"/>
      <c r="D364" s="75"/>
    </row>
    <row r="365" ht="15.75" customHeight="1">
      <c r="C365" s="75"/>
      <c r="D365" s="75"/>
    </row>
    <row r="366" ht="15.75" customHeight="1">
      <c r="C366" s="75"/>
      <c r="D366" s="75"/>
    </row>
    <row r="367" ht="15.75" customHeight="1">
      <c r="C367" s="75"/>
      <c r="D367" s="75"/>
    </row>
    <row r="368" ht="15.75" customHeight="1">
      <c r="C368" s="75"/>
      <c r="D368" s="75"/>
    </row>
    <row r="369" ht="15.75" customHeight="1">
      <c r="C369" s="75"/>
      <c r="D369" s="75"/>
    </row>
    <row r="370" ht="15.75" customHeight="1">
      <c r="C370" s="75"/>
      <c r="D370" s="75"/>
    </row>
    <row r="371" ht="15.75" customHeight="1">
      <c r="C371" s="75"/>
      <c r="D371" s="75"/>
    </row>
    <row r="372" ht="15.75" customHeight="1">
      <c r="C372" s="75"/>
      <c r="D372" s="75"/>
    </row>
    <row r="373" ht="15.75" customHeight="1">
      <c r="C373" s="75"/>
      <c r="D373" s="75"/>
    </row>
    <row r="374" ht="15.75" customHeight="1">
      <c r="C374" s="75"/>
      <c r="D374" s="75"/>
    </row>
    <row r="375" ht="15.75" customHeight="1">
      <c r="C375" s="75"/>
      <c r="D375" s="75"/>
    </row>
    <row r="376" ht="15.75" customHeight="1">
      <c r="C376" s="75"/>
      <c r="D376" s="75"/>
    </row>
    <row r="377" ht="15.75" customHeight="1">
      <c r="C377" s="75"/>
      <c r="D377" s="75"/>
    </row>
    <row r="378" ht="15.75" customHeight="1">
      <c r="C378" s="75"/>
      <c r="D378" s="75"/>
    </row>
    <row r="379" ht="15.75" customHeight="1">
      <c r="C379" s="75"/>
      <c r="D379" s="75"/>
    </row>
    <row r="380" ht="15.75" customHeight="1">
      <c r="C380" s="75"/>
      <c r="D380" s="75"/>
    </row>
    <row r="381" ht="15.75" customHeight="1">
      <c r="C381" s="75"/>
      <c r="D381" s="75"/>
    </row>
    <row r="382" ht="15.75" customHeight="1">
      <c r="C382" s="75"/>
      <c r="D382" s="75"/>
    </row>
    <row r="383" ht="15.75" customHeight="1">
      <c r="C383" s="75"/>
      <c r="D383" s="75"/>
    </row>
    <row r="384" ht="15.75" customHeight="1">
      <c r="C384" s="75"/>
      <c r="D384" s="75"/>
    </row>
    <row r="385" ht="15.75" customHeight="1">
      <c r="C385" s="75"/>
      <c r="D385" s="75"/>
    </row>
    <row r="386" ht="15.75" customHeight="1">
      <c r="C386" s="75"/>
      <c r="D386" s="75"/>
    </row>
    <row r="387" ht="15.75" customHeight="1">
      <c r="C387" s="75"/>
      <c r="D387" s="75"/>
    </row>
    <row r="388" ht="15.75" customHeight="1">
      <c r="C388" s="75"/>
      <c r="D388" s="75"/>
    </row>
    <row r="389" ht="15.75" customHeight="1">
      <c r="C389" s="75"/>
      <c r="D389" s="75"/>
    </row>
    <row r="390" ht="15.75" customHeight="1">
      <c r="C390" s="75"/>
      <c r="D390" s="75"/>
    </row>
    <row r="391" ht="15.75" customHeight="1">
      <c r="C391" s="75"/>
      <c r="D391" s="75"/>
    </row>
    <row r="392" ht="15.75" customHeight="1">
      <c r="C392" s="75"/>
      <c r="D392" s="75"/>
    </row>
    <row r="393" ht="15.75" customHeight="1">
      <c r="C393" s="75"/>
      <c r="D393" s="75"/>
    </row>
    <row r="394" ht="15.75" customHeight="1">
      <c r="C394" s="75"/>
      <c r="D394" s="75"/>
    </row>
    <row r="395" ht="15.75" customHeight="1">
      <c r="C395" s="75"/>
      <c r="D395" s="75"/>
    </row>
    <row r="396" ht="15.75" customHeight="1">
      <c r="C396" s="75"/>
      <c r="D396" s="75"/>
    </row>
    <row r="397" ht="15.75" customHeight="1">
      <c r="C397" s="75"/>
      <c r="D397" s="75"/>
    </row>
    <row r="398" ht="15.75" customHeight="1">
      <c r="C398" s="75"/>
      <c r="D398" s="75"/>
    </row>
    <row r="399" ht="15.75" customHeight="1">
      <c r="C399" s="75"/>
      <c r="D399" s="75"/>
    </row>
    <row r="400" ht="15.75" customHeight="1">
      <c r="C400" s="75"/>
      <c r="D400" s="75"/>
    </row>
    <row r="401" ht="15.75" customHeight="1">
      <c r="C401" s="75"/>
      <c r="D401" s="75"/>
    </row>
    <row r="402" ht="15.75" customHeight="1">
      <c r="C402" s="75"/>
      <c r="D402" s="75"/>
    </row>
    <row r="403" ht="15.75" customHeight="1">
      <c r="C403" s="75"/>
      <c r="D403" s="75"/>
    </row>
    <row r="404" ht="15.75" customHeight="1">
      <c r="C404" s="75"/>
      <c r="D404" s="75"/>
    </row>
    <row r="405" ht="15.75" customHeight="1">
      <c r="C405" s="75"/>
      <c r="D405" s="75"/>
    </row>
    <row r="406" ht="15.75" customHeight="1">
      <c r="C406" s="75"/>
      <c r="D406" s="75"/>
    </row>
    <row r="407" ht="15.75" customHeight="1">
      <c r="C407" s="75"/>
      <c r="D407" s="75"/>
    </row>
    <row r="408" ht="15.75" customHeight="1">
      <c r="C408" s="75"/>
      <c r="D408" s="75"/>
    </row>
    <row r="409" ht="15.75" customHeight="1">
      <c r="C409" s="75"/>
      <c r="D409" s="75"/>
    </row>
    <row r="410" ht="15.75" customHeight="1">
      <c r="C410" s="75"/>
      <c r="D410" s="75"/>
    </row>
    <row r="411" ht="15.75" customHeight="1">
      <c r="C411" s="75"/>
      <c r="D411" s="75"/>
    </row>
    <row r="412" ht="15.75" customHeight="1">
      <c r="C412" s="75"/>
      <c r="D412" s="75"/>
    </row>
    <row r="413" ht="15.75" customHeight="1">
      <c r="C413" s="75"/>
      <c r="D413" s="75"/>
    </row>
    <row r="414" ht="15.75" customHeight="1">
      <c r="C414" s="75"/>
      <c r="D414" s="75"/>
    </row>
    <row r="415" ht="15.75" customHeight="1">
      <c r="C415" s="75"/>
      <c r="D415" s="75"/>
    </row>
    <row r="416" ht="15.75" customHeight="1">
      <c r="C416" s="75"/>
      <c r="D416" s="75"/>
    </row>
    <row r="417" ht="15.75" customHeight="1">
      <c r="C417" s="75"/>
      <c r="D417" s="75"/>
    </row>
    <row r="418" ht="15.75" customHeight="1">
      <c r="C418" s="75"/>
      <c r="D418" s="75"/>
    </row>
    <row r="419" ht="15.75" customHeight="1">
      <c r="C419" s="75"/>
      <c r="D419" s="75"/>
    </row>
    <row r="420" ht="15.75" customHeight="1">
      <c r="C420" s="75"/>
      <c r="D420" s="75"/>
    </row>
    <row r="421" ht="15.75" customHeight="1">
      <c r="C421" s="75"/>
      <c r="D421" s="75"/>
    </row>
    <row r="422" ht="15.75" customHeight="1">
      <c r="C422" s="75"/>
      <c r="D422" s="75"/>
    </row>
    <row r="423" ht="15.75" customHeight="1">
      <c r="C423" s="75"/>
      <c r="D423" s="75"/>
    </row>
    <row r="424" ht="15.75" customHeight="1">
      <c r="C424" s="75"/>
      <c r="D424" s="75"/>
    </row>
    <row r="425" ht="15.75" customHeight="1">
      <c r="C425" s="75"/>
      <c r="D425" s="75"/>
    </row>
    <row r="426" ht="15.75" customHeight="1">
      <c r="C426" s="75"/>
      <c r="D426" s="75"/>
    </row>
    <row r="427" ht="15.75" customHeight="1">
      <c r="C427" s="75"/>
      <c r="D427" s="75"/>
    </row>
    <row r="428" ht="15.75" customHeight="1">
      <c r="C428" s="75"/>
      <c r="D428" s="75"/>
    </row>
    <row r="429" ht="15.75" customHeight="1">
      <c r="C429" s="75"/>
      <c r="D429" s="75"/>
    </row>
    <row r="430" ht="15.75" customHeight="1">
      <c r="C430" s="75"/>
      <c r="D430" s="75"/>
    </row>
    <row r="431" ht="15.75" customHeight="1">
      <c r="C431" s="75"/>
      <c r="D431" s="75"/>
    </row>
    <row r="432" ht="15.75" customHeight="1">
      <c r="C432" s="75"/>
      <c r="D432" s="75"/>
    </row>
    <row r="433" ht="15.75" customHeight="1">
      <c r="C433" s="75"/>
      <c r="D433" s="75"/>
    </row>
    <row r="434" ht="15.75" customHeight="1">
      <c r="C434" s="75"/>
      <c r="D434" s="75"/>
    </row>
    <row r="435" ht="15.75" customHeight="1">
      <c r="C435" s="75"/>
      <c r="D435" s="75"/>
    </row>
    <row r="436" ht="15.75" customHeight="1">
      <c r="C436" s="75"/>
      <c r="D436" s="75"/>
    </row>
    <row r="437" ht="15.75" customHeight="1">
      <c r="C437" s="75"/>
      <c r="D437" s="75"/>
    </row>
    <row r="438" ht="15.75" customHeight="1">
      <c r="C438" s="75"/>
      <c r="D438" s="75"/>
    </row>
    <row r="439" ht="15.75" customHeight="1">
      <c r="C439" s="75"/>
      <c r="D439" s="75"/>
    </row>
    <row r="440" ht="15.75" customHeight="1">
      <c r="C440" s="75"/>
      <c r="D440" s="75"/>
    </row>
    <row r="441" ht="15.75" customHeight="1">
      <c r="C441" s="75"/>
      <c r="D441" s="75"/>
    </row>
    <row r="442" ht="15.75" customHeight="1">
      <c r="C442" s="75"/>
      <c r="D442" s="75"/>
    </row>
    <row r="443" ht="15.75" customHeight="1">
      <c r="C443" s="75"/>
      <c r="D443" s="75"/>
    </row>
    <row r="444" ht="15.75" customHeight="1">
      <c r="C444" s="75"/>
      <c r="D444" s="75"/>
    </row>
    <row r="445" ht="15.75" customHeight="1">
      <c r="C445" s="75"/>
      <c r="D445" s="75"/>
    </row>
    <row r="446" ht="15.75" customHeight="1">
      <c r="C446" s="75"/>
      <c r="D446" s="75"/>
    </row>
    <row r="447" ht="15.75" customHeight="1">
      <c r="C447" s="75"/>
      <c r="D447" s="75"/>
    </row>
    <row r="448" ht="15.75" customHeight="1">
      <c r="C448" s="75"/>
      <c r="D448" s="75"/>
    </row>
    <row r="449" ht="15.75" customHeight="1">
      <c r="C449" s="75"/>
      <c r="D449" s="75"/>
    </row>
    <row r="450" ht="15.75" customHeight="1">
      <c r="C450" s="75"/>
      <c r="D450" s="75"/>
    </row>
    <row r="451" ht="15.75" customHeight="1">
      <c r="C451" s="75"/>
      <c r="D451" s="75"/>
    </row>
    <row r="452" ht="15.75" customHeight="1">
      <c r="C452" s="75"/>
      <c r="D452" s="75"/>
    </row>
    <row r="453" ht="15.75" customHeight="1">
      <c r="C453" s="75"/>
      <c r="D453" s="75"/>
    </row>
    <row r="454" ht="15.75" customHeight="1">
      <c r="C454" s="75"/>
      <c r="D454" s="75"/>
    </row>
    <row r="455" ht="15.75" customHeight="1">
      <c r="C455" s="75"/>
      <c r="D455" s="75"/>
    </row>
    <row r="456" ht="15.75" customHeight="1">
      <c r="C456" s="75"/>
      <c r="D456" s="75"/>
    </row>
    <row r="457" ht="15.75" customHeight="1">
      <c r="C457" s="75"/>
      <c r="D457" s="75"/>
    </row>
    <row r="458" ht="15.75" customHeight="1">
      <c r="C458" s="75"/>
      <c r="D458" s="75"/>
    </row>
    <row r="459" ht="15.75" customHeight="1">
      <c r="C459" s="75"/>
      <c r="D459" s="75"/>
    </row>
    <row r="460" ht="15.75" customHeight="1">
      <c r="C460" s="75"/>
      <c r="D460" s="75"/>
    </row>
    <row r="461" ht="15.75" customHeight="1">
      <c r="C461" s="75"/>
      <c r="D461" s="75"/>
    </row>
    <row r="462" ht="15.75" customHeight="1">
      <c r="C462" s="75"/>
      <c r="D462" s="75"/>
    </row>
    <row r="463" ht="15.75" customHeight="1">
      <c r="C463" s="75"/>
      <c r="D463" s="75"/>
    </row>
    <row r="464" ht="15.75" customHeight="1">
      <c r="C464" s="75"/>
      <c r="D464" s="75"/>
    </row>
    <row r="465" ht="15.75" customHeight="1">
      <c r="C465" s="75"/>
      <c r="D465" s="75"/>
    </row>
    <row r="466" ht="15.75" customHeight="1">
      <c r="C466" s="75"/>
      <c r="D466" s="75"/>
    </row>
    <row r="467" ht="15.75" customHeight="1">
      <c r="C467" s="75"/>
      <c r="D467" s="75"/>
    </row>
    <row r="468" ht="15.75" customHeight="1">
      <c r="C468" s="75"/>
      <c r="D468" s="75"/>
    </row>
    <row r="469" ht="15.75" customHeight="1">
      <c r="C469" s="75"/>
      <c r="D469" s="75"/>
    </row>
    <row r="470" ht="15.75" customHeight="1">
      <c r="C470" s="75"/>
      <c r="D470" s="75"/>
    </row>
    <row r="471" ht="15.75" customHeight="1">
      <c r="C471" s="75"/>
      <c r="D471" s="75"/>
    </row>
    <row r="472" ht="15.75" customHeight="1">
      <c r="C472" s="75"/>
      <c r="D472" s="75"/>
    </row>
    <row r="473" ht="15.75" customHeight="1">
      <c r="C473" s="75"/>
      <c r="D473" s="75"/>
    </row>
    <row r="474" ht="15.75" customHeight="1">
      <c r="C474" s="75"/>
      <c r="D474" s="75"/>
    </row>
    <row r="475" ht="15.75" customHeight="1">
      <c r="C475" s="75"/>
      <c r="D475" s="75"/>
    </row>
    <row r="476" ht="15.75" customHeight="1">
      <c r="C476" s="75"/>
      <c r="D476" s="75"/>
    </row>
    <row r="477" ht="15.75" customHeight="1">
      <c r="C477" s="75"/>
      <c r="D477" s="75"/>
    </row>
    <row r="478" ht="15.75" customHeight="1">
      <c r="C478" s="75"/>
      <c r="D478" s="75"/>
    </row>
    <row r="479" ht="15.75" customHeight="1">
      <c r="C479" s="75"/>
      <c r="D479" s="75"/>
    </row>
    <row r="480" ht="15.75" customHeight="1">
      <c r="C480" s="75"/>
      <c r="D480" s="75"/>
    </row>
    <row r="481" ht="15.75" customHeight="1">
      <c r="C481" s="75"/>
      <c r="D481" s="75"/>
    </row>
    <row r="482" ht="15.75" customHeight="1">
      <c r="C482" s="75"/>
      <c r="D482" s="75"/>
    </row>
    <row r="483" ht="15.75" customHeight="1">
      <c r="C483" s="75"/>
      <c r="D483" s="75"/>
    </row>
    <row r="484" ht="15.75" customHeight="1">
      <c r="C484" s="75"/>
      <c r="D484" s="75"/>
    </row>
    <row r="485" ht="15.75" customHeight="1">
      <c r="C485" s="75"/>
      <c r="D485" s="75"/>
    </row>
    <row r="486" ht="15.75" customHeight="1">
      <c r="C486" s="75"/>
      <c r="D486" s="75"/>
    </row>
    <row r="487" ht="15.75" customHeight="1">
      <c r="C487" s="75"/>
      <c r="D487" s="75"/>
    </row>
    <row r="488" ht="15.75" customHeight="1">
      <c r="C488" s="75"/>
      <c r="D488" s="75"/>
    </row>
    <row r="489" ht="15.75" customHeight="1">
      <c r="C489" s="75"/>
      <c r="D489" s="75"/>
    </row>
    <row r="490" ht="15.75" customHeight="1">
      <c r="C490" s="75"/>
      <c r="D490" s="75"/>
    </row>
    <row r="491" ht="15.75" customHeight="1">
      <c r="C491" s="75"/>
      <c r="D491" s="75"/>
    </row>
    <row r="492" ht="15.75" customHeight="1">
      <c r="C492" s="75"/>
      <c r="D492" s="75"/>
    </row>
    <row r="493" ht="15.75" customHeight="1">
      <c r="C493" s="75"/>
      <c r="D493" s="75"/>
    </row>
    <row r="494" ht="15.75" customHeight="1">
      <c r="C494" s="75"/>
      <c r="D494" s="75"/>
    </row>
    <row r="495" ht="15.75" customHeight="1">
      <c r="C495" s="75"/>
      <c r="D495" s="75"/>
    </row>
    <row r="496" ht="15.75" customHeight="1">
      <c r="C496" s="75"/>
      <c r="D496" s="75"/>
    </row>
    <row r="497" ht="15.75" customHeight="1">
      <c r="C497" s="75"/>
      <c r="D497" s="75"/>
    </row>
    <row r="498" ht="15.75" customHeight="1">
      <c r="C498" s="75"/>
      <c r="D498" s="75"/>
    </row>
    <row r="499" ht="15.75" customHeight="1">
      <c r="C499" s="75"/>
      <c r="D499" s="75"/>
    </row>
    <row r="500" ht="15.75" customHeight="1">
      <c r="C500" s="75"/>
      <c r="D500" s="75"/>
    </row>
    <row r="501" ht="15.75" customHeight="1">
      <c r="C501" s="75"/>
      <c r="D501" s="75"/>
    </row>
    <row r="502" ht="15.75" customHeight="1">
      <c r="C502" s="75"/>
      <c r="D502" s="75"/>
    </row>
    <row r="503" ht="15.75" customHeight="1">
      <c r="C503" s="75"/>
      <c r="D503" s="75"/>
    </row>
    <row r="504" ht="15.75" customHeight="1">
      <c r="C504" s="75"/>
      <c r="D504" s="75"/>
    </row>
    <row r="505" ht="15.75" customHeight="1">
      <c r="C505" s="75"/>
      <c r="D505" s="75"/>
    </row>
    <row r="506" ht="15.75" customHeight="1">
      <c r="C506" s="75"/>
      <c r="D506" s="75"/>
    </row>
    <row r="507" ht="15.75" customHeight="1">
      <c r="C507" s="75"/>
      <c r="D507" s="75"/>
    </row>
    <row r="508" ht="15.75" customHeight="1">
      <c r="C508" s="75"/>
      <c r="D508" s="75"/>
    </row>
    <row r="509" ht="15.75" customHeight="1">
      <c r="C509" s="75"/>
      <c r="D509" s="75"/>
    </row>
    <row r="510" ht="15.75" customHeight="1">
      <c r="C510" s="75"/>
      <c r="D510" s="75"/>
    </row>
    <row r="511" ht="15.75" customHeight="1">
      <c r="C511" s="75"/>
      <c r="D511" s="75"/>
    </row>
    <row r="512" ht="15.75" customHeight="1">
      <c r="C512" s="75"/>
      <c r="D512" s="75"/>
    </row>
    <row r="513" ht="15.75" customHeight="1">
      <c r="C513" s="75"/>
      <c r="D513" s="75"/>
    </row>
    <row r="514" ht="15.75" customHeight="1">
      <c r="C514" s="75"/>
      <c r="D514" s="75"/>
    </row>
    <row r="515" ht="15.75" customHeight="1">
      <c r="C515" s="75"/>
      <c r="D515" s="75"/>
    </row>
    <row r="516" ht="15.75" customHeight="1">
      <c r="C516" s="75"/>
      <c r="D516" s="75"/>
    </row>
    <row r="517" ht="15.75" customHeight="1">
      <c r="C517" s="75"/>
      <c r="D517" s="75"/>
    </row>
    <row r="518" ht="15.75" customHeight="1">
      <c r="C518" s="75"/>
      <c r="D518" s="75"/>
    </row>
    <row r="519" ht="15.75" customHeight="1">
      <c r="C519" s="75"/>
      <c r="D519" s="75"/>
    </row>
    <row r="520" ht="15.75" customHeight="1">
      <c r="C520" s="75"/>
      <c r="D520" s="75"/>
    </row>
    <row r="521" ht="15.75" customHeight="1">
      <c r="C521" s="75"/>
      <c r="D521" s="75"/>
    </row>
    <row r="522" ht="15.75" customHeight="1">
      <c r="C522" s="75"/>
      <c r="D522" s="75"/>
    </row>
    <row r="523" ht="15.75" customHeight="1">
      <c r="C523" s="75"/>
      <c r="D523" s="75"/>
    </row>
    <row r="524" ht="15.75" customHeight="1">
      <c r="C524" s="75"/>
      <c r="D524" s="75"/>
    </row>
    <row r="525" ht="15.75" customHeight="1">
      <c r="C525" s="75"/>
      <c r="D525" s="75"/>
    </row>
    <row r="526" ht="15.75" customHeight="1">
      <c r="C526" s="75"/>
      <c r="D526" s="75"/>
    </row>
    <row r="527" ht="15.75" customHeight="1">
      <c r="C527" s="75"/>
      <c r="D527" s="75"/>
    </row>
    <row r="528" ht="15.75" customHeight="1">
      <c r="C528" s="75"/>
      <c r="D528" s="75"/>
    </row>
    <row r="529" ht="15.75" customHeight="1">
      <c r="C529" s="75"/>
      <c r="D529" s="75"/>
    </row>
    <row r="530" ht="15.75" customHeight="1">
      <c r="C530" s="75"/>
      <c r="D530" s="75"/>
    </row>
    <row r="531" ht="15.75" customHeight="1">
      <c r="C531" s="75"/>
      <c r="D531" s="75"/>
    </row>
    <row r="532" ht="15.75" customHeight="1">
      <c r="C532" s="75"/>
      <c r="D532" s="75"/>
    </row>
    <row r="533" ht="15.75" customHeight="1">
      <c r="C533" s="75"/>
      <c r="D533" s="75"/>
    </row>
    <row r="534" ht="15.75" customHeight="1">
      <c r="C534" s="75"/>
      <c r="D534" s="75"/>
    </row>
    <row r="535" ht="15.75" customHeight="1">
      <c r="C535" s="75"/>
      <c r="D535" s="75"/>
    </row>
    <row r="536" ht="15.75" customHeight="1">
      <c r="C536" s="75"/>
      <c r="D536" s="75"/>
    </row>
    <row r="537" ht="15.75" customHeight="1">
      <c r="C537" s="75"/>
      <c r="D537" s="75"/>
    </row>
    <row r="538" ht="15.75" customHeight="1">
      <c r="C538" s="75"/>
      <c r="D538" s="75"/>
    </row>
    <row r="539" ht="15.75" customHeight="1">
      <c r="C539" s="75"/>
      <c r="D539" s="75"/>
    </row>
    <row r="540" ht="15.75" customHeight="1">
      <c r="C540" s="75"/>
      <c r="D540" s="75"/>
    </row>
    <row r="541" ht="15.75" customHeight="1">
      <c r="C541" s="75"/>
      <c r="D541" s="75"/>
    </row>
    <row r="542" ht="15.75" customHeight="1">
      <c r="C542" s="75"/>
      <c r="D542" s="75"/>
    </row>
    <row r="543" ht="15.75" customHeight="1">
      <c r="C543" s="75"/>
      <c r="D543" s="75"/>
    </row>
    <row r="544" ht="15.75" customHeight="1">
      <c r="C544" s="75"/>
      <c r="D544" s="75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46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68" t="s">
        <v>106</v>
      </c>
      <c r="B1" s="68" t="s">
        <v>1</v>
      </c>
      <c r="C1" s="69" t="s">
        <v>395</v>
      </c>
      <c r="D1" s="69" t="s">
        <v>394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ht="15.75" customHeight="1">
      <c r="A2" s="7">
        <v>10101.0</v>
      </c>
      <c r="B2" s="7" t="s">
        <v>6</v>
      </c>
      <c r="C2" s="59">
        <v>6625856.0</v>
      </c>
      <c r="D2" s="59">
        <v>7711161.0</v>
      </c>
    </row>
    <row r="3" ht="15.75" customHeight="1">
      <c r="A3" s="7">
        <v>10102.0</v>
      </c>
      <c r="B3" s="7" t="s">
        <v>8</v>
      </c>
      <c r="C3" s="59">
        <v>189587.0</v>
      </c>
      <c r="D3" s="59">
        <v>185814.0</v>
      </c>
    </row>
    <row r="4" ht="15.75" customHeight="1">
      <c r="A4" s="7">
        <v>10103.0</v>
      </c>
      <c r="B4" s="7" t="s">
        <v>17</v>
      </c>
      <c r="C4" s="59">
        <v>386522.0</v>
      </c>
      <c r="D4" s="59">
        <v>323823.0</v>
      </c>
    </row>
    <row r="5" ht="15.75" customHeight="1">
      <c r="A5" s="7">
        <v>10201.0</v>
      </c>
      <c r="B5" s="7" t="s">
        <v>19</v>
      </c>
      <c r="C5" s="59">
        <v>247284.0</v>
      </c>
      <c r="D5" s="59">
        <v>158653.0</v>
      </c>
    </row>
    <row r="6" ht="15.75" customHeight="1">
      <c r="A6" s="7">
        <v>10202.0</v>
      </c>
      <c r="B6" s="7" t="s">
        <v>21</v>
      </c>
      <c r="C6" s="59">
        <v>343386.0</v>
      </c>
      <c r="D6" s="59">
        <v>398865.0</v>
      </c>
    </row>
    <row r="7" ht="15.75" customHeight="1">
      <c r="A7" s="7">
        <v>10301.0</v>
      </c>
      <c r="B7" s="7" t="s">
        <v>23</v>
      </c>
      <c r="C7" s="59">
        <v>274174.0</v>
      </c>
      <c r="D7" s="59">
        <v>324890.0</v>
      </c>
    </row>
    <row r="8" ht="15.75" customHeight="1">
      <c r="A8" s="7">
        <v>10302.0</v>
      </c>
      <c r="B8" s="7" t="s">
        <v>25</v>
      </c>
      <c r="C8" s="59">
        <v>294139.0</v>
      </c>
      <c r="D8" s="59">
        <v>297488.0</v>
      </c>
    </row>
    <row r="9" ht="15.75" customHeight="1">
      <c r="A9" s="7">
        <v>10303.0</v>
      </c>
      <c r="B9" s="7" t="s">
        <v>27</v>
      </c>
      <c r="C9" s="59">
        <v>163616.0</v>
      </c>
      <c r="D9" s="59">
        <v>181779.0</v>
      </c>
    </row>
    <row r="10" ht="15.75" customHeight="1">
      <c r="A10" s="7">
        <v>10304.0</v>
      </c>
      <c r="B10" s="7" t="s">
        <v>28</v>
      </c>
      <c r="C10" s="59">
        <v>158373.0</v>
      </c>
      <c r="D10" s="59">
        <v>183787.0</v>
      </c>
    </row>
    <row r="11" ht="15.75" customHeight="1">
      <c r="A11" s="7">
        <v>10401.0</v>
      </c>
      <c r="B11" s="7" t="s">
        <v>30</v>
      </c>
      <c r="C11" s="59">
        <v>243982.0</v>
      </c>
      <c r="D11" s="59">
        <v>184529.0</v>
      </c>
    </row>
    <row r="12" ht="15.75" customHeight="1">
      <c r="A12" s="7">
        <v>10402.0</v>
      </c>
      <c r="B12" s="7" t="s">
        <v>33</v>
      </c>
      <c r="C12" s="59">
        <v>170542.0</v>
      </c>
      <c r="D12" s="59">
        <v>170818.0</v>
      </c>
    </row>
    <row r="13" ht="15.75" customHeight="1">
      <c r="A13" s="7">
        <v>10403.0</v>
      </c>
      <c r="B13" s="7" t="s">
        <v>34</v>
      </c>
      <c r="C13" s="59">
        <v>146169.0</v>
      </c>
      <c r="D13" s="59">
        <v>139361.0</v>
      </c>
    </row>
    <row r="14" ht="15.75" customHeight="1">
      <c r="A14" s="7">
        <v>10404.0</v>
      </c>
      <c r="B14" s="7" t="s">
        <v>35</v>
      </c>
      <c r="C14" s="59">
        <v>78963.0</v>
      </c>
      <c r="D14" s="59">
        <v>61889.0</v>
      </c>
    </row>
    <row r="15" ht="15.75" customHeight="1">
      <c r="A15" s="7">
        <v>10405.0</v>
      </c>
      <c r="B15" s="7" t="s">
        <v>36</v>
      </c>
      <c r="C15" s="59">
        <v>74965.0</v>
      </c>
      <c r="D15" s="59">
        <v>113504.0</v>
      </c>
    </row>
    <row r="16" ht="15.75" customHeight="1">
      <c r="A16" s="7">
        <v>10501.0</v>
      </c>
      <c r="B16" s="7" t="s">
        <v>37</v>
      </c>
      <c r="C16" s="59">
        <v>577069.0</v>
      </c>
      <c r="D16" s="59">
        <v>582354.0</v>
      </c>
    </row>
    <row r="17" ht="15.75" customHeight="1">
      <c r="A17" s="7">
        <v>10502.0</v>
      </c>
      <c r="B17" s="7" t="s">
        <v>38</v>
      </c>
      <c r="C17" s="59">
        <v>165684.0</v>
      </c>
      <c r="D17" s="59">
        <v>144540.0</v>
      </c>
    </row>
    <row r="18" ht="15.75" customHeight="1">
      <c r="A18" s="7">
        <v>10601.0</v>
      </c>
      <c r="B18" s="7" t="s">
        <v>39</v>
      </c>
      <c r="C18" s="59">
        <v>394837.0</v>
      </c>
      <c r="D18" s="59">
        <v>316088.0</v>
      </c>
    </row>
    <row r="19" ht="15.75" customHeight="1">
      <c r="A19" s="7">
        <v>10602.0</v>
      </c>
      <c r="B19" s="7" t="s">
        <v>41</v>
      </c>
      <c r="C19" s="59">
        <v>200250.0</v>
      </c>
      <c r="D19" s="59">
        <v>170236.0</v>
      </c>
    </row>
    <row r="20" ht="15.75" customHeight="1">
      <c r="A20" s="7">
        <v>10701.0</v>
      </c>
      <c r="B20" s="7" t="s">
        <v>42</v>
      </c>
      <c r="C20" s="59">
        <v>369313.0</v>
      </c>
      <c r="D20" s="59">
        <v>349066.0</v>
      </c>
    </row>
    <row r="21" ht="15.75" customHeight="1">
      <c r="A21" s="7">
        <v>10702.0</v>
      </c>
      <c r="B21" s="7" t="s">
        <v>43</v>
      </c>
      <c r="C21" s="59">
        <v>935459.0</v>
      </c>
      <c r="D21" s="59">
        <v>780078.0</v>
      </c>
    </row>
    <row r="22" ht="15.75" customHeight="1">
      <c r="A22" s="7">
        <v>10703.0</v>
      </c>
      <c r="B22" s="7" t="s">
        <v>44</v>
      </c>
      <c r="C22" s="59">
        <v>316531.0</v>
      </c>
      <c r="D22" s="59">
        <v>391083.0</v>
      </c>
    </row>
    <row r="23" ht="15.75" customHeight="1">
      <c r="A23" s="7">
        <v>10704.0</v>
      </c>
      <c r="B23" s="7" t="s">
        <v>45</v>
      </c>
      <c r="C23" s="59">
        <v>379466.0</v>
      </c>
      <c r="D23" s="59">
        <v>338840.0</v>
      </c>
    </row>
    <row r="24" ht="15.75" customHeight="1">
      <c r="A24" s="7">
        <v>10801.0</v>
      </c>
      <c r="B24" s="7" t="s">
        <v>46</v>
      </c>
      <c r="C24" s="59">
        <v>260734.0</v>
      </c>
      <c r="D24" s="59">
        <v>182823.0</v>
      </c>
    </row>
    <row r="25" ht="15.75" customHeight="1">
      <c r="A25" s="7">
        <v>10901.0</v>
      </c>
      <c r="B25" s="7" t="s">
        <v>47</v>
      </c>
      <c r="C25" s="59">
        <v>60265.0</v>
      </c>
      <c r="D25" s="59">
        <v>107903.0</v>
      </c>
    </row>
    <row r="26" ht="15.75" customHeight="1">
      <c r="A26" s="7">
        <v>10902.0</v>
      </c>
      <c r="B26" s="7" t="s">
        <v>48</v>
      </c>
      <c r="C26" s="59">
        <v>414968.0</v>
      </c>
      <c r="D26" s="59">
        <v>352269.0</v>
      </c>
    </row>
    <row r="27" ht="15.75" customHeight="1">
      <c r="A27" s="7">
        <v>10903.0</v>
      </c>
      <c r="B27" s="7" t="s">
        <v>49</v>
      </c>
      <c r="C27" s="59">
        <v>68416.0</v>
      </c>
      <c r="D27" s="59">
        <v>100696.0</v>
      </c>
    </row>
    <row r="28" ht="15.75" customHeight="1">
      <c r="A28" s="7">
        <v>11001.0</v>
      </c>
      <c r="B28" s="7" t="s">
        <v>50</v>
      </c>
      <c r="C28" s="59">
        <v>237649.0</v>
      </c>
      <c r="D28" s="59">
        <v>315115.0</v>
      </c>
    </row>
    <row r="29" ht="15.75" customHeight="1">
      <c r="A29" s="7">
        <v>11002.0</v>
      </c>
      <c r="B29" s="7" t="s">
        <v>51</v>
      </c>
      <c r="C29" s="59">
        <v>41744.0</v>
      </c>
      <c r="D29" s="59">
        <v>41834.0</v>
      </c>
    </row>
    <row r="30" ht="15.75" customHeight="1">
      <c r="A30" s="7">
        <v>11003.0</v>
      </c>
      <c r="B30" s="7" t="s">
        <v>55</v>
      </c>
      <c r="C30" s="59">
        <v>148610.0</v>
      </c>
      <c r="D30" s="59">
        <v>145243.0</v>
      </c>
    </row>
    <row r="31" ht="15.75" customHeight="1">
      <c r="A31" s="7">
        <v>20101.0</v>
      </c>
      <c r="B31" s="7" t="s">
        <v>56</v>
      </c>
      <c r="C31" s="59">
        <v>3.0743454E7</v>
      </c>
      <c r="D31" s="59">
        <v>3.0410855E7</v>
      </c>
    </row>
    <row r="32" ht="15.75" customHeight="1">
      <c r="A32" s="7">
        <v>20102.0</v>
      </c>
      <c r="B32" s="7" t="s">
        <v>57</v>
      </c>
      <c r="C32" s="59">
        <v>404454.0</v>
      </c>
      <c r="D32" s="59">
        <v>515521.0</v>
      </c>
    </row>
    <row r="33" ht="15.75" customHeight="1">
      <c r="A33" s="7">
        <v>20103.0</v>
      </c>
      <c r="B33" s="7" t="s">
        <v>58</v>
      </c>
      <c r="C33" s="59">
        <v>384780.0</v>
      </c>
      <c r="D33" s="59">
        <v>485081.0</v>
      </c>
    </row>
    <row r="34" ht="15.75" customHeight="1">
      <c r="A34" s="7">
        <v>20104.0</v>
      </c>
      <c r="B34" s="7" t="s">
        <v>59</v>
      </c>
      <c r="C34" s="59">
        <v>579145.0</v>
      </c>
      <c r="D34" s="59">
        <v>1348690.0</v>
      </c>
    </row>
    <row r="35" ht="15.75" customHeight="1">
      <c r="A35" s="7">
        <v>20105.0</v>
      </c>
      <c r="B35" s="7" t="s">
        <v>60</v>
      </c>
      <c r="C35" s="59">
        <v>2.3278936E7</v>
      </c>
      <c r="D35" s="59">
        <v>1.5914582E7</v>
      </c>
    </row>
    <row r="36" ht="15.75" customHeight="1">
      <c r="A36" s="7">
        <v>20201.0</v>
      </c>
      <c r="B36" s="7" t="s">
        <v>61</v>
      </c>
      <c r="C36" s="59">
        <v>1347811.0</v>
      </c>
      <c r="D36" s="59">
        <v>1379904.0</v>
      </c>
    </row>
    <row r="37" ht="15.75" customHeight="1">
      <c r="A37" s="7">
        <v>20202.0</v>
      </c>
      <c r="B37" s="7" t="s">
        <v>62</v>
      </c>
      <c r="C37" s="59">
        <v>319198.0</v>
      </c>
      <c r="D37" s="59">
        <v>402210.0</v>
      </c>
    </row>
    <row r="38" ht="15.75" customHeight="1">
      <c r="A38" s="7">
        <v>20203.0</v>
      </c>
      <c r="B38" s="7" t="s">
        <v>66</v>
      </c>
      <c r="C38" s="59">
        <v>104154.0</v>
      </c>
      <c r="D38" s="59">
        <v>145062.0</v>
      </c>
    </row>
    <row r="39" ht="15.75" customHeight="1">
      <c r="A39" s="7">
        <v>20204.0</v>
      </c>
      <c r="B39" s="7" t="s">
        <v>63</v>
      </c>
      <c r="C39" s="59">
        <v>160779.0</v>
      </c>
      <c r="D39" s="59">
        <v>174231.0</v>
      </c>
    </row>
    <row r="40" ht="15.75" customHeight="1">
      <c r="A40" s="7">
        <v>20205.0</v>
      </c>
      <c r="B40" s="7" t="s">
        <v>64</v>
      </c>
      <c r="C40" s="59">
        <v>173095.0</v>
      </c>
      <c r="D40" s="59">
        <v>186437.0</v>
      </c>
    </row>
    <row r="41" ht="15.75" customHeight="1">
      <c r="A41" s="7">
        <v>20206.0</v>
      </c>
      <c r="B41" s="7" t="s">
        <v>65</v>
      </c>
      <c r="C41" s="59">
        <v>66131.0</v>
      </c>
      <c r="D41" s="59">
        <v>102744.0</v>
      </c>
    </row>
    <row r="42" ht="15.75" customHeight="1">
      <c r="A42" s="7">
        <v>20301.0</v>
      </c>
      <c r="B42" s="7" t="s">
        <v>67</v>
      </c>
      <c r="C42" s="59">
        <v>258342.0</v>
      </c>
      <c r="D42" s="59">
        <v>321497.0</v>
      </c>
    </row>
    <row r="43" ht="15.75" customHeight="1">
      <c r="A43" s="7">
        <v>20302.0</v>
      </c>
      <c r="B43" s="7" t="s">
        <v>68</v>
      </c>
      <c r="C43" s="59">
        <v>350195.0</v>
      </c>
      <c r="D43" s="59">
        <v>369398.0</v>
      </c>
    </row>
    <row r="44" ht="15.75" customHeight="1">
      <c r="A44" s="7">
        <v>20303.0</v>
      </c>
      <c r="B44" s="7" t="s">
        <v>69</v>
      </c>
      <c r="C44" s="59">
        <v>239006.0</v>
      </c>
      <c r="D44" s="59">
        <v>289896.0</v>
      </c>
    </row>
    <row r="45" ht="15.75" customHeight="1">
      <c r="A45" s="7">
        <v>20304.0</v>
      </c>
      <c r="B45" s="7" t="s">
        <v>71</v>
      </c>
      <c r="C45" s="59">
        <v>65588.0</v>
      </c>
      <c r="D45" s="59">
        <v>105153.0</v>
      </c>
    </row>
    <row r="46" ht="15.75" customHeight="1">
      <c r="A46" s="7">
        <v>20305.0</v>
      </c>
      <c r="B46" s="7" t="s">
        <v>76</v>
      </c>
      <c r="C46" s="59">
        <v>54650.0</v>
      </c>
      <c r="D46" s="59">
        <v>69330.0</v>
      </c>
    </row>
    <row r="47" ht="15.75" customHeight="1">
      <c r="A47" s="7">
        <v>20306.0</v>
      </c>
      <c r="B47" s="7" t="s">
        <v>77</v>
      </c>
      <c r="C47" s="59">
        <v>104057.0</v>
      </c>
      <c r="D47" s="59">
        <v>129323.0</v>
      </c>
    </row>
    <row r="48" ht="15.75" customHeight="1">
      <c r="A48" s="7">
        <v>20307.0</v>
      </c>
      <c r="B48" s="7" t="s">
        <v>78</v>
      </c>
      <c r="C48" s="59">
        <v>11531.0</v>
      </c>
      <c r="D48" s="59">
        <v>66061.0</v>
      </c>
    </row>
    <row r="49" ht="15.75" customHeight="1">
      <c r="A49" s="7">
        <v>20308.0</v>
      </c>
      <c r="B49" s="7" t="s">
        <v>79</v>
      </c>
      <c r="C49" s="59">
        <v>147578.0</v>
      </c>
      <c r="D49" s="59">
        <v>161343.0</v>
      </c>
    </row>
    <row r="50" ht="15.75" customHeight="1">
      <c r="A50" s="7">
        <v>20401.0</v>
      </c>
      <c r="B50" s="7" t="s">
        <v>80</v>
      </c>
      <c r="C50" s="59">
        <v>273237.0</v>
      </c>
      <c r="D50" s="59">
        <v>332435.0</v>
      </c>
    </row>
    <row r="51" ht="15.75" customHeight="1">
      <c r="A51" s="7">
        <v>20402.0</v>
      </c>
      <c r="B51" s="7" t="s">
        <v>81</v>
      </c>
      <c r="C51" s="59">
        <v>375895.0</v>
      </c>
      <c r="D51" s="59">
        <v>422566.0</v>
      </c>
    </row>
    <row r="52" ht="15.75" customHeight="1">
      <c r="A52" s="7">
        <v>20403.0</v>
      </c>
      <c r="B52" s="7" t="s">
        <v>82</v>
      </c>
      <c r="C52" s="59">
        <v>351555.0</v>
      </c>
      <c r="D52" s="59">
        <v>411297.0</v>
      </c>
    </row>
    <row r="53" ht="15.75" customHeight="1">
      <c r="A53" s="7">
        <v>20404.0</v>
      </c>
      <c r="B53" s="7" t="s">
        <v>84</v>
      </c>
      <c r="C53" s="59">
        <v>107769.0</v>
      </c>
      <c r="D53" s="59">
        <v>113584.0</v>
      </c>
    </row>
    <row r="54" ht="15.75" customHeight="1">
      <c r="A54" s="7">
        <v>20405.0</v>
      </c>
      <c r="B54" s="7" t="s">
        <v>87</v>
      </c>
      <c r="C54" s="59">
        <v>147021.0</v>
      </c>
      <c r="D54" s="59">
        <v>177403.0</v>
      </c>
    </row>
    <row r="55" ht="15.75" customHeight="1">
      <c r="A55" s="7">
        <v>20501.0</v>
      </c>
      <c r="B55" s="7" t="s">
        <v>88</v>
      </c>
      <c r="C55" s="59">
        <v>284765.0</v>
      </c>
      <c r="D55" s="59">
        <v>423017.0</v>
      </c>
    </row>
    <row r="56" ht="15.75" customHeight="1">
      <c r="A56" s="7">
        <v>20502.0</v>
      </c>
      <c r="B56" s="7" t="s">
        <v>89</v>
      </c>
      <c r="C56" s="59">
        <v>169866.0</v>
      </c>
      <c r="D56" s="59">
        <v>181257.0</v>
      </c>
    </row>
    <row r="57" ht="15.75" customHeight="1">
      <c r="A57" s="7">
        <v>20503.0</v>
      </c>
      <c r="B57" s="7" t="s">
        <v>90</v>
      </c>
      <c r="C57" s="59">
        <v>112363.0</v>
      </c>
      <c r="D57" s="59">
        <v>134924.0</v>
      </c>
    </row>
    <row r="58" ht="15.75" customHeight="1">
      <c r="A58" s="7">
        <v>20601.0</v>
      </c>
      <c r="B58" s="7" t="s">
        <v>91</v>
      </c>
      <c r="C58" s="59">
        <v>570814.0</v>
      </c>
      <c r="D58" s="59">
        <v>878424.0</v>
      </c>
    </row>
    <row r="59" ht="15.75" customHeight="1">
      <c r="A59" s="7">
        <v>20602.0</v>
      </c>
      <c r="B59" s="7" t="s">
        <v>92</v>
      </c>
      <c r="C59" s="59">
        <v>354005.0</v>
      </c>
      <c r="D59" s="59">
        <v>388758.0</v>
      </c>
    </row>
    <row r="60" ht="15.75" customHeight="1">
      <c r="A60" s="7">
        <v>20603.0</v>
      </c>
      <c r="B60" s="7" t="s">
        <v>93</v>
      </c>
      <c r="C60" s="59">
        <v>166895.0</v>
      </c>
      <c r="D60" s="59">
        <v>195952.0</v>
      </c>
    </row>
    <row r="61" ht="15.75" customHeight="1">
      <c r="A61" s="7">
        <v>20604.0</v>
      </c>
      <c r="B61" s="7" t="s">
        <v>95</v>
      </c>
      <c r="C61" s="59">
        <v>46193.0</v>
      </c>
      <c r="D61" s="59">
        <v>69379.0</v>
      </c>
    </row>
    <row r="62" ht="15.75" customHeight="1">
      <c r="A62" s="7">
        <v>20605.0</v>
      </c>
      <c r="B62" s="7" t="s">
        <v>98</v>
      </c>
      <c r="C62" s="59">
        <v>61005.0</v>
      </c>
      <c r="D62" s="59">
        <v>57964.0</v>
      </c>
    </row>
    <row r="63" ht="15.75" customHeight="1">
      <c r="A63" s="7">
        <v>20606.0</v>
      </c>
      <c r="B63" s="7" t="s">
        <v>99</v>
      </c>
      <c r="C63" s="59">
        <v>196653.0</v>
      </c>
      <c r="D63" s="59">
        <v>154899.0</v>
      </c>
    </row>
    <row r="64" ht="15.75" customHeight="1">
      <c r="A64" s="7">
        <v>20607.0</v>
      </c>
      <c r="B64" s="7" t="s">
        <v>100</v>
      </c>
      <c r="C64" s="59">
        <v>345286.0</v>
      </c>
      <c r="D64" s="59">
        <v>518225.0</v>
      </c>
    </row>
    <row r="65" ht="15.75" customHeight="1">
      <c r="A65" s="7">
        <v>20608.0</v>
      </c>
      <c r="B65" s="7" t="s">
        <v>101</v>
      </c>
      <c r="C65" s="59">
        <v>194423.0</v>
      </c>
      <c r="D65" s="59">
        <v>317417.0</v>
      </c>
    </row>
    <row r="66" ht="15.75" customHeight="1">
      <c r="A66" s="7">
        <v>20701.0</v>
      </c>
      <c r="B66" s="7" t="s">
        <v>102</v>
      </c>
      <c r="C66" s="59">
        <v>479530.0</v>
      </c>
      <c r="D66" s="59">
        <v>454476.0</v>
      </c>
    </row>
    <row r="67" ht="15.75" customHeight="1">
      <c r="A67" s="7">
        <v>20702.0</v>
      </c>
      <c r="B67" s="7" t="s">
        <v>103</v>
      </c>
      <c r="C67" s="59">
        <v>139923.0</v>
      </c>
      <c r="D67" s="59">
        <v>181880.0</v>
      </c>
    </row>
    <row r="68" ht="15.75" customHeight="1">
      <c r="A68" s="7">
        <v>20801.0</v>
      </c>
      <c r="B68" s="7" t="s">
        <v>104</v>
      </c>
      <c r="C68" s="59">
        <v>3350912.0</v>
      </c>
      <c r="D68" s="59">
        <v>3489343.0</v>
      </c>
    </row>
    <row r="69" ht="15.75" customHeight="1">
      <c r="A69" s="7">
        <v>20802.0</v>
      </c>
      <c r="B69" s="7" t="s">
        <v>105</v>
      </c>
      <c r="C69" s="59">
        <v>148304.0</v>
      </c>
      <c r="D69" s="59">
        <v>172484.0</v>
      </c>
    </row>
    <row r="70" ht="15.75" customHeight="1">
      <c r="A70" s="7">
        <v>20803.0</v>
      </c>
      <c r="B70" s="7" t="s">
        <v>108</v>
      </c>
      <c r="C70" s="59">
        <v>292069.0</v>
      </c>
      <c r="D70" s="59">
        <v>323799.0</v>
      </c>
    </row>
    <row r="71" ht="15.75" customHeight="1">
      <c r="A71" s="7">
        <v>20804.0</v>
      </c>
      <c r="B71" s="7" t="s">
        <v>110</v>
      </c>
      <c r="C71" s="59">
        <v>141786.0</v>
      </c>
      <c r="D71" s="59">
        <v>158532.0</v>
      </c>
    </row>
    <row r="72" ht="15.75" customHeight="1">
      <c r="A72" s="7">
        <v>20805.0</v>
      </c>
      <c r="B72" s="7" t="s">
        <v>112</v>
      </c>
      <c r="C72" s="59">
        <v>126357.0</v>
      </c>
      <c r="D72" s="59">
        <v>159315.0</v>
      </c>
    </row>
    <row r="73" ht="15.75" customHeight="1">
      <c r="A73" s="7">
        <v>20806.0</v>
      </c>
      <c r="B73" s="7" t="s">
        <v>114</v>
      </c>
      <c r="C73" s="59">
        <v>360709.0</v>
      </c>
      <c r="D73" s="59">
        <v>403705.0</v>
      </c>
    </row>
    <row r="74" ht="15.75" customHeight="1">
      <c r="A74" s="7">
        <v>20807.0</v>
      </c>
      <c r="B74" s="7" t="s">
        <v>116</v>
      </c>
      <c r="C74" s="59">
        <v>134123.0</v>
      </c>
      <c r="D74" s="59">
        <v>151366.0</v>
      </c>
    </row>
    <row r="75" ht="15.75" customHeight="1">
      <c r="A75" s="7">
        <v>20901.0</v>
      </c>
      <c r="B75" s="7" t="s">
        <v>118</v>
      </c>
      <c r="C75" s="59">
        <v>263411.0</v>
      </c>
      <c r="D75" s="59">
        <v>253929.0</v>
      </c>
    </row>
    <row r="76" ht="15.75" customHeight="1">
      <c r="A76" s="7">
        <v>20902.0</v>
      </c>
      <c r="B76" s="7" t="s">
        <v>120</v>
      </c>
      <c r="C76" s="59">
        <v>304117.0</v>
      </c>
      <c r="D76" s="59">
        <v>391391.0</v>
      </c>
    </row>
    <row r="77" ht="15.75" customHeight="1">
      <c r="A77" s="7">
        <v>20903.0</v>
      </c>
      <c r="B77" s="7" t="s">
        <v>122</v>
      </c>
      <c r="C77" s="59">
        <v>155181.0</v>
      </c>
      <c r="D77" s="59">
        <v>291723.0</v>
      </c>
    </row>
    <row r="78" ht="15.75" customHeight="1">
      <c r="A78" s="7">
        <v>20904.0</v>
      </c>
      <c r="B78" s="7" t="s">
        <v>124</v>
      </c>
      <c r="C78" s="59">
        <v>104184.0</v>
      </c>
      <c r="D78" s="59">
        <v>106337.0</v>
      </c>
    </row>
    <row r="79" ht="15.75" customHeight="1">
      <c r="A79" s="7">
        <v>20905.0</v>
      </c>
      <c r="B79" s="7" t="s">
        <v>126</v>
      </c>
      <c r="C79" s="59">
        <v>273832.0</v>
      </c>
      <c r="D79" s="59">
        <v>322613.0</v>
      </c>
    </row>
    <row r="80" ht="15.75" customHeight="1">
      <c r="A80" s="7">
        <v>21001.0</v>
      </c>
      <c r="B80" s="7" t="s">
        <v>128</v>
      </c>
      <c r="C80" s="59">
        <v>356994.0</v>
      </c>
      <c r="D80" s="59">
        <v>443159.0</v>
      </c>
    </row>
    <row r="81" ht="15.75" customHeight="1">
      <c r="A81" s="7">
        <v>21002.0</v>
      </c>
      <c r="B81" s="7" t="s">
        <v>130</v>
      </c>
      <c r="C81" s="59">
        <v>170325.0</v>
      </c>
      <c r="D81" s="59">
        <v>258294.0</v>
      </c>
    </row>
    <row r="82" ht="15.75" customHeight="1">
      <c r="A82" s="7">
        <v>21003.0</v>
      </c>
      <c r="B82" s="7" t="s">
        <v>131</v>
      </c>
      <c r="C82" s="59">
        <v>258213.0</v>
      </c>
      <c r="D82" s="59">
        <v>369280.0</v>
      </c>
    </row>
    <row r="83" ht="15.75" customHeight="1">
      <c r="A83" s="7">
        <v>21004.0</v>
      </c>
      <c r="B83" s="7" t="s">
        <v>132</v>
      </c>
      <c r="C83" s="59">
        <v>473165.0</v>
      </c>
      <c r="D83" s="59">
        <v>557656.0</v>
      </c>
    </row>
    <row r="84" ht="15.75" customHeight="1">
      <c r="A84" s="7">
        <v>21005.0</v>
      </c>
      <c r="B84" s="7" t="s">
        <v>133</v>
      </c>
      <c r="C84" s="59">
        <v>161595.0</v>
      </c>
      <c r="D84" s="59">
        <v>191756.0</v>
      </c>
    </row>
    <row r="85" ht="15.75" customHeight="1">
      <c r="A85" s="7">
        <v>21006.0</v>
      </c>
      <c r="B85" s="7" t="s">
        <v>134</v>
      </c>
      <c r="C85" s="59">
        <v>114168.0</v>
      </c>
      <c r="D85" s="59">
        <v>158131.0</v>
      </c>
    </row>
    <row r="86" ht="15.75" customHeight="1">
      <c r="A86" s="7">
        <v>21101.0</v>
      </c>
      <c r="B86" s="7" t="s">
        <v>135</v>
      </c>
      <c r="C86" s="59">
        <v>423800.0</v>
      </c>
      <c r="D86" s="59">
        <v>434239.0</v>
      </c>
    </row>
    <row r="87" ht="15.75" customHeight="1">
      <c r="A87" s="7">
        <v>21102.0</v>
      </c>
      <c r="B87" s="7" t="s">
        <v>136</v>
      </c>
      <c r="C87" s="59">
        <v>421742.0</v>
      </c>
      <c r="D87" s="59">
        <v>552294.0</v>
      </c>
    </row>
    <row r="88" ht="15.75" customHeight="1">
      <c r="A88" s="7">
        <v>21103.0</v>
      </c>
      <c r="B88" s="7" t="s">
        <v>137</v>
      </c>
      <c r="C88" s="59">
        <v>130881.0</v>
      </c>
      <c r="D88" s="59">
        <v>152871.0</v>
      </c>
    </row>
    <row r="89" ht="15.75" customHeight="1">
      <c r="A89" s="7">
        <v>21104.0</v>
      </c>
      <c r="B89" s="7" t="s">
        <v>138</v>
      </c>
      <c r="C89" s="59">
        <v>591500.0</v>
      </c>
      <c r="D89" s="59">
        <v>792400.0</v>
      </c>
    </row>
    <row r="90" ht="15.75" customHeight="1">
      <c r="A90" s="7">
        <v>21105.0</v>
      </c>
      <c r="B90" s="7" t="s">
        <v>139</v>
      </c>
      <c r="C90" s="59">
        <v>1186360.0</v>
      </c>
      <c r="D90" s="59">
        <v>1331140.0</v>
      </c>
    </row>
    <row r="91" ht="15.75" customHeight="1">
      <c r="A91" s="7">
        <v>21201.0</v>
      </c>
      <c r="B91" s="7" t="s">
        <v>140</v>
      </c>
      <c r="C91" s="59">
        <v>927621.0</v>
      </c>
      <c r="D91" s="59">
        <v>1455620.0</v>
      </c>
    </row>
    <row r="92" ht="15.75" customHeight="1">
      <c r="A92" s="7">
        <v>21202.0</v>
      </c>
      <c r="B92" s="7" t="s">
        <v>141</v>
      </c>
      <c r="C92" s="59">
        <v>750666.0</v>
      </c>
      <c r="D92" s="59">
        <v>1128638.0</v>
      </c>
    </row>
    <row r="93" ht="15.75" customHeight="1">
      <c r="A93" s="7">
        <v>21203.0</v>
      </c>
      <c r="B93" s="7" t="s">
        <v>142</v>
      </c>
      <c r="C93" s="59">
        <v>419721.0</v>
      </c>
      <c r="D93" s="59">
        <v>488901.0</v>
      </c>
    </row>
    <row r="94" ht="15.75" customHeight="1">
      <c r="A94" s="7">
        <v>21204.0</v>
      </c>
      <c r="B94" s="7" t="s">
        <v>143</v>
      </c>
      <c r="C94" s="59">
        <v>132793.0</v>
      </c>
      <c r="D94" s="59">
        <v>158593.0</v>
      </c>
    </row>
    <row r="95" ht="15.75" customHeight="1">
      <c r="A95" s="7">
        <v>21301.0</v>
      </c>
      <c r="B95" s="7" t="s">
        <v>144</v>
      </c>
      <c r="C95" s="59">
        <v>920571.0</v>
      </c>
      <c r="D95" s="59">
        <v>989442.0</v>
      </c>
    </row>
    <row r="96" ht="15.75" customHeight="1">
      <c r="A96" s="7">
        <v>21302.0</v>
      </c>
      <c r="B96" s="7" t="s">
        <v>145</v>
      </c>
      <c r="C96" s="59">
        <v>179061.0</v>
      </c>
      <c r="D96" s="59">
        <v>182723.0</v>
      </c>
    </row>
    <row r="97" ht="15.75" customHeight="1">
      <c r="A97" s="7">
        <v>21303.0</v>
      </c>
      <c r="B97" s="7" t="s">
        <v>146</v>
      </c>
      <c r="C97" s="59">
        <v>162333.0</v>
      </c>
      <c r="D97" s="59">
        <v>267096.0</v>
      </c>
    </row>
    <row r="98" ht="15.75" customHeight="1">
      <c r="A98" s="7">
        <v>21304.0</v>
      </c>
      <c r="B98" s="7" t="s">
        <v>147</v>
      </c>
      <c r="C98" s="59">
        <v>300260.0</v>
      </c>
      <c r="D98" s="59">
        <v>363633.0</v>
      </c>
    </row>
    <row r="99" ht="15.75" customHeight="1">
      <c r="A99" s="7">
        <v>21305.0</v>
      </c>
      <c r="B99" s="7" t="s">
        <v>148</v>
      </c>
      <c r="C99" s="59">
        <v>546834.0</v>
      </c>
      <c r="D99" s="59">
        <v>734322.0</v>
      </c>
    </row>
    <row r="100" ht="15.75" customHeight="1">
      <c r="A100" s="7">
        <v>21306.0</v>
      </c>
      <c r="B100" s="7" t="s">
        <v>149</v>
      </c>
      <c r="C100" s="59">
        <v>239541.0</v>
      </c>
      <c r="D100" s="59">
        <v>296325.0</v>
      </c>
    </row>
    <row r="101" ht="15.75" customHeight="1">
      <c r="A101" s="7">
        <v>21307.0</v>
      </c>
      <c r="B101" s="7" t="s">
        <v>150</v>
      </c>
      <c r="C101" s="59">
        <v>102028.0</v>
      </c>
      <c r="D101" s="59">
        <v>110934.0</v>
      </c>
    </row>
    <row r="102" ht="15.75" customHeight="1">
      <c r="A102" s="7">
        <v>21401.0</v>
      </c>
      <c r="B102" s="7" t="s">
        <v>151</v>
      </c>
      <c r="C102" s="59">
        <v>476631.0</v>
      </c>
      <c r="D102" s="59">
        <v>809161.0</v>
      </c>
    </row>
    <row r="103" ht="15.75" customHeight="1">
      <c r="A103" s="7">
        <v>21402.0</v>
      </c>
      <c r="B103" s="7" t="s">
        <v>152</v>
      </c>
      <c r="C103" s="59">
        <v>414713.0</v>
      </c>
      <c r="D103" s="59">
        <v>558249.0</v>
      </c>
    </row>
    <row r="104" ht="15.75" customHeight="1">
      <c r="A104" s="7">
        <v>21501.0</v>
      </c>
      <c r="B104" s="7" t="s">
        <v>153</v>
      </c>
      <c r="C104" s="59">
        <v>193351.0</v>
      </c>
      <c r="D104" s="59">
        <v>298816.0</v>
      </c>
    </row>
    <row r="105" ht="15.75" customHeight="1">
      <c r="A105" s="7">
        <v>21502.0</v>
      </c>
      <c r="B105" s="7" t="s">
        <v>154</v>
      </c>
      <c r="C105" s="59">
        <v>177205.0</v>
      </c>
      <c r="D105" s="59">
        <v>239741.0</v>
      </c>
    </row>
    <row r="106" ht="15.75" customHeight="1">
      <c r="A106" s="7">
        <v>21601.0</v>
      </c>
      <c r="B106" s="7" t="s">
        <v>155</v>
      </c>
      <c r="C106" s="59">
        <v>314388.0</v>
      </c>
      <c r="D106" s="59">
        <v>373977.0</v>
      </c>
    </row>
    <row r="107" ht="15.75" customHeight="1">
      <c r="A107" s="7">
        <v>21602.0</v>
      </c>
      <c r="B107" s="7" t="s">
        <v>156</v>
      </c>
      <c r="C107" s="59">
        <v>58509.0</v>
      </c>
      <c r="D107" s="59">
        <v>132716.0</v>
      </c>
    </row>
    <row r="108" ht="15.75" customHeight="1">
      <c r="A108" s="7">
        <v>21701.0</v>
      </c>
      <c r="B108" s="7" t="s">
        <v>157</v>
      </c>
      <c r="C108" s="59">
        <v>359244.0</v>
      </c>
      <c r="D108" s="59">
        <v>414310.0</v>
      </c>
    </row>
    <row r="109" ht="15.75" customHeight="1">
      <c r="A109" s="7">
        <v>21702.0</v>
      </c>
      <c r="B109" s="7" t="s">
        <v>158</v>
      </c>
      <c r="C109" s="59">
        <v>126700.0</v>
      </c>
      <c r="D109" s="59">
        <v>183967.0</v>
      </c>
    </row>
    <row r="110" ht="15.75" customHeight="1">
      <c r="A110" s="7">
        <v>21703.0</v>
      </c>
      <c r="B110" s="7" t="s">
        <v>159</v>
      </c>
      <c r="C110" s="59">
        <v>127804.0</v>
      </c>
      <c r="D110" s="59">
        <v>151064.0</v>
      </c>
    </row>
    <row r="111" ht="15.75" customHeight="1">
      <c r="A111" s="7">
        <v>21801.0</v>
      </c>
      <c r="B111" s="7" t="s">
        <v>160</v>
      </c>
      <c r="C111" s="59">
        <v>178425.0</v>
      </c>
      <c r="D111" s="59">
        <v>185031.0</v>
      </c>
    </row>
    <row r="112" ht="15.75" customHeight="1">
      <c r="A112" s="7">
        <v>21802.0</v>
      </c>
      <c r="B112" s="7" t="s">
        <v>161</v>
      </c>
      <c r="C112" s="59">
        <v>139993.0</v>
      </c>
      <c r="D112" s="59">
        <v>133479.0</v>
      </c>
    </row>
    <row r="113" ht="15.75" customHeight="1">
      <c r="A113" s="7">
        <v>21803.0</v>
      </c>
      <c r="B113" s="7" t="s">
        <v>162</v>
      </c>
      <c r="C113" s="59">
        <v>32981.0</v>
      </c>
      <c r="D113" s="59">
        <v>33704.0</v>
      </c>
    </row>
    <row r="114" ht="15.75" customHeight="1">
      <c r="A114" s="7">
        <v>21901.0</v>
      </c>
      <c r="B114" s="7" t="s">
        <v>163</v>
      </c>
      <c r="C114" s="59">
        <v>78468.0</v>
      </c>
      <c r="D114" s="59">
        <v>136610.0</v>
      </c>
    </row>
    <row r="115" ht="15.75" customHeight="1">
      <c r="A115" s="7">
        <v>21902.0</v>
      </c>
      <c r="B115" s="7" t="s">
        <v>164</v>
      </c>
      <c r="C115" s="59">
        <v>50701.0</v>
      </c>
      <c r="D115" s="59">
        <v>107421.0</v>
      </c>
    </row>
    <row r="116" ht="15.75" customHeight="1">
      <c r="A116" s="7">
        <v>22001.0</v>
      </c>
      <c r="B116" s="7" t="s">
        <v>165</v>
      </c>
      <c r="C116" s="59">
        <v>2052020.0</v>
      </c>
      <c r="D116" s="59">
        <v>2395991.0</v>
      </c>
    </row>
    <row r="117" ht="15.75" customHeight="1">
      <c r="A117" s="7">
        <v>22002.0</v>
      </c>
      <c r="B117" s="7" t="s">
        <v>166</v>
      </c>
      <c r="C117" s="59">
        <v>264374.0</v>
      </c>
      <c r="D117" s="59">
        <v>251129.0</v>
      </c>
    </row>
    <row r="118" ht="15.75" customHeight="1">
      <c r="A118" s="7">
        <v>30101.0</v>
      </c>
      <c r="B118" s="7" t="s">
        <v>113</v>
      </c>
      <c r="C118" s="59">
        <v>9665117.0</v>
      </c>
      <c r="D118" s="59">
        <v>1.7849869E7</v>
      </c>
    </row>
    <row r="119" ht="15.75" customHeight="1">
      <c r="A119" s="7">
        <v>30201.0</v>
      </c>
      <c r="B119" s="7" t="s">
        <v>167</v>
      </c>
      <c r="C119" s="59">
        <v>551725.0</v>
      </c>
      <c r="D119" s="59">
        <v>548593.0</v>
      </c>
    </row>
    <row r="120" ht="15.75" customHeight="1">
      <c r="A120" s="7">
        <v>30202.0</v>
      </c>
      <c r="B120" s="7" t="s">
        <v>168</v>
      </c>
      <c r="C120" s="59">
        <v>136942.0</v>
      </c>
      <c r="D120" s="59">
        <v>129986.0</v>
      </c>
    </row>
    <row r="121" ht="15.75" customHeight="1">
      <c r="A121" s="7">
        <v>30203.0</v>
      </c>
      <c r="B121" s="7" t="s">
        <v>169</v>
      </c>
      <c r="C121" s="59">
        <v>115051.0</v>
      </c>
      <c r="D121" s="59">
        <v>134503.0</v>
      </c>
    </row>
    <row r="122" ht="15.75" customHeight="1">
      <c r="A122" s="7">
        <v>30301.0</v>
      </c>
      <c r="B122" s="7" t="s">
        <v>170</v>
      </c>
      <c r="C122" s="59">
        <v>557642.0</v>
      </c>
      <c r="D122" s="59">
        <v>517561.0</v>
      </c>
    </row>
    <row r="123" ht="15.75" customHeight="1">
      <c r="A123" s="7">
        <v>30302.0</v>
      </c>
      <c r="B123" s="7" t="s">
        <v>171</v>
      </c>
      <c r="C123" s="59">
        <v>307411.0</v>
      </c>
      <c r="D123" s="59">
        <v>349232.0</v>
      </c>
    </row>
    <row r="124" ht="15.75" customHeight="1">
      <c r="A124" s="7">
        <v>30303.0</v>
      </c>
      <c r="B124" s="7" t="s">
        <v>172</v>
      </c>
      <c r="C124" s="59">
        <v>431882.0</v>
      </c>
      <c r="D124" s="59">
        <v>465200.0</v>
      </c>
    </row>
    <row r="125" ht="15.75" customHeight="1">
      <c r="A125" s="7">
        <v>30401.0</v>
      </c>
      <c r="B125" s="7" t="s">
        <v>173</v>
      </c>
      <c r="C125" s="59">
        <v>170529.0</v>
      </c>
      <c r="D125" s="59">
        <v>267452.0</v>
      </c>
    </row>
    <row r="126" ht="15.75" customHeight="1">
      <c r="A126" s="7">
        <v>30402.0</v>
      </c>
      <c r="B126" s="7" t="s">
        <v>174</v>
      </c>
      <c r="C126" s="59">
        <v>144619.0</v>
      </c>
      <c r="D126" s="59">
        <v>147250.0</v>
      </c>
    </row>
    <row r="127" ht="15.75" customHeight="1">
      <c r="A127" s="7">
        <v>30403.0</v>
      </c>
      <c r="B127" s="7" t="s">
        <v>175</v>
      </c>
      <c r="C127" s="59">
        <v>437469.0</v>
      </c>
      <c r="D127" s="59">
        <v>857750.0</v>
      </c>
    </row>
    <row r="128" ht="15.75" customHeight="1">
      <c r="A128" s="7">
        <v>30404.0</v>
      </c>
      <c r="B128" s="7" t="s">
        <v>176</v>
      </c>
      <c r="C128" s="59">
        <v>72562.0</v>
      </c>
      <c r="D128" s="59">
        <v>81911.0</v>
      </c>
    </row>
    <row r="129" ht="15.75" customHeight="1">
      <c r="A129" s="7">
        <v>30501.0</v>
      </c>
      <c r="B129" s="7" t="s">
        <v>177</v>
      </c>
      <c r="C129" s="59">
        <v>193602.0</v>
      </c>
      <c r="D129" s="59">
        <v>265317.0</v>
      </c>
    </row>
    <row r="130" ht="15.75" customHeight="1">
      <c r="A130" s="7">
        <v>30502.0</v>
      </c>
      <c r="B130" s="7" t="s">
        <v>178</v>
      </c>
      <c r="C130" s="59">
        <v>178582.0</v>
      </c>
      <c r="D130" s="59">
        <v>168811.0</v>
      </c>
    </row>
    <row r="131" ht="15.75" customHeight="1">
      <c r="A131" s="7">
        <v>30601.0</v>
      </c>
      <c r="B131" s="7" t="s">
        <v>179</v>
      </c>
      <c r="C131" s="59">
        <v>251483.0</v>
      </c>
      <c r="D131" s="59">
        <v>252244.0</v>
      </c>
    </row>
    <row r="132" ht="15.75" customHeight="1">
      <c r="A132" s="7">
        <v>30602.0</v>
      </c>
      <c r="B132" s="7" t="s">
        <v>180</v>
      </c>
      <c r="C132" s="59">
        <v>244235.0</v>
      </c>
      <c r="D132" s="59">
        <v>255044.0</v>
      </c>
    </row>
    <row r="133" ht="15.75" customHeight="1">
      <c r="A133" s="7">
        <v>30701.0</v>
      </c>
      <c r="B133" s="7" t="s">
        <v>181</v>
      </c>
      <c r="C133" s="59">
        <v>461993.0</v>
      </c>
      <c r="D133" s="59">
        <v>460906.0</v>
      </c>
    </row>
    <row r="134" ht="15.75" customHeight="1">
      <c r="A134" s="7">
        <v>30702.0</v>
      </c>
      <c r="B134" s="7" t="s">
        <v>182</v>
      </c>
      <c r="C134" s="59">
        <v>133393.0</v>
      </c>
      <c r="D134" s="59">
        <v>159396.0</v>
      </c>
    </row>
    <row r="135" ht="15.75" customHeight="1">
      <c r="A135" s="7">
        <v>30703.0</v>
      </c>
      <c r="B135" s="7" t="s">
        <v>183</v>
      </c>
      <c r="C135" s="59">
        <v>61758.0</v>
      </c>
      <c r="D135" s="59">
        <v>65372.0</v>
      </c>
    </row>
    <row r="136" ht="15.75" customHeight="1">
      <c r="A136" s="7">
        <v>30801.0</v>
      </c>
      <c r="B136" s="7" t="s">
        <v>184</v>
      </c>
      <c r="C136" s="59">
        <v>518083.0</v>
      </c>
      <c r="D136" s="59">
        <v>501902.0</v>
      </c>
    </row>
    <row r="137" ht="15.75" customHeight="1">
      <c r="A137" s="7">
        <v>30802.0</v>
      </c>
      <c r="B137" s="7" t="s">
        <v>185</v>
      </c>
      <c r="C137" s="59">
        <v>142213.0</v>
      </c>
      <c r="D137" s="59">
        <v>148194.0</v>
      </c>
    </row>
    <row r="138" ht="15.75" customHeight="1">
      <c r="A138" s="7">
        <v>30803.0</v>
      </c>
      <c r="B138" s="7" t="s">
        <v>186</v>
      </c>
      <c r="C138" s="59">
        <v>116517.0</v>
      </c>
      <c r="D138" s="59">
        <v>174392.0</v>
      </c>
    </row>
    <row r="139" ht="15.75" customHeight="1">
      <c r="A139" s="7">
        <v>30901.0</v>
      </c>
      <c r="B139" s="7" t="s">
        <v>187</v>
      </c>
      <c r="C139" s="59">
        <v>5606757.0</v>
      </c>
      <c r="D139" s="59">
        <v>6694651.0</v>
      </c>
    </row>
    <row r="140" ht="15.75" customHeight="1">
      <c r="A140" s="7">
        <v>30902.0</v>
      </c>
      <c r="B140" s="7" t="s">
        <v>188</v>
      </c>
      <c r="C140" s="59">
        <v>1248760.0</v>
      </c>
      <c r="D140" s="59">
        <v>2244706.0</v>
      </c>
    </row>
    <row r="141" ht="15.75" customHeight="1">
      <c r="A141" s="7">
        <v>30903.0</v>
      </c>
      <c r="B141" s="7" t="s">
        <v>189</v>
      </c>
      <c r="C141" s="59">
        <v>2190798.0</v>
      </c>
      <c r="D141" s="59">
        <v>2482876.0</v>
      </c>
    </row>
    <row r="142" ht="15.75" customHeight="1">
      <c r="A142" s="7">
        <v>30904.0</v>
      </c>
      <c r="B142" s="7" t="s">
        <v>190</v>
      </c>
      <c r="C142" s="59">
        <v>2100220.0</v>
      </c>
      <c r="D142" s="59">
        <v>2250970.0</v>
      </c>
    </row>
    <row r="143" ht="15.75" customHeight="1">
      <c r="A143" s="7">
        <v>30905.0</v>
      </c>
      <c r="B143" s="7" t="s">
        <v>191</v>
      </c>
      <c r="C143" s="59">
        <v>2135963.0</v>
      </c>
      <c r="D143" s="59">
        <v>2670176.0</v>
      </c>
    </row>
    <row r="144" ht="15.75" customHeight="1">
      <c r="A144" s="7">
        <v>31001.0</v>
      </c>
      <c r="B144" s="7" t="s">
        <v>192</v>
      </c>
      <c r="C144" s="59">
        <v>7080513.0</v>
      </c>
      <c r="D144" s="59">
        <v>6211191.0</v>
      </c>
    </row>
    <row r="145" ht="15.75" customHeight="1">
      <c r="A145" s="7">
        <v>31002.0</v>
      </c>
      <c r="B145" s="7" t="s">
        <v>193</v>
      </c>
      <c r="C145" s="59">
        <v>462600.0</v>
      </c>
      <c r="D145" s="59">
        <v>518296.0</v>
      </c>
    </row>
    <row r="146" ht="15.75" customHeight="1">
      <c r="A146" s="7">
        <v>31003.0</v>
      </c>
      <c r="B146" s="7" t="s">
        <v>194</v>
      </c>
      <c r="C146" s="59">
        <v>2940964.0</v>
      </c>
      <c r="D146" s="59">
        <v>3763942.0</v>
      </c>
    </row>
    <row r="147" ht="15.75" customHeight="1">
      <c r="A147" s="7">
        <v>31101.0</v>
      </c>
      <c r="B147" s="7" t="s">
        <v>195</v>
      </c>
      <c r="C147" s="59">
        <v>584309.0</v>
      </c>
      <c r="D147" s="59">
        <v>585201.0</v>
      </c>
    </row>
    <row r="148" ht="15.75" customHeight="1">
      <c r="A148" s="7">
        <v>31201.0</v>
      </c>
      <c r="B148" s="7" t="s">
        <v>196</v>
      </c>
      <c r="C148" s="59">
        <v>348236.0</v>
      </c>
      <c r="D148" s="59">
        <v>351628.0</v>
      </c>
    </row>
    <row r="149" ht="15.75" customHeight="1">
      <c r="A149" s="7">
        <v>31202.0</v>
      </c>
      <c r="B149" s="7" t="s">
        <v>197</v>
      </c>
      <c r="C149" s="59">
        <v>244330.0</v>
      </c>
      <c r="D149" s="59">
        <v>281497.0</v>
      </c>
    </row>
    <row r="150" ht="15.75" customHeight="1">
      <c r="A150" s="7">
        <v>31203.0</v>
      </c>
      <c r="B150" s="7" t="s">
        <v>198</v>
      </c>
      <c r="C150" s="59">
        <v>258025.0</v>
      </c>
      <c r="D150" s="59">
        <v>290821.0</v>
      </c>
    </row>
    <row r="151" ht="15.75" customHeight="1">
      <c r="A151" s="7">
        <v>31204.0</v>
      </c>
      <c r="B151" s="7" t="s">
        <v>199</v>
      </c>
      <c r="C151" s="59">
        <v>527124.0</v>
      </c>
      <c r="D151" s="59">
        <v>803613.0</v>
      </c>
    </row>
    <row r="152" ht="15.75" customHeight="1">
      <c r="A152" s="7">
        <v>31205.0</v>
      </c>
      <c r="B152" s="7" t="s">
        <v>200</v>
      </c>
      <c r="C152" s="59">
        <v>1405231.0</v>
      </c>
      <c r="D152" s="59">
        <v>2593489.0</v>
      </c>
    </row>
    <row r="153" ht="15.75" customHeight="1">
      <c r="A153" s="7">
        <v>31206.0</v>
      </c>
      <c r="B153" s="7" t="s">
        <v>201</v>
      </c>
      <c r="C153" s="59">
        <v>955886.0</v>
      </c>
      <c r="D153" s="59">
        <v>1336776.0</v>
      </c>
    </row>
    <row r="154" ht="15.75" customHeight="1">
      <c r="A154" s="7">
        <v>31301.0</v>
      </c>
      <c r="B154" s="7" t="s">
        <v>202</v>
      </c>
      <c r="C154" s="59">
        <v>471337.0</v>
      </c>
      <c r="D154" s="59">
        <v>472033.0</v>
      </c>
    </row>
    <row r="155" ht="15.75" customHeight="1">
      <c r="A155" s="7">
        <v>31302.0</v>
      </c>
      <c r="B155" s="7" t="s">
        <v>203</v>
      </c>
      <c r="C155" s="59">
        <v>109230.0</v>
      </c>
      <c r="D155" s="59">
        <v>105273.0</v>
      </c>
    </row>
    <row r="156" ht="15.75" customHeight="1">
      <c r="A156" s="7">
        <v>31303.0</v>
      </c>
      <c r="B156" s="7" t="s">
        <v>204</v>
      </c>
      <c r="C156" s="59">
        <v>56706.0</v>
      </c>
      <c r="D156" s="59">
        <v>57685.0</v>
      </c>
    </row>
    <row r="157" ht="15.75" customHeight="1">
      <c r="A157" s="7">
        <v>31304.0</v>
      </c>
      <c r="B157" s="7" t="s">
        <v>205</v>
      </c>
      <c r="C157" s="59">
        <v>142954.0</v>
      </c>
      <c r="D157" s="59">
        <v>161724.0</v>
      </c>
    </row>
    <row r="158" ht="15.75" customHeight="1">
      <c r="A158" s="7">
        <v>31401.0</v>
      </c>
      <c r="B158" s="7" t="s">
        <v>206</v>
      </c>
      <c r="C158" s="59">
        <v>858979.0</v>
      </c>
      <c r="D158" s="59">
        <v>1029242.0</v>
      </c>
    </row>
    <row r="159" ht="15.75" customHeight="1">
      <c r="A159" s="7">
        <v>31402.0</v>
      </c>
      <c r="B159" s="7" t="s">
        <v>207</v>
      </c>
      <c r="C159" s="59">
        <v>164086.0</v>
      </c>
      <c r="D159" s="59">
        <v>172625.0</v>
      </c>
    </row>
    <row r="160" ht="15.75" customHeight="1">
      <c r="A160" s="7">
        <v>31403.0</v>
      </c>
      <c r="B160" s="7" t="s">
        <v>208</v>
      </c>
      <c r="C160" s="59">
        <v>320754.0</v>
      </c>
      <c r="D160" s="59">
        <v>309706.0</v>
      </c>
    </row>
    <row r="161" ht="15.75" customHeight="1">
      <c r="A161" s="7">
        <v>31404.0</v>
      </c>
      <c r="B161" s="7" t="s">
        <v>209</v>
      </c>
      <c r="C161" s="59">
        <v>16629.0</v>
      </c>
      <c r="D161" s="59">
        <v>16441.0</v>
      </c>
    </row>
    <row r="162" ht="15.75" customHeight="1">
      <c r="A162" s="7">
        <v>31405.0</v>
      </c>
      <c r="B162" s="7" t="s">
        <v>210</v>
      </c>
      <c r="C162" s="59">
        <v>46907.0</v>
      </c>
      <c r="D162" s="59">
        <v>62776.0</v>
      </c>
    </row>
    <row r="163" ht="15.75" customHeight="1">
      <c r="A163" s="7">
        <v>31501.0</v>
      </c>
      <c r="B163" s="7" t="s">
        <v>211</v>
      </c>
      <c r="C163" s="59">
        <v>147804.0</v>
      </c>
      <c r="D163" s="59">
        <v>166261.0</v>
      </c>
    </row>
    <row r="164" ht="15.75" customHeight="1">
      <c r="A164" s="7">
        <v>31601.0</v>
      </c>
      <c r="B164" s="7" t="s">
        <v>212</v>
      </c>
      <c r="C164" s="59">
        <v>498257.0</v>
      </c>
      <c r="D164" s="59">
        <v>331177.0</v>
      </c>
    </row>
    <row r="165" ht="15.75" customHeight="1">
      <c r="A165" s="7">
        <v>31602.0</v>
      </c>
      <c r="B165" s="7" t="s">
        <v>213</v>
      </c>
      <c r="C165" s="59">
        <v>506970.0</v>
      </c>
      <c r="D165" s="59">
        <v>498416.0</v>
      </c>
    </row>
    <row r="166" ht="15.75" customHeight="1">
      <c r="A166" s="7">
        <v>40101.0</v>
      </c>
      <c r="B166" s="7" t="s">
        <v>115</v>
      </c>
      <c r="C166" s="59">
        <v>1.0749236E7</v>
      </c>
      <c r="D166" s="59">
        <v>1.1978753E7</v>
      </c>
    </row>
    <row r="167" ht="15.75" customHeight="1">
      <c r="A167" s="7">
        <v>40102.0</v>
      </c>
      <c r="B167" s="7" t="s">
        <v>214</v>
      </c>
      <c r="C167" s="59">
        <v>547879.0</v>
      </c>
      <c r="D167" s="59">
        <v>542116.0</v>
      </c>
    </row>
    <row r="168" ht="15.75" customHeight="1">
      <c r="A168" s="7">
        <v>40103.0</v>
      </c>
      <c r="B168" s="7" t="s">
        <v>215</v>
      </c>
      <c r="C168" s="59">
        <v>177282.0</v>
      </c>
      <c r="D168" s="59">
        <v>200690.0</v>
      </c>
    </row>
    <row r="169" ht="15.75" customHeight="1">
      <c r="A169" s="7">
        <v>40104.0</v>
      </c>
      <c r="B169" s="7" t="s">
        <v>216</v>
      </c>
      <c r="C169" s="59">
        <v>310540.0</v>
      </c>
      <c r="D169" s="59">
        <v>374001.0</v>
      </c>
    </row>
    <row r="170" ht="15.75" customHeight="1">
      <c r="A170" s="7">
        <v>40201.0</v>
      </c>
      <c r="B170" s="7" t="s">
        <v>217</v>
      </c>
      <c r="C170" s="59">
        <v>860244.0</v>
      </c>
      <c r="D170" s="59">
        <v>537539.0</v>
      </c>
    </row>
    <row r="171" ht="15.75" customHeight="1">
      <c r="A171" s="7">
        <v>40202.0</v>
      </c>
      <c r="B171" s="7" t="s">
        <v>218</v>
      </c>
      <c r="C171" s="59">
        <v>68057.0</v>
      </c>
      <c r="D171" s="59">
        <v>103607.0</v>
      </c>
    </row>
    <row r="172" ht="15.75" customHeight="1">
      <c r="A172" s="7">
        <v>40301.0</v>
      </c>
      <c r="B172" s="7" t="s">
        <v>219</v>
      </c>
      <c r="C172" s="59">
        <v>196621.0</v>
      </c>
      <c r="D172" s="59">
        <v>381996.0</v>
      </c>
    </row>
    <row r="173" ht="15.75" customHeight="1">
      <c r="A173" s="7">
        <v>40302.0</v>
      </c>
      <c r="B173" s="7" t="s">
        <v>220</v>
      </c>
      <c r="C173" s="59">
        <v>24330.0</v>
      </c>
      <c r="D173" s="59">
        <v>41128.0</v>
      </c>
    </row>
    <row r="174" ht="15.75" customHeight="1">
      <c r="A174" s="7">
        <v>40401.0</v>
      </c>
      <c r="B174" s="7" t="s">
        <v>221</v>
      </c>
      <c r="C174" s="59">
        <v>72143.0</v>
      </c>
      <c r="D174" s="59">
        <v>134161.0</v>
      </c>
    </row>
    <row r="175" ht="15.75" customHeight="1">
      <c r="A175" s="7">
        <v>40402.0</v>
      </c>
      <c r="B175" s="7" t="s">
        <v>222</v>
      </c>
      <c r="C175" s="59">
        <v>105528.0</v>
      </c>
      <c r="D175" s="59">
        <v>116495.0</v>
      </c>
    </row>
    <row r="176" ht="15.75" customHeight="1">
      <c r="A176" s="7">
        <v>40501.0</v>
      </c>
      <c r="B176" s="7" t="s">
        <v>223</v>
      </c>
      <c r="C176" s="59">
        <v>16016.0</v>
      </c>
      <c r="D176" s="59">
        <v>65881.0</v>
      </c>
    </row>
    <row r="177" ht="15.75" customHeight="1">
      <c r="A177" s="7">
        <v>40502.0</v>
      </c>
      <c r="B177" s="7" t="s">
        <v>224</v>
      </c>
      <c r="C177" s="59">
        <v>69374.0</v>
      </c>
      <c r="D177" s="59">
        <v>69494.0</v>
      </c>
    </row>
    <row r="178" ht="15.75" customHeight="1">
      <c r="A178" s="7">
        <v>40503.0</v>
      </c>
      <c r="B178" s="7" t="s">
        <v>225</v>
      </c>
      <c r="C178" s="59">
        <v>24649.0</v>
      </c>
      <c r="D178" s="59">
        <v>19380.0</v>
      </c>
    </row>
    <row r="179" ht="15.75" customHeight="1">
      <c r="A179" s="7">
        <v>40504.0</v>
      </c>
      <c r="B179" s="7" t="s">
        <v>226</v>
      </c>
      <c r="C179" s="59">
        <v>6951.0</v>
      </c>
      <c r="D179" s="59">
        <v>11178.0</v>
      </c>
    </row>
    <row r="180" ht="15.75" customHeight="1">
      <c r="A180" s="7">
        <v>40505.0</v>
      </c>
      <c r="B180" s="7" t="s">
        <v>227</v>
      </c>
      <c r="C180" s="59">
        <v>45995.0</v>
      </c>
      <c r="D180" s="59">
        <v>63762.0</v>
      </c>
    </row>
    <row r="181" ht="15.75" customHeight="1">
      <c r="A181" s="7">
        <v>40601.0</v>
      </c>
      <c r="B181" s="7" t="s">
        <v>228</v>
      </c>
      <c r="C181" s="59">
        <v>154989.0</v>
      </c>
      <c r="D181" s="59">
        <v>184469.0</v>
      </c>
    </row>
    <row r="182" ht="15.75" customHeight="1">
      <c r="A182" s="7">
        <v>40602.0</v>
      </c>
      <c r="B182" s="7" t="s">
        <v>229</v>
      </c>
      <c r="C182" s="59">
        <v>116696.0</v>
      </c>
      <c r="D182" s="59">
        <v>69823.0</v>
      </c>
    </row>
    <row r="183" ht="15.75" customHeight="1">
      <c r="A183" s="7">
        <v>40603.0</v>
      </c>
      <c r="B183" s="7" t="s">
        <v>230</v>
      </c>
      <c r="C183" s="59">
        <v>54161.0</v>
      </c>
      <c r="D183" s="59">
        <v>60214.0</v>
      </c>
    </row>
    <row r="184" ht="15.75" customHeight="1">
      <c r="A184" s="7">
        <v>40701.0</v>
      </c>
      <c r="B184" s="7" t="s">
        <v>231</v>
      </c>
      <c r="C184" s="59">
        <v>576448.0</v>
      </c>
      <c r="D184" s="59">
        <v>477300.0</v>
      </c>
    </row>
    <row r="185" ht="15.75" customHeight="1">
      <c r="A185" s="7">
        <v>40702.0</v>
      </c>
      <c r="B185" s="7" t="s">
        <v>232</v>
      </c>
      <c r="C185" s="59">
        <v>80948.0</v>
      </c>
      <c r="D185" s="59">
        <v>122859.0</v>
      </c>
    </row>
    <row r="186" ht="15.75" customHeight="1">
      <c r="A186" s="7">
        <v>40801.0</v>
      </c>
      <c r="B186" s="7" t="s">
        <v>233</v>
      </c>
      <c r="C186" s="59">
        <v>289825.0</v>
      </c>
      <c r="D186" s="59">
        <v>378034.0</v>
      </c>
    </row>
    <row r="187" ht="15.75" customHeight="1">
      <c r="A187" s="7">
        <v>40802.0</v>
      </c>
      <c r="B187" s="7" t="s">
        <v>234</v>
      </c>
      <c r="C187" s="59">
        <v>49138.0</v>
      </c>
      <c r="D187" s="59">
        <v>52511.0</v>
      </c>
    </row>
    <row r="188" ht="15.75" customHeight="1">
      <c r="A188" s="7">
        <v>40901.0</v>
      </c>
      <c r="B188" s="7" t="s">
        <v>235</v>
      </c>
      <c r="C188" s="59">
        <v>173485.0</v>
      </c>
      <c r="D188" s="59">
        <v>367832.0</v>
      </c>
    </row>
    <row r="189" ht="15.75" customHeight="1">
      <c r="A189" s="7">
        <v>40902.0</v>
      </c>
      <c r="B189" s="7" t="s">
        <v>236</v>
      </c>
      <c r="C189" s="59">
        <v>12071.0</v>
      </c>
      <c r="D189" s="59">
        <v>17962.0</v>
      </c>
    </row>
    <row r="190" ht="15.75" customHeight="1">
      <c r="A190" s="7">
        <v>40903.0</v>
      </c>
      <c r="B190" s="7" t="s">
        <v>237</v>
      </c>
      <c r="C190" s="59">
        <v>33381.0</v>
      </c>
      <c r="D190" s="59">
        <v>38681.0</v>
      </c>
    </row>
    <row r="191" ht="15.75" customHeight="1">
      <c r="A191" s="7">
        <v>41001.0</v>
      </c>
      <c r="B191" s="7" t="s">
        <v>238</v>
      </c>
      <c r="C191" s="59">
        <v>244844.0</v>
      </c>
      <c r="D191" s="59">
        <v>289492.0</v>
      </c>
    </row>
    <row r="192" ht="15.75" customHeight="1">
      <c r="A192" s="7">
        <v>41101.0</v>
      </c>
      <c r="B192" s="7" t="s">
        <v>239</v>
      </c>
      <c r="C192" s="59">
        <v>105849.0</v>
      </c>
      <c r="D192" s="59">
        <v>107100.0</v>
      </c>
    </row>
    <row r="193" ht="15.75" customHeight="1">
      <c r="A193" s="7">
        <v>41201.0</v>
      </c>
      <c r="B193" s="7" t="s">
        <v>240</v>
      </c>
      <c r="C193" s="59">
        <v>106543.0</v>
      </c>
      <c r="D193" s="59">
        <v>126693.0</v>
      </c>
    </row>
    <row r="194" ht="15.75" customHeight="1">
      <c r="A194" s="7">
        <v>41202.0</v>
      </c>
      <c r="B194" s="7" t="s">
        <v>241</v>
      </c>
      <c r="C194" s="59">
        <v>34543.0</v>
      </c>
      <c r="D194" s="59">
        <v>50277.0</v>
      </c>
    </row>
    <row r="195" ht="15.75" customHeight="1">
      <c r="A195" s="7">
        <v>41301.0</v>
      </c>
      <c r="B195" s="7" t="s">
        <v>196</v>
      </c>
      <c r="C195" s="59">
        <v>112885.0</v>
      </c>
      <c r="D195" s="59">
        <v>133238.0</v>
      </c>
    </row>
    <row r="196" ht="15.75" customHeight="1">
      <c r="A196" s="7">
        <v>41401.0</v>
      </c>
      <c r="B196" s="7" t="s">
        <v>242</v>
      </c>
      <c r="C196" s="59">
        <v>315572.0</v>
      </c>
      <c r="D196" s="59">
        <v>320335.0</v>
      </c>
    </row>
    <row r="197" ht="15.75" customHeight="1">
      <c r="A197" s="7">
        <v>41501.0</v>
      </c>
      <c r="B197" s="7" t="s">
        <v>243</v>
      </c>
      <c r="C197" s="59">
        <v>7304.0</v>
      </c>
      <c r="D197" s="59">
        <v>16122.0</v>
      </c>
    </row>
    <row r="198" ht="15.75" customHeight="1">
      <c r="A198" s="7">
        <v>41502.0</v>
      </c>
      <c r="B198" s="7" t="s">
        <v>244</v>
      </c>
      <c r="C198" s="59">
        <v>9727.0</v>
      </c>
      <c r="D198" s="59">
        <v>14564.0</v>
      </c>
    </row>
    <row r="199" ht="15.75" customHeight="1">
      <c r="A199" s="7">
        <v>41503.0</v>
      </c>
      <c r="B199" s="7" t="s">
        <v>245</v>
      </c>
      <c r="C199" s="59">
        <v>11039.0</v>
      </c>
      <c r="D199" s="59">
        <v>14423.0</v>
      </c>
    </row>
    <row r="200" ht="15.75" customHeight="1">
      <c r="A200" s="7">
        <v>41601.0</v>
      </c>
      <c r="B200" s="7" t="s">
        <v>246</v>
      </c>
      <c r="C200" s="59">
        <v>111279.0</v>
      </c>
      <c r="D200" s="59">
        <v>120370.0</v>
      </c>
    </row>
    <row r="201" ht="15.75" customHeight="1">
      <c r="A201" s="7">
        <v>50101.0</v>
      </c>
      <c r="B201" s="7" t="s">
        <v>117</v>
      </c>
      <c r="C201" s="59">
        <v>7772451.0</v>
      </c>
      <c r="D201" s="59">
        <v>8780885.0</v>
      </c>
    </row>
    <row r="202" ht="15.75" customHeight="1">
      <c r="A202" s="7">
        <v>50102.0</v>
      </c>
      <c r="B202" s="7" t="s">
        <v>247</v>
      </c>
      <c r="C202" s="59">
        <v>798479.0</v>
      </c>
      <c r="D202" s="59">
        <v>845106.0</v>
      </c>
    </row>
    <row r="203" ht="15.75" customHeight="1">
      <c r="A203" s="7">
        <v>50103.0</v>
      </c>
      <c r="B203" s="7" t="s">
        <v>248</v>
      </c>
      <c r="C203" s="59">
        <v>185731.0</v>
      </c>
      <c r="D203" s="59">
        <v>290702.0</v>
      </c>
    </row>
    <row r="204" ht="15.75" customHeight="1">
      <c r="A204" s="7">
        <v>50104.0</v>
      </c>
      <c r="B204" s="7" t="s">
        <v>249</v>
      </c>
      <c r="C204" s="59">
        <v>45812.0</v>
      </c>
      <c r="D204" s="59">
        <v>51262.0</v>
      </c>
    </row>
    <row r="205" ht="15.75" customHeight="1">
      <c r="A205" s="7">
        <v>50201.0</v>
      </c>
      <c r="B205" s="7" t="s">
        <v>250</v>
      </c>
      <c r="C205" s="59">
        <v>523903.0</v>
      </c>
      <c r="D205" s="59">
        <v>540171.0</v>
      </c>
    </row>
    <row r="206" ht="15.75" customHeight="1">
      <c r="A206" s="7">
        <v>50202.0</v>
      </c>
      <c r="B206" s="7" t="s">
        <v>251</v>
      </c>
      <c r="C206" s="59">
        <v>382447.0</v>
      </c>
      <c r="D206" s="59">
        <v>380098.0</v>
      </c>
    </row>
    <row r="207" ht="15.75" customHeight="1">
      <c r="A207" s="7">
        <v>50203.0</v>
      </c>
      <c r="B207" s="7" t="s">
        <v>252</v>
      </c>
      <c r="C207" s="59">
        <v>1201653.0</v>
      </c>
      <c r="D207" s="59">
        <v>1217231.0</v>
      </c>
    </row>
    <row r="208" ht="15.75" customHeight="1">
      <c r="A208" s="7">
        <v>50204.0</v>
      </c>
      <c r="B208" s="7" t="s">
        <v>253</v>
      </c>
      <c r="C208" s="59">
        <v>161318.0</v>
      </c>
      <c r="D208" s="59">
        <v>165017.0</v>
      </c>
    </row>
    <row r="209" ht="15.75" customHeight="1">
      <c r="A209" s="7">
        <v>50301.0</v>
      </c>
      <c r="B209" s="7" t="s">
        <v>254</v>
      </c>
      <c r="C209" s="59">
        <v>985612.0</v>
      </c>
      <c r="D209" s="59">
        <v>931597.0</v>
      </c>
    </row>
    <row r="210" ht="15.75" customHeight="1">
      <c r="A210" s="7">
        <v>50302.0</v>
      </c>
      <c r="B210" s="7" t="s">
        <v>255</v>
      </c>
      <c r="C210" s="59">
        <v>197898.0</v>
      </c>
      <c r="D210" s="59">
        <v>186396.0</v>
      </c>
    </row>
    <row r="211" ht="15.75" customHeight="1">
      <c r="A211" s="7">
        <v>50303.0</v>
      </c>
      <c r="B211" s="7" t="s">
        <v>256</v>
      </c>
      <c r="C211" s="59">
        <v>285789.0</v>
      </c>
      <c r="D211" s="59">
        <v>340833.0</v>
      </c>
    </row>
    <row r="212" ht="15.75" customHeight="1">
      <c r="A212" s="7">
        <v>50401.0</v>
      </c>
      <c r="B212" s="7" t="s">
        <v>257</v>
      </c>
      <c r="C212" s="59">
        <v>364224.0</v>
      </c>
      <c r="D212" s="59">
        <v>388212.0</v>
      </c>
    </row>
    <row r="213" ht="15.75" customHeight="1">
      <c r="A213" s="7">
        <v>50402.0</v>
      </c>
      <c r="B213" s="7" t="s">
        <v>258</v>
      </c>
      <c r="C213" s="59">
        <v>494769.0</v>
      </c>
      <c r="D213" s="59">
        <v>401166.0</v>
      </c>
    </row>
    <row r="214" ht="15.75" customHeight="1">
      <c r="A214" s="7">
        <v>50403.0</v>
      </c>
      <c r="B214" s="7" t="s">
        <v>259</v>
      </c>
      <c r="C214" s="59">
        <v>784193.0</v>
      </c>
      <c r="D214" s="59">
        <v>953117.0</v>
      </c>
    </row>
    <row r="215" ht="15.75" customHeight="1">
      <c r="A215" s="7">
        <v>50404.0</v>
      </c>
      <c r="B215" s="7" t="s">
        <v>260</v>
      </c>
      <c r="C215" s="59">
        <v>379264.0</v>
      </c>
      <c r="D215" s="59">
        <v>344772.0</v>
      </c>
    </row>
    <row r="216" ht="15.75" customHeight="1">
      <c r="A216" s="7">
        <v>50405.0</v>
      </c>
      <c r="B216" s="7" t="s">
        <v>261</v>
      </c>
      <c r="C216" s="59">
        <v>475172.0</v>
      </c>
      <c r="D216" s="59">
        <v>498486.0</v>
      </c>
    </row>
    <row r="217" ht="15.75" customHeight="1">
      <c r="A217" s="7">
        <v>50501.0</v>
      </c>
      <c r="B217" s="7" t="s">
        <v>262</v>
      </c>
      <c r="C217" s="59">
        <v>872467.0</v>
      </c>
      <c r="D217" s="59">
        <v>829747.0</v>
      </c>
    </row>
    <row r="218" ht="15.75" customHeight="1">
      <c r="A218" s="7">
        <v>50502.0</v>
      </c>
      <c r="B218" s="7" t="s">
        <v>263</v>
      </c>
      <c r="C218" s="59">
        <v>257582.0</v>
      </c>
      <c r="D218" s="59">
        <v>254190.0</v>
      </c>
    </row>
    <row r="219" ht="15.75" customHeight="1">
      <c r="A219" s="7">
        <v>50601.0</v>
      </c>
      <c r="B219" s="7" t="s">
        <v>264</v>
      </c>
      <c r="C219" s="59">
        <v>922311.0</v>
      </c>
      <c r="D219" s="59">
        <v>853253.0</v>
      </c>
    </row>
    <row r="220" ht="15.75" customHeight="1">
      <c r="A220" s="7">
        <v>50602.0</v>
      </c>
      <c r="B220" s="7" t="s">
        <v>265</v>
      </c>
      <c r="C220" s="59">
        <v>251663.0</v>
      </c>
      <c r="D220" s="59">
        <v>241615.0</v>
      </c>
    </row>
    <row r="221" ht="15.75" customHeight="1">
      <c r="A221" s="7">
        <v>50701.0</v>
      </c>
      <c r="B221" s="7" t="s">
        <v>266</v>
      </c>
      <c r="C221" s="59">
        <v>460514.0</v>
      </c>
      <c r="D221" s="59">
        <v>408189.0</v>
      </c>
    </row>
    <row r="222" ht="15.75" customHeight="1">
      <c r="A222" s="7">
        <v>50702.0</v>
      </c>
      <c r="B222" s="7" t="s">
        <v>267</v>
      </c>
      <c r="C222" s="59">
        <v>174321.0</v>
      </c>
      <c r="D222" s="59">
        <v>169794.0</v>
      </c>
    </row>
    <row r="223" ht="15.75" customHeight="1">
      <c r="A223" s="7">
        <v>50801.0</v>
      </c>
      <c r="B223" s="7" t="s">
        <v>268</v>
      </c>
      <c r="C223" s="59">
        <v>1310457.0</v>
      </c>
      <c r="D223" s="59">
        <v>1331228.0</v>
      </c>
    </row>
    <row r="224" ht="15.75" customHeight="1">
      <c r="A224" s="7">
        <v>50802.0</v>
      </c>
      <c r="B224" s="7" t="s">
        <v>269</v>
      </c>
      <c r="C224" s="59">
        <v>263316.0</v>
      </c>
      <c r="D224" s="59">
        <v>192921.0</v>
      </c>
    </row>
    <row r="225" ht="15.75" customHeight="1">
      <c r="A225" s="7">
        <v>50901.0</v>
      </c>
      <c r="B225" s="7" t="s">
        <v>270</v>
      </c>
      <c r="C225" s="59">
        <v>307846.0</v>
      </c>
      <c r="D225" s="59">
        <v>302257.0</v>
      </c>
    </row>
    <row r="226" ht="15.75" customHeight="1">
      <c r="A226" s="7">
        <v>50902.0</v>
      </c>
      <c r="B226" s="7" t="s">
        <v>271</v>
      </c>
      <c r="C226" s="59">
        <v>14139.0</v>
      </c>
      <c r="D226" s="59">
        <v>20708.0</v>
      </c>
    </row>
    <row r="227" ht="15.75" customHeight="1">
      <c r="A227" s="7">
        <v>51001.0</v>
      </c>
      <c r="B227" s="7" t="s">
        <v>272</v>
      </c>
      <c r="C227" s="59">
        <v>55066.0</v>
      </c>
      <c r="D227" s="59">
        <v>51739.0</v>
      </c>
    </row>
    <row r="228" ht="15.75" customHeight="1">
      <c r="A228" s="7">
        <v>51002.0</v>
      </c>
      <c r="B228" s="7" t="s">
        <v>273</v>
      </c>
      <c r="C228" s="59">
        <v>14909.0</v>
      </c>
      <c r="D228" s="59">
        <v>13094.0</v>
      </c>
    </row>
    <row r="229" ht="15.75" customHeight="1">
      <c r="A229" s="7">
        <v>51003.0</v>
      </c>
      <c r="B229" s="7" t="s">
        <v>274</v>
      </c>
      <c r="C229" s="59">
        <v>37038.0</v>
      </c>
      <c r="D229" s="59">
        <v>24732.0</v>
      </c>
    </row>
    <row r="230" ht="15.75" customHeight="1">
      <c r="A230" s="7">
        <v>51101.0</v>
      </c>
      <c r="B230" s="7" t="s">
        <v>275</v>
      </c>
      <c r="C230" s="59">
        <v>509052.0</v>
      </c>
      <c r="D230" s="59">
        <v>388829.0</v>
      </c>
    </row>
    <row r="231" ht="15.75" customHeight="1">
      <c r="A231" s="7">
        <v>51102.0</v>
      </c>
      <c r="B231" s="7" t="s">
        <v>276</v>
      </c>
      <c r="C231" s="59">
        <v>288132.0</v>
      </c>
      <c r="D231" s="59">
        <v>308401.0</v>
      </c>
    </row>
    <row r="232" ht="15.75" customHeight="1">
      <c r="A232" s="7">
        <v>51103.0</v>
      </c>
      <c r="B232" s="7" t="s">
        <v>277</v>
      </c>
      <c r="C232" s="59">
        <v>372225.0</v>
      </c>
      <c r="D232" s="59">
        <v>340169.0</v>
      </c>
    </row>
    <row r="233" ht="15.75" customHeight="1">
      <c r="A233" s="7">
        <v>51201.0</v>
      </c>
      <c r="B233" s="7" t="s">
        <v>278</v>
      </c>
      <c r="C233" s="59">
        <v>880161.0</v>
      </c>
      <c r="D233" s="59">
        <v>1031286.0</v>
      </c>
    </row>
    <row r="234" ht="15.75" customHeight="1">
      <c r="A234" s="7">
        <v>51202.0</v>
      </c>
      <c r="B234" s="7" t="s">
        <v>279</v>
      </c>
      <c r="C234" s="59">
        <v>176056.0</v>
      </c>
      <c r="D234" s="59">
        <v>157488.0</v>
      </c>
    </row>
    <row r="235" ht="15.75" customHeight="1">
      <c r="A235" s="7">
        <v>51203.0</v>
      </c>
      <c r="B235" s="7" t="s">
        <v>280</v>
      </c>
      <c r="C235" s="59">
        <v>265285.0</v>
      </c>
      <c r="D235" s="59">
        <v>347666.0</v>
      </c>
    </row>
    <row r="236" ht="15.75" customHeight="1">
      <c r="A236" s="7">
        <v>51204.0</v>
      </c>
      <c r="B236" s="7" t="s">
        <v>281</v>
      </c>
      <c r="C236" s="59">
        <v>118951.0</v>
      </c>
      <c r="D236" s="59">
        <v>116816.0</v>
      </c>
    </row>
    <row r="237" ht="15.75" customHeight="1">
      <c r="A237" s="7">
        <v>51301.0</v>
      </c>
      <c r="B237" s="7" t="s">
        <v>282</v>
      </c>
      <c r="C237" s="59">
        <v>67802.0</v>
      </c>
      <c r="D237" s="59">
        <v>60214.0</v>
      </c>
    </row>
    <row r="238" ht="15.75" customHeight="1">
      <c r="A238" s="7">
        <v>51302.0</v>
      </c>
      <c r="B238" s="7" t="s">
        <v>283</v>
      </c>
      <c r="C238" s="59">
        <v>120855.0</v>
      </c>
      <c r="D238" s="59">
        <v>73436.0</v>
      </c>
    </row>
    <row r="239" ht="15.75" customHeight="1">
      <c r="A239" s="7">
        <v>51401.0</v>
      </c>
      <c r="B239" s="7" t="s">
        <v>284</v>
      </c>
      <c r="C239" s="59">
        <v>68214.0</v>
      </c>
      <c r="D239" s="59">
        <v>68771.0</v>
      </c>
    </row>
    <row r="240" ht="15.75" customHeight="1">
      <c r="A240" s="7">
        <v>51402.0</v>
      </c>
      <c r="B240" s="7" t="s">
        <v>285</v>
      </c>
      <c r="C240" s="59">
        <v>21554.0</v>
      </c>
      <c r="D240" s="59">
        <v>19750.0</v>
      </c>
    </row>
    <row r="241" ht="15.75" customHeight="1">
      <c r="A241" s="7">
        <v>51501.0</v>
      </c>
      <c r="B241" s="7" t="s">
        <v>286</v>
      </c>
      <c r="C241" s="59">
        <v>1322045.0</v>
      </c>
      <c r="D241" s="59">
        <v>1192751.0</v>
      </c>
    </row>
    <row r="242" ht="15.75" customHeight="1">
      <c r="A242" s="7">
        <v>51601.0</v>
      </c>
      <c r="B242" s="7" t="s">
        <v>287</v>
      </c>
      <c r="C242" s="59">
        <v>21984.0</v>
      </c>
      <c r="D242" s="59">
        <v>34920.0</v>
      </c>
    </row>
    <row r="243" ht="15.75" customHeight="1">
      <c r="A243" s="7">
        <v>60101.0</v>
      </c>
      <c r="B243" s="7" t="s">
        <v>119</v>
      </c>
      <c r="C243" s="59">
        <v>709990.0</v>
      </c>
      <c r="D243" s="59">
        <v>-1830260.0</v>
      </c>
    </row>
    <row r="244" ht="15.75" customHeight="1">
      <c r="A244" s="7">
        <v>60201.0</v>
      </c>
      <c r="B244" s="7" t="s">
        <v>288</v>
      </c>
      <c r="C244" s="59">
        <v>441499.0</v>
      </c>
      <c r="D244" s="59">
        <v>422708.0</v>
      </c>
    </row>
    <row r="245" ht="15.75" customHeight="1">
      <c r="A245" s="7">
        <v>60202.0</v>
      </c>
      <c r="B245" s="7" t="s">
        <v>289</v>
      </c>
      <c r="C245" s="59">
        <v>-363199.0</v>
      </c>
      <c r="D245" s="59">
        <v>-99260.0</v>
      </c>
    </row>
    <row r="246" ht="15.75" customHeight="1">
      <c r="A246" s="7">
        <v>60301.0</v>
      </c>
      <c r="B246" s="7" t="s">
        <v>290</v>
      </c>
      <c r="C246" s="59">
        <v>1671827.0</v>
      </c>
      <c r="D246" s="59">
        <v>1743058.0</v>
      </c>
    </row>
    <row r="247" ht="15.75" customHeight="1">
      <c r="A247" s="7">
        <v>60302.0</v>
      </c>
      <c r="B247" s="7" t="s">
        <v>291</v>
      </c>
      <c r="C247" s="59">
        <v>364940.0</v>
      </c>
      <c r="D247" s="59">
        <v>369137.0</v>
      </c>
    </row>
    <row r="248" ht="15.75" customHeight="1">
      <c r="A248" s="7">
        <v>60303.0</v>
      </c>
      <c r="B248" s="7" t="s">
        <v>292</v>
      </c>
      <c r="C248" s="59">
        <v>1179213.0</v>
      </c>
      <c r="D248" s="59">
        <v>1345273.0</v>
      </c>
    </row>
    <row r="249" ht="15.75" customHeight="1">
      <c r="A249" s="7">
        <v>60401.0</v>
      </c>
      <c r="B249" s="7" t="s">
        <v>293</v>
      </c>
      <c r="C249" s="59">
        <v>352937.0</v>
      </c>
      <c r="D249" s="59">
        <v>377773.0</v>
      </c>
    </row>
    <row r="250" ht="15.75" customHeight="1">
      <c r="A250" s="7">
        <v>60402.0</v>
      </c>
      <c r="B250" s="7" t="s">
        <v>294</v>
      </c>
      <c r="C250" s="59">
        <v>108980.0</v>
      </c>
      <c r="D250" s="59">
        <v>78084.0</v>
      </c>
    </row>
    <row r="251" ht="15.75" customHeight="1">
      <c r="A251" s="7">
        <v>60501.0</v>
      </c>
      <c r="B251" s="7" t="s">
        <v>295</v>
      </c>
      <c r="C251" s="59">
        <v>578967.0</v>
      </c>
      <c r="D251" s="59">
        <v>886103.0</v>
      </c>
    </row>
    <row r="252" ht="15.75" customHeight="1">
      <c r="A252" s="7">
        <v>60502.0</v>
      </c>
      <c r="B252" s="7" t="s">
        <v>296</v>
      </c>
      <c r="C252" s="59">
        <v>265754.0</v>
      </c>
      <c r="D252" s="59">
        <v>191174.0</v>
      </c>
    </row>
    <row r="253" ht="15.75" customHeight="1">
      <c r="A253" s="7">
        <v>60601.0</v>
      </c>
      <c r="B253" s="7" t="s">
        <v>201</v>
      </c>
      <c r="C253" s="59">
        <v>519508.0</v>
      </c>
      <c r="D253" s="59">
        <v>494998.0</v>
      </c>
    </row>
    <row r="254" ht="15.75" customHeight="1">
      <c r="A254" s="7">
        <v>70101.0</v>
      </c>
      <c r="B254" s="7" t="s">
        <v>384</v>
      </c>
      <c r="C254" s="59">
        <v>8226208.0</v>
      </c>
      <c r="D254" s="59">
        <v>-1.1601416E7</v>
      </c>
    </row>
    <row r="255" ht="15.75" customHeight="1">
      <c r="A255" s="7">
        <v>70102.0</v>
      </c>
      <c r="B255" s="7" t="s">
        <v>301</v>
      </c>
      <c r="C255" s="59">
        <v>1957390.0</v>
      </c>
      <c r="D255" s="59">
        <v>3936313.0</v>
      </c>
    </row>
    <row r="256" ht="15.75" customHeight="1">
      <c r="A256" s="7">
        <v>70103.0</v>
      </c>
      <c r="B256" s="7" t="s">
        <v>302</v>
      </c>
      <c r="C256" s="59">
        <v>378835.0</v>
      </c>
      <c r="D256" s="59">
        <v>401601.0</v>
      </c>
    </row>
    <row r="257" ht="15.75" customHeight="1">
      <c r="A257" s="7">
        <v>70104.0</v>
      </c>
      <c r="B257" s="7" t="s">
        <v>385</v>
      </c>
      <c r="C257" s="59">
        <v>3780290.0</v>
      </c>
      <c r="D257" s="59">
        <v>5516353.0</v>
      </c>
    </row>
    <row r="258" ht="15.75" customHeight="1">
      <c r="A258" s="7">
        <v>70105.0</v>
      </c>
      <c r="B258" s="7" t="s">
        <v>386</v>
      </c>
      <c r="C258" s="59">
        <v>1609331.0</v>
      </c>
      <c r="D258" s="59">
        <v>1932748.0</v>
      </c>
    </row>
    <row r="259" ht="15.75" customHeight="1">
      <c r="A259" s="7">
        <v>70201.0</v>
      </c>
      <c r="B259" s="7" t="s">
        <v>304</v>
      </c>
      <c r="C259" s="59">
        <v>3439241.0</v>
      </c>
      <c r="D259" s="59">
        <v>5487527.0</v>
      </c>
    </row>
    <row r="260" ht="15.75" customHeight="1">
      <c r="A260" s="7">
        <v>70202.0</v>
      </c>
      <c r="B260" s="7" t="s">
        <v>305</v>
      </c>
      <c r="C260" s="59">
        <v>292543.0</v>
      </c>
      <c r="D260" s="59">
        <v>253027.0</v>
      </c>
    </row>
    <row r="261" ht="15.75" customHeight="1">
      <c r="A261" s="7">
        <v>70301.0</v>
      </c>
      <c r="B261" s="7" t="s">
        <v>306</v>
      </c>
      <c r="C261" s="59">
        <v>1860419.0</v>
      </c>
      <c r="D261" s="59">
        <v>2480081.0</v>
      </c>
    </row>
    <row r="262" ht="15.75" customHeight="1">
      <c r="A262" s="7">
        <v>70302.0</v>
      </c>
      <c r="B262" s="7" t="s">
        <v>307</v>
      </c>
      <c r="C262" s="59">
        <v>276467.0</v>
      </c>
      <c r="D262" s="59">
        <v>361545.0</v>
      </c>
    </row>
    <row r="263" ht="15.75" customHeight="1">
      <c r="A263" s="7">
        <v>70303.0</v>
      </c>
      <c r="B263" s="7" t="s">
        <v>308</v>
      </c>
      <c r="C263" s="59">
        <v>127762.0</v>
      </c>
      <c r="D263" s="59">
        <v>177503.0</v>
      </c>
    </row>
    <row r="264" ht="15.75" customHeight="1">
      <c r="A264" s="7">
        <v>70401.0</v>
      </c>
      <c r="B264" s="7" t="s">
        <v>309</v>
      </c>
      <c r="C264" s="59">
        <v>307081.0</v>
      </c>
      <c r="D264" s="59">
        <v>323870.0</v>
      </c>
    </row>
    <row r="265" ht="15.75" customHeight="1">
      <c r="A265" s="7">
        <v>70402.0</v>
      </c>
      <c r="B265" s="7" t="s">
        <v>387</v>
      </c>
      <c r="C265" s="59">
        <v>474431.0</v>
      </c>
      <c r="D265" s="59">
        <v>192181.0</v>
      </c>
    </row>
    <row r="266" ht="15.75" customHeight="1">
      <c r="A266" s="7">
        <v>70403.0</v>
      </c>
      <c r="B266" s="7" t="s">
        <v>310</v>
      </c>
      <c r="C266" s="59">
        <v>1855394.0</v>
      </c>
      <c r="D266" s="59">
        <v>2014910.0</v>
      </c>
    </row>
    <row r="267" ht="15.75" customHeight="1">
      <c r="A267" s="7">
        <v>70404.0</v>
      </c>
      <c r="B267" s="7" t="s">
        <v>311</v>
      </c>
      <c r="C267" s="59">
        <v>186197.0</v>
      </c>
      <c r="D267" s="59">
        <v>241995.0</v>
      </c>
    </row>
    <row r="268" ht="15.75" customHeight="1">
      <c r="A268" s="7">
        <v>70501.0</v>
      </c>
      <c r="B268" s="7" t="s">
        <v>312</v>
      </c>
      <c r="C268" s="59">
        <v>873849.0</v>
      </c>
      <c r="D268" s="59">
        <v>1196441.0</v>
      </c>
    </row>
    <row r="269" ht="15.75" customHeight="1">
      <c r="A269" s="7">
        <v>70502.0</v>
      </c>
      <c r="B269" s="7" t="s">
        <v>313</v>
      </c>
      <c r="C269" s="59">
        <v>1146151.0</v>
      </c>
      <c r="D269" s="59">
        <v>2187974.0</v>
      </c>
    </row>
    <row r="270" ht="15.75" customHeight="1">
      <c r="A270" s="7">
        <v>70503.0</v>
      </c>
      <c r="B270" s="7" t="s">
        <v>314</v>
      </c>
      <c r="C270" s="59">
        <v>377255.0</v>
      </c>
      <c r="D270" s="59">
        <v>42108.0</v>
      </c>
    </row>
    <row r="271" ht="15.75" customHeight="1">
      <c r="A271" s="7">
        <v>70601.0</v>
      </c>
      <c r="B271" s="7" t="s">
        <v>315</v>
      </c>
      <c r="C271" s="59">
        <v>429972.0</v>
      </c>
      <c r="D271" s="59">
        <v>-94260.0</v>
      </c>
    </row>
    <row r="272" ht="15.75" customHeight="1">
      <c r="A272" s="7">
        <v>70602.0</v>
      </c>
      <c r="B272" s="7" t="s">
        <v>316</v>
      </c>
      <c r="C272" s="59">
        <v>453515.0</v>
      </c>
      <c r="D272" s="59">
        <v>427026.0</v>
      </c>
    </row>
    <row r="273" ht="15.75" customHeight="1">
      <c r="A273" s="7">
        <v>70603.0</v>
      </c>
      <c r="B273" s="7" t="s">
        <v>317</v>
      </c>
      <c r="C273" s="59">
        <v>121731.0</v>
      </c>
      <c r="D273" s="59">
        <v>120591.0</v>
      </c>
    </row>
    <row r="274" ht="15.75" customHeight="1">
      <c r="A274" s="7">
        <v>70701.0</v>
      </c>
      <c r="B274" s="7" t="s">
        <v>318</v>
      </c>
      <c r="C274" s="59">
        <v>108693.0</v>
      </c>
      <c r="D274" s="59">
        <v>119366.0</v>
      </c>
    </row>
    <row r="275" ht="15.75" customHeight="1">
      <c r="A275" s="7">
        <v>70702.0</v>
      </c>
      <c r="B275" s="7" t="s">
        <v>319</v>
      </c>
      <c r="C275" s="59">
        <v>955001.0</v>
      </c>
      <c r="D275" s="59">
        <v>1121864.0</v>
      </c>
    </row>
    <row r="276" ht="15.75" customHeight="1">
      <c r="A276" s="7">
        <v>70703.0</v>
      </c>
      <c r="B276" s="7" t="s">
        <v>320</v>
      </c>
      <c r="C276" s="59">
        <v>787755.0</v>
      </c>
      <c r="D276" s="59">
        <v>962461.0</v>
      </c>
    </row>
    <row r="277" ht="15.75" customHeight="1">
      <c r="A277" s="7">
        <v>70704.0</v>
      </c>
      <c r="B277" s="7" t="s">
        <v>321</v>
      </c>
      <c r="C277" s="59">
        <v>101892.0</v>
      </c>
      <c r="D277" s="59">
        <v>107100.0</v>
      </c>
    </row>
    <row r="278" ht="15.75" customHeight="1">
      <c r="A278" s="7">
        <v>70705.0</v>
      </c>
      <c r="B278" s="7" t="s">
        <v>322</v>
      </c>
      <c r="C278" s="59">
        <v>295360.0</v>
      </c>
      <c r="D278" s="59">
        <v>341379.0</v>
      </c>
    </row>
    <row r="279" ht="15.75" customHeight="1">
      <c r="A279" s="7">
        <v>70706.0</v>
      </c>
      <c r="B279" s="7" t="s">
        <v>323</v>
      </c>
      <c r="C279" s="59">
        <v>984291.0</v>
      </c>
      <c r="D279" s="59">
        <v>942722.0</v>
      </c>
    </row>
    <row r="280" ht="15.75" customHeight="1">
      <c r="A280" s="7">
        <v>70707.0</v>
      </c>
      <c r="B280" s="7" t="s">
        <v>324</v>
      </c>
      <c r="C280" s="59">
        <v>103000.0</v>
      </c>
      <c r="D280" s="59">
        <v>112661.0</v>
      </c>
    </row>
    <row r="281" ht="15.75" customHeight="1">
      <c r="A281" s="7">
        <v>70801.0</v>
      </c>
      <c r="B281" s="7" t="s">
        <v>325</v>
      </c>
      <c r="C281" s="59">
        <v>408341.0</v>
      </c>
      <c r="D281" s="59">
        <v>-96290.0</v>
      </c>
    </row>
    <row r="282" ht="15.75" customHeight="1">
      <c r="A282" s="7">
        <v>70802.0</v>
      </c>
      <c r="B282" s="7" t="s">
        <v>326</v>
      </c>
      <c r="C282" s="59">
        <v>35374.0</v>
      </c>
      <c r="D282" s="59">
        <v>38747.0</v>
      </c>
    </row>
    <row r="283" ht="15.75" customHeight="1">
      <c r="A283" s="7">
        <v>70803.0</v>
      </c>
      <c r="B283" s="7" t="s">
        <v>327</v>
      </c>
      <c r="C283" s="59">
        <v>45484.0</v>
      </c>
      <c r="D283" s="59">
        <v>45875.0</v>
      </c>
    </row>
    <row r="284" ht="15.75" customHeight="1">
      <c r="A284" s="7">
        <v>70804.0</v>
      </c>
      <c r="B284" s="7" t="s">
        <v>328</v>
      </c>
      <c r="C284" s="59">
        <v>38456.0</v>
      </c>
      <c r="D284" s="59">
        <v>23072.0</v>
      </c>
    </row>
    <row r="285" ht="15.75" customHeight="1">
      <c r="A285" s="7">
        <v>70805.0</v>
      </c>
      <c r="B285" s="7" t="s">
        <v>329</v>
      </c>
      <c r="C285" s="59">
        <v>34015.0</v>
      </c>
      <c r="D285" s="59">
        <v>33096.0</v>
      </c>
    </row>
    <row r="286" ht="15.75" customHeight="1">
      <c r="A286" s="7">
        <v>70901.0</v>
      </c>
      <c r="B286" s="7" t="s">
        <v>330</v>
      </c>
      <c r="C286" s="59">
        <v>251159.0</v>
      </c>
      <c r="D286" s="59">
        <v>280975.0</v>
      </c>
    </row>
    <row r="287" ht="15.75" customHeight="1">
      <c r="A287" s="7">
        <v>70902.0</v>
      </c>
      <c r="B287" s="7" t="s">
        <v>331</v>
      </c>
      <c r="C287" s="59">
        <v>185476.0</v>
      </c>
      <c r="D287" s="59">
        <v>194567.0</v>
      </c>
    </row>
    <row r="288" ht="15.75" customHeight="1">
      <c r="A288" s="7">
        <v>70903.0</v>
      </c>
      <c r="B288" s="7" t="s">
        <v>332</v>
      </c>
      <c r="C288" s="59">
        <v>246507.0</v>
      </c>
      <c r="D288" s="59">
        <v>234183.0</v>
      </c>
    </row>
    <row r="289" ht="15.75" customHeight="1">
      <c r="A289" s="7">
        <v>70904.0</v>
      </c>
      <c r="B289" s="7" t="s">
        <v>333</v>
      </c>
      <c r="C289" s="59">
        <v>49317.0</v>
      </c>
      <c r="D289" s="59">
        <v>50688.0</v>
      </c>
    </row>
    <row r="290" ht="15.75" customHeight="1">
      <c r="A290" s="7">
        <v>71001.0</v>
      </c>
      <c r="B290" s="7" t="s">
        <v>334</v>
      </c>
      <c r="C290" s="59">
        <v>-118285.0</v>
      </c>
      <c r="D290" s="59">
        <v>4667798.0</v>
      </c>
    </row>
    <row r="291" ht="15.75" customHeight="1">
      <c r="A291" s="7">
        <v>71002.0</v>
      </c>
      <c r="B291" s="7" t="s">
        <v>336</v>
      </c>
      <c r="C291" s="59">
        <v>341832.0</v>
      </c>
      <c r="D291" s="59">
        <v>393788.0</v>
      </c>
    </row>
    <row r="292" ht="15.75" customHeight="1">
      <c r="A292" s="7">
        <v>71003.0</v>
      </c>
      <c r="B292" s="7" t="s">
        <v>337</v>
      </c>
      <c r="C292" s="59">
        <v>551351.0</v>
      </c>
      <c r="D292" s="59">
        <v>33089.0</v>
      </c>
    </row>
    <row r="293" ht="15.75" customHeight="1">
      <c r="A293" s="7">
        <v>71004.0</v>
      </c>
      <c r="B293" s="7" t="s">
        <v>388</v>
      </c>
      <c r="C293" s="59">
        <v>357648.0</v>
      </c>
      <c r="D293" s="59">
        <v>203534.0</v>
      </c>
    </row>
    <row r="294" ht="15.75" customHeight="1">
      <c r="A294" s="7">
        <v>71005.0</v>
      </c>
      <c r="B294" s="7" t="s">
        <v>262</v>
      </c>
      <c r="C294" s="59">
        <v>445593.0</v>
      </c>
      <c r="D294" s="59">
        <v>361711.0</v>
      </c>
    </row>
    <row r="295" ht="15.75" customHeight="1">
      <c r="A295" s="7">
        <v>71101.0</v>
      </c>
      <c r="B295" s="7" t="s">
        <v>338</v>
      </c>
      <c r="C295" s="59">
        <v>468407.0</v>
      </c>
      <c r="D295" s="59">
        <v>879446.0</v>
      </c>
    </row>
    <row r="296" ht="15.75" customHeight="1">
      <c r="A296" s="7">
        <v>71102.0</v>
      </c>
      <c r="B296" s="7" t="s">
        <v>339</v>
      </c>
      <c r="C296" s="59">
        <v>325641.0</v>
      </c>
      <c r="D296" s="59">
        <v>353218.0</v>
      </c>
    </row>
    <row r="297" ht="15.75" customHeight="1">
      <c r="A297" s="7">
        <v>71103.0</v>
      </c>
      <c r="B297" s="7" t="s">
        <v>342</v>
      </c>
      <c r="C297" s="59">
        <v>152120.0</v>
      </c>
      <c r="D297" s="59">
        <v>171461.0</v>
      </c>
    </row>
    <row r="298" ht="15.75" customHeight="1">
      <c r="A298" s="7">
        <v>71104.0</v>
      </c>
      <c r="B298" s="7" t="s">
        <v>340</v>
      </c>
      <c r="C298" s="59">
        <v>1378447.0</v>
      </c>
      <c r="D298" s="59">
        <v>1311343.0</v>
      </c>
    </row>
    <row r="299" ht="15.75" customHeight="1">
      <c r="A299" s="7">
        <v>71105.0</v>
      </c>
      <c r="B299" s="7" t="s">
        <v>341</v>
      </c>
      <c r="C299" s="59">
        <v>129910.0</v>
      </c>
      <c r="D299" s="59">
        <v>127757.0</v>
      </c>
    </row>
    <row r="300" ht="15.75" customHeight="1">
      <c r="A300" s="7">
        <v>71106.0</v>
      </c>
      <c r="B300" s="7" t="s">
        <v>343</v>
      </c>
      <c r="C300" s="59">
        <v>546768.0</v>
      </c>
      <c r="D300" s="59">
        <v>351998.0</v>
      </c>
    </row>
    <row r="301" ht="15.75" customHeight="1">
      <c r="A301" s="7">
        <v>71201.0</v>
      </c>
      <c r="B301" s="7" t="s">
        <v>344</v>
      </c>
      <c r="C301" s="59">
        <v>345096.0</v>
      </c>
      <c r="D301" s="59">
        <v>364843.0</v>
      </c>
    </row>
    <row r="302" ht="15.75" customHeight="1">
      <c r="A302" s="7">
        <v>71301.0</v>
      </c>
      <c r="B302" s="7" t="s">
        <v>345</v>
      </c>
      <c r="C302" s="59">
        <v>380201.0</v>
      </c>
      <c r="D302" s="59">
        <v>407951.0</v>
      </c>
    </row>
    <row r="303" ht="15.75" customHeight="1">
      <c r="A303" s="7">
        <v>71302.0</v>
      </c>
      <c r="B303" s="7" t="s">
        <v>346</v>
      </c>
      <c r="C303" s="59">
        <v>146109.0</v>
      </c>
      <c r="D303" s="59">
        <v>121414.0</v>
      </c>
    </row>
    <row r="304" ht="15.75" customHeight="1">
      <c r="A304" s="7">
        <v>71401.0</v>
      </c>
      <c r="B304" s="7" t="s">
        <v>347</v>
      </c>
      <c r="C304" s="59">
        <v>465674.0</v>
      </c>
      <c r="D304" s="59">
        <v>413218.0</v>
      </c>
    </row>
    <row r="305" ht="15.75" customHeight="1">
      <c r="A305" s="7">
        <v>71402.0</v>
      </c>
      <c r="B305" s="7" t="s">
        <v>348</v>
      </c>
      <c r="C305" s="59">
        <v>397835.0</v>
      </c>
      <c r="D305" s="59">
        <v>426433.0</v>
      </c>
    </row>
    <row r="306" ht="15.75" customHeight="1">
      <c r="A306" s="7">
        <v>71403.0</v>
      </c>
      <c r="B306" s="7" t="s">
        <v>349</v>
      </c>
      <c r="C306" s="59">
        <v>131454.0</v>
      </c>
      <c r="D306" s="59">
        <v>176981.0</v>
      </c>
    </row>
    <row r="307" ht="15.75" customHeight="1">
      <c r="A307" s="7">
        <v>71501.0</v>
      </c>
      <c r="B307" s="7" t="s">
        <v>350</v>
      </c>
      <c r="C307" s="59">
        <v>807499.0</v>
      </c>
      <c r="D307" s="59">
        <v>995107.0</v>
      </c>
    </row>
    <row r="308" ht="15.75" customHeight="1">
      <c r="A308" s="7">
        <v>71502.0</v>
      </c>
      <c r="B308" s="7" t="s">
        <v>351</v>
      </c>
      <c r="C308" s="59">
        <v>140259.0</v>
      </c>
      <c r="D308" s="59">
        <v>131592.0</v>
      </c>
    </row>
    <row r="309" ht="15.75" customHeight="1">
      <c r="A309" s="7">
        <v>71503.0</v>
      </c>
      <c r="B309" s="7" t="s">
        <v>296</v>
      </c>
      <c r="C309" s="59">
        <v>343113.0</v>
      </c>
      <c r="D309" s="59">
        <v>410205.0</v>
      </c>
    </row>
    <row r="310" ht="15.75" customHeight="1">
      <c r="A310" s="7">
        <v>80101.0</v>
      </c>
      <c r="B310" s="7" t="s">
        <v>352</v>
      </c>
      <c r="C310" s="59">
        <v>1567302.0</v>
      </c>
      <c r="D310" s="59">
        <v>2872850.0</v>
      </c>
    </row>
    <row r="311" ht="15.75" customHeight="1">
      <c r="A311" s="7">
        <v>80102.0</v>
      </c>
      <c r="B311" s="7" t="s">
        <v>339</v>
      </c>
      <c r="C311" s="59">
        <v>110346.0</v>
      </c>
      <c r="D311" s="59">
        <v>158853.0</v>
      </c>
    </row>
    <row r="312" ht="15.75" customHeight="1">
      <c r="A312" s="7">
        <v>80201.0</v>
      </c>
      <c r="B312" s="7" t="s">
        <v>353</v>
      </c>
      <c r="C312" s="59">
        <v>3645433.0</v>
      </c>
      <c r="D312" s="59">
        <v>4428625.0</v>
      </c>
    </row>
    <row r="313" ht="15.75" customHeight="1">
      <c r="A313" s="7">
        <v>80202.0</v>
      </c>
      <c r="B313" s="7" t="s">
        <v>354</v>
      </c>
      <c r="C313" s="59">
        <v>1221497.0</v>
      </c>
      <c r="D313" s="59">
        <v>1227305.0</v>
      </c>
    </row>
    <row r="314" ht="15.75" customHeight="1">
      <c r="A314" s="7">
        <v>80301.0</v>
      </c>
      <c r="B314" s="7" t="s">
        <v>355</v>
      </c>
      <c r="C314" s="59">
        <v>310766.0</v>
      </c>
      <c r="D314" s="59">
        <v>272316.0</v>
      </c>
    </row>
    <row r="315" ht="15.75" customHeight="1">
      <c r="A315" s="7">
        <v>80302.0</v>
      </c>
      <c r="B315" s="7" t="s">
        <v>356</v>
      </c>
      <c r="C315" s="59">
        <v>1205235.0</v>
      </c>
      <c r="D315" s="59">
        <v>1337302.0</v>
      </c>
    </row>
    <row r="316" ht="15.75" customHeight="1">
      <c r="A316" s="7">
        <v>80303.0</v>
      </c>
      <c r="B316" s="7" t="s">
        <v>316</v>
      </c>
      <c r="C316" s="59">
        <v>193021.0</v>
      </c>
      <c r="D316" s="59">
        <v>263869.0</v>
      </c>
    </row>
    <row r="317" ht="15.75" customHeight="1">
      <c r="A317" s="7">
        <v>80304.0</v>
      </c>
      <c r="B317" s="7" t="s">
        <v>357</v>
      </c>
      <c r="C317" s="59">
        <v>459445.0</v>
      </c>
      <c r="D317" s="59">
        <v>503919.0</v>
      </c>
    </row>
    <row r="318" ht="15.75" customHeight="1">
      <c r="A318" s="7">
        <v>80401.0</v>
      </c>
      <c r="B318" s="7" t="s">
        <v>358</v>
      </c>
      <c r="C318" s="59">
        <v>406977.0</v>
      </c>
      <c r="D318" s="59">
        <v>429138.0</v>
      </c>
    </row>
    <row r="319" ht="15.75" customHeight="1">
      <c r="A319" s="7">
        <v>80402.0</v>
      </c>
      <c r="B319" s="7" t="s">
        <v>359</v>
      </c>
      <c r="C319" s="59">
        <v>130477.0</v>
      </c>
      <c r="D319" s="59">
        <v>160841.0</v>
      </c>
    </row>
    <row r="320" ht="15.75" customHeight="1">
      <c r="A320" s="7">
        <v>80501.0</v>
      </c>
      <c r="B320" s="7" t="s">
        <v>306</v>
      </c>
      <c r="C320" s="59">
        <v>461364.0</v>
      </c>
      <c r="D320" s="59">
        <v>512080.0</v>
      </c>
    </row>
    <row r="321" ht="15.75" customHeight="1">
      <c r="A321" s="7">
        <v>80601.0</v>
      </c>
      <c r="B321" s="7" t="s">
        <v>360</v>
      </c>
      <c r="C321" s="59">
        <v>63479.0</v>
      </c>
      <c r="D321" s="59">
        <v>70118.0</v>
      </c>
    </row>
    <row r="322" ht="15.75" customHeight="1">
      <c r="A322" s="7">
        <v>80602.0</v>
      </c>
      <c r="B322" s="7" t="s">
        <v>361</v>
      </c>
      <c r="C322" s="59">
        <v>302697.0</v>
      </c>
      <c r="D322" s="59">
        <v>369398.0</v>
      </c>
    </row>
    <row r="323" ht="15.75" customHeight="1">
      <c r="A323" s="7">
        <v>80701.0</v>
      </c>
      <c r="B323" s="7" t="s">
        <v>362</v>
      </c>
      <c r="C323" s="59">
        <v>138676.0</v>
      </c>
      <c r="D323" s="59">
        <v>136671.0</v>
      </c>
    </row>
    <row r="324" ht="15.75" customHeight="1">
      <c r="A324" s="7">
        <v>80702.0</v>
      </c>
      <c r="B324" s="7" t="s">
        <v>342</v>
      </c>
      <c r="C324" s="59">
        <v>82117.0</v>
      </c>
      <c r="D324" s="59">
        <v>110192.0</v>
      </c>
    </row>
    <row r="325" ht="15.75" customHeight="1">
      <c r="A325" s="7">
        <v>80703.0</v>
      </c>
      <c r="B325" s="7" t="s">
        <v>363</v>
      </c>
      <c r="C325" s="59">
        <v>12228.0</v>
      </c>
      <c r="D325" s="59">
        <v>13938.0</v>
      </c>
    </row>
    <row r="326" ht="15.75" customHeight="1">
      <c r="A326" s="7">
        <v>80801.0</v>
      </c>
      <c r="B326" s="7" t="s">
        <v>364</v>
      </c>
      <c r="C326" s="59">
        <v>272703.0</v>
      </c>
      <c r="D326" s="59">
        <v>303324.0</v>
      </c>
    </row>
    <row r="327" ht="15.75" customHeight="1">
      <c r="A327" s="7">
        <v>80802.0</v>
      </c>
      <c r="B327" s="7" t="s">
        <v>365</v>
      </c>
      <c r="C327" s="59">
        <v>122295.0</v>
      </c>
      <c r="D327" s="59">
        <v>150322.0</v>
      </c>
    </row>
    <row r="328" ht="15.75" customHeight="1">
      <c r="A328" s="7">
        <v>80803.0</v>
      </c>
      <c r="B328" s="7" t="s">
        <v>366</v>
      </c>
      <c r="C328" s="59">
        <v>68234.0</v>
      </c>
      <c r="D328" s="59">
        <v>76048.0</v>
      </c>
    </row>
    <row r="329" ht="15.75" customHeight="1">
      <c r="A329" s="7">
        <v>80901.0</v>
      </c>
      <c r="B329" s="7" t="s">
        <v>367</v>
      </c>
      <c r="C329" s="59">
        <v>54100.0</v>
      </c>
      <c r="D329" s="59">
        <v>65257.0</v>
      </c>
    </row>
    <row r="330" ht="15.75" customHeight="1">
      <c r="A330" s="7">
        <v>90101.0</v>
      </c>
      <c r="B330" s="7" t="s">
        <v>368</v>
      </c>
      <c r="C330" s="59">
        <v>1372524.0</v>
      </c>
      <c r="D330" s="59">
        <v>2212827.0</v>
      </c>
    </row>
    <row r="331" ht="15.75" customHeight="1">
      <c r="A331" s="7">
        <v>90102.0</v>
      </c>
      <c r="B331" s="7" t="s">
        <v>369</v>
      </c>
      <c r="C331" s="59">
        <v>161907.0</v>
      </c>
      <c r="D331" s="59">
        <v>187761.0</v>
      </c>
    </row>
    <row r="332" ht="15.75" customHeight="1">
      <c r="A332" s="7">
        <v>90103.0</v>
      </c>
      <c r="B332" s="7" t="s">
        <v>370</v>
      </c>
      <c r="C332" s="59">
        <v>36053.0</v>
      </c>
      <c r="D332" s="59">
        <v>40028.0</v>
      </c>
    </row>
    <row r="333" ht="15.75" customHeight="1">
      <c r="A333" s="7">
        <v>90104.0</v>
      </c>
      <c r="B333" s="7" t="s">
        <v>371</v>
      </c>
      <c r="C333" s="59">
        <v>63823.0</v>
      </c>
      <c r="D333" s="59">
        <v>59623.0</v>
      </c>
    </row>
    <row r="334" ht="15.75" customHeight="1">
      <c r="A334" s="7">
        <v>90201.0</v>
      </c>
      <c r="B334" s="7" t="s">
        <v>372</v>
      </c>
      <c r="C334" s="59">
        <v>127135.0</v>
      </c>
      <c r="D334" s="59">
        <v>147893.0</v>
      </c>
    </row>
    <row r="335" ht="15.75" customHeight="1">
      <c r="A335" s="7">
        <v>90202.0</v>
      </c>
      <c r="B335" s="7" t="s">
        <v>262</v>
      </c>
      <c r="C335" s="59">
        <v>49849.0</v>
      </c>
      <c r="D335" s="59">
        <v>57783.0</v>
      </c>
    </row>
    <row r="336" ht="15.75" customHeight="1">
      <c r="A336" s="7">
        <v>90203.0</v>
      </c>
      <c r="B336" s="7" t="s">
        <v>373</v>
      </c>
      <c r="C336" s="59">
        <v>119381.0</v>
      </c>
      <c r="D336" s="59">
        <v>161503.0</v>
      </c>
    </row>
    <row r="337" ht="15.75" customHeight="1">
      <c r="A337" s="7">
        <v>90301.0</v>
      </c>
      <c r="B337" s="7" t="s">
        <v>374</v>
      </c>
      <c r="C337" s="59">
        <v>170957.0</v>
      </c>
      <c r="D337" s="59">
        <v>294925.0</v>
      </c>
    </row>
    <row r="338" ht="15.75" customHeight="1">
      <c r="A338" s="7">
        <v>90302.0</v>
      </c>
      <c r="B338" s="7" t="s">
        <v>295</v>
      </c>
      <c r="C338" s="59">
        <v>157261.0</v>
      </c>
      <c r="D338" s="59">
        <v>197377.0</v>
      </c>
    </row>
    <row r="339" ht="15.75" customHeight="1">
      <c r="A339" s="7">
        <v>90303.0</v>
      </c>
      <c r="B339" s="7" t="s">
        <v>375</v>
      </c>
      <c r="C339" s="59">
        <v>169567.0</v>
      </c>
      <c r="D339" s="59">
        <v>249634.0</v>
      </c>
    </row>
    <row r="340" ht="15.75" customHeight="1">
      <c r="A340" s="7">
        <v>90401.0</v>
      </c>
      <c r="B340" s="7" t="s">
        <v>316</v>
      </c>
      <c r="C340" s="59">
        <v>40014.0</v>
      </c>
      <c r="D340" s="59">
        <v>47452.0</v>
      </c>
    </row>
    <row r="341" ht="15.75" customHeight="1">
      <c r="A341" s="7">
        <v>90402.0</v>
      </c>
      <c r="B341" s="7" t="s">
        <v>376</v>
      </c>
      <c r="C341" s="59">
        <v>22137.0</v>
      </c>
      <c r="D341" s="59">
        <v>42705.0</v>
      </c>
    </row>
    <row r="342" ht="15.75" customHeight="1">
      <c r="A342" s="7">
        <v>90501.0</v>
      </c>
      <c r="B342" s="7" t="s">
        <v>377</v>
      </c>
      <c r="C342" s="59">
        <v>33324.0</v>
      </c>
      <c r="D342" s="59">
        <v>20414.0</v>
      </c>
    </row>
    <row r="343" ht="15.75" customHeight="1">
      <c r="A343" s="7">
        <v>90502.0</v>
      </c>
      <c r="B343" s="7" t="s">
        <v>378</v>
      </c>
      <c r="C343" s="59">
        <v>45609.0</v>
      </c>
      <c r="D343" s="59">
        <v>41243.0</v>
      </c>
    </row>
    <row r="344" ht="15.75" customHeight="1">
      <c r="A344" s="7">
        <v>90503.0</v>
      </c>
      <c r="B344" s="7" t="s">
        <v>379</v>
      </c>
      <c r="C344" s="59">
        <v>35809.0</v>
      </c>
      <c r="D344" s="59">
        <v>38549.0</v>
      </c>
    </row>
    <row r="345" ht="15.75" customHeight="1">
      <c r="C345" s="73"/>
      <c r="D345" s="73"/>
    </row>
    <row r="346" ht="15.75" customHeight="1">
      <c r="C346" s="73"/>
      <c r="D346" s="73"/>
    </row>
    <row r="347" ht="15.75" customHeight="1">
      <c r="C347" s="73"/>
      <c r="D347" s="73"/>
    </row>
    <row r="348" ht="15.75" customHeight="1">
      <c r="C348" s="73"/>
      <c r="D348" s="73"/>
    </row>
    <row r="349" ht="15.75" customHeight="1">
      <c r="C349" s="73"/>
      <c r="D349" s="73"/>
    </row>
    <row r="350" ht="15.75" customHeight="1">
      <c r="C350" s="73"/>
      <c r="D350" s="73"/>
    </row>
    <row r="351" ht="15.75" customHeight="1">
      <c r="C351" s="73"/>
      <c r="D351" s="73"/>
    </row>
    <row r="352" ht="15.75" customHeight="1">
      <c r="C352" s="73"/>
      <c r="D352" s="73"/>
    </row>
    <row r="353" ht="15.75" customHeight="1">
      <c r="C353" s="73"/>
      <c r="D353" s="73"/>
    </row>
    <row r="354" ht="15.75" customHeight="1">
      <c r="C354" s="73"/>
      <c r="D354" s="73"/>
    </row>
    <row r="355" ht="15.75" customHeight="1">
      <c r="C355" s="73"/>
      <c r="D355" s="73"/>
    </row>
    <row r="356" ht="15.75" customHeight="1">
      <c r="C356" s="73"/>
      <c r="D356" s="73"/>
    </row>
    <row r="357" ht="15.75" customHeight="1">
      <c r="C357" s="73"/>
      <c r="D357" s="73"/>
    </row>
    <row r="358" ht="15.75" customHeight="1">
      <c r="C358" s="73"/>
      <c r="D358" s="73"/>
    </row>
    <row r="359" ht="15.75" customHeight="1">
      <c r="C359" s="73"/>
      <c r="D359" s="73"/>
    </row>
    <row r="360" ht="15.75" customHeight="1">
      <c r="C360" s="73"/>
      <c r="D360" s="73"/>
    </row>
    <row r="361" ht="15.75" customHeight="1">
      <c r="C361" s="73"/>
      <c r="D361" s="73"/>
    </row>
    <row r="362" ht="15.75" customHeight="1">
      <c r="C362" s="73"/>
      <c r="D362" s="73"/>
    </row>
    <row r="363" ht="15.75" customHeight="1">
      <c r="C363" s="73"/>
      <c r="D363" s="73"/>
    </row>
    <row r="364" ht="15.75" customHeight="1">
      <c r="C364" s="73"/>
      <c r="D364" s="73"/>
    </row>
    <row r="365" ht="15.75" customHeight="1">
      <c r="C365" s="73"/>
      <c r="D365" s="73"/>
    </row>
    <row r="366" ht="15.75" customHeight="1">
      <c r="C366" s="73"/>
      <c r="D366" s="73"/>
    </row>
    <row r="367" ht="15.75" customHeight="1">
      <c r="C367" s="73"/>
      <c r="D367" s="73"/>
    </row>
    <row r="368" ht="15.75" customHeight="1">
      <c r="C368" s="73"/>
      <c r="D368" s="73"/>
    </row>
    <row r="369" ht="15.75" customHeight="1">
      <c r="C369" s="73"/>
      <c r="D369" s="73"/>
    </row>
    <row r="370" ht="15.75" customHeight="1">
      <c r="C370" s="73"/>
      <c r="D370" s="73"/>
    </row>
    <row r="371" ht="15.75" customHeight="1">
      <c r="C371" s="73"/>
      <c r="D371" s="73"/>
    </row>
    <row r="372" ht="15.75" customHeight="1">
      <c r="C372" s="73"/>
      <c r="D372" s="73"/>
    </row>
    <row r="373" ht="15.75" customHeight="1">
      <c r="C373" s="73"/>
      <c r="D373" s="73"/>
    </row>
    <row r="374" ht="15.75" customHeight="1">
      <c r="C374" s="73"/>
      <c r="D374" s="73"/>
    </row>
    <row r="375" ht="15.75" customHeight="1">
      <c r="C375" s="73"/>
      <c r="D375" s="73"/>
    </row>
    <row r="376" ht="15.75" customHeight="1">
      <c r="C376" s="73"/>
      <c r="D376" s="73"/>
    </row>
    <row r="377" ht="15.75" customHeight="1">
      <c r="C377" s="73"/>
      <c r="D377" s="73"/>
    </row>
    <row r="378" ht="15.75" customHeight="1">
      <c r="C378" s="73"/>
      <c r="D378" s="73"/>
    </row>
    <row r="379" ht="15.75" customHeight="1">
      <c r="C379" s="73"/>
      <c r="D379" s="73"/>
    </row>
    <row r="380" ht="15.75" customHeight="1">
      <c r="C380" s="73"/>
      <c r="D380" s="73"/>
    </row>
    <row r="381" ht="15.75" customHeight="1">
      <c r="C381" s="73"/>
      <c r="D381" s="73"/>
    </row>
    <row r="382" ht="15.75" customHeight="1">
      <c r="C382" s="73"/>
      <c r="D382" s="73"/>
    </row>
    <row r="383" ht="15.75" customHeight="1">
      <c r="C383" s="73"/>
      <c r="D383" s="73"/>
    </row>
    <row r="384" ht="15.75" customHeight="1">
      <c r="C384" s="73"/>
      <c r="D384" s="73"/>
    </row>
    <row r="385" ht="15.75" customHeight="1">
      <c r="C385" s="73"/>
      <c r="D385" s="73"/>
    </row>
    <row r="386" ht="15.75" customHeight="1">
      <c r="C386" s="73"/>
      <c r="D386" s="73"/>
    </row>
    <row r="387" ht="15.75" customHeight="1">
      <c r="C387" s="73"/>
      <c r="D387" s="73"/>
    </row>
    <row r="388" ht="15.75" customHeight="1">
      <c r="C388" s="73"/>
      <c r="D388" s="73"/>
    </row>
    <row r="389" ht="15.75" customHeight="1">
      <c r="C389" s="73"/>
      <c r="D389" s="73"/>
    </row>
    <row r="390" ht="15.75" customHeight="1">
      <c r="C390" s="73"/>
      <c r="D390" s="73"/>
    </row>
    <row r="391" ht="15.75" customHeight="1">
      <c r="C391" s="73"/>
      <c r="D391" s="73"/>
    </row>
    <row r="392" ht="15.75" customHeight="1">
      <c r="C392" s="73"/>
      <c r="D392" s="73"/>
    </row>
    <row r="393" ht="15.75" customHeight="1">
      <c r="C393" s="73"/>
      <c r="D393" s="73"/>
    </row>
    <row r="394" ht="15.75" customHeight="1">
      <c r="C394" s="73"/>
      <c r="D394" s="73"/>
    </row>
    <row r="395" ht="15.75" customHeight="1">
      <c r="C395" s="73"/>
      <c r="D395" s="73"/>
    </row>
    <row r="396" ht="15.75" customHeight="1">
      <c r="C396" s="73"/>
      <c r="D396" s="73"/>
    </row>
    <row r="397" ht="15.75" customHeight="1">
      <c r="C397" s="73"/>
      <c r="D397" s="73"/>
    </row>
    <row r="398" ht="15.75" customHeight="1">
      <c r="C398" s="73"/>
      <c r="D398" s="73"/>
    </row>
    <row r="399" ht="15.75" customHeight="1">
      <c r="C399" s="73"/>
      <c r="D399" s="73"/>
    </row>
    <row r="400" ht="15.75" customHeight="1">
      <c r="C400" s="73"/>
      <c r="D400" s="73"/>
    </row>
    <row r="401" ht="15.75" customHeight="1">
      <c r="C401" s="73"/>
      <c r="D401" s="73"/>
    </row>
    <row r="402" ht="15.75" customHeight="1">
      <c r="C402" s="73"/>
      <c r="D402" s="73"/>
    </row>
    <row r="403" ht="15.75" customHeight="1">
      <c r="C403" s="73"/>
      <c r="D403" s="73"/>
    </row>
    <row r="404" ht="15.75" customHeight="1">
      <c r="C404" s="73"/>
      <c r="D404" s="73"/>
    </row>
    <row r="405" ht="15.75" customHeight="1">
      <c r="C405" s="73"/>
      <c r="D405" s="73"/>
    </row>
    <row r="406" ht="15.75" customHeight="1">
      <c r="C406" s="73"/>
      <c r="D406" s="73"/>
    </row>
    <row r="407" ht="15.75" customHeight="1">
      <c r="C407" s="73"/>
      <c r="D407" s="73"/>
    </row>
    <row r="408" ht="15.75" customHeight="1">
      <c r="C408" s="73"/>
      <c r="D408" s="73"/>
    </row>
    <row r="409" ht="15.75" customHeight="1">
      <c r="C409" s="73"/>
      <c r="D409" s="73"/>
    </row>
    <row r="410" ht="15.75" customHeight="1">
      <c r="C410" s="73"/>
      <c r="D410" s="73"/>
    </row>
    <row r="411" ht="15.75" customHeight="1">
      <c r="C411" s="73"/>
      <c r="D411" s="73"/>
    </row>
    <row r="412" ht="15.75" customHeight="1">
      <c r="C412" s="73"/>
      <c r="D412" s="73"/>
    </row>
    <row r="413" ht="15.75" customHeight="1">
      <c r="C413" s="73"/>
      <c r="D413" s="73"/>
    </row>
    <row r="414" ht="15.75" customHeight="1">
      <c r="C414" s="73"/>
      <c r="D414" s="73"/>
    </row>
    <row r="415" ht="15.75" customHeight="1">
      <c r="C415" s="73"/>
      <c r="D415" s="73"/>
    </row>
    <row r="416" ht="15.75" customHeight="1">
      <c r="C416" s="73"/>
      <c r="D416" s="73"/>
    </row>
    <row r="417" ht="15.75" customHeight="1">
      <c r="C417" s="73"/>
      <c r="D417" s="73"/>
    </row>
    <row r="418" ht="15.75" customHeight="1">
      <c r="C418" s="73"/>
      <c r="D418" s="73"/>
    </row>
    <row r="419" ht="15.75" customHeight="1">
      <c r="C419" s="73"/>
      <c r="D419" s="73"/>
    </row>
    <row r="420" ht="15.75" customHeight="1">
      <c r="C420" s="73"/>
      <c r="D420" s="73"/>
    </row>
    <row r="421" ht="15.75" customHeight="1">
      <c r="C421" s="73"/>
      <c r="D421" s="73"/>
    </row>
    <row r="422" ht="15.75" customHeight="1">
      <c r="C422" s="73"/>
      <c r="D422" s="73"/>
    </row>
    <row r="423" ht="15.75" customHeight="1">
      <c r="C423" s="73"/>
      <c r="D423" s="73"/>
    </row>
    <row r="424" ht="15.75" customHeight="1">
      <c r="C424" s="73"/>
      <c r="D424" s="73"/>
    </row>
    <row r="425" ht="15.75" customHeight="1">
      <c r="C425" s="73"/>
      <c r="D425" s="73"/>
    </row>
    <row r="426" ht="15.75" customHeight="1">
      <c r="C426" s="73"/>
      <c r="D426" s="73"/>
    </row>
    <row r="427" ht="15.75" customHeight="1">
      <c r="C427" s="73"/>
      <c r="D427" s="73"/>
    </row>
    <row r="428" ht="15.75" customHeight="1">
      <c r="C428" s="73"/>
      <c r="D428" s="73"/>
    </row>
    <row r="429" ht="15.75" customHeight="1">
      <c r="C429" s="73"/>
      <c r="D429" s="73"/>
    </row>
    <row r="430" ht="15.75" customHeight="1">
      <c r="C430" s="73"/>
      <c r="D430" s="73"/>
    </row>
    <row r="431" ht="15.75" customHeight="1">
      <c r="C431" s="73"/>
      <c r="D431" s="73"/>
    </row>
    <row r="432" ht="15.75" customHeight="1">
      <c r="C432" s="73"/>
      <c r="D432" s="73"/>
    </row>
    <row r="433" ht="15.75" customHeight="1">
      <c r="C433" s="73"/>
      <c r="D433" s="73"/>
    </row>
    <row r="434" ht="15.75" customHeight="1">
      <c r="C434" s="73"/>
      <c r="D434" s="73"/>
    </row>
    <row r="435" ht="15.75" customHeight="1">
      <c r="C435" s="73"/>
      <c r="D435" s="73"/>
    </row>
    <row r="436" ht="15.75" customHeight="1">
      <c r="C436" s="73"/>
      <c r="D436" s="73"/>
    </row>
    <row r="437" ht="15.75" customHeight="1">
      <c r="C437" s="73"/>
      <c r="D437" s="73"/>
    </row>
    <row r="438" ht="15.75" customHeight="1">
      <c r="C438" s="73"/>
      <c r="D438" s="73"/>
    </row>
    <row r="439" ht="15.75" customHeight="1">
      <c r="C439" s="73"/>
      <c r="D439" s="73"/>
    </row>
    <row r="440" ht="15.75" customHeight="1">
      <c r="C440" s="73"/>
      <c r="D440" s="73"/>
    </row>
    <row r="441" ht="15.75" customHeight="1">
      <c r="C441" s="73"/>
      <c r="D441" s="73"/>
    </row>
    <row r="442" ht="15.75" customHeight="1">
      <c r="C442" s="73"/>
      <c r="D442" s="73"/>
    </row>
    <row r="443" ht="15.75" customHeight="1">
      <c r="C443" s="73"/>
      <c r="D443" s="73"/>
    </row>
    <row r="444" ht="15.75" customHeight="1">
      <c r="C444" s="73"/>
      <c r="D444" s="73"/>
    </row>
    <row r="445" ht="15.75" customHeight="1">
      <c r="C445" s="73"/>
      <c r="D445" s="73"/>
    </row>
    <row r="446" ht="15.75" customHeight="1">
      <c r="C446" s="73"/>
      <c r="D446" s="73"/>
    </row>
    <row r="447" ht="15.75" customHeight="1">
      <c r="C447" s="73"/>
      <c r="D447" s="73"/>
    </row>
    <row r="448" ht="15.75" customHeight="1">
      <c r="C448" s="73"/>
      <c r="D448" s="73"/>
    </row>
    <row r="449" ht="15.75" customHeight="1">
      <c r="C449" s="73"/>
      <c r="D449" s="73"/>
    </row>
    <row r="450" ht="15.75" customHeight="1">
      <c r="C450" s="73"/>
      <c r="D450" s="73"/>
    </row>
    <row r="451" ht="15.75" customHeight="1">
      <c r="C451" s="73"/>
      <c r="D451" s="73"/>
    </row>
    <row r="452" ht="15.75" customHeight="1">
      <c r="C452" s="73"/>
      <c r="D452" s="73"/>
    </row>
    <row r="453" ht="15.75" customHeight="1">
      <c r="C453" s="73"/>
      <c r="D453" s="73"/>
    </row>
    <row r="454" ht="15.75" customHeight="1">
      <c r="C454" s="73"/>
      <c r="D454" s="73"/>
    </row>
    <row r="455" ht="15.75" customHeight="1">
      <c r="C455" s="73"/>
      <c r="D455" s="73"/>
    </row>
    <row r="456" ht="15.75" customHeight="1">
      <c r="C456" s="73"/>
      <c r="D456" s="73"/>
    </row>
    <row r="457" ht="15.75" customHeight="1">
      <c r="C457" s="73"/>
      <c r="D457" s="73"/>
    </row>
    <row r="458" ht="15.75" customHeight="1">
      <c r="C458" s="73"/>
      <c r="D458" s="73"/>
    </row>
    <row r="459" ht="15.75" customHeight="1">
      <c r="C459" s="73"/>
      <c r="D459" s="73"/>
    </row>
    <row r="460" ht="15.75" customHeight="1">
      <c r="C460" s="73"/>
      <c r="D460" s="73"/>
    </row>
    <row r="461" ht="15.75" customHeight="1">
      <c r="C461" s="73"/>
      <c r="D461" s="73"/>
    </row>
    <row r="462" ht="15.75" customHeight="1">
      <c r="C462" s="73"/>
      <c r="D462" s="73"/>
    </row>
    <row r="463" ht="15.75" customHeight="1">
      <c r="C463" s="73"/>
      <c r="D463" s="73"/>
    </row>
    <row r="464" ht="15.75" customHeight="1">
      <c r="C464" s="73"/>
      <c r="D464" s="73"/>
    </row>
    <row r="465" ht="15.75" customHeight="1">
      <c r="C465" s="73"/>
      <c r="D465" s="73"/>
    </row>
    <row r="466" ht="15.75" customHeight="1">
      <c r="C466" s="73"/>
      <c r="D466" s="73"/>
    </row>
    <row r="467" ht="15.75" customHeight="1">
      <c r="C467" s="73"/>
      <c r="D467" s="73"/>
    </row>
    <row r="468" ht="15.75" customHeight="1">
      <c r="C468" s="73"/>
      <c r="D468" s="73"/>
    </row>
    <row r="469" ht="15.75" customHeight="1">
      <c r="C469" s="73"/>
      <c r="D469" s="73"/>
    </row>
    <row r="470" ht="15.75" customHeight="1">
      <c r="C470" s="73"/>
      <c r="D470" s="73"/>
    </row>
    <row r="471" ht="15.75" customHeight="1">
      <c r="C471" s="73"/>
      <c r="D471" s="73"/>
    </row>
    <row r="472" ht="15.75" customHeight="1">
      <c r="C472" s="73"/>
      <c r="D472" s="73"/>
    </row>
    <row r="473" ht="15.75" customHeight="1">
      <c r="C473" s="73"/>
      <c r="D473" s="73"/>
    </row>
    <row r="474" ht="15.75" customHeight="1">
      <c r="C474" s="73"/>
      <c r="D474" s="73"/>
    </row>
    <row r="475" ht="15.75" customHeight="1">
      <c r="C475" s="73"/>
      <c r="D475" s="73"/>
    </row>
    <row r="476" ht="15.75" customHeight="1">
      <c r="C476" s="73"/>
      <c r="D476" s="73"/>
    </row>
    <row r="477" ht="15.75" customHeight="1">
      <c r="C477" s="73"/>
      <c r="D477" s="73"/>
    </row>
    <row r="478" ht="15.75" customHeight="1">
      <c r="C478" s="73"/>
      <c r="D478" s="73"/>
    </row>
    <row r="479" ht="15.75" customHeight="1">
      <c r="C479" s="73"/>
      <c r="D479" s="73"/>
    </row>
    <row r="480" ht="15.75" customHeight="1">
      <c r="C480" s="73"/>
      <c r="D480" s="73"/>
    </row>
    <row r="481" ht="15.75" customHeight="1">
      <c r="C481" s="73"/>
      <c r="D481" s="73"/>
    </row>
    <row r="482" ht="15.75" customHeight="1">
      <c r="C482" s="73"/>
      <c r="D482" s="73"/>
    </row>
    <row r="483" ht="15.75" customHeight="1">
      <c r="C483" s="73"/>
      <c r="D483" s="73"/>
    </row>
    <row r="484" ht="15.75" customHeight="1">
      <c r="C484" s="73"/>
      <c r="D484" s="73"/>
    </row>
    <row r="485" ht="15.75" customHeight="1">
      <c r="C485" s="73"/>
      <c r="D485" s="73"/>
    </row>
    <row r="486" ht="15.75" customHeight="1">
      <c r="C486" s="73"/>
      <c r="D486" s="73"/>
    </row>
    <row r="487" ht="15.75" customHeight="1">
      <c r="C487" s="73"/>
      <c r="D487" s="73"/>
    </row>
    <row r="488" ht="15.75" customHeight="1">
      <c r="C488" s="73"/>
      <c r="D488" s="73"/>
    </row>
    <row r="489" ht="15.75" customHeight="1">
      <c r="C489" s="73"/>
      <c r="D489" s="73"/>
    </row>
    <row r="490" ht="15.75" customHeight="1">
      <c r="C490" s="73"/>
      <c r="D490" s="73"/>
    </row>
    <row r="491" ht="15.75" customHeight="1">
      <c r="C491" s="73"/>
      <c r="D491" s="73"/>
    </row>
    <row r="492" ht="15.75" customHeight="1">
      <c r="C492" s="73"/>
      <c r="D492" s="73"/>
    </row>
    <row r="493" ht="15.75" customHeight="1">
      <c r="C493" s="73"/>
      <c r="D493" s="73"/>
    </row>
    <row r="494" ht="15.75" customHeight="1">
      <c r="C494" s="73"/>
      <c r="D494" s="73"/>
    </row>
    <row r="495" ht="15.75" customHeight="1">
      <c r="C495" s="73"/>
      <c r="D495" s="73"/>
    </row>
    <row r="496" ht="15.75" customHeight="1">
      <c r="C496" s="73"/>
      <c r="D496" s="73"/>
    </row>
    <row r="497" ht="15.75" customHeight="1">
      <c r="C497" s="73"/>
      <c r="D497" s="73"/>
    </row>
    <row r="498" ht="15.75" customHeight="1">
      <c r="C498" s="73"/>
      <c r="D498" s="73"/>
    </row>
    <row r="499" ht="15.75" customHeight="1">
      <c r="C499" s="73"/>
      <c r="D499" s="73"/>
    </row>
    <row r="500" ht="15.75" customHeight="1">
      <c r="C500" s="73"/>
      <c r="D500" s="73"/>
    </row>
    <row r="501" ht="15.75" customHeight="1">
      <c r="C501" s="73"/>
      <c r="D501" s="73"/>
    </row>
    <row r="502" ht="15.75" customHeight="1">
      <c r="C502" s="73"/>
      <c r="D502" s="73"/>
    </row>
    <row r="503" ht="15.75" customHeight="1">
      <c r="C503" s="73"/>
      <c r="D503" s="73"/>
    </row>
    <row r="504" ht="15.75" customHeight="1">
      <c r="C504" s="73"/>
      <c r="D504" s="73"/>
    </row>
    <row r="505" ht="15.75" customHeight="1">
      <c r="C505" s="73"/>
      <c r="D505" s="73"/>
    </row>
    <row r="506" ht="15.75" customHeight="1">
      <c r="C506" s="73"/>
      <c r="D506" s="73"/>
    </row>
    <row r="507" ht="15.75" customHeight="1">
      <c r="C507" s="73"/>
      <c r="D507" s="73"/>
    </row>
    <row r="508" ht="15.75" customHeight="1">
      <c r="C508" s="73"/>
      <c r="D508" s="73"/>
    </row>
    <row r="509" ht="15.75" customHeight="1">
      <c r="C509" s="73"/>
      <c r="D509" s="73"/>
    </row>
    <row r="510" ht="15.75" customHeight="1">
      <c r="C510" s="73"/>
      <c r="D510" s="73"/>
    </row>
    <row r="511" ht="15.75" customHeight="1">
      <c r="C511" s="73"/>
      <c r="D511" s="73"/>
    </row>
    <row r="512" ht="15.75" customHeight="1">
      <c r="C512" s="73"/>
      <c r="D512" s="73"/>
    </row>
    <row r="513" ht="15.75" customHeight="1">
      <c r="C513" s="73"/>
      <c r="D513" s="73"/>
    </row>
    <row r="514" ht="15.75" customHeight="1">
      <c r="C514" s="73"/>
      <c r="D514" s="73"/>
    </row>
    <row r="515" ht="15.75" customHeight="1">
      <c r="C515" s="73"/>
      <c r="D515" s="73"/>
    </row>
    <row r="516" ht="15.75" customHeight="1">
      <c r="C516" s="73"/>
      <c r="D516" s="73"/>
    </row>
    <row r="517" ht="15.75" customHeight="1">
      <c r="C517" s="73"/>
      <c r="D517" s="73"/>
    </row>
    <row r="518" ht="15.75" customHeight="1">
      <c r="C518" s="73"/>
      <c r="D518" s="73"/>
    </row>
    <row r="519" ht="15.75" customHeight="1">
      <c r="C519" s="73"/>
      <c r="D519" s="73"/>
    </row>
    <row r="520" ht="15.75" customHeight="1">
      <c r="C520" s="73"/>
      <c r="D520" s="73"/>
    </row>
    <row r="521" ht="15.75" customHeight="1">
      <c r="C521" s="73"/>
      <c r="D521" s="73"/>
    </row>
    <row r="522" ht="15.75" customHeight="1">
      <c r="C522" s="73"/>
      <c r="D522" s="73"/>
    </row>
    <row r="523" ht="15.75" customHeight="1">
      <c r="C523" s="73"/>
      <c r="D523" s="73"/>
    </row>
    <row r="524" ht="15.75" customHeight="1">
      <c r="C524" s="73"/>
      <c r="D524" s="73"/>
    </row>
    <row r="525" ht="15.75" customHeight="1">
      <c r="C525" s="73"/>
      <c r="D525" s="73"/>
    </row>
    <row r="526" ht="15.75" customHeight="1">
      <c r="C526" s="73"/>
      <c r="D526" s="73"/>
    </row>
    <row r="527" ht="15.75" customHeight="1">
      <c r="C527" s="73"/>
      <c r="D527" s="73"/>
    </row>
    <row r="528" ht="15.75" customHeight="1">
      <c r="C528" s="73"/>
      <c r="D528" s="73"/>
    </row>
    <row r="529" ht="15.75" customHeight="1">
      <c r="C529" s="73"/>
      <c r="D529" s="73"/>
    </row>
    <row r="530" ht="15.75" customHeight="1">
      <c r="C530" s="73"/>
      <c r="D530" s="73"/>
    </row>
    <row r="531" ht="15.75" customHeight="1">
      <c r="C531" s="73"/>
      <c r="D531" s="73"/>
    </row>
    <row r="532" ht="15.75" customHeight="1">
      <c r="C532" s="73"/>
      <c r="D532" s="73"/>
    </row>
    <row r="533" ht="15.75" customHeight="1">
      <c r="C533" s="73"/>
      <c r="D533" s="73"/>
    </row>
    <row r="534" ht="15.75" customHeight="1">
      <c r="C534" s="73"/>
      <c r="D534" s="73"/>
    </row>
    <row r="535" ht="15.75" customHeight="1">
      <c r="C535" s="73"/>
      <c r="D535" s="73"/>
    </row>
    <row r="536" ht="15.75" customHeight="1">
      <c r="C536" s="73"/>
      <c r="D536" s="73"/>
    </row>
    <row r="537" ht="15.75" customHeight="1">
      <c r="C537" s="73"/>
      <c r="D537" s="73"/>
    </row>
    <row r="538" ht="15.75" customHeight="1">
      <c r="C538" s="73"/>
      <c r="D538" s="73"/>
    </row>
    <row r="539" ht="15.75" customHeight="1">
      <c r="C539" s="73"/>
      <c r="D539" s="73"/>
    </row>
    <row r="540" ht="15.75" customHeight="1">
      <c r="C540" s="73"/>
      <c r="D540" s="73"/>
    </row>
    <row r="541" ht="15.75" customHeight="1">
      <c r="C541" s="73"/>
      <c r="D541" s="73"/>
    </row>
    <row r="542" ht="15.75" customHeight="1">
      <c r="C542" s="73"/>
      <c r="D542" s="73"/>
    </row>
    <row r="543" ht="15.75" customHeight="1">
      <c r="C543" s="73"/>
      <c r="D543" s="73"/>
    </row>
    <row r="544" ht="15.75" customHeight="1">
      <c r="C544" s="73"/>
      <c r="D544" s="73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44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68" t="s">
        <v>400</v>
      </c>
      <c r="B1" s="68" t="s">
        <v>107</v>
      </c>
      <c r="C1" s="69" t="s">
        <v>398</v>
      </c>
      <c r="D1" s="69" t="s">
        <v>399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ht="15.75" customHeight="1">
      <c r="A2" s="7">
        <v>1.0</v>
      </c>
      <c r="B2" s="7" t="s">
        <v>109</v>
      </c>
      <c r="C2" s="74">
        <v>28.845535586562946</v>
      </c>
      <c r="D2" s="74">
        <v>26.353396333826712</v>
      </c>
    </row>
    <row r="3" ht="15.75" customHeight="1">
      <c r="A3" s="7">
        <v>2.0</v>
      </c>
      <c r="B3" s="7" t="s">
        <v>111</v>
      </c>
      <c r="C3" s="74">
        <v>8.201415884632993</v>
      </c>
      <c r="D3" s="74">
        <v>15.96551580924189</v>
      </c>
    </row>
    <row r="4" ht="15.75" customHeight="1">
      <c r="A4" s="7">
        <v>3.0</v>
      </c>
      <c r="B4" s="7" t="s">
        <v>113</v>
      </c>
      <c r="C4" s="74">
        <v>42.880284366672015</v>
      </c>
      <c r="D4" s="74">
        <v>63.790343565152405</v>
      </c>
    </row>
    <row r="5" ht="15.75" customHeight="1">
      <c r="A5" s="7">
        <v>4.0</v>
      </c>
      <c r="B5" s="7" t="s">
        <v>115</v>
      </c>
      <c r="C5" s="74">
        <v>0.0</v>
      </c>
      <c r="D5" s="74">
        <v>7.650512571941534</v>
      </c>
    </row>
    <row r="6" ht="15.75" customHeight="1">
      <c r="A6" s="7">
        <v>5.0</v>
      </c>
      <c r="B6" s="7" t="s">
        <v>117</v>
      </c>
      <c r="C6" s="74">
        <v>0.0</v>
      </c>
      <c r="D6" s="74">
        <v>1.8847104117999471</v>
      </c>
    </row>
    <row r="7" ht="15.75" customHeight="1">
      <c r="A7" s="7">
        <v>6.0</v>
      </c>
      <c r="B7" s="7" t="s">
        <v>119</v>
      </c>
      <c r="C7" s="74">
        <v>74.83828802195421</v>
      </c>
      <c r="D7" s="74">
        <v>78.29289159693754</v>
      </c>
    </row>
    <row r="8" ht="15.75" customHeight="1">
      <c r="A8" s="7">
        <v>7.0</v>
      </c>
      <c r="B8" s="7" t="s">
        <v>121</v>
      </c>
      <c r="C8" s="74">
        <v>56.74232433062045</v>
      </c>
      <c r="D8" s="74">
        <v>60.816674584201316</v>
      </c>
    </row>
    <row r="9" ht="15.75" customHeight="1">
      <c r="A9" s="7">
        <v>8.0</v>
      </c>
      <c r="B9" s="7" t="s">
        <v>123</v>
      </c>
      <c r="C9" s="74">
        <v>43.23921321711509</v>
      </c>
      <c r="D9" s="74">
        <v>52.156157702863226</v>
      </c>
    </row>
    <row r="10" ht="15.75" customHeight="1">
      <c r="A10" s="27">
        <v>9.0</v>
      </c>
      <c r="B10" s="27" t="s">
        <v>125</v>
      </c>
      <c r="C10" s="76">
        <v>0.0</v>
      </c>
      <c r="D10" s="76">
        <v>0.0</v>
      </c>
    </row>
    <row r="11" ht="15.75" customHeight="1">
      <c r="A11" s="7">
        <v>10.0</v>
      </c>
      <c r="B11" s="7" t="s">
        <v>129</v>
      </c>
      <c r="C11" s="77">
        <v>78.7517958071806</v>
      </c>
      <c r="D11" s="77">
        <v>71.43667131303998</v>
      </c>
    </row>
    <row r="12" ht="15.75" customHeight="1">
      <c r="A12" s="7">
        <v>11.0</v>
      </c>
      <c r="B12" s="7" t="s">
        <v>127</v>
      </c>
      <c r="C12" s="77">
        <v>31.84495957913897</v>
      </c>
      <c r="D12" s="77">
        <v>40.13762941833732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68" t="s">
        <v>400</v>
      </c>
      <c r="B1" s="68" t="s">
        <v>107</v>
      </c>
      <c r="C1" s="69" t="s">
        <v>401</v>
      </c>
      <c r="D1" s="69" t="s">
        <v>402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ht="15.75" customHeight="1">
      <c r="A2" s="7">
        <v>1.0</v>
      </c>
      <c r="B2" s="7" t="s">
        <v>109</v>
      </c>
      <c r="C2" s="8">
        <v>1.3968552281249998E7</v>
      </c>
      <c r="D2" s="8">
        <v>1.4754529100000003E7</v>
      </c>
    </row>
    <row r="3" ht="15.75" customHeight="1">
      <c r="A3" s="7">
        <v>2.0</v>
      </c>
      <c r="B3" s="7" t="s">
        <v>111</v>
      </c>
      <c r="C3" s="71">
        <v>8.284074203541668E7</v>
      </c>
      <c r="D3" s="71">
        <v>8.203852549500003E7</v>
      </c>
    </row>
    <row r="4" ht="15.75" customHeight="1">
      <c r="A4" s="7">
        <v>3.0</v>
      </c>
      <c r="B4" s="7" t="s">
        <v>113</v>
      </c>
      <c r="C4" s="8">
        <v>4.6323134548750006E7</v>
      </c>
      <c r="D4" s="8">
        <v>6.0264074629999995E7</v>
      </c>
    </row>
    <row r="5" ht="15.75" customHeight="1">
      <c r="A5" s="7">
        <v>4.0</v>
      </c>
      <c r="B5" s="7" t="s">
        <v>115</v>
      </c>
      <c r="C5" s="71">
        <v>1.5875573104166664E7</v>
      </c>
      <c r="D5" s="71">
        <v>1.7602478700000003E7</v>
      </c>
    </row>
    <row r="6" ht="15.75" customHeight="1">
      <c r="A6" s="7">
        <v>5.0</v>
      </c>
      <c r="B6" s="7" t="s">
        <v>117</v>
      </c>
      <c r="C6" s="71">
        <v>2.4212660683333337E7</v>
      </c>
      <c r="D6" s="71">
        <v>2.514901831E7</v>
      </c>
    </row>
    <row r="7" ht="15.75" customHeight="1">
      <c r="A7" s="7">
        <v>6.0</v>
      </c>
      <c r="B7" s="7" t="s">
        <v>119</v>
      </c>
      <c r="C7" s="8">
        <v>5830416.512499999</v>
      </c>
      <c r="D7" s="8">
        <v>3978790.1000000006</v>
      </c>
    </row>
    <row r="8" ht="15.75" customHeight="1">
      <c r="A8" s="7">
        <v>7.0</v>
      </c>
      <c r="B8" s="7" t="s">
        <v>121</v>
      </c>
      <c r="C8" s="8">
        <v>4.054085834791668E7</v>
      </c>
      <c r="D8" s="8">
        <v>3.2413470954999994E7</v>
      </c>
    </row>
    <row r="9" ht="15.75" customHeight="1">
      <c r="A9" s="7">
        <v>8.0</v>
      </c>
      <c r="B9" s="7" t="s">
        <v>123</v>
      </c>
      <c r="C9" s="8">
        <v>1.0828390737499999E7</v>
      </c>
      <c r="D9" s="8">
        <v>1.34623654E7</v>
      </c>
    </row>
    <row r="10" ht="15.75" customHeight="1">
      <c r="A10" s="7">
        <v>9.0</v>
      </c>
      <c r="B10" s="7" t="s">
        <v>125</v>
      </c>
      <c r="C10" s="71">
        <v>2605349.46875</v>
      </c>
      <c r="D10" s="71">
        <v>3799719.3500000006</v>
      </c>
    </row>
    <row r="11" ht="15.75" customHeight="1">
      <c r="A11" s="7">
        <v>10.0</v>
      </c>
      <c r="B11" s="7" t="s">
        <v>129</v>
      </c>
      <c r="C11" s="25">
        <v>3215980.1729166666</v>
      </c>
      <c r="D11" s="25">
        <v>3457467.975</v>
      </c>
    </row>
    <row r="12" ht="15.75" customHeight="1">
      <c r="A12" s="7">
        <v>11.0</v>
      </c>
      <c r="B12" s="7" t="s">
        <v>127</v>
      </c>
      <c r="C12" s="25">
        <v>2.4302567771958333E8</v>
      </c>
      <c r="D12" s="25">
        <v>2.5346297204E8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0" width="12.5"/>
    <col customWidth="1" min="11" max="11" width="21.75"/>
    <col customWidth="1" min="12" max="26" width="12.5"/>
  </cols>
  <sheetData>
    <row r="1" ht="27.0" customHeight="1">
      <c r="A1" s="78" t="s">
        <v>403</v>
      </c>
      <c r="B1" s="78" t="s">
        <v>404</v>
      </c>
      <c r="C1" s="79" t="s">
        <v>405</v>
      </c>
      <c r="D1" s="79" t="s">
        <v>406</v>
      </c>
      <c r="E1" s="80" t="s">
        <v>407</v>
      </c>
      <c r="F1" s="80" t="s">
        <v>408</v>
      </c>
      <c r="G1" s="81" t="s">
        <v>409</v>
      </c>
      <c r="H1" s="81" t="s">
        <v>410</v>
      </c>
      <c r="I1" s="82" t="s">
        <v>411</v>
      </c>
      <c r="J1" s="82" t="s">
        <v>412</v>
      </c>
      <c r="K1" s="83" t="s">
        <v>413</v>
      </c>
    </row>
    <row r="2" ht="15.75" customHeight="1">
      <c r="A2" s="84">
        <v>6.0</v>
      </c>
      <c r="B2" s="85" t="s">
        <v>414</v>
      </c>
      <c r="C2" s="86">
        <v>500.0</v>
      </c>
      <c r="D2" s="86">
        <v>50.0</v>
      </c>
      <c r="E2" s="86">
        <v>50.0</v>
      </c>
      <c r="F2" s="86">
        <v>30.0</v>
      </c>
      <c r="G2" s="86">
        <v>30.0</v>
      </c>
      <c r="H2" s="86">
        <v>15.0</v>
      </c>
      <c r="I2" s="86">
        <v>15.0</v>
      </c>
      <c r="J2" s="86">
        <v>0.0</v>
      </c>
      <c r="K2" s="87" t="s">
        <v>415</v>
      </c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2026-05-04T16:07:22Z</dcterms:created>
  <dc:creator>Valeria</dc:creator>
</cp:coreProperties>
</file>